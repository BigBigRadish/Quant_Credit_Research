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olatileDependencies.xml" ContentType="application/vnd.openxmlformats-officedocument.spreadsheetml.volatileDependenc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30" yWindow="-210" windowWidth="24000" windowHeight="14640"/>
  </bookViews>
  <sheets>
    <sheet name="CFT" sheetId="1" r:id="rId1"/>
    <sheet name="HELP" sheetId="2" r:id="rId2"/>
  </sheets>
  <functionGroups builtInGroupCount="17"/>
  <definedNames>
    <definedName name="amount">CFT!$C$11</definedName>
    <definedName name="assumpName">CFT!$C$13</definedName>
    <definedName name="cfStart">CFT!$J$29</definedName>
    <definedName name="coupon">CFT!$J$10</definedName>
    <definedName name="cusip">CFT!$B$6</definedName>
    <definedName name="defaultSpeed">CFT!$C$17</definedName>
    <definedName name="defaultType">CFT!$C$18</definedName>
    <definedName name="defaultVector">CFT!$C$19</definedName>
    <definedName name="discountDays">CFT!$R$29</definedName>
    <definedName name="dynamicCF">CFT!$C$25</definedName>
    <definedName name="forward">CFT!$C$22</definedName>
    <definedName name="givenPrice">CFT!$F$18</definedName>
    <definedName name="histStart">CFT!$B$29</definedName>
    <definedName name="insWrap">CFT!$C$24</definedName>
    <definedName name="lag">CFT!$C$21</definedName>
    <definedName name="origFace">CFT!$F$26</definedName>
    <definedName name="ppSpeed">CFT!$C$14</definedName>
    <definedName name="ppType">CFT!$C$15</definedName>
    <definedName name="ppVector">CFT!$C$16</definedName>
    <definedName name="previousBalance">CFT!$T$13</definedName>
    <definedName name="rangeCashFlow">CFT!$J$30:$P$502</definedName>
    <definedName name="rangeHistoricalCF">CFT!$B$30:$G$502</definedName>
    <definedName name="rates">CFT!$C$23</definedName>
    <definedName name="scenName">CFT!$C$12</definedName>
    <definedName name="settleDate">CFT!$C$10</definedName>
    <definedName name="sev">CFT!$C$20</definedName>
    <definedName name="singleLine">CFT!$T$19</definedName>
    <definedName name="solvedYield">CFT!$H$18</definedName>
    <definedName name="solvePrice">CFT!$H$17</definedName>
    <definedName name="solver_adj" localSheetId="0" hidden="1">CFT!$H$18</definedName>
    <definedName name="solver_cvg" localSheetId="0" hidden="1">0.0001</definedName>
    <definedName name="solver_drv" localSheetId="0" hidden="1">1</definedName>
    <definedName name="solver_est" localSheetId="0" hidden="1">1</definedName>
    <definedName name="solver_itr" localSheetId="0" hidden="1">100</definedName>
    <definedName name="solver_lin" localSheetId="0" hidden="1">2</definedName>
    <definedName name="solver_neg" localSheetId="0" hidden="1">2</definedName>
    <definedName name="solver_num" localSheetId="0" hidden="1">0</definedName>
    <definedName name="solver_nwt" localSheetId="0" hidden="1">1</definedName>
    <definedName name="solver_opt" localSheetId="0" hidden="1">CFT!$T$19</definedName>
    <definedName name="solver_pre" localSheetId="0" hidden="1">0.000001</definedName>
    <definedName name="solver_scl" localSheetId="0" hidden="1">2</definedName>
    <definedName name="solver_sho" localSheetId="0" hidden="1">2</definedName>
    <definedName name="solver_tim" localSheetId="0" hidden="1">100</definedName>
    <definedName name="solver_tol" localSheetId="0" hidden="1">0.05</definedName>
    <definedName name="solver_typ" localSheetId="0" hidden="1">3</definedName>
    <definedName name="solver_val" localSheetId="0" hidden="1">93</definedName>
  </definedNames>
  <calcPr calcId="145621"/>
</workbook>
</file>

<file path=xl/calcChain.xml><?xml version="1.0" encoding="utf-8"?>
<calcChain xmlns="http://schemas.openxmlformats.org/spreadsheetml/2006/main">
  <c r="F10" i="1" l="1"/>
  <c r="F8" i="1"/>
  <c r="H30" i="1"/>
  <c r="H31" i="1"/>
  <c r="H32" i="1"/>
  <c r="H33" i="1"/>
  <c r="H34" i="1"/>
  <c r="H35" i="1"/>
  <c r="H36" i="1"/>
  <c r="AB30" i="1"/>
  <c r="H37" i="1" l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C8" i="1"/>
  <c r="S2000" i="1"/>
  <c r="S1999" i="1"/>
  <c r="S1998" i="1"/>
  <c r="S1997" i="1"/>
  <c r="S1996" i="1"/>
  <c r="S1995" i="1"/>
  <c r="S1994" i="1"/>
  <c r="S1993" i="1"/>
  <c r="S1992" i="1"/>
  <c r="S1991" i="1"/>
  <c r="S1990" i="1"/>
  <c r="S1989" i="1"/>
  <c r="S1988" i="1"/>
  <c r="S1987" i="1"/>
  <c r="S1986" i="1"/>
  <c r="S1985" i="1"/>
  <c r="S1984" i="1"/>
  <c r="S1983" i="1"/>
  <c r="S1982" i="1"/>
  <c r="S1981" i="1"/>
  <c r="S1980" i="1"/>
  <c r="S1979" i="1"/>
  <c r="S1978" i="1"/>
  <c r="S1977" i="1"/>
  <c r="S1976" i="1"/>
  <c r="S1975" i="1"/>
  <c r="S1974" i="1"/>
  <c r="S1973" i="1"/>
  <c r="S1972" i="1"/>
  <c r="S1971" i="1"/>
  <c r="S1970" i="1"/>
  <c r="S1969" i="1"/>
  <c r="S1968" i="1"/>
  <c r="S1967" i="1"/>
  <c r="S1966" i="1"/>
  <c r="S1965" i="1"/>
  <c r="S1964" i="1"/>
  <c r="S1963" i="1"/>
  <c r="S1962" i="1"/>
  <c r="S1961" i="1"/>
  <c r="S1960" i="1"/>
  <c r="S1959" i="1"/>
  <c r="S1958" i="1"/>
  <c r="S1957" i="1"/>
  <c r="S1956" i="1"/>
  <c r="S1955" i="1"/>
  <c r="S1954" i="1"/>
  <c r="S1953" i="1"/>
  <c r="S1952" i="1"/>
  <c r="S1951" i="1"/>
  <c r="S1950" i="1"/>
  <c r="S1949" i="1"/>
  <c r="S1948" i="1"/>
  <c r="S1947" i="1"/>
  <c r="S1946" i="1"/>
  <c r="S1945" i="1"/>
  <c r="S1944" i="1"/>
  <c r="S1943" i="1"/>
  <c r="S1942" i="1"/>
  <c r="S1941" i="1"/>
  <c r="S1940" i="1"/>
  <c r="S1939" i="1"/>
  <c r="S1938" i="1"/>
  <c r="S1937" i="1"/>
  <c r="S1936" i="1"/>
  <c r="S1935" i="1"/>
  <c r="S1934" i="1"/>
  <c r="S1933" i="1"/>
  <c r="S1932" i="1"/>
  <c r="S1931" i="1"/>
  <c r="S1930" i="1"/>
  <c r="S1929" i="1"/>
  <c r="S1928" i="1"/>
  <c r="S1927" i="1"/>
  <c r="S1926" i="1"/>
  <c r="S1925" i="1"/>
  <c r="S1924" i="1"/>
  <c r="S1923" i="1"/>
  <c r="S1922" i="1"/>
  <c r="S1921" i="1"/>
  <c r="S1920" i="1"/>
  <c r="S1919" i="1"/>
  <c r="S1918" i="1"/>
  <c r="S1917" i="1"/>
  <c r="S1916" i="1"/>
  <c r="S1915" i="1"/>
  <c r="S1914" i="1"/>
  <c r="S1913" i="1"/>
  <c r="S1912" i="1"/>
  <c r="S1911" i="1"/>
  <c r="S1910" i="1"/>
  <c r="S1909" i="1"/>
  <c r="S1908" i="1"/>
  <c r="S1907" i="1"/>
  <c r="S1906" i="1"/>
  <c r="S1905" i="1"/>
  <c r="S1904" i="1"/>
  <c r="S1903" i="1"/>
  <c r="S1902" i="1"/>
  <c r="S1901" i="1"/>
  <c r="S1900" i="1"/>
  <c r="S1899" i="1"/>
  <c r="S1898" i="1"/>
  <c r="S1897" i="1"/>
  <c r="S1896" i="1"/>
  <c r="S1895" i="1"/>
  <c r="S1894" i="1"/>
  <c r="S1893" i="1"/>
  <c r="S1892" i="1"/>
  <c r="S1891" i="1"/>
  <c r="S1890" i="1"/>
  <c r="S1889" i="1"/>
  <c r="S1888" i="1"/>
  <c r="S1887" i="1"/>
  <c r="S1886" i="1"/>
  <c r="S1885" i="1"/>
  <c r="S1884" i="1"/>
  <c r="S1883" i="1"/>
  <c r="S1882" i="1"/>
  <c r="S1881" i="1"/>
  <c r="S1880" i="1"/>
  <c r="S1879" i="1"/>
  <c r="S1878" i="1"/>
  <c r="S1877" i="1"/>
  <c r="S1876" i="1"/>
  <c r="S1875" i="1"/>
  <c r="S1874" i="1"/>
  <c r="S1873" i="1"/>
  <c r="S1872" i="1"/>
  <c r="S1871" i="1"/>
  <c r="S1870" i="1"/>
  <c r="S1869" i="1"/>
  <c r="S1868" i="1"/>
  <c r="S1867" i="1"/>
  <c r="S1866" i="1"/>
  <c r="S1865" i="1"/>
  <c r="S1864" i="1"/>
  <c r="S1863" i="1"/>
  <c r="S1862" i="1"/>
  <c r="S1861" i="1"/>
  <c r="S1860" i="1"/>
  <c r="S1859" i="1"/>
  <c r="S1858" i="1"/>
  <c r="S1857" i="1"/>
  <c r="S1856" i="1"/>
  <c r="S1855" i="1"/>
  <c r="S1854" i="1"/>
  <c r="S1853" i="1"/>
  <c r="S1852" i="1"/>
  <c r="S1851" i="1"/>
  <c r="S1850" i="1"/>
  <c r="S1849" i="1"/>
  <c r="S1848" i="1"/>
  <c r="S1847" i="1"/>
  <c r="S1846" i="1"/>
  <c r="S1845" i="1"/>
  <c r="S1844" i="1"/>
  <c r="S1843" i="1"/>
  <c r="S1842" i="1"/>
  <c r="S1841" i="1"/>
  <c r="S1840" i="1"/>
  <c r="S1839" i="1"/>
  <c r="S1838" i="1"/>
  <c r="S1837" i="1"/>
  <c r="S1836" i="1"/>
  <c r="S1835" i="1"/>
  <c r="S1834" i="1"/>
  <c r="S1833" i="1"/>
  <c r="S1832" i="1"/>
  <c r="S1831" i="1"/>
  <c r="S1830" i="1"/>
  <c r="S1829" i="1"/>
  <c r="S1828" i="1"/>
  <c r="S1827" i="1"/>
  <c r="S1826" i="1"/>
  <c r="S1825" i="1"/>
  <c r="S1824" i="1"/>
  <c r="S1823" i="1"/>
  <c r="S1822" i="1"/>
  <c r="S1821" i="1"/>
  <c r="S1820" i="1"/>
  <c r="S1819" i="1"/>
  <c r="S1818" i="1"/>
  <c r="S1817" i="1"/>
  <c r="S1816" i="1"/>
  <c r="S1815" i="1"/>
  <c r="S1814" i="1"/>
  <c r="S1813" i="1"/>
  <c r="S1812" i="1"/>
  <c r="S1811" i="1"/>
  <c r="S1810" i="1"/>
  <c r="S1809" i="1"/>
  <c r="S1808" i="1"/>
  <c r="S1807" i="1"/>
  <c r="S1806" i="1"/>
  <c r="S1805" i="1"/>
  <c r="S1804" i="1"/>
  <c r="S1803" i="1"/>
  <c r="S1802" i="1"/>
  <c r="S1801" i="1"/>
  <c r="S1800" i="1"/>
  <c r="S1799" i="1"/>
  <c r="S1798" i="1"/>
  <c r="S1797" i="1"/>
  <c r="S1796" i="1"/>
  <c r="S1795" i="1"/>
  <c r="S1794" i="1"/>
  <c r="S1793" i="1"/>
  <c r="S1792" i="1"/>
  <c r="S1791" i="1"/>
  <c r="S1790" i="1"/>
  <c r="S1789" i="1"/>
  <c r="S1788" i="1"/>
  <c r="S1787" i="1"/>
  <c r="S1786" i="1"/>
  <c r="S1785" i="1"/>
  <c r="S1784" i="1"/>
  <c r="S1783" i="1"/>
  <c r="S1782" i="1"/>
  <c r="S1781" i="1"/>
  <c r="S1780" i="1"/>
  <c r="S1779" i="1"/>
  <c r="S1778" i="1"/>
  <c r="S1777" i="1"/>
  <c r="S1776" i="1"/>
  <c r="S1775" i="1"/>
  <c r="S1774" i="1"/>
  <c r="S1773" i="1"/>
  <c r="S1772" i="1"/>
  <c r="S1771" i="1"/>
  <c r="S1770" i="1"/>
  <c r="S1769" i="1"/>
  <c r="S1768" i="1"/>
  <c r="S1767" i="1"/>
  <c r="S1766" i="1"/>
  <c r="S1765" i="1"/>
  <c r="S1764" i="1"/>
  <c r="S1763" i="1"/>
  <c r="S1762" i="1"/>
  <c r="S1761" i="1"/>
  <c r="S1760" i="1"/>
  <c r="S1759" i="1"/>
  <c r="S1758" i="1"/>
  <c r="S1757" i="1"/>
  <c r="S1756" i="1"/>
  <c r="S1755" i="1"/>
  <c r="S1754" i="1"/>
  <c r="S1753" i="1"/>
  <c r="S1752" i="1"/>
  <c r="S1751" i="1"/>
  <c r="S1750" i="1"/>
  <c r="S1749" i="1"/>
  <c r="S1748" i="1"/>
  <c r="S1747" i="1"/>
  <c r="S1746" i="1"/>
  <c r="S1745" i="1"/>
  <c r="S1744" i="1"/>
  <c r="S1743" i="1"/>
  <c r="S1742" i="1"/>
  <c r="S1741" i="1"/>
  <c r="S1740" i="1"/>
  <c r="S1739" i="1"/>
  <c r="S1738" i="1"/>
  <c r="S1737" i="1"/>
  <c r="S1736" i="1"/>
  <c r="S1735" i="1"/>
  <c r="S1734" i="1"/>
  <c r="S1733" i="1"/>
  <c r="S1732" i="1"/>
  <c r="S1731" i="1"/>
  <c r="S1730" i="1"/>
  <c r="S1729" i="1"/>
  <c r="S1728" i="1"/>
  <c r="S1727" i="1"/>
  <c r="S1726" i="1"/>
  <c r="S1725" i="1"/>
  <c r="S1724" i="1"/>
  <c r="S1723" i="1"/>
  <c r="S1722" i="1"/>
  <c r="S1721" i="1"/>
  <c r="S1720" i="1"/>
  <c r="S1719" i="1"/>
  <c r="S1718" i="1"/>
  <c r="S1717" i="1"/>
  <c r="S1716" i="1"/>
  <c r="S1715" i="1"/>
  <c r="S1714" i="1"/>
  <c r="S1713" i="1"/>
  <c r="S1712" i="1"/>
  <c r="S1711" i="1"/>
  <c r="S1710" i="1"/>
  <c r="S1709" i="1"/>
  <c r="S1708" i="1"/>
  <c r="S1707" i="1"/>
  <c r="S1706" i="1"/>
  <c r="S1705" i="1"/>
  <c r="S1704" i="1"/>
  <c r="S1703" i="1"/>
  <c r="S1702" i="1"/>
  <c r="S1701" i="1"/>
  <c r="S1700" i="1"/>
  <c r="S1699" i="1"/>
  <c r="S1698" i="1"/>
  <c r="S1697" i="1"/>
  <c r="S1696" i="1"/>
  <c r="S1695" i="1"/>
  <c r="S1694" i="1"/>
  <c r="S1693" i="1"/>
  <c r="S1692" i="1"/>
  <c r="S1691" i="1"/>
  <c r="S1690" i="1"/>
  <c r="S1689" i="1"/>
  <c r="S1688" i="1"/>
  <c r="S1687" i="1"/>
  <c r="S1686" i="1"/>
  <c r="S1685" i="1"/>
  <c r="S1684" i="1"/>
  <c r="S1683" i="1"/>
  <c r="S1682" i="1"/>
  <c r="S1681" i="1"/>
  <c r="S1680" i="1"/>
  <c r="S1679" i="1"/>
  <c r="S1678" i="1"/>
  <c r="S1677" i="1"/>
  <c r="S1676" i="1"/>
  <c r="S1675" i="1"/>
  <c r="S1674" i="1"/>
  <c r="S1673" i="1"/>
  <c r="S1672" i="1"/>
  <c r="S1671" i="1"/>
  <c r="S1670" i="1"/>
  <c r="S1669" i="1"/>
  <c r="S1668" i="1"/>
  <c r="S1667" i="1"/>
  <c r="S1666" i="1"/>
  <c r="S1665" i="1"/>
  <c r="S1664" i="1"/>
  <c r="S1663" i="1"/>
  <c r="S1662" i="1"/>
  <c r="S1661" i="1"/>
  <c r="S1660" i="1"/>
  <c r="S1659" i="1"/>
  <c r="S1658" i="1"/>
  <c r="S1657" i="1"/>
  <c r="S1656" i="1"/>
  <c r="S1655" i="1"/>
  <c r="S1654" i="1"/>
  <c r="S1653" i="1"/>
  <c r="S1652" i="1"/>
  <c r="S1651" i="1"/>
  <c r="S1650" i="1"/>
  <c r="S1649" i="1"/>
  <c r="S1648" i="1"/>
  <c r="S1647" i="1"/>
  <c r="S1646" i="1"/>
  <c r="S1645" i="1"/>
  <c r="S1644" i="1"/>
  <c r="S1643" i="1"/>
  <c r="S1642" i="1"/>
  <c r="S1641" i="1"/>
  <c r="S1640" i="1"/>
  <c r="S1639" i="1"/>
  <c r="S1638" i="1"/>
  <c r="S1637" i="1"/>
  <c r="S1636" i="1"/>
  <c r="S1635" i="1"/>
  <c r="S1634" i="1"/>
  <c r="S1633" i="1"/>
  <c r="S1632" i="1"/>
  <c r="S1631" i="1"/>
  <c r="S1630" i="1"/>
  <c r="S1629" i="1"/>
  <c r="S1628" i="1"/>
  <c r="S1627" i="1"/>
  <c r="S1626" i="1"/>
  <c r="S1625" i="1"/>
  <c r="S1624" i="1"/>
  <c r="S1623" i="1"/>
  <c r="S1622" i="1"/>
  <c r="S1621" i="1"/>
  <c r="S1620" i="1"/>
  <c r="S1619" i="1"/>
  <c r="S1618" i="1"/>
  <c r="S1617" i="1"/>
  <c r="S1616" i="1"/>
  <c r="S1615" i="1"/>
  <c r="S1614" i="1"/>
  <c r="S1613" i="1"/>
  <c r="S1612" i="1"/>
  <c r="S1611" i="1"/>
  <c r="S1610" i="1"/>
  <c r="S1609" i="1"/>
  <c r="S1608" i="1"/>
  <c r="S1607" i="1"/>
  <c r="S1606" i="1"/>
  <c r="S1605" i="1"/>
  <c r="S1604" i="1"/>
  <c r="S1603" i="1"/>
  <c r="S1602" i="1"/>
  <c r="S1601" i="1"/>
  <c r="S1600" i="1"/>
  <c r="S1599" i="1"/>
  <c r="S1598" i="1"/>
  <c r="S1597" i="1"/>
  <c r="S1596" i="1"/>
  <c r="S1595" i="1"/>
  <c r="S1594" i="1"/>
  <c r="S1593" i="1"/>
  <c r="S1592" i="1"/>
  <c r="S1591" i="1"/>
  <c r="S1590" i="1"/>
  <c r="S1589" i="1"/>
  <c r="S1588" i="1"/>
  <c r="S1587" i="1"/>
  <c r="S1586" i="1"/>
  <c r="S1585" i="1"/>
  <c r="S1584" i="1"/>
  <c r="S1583" i="1"/>
  <c r="S1582" i="1"/>
  <c r="S1581" i="1"/>
  <c r="S1580" i="1"/>
  <c r="S1579" i="1"/>
  <c r="S1578" i="1"/>
  <c r="S1577" i="1"/>
  <c r="S1576" i="1"/>
  <c r="S1575" i="1"/>
  <c r="S1574" i="1"/>
  <c r="S1573" i="1"/>
  <c r="S1572" i="1"/>
  <c r="S1571" i="1"/>
  <c r="S1570" i="1"/>
  <c r="S1569" i="1"/>
  <c r="S1568" i="1"/>
  <c r="S1567" i="1"/>
  <c r="S1566" i="1"/>
  <c r="S1565" i="1"/>
  <c r="S1564" i="1"/>
  <c r="S1563" i="1"/>
  <c r="S1562" i="1"/>
  <c r="S1561" i="1"/>
  <c r="S1560" i="1"/>
  <c r="S1559" i="1"/>
  <c r="S1558" i="1"/>
  <c r="S1557" i="1"/>
  <c r="S1556" i="1"/>
  <c r="S1555" i="1"/>
  <c r="S1554" i="1"/>
  <c r="S1553" i="1"/>
  <c r="S1552" i="1"/>
  <c r="S1551" i="1"/>
  <c r="S1550" i="1"/>
  <c r="S1549" i="1"/>
  <c r="S1548" i="1"/>
  <c r="S1547" i="1"/>
  <c r="S1546" i="1"/>
  <c r="S1545" i="1"/>
  <c r="S1544" i="1"/>
  <c r="S1543" i="1"/>
  <c r="S1542" i="1"/>
  <c r="S1541" i="1"/>
  <c r="S1540" i="1"/>
  <c r="S1539" i="1"/>
  <c r="S1538" i="1"/>
  <c r="S1537" i="1"/>
  <c r="S1536" i="1"/>
  <c r="S1535" i="1"/>
  <c r="S1534" i="1"/>
  <c r="S1533" i="1"/>
  <c r="S1532" i="1"/>
  <c r="S1531" i="1"/>
  <c r="S1530" i="1"/>
  <c r="S1529" i="1"/>
  <c r="S1528" i="1"/>
  <c r="S1527" i="1"/>
  <c r="S1526" i="1"/>
  <c r="S1525" i="1"/>
  <c r="S1524" i="1"/>
  <c r="S1523" i="1"/>
  <c r="S1522" i="1"/>
  <c r="S1521" i="1"/>
  <c r="S1520" i="1"/>
  <c r="S1519" i="1"/>
  <c r="S1518" i="1"/>
  <c r="S1517" i="1"/>
  <c r="S1516" i="1"/>
  <c r="S1515" i="1"/>
  <c r="S1514" i="1"/>
  <c r="S1513" i="1"/>
  <c r="S1512" i="1"/>
  <c r="S1511" i="1"/>
  <c r="S1510" i="1"/>
  <c r="S1509" i="1"/>
  <c r="S1508" i="1"/>
  <c r="S1507" i="1"/>
  <c r="S1506" i="1"/>
  <c r="S1505" i="1"/>
  <c r="S1504" i="1"/>
  <c r="S1503" i="1"/>
  <c r="S1502" i="1"/>
  <c r="S1501" i="1"/>
  <c r="S1500" i="1"/>
  <c r="S1499" i="1"/>
  <c r="S1498" i="1"/>
  <c r="S1497" i="1"/>
  <c r="S1496" i="1"/>
  <c r="S1495" i="1"/>
  <c r="S1494" i="1"/>
  <c r="S1493" i="1"/>
  <c r="S1492" i="1"/>
  <c r="S1491" i="1"/>
  <c r="S1490" i="1"/>
  <c r="S1489" i="1"/>
  <c r="S1488" i="1"/>
  <c r="S1487" i="1"/>
  <c r="S1486" i="1"/>
  <c r="S1485" i="1"/>
  <c r="S1484" i="1"/>
  <c r="S1483" i="1"/>
  <c r="S1482" i="1"/>
  <c r="S1481" i="1"/>
  <c r="S1480" i="1"/>
  <c r="S1479" i="1"/>
  <c r="S1478" i="1"/>
  <c r="S1477" i="1"/>
  <c r="S1476" i="1"/>
  <c r="S1475" i="1"/>
  <c r="S1474" i="1"/>
  <c r="S1473" i="1"/>
  <c r="S1472" i="1"/>
  <c r="S1471" i="1"/>
  <c r="S1470" i="1"/>
  <c r="S1469" i="1"/>
  <c r="S1468" i="1"/>
  <c r="S1467" i="1"/>
  <c r="S1466" i="1"/>
  <c r="S1465" i="1"/>
  <c r="S1464" i="1"/>
  <c r="S1463" i="1"/>
  <c r="S1462" i="1"/>
  <c r="S1461" i="1"/>
  <c r="S1460" i="1"/>
  <c r="S1459" i="1"/>
  <c r="S1458" i="1"/>
  <c r="S1457" i="1"/>
  <c r="S1456" i="1"/>
  <c r="S1455" i="1"/>
  <c r="S1454" i="1"/>
  <c r="S1453" i="1"/>
  <c r="S1452" i="1"/>
  <c r="S1451" i="1"/>
  <c r="S1450" i="1"/>
  <c r="S1449" i="1"/>
  <c r="S1448" i="1"/>
  <c r="S1447" i="1"/>
  <c r="S1446" i="1"/>
  <c r="S1445" i="1"/>
  <c r="S1444" i="1"/>
  <c r="S1443" i="1"/>
  <c r="S1442" i="1"/>
  <c r="S1441" i="1"/>
  <c r="S1440" i="1"/>
  <c r="S1439" i="1"/>
  <c r="S1438" i="1"/>
  <c r="S1437" i="1"/>
  <c r="S1436" i="1"/>
  <c r="S1435" i="1"/>
  <c r="S1434" i="1"/>
  <c r="S1433" i="1"/>
  <c r="S1432" i="1"/>
  <c r="S1431" i="1"/>
  <c r="S1430" i="1"/>
  <c r="S1429" i="1"/>
  <c r="S1428" i="1"/>
  <c r="S1427" i="1"/>
  <c r="S1426" i="1"/>
  <c r="S1425" i="1"/>
  <c r="S1424" i="1"/>
  <c r="S1423" i="1"/>
  <c r="S1422" i="1"/>
  <c r="S1421" i="1"/>
  <c r="S1420" i="1"/>
  <c r="S1419" i="1"/>
  <c r="S1418" i="1"/>
  <c r="S1417" i="1"/>
  <c r="S1416" i="1"/>
  <c r="S1415" i="1"/>
  <c r="S1414" i="1"/>
  <c r="S1413" i="1"/>
  <c r="S1412" i="1"/>
  <c r="S1411" i="1"/>
  <c r="S1410" i="1"/>
  <c r="S1409" i="1"/>
  <c r="S1408" i="1"/>
  <c r="S1407" i="1"/>
  <c r="S1406" i="1"/>
  <c r="S1405" i="1"/>
  <c r="S1404" i="1"/>
  <c r="S1403" i="1"/>
  <c r="S1402" i="1"/>
  <c r="S1401" i="1"/>
  <c r="S1400" i="1"/>
  <c r="S1399" i="1"/>
  <c r="S1398" i="1"/>
  <c r="S1397" i="1"/>
  <c r="S1396" i="1"/>
  <c r="S1395" i="1"/>
  <c r="S1394" i="1"/>
  <c r="S1393" i="1"/>
  <c r="S1392" i="1"/>
  <c r="S1391" i="1"/>
  <c r="S1390" i="1"/>
  <c r="S1389" i="1"/>
  <c r="S1388" i="1"/>
  <c r="S1387" i="1"/>
  <c r="S1386" i="1"/>
  <c r="S1385" i="1"/>
  <c r="S1384" i="1"/>
  <c r="S1383" i="1"/>
  <c r="S1382" i="1"/>
  <c r="S1381" i="1"/>
  <c r="S1380" i="1"/>
  <c r="S1379" i="1"/>
  <c r="S1378" i="1"/>
  <c r="S1377" i="1"/>
  <c r="S1376" i="1"/>
  <c r="S1375" i="1"/>
  <c r="S1374" i="1"/>
  <c r="S1373" i="1"/>
  <c r="S1372" i="1"/>
  <c r="S1371" i="1"/>
  <c r="S1370" i="1"/>
  <c r="S1369" i="1"/>
  <c r="S1368" i="1"/>
  <c r="S1367" i="1"/>
  <c r="S1366" i="1"/>
  <c r="S1365" i="1"/>
  <c r="S1364" i="1"/>
  <c r="S1363" i="1"/>
  <c r="S1362" i="1"/>
  <c r="S1361" i="1"/>
  <c r="S1360" i="1"/>
  <c r="S1359" i="1"/>
  <c r="S1358" i="1"/>
  <c r="S1357" i="1"/>
  <c r="S1356" i="1"/>
  <c r="S1355" i="1"/>
  <c r="S1354" i="1"/>
  <c r="S1353" i="1"/>
  <c r="S1352" i="1"/>
  <c r="S1351" i="1"/>
  <c r="S1350" i="1"/>
  <c r="S1349" i="1"/>
  <c r="S1348" i="1"/>
  <c r="S1347" i="1"/>
  <c r="S1346" i="1"/>
  <c r="S1345" i="1"/>
  <c r="S1344" i="1"/>
  <c r="S1343" i="1"/>
  <c r="S1342" i="1"/>
  <c r="S1341" i="1"/>
  <c r="S1340" i="1"/>
  <c r="S1339" i="1"/>
  <c r="S1338" i="1"/>
  <c r="S1337" i="1"/>
  <c r="S1336" i="1"/>
  <c r="S1335" i="1"/>
  <c r="S1334" i="1"/>
  <c r="S1333" i="1"/>
  <c r="S1332" i="1"/>
  <c r="S1331" i="1"/>
  <c r="S1330" i="1"/>
  <c r="S1329" i="1"/>
  <c r="S1328" i="1"/>
  <c r="S1327" i="1"/>
  <c r="S1326" i="1"/>
  <c r="S1325" i="1"/>
  <c r="S1324" i="1"/>
  <c r="S1323" i="1"/>
  <c r="S1322" i="1"/>
  <c r="S1321" i="1"/>
  <c r="S1320" i="1"/>
  <c r="S1319" i="1"/>
  <c r="S1318" i="1"/>
  <c r="S1317" i="1"/>
  <c r="S1316" i="1"/>
  <c r="S1315" i="1"/>
  <c r="S1314" i="1"/>
  <c r="S1313" i="1"/>
  <c r="S1312" i="1"/>
  <c r="S1311" i="1"/>
  <c r="S1310" i="1"/>
  <c r="S1309" i="1"/>
  <c r="S1308" i="1"/>
  <c r="S1307" i="1"/>
  <c r="S1306" i="1"/>
  <c r="S1305" i="1"/>
  <c r="S1304" i="1"/>
  <c r="S1303" i="1"/>
  <c r="S1302" i="1"/>
  <c r="S1301" i="1"/>
  <c r="S1300" i="1"/>
  <c r="S1299" i="1"/>
  <c r="S1298" i="1"/>
  <c r="S1297" i="1"/>
  <c r="S1296" i="1"/>
  <c r="S1295" i="1"/>
  <c r="S1294" i="1"/>
  <c r="S1293" i="1"/>
  <c r="S1292" i="1"/>
  <c r="S1291" i="1"/>
  <c r="S1290" i="1"/>
  <c r="S1289" i="1"/>
  <c r="S1288" i="1"/>
  <c r="S1287" i="1"/>
  <c r="S1286" i="1"/>
  <c r="S1285" i="1"/>
  <c r="S1284" i="1"/>
  <c r="S1283" i="1"/>
  <c r="S1282" i="1"/>
  <c r="S1281" i="1"/>
  <c r="S1280" i="1"/>
  <c r="S1279" i="1"/>
  <c r="S1278" i="1"/>
  <c r="S1277" i="1"/>
  <c r="S1276" i="1"/>
  <c r="S1275" i="1"/>
  <c r="S1274" i="1"/>
  <c r="S1273" i="1"/>
  <c r="S1272" i="1"/>
  <c r="S1271" i="1"/>
  <c r="S1270" i="1"/>
  <c r="S1269" i="1"/>
  <c r="S1268" i="1"/>
  <c r="S1267" i="1"/>
  <c r="S1266" i="1"/>
  <c r="S1265" i="1"/>
  <c r="S1264" i="1"/>
  <c r="S1263" i="1"/>
  <c r="S1262" i="1"/>
  <c r="S1261" i="1"/>
  <c r="S1260" i="1"/>
  <c r="S1259" i="1"/>
  <c r="S1258" i="1"/>
  <c r="S1257" i="1"/>
  <c r="S1256" i="1"/>
  <c r="S1255" i="1"/>
  <c r="S1254" i="1"/>
  <c r="S1253" i="1"/>
  <c r="S1252" i="1"/>
  <c r="S1251" i="1"/>
  <c r="S1250" i="1"/>
  <c r="S1249" i="1"/>
  <c r="S1248" i="1"/>
  <c r="S1247" i="1"/>
  <c r="S1246" i="1"/>
  <c r="S1245" i="1"/>
  <c r="S1244" i="1"/>
  <c r="S1243" i="1"/>
  <c r="S1242" i="1"/>
  <c r="S1241" i="1"/>
  <c r="S1240" i="1"/>
  <c r="S1239" i="1"/>
  <c r="S1238" i="1"/>
  <c r="S1237" i="1"/>
  <c r="S1236" i="1"/>
  <c r="S1235" i="1"/>
  <c r="S1234" i="1"/>
  <c r="S1233" i="1"/>
  <c r="S1232" i="1"/>
  <c r="S1231" i="1"/>
  <c r="S1230" i="1"/>
  <c r="S1229" i="1"/>
  <c r="S1228" i="1"/>
  <c r="S1227" i="1"/>
  <c r="S1226" i="1"/>
  <c r="S1225" i="1"/>
  <c r="S1224" i="1"/>
  <c r="S1223" i="1"/>
  <c r="S1222" i="1"/>
  <c r="S1221" i="1"/>
  <c r="S1220" i="1"/>
  <c r="S1219" i="1"/>
  <c r="S1218" i="1"/>
  <c r="S1217" i="1"/>
  <c r="S1216" i="1"/>
  <c r="S1215" i="1"/>
  <c r="S1214" i="1"/>
  <c r="S1213" i="1"/>
  <c r="S1212" i="1"/>
  <c r="S1211" i="1"/>
  <c r="S1210" i="1"/>
  <c r="S1209" i="1"/>
  <c r="S1208" i="1"/>
  <c r="S1207" i="1"/>
  <c r="S1206" i="1"/>
  <c r="S1205" i="1"/>
  <c r="S1204" i="1"/>
  <c r="S1203" i="1"/>
  <c r="S1202" i="1"/>
  <c r="S1201" i="1"/>
  <c r="S1200" i="1"/>
  <c r="S1199" i="1"/>
  <c r="S1198" i="1"/>
  <c r="S1197" i="1"/>
  <c r="S1196" i="1"/>
  <c r="S1195" i="1"/>
  <c r="S1194" i="1"/>
  <c r="S1193" i="1"/>
  <c r="S1192" i="1"/>
  <c r="S1191" i="1"/>
  <c r="S1190" i="1"/>
  <c r="S1189" i="1"/>
  <c r="S1188" i="1"/>
  <c r="S1187" i="1"/>
  <c r="S1186" i="1"/>
  <c r="S1185" i="1"/>
  <c r="S1184" i="1"/>
  <c r="S1183" i="1"/>
  <c r="S1182" i="1"/>
  <c r="S1181" i="1"/>
  <c r="S1180" i="1"/>
  <c r="S1179" i="1"/>
  <c r="S1178" i="1"/>
  <c r="S1177" i="1"/>
  <c r="S1176" i="1"/>
  <c r="S1175" i="1"/>
  <c r="S1174" i="1"/>
  <c r="S1173" i="1"/>
  <c r="S1172" i="1"/>
  <c r="S1171" i="1"/>
  <c r="S1170" i="1"/>
  <c r="S1169" i="1"/>
  <c r="S1168" i="1"/>
  <c r="S1167" i="1"/>
  <c r="S1166" i="1"/>
  <c r="S1165" i="1"/>
  <c r="S1164" i="1"/>
  <c r="S1163" i="1"/>
  <c r="S1162" i="1"/>
  <c r="S1161" i="1"/>
  <c r="S1160" i="1"/>
  <c r="S1159" i="1"/>
  <c r="S1158" i="1"/>
  <c r="S1157" i="1"/>
  <c r="S1156" i="1"/>
  <c r="S1155" i="1"/>
  <c r="S1154" i="1"/>
  <c r="S1153" i="1"/>
  <c r="S1152" i="1"/>
  <c r="S1151" i="1"/>
  <c r="S1150" i="1"/>
  <c r="S1149" i="1"/>
  <c r="S1148" i="1"/>
  <c r="S1147" i="1"/>
  <c r="S1146" i="1"/>
  <c r="S1145" i="1"/>
  <c r="S1144" i="1"/>
  <c r="S1143" i="1"/>
  <c r="S1142" i="1"/>
  <c r="S1141" i="1"/>
  <c r="S1140" i="1"/>
  <c r="S1139" i="1"/>
  <c r="S1138" i="1"/>
  <c r="S1137" i="1"/>
  <c r="S1136" i="1"/>
  <c r="S1135" i="1"/>
  <c r="S1134" i="1"/>
  <c r="S1133" i="1"/>
  <c r="S1132" i="1"/>
  <c r="S1131" i="1"/>
  <c r="S1130" i="1"/>
  <c r="S1129" i="1"/>
  <c r="S1128" i="1"/>
  <c r="S1127" i="1"/>
  <c r="S1126" i="1"/>
  <c r="S1125" i="1"/>
  <c r="S1124" i="1"/>
  <c r="S1123" i="1"/>
  <c r="S1122" i="1"/>
  <c r="S1121" i="1"/>
  <c r="S1120" i="1"/>
  <c r="S1119" i="1"/>
  <c r="S1118" i="1"/>
  <c r="S1117" i="1"/>
  <c r="S1116" i="1"/>
  <c r="S1115" i="1"/>
  <c r="S1114" i="1"/>
  <c r="S1113" i="1"/>
  <c r="S1112" i="1"/>
  <c r="S1111" i="1"/>
  <c r="S1110" i="1"/>
  <c r="S1109" i="1"/>
  <c r="S1108" i="1"/>
  <c r="S1107" i="1"/>
  <c r="S1106" i="1"/>
  <c r="S1105" i="1"/>
  <c r="S1104" i="1"/>
  <c r="S1103" i="1"/>
  <c r="S1102" i="1"/>
  <c r="S1101" i="1"/>
  <c r="S1100" i="1"/>
  <c r="S1099" i="1"/>
  <c r="S1098" i="1"/>
  <c r="S1097" i="1"/>
  <c r="S1096" i="1"/>
  <c r="S1095" i="1"/>
  <c r="S1094" i="1"/>
  <c r="S1093" i="1"/>
  <c r="S1092" i="1"/>
  <c r="S1091" i="1"/>
  <c r="S1090" i="1"/>
  <c r="S1089" i="1"/>
  <c r="S1088" i="1"/>
  <c r="S1087" i="1"/>
  <c r="S1086" i="1"/>
  <c r="S1085" i="1"/>
  <c r="S1084" i="1"/>
  <c r="S1083" i="1"/>
  <c r="S1082" i="1"/>
  <c r="S1081" i="1"/>
  <c r="S1080" i="1"/>
  <c r="S1079" i="1"/>
  <c r="S1078" i="1"/>
  <c r="S1077" i="1"/>
  <c r="S1076" i="1"/>
  <c r="S1075" i="1"/>
  <c r="S1074" i="1"/>
  <c r="S1073" i="1"/>
  <c r="S1072" i="1"/>
  <c r="S1071" i="1"/>
  <c r="S1070" i="1"/>
  <c r="S1069" i="1"/>
  <c r="S1068" i="1"/>
  <c r="S1067" i="1"/>
  <c r="S1066" i="1"/>
  <c r="S1065" i="1"/>
  <c r="S1064" i="1"/>
  <c r="S1063" i="1"/>
  <c r="S1062" i="1"/>
  <c r="S1061" i="1"/>
  <c r="S1060" i="1"/>
  <c r="S1059" i="1"/>
  <c r="S1058" i="1"/>
  <c r="S1057" i="1"/>
  <c r="S1056" i="1"/>
  <c r="S1055" i="1"/>
  <c r="S1054" i="1"/>
  <c r="S1053" i="1"/>
  <c r="S1052" i="1"/>
  <c r="S1051" i="1"/>
  <c r="S1050" i="1"/>
  <c r="S1049" i="1"/>
  <c r="S1048" i="1"/>
  <c r="S1047" i="1"/>
  <c r="S1046" i="1"/>
  <c r="S1045" i="1"/>
  <c r="S1044" i="1"/>
  <c r="S1043" i="1"/>
  <c r="S1042" i="1"/>
  <c r="S1041" i="1"/>
  <c r="S1040" i="1"/>
  <c r="S1039" i="1"/>
  <c r="S1038" i="1"/>
  <c r="S1037" i="1"/>
  <c r="S1036" i="1"/>
  <c r="S1035" i="1"/>
  <c r="S1034" i="1"/>
  <c r="S1033" i="1"/>
  <c r="S1032" i="1"/>
  <c r="S1031" i="1"/>
  <c r="S1030" i="1"/>
  <c r="S1029" i="1"/>
  <c r="S1028" i="1"/>
  <c r="S1027" i="1"/>
  <c r="S1026" i="1"/>
  <c r="S1025" i="1"/>
  <c r="S1024" i="1"/>
  <c r="S1023" i="1"/>
  <c r="S1022" i="1"/>
  <c r="S1021" i="1"/>
  <c r="S1020" i="1"/>
  <c r="S1019" i="1"/>
  <c r="S1018" i="1"/>
  <c r="S1017" i="1"/>
  <c r="S1016" i="1"/>
  <c r="S1015" i="1"/>
  <c r="S1014" i="1"/>
  <c r="S1013" i="1"/>
  <c r="S1012" i="1"/>
  <c r="S1011" i="1"/>
  <c r="S1010" i="1"/>
  <c r="S1009" i="1"/>
  <c r="S1008" i="1"/>
  <c r="S1007" i="1"/>
  <c r="S1006" i="1"/>
  <c r="S1005" i="1"/>
  <c r="S1004" i="1"/>
  <c r="S1003" i="1"/>
  <c r="S1002" i="1"/>
  <c r="S1001" i="1"/>
  <c r="S1000" i="1"/>
  <c r="S999" i="1"/>
  <c r="S998" i="1"/>
  <c r="S997" i="1"/>
  <c r="S996" i="1"/>
  <c r="S995" i="1"/>
  <c r="S994" i="1"/>
  <c r="S993" i="1"/>
  <c r="S992" i="1"/>
  <c r="S991" i="1"/>
  <c r="S990" i="1"/>
  <c r="S989" i="1"/>
  <c r="S988" i="1"/>
  <c r="S987" i="1"/>
  <c r="S986" i="1"/>
  <c r="S985" i="1"/>
  <c r="S984" i="1"/>
  <c r="S983" i="1"/>
  <c r="S982" i="1"/>
  <c r="S981" i="1"/>
  <c r="S980" i="1"/>
  <c r="S979" i="1"/>
  <c r="S978" i="1"/>
  <c r="S977" i="1"/>
  <c r="S976" i="1"/>
  <c r="S975" i="1"/>
  <c r="S974" i="1"/>
  <c r="S973" i="1"/>
  <c r="S972" i="1"/>
  <c r="S971" i="1"/>
  <c r="S970" i="1"/>
  <c r="S969" i="1"/>
  <c r="S968" i="1"/>
  <c r="S967" i="1"/>
  <c r="S966" i="1"/>
  <c r="S965" i="1"/>
  <c r="S964" i="1"/>
  <c r="S963" i="1"/>
  <c r="S962" i="1"/>
  <c r="S961" i="1"/>
  <c r="S960" i="1"/>
  <c r="S959" i="1"/>
  <c r="S958" i="1"/>
  <c r="S957" i="1"/>
  <c r="S956" i="1"/>
  <c r="S955" i="1"/>
  <c r="S954" i="1"/>
  <c r="S953" i="1"/>
  <c r="S952" i="1"/>
  <c r="S951" i="1"/>
  <c r="S950" i="1"/>
  <c r="S949" i="1"/>
  <c r="S948" i="1"/>
  <c r="S947" i="1"/>
  <c r="S946" i="1"/>
  <c r="S945" i="1"/>
  <c r="S944" i="1"/>
  <c r="S943" i="1"/>
  <c r="S942" i="1"/>
  <c r="S941" i="1"/>
  <c r="S940" i="1"/>
  <c r="S939" i="1"/>
  <c r="S938" i="1"/>
  <c r="S937" i="1"/>
  <c r="S936" i="1"/>
  <c r="S935" i="1"/>
  <c r="S934" i="1"/>
  <c r="S933" i="1"/>
  <c r="S932" i="1"/>
  <c r="S931" i="1"/>
  <c r="S930" i="1"/>
  <c r="S929" i="1"/>
  <c r="S928" i="1"/>
  <c r="S927" i="1"/>
  <c r="S926" i="1"/>
  <c r="S925" i="1"/>
  <c r="S924" i="1"/>
  <c r="S923" i="1"/>
  <c r="S922" i="1"/>
  <c r="S921" i="1"/>
  <c r="S920" i="1"/>
  <c r="S919" i="1"/>
  <c r="S918" i="1"/>
  <c r="S917" i="1"/>
  <c r="S916" i="1"/>
  <c r="S915" i="1"/>
  <c r="S914" i="1"/>
  <c r="S913" i="1"/>
  <c r="S912" i="1"/>
  <c r="S911" i="1"/>
  <c r="S910" i="1"/>
  <c r="S909" i="1"/>
  <c r="S908" i="1"/>
  <c r="S907" i="1"/>
  <c r="S906" i="1"/>
  <c r="S905" i="1"/>
  <c r="S904" i="1"/>
  <c r="S903" i="1"/>
  <c r="S902" i="1"/>
  <c r="S901" i="1"/>
  <c r="S900" i="1"/>
  <c r="S899" i="1"/>
  <c r="S898" i="1"/>
  <c r="S897" i="1"/>
  <c r="S896" i="1"/>
  <c r="S895" i="1"/>
  <c r="S894" i="1"/>
  <c r="S893" i="1"/>
  <c r="S892" i="1"/>
  <c r="S891" i="1"/>
  <c r="S890" i="1"/>
  <c r="S889" i="1"/>
  <c r="S888" i="1"/>
  <c r="S887" i="1"/>
  <c r="S886" i="1"/>
  <c r="S885" i="1"/>
  <c r="S884" i="1"/>
  <c r="S883" i="1"/>
  <c r="S882" i="1"/>
  <c r="S881" i="1"/>
  <c r="S880" i="1"/>
  <c r="S879" i="1"/>
  <c r="S878" i="1"/>
  <c r="S877" i="1"/>
  <c r="S876" i="1"/>
  <c r="S875" i="1"/>
  <c r="S874" i="1"/>
  <c r="S873" i="1"/>
  <c r="S872" i="1"/>
  <c r="S871" i="1"/>
  <c r="S870" i="1"/>
  <c r="S869" i="1"/>
  <c r="S868" i="1"/>
  <c r="S867" i="1"/>
  <c r="S866" i="1"/>
  <c r="S865" i="1"/>
  <c r="S864" i="1"/>
  <c r="S863" i="1"/>
  <c r="S862" i="1"/>
  <c r="S861" i="1"/>
  <c r="S860" i="1"/>
  <c r="S859" i="1"/>
  <c r="S858" i="1"/>
  <c r="S857" i="1"/>
  <c r="S856" i="1"/>
  <c r="S855" i="1"/>
  <c r="S854" i="1"/>
  <c r="S853" i="1"/>
  <c r="S852" i="1"/>
  <c r="S851" i="1"/>
  <c r="S850" i="1"/>
  <c r="S849" i="1"/>
  <c r="S848" i="1"/>
  <c r="S847" i="1"/>
  <c r="S846" i="1"/>
  <c r="S845" i="1"/>
  <c r="S844" i="1"/>
  <c r="S843" i="1"/>
  <c r="S842" i="1"/>
  <c r="S841" i="1"/>
  <c r="S840" i="1"/>
  <c r="S839" i="1"/>
  <c r="S838" i="1"/>
  <c r="S837" i="1"/>
  <c r="S836" i="1"/>
  <c r="S835" i="1"/>
  <c r="S834" i="1"/>
  <c r="S833" i="1"/>
  <c r="S832" i="1"/>
  <c r="S831" i="1"/>
  <c r="S830" i="1"/>
  <c r="S829" i="1"/>
  <c r="S828" i="1"/>
  <c r="S827" i="1"/>
  <c r="S826" i="1"/>
  <c r="S825" i="1"/>
  <c r="S824" i="1"/>
  <c r="S823" i="1"/>
  <c r="S822" i="1"/>
  <c r="S821" i="1"/>
  <c r="S820" i="1"/>
  <c r="S819" i="1"/>
  <c r="S818" i="1"/>
  <c r="S817" i="1"/>
  <c r="S816" i="1"/>
  <c r="S815" i="1"/>
  <c r="S814" i="1"/>
  <c r="S813" i="1"/>
  <c r="S812" i="1"/>
  <c r="S811" i="1"/>
  <c r="S810" i="1"/>
  <c r="S809" i="1"/>
  <c r="S808" i="1"/>
  <c r="S807" i="1"/>
  <c r="S806" i="1"/>
  <c r="S805" i="1"/>
  <c r="S804" i="1"/>
  <c r="S803" i="1"/>
  <c r="S802" i="1"/>
  <c r="S801" i="1"/>
  <c r="S800" i="1"/>
  <c r="S799" i="1"/>
  <c r="S798" i="1"/>
  <c r="S797" i="1"/>
  <c r="S796" i="1"/>
  <c r="S795" i="1"/>
  <c r="S794" i="1"/>
  <c r="S793" i="1"/>
  <c r="S792" i="1"/>
  <c r="S791" i="1"/>
  <c r="S790" i="1"/>
  <c r="S789" i="1"/>
  <c r="S788" i="1"/>
  <c r="S787" i="1"/>
  <c r="S786" i="1"/>
  <c r="S785" i="1"/>
  <c r="S784" i="1"/>
  <c r="S783" i="1"/>
  <c r="S782" i="1"/>
  <c r="S781" i="1"/>
  <c r="S780" i="1"/>
  <c r="S779" i="1"/>
  <c r="S778" i="1"/>
  <c r="S777" i="1"/>
  <c r="S776" i="1"/>
  <c r="S775" i="1"/>
  <c r="S774" i="1"/>
  <c r="S773" i="1"/>
  <c r="S772" i="1"/>
  <c r="S771" i="1"/>
  <c r="S770" i="1"/>
  <c r="S769" i="1"/>
  <c r="S768" i="1"/>
  <c r="S767" i="1"/>
  <c r="S766" i="1"/>
  <c r="S765" i="1"/>
  <c r="S764" i="1"/>
  <c r="S763" i="1"/>
  <c r="S762" i="1"/>
  <c r="S761" i="1"/>
  <c r="S760" i="1"/>
  <c r="S759" i="1"/>
  <c r="S758" i="1"/>
  <c r="S757" i="1"/>
  <c r="S756" i="1"/>
  <c r="S755" i="1"/>
  <c r="S754" i="1"/>
  <c r="S753" i="1"/>
  <c r="S752" i="1"/>
  <c r="S751" i="1"/>
  <c r="S750" i="1"/>
  <c r="S749" i="1"/>
  <c r="S748" i="1"/>
  <c r="S747" i="1"/>
  <c r="S746" i="1"/>
  <c r="S745" i="1"/>
  <c r="S744" i="1"/>
  <c r="S743" i="1"/>
  <c r="S742" i="1"/>
  <c r="S741" i="1"/>
  <c r="S740" i="1"/>
  <c r="S739" i="1"/>
  <c r="S738" i="1"/>
  <c r="S737" i="1"/>
  <c r="S736" i="1"/>
  <c r="S735" i="1"/>
  <c r="S734" i="1"/>
  <c r="S733" i="1"/>
  <c r="S732" i="1"/>
  <c r="S731" i="1"/>
  <c r="S730" i="1"/>
  <c r="S729" i="1"/>
  <c r="S728" i="1"/>
  <c r="S727" i="1"/>
  <c r="S726" i="1"/>
  <c r="S725" i="1"/>
  <c r="S724" i="1"/>
  <c r="S723" i="1"/>
  <c r="S722" i="1"/>
  <c r="S721" i="1"/>
  <c r="S720" i="1"/>
  <c r="S719" i="1"/>
  <c r="S718" i="1"/>
  <c r="S717" i="1"/>
  <c r="S716" i="1"/>
  <c r="S715" i="1"/>
  <c r="S714" i="1"/>
  <c r="S713" i="1"/>
  <c r="S712" i="1"/>
  <c r="S711" i="1"/>
  <c r="S710" i="1"/>
  <c r="S709" i="1"/>
  <c r="S708" i="1"/>
  <c r="S707" i="1"/>
  <c r="S706" i="1"/>
  <c r="S705" i="1"/>
  <c r="S704" i="1"/>
  <c r="S703" i="1"/>
  <c r="S702" i="1"/>
  <c r="S701" i="1"/>
  <c r="S700" i="1"/>
  <c r="S699" i="1"/>
  <c r="S698" i="1"/>
  <c r="S697" i="1"/>
  <c r="S696" i="1"/>
  <c r="S695" i="1"/>
  <c r="S694" i="1"/>
  <c r="S693" i="1"/>
  <c r="S692" i="1"/>
  <c r="S691" i="1"/>
  <c r="S690" i="1"/>
  <c r="S689" i="1"/>
  <c r="S688" i="1"/>
  <c r="S687" i="1"/>
  <c r="S686" i="1"/>
  <c r="S685" i="1"/>
  <c r="S684" i="1"/>
  <c r="S683" i="1"/>
  <c r="S682" i="1"/>
  <c r="S681" i="1"/>
  <c r="S680" i="1"/>
  <c r="S679" i="1"/>
  <c r="S678" i="1"/>
  <c r="S677" i="1"/>
  <c r="S676" i="1"/>
  <c r="S675" i="1"/>
  <c r="S674" i="1"/>
  <c r="S673" i="1"/>
  <c r="S672" i="1"/>
  <c r="S671" i="1"/>
  <c r="S670" i="1"/>
  <c r="S669" i="1"/>
  <c r="S668" i="1"/>
  <c r="S667" i="1"/>
  <c r="S666" i="1"/>
  <c r="S665" i="1"/>
  <c r="S664" i="1"/>
  <c r="S663" i="1"/>
  <c r="S662" i="1"/>
  <c r="S661" i="1"/>
  <c r="S660" i="1"/>
  <c r="S659" i="1"/>
  <c r="S658" i="1"/>
  <c r="S657" i="1"/>
  <c r="S656" i="1"/>
  <c r="S655" i="1"/>
  <c r="S654" i="1"/>
  <c r="S653" i="1"/>
  <c r="S652" i="1"/>
  <c r="S651" i="1"/>
  <c r="S650" i="1"/>
  <c r="S649" i="1"/>
  <c r="S648" i="1"/>
  <c r="S647" i="1"/>
  <c r="S646" i="1"/>
  <c r="S645" i="1"/>
  <c r="S644" i="1"/>
  <c r="S643" i="1"/>
  <c r="S642" i="1"/>
  <c r="S641" i="1"/>
  <c r="S640" i="1"/>
  <c r="S639" i="1"/>
  <c r="S638" i="1"/>
  <c r="S637" i="1"/>
  <c r="S636" i="1"/>
  <c r="S635" i="1"/>
  <c r="S634" i="1"/>
  <c r="S633" i="1"/>
  <c r="S632" i="1"/>
  <c r="S631" i="1"/>
  <c r="S630" i="1"/>
  <c r="S629" i="1"/>
  <c r="S628" i="1"/>
  <c r="S627" i="1"/>
  <c r="S626" i="1"/>
  <c r="S625" i="1"/>
  <c r="S624" i="1"/>
  <c r="S623" i="1"/>
  <c r="S622" i="1"/>
  <c r="S621" i="1"/>
  <c r="S620" i="1"/>
  <c r="S619" i="1"/>
  <c r="S618" i="1"/>
  <c r="S617" i="1"/>
  <c r="S616" i="1"/>
  <c r="S615" i="1"/>
  <c r="S614" i="1"/>
  <c r="S613" i="1"/>
  <c r="S612" i="1"/>
  <c r="S611" i="1"/>
  <c r="S610" i="1"/>
  <c r="S609" i="1"/>
  <c r="S608" i="1"/>
  <c r="S607" i="1"/>
  <c r="S606" i="1"/>
  <c r="S605" i="1"/>
  <c r="S604" i="1"/>
  <c r="S603" i="1"/>
  <c r="S602" i="1"/>
  <c r="S601" i="1"/>
  <c r="S600" i="1"/>
  <c r="S599" i="1"/>
  <c r="S598" i="1"/>
  <c r="S597" i="1"/>
  <c r="S596" i="1"/>
  <c r="S595" i="1"/>
  <c r="S594" i="1"/>
  <c r="S593" i="1"/>
  <c r="S592" i="1"/>
  <c r="S591" i="1"/>
  <c r="S590" i="1"/>
  <c r="S589" i="1"/>
  <c r="S588" i="1"/>
  <c r="S587" i="1"/>
  <c r="S586" i="1"/>
  <c r="S585" i="1"/>
  <c r="S584" i="1"/>
  <c r="S583" i="1"/>
  <c r="S582" i="1"/>
  <c r="S581" i="1"/>
  <c r="S580" i="1"/>
  <c r="S579" i="1"/>
  <c r="S578" i="1"/>
  <c r="S577" i="1"/>
  <c r="S576" i="1"/>
  <c r="S575" i="1"/>
  <c r="S574" i="1"/>
  <c r="S573" i="1"/>
  <c r="S572" i="1"/>
  <c r="S571" i="1"/>
  <c r="S570" i="1"/>
  <c r="S569" i="1"/>
  <c r="S568" i="1"/>
  <c r="S567" i="1"/>
  <c r="S566" i="1"/>
  <c r="S565" i="1"/>
  <c r="S564" i="1"/>
  <c r="S563" i="1"/>
  <c r="S562" i="1"/>
  <c r="S561" i="1"/>
  <c r="S560" i="1"/>
  <c r="S559" i="1"/>
  <c r="S558" i="1"/>
  <c r="S557" i="1"/>
  <c r="S556" i="1"/>
  <c r="S555" i="1"/>
  <c r="S554" i="1"/>
  <c r="S553" i="1"/>
  <c r="S552" i="1"/>
  <c r="S551" i="1"/>
  <c r="S550" i="1"/>
  <c r="S549" i="1"/>
  <c r="S548" i="1"/>
  <c r="S547" i="1"/>
  <c r="S546" i="1"/>
  <c r="S545" i="1"/>
  <c r="S544" i="1"/>
  <c r="S543" i="1"/>
  <c r="S542" i="1"/>
  <c r="S541" i="1"/>
  <c r="S540" i="1"/>
  <c r="S539" i="1"/>
  <c r="S538" i="1"/>
  <c r="S537" i="1"/>
  <c r="S536" i="1"/>
  <c r="S535" i="1"/>
  <c r="S534" i="1"/>
  <c r="S533" i="1"/>
  <c r="S532" i="1"/>
  <c r="S531" i="1"/>
  <c r="S530" i="1"/>
  <c r="S529" i="1"/>
  <c r="S528" i="1"/>
  <c r="S527" i="1"/>
  <c r="S526" i="1"/>
  <c r="S525" i="1"/>
  <c r="S524" i="1"/>
  <c r="S523" i="1"/>
  <c r="S522" i="1"/>
  <c r="S521" i="1"/>
  <c r="S520" i="1"/>
  <c r="S519" i="1"/>
  <c r="S518" i="1"/>
  <c r="S517" i="1"/>
  <c r="S516" i="1"/>
  <c r="S515" i="1"/>
  <c r="S514" i="1"/>
  <c r="S513" i="1"/>
  <c r="S512" i="1"/>
  <c r="S511" i="1"/>
  <c r="S510" i="1"/>
  <c r="S509" i="1"/>
  <c r="S508" i="1"/>
  <c r="S507" i="1"/>
  <c r="S506" i="1"/>
  <c r="S505" i="1"/>
  <c r="S504" i="1"/>
  <c r="S503" i="1"/>
  <c r="S502" i="1"/>
  <c r="S501" i="1"/>
  <c r="S500" i="1"/>
  <c r="S499" i="1"/>
  <c r="S498" i="1"/>
  <c r="S497" i="1"/>
  <c r="S496" i="1"/>
  <c r="S495" i="1"/>
  <c r="S494" i="1"/>
  <c r="S493" i="1"/>
  <c r="S492" i="1"/>
  <c r="S491" i="1"/>
  <c r="S490" i="1"/>
  <c r="S489" i="1"/>
  <c r="S488" i="1"/>
  <c r="S487" i="1"/>
  <c r="S486" i="1"/>
  <c r="S485" i="1"/>
  <c r="S484" i="1"/>
  <c r="S483" i="1"/>
  <c r="S482" i="1"/>
  <c r="S481" i="1"/>
  <c r="S480" i="1"/>
  <c r="S479" i="1"/>
  <c r="S478" i="1"/>
  <c r="S477" i="1"/>
  <c r="S476" i="1"/>
  <c r="S475" i="1"/>
  <c r="S474" i="1"/>
  <c r="S473" i="1"/>
  <c r="S472" i="1"/>
  <c r="S471" i="1"/>
  <c r="S470" i="1"/>
  <c r="S469" i="1"/>
  <c r="S468" i="1"/>
  <c r="S467" i="1"/>
  <c r="S466" i="1"/>
  <c r="S465" i="1"/>
  <c r="S464" i="1"/>
  <c r="S463" i="1"/>
  <c r="S462" i="1"/>
  <c r="S461" i="1"/>
  <c r="S460" i="1"/>
  <c r="S459" i="1"/>
  <c r="S458" i="1"/>
  <c r="S457" i="1"/>
  <c r="S456" i="1"/>
  <c r="S455" i="1"/>
  <c r="S454" i="1"/>
  <c r="S453" i="1"/>
  <c r="S452" i="1"/>
  <c r="S451" i="1"/>
  <c r="S449" i="1"/>
  <c r="S448" i="1"/>
  <c r="S447" i="1"/>
  <c r="S446" i="1"/>
  <c r="S445" i="1"/>
  <c r="S444" i="1"/>
  <c r="S443" i="1"/>
  <c r="S442" i="1"/>
  <c r="S441" i="1"/>
  <c r="S440" i="1"/>
  <c r="S439" i="1"/>
  <c r="S438" i="1"/>
  <c r="S437" i="1"/>
  <c r="S436" i="1"/>
  <c r="S435" i="1"/>
  <c r="S434" i="1"/>
  <c r="S433" i="1"/>
  <c r="S432" i="1"/>
  <c r="S431" i="1"/>
  <c r="S430" i="1"/>
  <c r="S429" i="1"/>
  <c r="S428" i="1"/>
  <c r="S427" i="1"/>
  <c r="S426" i="1"/>
  <c r="S425" i="1"/>
  <c r="S424" i="1"/>
  <c r="S423" i="1"/>
  <c r="S422" i="1"/>
  <c r="S421" i="1"/>
  <c r="S420" i="1"/>
  <c r="S419" i="1"/>
  <c r="S418" i="1"/>
  <c r="S417" i="1"/>
  <c r="S416" i="1"/>
  <c r="S415" i="1"/>
  <c r="S414" i="1"/>
  <c r="S413" i="1"/>
  <c r="S412" i="1"/>
  <c r="S411" i="1"/>
  <c r="S410" i="1"/>
  <c r="S409" i="1"/>
  <c r="S408" i="1"/>
  <c r="S407" i="1"/>
  <c r="S406" i="1"/>
  <c r="S405" i="1"/>
  <c r="S404" i="1"/>
  <c r="S403" i="1"/>
  <c r="S402" i="1"/>
  <c r="S401" i="1"/>
  <c r="S400" i="1"/>
  <c r="S399" i="1"/>
  <c r="S398" i="1"/>
  <c r="S397" i="1"/>
  <c r="S396" i="1"/>
  <c r="S395" i="1"/>
  <c r="S394" i="1"/>
  <c r="S393" i="1"/>
  <c r="S392" i="1"/>
  <c r="S391" i="1"/>
  <c r="S390" i="1"/>
  <c r="S389" i="1"/>
  <c r="S388" i="1"/>
  <c r="S387" i="1"/>
  <c r="S386" i="1"/>
  <c r="S385" i="1"/>
  <c r="S384" i="1"/>
  <c r="S383" i="1"/>
  <c r="S382" i="1"/>
  <c r="S381" i="1"/>
  <c r="S380" i="1"/>
  <c r="S379" i="1"/>
  <c r="S378" i="1"/>
  <c r="S377" i="1"/>
  <c r="S376" i="1"/>
  <c r="S375" i="1"/>
  <c r="S374" i="1"/>
  <c r="S373" i="1"/>
  <c r="S372" i="1"/>
  <c r="S371" i="1"/>
  <c r="S370" i="1"/>
  <c r="S369" i="1"/>
  <c r="S368" i="1"/>
  <c r="S367" i="1"/>
  <c r="S366" i="1"/>
  <c r="S365" i="1"/>
  <c r="S364" i="1"/>
  <c r="S363" i="1"/>
  <c r="S362" i="1"/>
  <c r="S361" i="1"/>
  <c r="S360" i="1"/>
  <c r="S359" i="1"/>
  <c r="S358" i="1"/>
  <c r="S357" i="1"/>
  <c r="S356" i="1"/>
  <c r="S355" i="1"/>
  <c r="S354" i="1"/>
  <c r="S353" i="1"/>
  <c r="S352" i="1"/>
  <c r="S351" i="1"/>
  <c r="S350" i="1"/>
  <c r="S349" i="1"/>
  <c r="S348" i="1"/>
  <c r="S347" i="1"/>
  <c r="S346" i="1"/>
  <c r="S345" i="1"/>
  <c r="S344" i="1"/>
  <c r="S343" i="1"/>
  <c r="S342" i="1"/>
  <c r="S341" i="1"/>
  <c r="S340" i="1"/>
  <c r="S339" i="1"/>
  <c r="S338" i="1"/>
  <c r="S337" i="1"/>
  <c r="S336" i="1"/>
  <c r="S335" i="1"/>
  <c r="S334" i="1"/>
  <c r="S333" i="1"/>
  <c r="S332" i="1"/>
  <c r="S331" i="1"/>
  <c r="S330" i="1"/>
  <c r="S329" i="1"/>
  <c r="S328" i="1"/>
  <c r="S327" i="1"/>
  <c r="S326" i="1"/>
  <c r="S325" i="1"/>
  <c r="S324" i="1"/>
  <c r="S323" i="1"/>
  <c r="S322" i="1"/>
  <c r="S321" i="1"/>
  <c r="S320" i="1"/>
  <c r="S319" i="1"/>
  <c r="S318" i="1"/>
  <c r="S317" i="1"/>
  <c r="S316" i="1"/>
  <c r="S315" i="1"/>
  <c r="S314" i="1"/>
  <c r="S313" i="1"/>
  <c r="S312" i="1"/>
  <c r="S311" i="1"/>
  <c r="S310" i="1"/>
  <c r="S309" i="1"/>
  <c r="S308" i="1"/>
  <c r="S307" i="1"/>
  <c r="S306" i="1"/>
  <c r="S305" i="1"/>
  <c r="S304" i="1"/>
  <c r="S303" i="1"/>
  <c r="S302" i="1"/>
  <c r="S301" i="1"/>
  <c r="S300" i="1"/>
  <c r="S299" i="1"/>
  <c r="S298" i="1"/>
  <c r="S297" i="1"/>
  <c r="S296" i="1"/>
  <c r="S295" i="1"/>
  <c r="S294" i="1"/>
  <c r="S293" i="1"/>
  <c r="S292" i="1"/>
  <c r="S291" i="1"/>
  <c r="S290" i="1"/>
  <c r="S289" i="1"/>
  <c r="S288" i="1"/>
  <c r="S287" i="1"/>
  <c r="S286" i="1"/>
  <c r="S285" i="1"/>
  <c r="S284" i="1"/>
  <c r="S283" i="1"/>
  <c r="S282" i="1"/>
  <c r="S281" i="1"/>
  <c r="S280" i="1"/>
  <c r="S279" i="1"/>
  <c r="S278" i="1"/>
  <c r="S277" i="1"/>
  <c r="S276" i="1"/>
  <c r="S275" i="1"/>
  <c r="S274" i="1"/>
  <c r="S273" i="1"/>
  <c r="S272" i="1"/>
  <c r="S271" i="1"/>
  <c r="S270" i="1"/>
  <c r="S269" i="1"/>
  <c r="S268" i="1"/>
  <c r="S267" i="1"/>
  <c r="S266" i="1"/>
  <c r="S265" i="1"/>
  <c r="S264" i="1"/>
  <c r="S263" i="1"/>
  <c r="S262" i="1"/>
  <c r="S261" i="1"/>
  <c r="S260" i="1"/>
  <c r="S259" i="1"/>
  <c r="S258" i="1"/>
  <c r="S257" i="1"/>
  <c r="S256" i="1"/>
  <c r="S255" i="1"/>
  <c r="S254" i="1"/>
  <c r="S253" i="1"/>
  <c r="S252" i="1"/>
  <c r="S251" i="1"/>
  <c r="S250" i="1"/>
  <c r="S249" i="1"/>
  <c r="S248" i="1"/>
  <c r="S247" i="1"/>
  <c r="S246" i="1"/>
  <c r="S245" i="1"/>
  <c r="S244" i="1"/>
  <c r="S243" i="1"/>
  <c r="S242" i="1"/>
  <c r="S241" i="1"/>
  <c r="S240" i="1"/>
  <c r="S239" i="1"/>
  <c r="S238" i="1"/>
  <c r="S237" i="1"/>
  <c r="S236" i="1"/>
  <c r="S235" i="1"/>
  <c r="S234" i="1"/>
  <c r="S233" i="1"/>
  <c r="S232" i="1"/>
  <c r="S231" i="1"/>
  <c r="S230" i="1"/>
  <c r="S229" i="1"/>
  <c r="S228" i="1"/>
  <c r="S227" i="1"/>
  <c r="S226" i="1"/>
  <c r="S225" i="1"/>
  <c r="S224" i="1"/>
  <c r="S223" i="1"/>
  <c r="S222" i="1"/>
  <c r="S221" i="1"/>
  <c r="S220" i="1"/>
  <c r="S219" i="1"/>
  <c r="S218" i="1"/>
  <c r="S217" i="1"/>
  <c r="S216" i="1"/>
  <c r="S215" i="1"/>
  <c r="S214" i="1"/>
  <c r="S213" i="1"/>
  <c r="S212" i="1"/>
  <c r="S211" i="1"/>
  <c r="S210" i="1"/>
  <c r="S209" i="1"/>
  <c r="S208" i="1"/>
  <c r="S207" i="1"/>
  <c r="S206" i="1"/>
  <c r="S205" i="1"/>
  <c r="S204" i="1"/>
  <c r="S203" i="1"/>
  <c r="S202" i="1"/>
  <c r="S201" i="1"/>
  <c r="S200" i="1"/>
  <c r="S199" i="1"/>
  <c r="S198" i="1"/>
  <c r="S197" i="1"/>
  <c r="S196" i="1"/>
  <c r="S195" i="1"/>
  <c r="S194" i="1"/>
  <c r="S193" i="1"/>
  <c r="S192" i="1"/>
  <c r="S191" i="1"/>
  <c r="S190" i="1"/>
  <c r="S189" i="1"/>
  <c r="S188" i="1"/>
  <c r="S187" i="1"/>
  <c r="S186" i="1"/>
  <c r="S185" i="1"/>
  <c r="S184" i="1"/>
  <c r="S183" i="1"/>
  <c r="S182" i="1"/>
  <c r="S181" i="1"/>
  <c r="S180" i="1"/>
  <c r="S179" i="1"/>
  <c r="S178" i="1"/>
  <c r="S177" i="1"/>
  <c r="S176" i="1"/>
  <c r="S175" i="1"/>
  <c r="S174" i="1"/>
  <c r="S173" i="1"/>
  <c r="S172" i="1"/>
  <c r="S171" i="1"/>
  <c r="S170" i="1"/>
  <c r="S169" i="1"/>
  <c r="S168" i="1"/>
  <c r="S167" i="1"/>
  <c r="S166" i="1"/>
  <c r="S165" i="1"/>
  <c r="S164" i="1"/>
  <c r="S163" i="1"/>
  <c r="S162" i="1"/>
  <c r="S161" i="1"/>
  <c r="S160" i="1"/>
  <c r="S159" i="1"/>
  <c r="S158" i="1"/>
  <c r="S157" i="1"/>
  <c r="S156" i="1"/>
  <c r="S155" i="1"/>
  <c r="S154" i="1"/>
  <c r="S153" i="1"/>
  <c r="S152" i="1"/>
  <c r="S151" i="1"/>
  <c r="S150" i="1"/>
  <c r="S149" i="1"/>
  <c r="S148" i="1"/>
  <c r="S147" i="1"/>
  <c r="S146" i="1"/>
  <c r="S145" i="1"/>
  <c r="S144" i="1"/>
  <c r="S143" i="1"/>
  <c r="S142" i="1"/>
  <c r="S141" i="1"/>
  <c r="S140" i="1"/>
  <c r="S139" i="1"/>
  <c r="S138" i="1"/>
  <c r="S137" i="1"/>
  <c r="S136" i="1"/>
  <c r="S135" i="1"/>
  <c r="S134" i="1"/>
  <c r="S133" i="1"/>
  <c r="S132" i="1"/>
  <c r="S131" i="1"/>
  <c r="S130" i="1"/>
  <c r="S129" i="1"/>
  <c r="S128" i="1"/>
  <c r="S127" i="1"/>
  <c r="S126" i="1"/>
  <c r="S125" i="1"/>
  <c r="S124" i="1"/>
  <c r="S123" i="1"/>
  <c r="S122" i="1"/>
  <c r="S121" i="1"/>
  <c r="S120" i="1"/>
  <c r="S119" i="1"/>
  <c r="S118" i="1"/>
  <c r="S117" i="1"/>
  <c r="S116" i="1"/>
  <c r="S115" i="1"/>
  <c r="S114" i="1"/>
  <c r="S113" i="1"/>
  <c r="S112" i="1"/>
  <c r="S111" i="1"/>
  <c r="S110" i="1"/>
  <c r="S109" i="1"/>
  <c r="S108" i="1"/>
  <c r="S107" i="1"/>
  <c r="S106" i="1"/>
  <c r="S105" i="1"/>
  <c r="S104" i="1"/>
  <c r="S103" i="1"/>
  <c r="S102" i="1"/>
  <c r="S101" i="1"/>
  <c r="S100" i="1"/>
  <c r="S99" i="1"/>
  <c r="S98" i="1"/>
  <c r="S97" i="1"/>
  <c r="S96" i="1"/>
  <c r="S95" i="1"/>
  <c r="S94" i="1"/>
  <c r="S93" i="1"/>
  <c r="S92" i="1"/>
  <c r="S91" i="1"/>
  <c r="S90" i="1"/>
  <c r="S89" i="1"/>
  <c r="S88" i="1"/>
  <c r="S87" i="1"/>
  <c r="S86" i="1"/>
  <c r="S85" i="1"/>
  <c r="S84" i="1"/>
  <c r="S83" i="1"/>
  <c r="S82" i="1"/>
  <c r="S81" i="1"/>
  <c r="S80" i="1"/>
  <c r="S79" i="1"/>
  <c r="S78" i="1"/>
  <c r="S77" i="1"/>
  <c r="S76" i="1"/>
  <c r="S75" i="1"/>
  <c r="S74" i="1"/>
  <c r="S73" i="1"/>
  <c r="S72" i="1"/>
  <c r="S71" i="1"/>
  <c r="S70" i="1"/>
  <c r="S69" i="1"/>
  <c r="S68" i="1"/>
  <c r="S67" i="1"/>
  <c r="S66" i="1"/>
  <c r="S65" i="1"/>
  <c r="S64" i="1"/>
  <c r="S63" i="1"/>
  <c r="S62" i="1"/>
  <c r="S61" i="1"/>
  <c r="S60" i="1"/>
  <c r="S59" i="1"/>
  <c r="S58" i="1"/>
  <c r="S57" i="1"/>
  <c r="S56" i="1"/>
  <c r="S55" i="1"/>
  <c r="S54" i="1"/>
  <c r="S53" i="1"/>
  <c r="S52" i="1"/>
  <c r="S51" i="1"/>
  <c r="S50" i="1"/>
  <c r="S49" i="1"/>
  <c r="S48" i="1"/>
  <c r="S47" i="1"/>
  <c r="S46" i="1"/>
  <c r="S45" i="1"/>
  <c r="S44" i="1"/>
  <c r="S43" i="1"/>
  <c r="S42" i="1"/>
  <c r="S41" i="1"/>
  <c r="S40" i="1"/>
  <c r="S39" i="1"/>
  <c r="S38" i="1"/>
  <c r="S37" i="1"/>
  <c r="S36" i="1"/>
  <c r="S35" i="1"/>
  <c r="S34" i="1"/>
  <c r="S33" i="1"/>
  <c r="S32" i="1"/>
  <c r="S31" i="1"/>
  <c r="S450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 l="1"/>
  <c r="H79" i="1" l="1"/>
  <c r="H80" i="1"/>
  <c r="H81" i="1"/>
  <c r="H82" i="1"/>
  <c r="H83" i="1"/>
  <c r="H84" i="1"/>
  <c r="H85" i="1"/>
  <c r="H86" i="1"/>
  <c r="H87" i="1" l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101" i="1"/>
  <c r="H102" i="1"/>
  <c r="H103" i="1"/>
  <c r="H104" i="1"/>
  <c r="H105" i="1"/>
  <c r="H106" i="1"/>
  <c r="H107" i="1"/>
  <c r="H108" i="1"/>
  <c r="H109" i="1"/>
  <c r="H110" i="1"/>
  <c r="H111" i="1"/>
  <c r="H112" i="1"/>
  <c r="H113" i="1"/>
  <c r="H114" i="1"/>
  <c r="H115" i="1"/>
  <c r="H116" i="1" l="1"/>
  <c r="H117" i="1"/>
  <c r="H118" i="1" l="1"/>
  <c r="CB2000" i="1"/>
  <c r="CB1999" i="1"/>
  <c r="CB1998" i="1"/>
  <c r="CB1997" i="1"/>
  <c r="CB1996" i="1"/>
  <c r="CB1995" i="1"/>
  <c r="CB1994" i="1"/>
  <c r="CB1993" i="1"/>
  <c r="CB1992" i="1"/>
  <c r="CB1991" i="1"/>
  <c r="CB1990" i="1"/>
  <c r="CB1989" i="1"/>
  <c r="CB1988" i="1"/>
  <c r="CB1987" i="1"/>
  <c r="CB1986" i="1"/>
  <c r="CB1985" i="1"/>
  <c r="CB1984" i="1"/>
  <c r="CB1983" i="1"/>
  <c r="CB1982" i="1"/>
  <c r="CB1981" i="1"/>
  <c r="CB1980" i="1"/>
  <c r="CB1979" i="1"/>
  <c r="CB1978" i="1"/>
  <c r="CB1977" i="1"/>
  <c r="CB1976" i="1"/>
  <c r="CB1975" i="1"/>
  <c r="CB1974" i="1"/>
  <c r="CB1973" i="1"/>
  <c r="CB1972" i="1"/>
  <c r="CB1971" i="1"/>
  <c r="CB1970" i="1"/>
  <c r="CB1969" i="1"/>
  <c r="CB1968" i="1"/>
  <c r="CB1967" i="1"/>
  <c r="CB1966" i="1"/>
  <c r="CB1965" i="1"/>
  <c r="CB1964" i="1"/>
  <c r="CB1963" i="1"/>
  <c r="CB1962" i="1"/>
  <c r="CB1961" i="1"/>
  <c r="CB1960" i="1"/>
  <c r="CB1959" i="1"/>
  <c r="CB1958" i="1"/>
  <c r="CB1957" i="1"/>
  <c r="CB1956" i="1"/>
  <c r="CB1955" i="1"/>
  <c r="CB1954" i="1"/>
  <c r="CB1953" i="1"/>
  <c r="CB1952" i="1"/>
  <c r="CB1951" i="1"/>
  <c r="CB1950" i="1"/>
  <c r="CB1949" i="1"/>
  <c r="CB1948" i="1"/>
  <c r="CB1947" i="1"/>
  <c r="CB1946" i="1"/>
  <c r="CB1945" i="1"/>
  <c r="CB1944" i="1"/>
  <c r="CB1943" i="1"/>
  <c r="CB1942" i="1"/>
  <c r="CB1941" i="1"/>
  <c r="CB1940" i="1"/>
  <c r="CB1939" i="1"/>
  <c r="CB1938" i="1"/>
  <c r="CB1937" i="1"/>
  <c r="CB1936" i="1"/>
  <c r="CB1935" i="1"/>
  <c r="CB1934" i="1"/>
  <c r="CB1933" i="1"/>
  <c r="CB1932" i="1"/>
  <c r="CB1931" i="1"/>
  <c r="CB1930" i="1"/>
  <c r="CB1929" i="1"/>
  <c r="CB1928" i="1"/>
  <c r="CB1927" i="1"/>
  <c r="CB1926" i="1"/>
  <c r="CB1925" i="1"/>
  <c r="CB1924" i="1"/>
  <c r="CB1923" i="1"/>
  <c r="CB1922" i="1"/>
  <c r="CB1921" i="1"/>
  <c r="CB1920" i="1"/>
  <c r="CB1919" i="1"/>
  <c r="CB1918" i="1"/>
  <c r="CB1917" i="1"/>
  <c r="CB1916" i="1"/>
  <c r="CB1915" i="1"/>
  <c r="CB1914" i="1"/>
  <c r="CB1913" i="1"/>
  <c r="CB1912" i="1"/>
  <c r="CB1911" i="1"/>
  <c r="CB1910" i="1"/>
  <c r="CB1909" i="1"/>
  <c r="CB1908" i="1"/>
  <c r="CB1907" i="1"/>
  <c r="CB1906" i="1"/>
  <c r="CB1905" i="1"/>
  <c r="CB1904" i="1"/>
  <c r="CB1903" i="1"/>
  <c r="CB1902" i="1"/>
  <c r="CB1901" i="1"/>
  <c r="CB1900" i="1"/>
  <c r="CB1899" i="1"/>
  <c r="CB1898" i="1"/>
  <c r="CB1897" i="1"/>
  <c r="CB1896" i="1"/>
  <c r="CB1895" i="1"/>
  <c r="CB1894" i="1"/>
  <c r="CB1893" i="1"/>
  <c r="CB1892" i="1"/>
  <c r="CB1891" i="1"/>
  <c r="CB1890" i="1"/>
  <c r="CB1889" i="1"/>
  <c r="CB1888" i="1"/>
  <c r="CB1887" i="1"/>
  <c r="CB1886" i="1"/>
  <c r="CB1885" i="1"/>
  <c r="CB1884" i="1"/>
  <c r="CB1883" i="1"/>
  <c r="CB1882" i="1"/>
  <c r="CB1881" i="1"/>
  <c r="CB1880" i="1"/>
  <c r="CB1879" i="1"/>
  <c r="CB1878" i="1"/>
  <c r="CB1877" i="1"/>
  <c r="CB1876" i="1"/>
  <c r="CB1875" i="1"/>
  <c r="CB1874" i="1"/>
  <c r="CB1873" i="1"/>
  <c r="CB1872" i="1"/>
  <c r="CB1871" i="1"/>
  <c r="CB1870" i="1"/>
  <c r="CB1869" i="1"/>
  <c r="CB1868" i="1"/>
  <c r="CB1867" i="1"/>
  <c r="CB1866" i="1"/>
  <c r="CB1865" i="1"/>
  <c r="CB1864" i="1"/>
  <c r="CB1863" i="1"/>
  <c r="CB1862" i="1"/>
  <c r="CB1861" i="1"/>
  <c r="CB1860" i="1"/>
  <c r="CB1859" i="1"/>
  <c r="CB1858" i="1"/>
  <c r="CB1857" i="1"/>
  <c r="CB1856" i="1"/>
  <c r="CB1855" i="1"/>
  <c r="CB1854" i="1"/>
  <c r="CB1853" i="1"/>
  <c r="CB1852" i="1"/>
  <c r="CB1851" i="1"/>
  <c r="CB1850" i="1"/>
  <c r="CB1849" i="1"/>
  <c r="CB1848" i="1"/>
  <c r="CB1847" i="1"/>
  <c r="CB1846" i="1"/>
  <c r="CB1845" i="1"/>
  <c r="CB1844" i="1"/>
  <c r="CB1843" i="1"/>
  <c r="CB1842" i="1"/>
  <c r="CB1841" i="1"/>
  <c r="CB1840" i="1"/>
  <c r="CB1839" i="1"/>
  <c r="CB1838" i="1"/>
  <c r="CB1837" i="1"/>
  <c r="CB1836" i="1"/>
  <c r="CB1835" i="1"/>
  <c r="CB1834" i="1"/>
  <c r="CB1833" i="1"/>
  <c r="CB1832" i="1"/>
  <c r="CB1831" i="1"/>
  <c r="CB1830" i="1"/>
  <c r="CB1829" i="1"/>
  <c r="CB1828" i="1"/>
  <c r="CB1827" i="1"/>
  <c r="CB1826" i="1"/>
  <c r="CB1825" i="1"/>
  <c r="CB1824" i="1"/>
  <c r="CB1823" i="1"/>
  <c r="CB1822" i="1"/>
  <c r="CB1821" i="1"/>
  <c r="CB1820" i="1"/>
  <c r="CB1819" i="1"/>
  <c r="CB1818" i="1"/>
  <c r="CB1817" i="1"/>
  <c r="CB1816" i="1"/>
  <c r="CB1815" i="1"/>
  <c r="CB1814" i="1"/>
  <c r="CB1813" i="1"/>
  <c r="CB1812" i="1"/>
  <c r="CB1811" i="1"/>
  <c r="CB1810" i="1"/>
  <c r="CB1809" i="1"/>
  <c r="CB1808" i="1"/>
  <c r="CB1807" i="1"/>
  <c r="CB1806" i="1"/>
  <c r="CB1805" i="1"/>
  <c r="CB1804" i="1"/>
  <c r="CB1803" i="1"/>
  <c r="CB1802" i="1"/>
  <c r="CB1801" i="1"/>
  <c r="CB1800" i="1"/>
  <c r="CB1799" i="1"/>
  <c r="CB1798" i="1"/>
  <c r="CB1797" i="1"/>
  <c r="CB1796" i="1"/>
  <c r="CB1795" i="1"/>
  <c r="CB1794" i="1"/>
  <c r="CB1793" i="1"/>
  <c r="CB1792" i="1"/>
  <c r="CB1791" i="1"/>
  <c r="CB1790" i="1"/>
  <c r="CB1789" i="1"/>
  <c r="CB1788" i="1"/>
  <c r="CB1787" i="1"/>
  <c r="CB1786" i="1"/>
  <c r="CB1785" i="1"/>
  <c r="CB1784" i="1"/>
  <c r="CB1783" i="1"/>
  <c r="CB1782" i="1"/>
  <c r="CB1781" i="1"/>
  <c r="CB1780" i="1"/>
  <c r="CB1779" i="1"/>
  <c r="CB1778" i="1"/>
  <c r="CB1777" i="1"/>
  <c r="CB1776" i="1"/>
  <c r="CB1775" i="1"/>
  <c r="CB1774" i="1"/>
  <c r="CB1773" i="1"/>
  <c r="CB1772" i="1"/>
  <c r="CB1771" i="1"/>
  <c r="CB1770" i="1"/>
  <c r="CB1769" i="1"/>
  <c r="CB1768" i="1"/>
  <c r="CB1767" i="1"/>
  <c r="CB1766" i="1"/>
  <c r="CB1765" i="1"/>
  <c r="CB1764" i="1"/>
  <c r="CB1763" i="1"/>
  <c r="CB1762" i="1"/>
  <c r="CB1761" i="1"/>
  <c r="CB1760" i="1"/>
  <c r="CB1759" i="1"/>
  <c r="CB1758" i="1"/>
  <c r="CB1757" i="1"/>
  <c r="CB1756" i="1"/>
  <c r="CB1755" i="1"/>
  <c r="CB1754" i="1"/>
  <c r="CB1753" i="1"/>
  <c r="CB1752" i="1"/>
  <c r="CB1751" i="1"/>
  <c r="CB1750" i="1"/>
  <c r="CB1749" i="1"/>
  <c r="CB1748" i="1"/>
  <c r="CB1747" i="1"/>
  <c r="CB1746" i="1"/>
  <c r="CB1745" i="1"/>
  <c r="CB1744" i="1"/>
  <c r="CB1743" i="1"/>
  <c r="CB1742" i="1"/>
  <c r="CB1741" i="1"/>
  <c r="CB1740" i="1"/>
  <c r="CB1739" i="1"/>
  <c r="CB1738" i="1"/>
  <c r="CB1737" i="1"/>
  <c r="CB1736" i="1"/>
  <c r="CB1735" i="1"/>
  <c r="CB1734" i="1"/>
  <c r="CB1733" i="1"/>
  <c r="CB1732" i="1"/>
  <c r="CB1731" i="1"/>
  <c r="CB1730" i="1"/>
  <c r="CB1729" i="1"/>
  <c r="CB1728" i="1"/>
  <c r="CB1727" i="1"/>
  <c r="CB1726" i="1"/>
  <c r="CB1725" i="1"/>
  <c r="CB1724" i="1"/>
  <c r="CB1723" i="1"/>
  <c r="CB1722" i="1"/>
  <c r="CB1721" i="1"/>
  <c r="CB1720" i="1"/>
  <c r="CB1719" i="1"/>
  <c r="CB1718" i="1"/>
  <c r="CB1717" i="1"/>
  <c r="CB1716" i="1"/>
  <c r="CB1715" i="1"/>
  <c r="CB1714" i="1"/>
  <c r="CB1713" i="1"/>
  <c r="CB1712" i="1"/>
  <c r="CB1711" i="1"/>
  <c r="CB1710" i="1"/>
  <c r="CB1709" i="1"/>
  <c r="CB1708" i="1"/>
  <c r="CB1707" i="1"/>
  <c r="CB1706" i="1"/>
  <c r="CB1705" i="1"/>
  <c r="CB1704" i="1"/>
  <c r="CB1703" i="1"/>
  <c r="CB1702" i="1"/>
  <c r="CB1701" i="1"/>
  <c r="CB1700" i="1"/>
  <c r="CB1699" i="1"/>
  <c r="CB1698" i="1"/>
  <c r="CB1697" i="1"/>
  <c r="CB1696" i="1"/>
  <c r="CB1695" i="1"/>
  <c r="CB1694" i="1"/>
  <c r="CB1693" i="1"/>
  <c r="CB1692" i="1"/>
  <c r="CB1691" i="1"/>
  <c r="CB1690" i="1"/>
  <c r="CB1689" i="1"/>
  <c r="CB1688" i="1"/>
  <c r="CB1687" i="1"/>
  <c r="CB1686" i="1"/>
  <c r="CB1685" i="1"/>
  <c r="CB1684" i="1"/>
  <c r="CB1683" i="1"/>
  <c r="CB1682" i="1"/>
  <c r="CB1681" i="1"/>
  <c r="CB1680" i="1"/>
  <c r="CB1679" i="1"/>
  <c r="CB1678" i="1"/>
  <c r="CB1677" i="1"/>
  <c r="CB1676" i="1"/>
  <c r="CB1675" i="1"/>
  <c r="CB1674" i="1"/>
  <c r="CB1673" i="1"/>
  <c r="CB1672" i="1"/>
  <c r="CB1671" i="1"/>
  <c r="CB1670" i="1"/>
  <c r="CB1669" i="1"/>
  <c r="CB1668" i="1"/>
  <c r="CB1667" i="1"/>
  <c r="CB1666" i="1"/>
  <c r="CB1665" i="1"/>
  <c r="CB1664" i="1"/>
  <c r="CB1663" i="1"/>
  <c r="CB1662" i="1"/>
  <c r="CB1661" i="1"/>
  <c r="CB1660" i="1"/>
  <c r="CB1659" i="1"/>
  <c r="CB1658" i="1"/>
  <c r="CB1657" i="1"/>
  <c r="CB1656" i="1"/>
  <c r="CB1655" i="1"/>
  <c r="CB1654" i="1"/>
  <c r="CB1653" i="1"/>
  <c r="CB1652" i="1"/>
  <c r="CB1651" i="1"/>
  <c r="CB1650" i="1"/>
  <c r="CB1649" i="1"/>
  <c r="CB1648" i="1"/>
  <c r="CB1647" i="1"/>
  <c r="CB1646" i="1"/>
  <c r="CB1645" i="1"/>
  <c r="CB1644" i="1"/>
  <c r="CB1643" i="1"/>
  <c r="CB1642" i="1"/>
  <c r="CB1641" i="1"/>
  <c r="CB1640" i="1"/>
  <c r="CB1639" i="1"/>
  <c r="CB1638" i="1"/>
  <c r="CB1637" i="1"/>
  <c r="CB1636" i="1"/>
  <c r="CB1635" i="1"/>
  <c r="CB1634" i="1"/>
  <c r="CB1633" i="1"/>
  <c r="CB1632" i="1"/>
  <c r="CB1631" i="1"/>
  <c r="CB1630" i="1"/>
  <c r="CB1629" i="1"/>
  <c r="CB1628" i="1"/>
  <c r="CB1627" i="1"/>
  <c r="CB1626" i="1"/>
  <c r="CB1625" i="1"/>
  <c r="CB1624" i="1"/>
  <c r="CB1623" i="1"/>
  <c r="CB1622" i="1"/>
  <c r="CB1621" i="1"/>
  <c r="CB1620" i="1"/>
  <c r="CB1619" i="1"/>
  <c r="CB1618" i="1"/>
  <c r="CB1617" i="1"/>
  <c r="CB1616" i="1"/>
  <c r="CB1615" i="1"/>
  <c r="CB1614" i="1"/>
  <c r="CB1613" i="1"/>
  <c r="CB1612" i="1"/>
  <c r="CB1611" i="1"/>
  <c r="CB1610" i="1"/>
  <c r="CB1609" i="1"/>
  <c r="CB1608" i="1"/>
  <c r="CB1607" i="1"/>
  <c r="CB1606" i="1"/>
  <c r="CB1605" i="1"/>
  <c r="CB1604" i="1"/>
  <c r="CB1603" i="1"/>
  <c r="CB1602" i="1"/>
  <c r="CB1601" i="1"/>
  <c r="CB1600" i="1"/>
  <c r="CB1599" i="1"/>
  <c r="CB1598" i="1"/>
  <c r="CB1597" i="1"/>
  <c r="CB1596" i="1"/>
  <c r="CB1595" i="1"/>
  <c r="CB1594" i="1"/>
  <c r="CB1593" i="1"/>
  <c r="CB1592" i="1"/>
  <c r="CB1591" i="1"/>
  <c r="CB1590" i="1"/>
  <c r="CB1589" i="1"/>
  <c r="CB1588" i="1"/>
  <c r="CB1587" i="1"/>
  <c r="CB1586" i="1"/>
  <c r="CB1585" i="1"/>
  <c r="CB1584" i="1"/>
  <c r="CB1583" i="1"/>
  <c r="CB1582" i="1"/>
  <c r="CB1581" i="1"/>
  <c r="CB1580" i="1"/>
  <c r="CB1579" i="1"/>
  <c r="CB1578" i="1"/>
  <c r="CB1577" i="1"/>
  <c r="CB1576" i="1"/>
  <c r="CB1575" i="1"/>
  <c r="CB1574" i="1"/>
  <c r="CB1573" i="1"/>
  <c r="CB1572" i="1"/>
  <c r="CB1571" i="1"/>
  <c r="CB1570" i="1"/>
  <c r="CB1569" i="1"/>
  <c r="CB1568" i="1"/>
  <c r="CB1567" i="1"/>
  <c r="CB1566" i="1"/>
  <c r="CB1565" i="1"/>
  <c r="CB1564" i="1"/>
  <c r="CB1563" i="1"/>
  <c r="CB1562" i="1"/>
  <c r="CB1561" i="1"/>
  <c r="CB1560" i="1"/>
  <c r="CB1559" i="1"/>
  <c r="CB1558" i="1"/>
  <c r="CB1557" i="1"/>
  <c r="CB1556" i="1"/>
  <c r="CB1555" i="1"/>
  <c r="CB1554" i="1"/>
  <c r="CB1553" i="1"/>
  <c r="CB1552" i="1"/>
  <c r="CB1551" i="1"/>
  <c r="CB1550" i="1"/>
  <c r="CB1549" i="1"/>
  <c r="CB1548" i="1"/>
  <c r="CB1547" i="1"/>
  <c r="CB1546" i="1"/>
  <c r="CB1545" i="1"/>
  <c r="CB1544" i="1"/>
  <c r="CB1543" i="1"/>
  <c r="CB1542" i="1"/>
  <c r="CB1541" i="1"/>
  <c r="CB1540" i="1"/>
  <c r="CB1539" i="1"/>
  <c r="CB1538" i="1"/>
  <c r="CB1537" i="1"/>
  <c r="CB1536" i="1"/>
  <c r="CB1535" i="1"/>
  <c r="CB1534" i="1"/>
  <c r="CB1533" i="1"/>
  <c r="CB1532" i="1"/>
  <c r="CB1531" i="1"/>
  <c r="CB1530" i="1"/>
  <c r="CB1529" i="1"/>
  <c r="CB1528" i="1"/>
  <c r="CB1527" i="1"/>
  <c r="CB1526" i="1"/>
  <c r="CB1525" i="1"/>
  <c r="CB1524" i="1"/>
  <c r="CB1523" i="1"/>
  <c r="CB1522" i="1"/>
  <c r="CB1521" i="1"/>
  <c r="CB1520" i="1"/>
  <c r="CB1519" i="1"/>
  <c r="CB1518" i="1"/>
  <c r="CB1517" i="1"/>
  <c r="CB1516" i="1"/>
  <c r="CB1515" i="1"/>
  <c r="CB1514" i="1"/>
  <c r="CB1513" i="1"/>
  <c r="CB1512" i="1"/>
  <c r="CB1511" i="1"/>
  <c r="CB1510" i="1"/>
  <c r="CB1509" i="1"/>
  <c r="CB1508" i="1"/>
  <c r="CB1507" i="1"/>
  <c r="CB1506" i="1"/>
  <c r="CB1505" i="1"/>
  <c r="CB1504" i="1"/>
  <c r="CB1503" i="1"/>
  <c r="CB1502" i="1"/>
  <c r="CB1501" i="1"/>
  <c r="CB1500" i="1"/>
  <c r="CB1499" i="1"/>
  <c r="CB1498" i="1"/>
  <c r="CB1497" i="1"/>
  <c r="CB1496" i="1"/>
  <c r="CB1495" i="1"/>
  <c r="CB1494" i="1"/>
  <c r="CB1493" i="1"/>
  <c r="CB1492" i="1"/>
  <c r="CB1491" i="1"/>
  <c r="CB1490" i="1"/>
  <c r="CB1489" i="1"/>
  <c r="CB1488" i="1"/>
  <c r="CB1487" i="1"/>
  <c r="CB1486" i="1"/>
  <c r="CB1485" i="1"/>
  <c r="CB1484" i="1"/>
  <c r="CB1483" i="1"/>
  <c r="CB1482" i="1"/>
  <c r="CB1481" i="1"/>
  <c r="CB1480" i="1"/>
  <c r="CB1479" i="1"/>
  <c r="CB1478" i="1"/>
  <c r="CB1477" i="1"/>
  <c r="CB1476" i="1"/>
  <c r="CB1475" i="1"/>
  <c r="CB1474" i="1"/>
  <c r="CB1473" i="1"/>
  <c r="CB1472" i="1"/>
  <c r="CB1471" i="1"/>
  <c r="CB1470" i="1"/>
  <c r="CB1469" i="1"/>
  <c r="CB1468" i="1"/>
  <c r="CB1467" i="1"/>
  <c r="CB1466" i="1"/>
  <c r="CB1465" i="1"/>
  <c r="CB1464" i="1"/>
  <c r="CB1463" i="1"/>
  <c r="CB1462" i="1"/>
  <c r="CB1461" i="1"/>
  <c r="CB1460" i="1"/>
  <c r="CB1459" i="1"/>
  <c r="CB1458" i="1"/>
  <c r="CB1457" i="1"/>
  <c r="CB1456" i="1"/>
  <c r="CB1455" i="1"/>
  <c r="CB1454" i="1"/>
  <c r="CB1453" i="1"/>
  <c r="CB1452" i="1"/>
  <c r="CB1451" i="1"/>
  <c r="CB1450" i="1"/>
  <c r="CB1449" i="1"/>
  <c r="CB1448" i="1"/>
  <c r="CB1447" i="1"/>
  <c r="CB1446" i="1"/>
  <c r="CB1445" i="1"/>
  <c r="CB1444" i="1"/>
  <c r="CB1443" i="1"/>
  <c r="CB1442" i="1"/>
  <c r="CB1441" i="1"/>
  <c r="CB1440" i="1"/>
  <c r="CB1439" i="1"/>
  <c r="CB1438" i="1"/>
  <c r="CB1437" i="1"/>
  <c r="CB1436" i="1"/>
  <c r="CB1435" i="1"/>
  <c r="CB1434" i="1"/>
  <c r="CB1433" i="1"/>
  <c r="CB1432" i="1"/>
  <c r="CB1431" i="1"/>
  <c r="CB1430" i="1"/>
  <c r="CB1429" i="1"/>
  <c r="CB1428" i="1"/>
  <c r="CB1427" i="1"/>
  <c r="CB1426" i="1"/>
  <c r="CB1425" i="1"/>
  <c r="CB1424" i="1"/>
  <c r="CB1423" i="1"/>
  <c r="CB1422" i="1"/>
  <c r="CB1421" i="1"/>
  <c r="CB1420" i="1"/>
  <c r="CB1419" i="1"/>
  <c r="CB1418" i="1"/>
  <c r="CB1417" i="1"/>
  <c r="CB1416" i="1"/>
  <c r="CB1415" i="1"/>
  <c r="CB1414" i="1"/>
  <c r="CB1413" i="1"/>
  <c r="CB1412" i="1"/>
  <c r="CB1411" i="1"/>
  <c r="CB1410" i="1"/>
  <c r="CB1409" i="1"/>
  <c r="CB1408" i="1"/>
  <c r="CB1407" i="1"/>
  <c r="CB1406" i="1"/>
  <c r="CB1405" i="1"/>
  <c r="CB1404" i="1"/>
  <c r="CB1403" i="1"/>
  <c r="CB1402" i="1"/>
  <c r="CB1401" i="1"/>
  <c r="CB1400" i="1"/>
  <c r="CB1399" i="1"/>
  <c r="CB1398" i="1"/>
  <c r="CB1397" i="1"/>
  <c r="CB1396" i="1"/>
  <c r="CB1395" i="1"/>
  <c r="CB1394" i="1"/>
  <c r="CB1393" i="1"/>
  <c r="CB1392" i="1"/>
  <c r="CB1391" i="1"/>
  <c r="CB1390" i="1"/>
  <c r="CB1389" i="1"/>
  <c r="CB1388" i="1"/>
  <c r="CB1387" i="1"/>
  <c r="CB1386" i="1"/>
  <c r="CB1385" i="1"/>
  <c r="CB1384" i="1"/>
  <c r="CB1383" i="1"/>
  <c r="CB1382" i="1"/>
  <c r="CB1381" i="1"/>
  <c r="CB1380" i="1"/>
  <c r="CB1379" i="1"/>
  <c r="CB1378" i="1"/>
  <c r="CB1377" i="1"/>
  <c r="CB1376" i="1"/>
  <c r="CB1375" i="1"/>
  <c r="CB1374" i="1"/>
  <c r="CB1373" i="1"/>
  <c r="CB1372" i="1"/>
  <c r="CB1371" i="1"/>
  <c r="CB1370" i="1"/>
  <c r="CB1369" i="1"/>
  <c r="CB1368" i="1"/>
  <c r="CB1367" i="1"/>
  <c r="CB1366" i="1"/>
  <c r="CB1365" i="1"/>
  <c r="CB1364" i="1"/>
  <c r="CB1363" i="1"/>
  <c r="CB1362" i="1"/>
  <c r="CB1361" i="1"/>
  <c r="CB1360" i="1"/>
  <c r="CB1359" i="1"/>
  <c r="CB1358" i="1"/>
  <c r="CB1357" i="1"/>
  <c r="CB1356" i="1"/>
  <c r="CB1355" i="1"/>
  <c r="CB1354" i="1"/>
  <c r="CB1353" i="1"/>
  <c r="CB1352" i="1"/>
  <c r="CB1351" i="1"/>
  <c r="CB1350" i="1"/>
  <c r="CB1349" i="1"/>
  <c r="CB1348" i="1"/>
  <c r="CB1347" i="1"/>
  <c r="CB1346" i="1"/>
  <c r="CB1345" i="1"/>
  <c r="CB1344" i="1"/>
  <c r="CB1343" i="1"/>
  <c r="CB1342" i="1"/>
  <c r="CB1341" i="1"/>
  <c r="CB1340" i="1"/>
  <c r="CB1339" i="1"/>
  <c r="CB1338" i="1"/>
  <c r="CB1337" i="1"/>
  <c r="CB1336" i="1"/>
  <c r="CB1335" i="1"/>
  <c r="CB1334" i="1"/>
  <c r="CB1333" i="1"/>
  <c r="CB1332" i="1"/>
  <c r="CB1331" i="1"/>
  <c r="CB1330" i="1"/>
  <c r="CB1329" i="1"/>
  <c r="CB1328" i="1"/>
  <c r="CB1327" i="1"/>
  <c r="CB1326" i="1"/>
  <c r="CB1325" i="1"/>
  <c r="CB1324" i="1"/>
  <c r="CB1323" i="1"/>
  <c r="CB1322" i="1"/>
  <c r="CB1321" i="1"/>
  <c r="CB1320" i="1"/>
  <c r="CB1319" i="1"/>
  <c r="CB1318" i="1"/>
  <c r="CB1317" i="1"/>
  <c r="CB1316" i="1"/>
  <c r="CB1315" i="1"/>
  <c r="CB1314" i="1"/>
  <c r="CB1313" i="1"/>
  <c r="CB1312" i="1"/>
  <c r="CB1311" i="1"/>
  <c r="CB1310" i="1"/>
  <c r="CB1309" i="1"/>
  <c r="CB1308" i="1"/>
  <c r="CB1307" i="1"/>
  <c r="CB1306" i="1"/>
  <c r="CB1305" i="1"/>
  <c r="CB1304" i="1"/>
  <c r="CB1303" i="1"/>
  <c r="CB1302" i="1"/>
  <c r="CB1301" i="1"/>
  <c r="CB1300" i="1"/>
  <c r="CB1299" i="1"/>
  <c r="CB1298" i="1"/>
  <c r="CB1297" i="1"/>
  <c r="CB1296" i="1"/>
  <c r="CB1295" i="1"/>
  <c r="CB1294" i="1"/>
  <c r="CB1293" i="1"/>
  <c r="CB1292" i="1"/>
  <c r="CB1291" i="1"/>
  <c r="CB1290" i="1"/>
  <c r="CB1289" i="1"/>
  <c r="CB1288" i="1"/>
  <c r="CB1287" i="1"/>
  <c r="CB1286" i="1"/>
  <c r="CB1285" i="1"/>
  <c r="CB1284" i="1"/>
  <c r="CB1283" i="1"/>
  <c r="CB1282" i="1"/>
  <c r="CB1281" i="1"/>
  <c r="CB1280" i="1"/>
  <c r="CB1279" i="1"/>
  <c r="CB1278" i="1"/>
  <c r="CB1277" i="1"/>
  <c r="CB1276" i="1"/>
  <c r="CB1275" i="1"/>
  <c r="CB1274" i="1"/>
  <c r="CB1273" i="1"/>
  <c r="CB1272" i="1"/>
  <c r="CB1271" i="1"/>
  <c r="CB1270" i="1"/>
  <c r="CB1269" i="1"/>
  <c r="CB1268" i="1"/>
  <c r="CB1267" i="1"/>
  <c r="CB1266" i="1"/>
  <c r="CB1265" i="1"/>
  <c r="CB1264" i="1"/>
  <c r="CB1263" i="1"/>
  <c r="CB1262" i="1"/>
  <c r="CB1261" i="1"/>
  <c r="CB1260" i="1"/>
  <c r="CB1259" i="1"/>
  <c r="CB1258" i="1"/>
  <c r="CB1257" i="1"/>
  <c r="CB1256" i="1"/>
  <c r="CB1255" i="1"/>
  <c r="CB1254" i="1"/>
  <c r="CB1253" i="1"/>
  <c r="CB1252" i="1"/>
  <c r="CB1251" i="1"/>
  <c r="CB1250" i="1"/>
  <c r="CB1249" i="1"/>
  <c r="CB1248" i="1"/>
  <c r="CB1247" i="1"/>
  <c r="CB1246" i="1"/>
  <c r="CB1245" i="1"/>
  <c r="CB1244" i="1"/>
  <c r="CB1243" i="1"/>
  <c r="CB1242" i="1"/>
  <c r="CB1241" i="1"/>
  <c r="CB1240" i="1"/>
  <c r="CB1239" i="1"/>
  <c r="CB1238" i="1"/>
  <c r="CB1237" i="1"/>
  <c r="CB1236" i="1"/>
  <c r="CB1235" i="1"/>
  <c r="CB1234" i="1"/>
  <c r="CB1233" i="1"/>
  <c r="CB1232" i="1"/>
  <c r="CB1231" i="1"/>
  <c r="CB1230" i="1"/>
  <c r="CB1229" i="1"/>
  <c r="CB1228" i="1"/>
  <c r="CB1227" i="1"/>
  <c r="CB1226" i="1"/>
  <c r="CB1225" i="1"/>
  <c r="CB1224" i="1"/>
  <c r="CB1223" i="1"/>
  <c r="CB1222" i="1"/>
  <c r="CB1221" i="1"/>
  <c r="CB1220" i="1"/>
  <c r="CB1219" i="1"/>
  <c r="CB1218" i="1"/>
  <c r="CB1217" i="1"/>
  <c r="CB1216" i="1"/>
  <c r="CB1215" i="1"/>
  <c r="CB1214" i="1"/>
  <c r="CB1213" i="1"/>
  <c r="CB1212" i="1"/>
  <c r="CB1211" i="1"/>
  <c r="CB1210" i="1"/>
  <c r="CB1209" i="1"/>
  <c r="CB1208" i="1"/>
  <c r="CB1207" i="1"/>
  <c r="CB1206" i="1"/>
  <c r="CB1205" i="1"/>
  <c r="CB1204" i="1"/>
  <c r="CB1203" i="1"/>
  <c r="CB1202" i="1"/>
  <c r="CB1201" i="1"/>
  <c r="CB1200" i="1"/>
  <c r="CB1199" i="1"/>
  <c r="CB1198" i="1"/>
  <c r="CB1197" i="1"/>
  <c r="CB1196" i="1"/>
  <c r="CB1195" i="1"/>
  <c r="CB1194" i="1"/>
  <c r="CB1193" i="1"/>
  <c r="CB1192" i="1"/>
  <c r="CB1191" i="1"/>
  <c r="CB1190" i="1"/>
  <c r="CB1189" i="1"/>
  <c r="CB1188" i="1"/>
  <c r="CB1187" i="1"/>
  <c r="CB1186" i="1"/>
  <c r="CB1185" i="1"/>
  <c r="CB1184" i="1"/>
  <c r="CB1183" i="1"/>
  <c r="CB1182" i="1"/>
  <c r="CB1181" i="1"/>
  <c r="CB1180" i="1"/>
  <c r="CB1179" i="1"/>
  <c r="CB1178" i="1"/>
  <c r="CB1177" i="1"/>
  <c r="CB1176" i="1"/>
  <c r="CB1175" i="1"/>
  <c r="CB1174" i="1"/>
  <c r="CB1173" i="1"/>
  <c r="CB1172" i="1"/>
  <c r="CB1171" i="1"/>
  <c r="CB1170" i="1"/>
  <c r="CB1169" i="1"/>
  <c r="CB1168" i="1"/>
  <c r="CB1167" i="1"/>
  <c r="CB1166" i="1"/>
  <c r="CB1165" i="1"/>
  <c r="CB1164" i="1"/>
  <c r="CB1163" i="1"/>
  <c r="CB1162" i="1"/>
  <c r="CB1161" i="1"/>
  <c r="CB1160" i="1"/>
  <c r="CB1159" i="1"/>
  <c r="CB1158" i="1"/>
  <c r="CB1157" i="1"/>
  <c r="CB1156" i="1"/>
  <c r="CB1155" i="1"/>
  <c r="CB1154" i="1"/>
  <c r="CB1153" i="1"/>
  <c r="CB1152" i="1"/>
  <c r="CB1151" i="1"/>
  <c r="CB1150" i="1"/>
  <c r="CB1149" i="1"/>
  <c r="CB1148" i="1"/>
  <c r="CB1147" i="1"/>
  <c r="CB1146" i="1"/>
  <c r="CB1145" i="1"/>
  <c r="CB1144" i="1"/>
  <c r="CB1143" i="1"/>
  <c r="CB1142" i="1"/>
  <c r="CB1141" i="1"/>
  <c r="CB1140" i="1"/>
  <c r="CB1139" i="1"/>
  <c r="CB1138" i="1"/>
  <c r="CB1137" i="1"/>
  <c r="CB1136" i="1"/>
  <c r="CB1135" i="1"/>
  <c r="CB1134" i="1"/>
  <c r="CB1133" i="1"/>
  <c r="CB1132" i="1"/>
  <c r="CB1131" i="1"/>
  <c r="CB1130" i="1"/>
  <c r="CB1129" i="1"/>
  <c r="CB1128" i="1"/>
  <c r="CB1127" i="1"/>
  <c r="CB1126" i="1"/>
  <c r="CB1125" i="1"/>
  <c r="CB1124" i="1"/>
  <c r="CB1123" i="1"/>
  <c r="CB1122" i="1"/>
  <c r="CB1121" i="1"/>
  <c r="CB1120" i="1"/>
  <c r="CB1119" i="1"/>
  <c r="CB1118" i="1"/>
  <c r="CB1117" i="1"/>
  <c r="CB1116" i="1"/>
  <c r="CB1115" i="1"/>
  <c r="CB1114" i="1"/>
  <c r="CB1113" i="1"/>
  <c r="CB1112" i="1"/>
  <c r="CB1111" i="1"/>
  <c r="CB1110" i="1"/>
  <c r="CB1109" i="1"/>
  <c r="CB1108" i="1"/>
  <c r="CB1107" i="1"/>
  <c r="CB1106" i="1"/>
  <c r="CB1105" i="1"/>
  <c r="CB1104" i="1"/>
  <c r="CB1103" i="1"/>
  <c r="CB1102" i="1"/>
  <c r="CB1101" i="1"/>
  <c r="CB1100" i="1"/>
  <c r="CB1099" i="1"/>
  <c r="CB1098" i="1"/>
  <c r="CB1097" i="1"/>
  <c r="CB1096" i="1"/>
  <c r="CB1095" i="1"/>
  <c r="CB1094" i="1"/>
  <c r="CB1093" i="1"/>
  <c r="CB1092" i="1"/>
  <c r="CB1091" i="1"/>
  <c r="CB1090" i="1"/>
  <c r="CB1089" i="1"/>
  <c r="CB1088" i="1"/>
  <c r="CB1087" i="1"/>
  <c r="CB1086" i="1"/>
  <c r="CB1085" i="1"/>
  <c r="CB1084" i="1"/>
  <c r="CB1083" i="1"/>
  <c r="CB1082" i="1"/>
  <c r="CB1081" i="1"/>
  <c r="CB1080" i="1"/>
  <c r="CB1079" i="1"/>
  <c r="CB1078" i="1"/>
  <c r="CB1077" i="1"/>
  <c r="CB1076" i="1"/>
  <c r="CB1075" i="1"/>
  <c r="CB1074" i="1"/>
  <c r="CB1073" i="1"/>
  <c r="CB1072" i="1"/>
  <c r="CB1071" i="1"/>
  <c r="CB1070" i="1"/>
  <c r="CB1069" i="1"/>
  <c r="CB1068" i="1"/>
  <c r="CB1067" i="1"/>
  <c r="CB1066" i="1"/>
  <c r="CB1065" i="1"/>
  <c r="CB1064" i="1"/>
  <c r="CB1063" i="1"/>
  <c r="CB1062" i="1"/>
  <c r="CB1061" i="1"/>
  <c r="CB1060" i="1"/>
  <c r="CB1059" i="1"/>
  <c r="CB1058" i="1"/>
  <c r="CB1057" i="1"/>
  <c r="CB1056" i="1"/>
  <c r="CB1055" i="1"/>
  <c r="CB1054" i="1"/>
  <c r="CB1053" i="1"/>
  <c r="CB1052" i="1"/>
  <c r="CB1051" i="1"/>
  <c r="CB1050" i="1"/>
  <c r="CB1049" i="1"/>
  <c r="CB1048" i="1"/>
  <c r="CB1047" i="1"/>
  <c r="CB1046" i="1"/>
  <c r="CB1045" i="1"/>
  <c r="CB1044" i="1"/>
  <c r="CB1043" i="1"/>
  <c r="CB1042" i="1"/>
  <c r="CB1041" i="1"/>
  <c r="CB1040" i="1"/>
  <c r="CB1039" i="1"/>
  <c r="CB1038" i="1"/>
  <c r="CB1037" i="1"/>
  <c r="CB1036" i="1"/>
  <c r="CB1035" i="1"/>
  <c r="CB1034" i="1"/>
  <c r="CB1033" i="1"/>
  <c r="CB1032" i="1"/>
  <c r="CB1031" i="1"/>
  <c r="CB1030" i="1"/>
  <c r="CB1029" i="1"/>
  <c r="CB1028" i="1"/>
  <c r="CB1027" i="1"/>
  <c r="CB1026" i="1"/>
  <c r="CB1025" i="1"/>
  <c r="CB1024" i="1"/>
  <c r="CB1023" i="1"/>
  <c r="CB1022" i="1"/>
  <c r="CB1021" i="1"/>
  <c r="CB1020" i="1"/>
  <c r="CB1019" i="1"/>
  <c r="CB1018" i="1"/>
  <c r="CB1017" i="1"/>
  <c r="CB1016" i="1"/>
  <c r="CB1015" i="1"/>
  <c r="CB1014" i="1"/>
  <c r="CB1013" i="1"/>
  <c r="CB1012" i="1"/>
  <c r="CB1011" i="1"/>
  <c r="CB1010" i="1"/>
  <c r="CB1009" i="1"/>
  <c r="CB1008" i="1"/>
  <c r="CB1007" i="1"/>
  <c r="CB1006" i="1"/>
  <c r="CB1005" i="1"/>
  <c r="CB1004" i="1"/>
  <c r="CB1003" i="1"/>
  <c r="CB1002" i="1"/>
  <c r="CB1001" i="1"/>
  <c r="CB1000" i="1"/>
  <c r="CB999" i="1"/>
  <c r="CB998" i="1"/>
  <c r="CB997" i="1"/>
  <c r="CB996" i="1"/>
  <c r="CB995" i="1"/>
  <c r="CB994" i="1"/>
  <c r="CB993" i="1"/>
  <c r="CB992" i="1"/>
  <c r="CB991" i="1"/>
  <c r="CB990" i="1"/>
  <c r="CB989" i="1"/>
  <c r="CB988" i="1"/>
  <c r="CB987" i="1"/>
  <c r="CB986" i="1"/>
  <c r="CB985" i="1"/>
  <c r="CB984" i="1"/>
  <c r="CB983" i="1"/>
  <c r="CB982" i="1"/>
  <c r="CB981" i="1"/>
  <c r="CB980" i="1"/>
  <c r="CB979" i="1"/>
  <c r="CB978" i="1"/>
  <c r="CB977" i="1"/>
  <c r="CB976" i="1"/>
  <c r="CB975" i="1"/>
  <c r="CB974" i="1"/>
  <c r="CB973" i="1"/>
  <c r="CB972" i="1"/>
  <c r="CB971" i="1"/>
  <c r="CB970" i="1"/>
  <c r="CB969" i="1"/>
  <c r="CB968" i="1"/>
  <c r="CB967" i="1"/>
  <c r="CB966" i="1"/>
  <c r="CB965" i="1"/>
  <c r="CB964" i="1"/>
  <c r="CB963" i="1"/>
  <c r="CB962" i="1"/>
  <c r="CB961" i="1"/>
  <c r="CB960" i="1"/>
  <c r="CB959" i="1"/>
  <c r="CB958" i="1"/>
  <c r="CB957" i="1"/>
  <c r="CB956" i="1"/>
  <c r="CB955" i="1"/>
  <c r="CB954" i="1"/>
  <c r="CB953" i="1"/>
  <c r="CB952" i="1"/>
  <c r="CB951" i="1"/>
  <c r="CB950" i="1"/>
  <c r="CB949" i="1"/>
  <c r="CB948" i="1"/>
  <c r="CB947" i="1"/>
  <c r="CB946" i="1"/>
  <c r="CB945" i="1"/>
  <c r="CB944" i="1"/>
  <c r="CB943" i="1"/>
  <c r="CB942" i="1"/>
  <c r="CB941" i="1"/>
  <c r="CB940" i="1"/>
  <c r="CB939" i="1"/>
  <c r="CB938" i="1"/>
  <c r="CB937" i="1"/>
  <c r="CB936" i="1"/>
  <c r="CB935" i="1"/>
  <c r="CB934" i="1"/>
  <c r="CB933" i="1"/>
  <c r="CB932" i="1"/>
  <c r="CB931" i="1"/>
  <c r="CB930" i="1"/>
  <c r="CB929" i="1"/>
  <c r="CB928" i="1"/>
  <c r="CB927" i="1"/>
  <c r="CB926" i="1"/>
  <c r="CB925" i="1"/>
  <c r="CB924" i="1"/>
  <c r="CB923" i="1"/>
  <c r="CB922" i="1"/>
  <c r="CB921" i="1"/>
  <c r="CB920" i="1"/>
  <c r="CB919" i="1"/>
  <c r="CB918" i="1"/>
  <c r="CB917" i="1"/>
  <c r="CB916" i="1"/>
  <c r="CB915" i="1"/>
  <c r="CB914" i="1"/>
  <c r="CB913" i="1"/>
  <c r="CB912" i="1"/>
  <c r="CB911" i="1"/>
  <c r="CB910" i="1"/>
  <c r="CB909" i="1"/>
  <c r="CB908" i="1"/>
  <c r="CB907" i="1"/>
  <c r="CB906" i="1"/>
  <c r="CB905" i="1"/>
  <c r="CB904" i="1"/>
  <c r="CB903" i="1"/>
  <c r="CB902" i="1"/>
  <c r="CB901" i="1"/>
  <c r="CB900" i="1"/>
  <c r="CB899" i="1"/>
  <c r="CB898" i="1"/>
  <c r="CB897" i="1"/>
  <c r="CB896" i="1"/>
  <c r="CB895" i="1"/>
  <c r="CB894" i="1"/>
  <c r="CB893" i="1"/>
  <c r="CB892" i="1"/>
  <c r="CB891" i="1"/>
  <c r="CB890" i="1"/>
  <c r="CB889" i="1"/>
  <c r="CB888" i="1"/>
  <c r="CB887" i="1"/>
  <c r="CB886" i="1"/>
  <c r="CB885" i="1"/>
  <c r="CB884" i="1"/>
  <c r="CB883" i="1"/>
  <c r="CB882" i="1"/>
  <c r="CB881" i="1"/>
  <c r="CB880" i="1"/>
  <c r="CB879" i="1"/>
  <c r="CB878" i="1"/>
  <c r="CB877" i="1"/>
  <c r="CB876" i="1"/>
  <c r="CB875" i="1"/>
  <c r="CB874" i="1"/>
  <c r="CB873" i="1"/>
  <c r="CB872" i="1"/>
  <c r="CB871" i="1"/>
  <c r="CB870" i="1"/>
  <c r="CB869" i="1"/>
  <c r="CB868" i="1"/>
  <c r="CB867" i="1"/>
  <c r="CB866" i="1"/>
  <c r="CB865" i="1"/>
  <c r="CB864" i="1"/>
  <c r="CB863" i="1"/>
  <c r="CB862" i="1"/>
  <c r="CB861" i="1"/>
  <c r="CB860" i="1"/>
  <c r="CB859" i="1"/>
  <c r="CB858" i="1"/>
  <c r="CB857" i="1"/>
  <c r="CB856" i="1"/>
  <c r="CB855" i="1"/>
  <c r="CB854" i="1"/>
  <c r="CB853" i="1"/>
  <c r="CB852" i="1"/>
  <c r="CB851" i="1"/>
  <c r="CB850" i="1"/>
  <c r="CB849" i="1"/>
  <c r="CB848" i="1"/>
  <c r="CB847" i="1"/>
  <c r="CB846" i="1"/>
  <c r="CB845" i="1"/>
  <c r="CB844" i="1"/>
  <c r="CB843" i="1"/>
  <c r="CB842" i="1"/>
  <c r="CB841" i="1"/>
  <c r="CB840" i="1"/>
  <c r="CB839" i="1"/>
  <c r="CB838" i="1"/>
  <c r="CB837" i="1"/>
  <c r="CB836" i="1"/>
  <c r="CB835" i="1"/>
  <c r="CB834" i="1"/>
  <c r="CB833" i="1"/>
  <c r="CB832" i="1"/>
  <c r="CB831" i="1"/>
  <c r="CB830" i="1"/>
  <c r="CB829" i="1"/>
  <c r="CB828" i="1"/>
  <c r="CB827" i="1"/>
  <c r="CB826" i="1"/>
  <c r="CB825" i="1"/>
  <c r="CB824" i="1"/>
  <c r="CB823" i="1"/>
  <c r="CB822" i="1"/>
  <c r="CB821" i="1"/>
  <c r="CB820" i="1"/>
  <c r="CB819" i="1"/>
  <c r="CB818" i="1"/>
  <c r="CB817" i="1"/>
  <c r="CB816" i="1"/>
  <c r="CB815" i="1"/>
  <c r="CB814" i="1"/>
  <c r="CB813" i="1"/>
  <c r="CB812" i="1"/>
  <c r="CB811" i="1"/>
  <c r="CB810" i="1"/>
  <c r="CB809" i="1"/>
  <c r="CB808" i="1"/>
  <c r="CB807" i="1"/>
  <c r="CB806" i="1"/>
  <c r="CB805" i="1"/>
  <c r="CB804" i="1"/>
  <c r="CB803" i="1"/>
  <c r="CB802" i="1"/>
  <c r="CB801" i="1"/>
  <c r="CB800" i="1"/>
  <c r="CB799" i="1"/>
  <c r="CB798" i="1"/>
  <c r="CB797" i="1"/>
  <c r="CB796" i="1"/>
  <c r="CB795" i="1"/>
  <c r="CB794" i="1"/>
  <c r="CB793" i="1"/>
  <c r="CB792" i="1"/>
  <c r="CB791" i="1"/>
  <c r="CB790" i="1"/>
  <c r="CB789" i="1"/>
  <c r="CB788" i="1"/>
  <c r="CB787" i="1"/>
  <c r="CB786" i="1"/>
  <c r="CB785" i="1"/>
  <c r="CB784" i="1"/>
  <c r="CB783" i="1"/>
  <c r="CB782" i="1"/>
  <c r="CB781" i="1"/>
  <c r="CB780" i="1"/>
  <c r="CB779" i="1"/>
  <c r="CB778" i="1"/>
  <c r="CB777" i="1"/>
  <c r="CB776" i="1"/>
  <c r="CB775" i="1"/>
  <c r="CB774" i="1"/>
  <c r="CB773" i="1"/>
  <c r="CB772" i="1"/>
  <c r="CB771" i="1"/>
  <c r="CB770" i="1"/>
  <c r="CB769" i="1"/>
  <c r="CB768" i="1"/>
  <c r="CB767" i="1"/>
  <c r="CB766" i="1"/>
  <c r="CB765" i="1"/>
  <c r="CB764" i="1"/>
  <c r="CB763" i="1"/>
  <c r="CB762" i="1"/>
  <c r="CB761" i="1"/>
  <c r="CB760" i="1"/>
  <c r="CB759" i="1"/>
  <c r="CB758" i="1"/>
  <c r="CB757" i="1"/>
  <c r="CB756" i="1"/>
  <c r="CB755" i="1"/>
  <c r="CB754" i="1"/>
  <c r="CB753" i="1"/>
  <c r="CB752" i="1"/>
  <c r="CB751" i="1"/>
  <c r="CB750" i="1"/>
  <c r="CB749" i="1"/>
  <c r="CB748" i="1"/>
  <c r="CB747" i="1"/>
  <c r="CB746" i="1"/>
  <c r="CB745" i="1"/>
  <c r="CB744" i="1"/>
  <c r="CB743" i="1"/>
  <c r="CB742" i="1"/>
  <c r="CB741" i="1"/>
  <c r="CB740" i="1"/>
  <c r="CB739" i="1"/>
  <c r="CB738" i="1"/>
  <c r="CB737" i="1"/>
  <c r="CB736" i="1"/>
  <c r="CB735" i="1"/>
  <c r="CB734" i="1"/>
  <c r="CB733" i="1"/>
  <c r="CB732" i="1"/>
  <c r="CB731" i="1"/>
  <c r="CB730" i="1"/>
  <c r="CB729" i="1"/>
  <c r="CB728" i="1"/>
  <c r="CB727" i="1"/>
  <c r="CB726" i="1"/>
  <c r="CB725" i="1"/>
  <c r="CB724" i="1"/>
  <c r="CB723" i="1"/>
  <c r="CB722" i="1"/>
  <c r="CB721" i="1"/>
  <c r="CB720" i="1"/>
  <c r="CB719" i="1"/>
  <c r="CB718" i="1"/>
  <c r="CB717" i="1"/>
  <c r="CB716" i="1"/>
  <c r="CB715" i="1"/>
  <c r="CB714" i="1"/>
  <c r="CB713" i="1"/>
  <c r="CB712" i="1"/>
  <c r="CB711" i="1"/>
  <c r="CB710" i="1"/>
  <c r="CB709" i="1"/>
  <c r="CB708" i="1"/>
  <c r="CB707" i="1"/>
  <c r="CB706" i="1"/>
  <c r="CB705" i="1"/>
  <c r="CB704" i="1"/>
  <c r="CB703" i="1"/>
  <c r="CB702" i="1"/>
  <c r="CB701" i="1"/>
  <c r="CB700" i="1"/>
  <c r="CB699" i="1"/>
  <c r="CB698" i="1"/>
  <c r="CB697" i="1"/>
  <c r="CB696" i="1"/>
  <c r="CB695" i="1"/>
  <c r="CB694" i="1"/>
  <c r="CB693" i="1"/>
  <c r="CB692" i="1"/>
  <c r="CB691" i="1"/>
  <c r="CB690" i="1"/>
  <c r="CB689" i="1"/>
  <c r="CB688" i="1"/>
  <c r="CB687" i="1"/>
  <c r="CB686" i="1"/>
  <c r="CB685" i="1"/>
  <c r="CB684" i="1"/>
  <c r="CB683" i="1"/>
  <c r="CB682" i="1"/>
  <c r="CB681" i="1"/>
  <c r="CB680" i="1"/>
  <c r="CB679" i="1"/>
  <c r="CB678" i="1"/>
  <c r="CB677" i="1"/>
  <c r="CB676" i="1"/>
  <c r="CB675" i="1"/>
  <c r="CB674" i="1"/>
  <c r="CB673" i="1"/>
  <c r="CB672" i="1"/>
  <c r="CB671" i="1"/>
  <c r="CB670" i="1"/>
  <c r="CB669" i="1"/>
  <c r="CB668" i="1"/>
  <c r="CB667" i="1"/>
  <c r="CB666" i="1"/>
  <c r="CB665" i="1"/>
  <c r="CB664" i="1"/>
  <c r="CB663" i="1"/>
  <c r="CB662" i="1"/>
  <c r="CB661" i="1"/>
  <c r="CB660" i="1"/>
  <c r="CB659" i="1"/>
  <c r="CB658" i="1"/>
  <c r="CB657" i="1"/>
  <c r="CB656" i="1"/>
  <c r="CB655" i="1"/>
  <c r="CB654" i="1"/>
  <c r="CB653" i="1"/>
  <c r="CB652" i="1"/>
  <c r="CB651" i="1"/>
  <c r="CB650" i="1"/>
  <c r="CB649" i="1"/>
  <c r="CB648" i="1"/>
  <c r="CB647" i="1"/>
  <c r="CB646" i="1"/>
  <c r="CB645" i="1"/>
  <c r="CB644" i="1"/>
  <c r="CB643" i="1"/>
  <c r="CB642" i="1"/>
  <c r="CB641" i="1"/>
  <c r="CB640" i="1"/>
  <c r="CB639" i="1"/>
  <c r="CB638" i="1"/>
  <c r="CB637" i="1"/>
  <c r="CB636" i="1"/>
  <c r="CB635" i="1"/>
  <c r="CB634" i="1"/>
  <c r="CB633" i="1"/>
  <c r="CB632" i="1"/>
  <c r="CB631" i="1"/>
  <c r="CB630" i="1"/>
  <c r="CB629" i="1"/>
  <c r="CB628" i="1"/>
  <c r="CB627" i="1"/>
  <c r="CB626" i="1"/>
  <c r="CB625" i="1"/>
  <c r="CB624" i="1"/>
  <c r="CB623" i="1"/>
  <c r="CB622" i="1"/>
  <c r="CB621" i="1"/>
  <c r="CB620" i="1"/>
  <c r="CB619" i="1"/>
  <c r="CB618" i="1"/>
  <c r="CB617" i="1"/>
  <c r="CB616" i="1"/>
  <c r="CB615" i="1"/>
  <c r="CB614" i="1"/>
  <c r="CB613" i="1"/>
  <c r="CB612" i="1"/>
  <c r="CB611" i="1"/>
  <c r="CB610" i="1"/>
  <c r="CB609" i="1"/>
  <c r="CB608" i="1"/>
  <c r="CB607" i="1"/>
  <c r="CB606" i="1"/>
  <c r="CB605" i="1"/>
  <c r="CB604" i="1"/>
  <c r="CB603" i="1"/>
  <c r="CB602" i="1"/>
  <c r="CB601" i="1"/>
  <c r="CB600" i="1"/>
  <c r="CB599" i="1"/>
  <c r="CB598" i="1"/>
  <c r="CB597" i="1"/>
  <c r="CB596" i="1"/>
  <c r="CB595" i="1"/>
  <c r="CB594" i="1"/>
  <c r="CB593" i="1"/>
  <c r="CB592" i="1"/>
  <c r="CB591" i="1"/>
  <c r="CB590" i="1"/>
  <c r="CB589" i="1"/>
  <c r="CB588" i="1"/>
  <c r="CB587" i="1"/>
  <c r="CB586" i="1"/>
  <c r="CB585" i="1"/>
  <c r="CB584" i="1"/>
  <c r="CB583" i="1"/>
  <c r="CB582" i="1"/>
  <c r="CB581" i="1"/>
  <c r="CB580" i="1"/>
  <c r="CB579" i="1"/>
  <c r="CB578" i="1"/>
  <c r="CB577" i="1"/>
  <c r="CB576" i="1"/>
  <c r="CB575" i="1"/>
  <c r="CB574" i="1"/>
  <c r="CB573" i="1"/>
  <c r="CB572" i="1"/>
  <c r="CB571" i="1"/>
  <c r="CB570" i="1"/>
  <c r="CB569" i="1"/>
  <c r="CB568" i="1"/>
  <c r="CB567" i="1"/>
  <c r="CB566" i="1"/>
  <c r="CB565" i="1"/>
  <c r="CB564" i="1"/>
  <c r="CB563" i="1"/>
  <c r="CB562" i="1"/>
  <c r="CB561" i="1"/>
  <c r="CB560" i="1"/>
  <c r="CB559" i="1"/>
  <c r="CB558" i="1"/>
  <c r="CB557" i="1"/>
  <c r="CB556" i="1"/>
  <c r="CB555" i="1"/>
  <c r="CB554" i="1"/>
  <c r="CB553" i="1"/>
  <c r="CB552" i="1"/>
  <c r="CB551" i="1"/>
  <c r="CB550" i="1"/>
  <c r="CB549" i="1"/>
  <c r="CB548" i="1"/>
  <c r="CB547" i="1"/>
  <c r="CB546" i="1"/>
  <c r="CB545" i="1"/>
  <c r="CB544" i="1"/>
  <c r="CB543" i="1"/>
  <c r="CB542" i="1"/>
  <c r="CB541" i="1"/>
  <c r="CB540" i="1"/>
  <c r="CB539" i="1"/>
  <c r="CB538" i="1"/>
  <c r="CB537" i="1"/>
  <c r="CB536" i="1"/>
  <c r="CB535" i="1"/>
  <c r="CB534" i="1"/>
  <c r="CB533" i="1"/>
  <c r="CB532" i="1"/>
  <c r="CB531" i="1"/>
  <c r="CB530" i="1"/>
  <c r="CB529" i="1"/>
  <c r="CB528" i="1"/>
  <c r="CB527" i="1"/>
  <c r="CB526" i="1"/>
  <c r="CB525" i="1"/>
  <c r="CB524" i="1"/>
  <c r="CB523" i="1"/>
  <c r="CB522" i="1"/>
  <c r="CB521" i="1"/>
  <c r="CB520" i="1"/>
  <c r="CB519" i="1"/>
  <c r="CB518" i="1"/>
  <c r="CB517" i="1"/>
  <c r="CB516" i="1"/>
  <c r="CB515" i="1"/>
  <c r="CB514" i="1"/>
  <c r="CB513" i="1"/>
  <c r="CB512" i="1"/>
  <c r="CB511" i="1"/>
  <c r="CB510" i="1"/>
  <c r="CB509" i="1"/>
  <c r="CB508" i="1"/>
  <c r="CB507" i="1"/>
  <c r="CB506" i="1"/>
  <c r="CB505" i="1"/>
  <c r="CB504" i="1"/>
  <c r="CB503" i="1"/>
  <c r="CB501" i="1"/>
  <c r="CB500" i="1"/>
  <c r="CB499" i="1"/>
  <c r="CB498" i="1"/>
  <c r="CB497" i="1"/>
  <c r="CB495" i="1"/>
  <c r="CB494" i="1"/>
  <c r="CB493" i="1"/>
  <c r="CB492" i="1"/>
  <c r="CB491" i="1"/>
  <c r="CB490" i="1"/>
  <c r="CB489" i="1"/>
  <c r="CB487" i="1"/>
  <c r="CB486" i="1"/>
  <c r="CB485" i="1"/>
  <c r="CB484" i="1"/>
  <c r="CB483" i="1"/>
  <c r="CB482" i="1"/>
  <c r="CB481" i="1"/>
  <c r="CB480" i="1"/>
  <c r="CB479" i="1"/>
  <c r="CB478" i="1"/>
  <c r="CB477" i="1"/>
  <c r="CB476" i="1"/>
  <c r="CB475" i="1"/>
  <c r="CB474" i="1"/>
  <c r="CB473" i="1"/>
  <c r="CB472" i="1"/>
  <c r="CB471" i="1"/>
  <c r="CB470" i="1"/>
  <c r="CB469" i="1"/>
  <c r="CB468" i="1"/>
  <c r="CB467" i="1"/>
  <c r="CB466" i="1"/>
  <c r="CB465" i="1"/>
  <c r="CB464" i="1"/>
  <c r="CB463" i="1"/>
  <c r="CB462" i="1"/>
  <c r="CB461" i="1"/>
  <c r="CB460" i="1"/>
  <c r="CB459" i="1"/>
  <c r="CB458" i="1"/>
  <c r="CB457" i="1"/>
  <c r="CB456" i="1"/>
  <c r="CB455" i="1"/>
  <c r="CB454" i="1"/>
  <c r="CB453" i="1"/>
  <c r="CB452" i="1"/>
  <c r="CB451" i="1"/>
  <c r="CB449" i="1"/>
  <c r="CB448" i="1"/>
  <c r="CB447" i="1"/>
  <c r="CB446" i="1"/>
  <c r="CB445" i="1"/>
  <c r="CB444" i="1"/>
  <c r="CB443" i="1"/>
  <c r="CB442" i="1"/>
  <c r="CB441" i="1"/>
  <c r="CB440" i="1"/>
  <c r="CB439" i="1"/>
  <c r="CB438" i="1"/>
  <c r="CB437" i="1"/>
  <c r="CB436" i="1"/>
  <c r="CB435" i="1"/>
  <c r="CB434" i="1"/>
  <c r="CB433" i="1"/>
  <c r="CB432" i="1"/>
  <c r="CB431" i="1"/>
  <c r="CB430" i="1"/>
  <c r="CB429" i="1"/>
  <c r="CB428" i="1"/>
  <c r="CB427" i="1"/>
  <c r="CB426" i="1"/>
  <c r="CB425" i="1"/>
  <c r="CB424" i="1"/>
  <c r="CB423" i="1"/>
  <c r="CB422" i="1"/>
  <c r="CB421" i="1"/>
  <c r="CB420" i="1"/>
  <c r="CB419" i="1"/>
  <c r="CB418" i="1"/>
  <c r="CB417" i="1"/>
  <c r="CB416" i="1"/>
  <c r="CB415" i="1"/>
  <c r="CB414" i="1"/>
  <c r="CB413" i="1"/>
  <c r="CB412" i="1"/>
  <c r="CB411" i="1"/>
  <c r="CB410" i="1"/>
  <c r="CB409" i="1"/>
  <c r="CB408" i="1"/>
  <c r="CB407" i="1"/>
  <c r="CB406" i="1"/>
  <c r="CB405" i="1"/>
  <c r="CB404" i="1"/>
  <c r="CB403" i="1"/>
  <c r="CB402" i="1"/>
  <c r="CB401" i="1"/>
  <c r="CB400" i="1"/>
  <c r="CB399" i="1"/>
  <c r="CB398" i="1"/>
  <c r="CB397" i="1"/>
  <c r="CB396" i="1"/>
  <c r="CB395" i="1"/>
  <c r="CB394" i="1"/>
  <c r="CB393" i="1"/>
  <c r="CB392" i="1"/>
  <c r="CB391" i="1"/>
  <c r="CB390" i="1"/>
  <c r="CB389" i="1"/>
  <c r="CB388" i="1"/>
  <c r="CB387" i="1"/>
  <c r="CB386" i="1"/>
  <c r="CB385" i="1"/>
  <c r="CB384" i="1"/>
  <c r="CB383" i="1"/>
  <c r="CB382" i="1"/>
  <c r="CB381" i="1"/>
  <c r="CB380" i="1"/>
  <c r="CB379" i="1"/>
  <c r="CB378" i="1"/>
  <c r="CB377" i="1"/>
  <c r="CB376" i="1"/>
  <c r="CB375" i="1"/>
  <c r="CB374" i="1"/>
  <c r="CB373" i="1"/>
  <c r="CB372" i="1"/>
  <c r="CB371" i="1"/>
  <c r="CB370" i="1"/>
  <c r="CB369" i="1"/>
  <c r="CB368" i="1"/>
  <c r="CB367" i="1"/>
  <c r="CB366" i="1"/>
  <c r="CB365" i="1"/>
  <c r="CB364" i="1"/>
  <c r="CB363" i="1"/>
  <c r="CB362" i="1"/>
  <c r="CB361" i="1"/>
  <c r="CB360" i="1"/>
  <c r="CB359" i="1"/>
  <c r="CB358" i="1"/>
  <c r="CB357" i="1"/>
  <c r="CB356" i="1"/>
  <c r="CB355" i="1"/>
  <c r="CB354" i="1"/>
  <c r="CB353" i="1"/>
  <c r="CB352" i="1"/>
  <c r="CB351" i="1"/>
  <c r="CB350" i="1"/>
  <c r="CB349" i="1"/>
  <c r="CB348" i="1"/>
  <c r="CB347" i="1"/>
  <c r="CB346" i="1"/>
  <c r="CB345" i="1"/>
  <c r="CB344" i="1"/>
  <c r="CB343" i="1"/>
  <c r="CB342" i="1"/>
  <c r="CB341" i="1"/>
  <c r="CB340" i="1"/>
  <c r="CB339" i="1"/>
  <c r="CB338" i="1"/>
  <c r="CB337" i="1"/>
  <c r="CB336" i="1"/>
  <c r="CB335" i="1"/>
  <c r="CB334" i="1"/>
  <c r="CB333" i="1"/>
  <c r="CB332" i="1"/>
  <c r="CB331" i="1"/>
  <c r="CB330" i="1"/>
  <c r="CB329" i="1"/>
  <c r="CB328" i="1"/>
  <c r="CB322" i="1"/>
  <c r="CB321" i="1"/>
  <c r="CB320" i="1"/>
  <c r="CB319" i="1"/>
  <c r="CB318" i="1"/>
  <c r="CB317" i="1"/>
  <c r="CB316" i="1"/>
  <c r="CB315" i="1"/>
  <c r="CB314" i="1"/>
  <c r="CB311" i="1"/>
  <c r="CB310" i="1"/>
  <c r="CB309" i="1"/>
  <c r="CB308" i="1"/>
  <c r="CB307" i="1"/>
  <c r="CB306" i="1"/>
  <c r="CB305" i="1"/>
  <c r="CB304" i="1"/>
  <c r="CB303" i="1"/>
  <c r="CB302" i="1"/>
  <c r="CB301" i="1"/>
  <c r="CB300" i="1"/>
  <c r="CB299" i="1"/>
  <c r="CB298" i="1"/>
  <c r="CB297" i="1"/>
  <c r="CB296" i="1"/>
  <c r="CB295" i="1"/>
  <c r="CB294" i="1"/>
  <c r="CB293" i="1"/>
  <c r="CB292" i="1"/>
  <c r="CB291" i="1"/>
  <c r="CB290" i="1"/>
  <c r="CB289" i="1"/>
  <c r="CB288" i="1"/>
  <c r="CB287" i="1"/>
  <c r="CB286" i="1"/>
  <c r="CB285" i="1"/>
  <c r="CB284" i="1"/>
  <c r="CB283" i="1"/>
  <c r="CB282" i="1"/>
  <c r="CB281" i="1"/>
  <c r="CB280" i="1"/>
  <c r="CB279" i="1"/>
  <c r="CB278" i="1"/>
  <c r="CB277" i="1"/>
  <c r="CB276" i="1"/>
  <c r="CB275" i="1"/>
  <c r="CB274" i="1"/>
  <c r="CB273" i="1"/>
  <c r="CB272" i="1"/>
  <c r="CB271" i="1"/>
  <c r="CB270" i="1"/>
  <c r="CB269" i="1"/>
  <c r="CB268" i="1"/>
  <c r="CB267" i="1"/>
  <c r="CB266" i="1"/>
  <c r="CB265" i="1"/>
  <c r="CB264" i="1"/>
  <c r="CB263" i="1"/>
  <c r="CB262" i="1"/>
  <c r="CB261" i="1"/>
  <c r="CB260" i="1"/>
  <c r="CB259" i="1"/>
  <c r="CB258" i="1"/>
  <c r="CB257" i="1"/>
  <c r="CB256" i="1"/>
  <c r="CB255" i="1"/>
  <c r="CB254" i="1"/>
  <c r="CB253" i="1"/>
  <c r="CB252" i="1"/>
  <c r="CB251" i="1"/>
  <c r="CB250" i="1"/>
  <c r="CB249" i="1"/>
  <c r="CB248" i="1"/>
  <c r="CB247" i="1"/>
  <c r="CB246" i="1"/>
  <c r="CB245" i="1"/>
  <c r="CB244" i="1"/>
  <c r="CB243" i="1"/>
  <c r="CB242" i="1"/>
  <c r="CB241" i="1"/>
  <c r="CB240" i="1"/>
  <c r="CB239" i="1"/>
  <c r="CB238" i="1"/>
  <c r="CB237" i="1"/>
  <c r="CB236" i="1"/>
  <c r="CB235" i="1"/>
  <c r="CB234" i="1"/>
  <c r="CB233" i="1"/>
  <c r="CB232" i="1"/>
  <c r="CB231" i="1"/>
  <c r="CB230" i="1"/>
  <c r="CB229" i="1"/>
  <c r="CB228" i="1"/>
  <c r="CB227" i="1"/>
  <c r="CB226" i="1"/>
  <c r="CB225" i="1"/>
  <c r="CB224" i="1"/>
  <c r="CB223" i="1"/>
  <c r="CB222" i="1"/>
  <c r="CB221" i="1"/>
  <c r="CB220" i="1"/>
  <c r="CB219" i="1"/>
  <c r="CB218" i="1"/>
  <c r="CB217" i="1"/>
  <c r="CB216" i="1"/>
  <c r="CB215" i="1"/>
  <c r="CB214" i="1"/>
  <c r="CB213" i="1"/>
  <c r="CB212" i="1"/>
  <c r="CB211" i="1"/>
  <c r="CB210" i="1"/>
  <c r="CB209" i="1"/>
  <c r="CB208" i="1"/>
  <c r="CB207" i="1"/>
  <c r="CB206" i="1"/>
  <c r="CB205" i="1"/>
  <c r="CB204" i="1"/>
  <c r="CB203" i="1"/>
  <c r="CB202" i="1"/>
  <c r="CB201" i="1"/>
  <c r="CB200" i="1"/>
  <c r="CB199" i="1"/>
  <c r="CB198" i="1"/>
  <c r="CB197" i="1"/>
  <c r="CB196" i="1"/>
  <c r="CB195" i="1"/>
  <c r="CB194" i="1"/>
  <c r="CB193" i="1"/>
  <c r="CB192" i="1"/>
  <c r="CB191" i="1"/>
  <c r="CB190" i="1"/>
  <c r="CB189" i="1"/>
  <c r="CB188" i="1"/>
  <c r="CB187" i="1"/>
  <c r="CB186" i="1"/>
  <c r="CB185" i="1"/>
  <c r="CB184" i="1"/>
  <c r="CB183" i="1"/>
  <c r="CB182" i="1"/>
  <c r="CB181" i="1"/>
  <c r="CB180" i="1"/>
  <c r="CB179" i="1"/>
  <c r="CB178" i="1"/>
  <c r="CB177" i="1"/>
  <c r="CB176" i="1"/>
  <c r="CB175" i="1"/>
  <c r="CB174" i="1"/>
  <c r="CB173" i="1"/>
  <c r="CB172" i="1"/>
  <c r="CB171" i="1"/>
  <c r="CB170" i="1"/>
  <c r="CB169" i="1"/>
  <c r="CB168" i="1"/>
  <c r="CB167" i="1"/>
  <c r="CB166" i="1"/>
  <c r="CB165" i="1"/>
  <c r="CB164" i="1"/>
  <c r="CB163" i="1"/>
  <c r="CB162" i="1"/>
  <c r="CB161" i="1"/>
  <c r="CB160" i="1"/>
  <c r="CB159" i="1"/>
  <c r="CB158" i="1"/>
  <c r="CB157" i="1"/>
  <c r="CB156" i="1"/>
  <c r="CB155" i="1"/>
  <c r="CB154" i="1"/>
  <c r="CB153" i="1"/>
  <c r="CB152" i="1"/>
  <c r="CB151" i="1"/>
  <c r="CB150" i="1"/>
  <c r="CB149" i="1"/>
  <c r="CB148" i="1"/>
  <c r="CB147" i="1"/>
  <c r="CB146" i="1"/>
  <c r="CB145" i="1"/>
  <c r="CB144" i="1"/>
  <c r="CB143" i="1"/>
  <c r="CB142" i="1"/>
  <c r="CB141" i="1"/>
  <c r="CB140" i="1"/>
  <c r="CB139" i="1"/>
  <c r="CB138" i="1"/>
  <c r="CB137" i="1"/>
  <c r="CB136" i="1"/>
  <c r="CB135" i="1"/>
  <c r="CB134" i="1"/>
  <c r="CB133" i="1"/>
  <c r="CB132" i="1"/>
  <c r="CB131" i="1"/>
  <c r="CB130" i="1"/>
  <c r="CB129" i="1"/>
  <c r="CB128" i="1"/>
  <c r="CB127" i="1"/>
  <c r="CB126" i="1"/>
  <c r="CB125" i="1"/>
  <c r="CB124" i="1"/>
  <c r="CB123" i="1"/>
  <c r="CB122" i="1"/>
  <c r="CB121" i="1"/>
  <c r="CB120" i="1"/>
  <c r="CB119" i="1"/>
  <c r="CB118" i="1"/>
  <c r="CB117" i="1"/>
  <c r="CB116" i="1"/>
  <c r="CB115" i="1"/>
  <c r="CB114" i="1"/>
  <c r="CB113" i="1"/>
  <c r="CB112" i="1"/>
  <c r="CB111" i="1"/>
  <c r="CB110" i="1"/>
  <c r="CB109" i="1"/>
  <c r="CB108" i="1"/>
  <c r="CB107" i="1"/>
  <c r="CB106" i="1"/>
  <c r="CB105" i="1"/>
  <c r="CB104" i="1"/>
  <c r="CB103" i="1"/>
  <c r="CB102" i="1"/>
  <c r="CB101" i="1"/>
  <c r="CB100" i="1"/>
  <c r="CB99" i="1"/>
  <c r="CB98" i="1"/>
  <c r="CB97" i="1"/>
  <c r="CB96" i="1"/>
  <c r="CB95" i="1"/>
  <c r="CB94" i="1"/>
  <c r="CB93" i="1"/>
  <c r="CB92" i="1"/>
  <c r="CB91" i="1"/>
  <c r="CB90" i="1"/>
  <c r="CB89" i="1"/>
  <c r="CB88" i="1"/>
  <c r="CB87" i="1"/>
  <c r="CB86" i="1"/>
  <c r="CB85" i="1"/>
  <c r="CB84" i="1"/>
  <c r="CB83" i="1"/>
  <c r="CB82" i="1"/>
  <c r="CB81" i="1"/>
  <c r="CB80" i="1"/>
  <c r="CB79" i="1"/>
  <c r="CB78" i="1"/>
  <c r="CB77" i="1"/>
  <c r="CB76" i="1"/>
  <c r="CB75" i="1"/>
  <c r="CB74" i="1"/>
  <c r="CB73" i="1"/>
  <c r="CB72" i="1"/>
  <c r="CB71" i="1"/>
  <c r="CB70" i="1"/>
  <c r="CB69" i="1"/>
  <c r="CB68" i="1"/>
  <c r="CB67" i="1"/>
  <c r="CB66" i="1"/>
  <c r="CB65" i="1"/>
  <c r="CB64" i="1"/>
  <c r="CB63" i="1"/>
  <c r="CB62" i="1"/>
  <c r="CB61" i="1"/>
  <c r="CB60" i="1"/>
  <c r="CB59" i="1"/>
  <c r="CB58" i="1"/>
  <c r="CB57" i="1"/>
  <c r="CB56" i="1"/>
  <c r="CB55" i="1"/>
  <c r="CB54" i="1"/>
  <c r="CB53" i="1"/>
  <c r="CB52" i="1"/>
  <c r="CB51" i="1"/>
  <c r="CB50" i="1"/>
  <c r="CB48" i="1"/>
  <c r="CB47" i="1"/>
  <c r="CB46" i="1"/>
  <c r="CB45" i="1"/>
  <c r="CB44" i="1"/>
  <c r="CB43" i="1"/>
  <c r="CB42" i="1"/>
  <c r="CB41" i="1"/>
  <c r="CB40" i="1"/>
  <c r="CB39" i="1"/>
  <c r="CB38" i="1"/>
  <c r="CB37" i="1"/>
  <c r="CB36" i="1"/>
  <c r="CB35" i="1"/>
  <c r="CB34" i="1"/>
  <c r="CB33" i="1"/>
  <c r="CB32" i="1"/>
  <c r="CB31" i="1"/>
  <c r="CB49" i="1"/>
  <c r="H119" i="1"/>
  <c r="H120" i="1"/>
  <c r="H121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AA32" i="1"/>
  <c r="AA33" i="1"/>
  <c r="AA34" i="1"/>
  <c r="AA35" i="1"/>
  <c r="AA36" i="1"/>
  <c r="AA31" i="1"/>
  <c r="S30" i="1"/>
  <c r="H144" i="1"/>
  <c r="H145" i="1"/>
  <c r="H146" i="1"/>
  <c r="H147" i="1"/>
  <c r="AA37" i="1" l="1"/>
  <c r="AA38" i="1" s="1"/>
  <c r="AA39" i="1" s="1"/>
  <c r="AA40" i="1" s="1"/>
  <c r="AA41" i="1" s="1"/>
  <c r="AA42" i="1" s="1"/>
  <c r="AA43" i="1" s="1"/>
  <c r="AA44" i="1" s="1"/>
  <c r="AA45" i="1" s="1"/>
  <c r="AA46" i="1" s="1"/>
  <c r="AA47" i="1" s="1"/>
  <c r="AA48" i="1" s="1"/>
  <c r="AA49" i="1" s="1"/>
  <c r="AA50" i="1" s="1"/>
  <c r="AA51" i="1" s="1"/>
  <c r="AA52" i="1" s="1"/>
  <c r="AA53" i="1" s="1"/>
  <c r="AA54" i="1" s="1"/>
  <c r="AA55" i="1" s="1"/>
  <c r="AA56" i="1" s="1"/>
  <c r="AA57" i="1" s="1"/>
  <c r="AA58" i="1" s="1"/>
  <c r="AA59" i="1" s="1"/>
  <c r="AA60" i="1" s="1"/>
  <c r="AA61" i="1" s="1"/>
  <c r="AA62" i="1" s="1"/>
  <c r="AA63" i="1" s="1"/>
  <c r="AA64" i="1" s="1"/>
  <c r="AA65" i="1" s="1"/>
  <c r="AA66" i="1" s="1"/>
  <c r="AA67" i="1" s="1"/>
  <c r="AA68" i="1" s="1"/>
  <c r="AA69" i="1" s="1"/>
  <c r="AA70" i="1" s="1"/>
  <c r="AA71" i="1" s="1"/>
  <c r="AA72" i="1" s="1"/>
  <c r="AA73" i="1" s="1"/>
  <c r="AA74" i="1" s="1"/>
  <c r="AA75" i="1" s="1"/>
  <c r="AA76" i="1" s="1"/>
  <c r="AA77" i="1" s="1"/>
  <c r="AA78" i="1" s="1"/>
  <c r="AA79" i="1" s="1"/>
  <c r="AA80" i="1" s="1"/>
  <c r="AA81" i="1" s="1"/>
  <c r="AA82" i="1" s="1"/>
  <c r="AA83" i="1" s="1"/>
  <c r="AA84" i="1" s="1"/>
  <c r="AA85" i="1" s="1"/>
  <c r="AA86" i="1" s="1"/>
  <c r="AA87" i="1" s="1"/>
  <c r="AA88" i="1" s="1"/>
  <c r="AA89" i="1" s="1"/>
  <c r="AA90" i="1" s="1"/>
  <c r="AA91" i="1" s="1"/>
  <c r="AA92" i="1" s="1"/>
  <c r="AA93" i="1" s="1"/>
  <c r="AA94" i="1" s="1"/>
  <c r="AA95" i="1" s="1"/>
  <c r="AA96" i="1" s="1"/>
  <c r="AA97" i="1" s="1"/>
  <c r="AA98" i="1" s="1"/>
  <c r="AA99" i="1" s="1"/>
  <c r="AA100" i="1" s="1"/>
  <c r="AA101" i="1" s="1"/>
  <c r="AA102" i="1" s="1"/>
  <c r="AA103" i="1" s="1"/>
  <c r="AA104" i="1" s="1"/>
  <c r="AA105" i="1" s="1"/>
  <c r="AA106" i="1" s="1"/>
  <c r="AA107" i="1" s="1"/>
  <c r="AA108" i="1" s="1"/>
  <c r="AA109" i="1" s="1"/>
  <c r="AA110" i="1" s="1"/>
  <c r="AA111" i="1" s="1"/>
  <c r="AA112" i="1" s="1"/>
  <c r="AA113" i="1" s="1"/>
  <c r="AA114" i="1" s="1"/>
  <c r="AA115" i="1" s="1"/>
  <c r="AA116" i="1" s="1"/>
  <c r="AA117" i="1" s="1"/>
  <c r="AA118" i="1" s="1"/>
  <c r="AA119" i="1" s="1"/>
  <c r="AA120" i="1" s="1"/>
  <c r="AA121" i="1" s="1"/>
  <c r="AA122" i="1" s="1"/>
  <c r="AA123" i="1" s="1"/>
  <c r="AA124" i="1" s="1"/>
  <c r="AA125" i="1" s="1"/>
  <c r="AA126" i="1" s="1"/>
  <c r="AA127" i="1" s="1"/>
  <c r="AA128" i="1" s="1"/>
  <c r="AA129" i="1" s="1"/>
  <c r="AA130" i="1" s="1"/>
  <c r="AA131" i="1" s="1"/>
  <c r="AA132" i="1" s="1"/>
  <c r="AA133" i="1" s="1"/>
  <c r="AA134" i="1" s="1"/>
  <c r="AA135" i="1" s="1"/>
  <c r="AA136" i="1" s="1"/>
  <c r="AA137" i="1" s="1"/>
  <c r="AA138" i="1" s="1"/>
  <c r="AA139" i="1" s="1"/>
  <c r="AA140" i="1" s="1"/>
  <c r="AA141" i="1" s="1"/>
  <c r="AA142" i="1" s="1"/>
  <c r="AA143" i="1" s="1"/>
  <c r="AA144" i="1" s="1"/>
  <c r="AA145" i="1" s="1"/>
  <c r="AA146" i="1" s="1"/>
  <c r="AA147" i="1" s="1"/>
  <c r="AA148" i="1" s="1"/>
  <c r="AA149" i="1" s="1"/>
  <c r="AA150" i="1" s="1"/>
  <c r="AA151" i="1" s="1"/>
  <c r="AA152" i="1" s="1"/>
  <c r="AA153" i="1" s="1"/>
  <c r="AA154" i="1" s="1"/>
  <c r="AA155" i="1" s="1"/>
  <c r="AA156" i="1" s="1"/>
  <c r="AA157" i="1" s="1"/>
  <c r="AA158" i="1" s="1"/>
  <c r="AA159" i="1" s="1"/>
  <c r="AA160" i="1" s="1"/>
  <c r="AA161" i="1" s="1"/>
  <c r="AA162" i="1" s="1"/>
  <c r="AA163" i="1" s="1"/>
  <c r="AA164" i="1" s="1"/>
  <c r="AA165" i="1" s="1"/>
  <c r="AA166" i="1" s="1"/>
  <c r="AA167" i="1" s="1"/>
  <c r="AA168" i="1" s="1"/>
  <c r="AA169" i="1" s="1"/>
  <c r="AA170" i="1" s="1"/>
  <c r="AA171" i="1" s="1"/>
  <c r="AA172" i="1" s="1"/>
  <c r="AA173" i="1" s="1"/>
  <c r="AA174" i="1" s="1"/>
  <c r="AA175" i="1" s="1"/>
  <c r="AA176" i="1" s="1"/>
  <c r="AA177" i="1" s="1"/>
  <c r="AA178" i="1" s="1"/>
  <c r="AA179" i="1" s="1"/>
  <c r="AA180" i="1" s="1"/>
  <c r="AA181" i="1" s="1"/>
  <c r="AA182" i="1" s="1"/>
  <c r="AA183" i="1" s="1"/>
  <c r="AA184" i="1" s="1"/>
  <c r="AA185" i="1" s="1"/>
  <c r="AA186" i="1" s="1"/>
  <c r="AA187" i="1" s="1"/>
  <c r="AA188" i="1" s="1"/>
  <c r="AA189" i="1" s="1"/>
  <c r="AA190" i="1" s="1"/>
  <c r="AA191" i="1" s="1"/>
  <c r="AA192" i="1" s="1"/>
  <c r="AA193" i="1" s="1"/>
  <c r="AA194" i="1" s="1"/>
  <c r="AA195" i="1" s="1"/>
  <c r="AA196" i="1" s="1"/>
  <c r="AA197" i="1" s="1"/>
  <c r="AA198" i="1" s="1"/>
  <c r="AA199" i="1" s="1"/>
  <c r="AA200" i="1" s="1"/>
  <c r="AA201" i="1" s="1"/>
  <c r="AA202" i="1" s="1"/>
  <c r="AA203" i="1" s="1"/>
  <c r="AA204" i="1" s="1"/>
  <c r="AA205" i="1" s="1"/>
  <c r="AA206" i="1" s="1"/>
  <c r="AA207" i="1" s="1"/>
  <c r="AA208" i="1" s="1"/>
  <c r="AA209" i="1" s="1"/>
  <c r="AA210" i="1" s="1"/>
  <c r="AA211" i="1" s="1"/>
  <c r="AA212" i="1" s="1"/>
  <c r="AA213" i="1" s="1"/>
  <c r="AA214" i="1" s="1"/>
  <c r="AA215" i="1" s="1"/>
  <c r="AA216" i="1" s="1"/>
  <c r="AA217" i="1" s="1"/>
  <c r="AA218" i="1" s="1"/>
  <c r="AA219" i="1" s="1"/>
  <c r="AA220" i="1" s="1"/>
  <c r="AA221" i="1" s="1"/>
  <c r="AA222" i="1" s="1"/>
  <c r="AA223" i="1" s="1"/>
  <c r="AA224" i="1" s="1"/>
  <c r="AA225" i="1" s="1"/>
  <c r="AA226" i="1" s="1"/>
  <c r="AA227" i="1" s="1"/>
  <c r="AA228" i="1" s="1"/>
  <c r="AA229" i="1" s="1"/>
  <c r="AA230" i="1" s="1"/>
  <c r="AA231" i="1" s="1"/>
  <c r="AA232" i="1" s="1"/>
  <c r="AA233" i="1" s="1"/>
  <c r="AA234" i="1" s="1"/>
  <c r="AA235" i="1" s="1"/>
  <c r="AA236" i="1" s="1"/>
  <c r="AA237" i="1" s="1"/>
  <c r="AA238" i="1" s="1"/>
  <c r="AA239" i="1" s="1"/>
  <c r="AA240" i="1" s="1"/>
  <c r="AA241" i="1" s="1"/>
  <c r="AA242" i="1" s="1"/>
  <c r="AA243" i="1" s="1"/>
  <c r="AA244" i="1" s="1"/>
  <c r="AA245" i="1" s="1"/>
  <c r="AA246" i="1" s="1"/>
  <c r="AA247" i="1" s="1"/>
  <c r="AA248" i="1" s="1"/>
  <c r="AA249" i="1" s="1"/>
  <c r="AA250" i="1" s="1"/>
  <c r="AA251" i="1" s="1"/>
  <c r="AA252" i="1" s="1"/>
  <c r="AA253" i="1" s="1"/>
  <c r="AA254" i="1" s="1"/>
  <c r="AA255" i="1" s="1"/>
  <c r="AA256" i="1" s="1"/>
  <c r="AA257" i="1" s="1"/>
  <c r="AA258" i="1" s="1"/>
  <c r="AA259" i="1" s="1"/>
  <c r="AA260" i="1" s="1"/>
  <c r="AA261" i="1" s="1"/>
  <c r="AA262" i="1" s="1"/>
  <c r="AA263" i="1" s="1"/>
  <c r="AA264" i="1" s="1"/>
  <c r="AA265" i="1" s="1"/>
  <c r="AA266" i="1" s="1"/>
  <c r="AA267" i="1" s="1"/>
  <c r="AA268" i="1" s="1"/>
  <c r="AA269" i="1" s="1"/>
  <c r="AA270" i="1" s="1"/>
  <c r="AA271" i="1" s="1"/>
  <c r="AA272" i="1" s="1"/>
  <c r="AA273" i="1" s="1"/>
  <c r="AA274" i="1" s="1"/>
  <c r="AA275" i="1" s="1"/>
  <c r="AA276" i="1" s="1"/>
  <c r="AA277" i="1" s="1"/>
  <c r="AA278" i="1" s="1"/>
  <c r="AA279" i="1" s="1"/>
  <c r="AA280" i="1" s="1"/>
  <c r="AA281" i="1" s="1"/>
  <c r="AA282" i="1" s="1"/>
  <c r="AA283" i="1" s="1"/>
  <c r="AA284" i="1" s="1"/>
  <c r="AA285" i="1" s="1"/>
  <c r="AA286" i="1" s="1"/>
  <c r="AA287" i="1" s="1"/>
  <c r="AA288" i="1" s="1"/>
  <c r="AA289" i="1" s="1"/>
  <c r="AA290" i="1" s="1"/>
  <c r="AA291" i="1" s="1"/>
  <c r="AA292" i="1" s="1"/>
  <c r="AA293" i="1" s="1"/>
  <c r="AA294" i="1" s="1"/>
  <c r="AA295" i="1" s="1"/>
  <c r="AA296" i="1" s="1"/>
  <c r="AA297" i="1" s="1"/>
  <c r="AA298" i="1" s="1"/>
  <c r="AA299" i="1" s="1"/>
  <c r="AA300" i="1" s="1"/>
  <c r="AA301" i="1" s="1"/>
  <c r="AA302" i="1" s="1"/>
  <c r="AA303" i="1" s="1"/>
  <c r="AA304" i="1" s="1"/>
  <c r="AA305" i="1" s="1"/>
  <c r="AA306" i="1" s="1"/>
  <c r="AA307" i="1" s="1"/>
  <c r="AA308" i="1" s="1"/>
  <c r="AA309" i="1" s="1"/>
  <c r="AA310" i="1" s="1"/>
  <c r="AA311" i="1" s="1"/>
  <c r="AA312" i="1" s="1"/>
  <c r="AA313" i="1" s="1"/>
  <c r="AA314" i="1" s="1"/>
  <c r="AA315" i="1" s="1"/>
  <c r="AA316" i="1" s="1"/>
  <c r="AA317" i="1" s="1"/>
  <c r="AA318" i="1" s="1"/>
  <c r="AA319" i="1" s="1"/>
  <c r="AA320" i="1" s="1"/>
  <c r="AA321" i="1" s="1"/>
  <c r="AA322" i="1" s="1"/>
  <c r="AA323" i="1" s="1"/>
  <c r="AA324" i="1" s="1"/>
  <c r="AA325" i="1" s="1"/>
  <c r="AA326" i="1" s="1"/>
  <c r="AA327" i="1" s="1"/>
  <c r="AA328" i="1" s="1"/>
  <c r="AA329" i="1" s="1"/>
  <c r="AA330" i="1" s="1"/>
  <c r="AA331" i="1" s="1"/>
  <c r="AA332" i="1" s="1"/>
  <c r="AA333" i="1" s="1"/>
  <c r="AA334" i="1" s="1"/>
  <c r="AA335" i="1" s="1"/>
  <c r="AA336" i="1" s="1"/>
  <c r="AA337" i="1" s="1"/>
  <c r="AA338" i="1" s="1"/>
  <c r="AA339" i="1" s="1"/>
  <c r="AA340" i="1" s="1"/>
  <c r="AA341" i="1" s="1"/>
  <c r="AA342" i="1" s="1"/>
  <c r="AA343" i="1" s="1"/>
  <c r="AA344" i="1" s="1"/>
  <c r="AA345" i="1" s="1"/>
  <c r="AA346" i="1" s="1"/>
  <c r="AA347" i="1" s="1"/>
  <c r="AA348" i="1" s="1"/>
  <c r="AA349" i="1" s="1"/>
  <c r="AA350" i="1" s="1"/>
  <c r="AA351" i="1" s="1"/>
  <c r="AA352" i="1" s="1"/>
  <c r="AA353" i="1" s="1"/>
  <c r="AA354" i="1" s="1"/>
  <c r="AA355" i="1" s="1"/>
  <c r="AA356" i="1" s="1"/>
  <c r="AA357" i="1" s="1"/>
  <c r="AA358" i="1" s="1"/>
  <c r="AA359" i="1" s="1"/>
  <c r="AA360" i="1" s="1"/>
  <c r="AA361" i="1" s="1"/>
  <c r="AA362" i="1" s="1"/>
  <c r="AA363" i="1" s="1"/>
  <c r="AA364" i="1" s="1"/>
  <c r="AA365" i="1" s="1"/>
  <c r="AA366" i="1" s="1"/>
  <c r="AA367" i="1" s="1"/>
  <c r="AA368" i="1" s="1"/>
  <c r="AA369" i="1" s="1"/>
  <c r="AA370" i="1" s="1"/>
  <c r="AA371" i="1" s="1"/>
  <c r="AA372" i="1" s="1"/>
  <c r="AA373" i="1" s="1"/>
  <c r="AA374" i="1" s="1"/>
  <c r="AA375" i="1" s="1"/>
  <c r="AA376" i="1" s="1"/>
  <c r="AA377" i="1" s="1"/>
  <c r="AA378" i="1" s="1"/>
  <c r="AA379" i="1" s="1"/>
  <c r="AA380" i="1" s="1"/>
  <c r="AA381" i="1" s="1"/>
  <c r="AA382" i="1" s="1"/>
  <c r="AA383" i="1" s="1"/>
  <c r="AA384" i="1" s="1"/>
  <c r="AA385" i="1" s="1"/>
  <c r="AA386" i="1" s="1"/>
  <c r="AA387" i="1" s="1"/>
  <c r="AA388" i="1" s="1"/>
  <c r="AA389" i="1" s="1"/>
  <c r="AA390" i="1" s="1"/>
  <c r="AA391" i="1" s="1"/>
  <c r="AA392" i="1" s="1"/>
  <c r="AA393" i="1" s="1"/>
  <c r="AA394" i="1" s="1"/>
  <c r="AA395" i="1" s="1"/>
  <c r="AA396" i="1" s="1"/>
  <c r="AA397" i="1" s="1"/>
  <c r="AA398" i="1" s="1"/>
  <c r="AA399" i="1" s="1"/>
  <c r="AA400" i="1" s="1"/>
  <c r="AA401" i="1" s="1"/>
  <c r="AA402" i="1" s="1"/>
  <c r="AA403" i="1" s="1"/>
  <c r="AA404" i="1" s="1"/>
  <c r="AA405" i="1" s="1"/>
  <c r="AA406" i="1" s="1"/>
  <c r="AA407" i="1" s="1"/>
  <c r="AA408" i="1" s="1"/>
  <c r="AA409" i="1" s="1"/>
  <c r="AA410" i="1" s="1"/>
  <c r="AA411" i="1" s="1"/>
  <c r="AA412" i="1" s="1"/>
  <c r="AA413" i="1" s="1"/>
  <c r="AA414" i="1" s="1"/>
  <c r="AA415" i="1" s="1"/>
  <c r="AA416" i="1" s="1"/>
  <c r="AA417" i="1" s="1"/>
  <c r="AA418" i="1" s="1"/>
  <c r="AA419" i="1" s="1"/>
  <c r="AA420" i="1" s="1"/>
  <c r="AA421" i="1" s="1"/>
  <c r="AA422" i="1" s="1"/>
  <c r="AA423" i="1" s="1"/>
  <c r="AA424" i="1" s="1"/>
  <c r="AA425" i="1" s="1"/>
  <c r="AA426" i="1" s="1"/>
  <c r="AA427" i="1" s="1"/>
  <c r="AA428" i="1" s="1"/>
  <c r="AA429" i="1" s="1"/>
  <c r="AA430" i="1" s="1"/>
  <c r="AA431" i="1" s="1"/>
  <c r="AA432" i="1" s="1"/>
  <c r="AA433" i="1" s="1"/>
  <c r="AA434" i="1" s="1"/>
  <c r="AA435" i="1" s="1"/>
  <c r="AA436" i="1" s="1"/>
  <c r="AA437" i="1" s="1"/>
  <c r="AA438" i="1" s="1"/>
  <c r="AA439" i="1" s="1"/>
  <c r="AA440" i="1" s="1"/>
  <c r="AA441" i="1" s="1"/>
  <c r="AA442" i="1" s="1"/>
  <c r="AA443" i="1" s="1"/>
  <c r="AA444" i="1" s="1"/>
  <c r="AA445" i="1" s="1"/>
  <c r="AA446" i="1" s="1"/>
  <c r="AA447" i="1" s="1"/>
  <c r="AA448" i="1" s="1"/>
  <c r="AA449" i="1" s="1"/>
  <c r="AA450" i="1" s="1"/>
  <c r="AA451" i="1" s="1"/>
  <c r="AA452" i="1" s="1"/>
  <c r="AA453" i="1" s="1"/>
  <c r="AA454" i="1" s="1"/>
  <c r="AA455" i="1" s="1"/>
  <c r="AA456" i="1" s="1"/>
  <c r="AA457" i="1" s="1"/>
  <c r="AA458" i="1" s="1"/>
  <c r="AA459" i="1" s="1"/>
  <c r="AA460" i="1" s="1"/>
  <c r="AA461" i="1" s="1"/>
  <c r="AA462" i="1" s="1"/>
  <c r="AA463" i="1" s="1"/>
  <c r="AA464" i="1" s="1"/>
  <c r="AA465" i="1" s="1"/>
  <c r="AA466" i="1" s="1"/>
  <c r="AA467" i="1" s="1"/>
  <c r="AA468" i="1" s="1"/>
  <c r="AA469" i="1" s="1"/>
  <c r="AA470" i="1" s="1"/>
  <c r="AA471" i="1" s="1"/>
  <c r="AA472" i="1" s="1"/>
  <c r="AA473" i="1" s="1"/>
  <c r="AA474" i="1" s="1"/>
  <c r="AA475" i="1" s="1"/>
  <c r="AA476" i="1" s="1"/>
  <c r="AA477" i="1" s="1"/>
  <c r="AA478" i="1" s="1"/>
  <c r="AA479" i="1" s="1"/>
  <c r="AA480" i="1" s="1"/>
  <c r="AA481" i="1" s="1"/>
  <c r="AA482" i="1" s="1"/>
  <c r="AA483" i="1" s="1"/>
  <c r="AA484" i="1" s="1"/>
  <c r="AA485" i="1" s="1"/>
  <c r="AA486" i="1" s="1"/>
  <c r="AA487" i="1" s="1"/>
  <c r="AA488" i="1" s="1"/>
  <c r="AA489" i="1" s="1"/>
  <c r="AA490" i="1" s="1"/>
  <c r="AA491" i="1" s="1"/>
  <c r="AA492" i="1" s="1"/>
  <c r="AA493" i="1" s="1"/>
  <c r="AA494" i="1" s="1"/>
  <c r="AA495" i="1" s="1"/>
  <c r="AA496" i="1" s="1"/>
  <c r="AA497" i="1" s="1"/>
  <c r="AA498" i="1" s="1"/>
  <c r="AA499" i="1" s="1"/>
  <c r="AA500" i="1" s="1"/>
  <c r="AA501" i="1" s="1"/>
  <c r="AA502" i="1" s="1"/>
  <c r="AA503" i="1" s="1"/>
  <c r="AA504" i="1" s="1"/>
  <c r="AA505" i="1" s="1"/>
  <c r="AA506" i="1" s="1"/>
  <c r="AA507" i="1" s="1"/>
  <c r="AA508" i="1" s="1"/>
  <c r="AA509" i="1" s="1"/>
  <c r="AA510" i="1" s="1"/>
  <c r="AA511" i="1" s="1"/>
  <c r="AA512" i="1" s="1"/>
  <c r="AA513" i="1" s="1"/>
  <c r="AA514" i="1" s="1"/>
  <c r="AA515" i="1" s="1"/>
  <c r="AA516" i="1" s="1"/>
  <c r="AA517" i="1" s="1"/>
  <c r="AA518" i="1" s="1"/>
  <c r="AA519" i="1" s="1"/>
  <c r="AA520" i="1" s="1"/>
  <c r="AA521" i="1" s="1"/>
  <c r="AA522" i="1" s="1"/>
  <c r="AA523" i="1" s="1"/>
  <c r="AA524" i="1" s="1"/>
  <c r="AA525" i="1" s="1"/>
  <c r="AA526" i="1" s="1"/>
  <c r="AA527" i="1" s="1"/>
  <c r="AA528" i="1" s="1"/>
  <c r="AA529" i="1" s="1"/>
  <c r="AA530" i="1" s="1"/>
  <c r="AA531" i="1" s="1"/>
  <c r="AA532" i="1" s="1"/>
  <c r="AA533" i="1" s="1"/>
  <c r="AA534" i="1" s="1"/>
  <c r="AA535" i="1" s="1"/>
  <c r="AA536" i="1" s="1"/>
  <c r="AA537" i="1" s="1"/>
  <c r="AA538" i="1" s="1"/>
  <c r="AA539" i="1" s="1"/>
  <c r="AA540" i="1" s="1"/>
  <c r="AA541" i="1" s="1"/>
  <c r="AA542" i="1" s="1"/>
  <c r="AA543" i="1" s="1"/>
  <c r="AA544" i="1" s="1"/>
  <c r="AA545" i="1" s="1"/>
  <c r="AA546" i="1" s="1"/>
  <c r="AA547" i="1" s="1"/>
  <c r="AA548" i="1" s="1"/>
  <c r="AA549" i="1" s="1"/>
  <c r="AA550" i="1" s="1"/>
  <c r="AA551" i="1" s="1"/>
  <c r="AA552" i="1" s="1"/>
  <c r="AA553" i="1" s="1"/>
  <c r="AA554" i="1" s="1"/>
  <c r="AA555" i="1" s="1"/>
  <c r="AA556" i="1" s="1"/>
  <c r="AA557" i="1" s="1"/>
  <c r="AA558" i="1" s="1"/>
  <c r="AA559" i="1" s="1"/>
  <c r="AA560" i="1" s="1"/>
  <c r="AA561" i="1" s="1"/>
  <c r="AA562" i="1" s="1"/>
  <c r="AA563" i="1" s="1"/>
  <c r="AA564" i="1" s="1"/>
  <c r="AA565" i="1" s="1"/>
  <c r="AA566" i="1" s="1"/>
  <c r="AA567" i="1" s="1"/>
  <c r="AA568" i="1" s="1"/>
  <c r="AA569" i="1" s="1"/>
  <c r="AA570" i="1" s="1"/>
  <c r="AA571" i="1" s="1"/>
  <c r="AA572" i="1" s="1"/>
  <c r="AA573" i="1" s="1"/>
  <c r="AA574" i="1" s="1"/>
  <c r="AA575" i="1" s="1"/>
  <c r="AA576" i="1" s="1"/>
  <c r="AA577" i="1" s="1"/>
  <c r="AA578" i="1" s="1"/>
  <c r="AA579" i="1" s="1"/>
  <c r="AA580" i="1" s="1"/>
  <c r="AA581" i="1" s="1"/>
  <c r="AA582" i="1" s="1"/>
  <c r="AA583" i="1" s="1"/>
  <c r="AA584" i="1" s="1"/>
  <c r="AA585" i="1" s="1"/>
  <c r="AA586" i="1" s="1"/>
  <c r="AA587" i="1" s="1"/>
  <c r="AA588" i="1" s="1"/>
  <c r="AA589" i="1" s="1"/>
  <c r="AA590" i="1" s="1"/>
  <c r="AA591" i="1" s="1"/>
  <c r="AA592" i="1" s="1"/>
  <c r="AA593" i="1" s="1"/>
  <c r="AA594" i="1" s="1"/>
  <c r="AA595" i="1" s="1"/>
  <c r="AA596" i="1" s="1"/>
  <c r="AA597" i="1" s="1"/>
  <c r="AA598" i="1" s="1"/>
  <c r="AA599" i="1" s="1"/>
  <c r="AA600" i="1" s="1"/>
  <c r="AA601" i="1" s="1"/>
  <c r="AA602" i="1" s="1"/>
  <c r="AA603" i="1" s="1"/>
  <c r="AA604" i="1" s="1"/>
  <c r="AA605" i="1" s="1"/>
  <c r="AA606" i="1" s="1"/>
  <c r="AA607" i="1" s="1"/>
  <c r="AA608" i="1" s="1"/>
  <c r="AA609" i="1" s="1"/>
  <c r="AA610" i="1" s="1"/>
  <c r="AA611" i="1" s="1"/>
  <c r="AA612" i="1" s="1"/>
  <c r="AA613" i="1" s="1"/>
  <c r="AA614" i="1" s="1"/>
  <c r="AA615" i="1" s="1"/>
  <c r="AA616" i="1" s="1"/>
  <c r="AA617" i="1" s="1"/>
  <c r="AA618" i="1" s="1"/>
  <c r="AA619" i="1" s="1"/>
  <c r="AA620" i="1" s="1"/>
  <c r="AA621" i="1" s="1"/>
  <c r="AA622" i="1" s="1"/>
  <c r="AA623" i="1" s="1"/>
  <c r="AA624" i="1" s="1"/>
  <c r="AA625" i="1" s="1"/>
  <c r="AA626" i="1" s="1"/>
  <c r="AA627" i="1" s="1"/>
  <c r="AA628" i="1" s="1"/>
  <c r="AA629" i="1" s="1"/>
  <c r="AA630" i="1" s="1"/>
  <c r="AA631" i="1" s="1"/>
  <c r="AA632" i="1" s="1"/>
  <c r="AA633" i="1" s="1"/>
  <c r="AA634" i="1" s="1"/>
  <c r="AA635" i="1" s="1"/>
  <c r="AA636" i="1" s="1"/>
  <c r="AA637" i="1" s="1"/>
  <c r="AA638" i="1" s="1"/>
  <c r="AA639" i="1" s="1"/>
  <c r="AA640" i="1" s="1"/>
  <c r="AA641" i="1" s="1"/>
  <c r="AA642" i="1" s="1"/>
  <c r="AA643" i="1" s="1"/>
  <c r="AA644" i="1" s="1"/>
  <c r="AA645" i="1" s="1"/>
  <c r="AA646" i="1" s="1"/>
  <c r="AA647" i="1" s="1"/>
  <c r="AA648" i="1" s="1"/>
  <c r="AA649" i="1" s="1"/>
  <c r="AA650" i="1" s="1"/>
  <c r="AA651" i="1" s="1"/>
  <c r="AA652" i="1" s="1"/>
  <c r="AA653" i="1" s="1"/>
  <c r="AA654" i="1" s="1"/>
  <c r="AA655" i="1" s="1"/>
  <c r="AA656" i="1" s="1"/>
  <c r="AA657" i="1" s="1"/>
  <c r="AA658" i="1" s="1"/>
  <c r="AA659" i="1" s="1"/>
  <c r="AA660" i="1" s="1"/>
  <c r="AA661" i="1" s="1"/>
  <c r="AA662" i="1" s="1"/>
  <c r="AA663" i="1" s="1"/>
  <c r="AA664" i="1" s="1"/>
  <c r="AA665" i="1" s="1"/>
  <c r="AA666" i="1" s="1"/>
  <c r="AA667" i="1" s="1"/>
  <c r="AA668" i="1" s="1"/>
  <c r="AA669" i="1" s="1"/>
  <c r="AA670" i="1" s="1"/>
  <c r="AA671" i="1" s="1"/>
  <c r="AA672" i="1" s="1"/>
  <c r="AA673" i="1" s="1"/>
  <c r="AA674" i="1" s="1"/>
  <c r="AA675" i="1" s="1"/>
  <c r="AA676" i="1" s="1"/>
  <c r="AA677" i="1" s="1"/>
  <c r="AA678" i="1" s="1"/>
  <c r="AA679" i="1" s="1"/>
  <c r="AA680" i="1" s="1"/>
  <c r="AA681" i="1" s="1"/>
  <c r="AA682" i="1" s="1"/>
  <c r="AA683" i="1" s="1"/>
  <c r="AA684" i="1" s="1"/>
  <c r="AA685" i="1" s="1"/>
  <c r="AA686" i="1" s="1"/>
  <c r="AA687" i="1" s="1"/>
  <c r="AA688" i="1" s="1"/>
  <c r="AA689" i="1" s="1"/>
  <c r="AA690" i="1" s="1"/>
  <c r="AA691" i="1" s="1"/>
  <c r="AA692" i="1" s="1"/>
  <c r="AA693" i="1" s="1"/>
  <c r="AA694" i="1" s="1"/>
  <c r="AA695" i="1" s="1"/>
  <c r="AA696" i="1" s="1"/>
  <c r="AA697" i="1" s="1"/>
  <c r="AA698" i="1" s="1"/>
  <c r="AA699" i="1" s="1"/>
  <c r="AA700" i="1" s="1"/>
  <c r="AA701" i="1" s="1"/>
  <c r="AA702" i="1" s="1"/>
  <c r="AA703" i="1" s="1"/>
  <c r="AA704" i="1" s="1"/>
  <c r="AA705" i="1" s="1"/>
  <c r="AA706" i="1" s="1"/>
  <c r="AA707" i="1" s="1"/>
  <c r="AA708" i="1" s="1"/>
  <c r="AA709" i="1" s="1"/>
  <c r="AA710" i="1" s="1"/>
  <c r="AA711" i="1" s="1"/>
  <c r="AA712" i="1" s="1"/>
  <c r="AA713" i="1" s="1"/>
  <c r="AA714" i="1" s="1"/>
  <c r="AA715" i="1" s="1"/>
  <c r="AA716" i="1" s="1"/>
  <c r="AA717" i="1" s="1"/>
  <c r="AA718" i="1" s="1"/>
  <c r="AA719" i="1" s="1"/>
  <c r="AA720" i="1" s="1"/>
  <c r="AA721" i="1" s="1"/>
  <c r="AA722" i="1" s="1"/>
  <c r="AA723" i="1" s="1"/>
  <c r="AA724" i="1" s="1"/>
  <c r="AA725" i="1" s="1"/>
  <c r="AA726" i="1" s="1"/>
  <c r="AA727" i="1" s="1"/>
  <c r="AA728" i="1" s="1"/>
  <c r="AA729" i="1" s="1"/>
  <c r="AA730" i="1" s="1"/>
  <c r="AA731" i="1" s="1"/>
  <c r="AA732" i="1" s="1"/>
  <c r="AA733" i="1" s="1"/>
  <c r="AA734" i="1" s="1"/>
  <c r="AA735" i="1" s="1"/>
  <c r="AA736" i="1" s="1"/>
  <c r="AA737" i="1" s="1"/>
  <c r="AA738" i="1" s="1"/>
  <c r="AA739" i="1" s="1"/>
  <c r="AA740" i="1" s="1"/>
  <c r="AA741" i="1" s="1"/>
  <c r="AA742" i="1" s="1"/>
  <c r="AA743" i="1" s="1"/>
  <c r="AA744" i="1" s="1"/>
  <c r="AA745" i="1" s="1"/>
  <c r="AA746" i="1" s="1"/>
  <c r="AA747" i="1" s="1"/>
  <c r="AA748" i="1" s="1"/>
  <c r="AA749" i="1" s="1"/>
  <c r="AA750" i="1" s="1"/>
  <c r="AA751" i="1" s="1"/>
  <c r="AA752" i="1" s="1"/>
  <c r="AA753" i="1" s="1"/>
  <c r="AA754" i="1" s="1"/>
  <c r="AA755" i="1" s="1"/>
  <c r="AA756" i="1" s="1"/>
  <c r="AA757" i="1" s="1"/>
  <c r="AA758" i="1" s="1"/>
  <c r="AA759" i="1" s="1"/>
  <c r="AA760" i="1" s="1"/>
  <c r="AA761" i="1" s="1"/>
  <c r="AA762" i="1" s="1"/>
  <c r="AA763" i="1" s="1"/>
  <c r="AA764" i="1" s="1"/>
  <c r="AA765" i="1" s="1"/>
  <c r="AA766" i="1" s="1"/>
  <c r="AA767" i="1" s="1"/>
  <c r="AA768" i="1" s="1"/>
  <c r="AA769" i="1" s="1"/>
  <c r="AA770" i="1" s="1"/>
  <c r="AA771" i="1" s="1"/>
  <c r="AA772" i="1" s="1"/>
  <c r="AA773" i="1" s="1"/>
  <c r="AA774" i="1" s="1"/>
  <c r="AA775" i="1" s="1"/>
  <c r="AA776" i="1" s="1"/>
  <c r="AA777" i="1" s="1"/>
  <c r="AA778" i="1" s="1"/>
  <c r="AA779" i="1" s="1"/>
  <c r="AA780" i="1" s="1"/>
  <c r="AA781" i="1" s="1"/>
  <c r="AA782" i="1" s="1"/>
  <c r="AA783" i="1" s="1"/>
  <c r="AA784" i="1" s="1"/>
  <c r="AA785" i="1" s="1"/>
  <c r="AA786" i="1" s="1"/>
  <c r="AA787" i="1" s="1"/>
  <c r="AA788" i="1" s="1"/>
  <c r="AA789" i="1" s="1"/>
  <c r="AA790" i="1" s="1"/>
  <c r="AA791" i="1" s="1"/>
  <c r="AA792" i="1" s="1"/>
  <c r="AA793" i="1" s="1"/>
  <c r="AA794" i="1" s="1"/>
  <c r="AA795" i="1" s="1"/>
  <c r="AA796" i="1" s="1"/>
  <c r="AA797" i="1" s="1"/>
  <c r="AA798" i="1" s="1"/>
  <c r="AA799" i="1" s="1"/>
  <c r="AA800" i="1" s="1"/>
  <c r="AA801" i="1" s="1"/>
  <c r="AA802" i="1" s="1"/>
  <c r="AA803" i="1" s="1"/>
  <c r="AA804" i="1" s="1"/>
  <c r="AA805" i="1" s="1"/>
  <c r="AA806" i="1" s="1"/>
  <c r="AA807" i="1" s="1"/>
  <c r="AA808" i="1" s="1"/>
  <c r="AA809" i="1" s="1"/>
  <c r="AA810" i="1" s="1"/>
  <c r="AA811" i="1" s="1"/>
  <c r="AA812" i="1" s="1"/>
  <c r="AA813" i="1" s="1"/>
  <c r="AA814" i="1" s="1"/>
  <c r="AA815" i="1" s="1"/>
  <c r="AA816" i="1" s="1"/>
  <c r="AA817" i="1" s="1"/>
  <c r="AA818" i="1" s="1"/>
  <c r="AA819" i="1" s="1"/>
  <c r="AA820" i="1" s="1"/>
  <c r="AA821" i="1" s="1"/>
  <c r="AA822" i="1" s="1"/>
  <c r="AA823" i="1" s="1"/>
  <c r="AA824" i="1" s="1"/>
  <c r="AA825" i="1" s="1"/>
  <c r="AA826" i="1" s="1"/>
  <c r="AA827" i="1" s="1"/>
  <c r="AA828" i="1" s="1"/>
  <c r="AA829" i="1" s="1"/>
  <c r="AA830" i="1" s="1"/>
  <c r="AA831" i="1" s="1"/>
  <c r="AA832" i="1" s="1"/>
  <c r="AA833" i="1" s="1"/>
  <c r="AA834" i="1" s="1"/>
  <c r="AA835" i="1" s="1"/>
  <c r="AA836" i="1" s="1"/>
  <c r="AA837" i="1" s="1"/>
  <c r="AA838" i="1" s="1"/>
  <c r="AA839" i="1" s="1"/>
  <c r="AA840" i="1" s="1"/>
  <c r="AA841" i="1" s="1"/>
  <c r="AA842" i="1" s="1"/>
  <c r="AA843" i="1" s="1"/>
  <c r="AA844" i="1" s="1"/>
  <c r="AA845" i="1" s="1"/>
  <c r="AA846" i="1" s="1"/>
  <c r="AA847" i="1" s="1"/>
  <c r="AA848" i="1" s="1"/>
  <c r="AA849" i="1" s="1"/>
  <c r="AA850" i="1" s="1"/>
  <c r="AA851" i="1" s="1"/>
  <c r="AA852" i="1" s="1"/>
  <c r="AA853" i="1" s="1"/>
  <c r="AA854" i="1" s="1"/>
  <c r="AA855" i="1" s="1"/>
  <c r="AA856" i="1" s="1"/>
  <c r="AA857" i="1" s="1"/>
  <c r="AA858" i="1" s="1"/>
  <c r="AA859" i="1" s="1"/>
  <c r="AA860" i="1" s="1"/>
  <c r="AA861" i="1" s="1"/>
  <c r="AA862" i="1" s="1"/>
  <c r="AA863" i="1" s="1"/>
  <c r="AA864" i="1" s="1"/>
  <c r="AA865" i="1" s="1"/>
  <c r="AA866" i="1" s="1"/>
  <c r="AA867" i="1" s="1"/>
  <c r="AA868" i="1" s="1"/>
  <c r="AA869" i="1" s="1"/>
  <c r="AA870" i="1" s="1"/>
  <c r="AA871" i="1" s="1"/>
  <c r="AA872" i="1" s="1"/>
  <c r="AA873" i="1" s="1"/>
  <c r="AA874" i="1" s="1"/>
  <c r="AA875" i="1" s="1"/>
  <c r="AA876" i="1" s="1"/>
  <c r="AA877" i="1" s="1"/>
  <c r="AA878" i="1" s="1"/>
  <c r="AA879" i="1" s="1"/>
  <c r="AA880" i="1" s="1"/>
  <c r="AA881" i="1" s="1"/>
  <c r="AA882" i="1" s="1"/>
  <c r="AA883" i="1" s="1"/>
  <c r="AA884" i="1" s="1"/>
  <c r="AA885" i="1" s="1"/>
  <c r="AA886" i="1" s="1"/>
  <c r="AA887" i="1" s="1"/>
  <c r="AA888" i="1" s="1"/>
  <c r="AA889" i="1" s="1"/>
  <c r="AA890" i="1" s="1"/>
  <c r="AA891" i="1" s="1"/>
  <c r="AA892" i="1" s="1"/>
  <c r="AA893" i="1" s="1"/>
  <c r="AA894" i="1" s="1"/>
  <c r="AA895" i="1" s="1"/>
  <c r="AA896" i="1" s="1"/>
  <c r="AA897" i="1" s="1"/>
  <c r="AA898" i="1" s="1"/>
  <c r="AA899" i="1" s="1"/>
  <c r="AA900" i="1" s="1"/>
  <c r="AA901" i="1" s="1"/>
  <c r="AA902" i="1" s="1"/>
  <c r="AA903" i="1" s="1"/>
  <c r="AA904" i="1" s="1"/>
  <c r="AA905" i="1" s="1"/>
  <c r="AA906" i="1" s="1"/>
  <c r="AA907" i="1" s="1"/>
  <c r="AA908" i="1" s="1"/>
  <c r="AA909" i="1" s="1"/>
  <c r="AA910" i="1" s="1"/>
  <c r="AA911" i="1" s="1"/>
  <c r="AA912" i="1" s="1"/>
  <c r="AA913" i="1" s="1"/>
  <c r="AA914" i="1" s="1"/>
  <c r="AA915" i="1" s="1"/>
  <c r="AA916" i="1" s="1"/>
  <c r="AA917" i="1" s="1"/>
  <c r="AA918" i="1" s="1"/>
  <c r="AA919" i="1" s="1"/>
  <c r="AA920" i="1" s="1"/>
  <c r="AA921" i="1" s="1"/>
  <c r="AA922" i="1" s="1"/>
  <c r="AA923" i="1" s="1"/>
  <c r="AA924" i="1" s="1"/>
  <c r="AA925" i="1" s="1"/>
  <c r="AA926" i="1" s="1"/>
  <c r="AA927" i="1" s="1"/>
  <c r="AA928" i="1" s="1"/>
  <c r="AA929" i="1" s="1"/>
  <c r="AA930" i="1" s="1"/>
  <c r="AA931" i="1" s="1"/>
  <c r="AA932" i="1" s="1"/>
  <c r="AA933" i="1" s="1"/>
  <c r="AA934" i="1" s="1"/>
  <c r="AA935" i="1" s="1"/>
  <c r="AA936" i="1" s="1"/>
  <c r="AA937" i="1" s="1"/>
  <c r="AA938" i="1" s="1"/>
  <c r="AA939" i="1" s="1"/>
  <c r="AA940" i="1" s="1"/>
  <c r="AA941" i="1" s="1"/>
  <c r="AA942" i="1" s="1"/>
  <c r="AA943" i="1" s="1"/>
  <c r="AA944" i="1" s="1"/>
  <c r="AA945" i="1" s="1"/>
  <c r="AA946" i="1" s="1"/>
  <c r="AA947" i="1" s="1"/>
  <c r="AA948" i="1" s="1"/>
  <c r="AA949" i="1" s="1"/>
  <c r="AA950" i="1" s="1"/>
  <c r="AA951" i="1" s="1"/>
  <c r="AA952" i="1" s="1"/>
  <c r="AA953" i="1" s="1"/>
  <c r="AA954" i="1" s="1"/>
  <c r="AA955" i="1" s="1"/>
  <c r="AA956" i="1" s="1"/>
  <c r="AA957" i="1" s="1"/>
  <c r="AA958" i="1" s="1"/>
  <c r="AA959" i="1" s="1"/>
  <c r="AA960" i="1" s="1"/>
  <c r="AA961" i="1" s="1"/>
  <c r="AA962" i="1" s="1"/>
  <c r="AA963" i="1" s="1"/>
  <c r="AA964" i="1" s="1"/>
  <c r="AA965" i="1" s="1"/>
  <c r="AA966" i="1" s="1"/>
  <c r="AA967" i="1" s="1"/>
  <c r="AA968" i="1" s="1"/>
  <c r="AA969" i="1" s="1"/>
  <c r="AA970" i="1" s="1"/>
  <c r="AA971" i="1" s="1"/>
  <c r="AA972" i="1" s="1"/>
  <c r="AA973" i="1" s="1"/>
  <c r="AA974" i="1" s="1"/>
  <c r="AA975" i="1" s="1"/>
  <c r="AA976" i="1" s="1"/>
  <c r="AA977" i="1" s="1"/>
  <c r="AA978" i="1" s="1"/>
  <c r="AA979" i="1" s="1"/>
  <c r="AA980" i="1" s="1"/>
  <c r="AA981" i="1" s="1"/>
  <c r="AA982" i="1" s="1"/>
  <c r="AA983" i="1" s="1"/>
  <c r="AA984" i="1" s="1"/>
  <c r="AA985" i="1" s="1"/>
  <c r="AA986" i="1" s="1"/>
  <c r="AA987" i="1" s="1"/>
  <c r="AA988" i="1" s="1"/>
  <c r="AA989" i="1" s="1"/>
  <c r="AA990" i="1" s="1"/>
  <c r="AA991" i="1" s="1"/>
  <c r="AA992" i="1" s="1"/>
  <c r="AA993" i="1" s="1"/>
  <c r="AA994" i="1" s="1"/>
  <c r="AA995" i="1" s="1"/>
  <c r="AA996" i="1" s="1"/>
  <c r="AA997" i="1" s="1"/>
  <c r="AA998" i="1" s="1"/>
  <c r="AA999" i="1" s="1"/>
  <c r="AA1000" i="1" s="1"/>
  <c r="AA1001" i="1" s="1"/>
  <c r="AA1002" i="1" s="1"/>
  <c r="AA1003" i="1" s="1"/>
  <c r="AA1004" i="1" s="1"/>
  <c r="AA1005" i="1" s="1"/>
  <c r="AA1006" i="1" s="1"/>
  <c r="AA1007" i="1" s="1"/>
  <c r="AA1008" i="1" s="1"/>
  <c r="AA1009" i="1" s="1"/>
  <c r="AA1010" i="1" s="1"/>
  <c r="AA1011" i="1" s="1"/>
  <c r="AA1012" i="1" s="1"/>
  <c r="AA1013" i="1" s="1"/>
  <c r="AA1014" i="1" s="1"/>
  <c r="AA1015" i="1" s="1"/>
  <c r="AA1016" i="1" s="1"/>
  <c r="AA1017" i="1" s="1"/>
  <c r="AA1018" i="1" s="1"/>
  <c r="AA1019" i="1" s="1"/>
  <c r="AA1020" i="1" s="1"/>
  <c r="AA1021" i="1" s="1"/>
  <c r="AA1022" i="1" s="1"/>
  <c r="AA1023" i="1" s="1"/>
  <c r="AA1024" i="1" s="1"/>
  <c r="AA1025" i="1" s="1"/>
  <c r="AA1026" i="1" s="1"/>
  <c r="AA1027" i="1" s="1"/>
  <c r="AA1028" i="1" s="1"/>
  <c r="AA1029" i="1" s="1"/>
  <c r="AA1030" i="1" s="1"/>
  <c r="AA1031" i="1" s="1"/>
  <c r="AA1032" i="1" s="1"/>
  <c r="AA1033" i="1" s="1"/>
  <c r="AA1034" i="1" s="1"/>
  <c r="AA1035" i="1" s="1"/>
  <c r="AA1036" i="1" s="1"/>
  <c r="AA1037" i="1" s="1"/>
  <c r="AA1038" i="1" s="1"/>
  <c r="AA1039" i="1" s="1"/>
  <c r="AA1040" i="1" s="1"/>
  <c r="AA1041" i="1" s="1"/>
  <c r="AA1042" i="1" s="1"/>
  <c r="AA1043" i="1" s="1"/>
  <c r="AA1044" i="1" s="1"/>
  <c r="AA1045" i="1" s="1"/>
  <c r="AA1046" i="1" s="1"/>
  <c r="AA1047" i="1" s="1"/>
  <c r="AA1048" i="1" s="1"/>
  <c r="AA1049" i="1" s="1"/>
  <c r="AA1050" i="1" s="1"/>
  <c r="AA1051" i="1" s="1"/>
  <c r="AA1052" i="1" s="1"/>
  <c r="AA1053" i="1" s="1"/>
  <c r="AA1054" i="1" s="1"/>
  <c r="AA1055" i="1" s="1"/>
  <c r="AA1056" i="1" s="1"/>
  <c r="AA1057" i="1" s="1"/>
  <c r="AA1058" i="1" s="1"/>
  <c r="AA1059" i="1" s="1"/>
  <c r="AA1060" i="1" s="1"/>
  <c r="AA1061" i="1" s="1"/>
  <c r="AA1062" i="1" s="1"/>
  <c r="AA1063" i="1" s="1"/>
  <c r="AA1064" i="1" s="1"/>
  <c r="AA1065" i="1" s="1"/>
  <c r="AA1066" i="1" s="1"/>
  <c r="AA1067" i="1" s="1"/>
  <c r="AA1068" i="1" s="1"/>
  <c r="AA1069" i="1" s="1"/>
  <c r="AA1070" i="1" s="1"/>
  <c r="AA1071" i="1" s="1"/>
  <c r="AA1072" i="1" s="1"/>
  <c r="AA1073" i="1" s="1"/>
  <c r="AA1074" i="1" s="1"/>
  <c r="AA1075" i="1" s="1"/>
  <c r="AA1076" i="1" s="1"/>
  <c r="AA1077" i="1" s="1"/>
  <c r="AA1078" i="1" s="1"/>
  <c r="AA1079" i="1" s="1"/>
  <c r="AA1080" i="1" s="1"/>
  <c r="AA1081" i="1" s="1"/>
  <c r="AA1082" i="1" s="1"/>
  <c r="AA1083" i="1" s="1"/>
  <c r="AA1084" i="1" s="1"/>
  <c r="AA1085" i="1" s="1"/>
  <c r="AA1086" i="1" s="1"/>
  <c r="AA1087" i="1" s="1"/>
  <c r="AA1088" i="1" s="1"/>
  <c r="AA1089" i="1" s="1"/>
  <c r="AA1090" i="1" s="1"/>
  <c r="AA1091" i="1" s="1"/>
  <c r="AA1092" i="1" s="1"/>
  <c r="AA1093" i="1" s="1"/>
  <c r="AA1094" i="1" s="1"/>
  <c r="AA1095" i="1" s="1"/>
  <c r="AA1096" i="1" s="1"/>
  <c r="AA1097" i="1" s="1"/>
  <c r="AA1098" i="1" s="1"/>
  <c r="AA1099" i="1" s="1"/>
  <c r="AA1100" i="1" s="1"/>
  <c r="AA1101" i="1" s="1"/>
  <c r="AA1102" i="1" s="1"/>
  <c r="AA1103" i="1" s="1"/>
  <c r="AA1104" i="1" s="1"/>
  <c r="AA1105" i="1" s="1"/>
  <c r="AA1106" i="1" s="1"/>
  <c r="AA1107" i="1" s="1"/>
  <c r="AA1108" i="1" s="1"/>
  <c r="AA1109" i="1" s="1"/>
  <c r="AA1110" i="1" s="1"/>
  <c r="AA1111" i="1" s="1"/>
  <c r="AA1112" i="1" s="1"/>
  <c r="AA1113" i="1" s="1"/>
  <c r="AA1114" i="1" s="1"/>
  <c r="AA1115" i="1" s="1"/>
  <c r="AA1116" i="1" s="1"/>
  <c r="AA1117" i="1" s="1"/>
  <c r="AA1118" i="1" s="1"/>
  <c r="AA1119" i="1" s="1"/>
  <c r="AA1120" i="1" s="1"/>
  <c r="AA1121" i="1" s="1"/>
  <c r="AA1122" i="1" s="1"/>
  <c r="AA1123" i="1" s="1"/>
  <c r="AA1124" i="1" s="1"/>
  <c r="AA1125" i="1" s="1"/>
  <c r="AA1126" i="1" s="1"/>
  <c r="AA1127" i="1" s="1"/>
  <c r="AA1128" i="1" s="1"/>
  <c r="AA1129" i="1" s="1"/>
  <c r="AA1130" i="1" s="1"/>
  <c r="AA1131" i="1" s="1"/>
  <c r="AA1132" i="1" s="1"/>
  <c r="AA1133" i="1" s="1"/>
  <c r="AA1134" i="1" s="1"/>
  <c r="AA1135" i="1" s="1"/>
  <c r="AA1136" i="1" s="1"/>
  <c r="AA1137" i="1" s="1"/>
  <c r="AA1138" i="1" s="1"/>
  <c r="AA1139" i="1" s="1"/>
  <c r="AA1140" i="1" s="1"/>
  <c r="AA1141" i="1" s="1"/>
  <c r="AA1142" i="1" s="1"/>
  <c r="AA1143" i="1" s="1"/>
  <c r="AA1144" i="1" s="1"/>
  <c r="AA1145" i="1" s="1"/>
  <c r="AA1146" i="1" s="1"/>
  <c r="AA1147" i="1" s="1"/>
  <c r="AA1148" i="1" s="1"/>
  <c r="AA1149" i="1" s="1"/>
  <c r="AA1150" i="1" s="1"/>
  <c r="AA1151" i="1" s="1"/>
  <c r="AA1152" i="1" s="1"/>
  <c r="AA1153" i="1" s="1"/>
  <c r="AA1154" i="1" s="1"/>
  <c r="AA1155" i="1" s="1"/>
  <c r="AA1156" i="1" s="1"/>
  <c r="AA1157" i="1" s="1"/>
  <c r="AA1158" i="1" s="1"/>
  <c r="AA1159" i="1" s="1"/>
  <c r="AA1160" i="1" s="1"/>
  <c r="AA1161" i="1" s="1"/>
  <c r="AA1162" i="1" s="1"/>
  <c r="AA1163" i="1" s="1"/>
  <c r="AA1164" i="1" s="1"/>
  <c r="AA1165" i="1" s="1"/>
  <c r="AA1166" i="1" s="1"/>
  <c r="AA1167" i="1" s="1"/>
  <c r="AA1168" i="1" s="1"/>
  <c r="AA1169" i="1" s="1"/>
  <c r="AA1170" i="1" s="1"/>
  <c r="AA1171" i="1" s="1"/>
  <c r="AA1172" i="1" s="1"/>
  <c r="AA1173" i="1" s="1"/>
  <c r="AA1174" i="1" s="1"/>
  <c r="AA1175" i="1" s="1"/>
  <c r="AA1176" i="1" s="1"/>
  <c r="AA1177" i="1" s="1"/>
  <c r="AA1178" i="1" s="1"/>
  <c r="AA1179" i="1" s="1"/>
  <c r="AA1180" i="1" s="1"/>
  <c r="AA1181" i="1" s="1"/>
  <c r="AA1182" i="1" s="1"/>
  <c r="AA1183" i="1" s="1"/>
  <c r="AA1184" i="1" s="1"/>
  <c r="AA1185" i="1" s="1"/>
  <c r="AA1186" i="1" s="1"/>
  <c r="AA1187" i="1" s="1"/>
  <c r="AA1188" i="1" s="1"/>
  <c r="AA1189" i="1" s="1"/>
  <c r="AA1190" i="1" s="1"/>
  <c r="AA1191" i="1" s="1"/>
  <c r="AA1192" i="1" s="1"/>
  <c r="AA1193" i="1" s="1"/>
  <c r="AA1194" i="1" s="1"/>
  <c r="AA1195" i="1" s="1"/>
  <c r="AA1196" i="1" s="1"/>
  <c r="AA1197" i="1" s="1"/>
  <c r="AA1198" i="1" s="1"/>
  <c r="AA1199" i="1" s="1"/>
  <c r="AA1200" i="1" s="1"/>
  <c r="AA1201" i="1" s="1"/>
  <c r="AA1202" i="1" s="1"/>
  <c r="AA1203" i="1" s="1"/>
  <c r="AA1204" i="1" s="1"/>
  <c r="AA1205" i="1" s="1"/>
  <c r="AA1206" i="1" s="1"/>
  <c r="AA1207" i="1" s="1"/>
  <c r="AA1208" i="1" s="1"/>
  <c r="AA1209" i="1" s="1"/>
  <c r="AA1210" i="1" s="1"/>
  <c r="AA1211" i="1" s="1"/>
  <c r="AA1212" i="1" s="1"/>
  <c r="AA1213" i="1" s="1"/>
  <c r="AA1214" i="1" s="1"/>
  <c r="AA1215" i="1" s="1"/>
  <c r="AA1216" i="1" s="1"/>
  <c r="AA1217" i="1" s="1"/>
  <c r="AA1218" i="1" s="1"/>
  <c r="AA1219" i="1" s="1"/>
  <c r="AA1220" i="1" s="1"/>
  <c r="AA1221" i="1" s="1"/>
  <c r="AA1222" i="1" s="1"/>
  <c r="AA1223" i="1" s="1"/>
  <c r="AA1224" i="1" s="1"/>
  <c r="AA1225" i="1" s="1"/>
  <c r="AA1226" i="1" s="1"/>
  <c r="AA1227" i="1" s="1"/>
  <c r="AA1228" i="1" s="1"/>
  <c r="AA1229" i="1" s="1"/>
  <c r="AA1230" i="1" s="1"/>
  <c r="AA1231" i="1" s="1"/>
  <c r="AA1232" i="1" s="1"/>
  <c r="AA1233" i="1" s="1"/>
  <c r="AA1234" i="1" s="1"/>
  <c r="AA1235" i="1" s="1"/>
  <c r="AA1236" i="1" s="1"/>
  <c r="AA1237" i="1" s="1"/>
  <c r="AA1238" i="1" s="1"/>
  <c r="AA1239" i="1" s="1"/>
  <c r="AA1240" i="1" s="1"/>
  <c r="AA1241" i="1" s="1"/>
  <c r="AA1242" i="1" s="1"/>
  <c r="AA1243" i="1" s="1"/>
  <c r="AA1244" i="1" s="1"/>
  <c r="AA1245" i="1" s="1"/>
  <c r="AA1246" i="1" s="1"/>
  <c r="AA1247" i="1" s="1"/>
  <c r="AA1248" i="1" s="1"/>
  <c r="AA1249" i="1" s="1"/>
  <c r="AA1250" i="1" s="1"/>
  <c r="AA1251" i="1" s="1"/>
  <c r="AA1252" i="1" s="1"/>
  <c r="AA1253" i="1" s="1"/>
  <c r="AA1254" i="1" s="1"/>
  <c r="AA1255" i="1" s="1"/>
  <c r="AA1256" i="1" s="1"/>
  <c r="AA1257" i="1" s="1"/>
  <c r="AA1258" i="1" s="1"/>
  <c r="AA1259" i="1" s="1"/>
  <c r="AA1260" i="1" s="1"/>
  <c r="AA1261" i="1" s="1"/>
  <c r="AA1262" i="1" s="1"/>
  <c r="AA1263" i="1" s="1"/>
  <c r="AA1264" i="1" s="1"/>
  <c r="AA1265" i="1" s="1"/>
  <c r="AA1266" i="1" s="1"/>
  <c r="AA1267" i="1" s="1"/>
  <c r="AA1268" i="1" s="1"/>
  <c r="AA1269" i="1" s="1"/>
  <c r="AA1270" i="1" s="1"/>
  <c r="AA1271" i="1" s="1"/>
  <c r="AA1272" i="1" s="1"/>
  <c r="AA1273" i="1" s="1"/>
  <c r="AA1274" i="1" s="1"/>
  <c r="AA1275" i="1" s="1"/>
  <c r="AA1276" i="1" s="1"/>
  <c r="AA1277" i="1" s="1"/>
  <c r="AA1278" i="1" s="1"/>
  <c r="AA1279" i="1" s="1"/>
  <c r="AA1280" i="1" s="1"/>
  <c r="AA1281" i="1" s="1"/>
  <c r="AA1282" i="1" s="1"/>
  <c r="AA1283" i="1" s="1"/>
  <c r="AA1284" i="1" s="1"/>
  <c r="AA1285" i="1" s="1"/>
  <c r="AA1286" i="1" s="1"/>
  <c r="AA1287" i="1" s="1"/>
  <c r="AA1288" i="1" s="1"/>
  <c r="AA1289" i="1" s="1"/>
  <c r="AA1290" i="1" s="1"/>
  <c r="AA1291" i="1" s="1"/>
  <c r="AA1292" i="1" s="1"/>
  <c r="AA1293" i="1" s="1"/>
  <c r="AA1294" i="1" s="1"/>
  <c r="AA1295" i="1" s="1"/>
  <c r="AA1296" i="1" s="1"/>
  <c r="AA1297" i="1" s="1"/>
  <c r="AA1298" i="1" s="1"/>
  <c r="AA1299" i="1" s="1"/>
  <c r="AA1300" i="1" s="1"/>
  <c r="AA1301" i="1" s="1"/>
  <c r="AA1302" i="1" s="1"/>
  <c r="AA1303" i="1" s="1"/>
  <c r="AA1304" i="1" s="1"/>
  <c r="AA1305" i="1" s="1"/>
  <c r="AA1306" i="1" s="1"/>
  <c r="AA1307" i="1" s="1"/>
  <c r="AA1308" i="1" s="1"/>
  <c r="AA1309" i="1" s="1"/>
  <c r="AA1310" i="1" s="1"/>
  <c r="AA1311" i="1" s="1"/>
  <c r="AA1312" i="1" s="1"/>
  <c r="AA1313" i="1" s="1"/>
  <c r="AA1314" i="1" s="1"/>
  <c r="AA1315" i="1" s="1"/>
  <c r="AA1316" i="1" s="1"/>
  <c r="AA1317" i="1" s="1"/>
  <c r="AA1318" i="1" s="1"/>
  <c r="AA1319" i="1" s="1"/>
  <c r="AA1320" i="1" s="1"/>
  <c r="AA1321" i="1" s="1"/>
  <c r="AA1322" i="1" s="1"/>
  <c r="AA1323" i="1" s="1"/>
  <c r="AA1324" i="1" s="1"/>
  <c r="AA1325" i="1" s="1"/>
  <c r="AA1326" i="1" s="1"/>
  <c r="AA1327" i="1" s="1"/>
  <c r="AA1328" i="1" s="1"/>
  <c r="AA1329" i="1" s="1"/>
  <c r="AA1330" i="1" s="1"/>
  <c r="AA1331" i="1" s="1"/>
  <c r="AA1332" i="1" s="1"/>
  <c r="AA1333" i="1" s="1"/>
  <c r="AA1334" i="1" s="1"/>
  <c r="AA1335" i="1" s="1"/>
  <c r="AA1336" i="1" s="1"/>
  <c r="AA1337" i="1" s="1"/>
  <c r="AA1338" i="1" s="1"/>
  <c r="AA1339" i="1" s="1"/>
  <c r="AA1340" i="1" s="1"/>
  <c r="AA1341" i="1" s="1"/>
  <c r="AA1342" i="1" s="1"/>
  <c r="AA1343" i="1" s="1"/>
  <c r="AA1344" i="1" s="1"/>
  <c r="AA1345" i="1" s="1"/>
  <c r="AA1346" i="1" s="1"/>
  <c r="AA1347" i="1" s="1"/>
  <c r="AA1348" i="1" s="1"/>
  <c r="AA1349" i="1" s="1"/>
  <c r="AA1350" i="1" s="1"/>
  <c r="AA1351" i="1" s="1"/>
  <c r="AA1352" i="1" s="1"/>
  <c r="AA1353" i="1" s="1"/>
  <c r="AA1354" i="1" s="1"/>
  <c r="AA1355" i="1" s="1"/>
  <c r="AA1356" i="1" s="1"/>
  <c r="AA1357" i="1" s="1"/>
  <c r="AA1358" i="1" s="1"/>
  <c r="AA1359" i="1" s="1"/>
  <c r="AA1360" i="1" s="1"/>
  <c r="AA1361" i="1" s="1"/>
  <c r="AA1362" i="1" s="1"/>
  <c r="AA1363" i="1" s="1"/>
  <c r="AA1364" i="1" s="1"/>
  <c r="AA1365" i="1" s="1"/>
  <c r="AA1366" i="1" s="1"/>
  <c r="AA1367" i="1" s="1"/>
  <c r="AA1368" i="1" s="1"/>
  <c r="AA1369" i="1" s="1"/>
  <c r="AA1370" i="1" s="1"/>
  <c r="AA1371" i="1" s="1"/>
  <c r="AA1372" i="1" s="1"/>
  <c r="AA1373" i="1" s="1"/>
  <c r="AA1374" i="1" s="1"/>
  <c r="AA1375" i="1" s="1"/>
  <c r="AA1376" i="1" s="1"/>
  <c r="AA1377" i="1" s="1"/>
  <c r="AA1378" i="1" s="1"/>
  <c r="AA1379" i="1" s="1"/>
  <c r="AA1380" i="1" s="1"/>
  <c r="AA1381" i="1" s="1"/>
  <c r="AA1382" i="1" s="1"/>
  <c r="AA1383" i="1" s="1"/>
  <c r="AA1384" i="1" s="1"/>
  <c r="AA1385" i="1" s="1"/>
  <c r="AA1386" i="1" s="1"/>
  <c r="AA1387" i="1" s="1"/>
  <c r="AA1388" i="1" s="1"/>
  <c r="AA1389" i="1" s="1"/>
  <c r="AA1390" i="1" s="1"/>
  <c r="AA1391" i="1" s="1"/>
  <c r="AA1392" i="1" s="1"/>
  <c r="AA1393" i="1" s="1"/>
  <c r="AA1394" i="1" s="1"/>
  <c r="AA1395" i="1" s="1"/>
  <c r="AA1396" i="1" s="1"/>
  <c r="AA1397" i="1" s="1"/>
  <c r="AA1398" i="1" s="1"/>
  <c r="AA1399" i="1" s="1"/>
  <c r="AA1400" i="1" s="1"/>
  <c r="AA1401" i="1" s="1"/>
  <c r="AA1402" i="1" s="1"/>
  <c r="AA1403" i="1" s="1"/>
  <c r="AA1404" i="1" s="1"/>
  <c r="AA1405" i="1" s="1"/>
  <c r="AA1406" i="1" s="1"/>
  <c r="AA1407" i="1" s="1"/>
  <c r="AA1408" i="1" s="1"/>
  <c r="AA1409" i="1" s="1"/>
  <c r="AA1410" i="1" s="1"/>
  <c r="AA1411" i="1" s="1"/>
  <c r="AA1412" i="1" s="1"/>
  <c r="AA1413" i="1" s="1"/>
  <c r="AA1414" i="1" s="1"/>
  <c r="AA1415" i="1" s="1"/>
  <c r="AA1416" i="1" s="1"/>
  <c r="AA1417" i="1" s="1"/>
  <c r="AA1418" i="1" s="1"/>
  <c r="AA1419" i="1" s="1"/>
  <c r="AA1420" i="1" s="1"/>
  <c r="AA1421" i="1" s="1"/>
  <c r="AA1422" i="1" s="1"/>
  <c r="AA1423" i="1" s="1"/>
  <c r="AA1424" i="1" s="1"/>
  <c r="AA1425" i="1" s="1"/>
  <c r="AA1426" i="1" s="1"/>
  <c r="AA1427" i="1" s="1"/>
  <c r="AA1428" i="1" s="1"/>
  <c r="AA1429" i="1" s="1"/>
  <c r="AA1430" i="1" s="1"/>
  <c r="AA1431" i="1" s="1"/>
  <c r="AA1432" i="1" s="1"/>
  <c r="AA1433" i="1" s="1"/>
  <c r="AA1434" i="1" s="1"/>
  <c r="AA1435" i="1" s="1"/>
  <c r="AA1436" i="1" s="1"/>
  <c r="AA1437" i="1" s="1"/>
  <c r="AA1438" i="1" s="1"/>
  <c r="AA1439" i="1" s="1"/>
  <c r="AA1440" i="1" s="1"/>
  <c r="AA1441" i="1" s="1"/>
  <c r="AA1442" i="1" s="1"/>
  <c r="AA1443" i="1" s="1"/>
  <c r="AA1444" i="1" s="1"/>
  <c r="AA1445" i="1" s="1"/>
  <c r="AA1446" i="1" s="1"/>
  <c r="AA1447" i="1" s="1"/>
  <c r="AA1448" i="1" s="1"/>
  <c r="AA1449" i="1" s="1"/>
  <c r="AA1450" i="1" s="1"/>
  <c r="AA1451" i="1" s="1"/>
  <c r="AA1452" i="1" s="1"/>
  <c r="AA1453" i="1" s="1"/>
  <c r="AA1454" i="1" s="1"/>
  <c r="AA1455" i="1" s="1"/>
  <c r="AA1456" i="1" s="1"/>
  <c r="AA1457" i="1" s="1"/>
  <c r="AA1458" i="1" s="1"/>
  <c r="AA1459" i="1" s="1"/>
  <c r="AA1460" i="1" s="1"/>
  <c r="AA1461" i="1" s="1"/>
  <c r="AA1462" i="1" s="1"/>
  <c r="AA1463" i="1" s="1"/>
  <c r="AA1464" i="1" s="1"/>
  <c r="AA1465" i="1" s="1"/>
  <c r="AA1466" i="1" s="1"/>
  <c r="AA1467" i="1" s="1"/>
  <c r="AA1468" i="1" s="1"/>
  <c r="AA1469" i="1" s="1"/>
  <c r="AA1470" i="1" s="1"/>
  <c r="AA1471" i="1" s="1"/>
  <c r="AA1472" i="1" s="1"/>
  <c r="AA1473" i="1" s="1"/>
  <c r="AA1474" i="1" s="1"/>
  <c r="AA1475" i="1" s="1"/>
  <c r="AA1476" i="1" s="1"/>
  <c r="AA1477" i="1" s="1"/>
  <c r="AA1478" i="1" s="1"/>
  <c r="AA1479" i="1" s="1"/>
  <c r="AA1480" i="1" s="1"/>
  <c r="AA1481" i="1" s="1"/>
  <c r="AA1482" i="1" s="1"/>
  <c r="AA1483" i="1" s="1"/>
  <c r="AA1484" i="1" s="1"/>
  <c r="AA1485" i="1" s="1"/>
  <c r="AA1486" i="1" s="1"/>
  <c r="AA1487" i="1" s="1"/>
  <c r="AA1488" i="1" s="1"/>
  <c r="AA1489" i="1" s="1"/>
  <c r="AA1490" i="1" s="1"/>
  <c r="AA1491" i="1" s="1"/>
  <c r="AA1492" i="1" s="1"/>
  <c r="AA1493" i="1" s="1"/>
  <c r="AA1494" i="1" s="1"/>
  <c r="AA1495" i="1" s="1"/>
  <c r="AA1496" i="1" s="1"/>
  <c r="AA1497" i="1" s="1"/>
  <c r="AA1498" i="1" s="1"/>
  <c r="AA1499" i="1" s="1"/>
  <c r="AA1500" i="1" s="1"/>
  <c r="AA1501" i="1" s="1"/>
  <c r="AA1502" i="1" s="1"/>
  <c r="AA1503" i="1" s="1"/>
  <c r="AA1504" i="1" s="1"/>
  <c r="AA1505" i="1" s="1"/>
  <c r="AA1506" i="1" s="1"/>
  <c r="AA1507" i="1" s="1"/>
  <c r="AA1508" i="1" s="1"/>
  <c r="AA1509" i="1" s="1"/>
  <c r="AA1510" i="1" s="1"/>
  <c r="AA1511" i="1" s="1"/>
  <c r="AA1512" i="1" s="1"/>
  <c r="AA1513" i="1" s="1"/>
  <c r="AA1514" i="1" s="1"/>
  <c r="AA1515" i="1" s="1"/>
  <c r="AA1516" i="1" s="1"/>
  <c r="AA1517" i="1" s="1"/>
  <c r="AA1518" i="1" s="1"/>
  <c r="AA1519" i="1" s="1"/>
  <c r="AA1520" i="1" s="1"/>
  <c r="AA1521" i="1" s="1"/>
  <c r="AA1522" i="1" s="1"/>
  <c r="AA1523" i="1" s="1"/>
  <c r="AA1524" i="1" s="1"/>
  <c r="AA1525" i="1" s="1"/>
  <c r="AA1526" i="1" s="1"/>
  <c r="AA1527" i="1" s="1"/>
  <c r="AA1528" i="1" s="1"/>
  <c r="AA1529" i="1" s="1"/>
  <c r="AA1530" i="1" s="1"/>
  <c r="AA1531" i="1" s="1"/>
  <c r="AA1532" i="1" s="1"/>
  <c r="AA1533" i="1" s="1"/>
  <c r="AA1534" i="1" s="1"/>
  <c r="AA1535" i="1" s="1"/>
  <c r="AA1536" i="1" s="1"/>
  <c r="AA1537" i="1" s="1"/>
  <c r="AA1538" i="1" s="1"/>
  <c r="AA1539" i="1" s="1"/>
  <c r="AA1540" i="1" s="1"/>
  <c r="AA1541" i="1" s="1"/>
  <c r="AA1542" i="1" s="1"/>
  <c r="AA1543" i="1" s="1"/>
  <c r="AA1544" i="1" s="1"/>
  <c r="AA1545" i="1" s="1"/>
  <c r="AA1546" i="1" s="1"/>
  <c r="AA1547" i="1" s="1"/>
  <c r="AA1548" i="1" s="1"/>
  <c r="AA1549" i="1" s="1"/>
  <c r="AA1550" i="1" s="1"/>
  <c r="AA1551" i="1" s="1"/>
  <c r="AA1552" i="1" s="1"/>
  <c r="AA1553" i="1" s="1"/>
  <c r="AA1554" i="1" s="1"/>
  <c r="AA1555" i="1" s="1"/>
  <c r="AA1556" i="1" s="1"/>
  <c r="AA1557" i="1" s="1"/>
  <c r="AA1558" i="1" s="1"/>
  <c r="AA1559" i="1" s="1"/>
  <c r="AA1560" i="1" s="1"/>
  <c r="AA1561" i="1" s="1"/>
  <c r="AA1562" i="1" s="1"/>
  <c r="AA1563" i="1" s="1"/>
  <c r="AA1564" i="1" s="1"/>
  <c r="AA1565" i="1" s="1"/>
  <c r="AA1566" i="1" s="1"/>
  <c r="AA1567" i="1" s="1"/>
  <c r="AA1568" i="1" s="1"/>
  <c r="AA1569" i="1" s="1"/>
  <c r="AA1570" i="1" s="1"/>
  <c r="AA1571" i="1" s="1"/>
  <c r="AA1572" i="1" s="1"/>
  <c r="AA1573" i="1" s="1"/>
  <c r="AA1574" i="1" s="1"/>
  <c r="AA1575" i="1" s="1"/>
  <c r="AA1576" i="1" s="1"/>
  <c r="AA1577" i="1" s="1"/>
  <c r="AA1578" i="1" s="1"/>
  <c r="AA1579" i="1" s="1"/>
  <c r="AA1580" i="1" s="1"/>
  <c r="AA1581" i="1" s="1"/>
  <c r="AA1582" i="1" s="1"/>
  <c r="AA1583" i="1" s="1"/>
  <c r="AA1584" i="1" s="1"/>
  <c r="AA1585" i="1" s="1"/>
  <c r="AA1586" i="1" s="1"/>
  <c r="AA1587" i="1" s="1"/>
  <c r="AA1588" i="1" s="1"/>
  <c r="AA1589" i="1" s="1"/>
  <c r="AA1590" i="1" s="1"/>
  <c r="AA1591" i="1" s="1"/>
  <c r="AA1592" i="1" s="1"/>
  <c r="AA1593" i="1" s="1"/>
  <c r="AA1594" i="1" s="1"/>
  <c r="AA1595" i="1" s="1"/>
  <c r="AA1596" i="1" s="1"/>
  <c r="AA1597" i="1" s="1"/>
  <c r="AA1598" i="1" s="1"/>
  <c r="AA1599" i="1" s="1"/>
  <c r="AA1600" i="1" s="1"/>
  <c r="AA1601" i="1" s="1"/>
  <c r="AA1602" i="1" s="1"/>
  <c r="AA1603" i="1" s="1"/>
  <c r="AA1604" i="1" s="1"/>
  <c r="AA1605" i="1" s="1"/>
  <c r="AA1606" i="1" s="1"/>
  <c r="AA1607" i="1" s="1"/>
  <c r="AA1608" i="1" s="1"/>
  <c r="AA1609" i="1" s="1"/>
  <c r="AA1610" i="1" s="1"/>
  <c r="AA1611" i="1" s="1"/>
  <c r="AA1612" i="1" s="1"/>
  <c r="AA1613" i="1" s="1"/>
  <c r="AA1614" i="1" s="1"/>
  <c r="AA1615" i="1" s="1"/>
  <c r="AA1616" i="1" s="1"/>
  <c r="AA1617" i="1" s="1"/>
  <c r="AA1618" i="1" s="1"/>
  <c r="AA1619" i="1" s="1"/>
  <c r="AA1620" i="1" s="1"/>
  <c r="AA1621" i="1" s="1"/>
  <c r="AA1622" i="1" s="1"/>
  <c r="AA1623" i="1" s="1"/>
  <c r="AA1624" i="1" s="1"/>
  <c r="AA1625" i="1" s="1"/>
  <c r="AA1626" i="1" s="1"/>
  <c r="AA1627" i="1" s="1"/>
  <c r="AA1628" i="1" s="1"/>
  <c r="AA1629" i="1" s="1"/>
  <c r="AA1630" i="1" s="1"/>
  <c r="AA1631" i="1" s="1"/>
  <c r="AA1632" i="1" s="1"/>
  <c r="AA1633" i="1" s="1"/>
  <c r="AA1634" i="1" s="1"/>
  <c r="AA1635" i="1" s="1"/>
  <c r="AA1636" i="1" s="1"/>
  <c r="AA1637" i="1" s="1"/>
  <c r="AA1638" i="1" s="1"/>
  <c r="AA1639" i="1" s="1"/>
  <c r="AA1640" i="1" s="1"/>
  <c r="AA1641" i="1" s="1"/>
  <c r="AA1642" i="1" s="1"/>
  <c r="AA1643" i="1" s="1"/>
  <c r="AA1644" i="1" s="1"/>
  <c r="AA1645" i="1" s="1"/>
  <c r="AA1646" i="1" s="1"/>
  <c r="AA1647" i="1" s="1"/>
  <c r="AA1648" i="1" s="1"/>
  <c r="AA1649" i="1" s="1"/>
  <c r="AA1650" i="1" s="1"/>
  <c r="AA1651" i="1" s="1"/>
  <c r="AA1652" i="1" s="1"/>
  <c r="AA1653" i="1" s="1"/>
  <c r="AA1654" i="1" s="1"/>
  <c r="AA1655" i="1" s="1"/>
  <c r="AA1656" i="1" s="1"/>
  <c r="AA1657" i="1" s="1"/>
  <c r="AA1658" i="1" s="1"/>
  <c r="AA1659" i="1" s="1"/>
  <c r="AA1660" i="1" s="1"/>
  <c r="AA1661" i="1" s="1"/>
  <c r="AA1662" i="1" s="1"/>
  <c r="AA1663" i="1" s="1"/>
  <c r="AA1664" i="1" s="1"/>
  <c r="AA1665" i="1" s="1"/>
  <c r="AA1666" i="1" s="1"/>
  <c r="AA1667" i="1" s="1"/>
  <c r="AA1668" i="1" s="1"/>
  <c r="AA1669" i="1" s="1"/>
  <c r="AA1670" i="1" s="1"/>
  <c r="AA1671" i="1" s="1"/>
  <c r="AA1672" i="1" s="1"/>
  <c r="AA1673" i="1" s="1"/>
  <c r="AA1674" i="1" s="1"/>
  <c r="AA1675" i="1" s="1"/>
  <c r="AA1676" i="1" s="1"/>
  <c r="AA1677" i="1" s="1"/>
  <c r="AA1678" i="1" s="1"/>
  <c r="AA1679" i="1" s="1"/>
  <c r="AA1680" i="1" s="1"/>
  <c r="AA1681" i="1" s="1"/>
  <c r="AA1682" i="1" s="1"/>
  <c r="AA1683" i="1" s="1"/>
  <c r="AA1684" i="1" s="1"/>
  <c r="AA1685" i="1" s="1"/>
  <c r="AA1686" i="1" s="1"/>
  <c r="AA1687" i="1" s="1"/>
  <c r="AA1688" i="1" s="1"/>
  <c r="AA1689" i="1" s="1"/>
  <c r="AA1690" i="1" s="1"/>
  <c r="AA1691" i="1" s="1"/>
  <c r="AA1692" i="1" s="1"/>
  <c r="AA1693" i="1" s="1"/>
  <c r="AA1694" i="1" s="1"/>
  <c r="AA1695" i="1" s="1"/>
  <c r="AA1696" i="1" s="1"/>
  <c r="AA1697" i="1" s="1"/>
  <c r="AA1698" i="1" s="1"/>
  <c r="AA1699" i="1" s="1"/>
  <c r="AA1700" i="1" s="1"/>
  <c r="AA1701" i="1" s="1"/>
  <c r="AA1702" i="1" s="1"/>
  <c r="AA1703" i="1" s="1"/>
  <c r="AA1704" i="1" s="1"/>
  <c r="AA1705" i="1" s="1"/>
  <c r="AA1706" i="1" s="1"/>
  <c r="AA1707" i="1" s="1"/>
  <c r="AA1708" i="1" s="1"/>
  <c r="AA1709" i="1" s="1"/>
  <c r="AA1710" i="1" s="1"/>
  <c r="AA1711" i="1" s="1"/>
  <c r="AA1712" i="1" s="1"/>
  <c r="AA1713" i="1" s="1"/>
  <c r="AA1714" i="1" s="1"/>
  <c r="AA1715" i="1" s="1"/>
  <c r="AA1716" i="1" s="1"/>
  <c r="AA1717" i="1" s="1"/>
  <c r="AA1718" i="1" s="1"/>
  <c r="AA1719" i="1" s="1"/>
  <c r="AA1720" i="1" s="1"/>
  <c r="AA1721" i="1" s="1"/>
  <c r="AA1722" i="1" s="1"/>
  <c r="AA1723" i="1" s="1"/>
  <c r="AA1724" i="1" s="1"/>
  <c r="AA1725" i="1" s="1"/>
  <c r="AA1726" i="1" s="1"/>
  <c r="AA1727" i="1" s="1"/>
  <c r="AA1728" i="1" s="1"/>
  <c r="AA1729" i="1" s="1"/>
  <c r="AA1730" i="1" s="1"/>
  <c r="AA1731" i="1" s="1"/>
  <c r="AA1732" i="1" s="1"/>
  <c r="AA1733" i="1" s="1"/>
  <c r="AA1734" i="1" s="1"/>
  <c r="AA1735" i="1" s="1"/>
  <c r="AA1736" i="1" s="1"/>
  <c r="AA1737" i="1" s="1"/>
  <c r="AA1738" i="1" s="1"/>
  <c r="AA1739" i="1" s="1"/>
  <c r="AA1740" i="1" s="1"/>
  <c r="AA1741" i="1" s="1"/>
  <c r="AA1742" i="1" s="1"/>
  <c r="AA1743" i="1" s="1"/>
  <c r="AA1744" i="1" s="1"/>
  <c r="AA1745" i="1" s="1"/>
  <c r="AA1746" i="1" s="1"/>
  <c r="AA1747" i="1" s="1"/>
  <c r="AA1748" i="1" s="1"/>
  <c r="AA1749" i="1" s="1"/>
  <c r="AA1750" i="1" s="1"/>
  <c r="AA1751" i="1" s="1"/>
  <c r="AA1752" i="1" s="1"/>
  <c r="AA1753" i="1" s="1"/>
  <c r="AA1754" i="1" s="1"/>
  <c r="AA1755" i="1" s="1"/>
  <c r="AA1756" i="1" s="1"/>
  <c r="AA1757" i="1" s="1"/>
  <c r="AA1758" i="1" s="1"/>
  <c r="AA1759" i="1" s="1"/>
  <c r="AA1760" i="1" s="1"/>
  <c r="AA1761" i="1" s="1"/>
  <c r="AA1762" i="1" s="1"/>
  <c r="AA1763" i="1" s="1"/>
  <c r="AA1764" i="1" s="1"/>
  <c r="AA1765" i="1" s="1"/>
  <c r="AA1766" i="1" s="1"/>
  <c r="AA1767" i="1" s="1"/>
  <c r="AA1768" i="1" s="1"/>
  <c r="AA1769" i="1" s="1"/>
  <c r="AA1770" i="1" s="1"/>
  <c r="AA1771" i="1" s="1"/>
  <c r="AA1772" i="1" s="1"/>
  <c r="AA1773" i="1" s="1"/>
  <c r="AA1774" i="1" s="1"/>
  <c r="AA1775" i="1" s="1"/>
  <c r="AA1776" i="1" s="1"/>
  <c r="AA1777" i="1" s="1"/>
  <c r="AA1778" i="1" s="1"/>
  <c r="AA1779" i="1" s="1"/>
  <c r="AA1780" i="1" s="1"/>
  <c r="AA1781" i="1" s="1"/>
  <c r="AA1782" i="1" s="1"/>
  <c r="AA1783" i="1" s="1"/>
  <c r="AA1784" i="1" s="1"/>
  <c r="AA1785" i="1" s="1"/>
  <c r="AA1786" i="1" s="1"/>
  <c r="AA1787" i="1" s="1"/>
  <c r="AA1788" i="1" s="1"/>
  <c r="AA1789" i="1" s="1"/>
  <c r="AA1790" i="1" s="1"/>
  <c r="AA1791" i="1" s="1"/>
  <c r="AA1792" i="1" s="1"/>
  <c r="AA1793" i="1" s="1"/>
  <c r="AA1794" i="1" s="1"/>
  <c r="AA1795" i="1" s="1"/>
  <c r="AA1796" i="1" s="1"/>
  <c r="AA1797" i="1" s="1"/>
  <c r="AA1798" i="1" s="1"/>
  <c r="AA1799" i="1" s="1"/>
  <c r="AA1800" i="1" s="1"/>
  <c r="AA1801" i="1" s="1"/>
  <c r="AA1802" i="1" s="1"/>
  <c r="AA1803" i="1" s="1"/>
  <c r="AA1804" i="1" s="1"/>
  <c r="AA1805" i="1" s="1"/>
  <c r="AA1806" i="1" s="1"/>
  <c r="AA1807" i="1" s="1"/>
  <c r="AA1808" i="1" s="1"/>
  <c r="AA1809" i="1" s="1"/>
  <c r="AA1810" i="1" s="1"/>
  <c r="AA1811" i="1" s="1"/>
  <c r="AA1812" i="1" s="1"/>
  <c r="AA1813" i="1" s="1"/>
  <c r="AA1814" i="1" s="1"/>
  <c r="AA1815" i="1" s="1"/>
  <c r="AA1816" i="1" s="1"/>
  <c r="AA1817" i="1" s="1"/>
  <c r="AA1818" i="1" s="1"/>
  <c r="AA1819" i="1" s="1"/>
  <c r="AA1820" i="1" s="1"/>
  <c r="AA1821" i="1" s="1"/>
  <c r="AA1822" i="1" s="1"/>
  <c r="AA1823" i="1" s="1"/>
  <c r="AA1824" i="1" s="1"/>
  <c r="AA1825" i="1" s="1"/>
  <c r="AA1826" i="1" s="1"/>
  <c r="AA1827" i="1" s="1"/>
  <c r="AA1828" i="1" s="1"/>
  <c r="AA1829" i="1" s="1"/>
  <c r="AA1830" i="1" s="1"/>
  <c r="AA1831" i="1" s="1"/>
  <c r="AA1832" i="1" s="1"/>
  <c r="AA1833" i="1" s="1"/>
  <c r="AA1834" i="1" s="1"/>
  <c r="AA1835" i="1" s="1"/>
  <c r="AA1836" i="1" s="1"/>
  <c r="AA1837" i="1" s="1"/>
  <c r="AA1838" i="1" s="1"/>
  <c r="AA1839" i="1" s="1"/>
  <c r="AA1840" i="1" s="1"/>
  <c r="AA1841" i="1" s="1"/>
  <c r="AA1842" i="1" s="1"/>
  <c r="AA1843" i="1" s="1"/>
  <c r="AA1844" i="1" s="1"/>
  <c r="AA1845" i="1" s="1"/>
  <c r="AA1846" i="1" s="1"/>
  <c r="AA1847" i="1" s="1"/>
  <c r="AA1848" i="1" s="1"/>
  <c r="AA1849" i="1" s="1"/>
  <c r="AA1850" i="1" s="1"/>
  <c r="AA1851" i="1" s="1"/>
  <c r="AA1852" i="1" s="1"/>
  <c r="AA1853" i="1" s="1"/>
  <c r="AA1854" i="1" s="1"/>
  <c r="AA1855" i="1" s="1"/>
  <c r="AA1856" i="1" s="1"/>
  <c r="AA1857" i="1" s="1"/>
  <c r="AA1858" i="1" s="1"/>
  <c r="AA1859" i="1" s="1"/>
  <c r="AA1860" i="1" s="1"/>
  <c r="AA1861" i="1" s="1"/>
  <c r="AA1862" i="1" s="1"/>
  <c r="AA1863" i="1" s="1"/>
  <c r="AA1864" i="1" s="1"/>
  <c r="AA1865" i="1" s="1"/>
  <c r="AA1866" i="1" s="1"/>
  <c r="AA1867" i="1" s="1"/>
  <c r="AA1868" i="1" s="1"/>
  <c r="AA1869" i="1" s="1"/>
  <c r="AA1870" i="1" s="1"/>
  <c r="AA1871" i="1" s="1"/>
  <c r="AA1872" i="1" s="1"/>
  <c r="AA1873" i="1" s="1"/>
  <c r="AA1874" i="1" s="1"/>
  <c r="AA1875" i="1" s="1"/>
  <c r="AA1876" i="1" s="1"/>
  <c r="AA1877" i="1" s="1"/>
  <c r="AA1878" i="1" s="1"/>
  <c r="AA1879" i="1" s="1"/>
  <c r="AA1880" i="1" s="1"/>
  <c r="AA1881" i="1" s="1"/>
  <c r="AA1882" i="1" s="1"/>
  <c r="AA1883" i="1" s="1"/>
  <c r="AA1884" i="1" s="1"/>
  <c r="AA1885" i="1" s="1"/>
  <c r="AA1886" i="1" s="1"/>
  <c r="AA1887" i="1" s="1"/>
  <c r="AA1888" i="1" s="1"/>
  <c r="AA1889" i="1" s="1"/>
  <c r="AA1890" i="1" s="1"/>
  <c r="AA1891" i="1" s="1"/>
  <c r="AA1892" i="1" s="1"/>
  <c r="AA1893" i="1" s="1"/>
  <c r="AA1894" i="1" s="1"/>
  <c r="AA1895" i="1" s="1"/>
  <c r="AA1896" i="1" s="1"/>
  <c r="AA1897" i="1" s="1"/>
  <c r="AA1898" i="1" s="1"/>
  <c r="AA1899" i="1" s="1"/>
  <c r="AA1900" i="1" s="1"/>
  <c r="AA1901" i="1" s="1"/>
  <c r="AA1902" i="1" s="1"/>
  <c r="AA1903" i="1" s="1"/>
  <c r="AA1904" i="1" s="1"/>
  <c r="AA1905" i="1" s="1"/>
  <c r="AA1906" i="1" s="1"/>
  <c r="AA1907" i="1" s="1"/>
  <c r="AA1908" i="1" s="1"/>
  <c r="AA1909" i="1" s="1"/>
  <c r="AA1910" i="1" s="1"/>
  <c r="AA1911" i="1" s="1"/>
  <c r="AA1912" i="1" s="1"/>
  <c r="AA1913" i="1" s="1"/>
  <c r="AA1914" i="1" s="1"/>
  <c r="AA1915" i="1" s="1"/>
  <c r="AA1916" i="1" s="1"/>
  <c r="AA1917" i="1" s="1"/>
  <c r="AA1918" i="1" s="1"/>
  <c r="AA1919" i="1" s="1"/>
  <c r="AA1920" i="1" s="1"/>
  <c r="AA1921" i="1" s="1"/>
  <c r="AA1922" i="1" s="1"/>
  <c r="AA1923" i="1" s="1"/>
  <c r="AA1924" i="1" s="1"/>
  <c r="AA1925" i="1" s="1"/>
  <c r="AA1926" i="1" s="1"/>
  <c r="AA1927" i="1" s="1"/>
  <c r="AA1928" i="1" s="1"/>
  <c r="AA1929" i="1" s="1"/>
  <c r="AA1930" i="1" s="1"/>
  <c r="AA1931" i="1" s="1"/>
  <c r="AA1932" i="1" s="1"/>
  <c r="AA1933" i="1" s="1"/>
  <c r="AA1934" i="1" s="1"/>
  <c r="AA1935" i="1" s="1"/>
  <c r="AA1936" i="1" s="1"/>
  <c r="AA1937" i="1" s="1"/>
  <c r="AA1938" i="1" s="1"/>
  <c r="AA1939" i="1" s="1"/>
  <c r="AA1940" i="1" s="1"/>
  <c r="AA1941" i="1" s="1"/>
  <c r="AA1942" i="1" s="1"/>
  <c r="AA1943" i="1" s="1"/>
  <c r="AA1944" i="1" s="1"/>
  <c r="AA1945" i="1" s="1"/>
  <c r="AA1946" i="1" s="1"/>
  <c r="AA1947" i="1" s="1"/>
  <c r="AA1948" i="1" s="1"/>
  <c r="AA1949" i="1" s="1"/>
  <c r="AA1950" i="1" s="1"/>
  <c r="AA1951" i="1" s="1"/>
  <c r="AA1952" i="1" s="1"/>
  <c r="AA1953" i="1" s="1"/>
  <c r="AA1954" i="1" s="1"/>
  <c r="AA1955" i="1" s="1"/>
  <c r="AA1956" i="1" s="1"/>
  <c r="AA1957" i="1" s="1"/>
  <c r="AA1958" i="1" s="1"/>
  <c r="AA1959" i="1" s="1"/>
  <c r="AA1960" i="1" s="1"/>
  <c r="AA1961" i="1" s="1"/>
  <c r="AA1962" i="1" s="1"/>
  <c r="AA1963" i="1" s="1"/>
  <c r="AA1964" i="1" s="1"/>
  <c r="AA1965" i="1" s="1"/>
  <c r="AA1966" i="1" s="1"/>
  <c r="AA1967" i="1" s="1"/>
  <c r="AA1968" i="1" s="1"/>
  <c r="AA1969" i="1" s="1"/>
  <c r="AA1970" i="1" s="1"/>
  <c r="AA1971" i="1" s="1"/>
  <c r="AA1972" i="1" s="1"/>
  <c r="AA1973" i="1" s="1"/>
  <c r="AA1974" i="1" s="1"/>
  <c r="AA1975" i="1" s="1"/>
  <c r="AA1976" i="1" s="1"/>
  <c r="AA1977" i="1" s="1"/>
  <c r="AA1978" i="1" s="1"/>
  <c r="AA1979" i="1" s="1"/>
  <c r="AA1980" i="1" s="1"/>
  <c r="AA1981" i="1" s="1"/>
  <c r="AA1982" i="1" s="1"/>
  <c r="AA1983" i="1" s="1"/>
  <c r="AA1984" i="1" s="1"/>
  <c r="AA1985" i="1" s="1"/>
  <c r="AA1986" i="1" s="1"/>
  <c r="AA1987" i="1" s="1"/>
  <c r="AA1988" i="1" s="1"/>
  <c r="AA1989" i="1" s="1"/>
  <c r="AA1990" i="1" s="1"/>
  <c r="AA1991" i="1" s="1"/>
  <c r="AA1992" i="1" s="1"/>
  <c r="AA1993" i="1" s="1"/>
  <c r="AA1994" i="1" s="1"/>
  <c r="AA1995" i="1" s="1"/>
  <c r="AA1996" i="1" s="1"/>
  <c r="AA1997" i="1" s="1"/>
  <c r="AA1998" i="1" s="1"/>
  <c r="AA1999" i="1" s="1"/>
  <c r="AA2000" i="1" s="1"/>
  <c r="S28" i="1"/>
  <c r="CB30" i="1"/>
  <c r="R30" i="1"/>
  <c r="AW2000" i="1"/>
  <c r="AV2000" i="1"/>
  <c r="AV28" i="1"/>
  <c r="AI27" i="1"/>
  <c r="H148" i="1"/>
  <c r="H149" i="1"/>
  <c r="T13" i="1"/>
  <c r="F20" i="1" s="1"/>
  <c r="T20" i="1"/>
  <c r="Q30" i="1" s="1"/>
  <c r="Q31" i="1" s="1"/>
  <c r="AA30" i="1"/>
  <c r="U30" i="1" s="1"/>
  <c r="AH30" i="1"/>
  <c r="AM27" i="1"/>
  <c r="AP30" i="1" s="1"/>
  <c r="AD30" i="1"/>
  <c r="AD31" i="1" s="1"/>
  <c r="N27" i="1"/>
  <c r="M27" i="1"/>
  <c r="AQ25" i="1"/>
  <c r="AL22" i="1"/>
  <c r="AT28" i="1"/>
  <c r="AP23" i="1" s="1"/>
  <c r="AJ29" i="1"/>
  <c r="T10" i="1"/>
  <c r="T11" i="1" s="1"/>
  <c r="T12" i="1" s="1"/>
  <c r="B6" i="1"/>
  <c r="F25" i="1"/>
  <c r="G25" i="1"/>
  <c r="L19" i="1"/>
  <c r="E25" i="1"/>
  <c r="H26" i="1"/>
  <c r="F26" i="1"/>
  <c r="N26" i="1" l="1"/>
  <c r="AM25" i="1"/>
  <c r="AI30" i="1"/>
  <c r="AT24" i="1"/>
  <c r="AV29" i="1"/>
  <c r="T31" i="1"/>
  <c r="C10" i="1"/>
  <c r="T15" i="1"/>
  <c r="T30" i="1"/>
  <c r="V30" i="1" s="1"/>
  <c r="AD32" i="1"/>
  <c r="AV30" i="1"/>
  <c r="AL31" i="1"/>
  <c r="Q32" i="1"/>
  <c r="AL30" i="1"/>
  <c r="AN30" i="1"/>
  <c r="AW28" i="1"/>
  <c r="Y30" i="1"/>
  <c r="AE30" i="1"/>
  <c r="X30" i="1"/>
  <c r="R31" i="1"/>
  <c r="T16" i="1" l="1"/>
  <c r="AJ30" i="1"/>
  <c r="CC30" i="1" s="1"/>
  <c r="W30" i="1"/>
  <c r="Z30" i="1" s="1"/>
  <c r="H173" i="1"/>
  <c r="H454" i="1"/>
  <c r="H521" i="1"/>
  <c r="H585" i="1"/>
  <c r="H518" i="1"/>
  <c r="H375" i="1"/>
  <c r="H284" i="1"/>
  <c r="H211" i="1"/>
  <c r="H448" i="1"/>
  <c r="H227" i="1"/>
  <c r="H221" i="1"/>
  <c r="H413" i="1"/>
  <c r="H456" i="1"/>
  <c r="H393" i="1"/>
  <c r="H368" i="1"/>
  <c r="H414" i="1"/>
  <c r="H280" i="1"/>
  <c r="H274" i="1"/>
  <c r="H527" i="1"/>
  <c r="H338" i="1"/>
  <c r="H374" i="1"/>
  <c r="H445" i="1"/>
  <c r="H449" i="1"/>
  <c r="H303" i="1"/>
  <c r="H529" i="1"/>
  <c r="H534" i="1"/>
  <c r="H328" i="1"/>
  <c r="H574" i="1"/>
  <c r="H427" i="1"/>
  <c r="H489" i="1"/>
  <c r="H388" i="1"/>
  <c r="H315" i="1"/>
  <c r="H459" i="1"/>
  <c r="H193" i="1"/>
  <c r="H256" i="1"/>
  <c r="H318" i="1"/>
  <c r="H593" i="1"/>
  <c r="H254" i="1"/>
  <c r="H542" i="1"/>
  <c r="H226" i="1"/>
  <c r="H535" i="1"/>
  <c r="H391" i="1"/>
  <c r="H530" i="1"/>
  <c r="H508" i="1"/>
  <c r="H402" i="1"/>
  <c r="H347" i="1"/>
  <c r="H238" i="1"/>
  <c r="H367" i="1"/>
  <c r="H197" i="1"/>
  <c r="H468" i="1"/>
  <c r="H382" i="1"/>
  <c r="H267" i="1"/>
  <c r="H478" i="1"/>
  <c r="H503" i="1"/>
  <c r="H204" i="1"/>
  <c r="H558" i="1"/>
  <c r="H243" i="1"/>
  <c r="H590" i="1"/>
  <c r="H462" i="1"/>
  <c r="H552" i="1"/>
  <c r="H612" i="1"/>
  <c r="H407" i="1"/>
  <c r="H403" i="1"/>
  <c r="H486" i="1"/>
  <c r="H188" i="1"/>
  <c r="H409" i="1"/>
  <c r="H561" i="1"/>
  <c r="H292" i="1"/>
  <c r="H155" i="1"/>
  <c r="H543" i="1"/>
  <c r="H202" i="1"/>
  <c r="H470" i="1"/>
  <c r="H618" i="1"/>
  <c r="H239" i="1"/>
  <c r="H319" i="1"/>
  <c r="H532" i="1"/>
  <c r="H289" i="1"/>
  <c r="H559" i="1"/>
  <c r="H180" i="1"/>
  <c r="H428" i="1"/>
  <c r="H599" i="1"/>
  <c r="H550" i="1"/>
  <c r="H471" i="1"/>
  <c r="H491" i="1"/>
  <c r="H230" i="1"/>
  <c r="H426" i="1"/>
  <c r="H501" i="1"/>
  <c r="H473" i="1"/>
  <c r="H372" i="1"/>
  <c r="H598" i="1"/>
  <c r="H379" i="1"/>
  <c r="H475" i="1"/>
  <c r="H546" i="1"/>
  <c r="H487" i="1"/>
  <c r="H325" i="1"/>
  <c r="H523" i="1"/>
  <c r="H241" i="1"/>
  <c r="H551" i="1"/>
  <c r="H240" i="1"/>
  <c r="H537" i="1"/>
  <c r="H313" i="1"/>
  <c r="H480" i="1"/>
  <c r="H282" i="1"/>
  <c r="H450" i="1"/>
  <c r="H526" i="1"/>
  <c r="H234" i="1"/>
  <c r="H405" i="1"/>
  <c r="H212" i="1"/>
  <c r="H582" i="1"/>
  <c r="H348" i="1"/>
  <c r="H166" i="1"/>
  <c r="H285" i="1"/>
  <c r="H369" i="1"/>
  <c r="H158" i="1"/>
  <c r="H346" i="1"/>
  <c r="H400" i="1"/>
  <c r="H458" i="1"/>
  <c r="H266" i="1"/>
  <c r="H493" i="1"/>
  <c r="H577" i="1"/>
  <c r="H187" i="1"/>
  <c r="H219" i="1"/>
  <c r="H385" i="1"/>
  <c r="H548" i="1"/>
  <c r="H455" i="1"/>
  <c r="H295" i="1"/>
  <c r="H297" i="1"/>
  <c r="H412" i="1"/>
  <c r="H255" i="1"/>
  <c r="H614" i="1"/>
  <c r="H397" i="1"/>
  <c r="H581" i="1"/>
  <c r="H510" i="1"/>
  <c r="H481" i="1"/>
  <c r="H362" i="1"/>
  <c r="H499" i="1"/>
  <c r="H514" i="1"/>
  <c r="H236" i="1"/>
  <c r="H343" i="1"/>
  <c r="H225" i="1"/>
  <c r="H421" i="1"/>
  <c r="H356" i="1"/>
  <c r="H249" i="1"/>
  <c r="H506" i="1"/>
  <c r="H208" i="1"/>
  <c r="H416" i="1"/>
  <c r="H253" i="1"/>
  <c r="H154" i="1"/>
  <c r="H350" i="1"/>
  <c r="H287" i="1"/>
  <c r="H217" i="1"/>
  <c r="H483" i="1"/>
  <c r="H246" i="1"/>
  <c r="H465" i="1"/>
  <c r="H321" i="1"/>
  <c r="H189" i="1"/>
  <c r="H435" i="1"/>
  <c r="H601" i="1"/>
  <c r="H557" i="1"/>
  <c r="H444" i="1"/>
  <c r="H275" i="1"/>
  <c r="H575" i="1"/>
  <c r="H447" i="1"/>
  <c r="H408" i="1"/>
  <c r="H192" i="1"/>
  <c r="H363" i="1"/>
  <c r="H272" i="1"/>
  <c r="H451" i="1"/>
  <c r="H564" i="1"/>
  <c r="H342" i="1"/>
  <c r="H160" i="1"/>
  <c r="H305" i="1"/>
  <c r="H504" i="1"/>
  <c r="H222" i="1"/>
  <c r="H394" i="1"/>
  <c r="H283" i="1"/>
  <c r="H164" i="1"/>
  <c r="H545" i="1"/>
  <c r="H511" i="1"/>
  <c r="H171" i="1"/>
  <c r="H600" i="1"/>
  <c r="H277" i="1"/>
  <c r="H332" i="1"/>
  <c r="H224" i="1"/>
  <c r="H339" i="1"/>
  <c r="H302" i="1"/>
  <c r="H556" i="1"/>
  <c r="H233" i="1"/>
  <c r="H404" i="1"/>
  <c r="H479" i="1"/>
  <c r="H484" i="1"/>
  <c r="H293" i="1"/>
  <c r="H492" i="1"/>
  <c r="H334" i="1"/>
  <c r="H437" i="1"/>
  <c r="H592" i="1"/>
  <c r="H177" i="1"/>
  <c r="H355" i="1"/>
  <c r="H583" i="1"/>
  <c r="H380" i="1"/>
  <c r="H299" i="1"/>
  <c r="H463" i="1"/>
  <c r="H425" i="1"/>
  <c r="H185" i="1"/>
  <c r="H494" i="1"/>
  <c r="H309" i="1"/>
  <c r="H395" i="1"/>
  <c r="H579" i="1"/>
  <c r="H607" i="1"/>
  <c r="H495" i="1"/>
  <c r="H611" i="1"/>
  <c r="H257" i="1"/>
  <c r="H205" i="1"/>
  <c r="H157" i="1"/>
  <c r="H310" i="1"/>
  <c r="H602" i="1"/>
  <c r="H183" i="1"/>
  <c r="H469" i="1"/>
  <c r="H314" i="1"/>
  <c r="H196" i="1"/>
  <c r="H410" i="1"/>
  <c r="H248" i="1"/>
  <c r="H596" i="1"/>
  <c r="H608" i="1"/>
  <c r="H466" i="1"/>
  <c r="H244" i="1"/>
  <c r="H264" i="1"/>
  <c r="H603" i="1"/>
  <c r="H573" i="1"/>
  <c r="H198" i="1"/>
  <c r="H365" i="1"/>
  <c r="H443" i="1"/>
  <c r="H361" i="1"/>
  <c r="H286" i="1"/>
  <c r="H419" i="1"/>
  <c r="H587" i="1"/>
  <c r="H417" i="1"/>
  <c r="H613" i="1"/>
  <c r="H288" i="1"/>
  <c r="H606" i="1"/>
  <c r="H485" i="1"/>
  <c r="H586" i="1"/>
  <c r="H609" i="1"/>
  <c r="H203" i="1"/>
  <c r="H252" i="1"/>
  <c r="H247" i="1"/>
  <c r="H565" i="1"/>
  <c r="H584" i="1"/>
  <c r="H340" i="1"/>
  <c r="H457" i="1"/>
  <c r="H438" i="1"/>
  <c r="H215" i="1"/>
  <c r="H223" i="1"/>
  <c r="H562" i="1"/>
  <c r="H572" i="1"/>
  <c r="H563" i="1"/>
  <c r="H167" i="1"/>
  <c r="H273" i="1"/>
  <c r="H162" i="1"/>
  <c r="H298" i="1"/>
  <c r="H420" i="1"/>
  <c r="H442" i="1"/>
  <c r="H595" i="1"/>
  <c r="H401" i="1"/>
  <c r="H191" i="1"/>
  <c r="H621" i="1"/>
  <c r="H376" i="1"/>
  <c r="H329" i="1"/>
  <c r="H304" i="1"/>
  <c r="H336" i="1"/>
  <c r="H331" i="1"/>
  <c r="H396" i="1"/>
  <c r="H195" i="1"/>
  <c r="H515" i="1"/>
  <c r="H554" i="1"/>
  <c r="H218" i="1"/>
  <c r="H509" i="1"/>
  <c r="H278" i="1"/>
  <c r="H373" i="1"/>
  <c r="H387" i="1"/>
  <c r="H237" i="1"/>
  <c r="H279" i="1"/>
  <c r="H477" i="1"/>
  <c r="H358" i="1"/>
  <c r="H384" i="1"/>
  <c r="H516" i="1"/>
  <c r="H172" i="1"/>
  <c r="H324" i="1"/>
  <c r="H378" i="1"/>
  <c r="H178" i="1"/>
  <c r="H326" i="1"/>
  <c r="H415" i="1"/>
  <c r="H337" i="1"/>
  <c r="H360" i="1"/>
  <c r="H341" i="1"/>
  <c r="H194" i="1"/>
  <c r="H216" i="1"/>
  <c r="H312" i="1"/>
  <c r="H440" i="1"/>
  <c r="H533" i="1"/>
  <c r="H268" i="1"/>
  <c r="H381" i="1"/>
  <c r="H175" i="1"/>
  <c r="H610" i="1"/>
  <c r="H390" i="1"/>
  <c r="H333" i="1"/>
  <c r="H306" i="1"/>
  <c r="H490" i="1"/>
  <c r="H439" i="1"/>
  <c r="H214" i="1"/>
  <c r="H589" i="1"/>
  <c r="H500" i="1"/>
  <c r="H591" i="1"/>
  <c r="H429" i="1"/>
  <c r="H161" i="1"/>
  <c r="H547" i="1"/>
  <c r="H261" i="1"/>
  <c r="H536" i="1"/>
  <c r="H507" i="1"/>
  <c r="H250" i="1"/>
  <c r="H619" i="1"/>
  <c r="H525" i="1"/>
  <c r="H418" i="1"/>
  <c r="H474" i="1"/>
  <c r="H541" i="1"/>
  <c r="H357" i="1"/>
  <c r="H528" i="1"/>
  <c r="H482" i="1"/>
  <c r="H576" i="1"/>
  <c r="H464" i="1"/>
  <c r="H505" i="1"/>
  <c r="H199" i="1"/>
  <c r="H152" i="1"/>
  <c r="H317" i="1"/>
  <c r="H181" i="1"/>
  <c r="H461" i="1"/>
  <c r="H271" i="1"/>
  <c r="H258" i="1"/>
  <c r="H307" i="1"/>
  <c r="H434" i="1"/>
  <c r="H538" i="1"/>
  <c r="H411" i="1"/>
  <c r="H430" i="1"/>
  <c r="H207" i="1"/>
  <c r="H174" i="1"/>
  <c r="H176" i="1"/>
  <c r="H322" i="1"/>
  <c r="H354" i="1"/>
  <c r="H597" i="1"/>
  <c r="H432" i="1"/>
  <c r="H452" i="1"/>
  <c r="H300" i="1"/>
  <c r="H446" i="1"/>
  <c r="H568" i="1"/>
  <c r="H165" i="1"/>
  <c r="H436" i="1"/>
  <c r="H206" i="1"/>
  <c r="H476" i="1"/>
  <c r="H604" i="1"/>
  <c r="H566" i="1"/>
  <c r="H524" i="1"/>
  <c r="H424" i="1"/>
  <c r="H245" i="1"/>
  <c r="H522" i="1"/>
  <c r="H578" i="1"/>
  <c r="H371" i="1"/>
  <c r="H210" i="1"/>
  <c r="H344" i="1"/>
  <c r="H567" i="1"/>
  <c r="H366" i="1"/>
  <c r="H353" i="1"/>
  <c r="H519" i="1"/>
  <c r="H422" i="1"/>
  <c r="H276" i="1"/>
  <c r="H497" i="1"/>
  <c r="H150" i="1"/>
  <c r="H296" i="1"/>
  <c r="H231" i="1"/>
  <c r="H235" i="1"/>
  <c r="H232" i="1"/>
  <c r="H153" i="1"/>
  <c r="H617" i="1"/>
  <c r="H351" i="1"/>
  <c r="H316" i="1"/>
  <c r="H281" i="1"/>
  <c r="H201" i="1"/>
  <c r="H531" i="1"/>
  <c r="H398" i="1"/>
  <c r="H209" i="1"/>
  <c r="H520" i="1"/>
  <c r="H184" i="1"/>
  <c r="H270" i="1"/>
  <c r="H453" i="1"/>
  <c r="H498" i="1"/>
  <c r="H294" i="1"/>
  <c r="H539" i="1"/>
  <c r="H460" i="1"/>
  <c r="H335" i="1"/>
  <c r="H544" i="1"/>
  <c r="H179" i="1"/>
  <c r="H423" i="1"/>
  <c r="H431" i="1"/>
  <c r="H190" i="1"/>
  <c r="H594" i="1"/>
  <c r="H517" i="1"/>
  <c r="H308" i="1"/>
  <c r="H553" i="1"/>
  <c r="H433" i="1"/>
  <c r="H620" i="1"/>
  <c r="H580" i="1"/>
  <c r="H228" i="1"/>
  <c r="H616" i="1"/>
  <c r="H290" i="1"/>
  <c r="H263" i="1"/>
  <c r="H311" i="1"/>
  <c r="H488" i="1"/>
  <c r="H389" i="1"/>
  <c r="H251" i="1"/>
  <c r="H386" i="1"/>
  <c r="H200" i="1"/>
  <c r="H291" i="1"/>
  <c r="H569" i="1"/>
  <c r="H330" i="1"/>
  <c r="H259" i="1"/>
  <c r="H472" i="1"/>
  <c r="H540" i="1"/>
  <c r="H213" i="1"/>
  <c r="H186" i="1"/>
  <c r="H392" i="1"/>
  <c r="H441" i="1"/>
  <c r="H170" i="1"/>
  <c r="H327" i="1"/>
  <c r="H262" i="1"/>
  <c r="H242" i="1"/>
  <c r="H406" i="1"/>
  <c r="H370" i="1"/>
  <c r="H496" i="1"/>
  <c r="H159" i="1"/>
  <c r="H220" i="1"/>
  <c r="H229" i="1"/>
  <c r="H512" i="1"/>
  <c r="H323" i="1"/>
  <c r="H349" i="1"/>
  <c r="H467" i="1"/>
  <c r="H169" i="1"/>
  <c r="H549" i="1"/>
  <c r="H269" i="1"/>
  <c r="H513" i="1"/>
  <c r="H502" i="1"/>
  <c r="H570" i="1"/>
  <c r="H383" i="1"/>
  <c r="H399" i="1"/>
  <c r="H156" i="1"/>
  <c r="H359" i="1"/>
  <c r="H168" i="1"/>
  <c r="H622" i="1"/>
  <c r="H615" i="1"/>
  <c r="H555" i="1"/>
  <c r="H151" i="1"/>
  <c r="H377" i="1"/>
  <c r="H182" i="1"/>
  <c r="H588" i="1"/>
  <c r="H163" i="1"/>
  <c r="H571" i="1"/>
  <c r="H260" i="1"/>
  <c r="H265" i="1"/>
  <c r="H301" i="1"/>
  <c r="H560" i="1"/>
  <c r="H320" i="1"/>
  <c r="H352" i="1"/>
  <c r="H364" i="1"/>
  <c r="H605" i="1"/>
  <c r="H345" i="1"/>
  <c r="AO30" i="1"/>
  <c r="Q33" i="1"/>
  <c r="AL32" i="1"/>
  <c r="T32" i="1"/>
  <c r="AV31" i="1"/>
  <c r="AD33" i="1"/>
  <c r="AE31" i="1"/>
  <c r="Y31" i="1"/>
  <c r="W31" i="1"/>
  <c r="R32" i="1"/>
  <c r="AY30" i="1"/>
  <c r="AZ30" i="1" s="1"/>
  <c r="AG30" i="1"/>
  <c r="AQ30" i="1" l="1"/>
  <c r="AR30" i="1"/>
  <c r="AW29" i="1"/>
  <c r="AK30" i="1"/>
  <c r="AL33" i="1"/>
  <c r="Q34" i="1"/>
  <c r="T33" i="1"/>
  <c r="AD34" i="1"/>
  <c r="AV32" i="1"/>
  <c r="AX30" i="1"/>
  <c r="R33" i="1"/>
  <c r="Y32" i="1"/>
  <c r="W32" i="1"/>
  <c r="AG31" i="1"/>
  <c r="AY31" i="1"/>
  <c r="AZ31" i="1" s="1"/>
  <c r="AN31" i="1" l="1"/>
  <c r="U31" i="1"/>
  <c r="AI31" i="1"/>
  <c r="AX31" i="1"/>
  <c r="AD35" i="1"/>
  <c r="AV33" i="1"/>
  <c r="Q35" i="1"/>
  <c r="AL34" i="1"/>
  <c r="T34" i="1"/>
  <c r="W33" i="1"/>
  <c r="Y33" i="1"/>
  <c r="R34" i="1"/>
  <c r="V31" i="1" l="1"/>
  <c r="AH31" i="1"/>
  <c r="X31" i="1"/>
  <c r="Z31" i="1" s="1"/>
  <c r="AO31" i="1"/>
  <c r="AQ31" i="1" s="1"/>
  <c r="AL35" i="1"/>
  <c r="Q36" i="1"/>
  <c r="T35" i="1"/>
  <c r="AD36" i="1"/>
  <c r="AV34" i="1"/>
  <c r="R35" i="1"/>
  <c r="Y34" i="1"/>
  <c r="W34" i="1"/>
  <c r="AJ31" i="1" l="1"/>
  <c r="CC31" i="1" s="1"/>
  <c r="AD37" i="1"/>
  <c r="AV35" i="1"/>
  <c r="Q37" i="1"/>
  <c r="AL36" i="1"/>
  <c r="T36" i="1"/>
  <c r="W35" i="1"/>
  <c r="Y35" i="1"/>
  <c r="R36" i="1"/>
  <c r="AL37" i="1" l="1"/>
  <c r="Q38" i="1"/>
  <c r="T37" i="1"/>
  <c r="AV36" i="1"/>
  <c r="AD38" i="1"/>
  <c r="R37" i="1"/>
  <c r="W36" i="1"/>
  <c r="Y36" i="1"/>
  <c r="AD39" i="1" l="1"/>
  <c r="AV37" i="1"/>
  <c r="Q39" i="1"/>
  <c r="AL38" i="1"/>
  <c r="T38" i="1"/>
  <c r="Y37" i="1"/>
  <c r="W37" i="1"/>
  <c r="R38" i="1"/>
  <c r="AL39" i="1" l="1"/>
  <c r="Q40" i="1"/>
  <c r="T39" i="1"/>
  <c r="AD40" i="1"/>
  <c r="AV38" i="1"/>
  <c r="Y38" i="1"/>
  <c r="R39" i="1"/>
  <c r="W38" i="1"/>
  <c r="AV39" i="1" l="1"/>
  <c r="AD41" i="1"/>
  <c r="Q41" i="1"/>
  <c r="AL40" i="1"/>
  <c r="T40" i="1"/>
  <c r="R40" i="1"/>
  <c r="Y39" i="1"/>
  <c r="W39" i="1"/>
  <c r="AL41" i="1" l="1"/>
  <c r="Q42" i="1"/>
  <c r="T41" i="1"/>
  <c r="AD42" i="1"/>
  <c r="AV40" i="1"/>
  <c r="R41" i="1"/>
  <c r="W40" i="1"/>
  <c r="Y40" i="1"/>
  <c r="AD43" i="1" l="1"/>
  <c r="AV41" i="1"/>
  <c r="Q43" i="1"/>
  <c r="AL42" i="1"/>
  <c r="T42" i="1"/>
  <c r="R42" i="1"/>
  <c r="W41" i="1"/>
  <c r="Y41" i="1"/>
  <c r="AL43" i="1" l="1"/>
  <c r="Q44" i="1"/>
  <c r="T43" i="1"/>
  <c r="AD44" i="1"/>
  <c r="AV42" i="1"/>
  <c r="Y42" i="1"/>
  <c r="W42" i="1"/>
  <c r="R43" i="1"/>
  <c r="AD45" i="1" l="1"/>
  <c r="AV43" i="1"/>
  <c r="Q45" i="1"/>
  <c r="AL44" i="1"/>
  <c r="T44" i="1"/>
  <c r="W43" i="1"/>
  <c r="Y43" i="1"/>
  <c r="R44" i="1"/>
  <c r="AL45" i="1" l="1"/>
  <c r="Q46" i="1"/>
  <c r="T45" i="1"/>
  <c r="AV44" i="1"/>
  <c r="AD46" i="1"/>
  <c r="W44" i="1"/>
  <c r="Y44" i="1"/>
  <c r="R45" i="1"/>
  <c r="AD47" i="1" l="1"/>
  <c r="AV45" i="1"/>
  <c r="Q47" i="1"/>
  <c r="AL46" i="1"/>
  <c r="T46" i="1"/>
  <c r="R46" i="1"/>
  <c r="W45" i="1"/>
  <c r="Y45" i="1"/>
  <c r="AL47" i="1" l="1"/>
  <c r="Q48" i="1"/>
  <c r="T47" i="1"/>
  <c r="AD48" i="1"/>
  <c r="AV46" i="1"/>
  <c r="Y46" i="1"/>
  <c r="W46" i="1"/>
  <c r="R47" i="1"/>
  <c r="AD49" i="1" l="1"/>
  <c r="AV47" i="1"/>
  <c r="Q49" i="1"/>
  <c r="AL48" i="1"/>
  <c r="T48" i="1"/>
  <c r="R48" i="1"/>
  <c r="W47" i="1"/>
  <c r="Y47" i="1"/>
  <c r="AL49" i="1" l="1"/>
  <c r="Q50" i="1"/>
  <c r="T49" i="1"/>
  <c r="AV48" i="1"/>
  <c r="AD50" i="1"/>
  <c r="W48" i="1"/>
  <c r="R49" i="1"/>
  <c r="Y48" i="1"/>
  <c r="AD51" i="1" l="1"/>
  <c r="AV49" i="1"/>
  <c r="Q51" i="1"/>
  <c r="AL50" i="1"/>
  <c r="T50" i="1"/>
  <c r="W49" i="1"/>
  <c r="Y49" i="1"/>
  <c r="R50" i="1"/>
  <c r="AL51" i="1" l="1"/>
  <c r="Q52" i="1"/>
  <c r="T51" i="1"/>
  <c r="AV50" i="1"/>
  <c r="AD52" i="1"/>
  <c r="R51" i="1"/>
  <c r="Y50" i="1"/>
  <c r="W50" i="1"/>
  <c r="AD53" i="1" l="1"/>
  <c r="AV51" i="1"/>
  <c r="Q53" i="1"/>
  <c r="AL52" i="1"/>
  <c r="T52" i="1"/>
  <c r="R52" i="1"/>
  <c r="W51" i="1"/>
  <c r="Y51" i="1"/>
  <c r="AL53" i="1" l="1"/>
  <c r="Q54" i="1"/>
  <c r="T53" i="1"/>
  <c r="AV52" i="1"/>
  <c r="AD54" i="1"/>
  <c r="W52" i="1"/>
  <c r="Y52" i="1"/>
  <c r="R53" i="1"/>
  <c r="AD55" i="1" l="1"/>
  <c r="AV53" i="1"/>
  <c r="Q55" i="1"/>
  <c r="AL54" i="1"/>
  <c r="T54" i="1"/>
  <c r="W53" i="1"/>
  <c r="Y53" i="1"/>
  <c r="R54" i="1"/>
  <c r="AL55" i="1" l="1"/>
  <c r="Q56" i="1"/>
  <c r="T55" i="1"/>
  <c r="AD56" i="1"/>
  <c r="AV54" i="1"/>
  <c r="R55" i="1"/>
  <c r="Y54" i="1"/>
  <c r="W54" i="1"/>
  <c r="AV55" i="1" l="1"/>
  <c r="AD57" i="1"/>
  <c r="Q57" i="1"/>
  <c r="AL56" i="1"/>
  <c r="T56" i="1"/>
  <c r="R56" i="1"/>
  <c r="W55" i="1"/>
  <c r="Y55" i="1"/>
  <c r="AL57" i="1" l="1"/>
  <c r="Q58" i="1"/>
  <c r="T57" i="1"/>
  <c r="AD58" i="1"/>
  <c r="AV56" i="1"/>
  <c r="Y56" i="1"/>
  <c r="W56" i="1"/>
  <c r="R57" i="1"/>
  <c r="AD59" i="1" l="1"/>
  <c r="AV57" i="1"/>
  <c r="Q59" i="1"/>
  <c r="AL58" i="1"/>
  <c r="T58" i="1"/>
  <c r="W57" i="1"/>
  <c r="Y57" i="1"/>
  <c r="R58" i="1"/>
  <c r="AL59" i="1" l="1"/>
  <c r="Q60" i="1"/>
  <c r="T59" i="1"/>
  <c r="AD60" i="1"/>
  <c r="AV58" i="1"/>
  <c r="W58" i="1"/>
  <c r="R59" i="1"/>
  <c r="Y58" i="1"/>
  <c r="AD61" i="1" l="1"/>
  <c r="AV59" i="1"/>
  <c r="Q61" i="1"/>
  <c r="AL60" i="1"/>
  <c r="T60" i="1"/>
  <c r="Y59" i="1"/>
  <c r="R60" i="1"/>
  <c r="W59" i="1"/>
  <c r="AL61" i="1" l="1"/>
  <c r="Q62" i="1"/>
  <c r="T61" i="1"/>
  <c r="AV60" i="1"/>
  <c r="AD62" i="1"/>
  <c r="W60" i="1"/>
  <c r="Y60" i="1"/>
  <c r="R61" i="1"/>
  <c r="AD63" i="1" l="1"/>
  <c r="AV61" i="1"/>
  <c r="Q63" i="1"/>
  <c r="AL62" i="1"/>
  <c r="T62" i="1"/>
  <c r="R62" i="1"/>
  <c r="Y61" i="1"/>
  <c r="W61" i="1"/>
  <c r="AL63" i="1" l="1"/>
  <c r="Q64" i="1"/>
  <c r="T63" i="1"/>
  <c r="AD64" i="1"/>
  <c r="AV62" i="1"/>
  <c r="W62" i="1"/>
  <c r="R63" i="1"/>
  <c r="Y62" i="1"/>
  <c r="AV63" i="1" l="1"/>
  <c r="AD65" i="1"/>
  <c r="Q65" i="1"/>
  <c r="AL64" i="1"/>
  <c r="T64" i="1"/>
  <c r="W63" i="1"/>
  <c r="R64" i="1"/>
  <c r="Y63" i="1"/>
  <c r="AL65" i="1" l="1"/>
  <c r="Q66" i="1"/>
  <c r="T65" i="1"/>
  <c r="AD66" i="1"/>
  <c r="AV64" i="1"/>
  <c r="R65" i="1"/>
  <c r="Y64" i="1"/>
  <c r="W64" i="1"/>
  <c r="AD67" i="1" l="1"/>
  <c r="AV65" i="1"/>
  <c r="Q67" i="1"/>
  <c r="AL66" i="1"/>
  <c r="T66" i="1"/>
  <c r="W65" i="1"/>
  <c r="R66" i="1"/>
  <c r="Y65" i="1"/>
  <c r="AL67" i="1" l="1"/>
  <c r="Q68" i="1"/>
  <c r="T67" i="1"/>
  <c r="AD68" i="1"/>
  <c r="AV66" i="1"/>
  <c r="Y66" i="1"/>
  <c r="W66" i="1"/>
  <c r="R67" i="1"/>
  <c r="AD69" i="1" l="1"/>
  <c r="AV67" i="1"/>
  <c r="Q69" i="1"/>
  <c r="AL68" i="1"/>
  <c r="T68" i="1"/>
  <c r="R68" i="1"/>
  <c r="W67" i="1"/>
  <c r="Y67" i="1"/>
  <c r="AL69" i="1" l="1"/>
  <c r="Q70" i="1"/>
  <c r="T69" i="1"/>
  <c r="AV68" i="1"/>
  <c r="AD70" i="1"/>
  <c r="Y68" i="1"/>
  <c r="R69" i="1"/>
  <c r="W68" i="1"/>
  <c r="AD71" i="1" l="1"/>
  <c r="AV69" i="1"/>
  <c r="Q71" i="1"/>
  <c r="AL70" i="1"/>
  <c r="T70" i="1"/>
  <c r="W69" i="1"/>
  <c r="R70" i="1"/>
  <c r="Y69" i="1"/>
  <c r="AL71" i="1" l="1"/>
  <c r="Q72" i="1"/>
  <c r="T71" i="1"/>
  <c r="AD72" i="1"/>
  <c r="AV70" i="1"/>
  <c r="Y70" i="1"/>
  <c r="W70" i="1"/>
  <c r="R71" i="1"/>
  <c r="AV71" i="1" l="1"/>
  <c r="AD73" i="1"/>
  <c r="Q73" i="1"/>
  <c r="AL72" i="1"/>
  <c r="T72" i="1"/>
  <c r="W71" i="1"/>
  <c r="Y71" i="1"/>
  <c r="R72" i="1"/>
  <c r="AL73" i="1" l="1"/>
  <c r="Q74" i="1"/>
  <c r="T73" i="1"/>
  <c r="AD74" i="1"/>
  <c r="AV72" i="1"/>
  <c r="Y72" i="1"/>
  <c r="W72" i="1"/>
  <c r="R73" i="1"/>
  <c r="AD75" i="1" l="1"/>
  <c r="AV73" i="1"/>
  <c r="Q75" i="1"/>
  <c r="AL74" i="1"/>
  <c r="T74" i="1"/>
  <c r="Y73" i="1"/>
  <c r="R74" i="1"/>
  <c r="W73" i="1"/>
  <c r="AL75" i="1" l="1"/>
  <c r="Q76" i="1"/>
  <c r="T75" i="1"/>
  <c r="AD76" i="1"/>
  <c r="AV74" i="1"/>
  <c r="W74" i="1"/>
  <c r="Y74" i="1"/>
  <c r="R75" i="1"/>
  <c r="AD77" i="1" l="1"/>
  <c r="AV75" i="1"/>
  <c r="Q77" i="1"/>
  <c r="AL76" i="1"/>
  <c r="T76" i="1"/>
  <c r="R76" i="1"/>
  <c r="Y75" i="1"/>
  <c r="W75" i="1"/>
  <c r="AL77" i="1" l="1"/>
  <c r="Q78" i="1"/>
  <c r="T77" i="1"/>
  <c r="AV76" i="1"/>
  <c r="AD78" i="1"/>
  <c r="W76" i="1"/>
  <c r="R77" i="1"/>
  <c r="Y76" i="1"/>
  <c r="AD79" i="1" l="1"/>
  <c r="AV77" i="1"/>
  <c r="Q79" i="1"/>
  <c r="AL78" i="1"/>
  <c r="T78" i="1"/>
  <c r="W77" i="1"/>
  <c r="R78" i="1"/>
  <c r="Y77" i="1"/>
  <c r="AL79" i="1" l="1"/>
  <c r="Q80" i="1"/>
  <c r="T79" i="1"/>
  <c r="AD80" i="1"/>
  <c r="AV78" i="1"/>
  <c r="W78" i="1"/>
  <c r="R79" i="1"/>
  <c r="Y78" i="1"/>
  <c r="AV79" i="1" l="1"/>
  <c r="AD81" i="1"/>
  <c r="Q81" i="1"/>
  <c r="AL80" i="1"/>
  <c r="T80" i="1"/>
  <c r="W79" i="1"/>
  <c r="R80" i="1"/>
  <c r="Y79" i="1"/>
  <c r="AL81" i="1" l="1"/>
  <c r="Q82" i="1"/>
  <c r="T81" i="1"/>
  <c r="AD82" i="1"/>
  <c r="AV80" i="1"/>
  <c r="R81" i="1"/>
  <c r="W80" i="1"/>
  <c r="Y80" i="1"/>
  <c r="AD83" i="1" l="1"/>
  <c r="AV81" i="1"/>
  <c r="Q83" i="1"/>
  <c r="AL82" i="1"/>
  <c r="T82" i="1"/>
  <c r="Y81" i="1"/>
  <c r="R82" i="1"/>
  <c r="W81" i="1"/>
  <c r="AL83" i="1" l="1"/>
  <c r="Q84" i="1"/>
  <c r="T83" i="1"/>
  <c r="AD84" i="1"/>
  <c r="AV82" i="1"/>
  <c r="R83" i="1"/>
  <c r="Y82" i="1"/>
  <c r="W82" i="1"/>
  <c r="AD85" i="1" l="1"/>
  <c r="AV83" i="1"/>
  <c r="Q85" i="1"/>
  <c r="AL84" i="1"/>
  <c r="T84" i="1"/>
  <c r="Y83" i="1"/>
  <c r="W83" i="1"/>
  <c r="R84" i="1"/>
  <c r="AL85" i="1" l="1"/>
  <c r="Q86" i="1"/>
  <c r="T85" i="1"/>
  <c r="AV84" i="1"/>
  <c r="AD86" i="1"/>
  <c r="Y84" i="1"/>
  <c r="R85" i="1"/>
  <c r="W84" i="1"/>
  <c r="AD87" i="1" l="1"/>
  <c r="AV85" i="1"/>
  <c r="Q87" i="1"/>
  <c r="AL86" i="1"/>
  <c r="T86" i="1"/>
  <c r="W85" i="1"/>
  <c r="R86" i="1"/>
  <c r="Y85" i="1"/>
  <c r="AL87" i="1" l="1"/>
  <c r="Q88" i="1"/>
  <c r="T87" i="1"/>
  <c r="AD88" i="1"/>
  <c r="AV86" i="1"/>
  <c r="Y86" i="1"/>
  <c r="W86" i="1"/>
  <c r="R87" i="1"/>
  <c r="AV87" i="1" l="1"/>
  <c r="AD89" i="1"/>
  <c r="Q89" i="1"/>
  <c r="AL88" i="1"/>
  <c r="T88" i="1"/>
  <c r="Y87" i="1"/>
  <c r="R88" i="1"/>
  <c r="W87" i="1"/>
  <c r="AL89" i="1" l="1"/>
  <c r="Q90" i="1"/>
  <c r="T89" i="1"/>
  <c r="AD90" i="1"/>
  <c r="AV88" i="1"/>
  <c r="R89" i="1"/>
  <c r="W88" i="1"/>
  <c r="Y88" i="1"/>
  <c r="AD91" i="1" l="1"/>
  <c r="AV89" i="1"/>
  <c r="Q91" i="1"/>
  <c r="AL90" i="1"/>
  <c r="T90" i="1"/>
  <c r="Y89" i="1"/>
  <c r="R90" i="1"/>
  <c r="W89" i="1"/>
  <c r="AL91" i="1" l="1"/>
  <c r="Q92" i="1"/>
  <c r="T91" i="1"/>
  <c r="AD92" i="1"/>
  <c r="AV90" i="1"/>
  <c r="Y90" i="1"/>
  <c r="W90" i="1"/>
  <c r="R91" i="1"/>
  <c r="AD93" i="1" l="1"/>
  <c r="AV91" i="1"/>
  <c r="Q93" i="1"/>
  <c r="AL92" i="1"/>
  <c r="T92" i="1"/>
  <c r="R92" i="1"/>
  <c r="Y91" i="1"/>
  <c r="W91" i="1"/>
  <c r="AL93" i="1" l="1"/>
  <c r="Q94" i="1"/>
  <c r="T93" i="1"/>
  <c r="AV92" i="1"/>
  <c r="AD94" i="1"/>
  <c r="R93" i="1"/>
  <c r="Y92" i="1"/>
  <c r="W92" i="1"/>
  <c r="AD95" i="1" l="1"/>
  <c r="AV93" i="1"/>
  <c r="Q95" i="1"/>
  <c r="AL94" i="1"/>
  <c r="T94" i="1"/>
  <c r="Y93" i="1"/>
  <c r="W93" i="1"/>
  <c r="R94" i="1"/>
  <c r="AL95" i="1" l="1"/>
  <c r="Q96" i="1"/>
  <c r="T95" i="1"/>
  <c r="AD96" i="1"/>
  <c r="AV94" i="1"/>
  <c r="W94" i="1"/>
  <c r="R95" i="1"/>
  <c r="Y94" i="1"/>
  <c r="AV95" i="1" l="1"/>
  <c r="AD97" i="1"/>
  <c r="Q97" i="1"/>
  <c r="AL96" i="1"/>
  <c r="T96" i="1"/>
  <c r="Y95" i="1"/>
  <c r="W95" i="1"/>
  <c r="R96" i="1"/>
  <c r="AL97" i="1" l="1"/>
  <c r="Q98" i="1"/>
  <c r="T97" i="1"/>
  <c r="AD98" i="1"/>
  <c r="AV96" i="1"/>
  <c r="R97" i="1"/>
  <c r="W96" i="1"/>
  <c r="Y96" i="1"/>
  <c r="AD99" i="1" l="1"/>
  <c r="AV97" i="1"/>
  <c r="Q99" i="1"/>
  <c r="AL98" i="1"/>
  <c r="T98" i="1"/>
  <c r="R98" i="1"/>
  <c r="W97" i="1"/>
  <c r="Y97" i="1"/>
  <c r="AL99" i="1" l="1"/>
  <c r="Q100" i="1"/>
  <c r="T99" i="1"/>
  <c r="AD100" i="1"/>
  <c r="AV98" i="1"/>
  <c r="R99" i="1"/>
  <c r="Y98" i="1"/>
  <c r="W98" i="1"/>
  <c r="AD101" i="1" l="1"/>
  <c r="AV99" i="1"/>
  <c r="Q101" i="1"/>
  <c r="AL100" i="1"/>
  <c r="T100" i="1"/>
  <c r="Y99" i="1"/>
  <c r="R100" i="1"/>
  <c r="W99" i="1"/>
  <c r="AL101" i="1" l="1"/>
  <c r="Q102" i="1"/>
  <c r="T101" i="1"/>
  <c r="AV100" i="1"/>
  <c r="AD102" i="1"/>
  <c r="Y100" i="1"/>
  <c r="W100" i="1"/>
  <c r="R101" i="1"/>
  <c r="AD103" i="1" l="1"/>
  <c r="AV101" i="1"/>
  <c r="Q103" i="1"/>
  <c r="AL102" i="1"/>
  <c r="T102" i="1"/>
  <c r="W101" i="1"/>
  <c r="Y101" i="1"/>
  <c r="R102" i="1"/>
  <c r="AL103" i="1" l="1"/>
  <c r="Q104" i="1"/>
  <c r="T103" i="1"/>
  <c r="AD104" i="1"/>
  <c r="AV102" i="1"/>
  <c r="W102" i="1"/>
  <c r="Y102" i="1"/>
  <c r="R103" i="1"/>
  <c r="AV103" i="1" l="1"/>
  <c r="AD105" i="1"/>
  <c r="Q105" i="1"/>
  <c r="AL104" i="1"/>
  <c r="T104" i="1"/>
  <c r="W103" i="1"/>
  <c r="Y103" i="1"/>
  <c r="R104" i="1"/>
  <c r="AL105" i="1" l="1"/>
  <c r="Q106" i="1"/>
  <c r="T105" i="1"/>
  <c r="AD106" i="1"/>
  <c r="AV104" i="1"/>
  <c r="R105" i="1"/>
  <c r="W104" i="1"/>
  <c r="Y104" i="1"/>
  <c r="AD107" i="1" l="1"/>
  <c r="AV105" i="1"/>
  <c r="Q107" i="1"/>
  <c r="AL106" i="1"/>
  <c r="T106" i="1"/>
  <c r="W105" i="1"/>
  <c r="R106" i="1"/>
  <c r="Y105" i="1"/>
  <c r="AL107" i="1" l="1"/>
  <c r="Q108" i="1"/>
  <c r="T107" i="1"/>
  <c r="AD108" i="1"/>
  <c r="AV106" i="1"/>
  <c r="R107" i="1"/>
  <c r="W106" i="1"/>
  <c r="Y106" i="1"/>
  <c r="AD109" i="1" l="1"/>
  <c r="AV107" i="1"/>
  <c r="Q109" i="1"/>
  <c r="AL108" i="1"/>
  <c r="T108" i="1"/>
  <c r="Y107" i="1"/>
  <c r="W107" i="1"/>
  <c r="R108" i="1"/>
  <c r="AL109" i="1" l="1"/>
  <c r="Q110" i="1"/>
  <c r="T109" i="1"/>
  <c r="AV108" i="1"/>
  <c r="AD110" i="1"/>
  <c r="Y108" i="1"/>
  <c r="R109" i="1"/>
  <c r="W108" i="1"/>
  <c r="AD111" i="1" l="1"/>
  <c r="AV109" i="1"/>
  <c r="Q111" i="1"/>
  <c r="AL110" i="1"/>
  <c r="T110" i="1"/>
  <c r="R110" i="1"/>
  <c r="W109" i="1"/>
  <c r="Y109" i="1"/>
  <c r="AL111" i="1" l="1"/>
  <c r="Q112" i="1"/>
  <c r="T111" i="1"/>
  <c r="AD112" i="1"/>
  <c r="AV110" i="1"/>
  <c r="R111" i="1"/>
  <c r="Y110" i="1"/>
  <c r="W110" i="1"/>
  <c r="AV111" i="1" l="1"/>
  <c r="AD113" i="1"/>
  <c r="Q113" i="1"/>
  <c r="AL112" i="1"/>
  <c r="T112" i="1"/>
  <c r="Y111" i="1"/>
  <c r="R112" i="1"/>
  <c r="W111" i="1"/>
  <c r="AL113" i="1" l="1"/>
  <c r="Q114" i="1"/>
  <c r="T113" i="1"/>
  <c r="AD114" i="1"/>
  <c r="AV112" i="1"/>
  <c r="R113" i="1"/>
  <c r="W112" i="1"/>
  <c r="Y112" i="1"/>
  <c r="AD115" i="1" l="1"/>
  <c r="AV113" i="1"/>
  <c r="Q115" i="1"/>
  <c r="AL114" i="1"/>
  <c r="T114" i="1"/>
  <c r="R114" i="1"/>
  <c r="W113" i="1"/>
  <c r="Y113" i="1"/>
  <c r="AL115" i="1" l="1"/>
  <c r="Q116" i="1"/>
  <c r="T115" i="1"/>
  <c r="AD116" i="1"/>
  <c r="AV114" i="1"/>
  <c r="Y114" i="1"/>
  <c r="W114" i="1"/>
  <c r="R115" i="1"/>
  <c r="AD117" i="1" l="1"/>
  <c r="AV115" i="1"/>
  <c r="Q117" i="1"/>
  <c r="AL116" i="1"/>
  <c r="T116" i="1"/>
  <c r="W115" i="1"/>
  <c r="R116" i="1"/>
  <c r="Y115" i="1"/>
  <c r="AL117" i="1" l="1"/>
  <c r="Q118" i="1"/>
  <c r="T117" i="1"/>
  <c r="AV116" i="1"/>
  <c r="AD118" i="1"/>
  <c r="R117" i="1"/>
  <c r="W116" i="1"/>
  <c r="Y116" i="1"/>
  <c r="AD119" i="1" l="1"/>
  <c r="AV117" i="1"/>
  <c r="Q119" i="1"/>
  <c r="AL118" i="1"/>
  <c r="T118" i="1"/>
  <c r="W117" i="1"/>
  <c r="Y117" i="1"/>
  <c r="R118" i="1"/>
  <c r="AL119" i="1" l="1"/>
  <c r="Q120" i="1"/>
  <c r="T119" i="1"/>
  <c r="AD120" i="1"/>
  <c r="AV118" i="1"/>
  <c r="R119" i="1"/>
  <c r="Y118" i="1"/>
  <c r="W118" i="1"/>
  <c r="AV119" i="1" l="1"/>
  <c r="AD121" i="1"/>
  <c r="Q121" i="1"/>
  <c r="AL120" i="1"/>
  <c r="T120" i="1"/>
  <c r="W119" i="1"/>
  <c r="R120" i="1"/>
  <c r="Y119" i="1"/>
  <c r="AL121" i="1" l="1"/>
  <c r="Q122" i="1"/>
  <c r="T121" i="1"/>
  <c r="AD122" i="1"/>
  <c r="AV120" i="1"/>
  <c r="W120" i="1"/>
  <c r="R121" i="1"/>
  <c r="Y120" i="1"/>
  <c r="AD123" i="1" l="1"/>
  <c r="AV121" i="1"/>
  <c r="Q123" i="1"/>
  <c r="AL122" i="1"/>
  <c r="T122" i="1"/>
  <c r="R122" i="1"/>
  <c r="W121" i="1"/>
  <c r="Y121" i="1"/>
  <c r="AL123" i="1" l="1"/>
  <c r="Q124" i="1"/>
  <c r="T123" i="1"/>
  <c r="AD124" i="1"/>
  <c r="AV122" i="1"/>
  <c r="R123" i="1"/>
  <c r="Y122" i="1"/>
  <c r="W122" i="1"/>
  <c r="AD125" i="1" l="1"/>
  <c r="AV123" i="1"/>
  <c r="Q125" i="1"/>
  <c r="AL124" i="1"/>
  <c r="T124" i="1"/>
  <c r="R124" i="1"/>
  <c r="W123" i="1"/>
  <c r="Y123" i="1"/>
  <c r="AL125" i="1" l="1"/>
  <c r="Q126" i="1"/>
  <c r="T125" i="1"/>
  <c r="AV124" i="1"/>
  <c r="AD126" i="1"/>
  <c r="R125" i="1"/>
  <c r="W124" i="1"/>
  <c r="Y124" i="1"/>
  <c r="AD127" i="1" l="1"/>
  <c r="AV125" i="1"/>
  <c r="Q127" i="1"/>
  <c r="AL126" i="1"/>
  <c r="T126" i="1"/>
  <c r="R126" i="1"/>
  <c r="W125" i="1"/>
  <c r="Y125" i="1"/>
  <c r="AL127" i="1" l="1"/>
  <c r="Q128" i="1"/>
  <c r="T127" i="1"/>
  <c r="AD128" i="1"/>
  <c r="AV126" i="1"/>
  <c r="Y126" i="1"/>
  <c r="W126" i="1"/>
  <c r="R127" i="1"/>
  <c r="AV127" i="1" l="1"/>
  <c r="AD129" i="1"/>
  <c r="Q129" i="1"/>
  <c r="AL128" i="1"/>
  <c r="T128" i="1"/>
  <c r="R128" i="1"/>
  <c r="Y127" i="1"/>
  <c r="W127" i="1"/>
  <c r="AL129" i="1" l="1"/>
  <c r="Q130" i="1"/>
  <c r="T129" i="1"/>
  <c r="AD130" i="1"/>
  <c r="AV128" i="1"/>
  <c r="Y128" i="1"/>
  <c r="R129" i="1"/>
  <c r="W128" i="1"/>
  <c r="AD131" i="1" l="1"/>
  <c r="AV129" i="1"/>
  <c r="Q131" i="1"/>
  <c r="AL130" i="1"/>
  <c r="T130" i="1"/>
  <c r="R130" i="1"/>
  <c r="Y129" i="1"/>
  <c r="W129" i="1"/>
  <c r="AL131" i="1" l="1"/>
  <c r="Q132" i="1"/>
  <c r="T131" i="1"/>
  <c r="AD132" i="1"/>
  <c r="AV130" i="1"/>
  <c r="Y130" i="1"/>
  <c r="R131" i="1"/>
  <c r="W130" i="1"/>
  <c r="AD133" i="1" l="1"/>
  <c r="AV131" i="1"/>
  <c r="Q133" i="1"/>
  <c r="AL132" i="1"/>
  <c r="T132" i="1"/>
  <c r="Y131" i="1"/>
  <c r="W131" i="1"/>
  <c r="R132" i="1"/>
  <c r="AL133" i="1" l="1"/>
  <c r="Q134" i="1"/>
  <c r="T133" i="1"/>
  <c r="AV132" i="1"/>
  <c r="AD134" i="1"/>
  <c r="R133" i="1"/>
  <c r="W132" i="1"/>
  <c r="Y132" i="1"/>
  <c r="AD135" i="1" l="1"/>
  <c r="AV133" i="1"/>
  <c r="Q135" i="1"/>
  <c r="AL134" i="1"/>
  <c r="T134" i="1"/>
  <c r="R134" i="1"/>
  <c r="W133" i="1"/>
  <c r="Y133" i="1"/>
  <c r="AL135" i="1" l="1"/>
  <c r="Q136" i="1"/>
  <c r="T135" i="1"/>
  <c r="AD136" i="1"/>
  <c r="AV134" i="1"/>
  <c r="Y134" i="1"/>
  <c r="R135" i="1"/>
  <c r="W134" i="1"/>
  <c r="AV135" i="1" l="1"/>
  <c r="AD137" i="1"/>
  <c r="Q137" i="1"/>
  <c r="AL136" i="1"/>
  <c r="T136" i="1"/>
  <c r="Y135" i="1"/>
  <c r="W135" i="1"/>
  <c r="R136" i="1"/>
  <c r="AL137" i="1" l="1"/>
  <c r="Q138" i="1"/>
  <c r="T137" i="1"/>
  <c r="AD138" i="1"/>
  <c r="AV136" i="1"/>
  <c r="R137" i="1"/>
  <c r="Y136" i="1"/>
  <c r="W136" i="1"/>
  <c r="AD139" i="1" l="1"/>
  <c r="AV137" i="1"/>
  <c r="Q139" i="1"/>
  <c r="AL138" i="1"/>
  <c r="T138" i="1"/>
  <c r="W137" i="1"/>
  <c r="R138" i="1"/>
  <c r="Y137" i="1"/>
  <c r="AL139" i="1" l="1"/>
  <c r="Q140" i="1"/>
  <c r="T139" i="1"/>
  <c r="AD140" i="1"/>
  <c r="AV138" i="1"/>
  <c r="Y138" i="1"/>
  <c r="W138" i="1"/>
  <c r="R139" i="1"/>
  <c r="AD141" i="1" l="1"/>
  <c r="AV139" i="1"/>
  <c r="Q141" i="1"/>
  <c r="AL140" i="1"/>
  <c r="T140" i="1"/>
  <c r="R140" i="1"/>
  <c r="Y139" i="1"/>
  <c r="W139" i="1"/>
  <c r="AL141" i="1" l="1"/>
  <c r="Q142" i="1"/>
  <c r="T141" i="1"/>
  <c r="AV140" i="1"/>
  <c r="AD142" i="1"/>
  <c r="R141" i="1"/>
  <c r="W140" i="1"/>
  <c r="Y140" i="1"/>
  <c r="AD143" i="1" l="1"/>
  <c r="AV141" i="1"/>
  <c r="Q143" i="1"/>
  <c r="AL142" i="1"/>
  <c r="T142" i="1"/>
  <c r="W141" i="1"/>
  <c r="Y141" i="1"/>
  <c r="R142" i="1"/>
  <c r="AL143" i="1" l="1"/>
  <c r="Q144" i="1"/>
  <c r="T143" i="1"/>
  <c r="AD144" i="1"/>
  <c r="AV142" i="1"/>
  <c r="R143" i="1"/>
  <c r="W142" i="1"/>
  <c r="Y142" i="1"/>
  <c r="AV143" i="1" l="1"/>
  <c r="AD145" i="1"/>
  <c r="Q145" i="1"/>
  <c r="AL144" i="1"/>
  <c r="T144" i="1"/>
  <c r="R144" i="1"/>
  <c r="Y143" i="1"/>
  <c r="W143" i="1"/>
  <c r="AL145" i="1" l="1"/>
  <c r="Q146" i="1"/>
  <c r="T145" i="1"/>
  <c r="AD146" i="1"/>
  <c r="AV144" i="1"/>
  <c r="R145" i="1"/>
  <c r="W144" i="1"/>
  <c r="Y144" i="1"/>
  <c r="AD147" i="1" l="1"/>
  <c r="AV145" i="1"/>
  <c r="Q147" i="1"/>
  <c r="AL146" i="1"/>
  <c r="T146" i="1"/>
  <c r="R146" i="1"/>
  <c r="Y145" i="1"/>
  <c r="W145" i="1"/>
  <c r="AL147" i="1" l="1"/>
  <c r="Q148" i="1"/>
  <c r="T147" i="1"/>
  <c r="AD148" i="1"/>
  <c r="AV146" i="1"/>
  <c r="R147" i="1"/>
  <c r="W146" i="1"/>
  <c r="Y146" i="1"/>
  <c r="AD149" i="1" l="1"/>
  <c r="AV147" i="1"/>
  <c r="Q149" i="1"/>
  <c r="AL148" i="1"/>
  <c r="T148" i="1"/>
  <c r="R148" i="1"/>
  <c r="Y147" i="1"/>
  <c r="W147" i="1"/>
  <c r="AL149" i="1" l="1"/>
  <c r="Q150" i="1"/>
  <c r="T149" i="1"/>
  <c r="AV148" i="1"/>
  <c r="AD150" i="1"/>
  <c r="W148" i="1"/>
  <c r="Y148" i="1"/>
  <c r="R149" i="1"/>
  <c r="AD151" i="1" l="1"/>
  <c r="AV149" i="1"/>
  <c r="Q151" i="1"/>
  <c r="AL150" i="1"/>
  <c r="T150" i="1"/>
  <c r="W149" i="1"/>
  <c r="R150" i="1"/>
  <c r="Y149" i="1"/>
  <c r="AL151" i="1" l="1"/>
  <c r="Q152" i="1"/>
  <c r="T151" i="1"/>
  <c r="AD152" i="1"/>
  <c r="AV150" i="1"/>
  <c r="W150" i="1"/>
  <c r="Y150" i="1"/>
  <c r="R151" i="1"/>
  <c r="AV151" i="1" l="1"/>
  <c r="AD153" i="1"/>
  <c r="Q153" i="1"/>
  <c r="AL152" i="1"/>
  <c r="T152" i="1"/>
  <c r="R152" i="1"/>
  <c r="W151" i="1"/>
  <c r="Y151" i="1"/>
  <c r="AL153" i="1" l="1"/>
  <c r="Q154" i="1"/>
  <c r="T153" i="1"/>
  <c r="AD154" i="1"/>
  <c r="AV152" i="1"/>
  <c r="Y152" i="1"/>
  <c r="R153" i="1"/>
  <c r="W152" i="1"/>
  <c r="AD155" i="1" l="1"/>
  <c r="AV153" i="1"/>
  <c r="Q155" i="1"/>
  <c r="AL154" i="1"/>
  <c r="T154" i="1"/>
  <c r="R154" i="1"/>
  <c r="W153" i="1"/>
  <c r="Y153" i="1"/>
  <c r="AL155" i="1" l="1"/>
  <c r="Q156" i="1"/>
  <c r="T155" i="1"/>
  <c r="AD156" i="1"/>
  <c r="AV154" i="1"/>
  <c r="Y154" i="1"/>
  <c r="R155" i="1"/>
  <c r="W154" i="1"/>
  <c r="AD157" i="1" l="1"/>
  <c r="AV155" i="1"/>
  <c r="Q157" i="1"/>
  <c r="AL156" i="1"/>
  <c r="T156" i="1"/>
  <c r="Y155" i="1"/>
  <c r="W155" i="1"/>
  <c r="R156" i="1"/>
  <c r="AL157" i="1" l="1"/>
  <c r="Q158" i="1"/>
  <c r="T157" i="1"/>
  <c r="AV156" i="1"/>
  <c r="AD158" i="1"/>
  <c r="R157" i="1"/>
  <c r="Y156" i="1"/>
  <c r="W156" i="1"/>
  <c r="AD159" i="1" l="1"/>
  <c r="AV157" i="1"/>
  <c r="Q159" i="1"/>
  <c r="AL158" i="1"/>
  <c r="T158" i="1"/>
  <c r="R158" i="1"/>
  <c r="W157" i="1"/>
  <c r="Y157" i="1"/>
  <c r="AL159" i="1" l="1"/>
  <c r="Q160" i="1"/>
  <c r="T159" i="1"/>
  <c r="AD160" i="1"/>
  <c r="AV158" i="1"/>
  <c r="W158" i="1"/>
  <c r="Y158" i="1"/>
  <c r="R159" i="1"/>
  <c r="AV159" i="1" l="1"/>
  <c r="AD161" i="1"/>
  <c r="Q161" i="1"/>
  <c r="AL160" i="1"/>
  <c r="T160" i="1"/>
  <c r="Y159" i="1"/>
  <c r="W159" i="1"/>
  <c r="R160" i="1"/>
  <c r="AL161" i="1" l="1"/>
  <c r="Q162" i="1"/>
  <c r="T161" i="1"/>
  <c r="AD162" i="1"/>
  <c r="AV160" i="1"/>
  <c r="W160" i="1"/>
  <c r="Y160" i="1"/>
  <c r="R161" i="1"/>
  <c r="AV161" i="1" l="1"/>
  <c r="AD163" i="1"/>
  <c r="Q163" i="1"/>
  <c r="AL162" i="1"/>
  <c r="T162" i="1"/>
  <c r="W161" i="1"/>
  <c r="R162" i="1"/>
  <c r="Y161" i="1"/>
  <c r="AL163" i="1" l="1"/>
  <c r="Q164" i="1"/>
  <c r="T163" i="1"/>
  <c r="AD164" i="1"/>
  <c r="AV162" i="1"/>
  <c r="W162" i="1"/>
  <c r="Y162" i="1"/>
  <c r="R163" i="1"/>
  <c r="AV163" i="1" l="1"/>
  <c r="AD165" i="1"/>
  <c r="Q165" i="1"/>
  <c r="AL164" i="1"/>
  <c r="T164" i="1"/>
  <c r="W163" i="1"/>
  <c r="R164" i="1"/>
  <c r="Y163" i="1"/>
  <c r="AL165" i="1" l="1"/>
  <c r="Q166" i="1"/>
  <c r="T165" i="1"/>
  <c r="AD166" i="1"/>
  <c r="AV164" i="1"/>
  <c r="W164" i="1"/>
  <c r="R165" i="1"/>
  <c r="Y164" i="1"/>
  <c r="AV165" i="1" l="1"/>
  <c r="AD167" i="1"/>
  <c r="Q167" i="1"/>
  <c r="AL166" i="1"/>
  <c r="T166" i="1"/>
  <c r="W165" i="1"/>
  <c r="Y165" i="1"/>
  <c r="R166" i="1"/>
  <c r="AL167" i="1" l="1"/>
  <c r="Q168" i="1"/>
  <c r="T167" i="1"/>
  <c r="AD168" i="1"/>
  <c r="AV166" i="1"/>
  <c r="W166" i="1"/>
  <c r="R167" i="1"/>
  <c r="Y166" i="1"/>
  <c r="AV167" i="1" l="1"/>
  <c r="AD169" i="1"/>
  <c r="Q169" i="1"/>
  <c r="AL168" i="1"/>
  <c r="T168" i="1"/>
  <c r="Y167" i="1"/>
  <c r="W167" i="1"/>
  <c r="R168" i="1"/>
  <c r="AL169" i="1" l="1"/>
  <c r="Q170" i="1"/>
  <c r="T169" i="1"/>
  <c r="AD170" i="1"/>
  <c r="AV168" i="1"/>
  <c r="R169" i="1"/>
  <c r="Y168" i="1"/>
  <c r="W168" i="1"/>
  <c r="AV169" i="1" l="1"/>
  <c r="AD171" i="1"/>
  <c r="Q171" i="1"/>
  <c r="AL170" i="1"/>
  <c r="T170" i="1"/>
  <c r="Y169" i="1"/>
  <c r="W169" i="1"/>
  <c r="R170" i="1"/>
  <c r="AL171" i="1" l="1"/>
  <c r="Q172" i="1"/>
  <c r="T171" i="1"/>
  <c r="AD172" i="1"/>
  <c r="AV170" i="1"/>
  <c r="Y170" i="1"/>
  <c r="W170" i="1"/>
  <c r="R171" i="1"/>
  <c r="AV171" i="1" l="1"/>
  <c r="AD173" i="1"/>
  <c r="Q173" i="1"/>
  <c r="AL172" i="1"/>
  <c r="T172" i="1"/>
  <c r="W171" i="1"/>
  <c r="R172" i="1"/>
  <c r="Y171" i="1"/>
  <c r="AL173" i="1" l="1"/>
  <c r="Q174" i="1"/>
  <c r="T173" i="1"/>
  <c r="AD174" i="1"/>
  <c r="AV172" i="1"/>
  <c r="Y172" i="1"/>
  <c r="R173" i="1"/>
  <c r="W172" i="1"/>
  <c r="AV173" i="1" l="1"/>
  <c r="AD175" i="1"/>
  <c r="Q175" i="1"/>
  <c r="AL174" i="1"/>
  <c r="T174" i="1"/>
  <c r="W173" i="1"/>
  <c r="R174" i="1"/>
  <c r="Y173" i="1"/>
  <c r="AL175" i="1" l="1"/>
  <c r="Q176" i="1"/>
  <c r="T175" i="1"/>
  <c r="AD176" i="1"/>
  <c r="AV174" i="1"/>
  <c r="W174" i="1"/>
  <c r="R175" i="1"/>
  <c r="Y174" i="1"/>
  <c r="AV175" i="1" l="1"/>
  <c r="AD177" i="1"/>
  <c r="Q177" i="1"/>
  <c r="AL176" i="1"/>
  <c r="T176" i="1"/>
  <c r="Y175" i="1"/>
  <c r="R176" i="1"/>
  <c r="W175" i="1"/>
  <c r="AL177" i="1" l="1"/>
  <c r="Q178" i="1"/>
  <c r="T177" i="1"/>
  <c r="AD178" i="1"/>
  <c r="AV176" i="1"/>
  <c r="Y176" i="1"/>
  <c r="W176" i="1"/>
  <c r="R177" i="1"/>
  <c r="AV177" i="1" l="1"/>
  <c r="AD179" i="1"/>
  <c r="Q179" i="1"/>
  <c r="AL178" i="1"/>
  <c r="T178" i="1"/>
  <c r="W177" i="1"/>
  <c r="R178" i="1"/>
  <c r="Y177" i="1"/>
  <c r="AL179" i="1" l="1"/>
  <c r="Q180" i="1"/>
  <c r="T179" i="1"/>
  <c r="AD180" i="1"/>
  <c r="AV178" i="1"/>
  <c r="Y178" i="1"/>
  <c r="R179" i="1"/>
  <c r="W178" i="1"/>
  <c r="AV179" i="1" l="1"/>
  <c r="AD181" i="1"/>
  <c r="Q181" i="1"/>
  <c r="AL180" i="1"/>
  <c r="T180" i="1"/>
  <c r="R180" i="1"/>
  <c r="Y179" i="1"/>
  <c r="W179" i="1"/>
  <c r="AL181" i="1" l="1"/>
  <c r="Q182" i="1"/>
  <c r="T181" i="1"/>
  <c r="AD182" i="1"/>
  <c r="AV180" i="1"/>
  <c r="R181" i="1"/>
  <c r="Y180" i="1"/>
  <c r="W180" i="1"/>
  <c r="AV181" i="1" l="1"/>
  <c r="AD183" i="1"/>
  <c r="Q183" i="1"/>
  <c r="AL182" i="1"/>
  <c r="T182" i="1"/>
  <c r="Y181" i="1"/>
  <c r="W181" i="1"/>
  <c r="R182" i="1"/>
  <c r="AL183" i="1" l="1"/>
  <c r="Q184" i="1"/>
  <c r="T183" i="1"/>
  <c r="AD184" i="1"/>
  <c r="AV182" i="1"/>
  <c r="Y182" i="1"/>
  <c r="R183" i="1"/>
  <c r="W182" i="1"/>
  <c r="AV183" i="1" l="1"/>
  <c r="AD185" i="1"/>
  <c r="Q185" i="1"/>
  <c r="AL184" i="1"/>
  <c r="T184" i="1"/>
  <c r="R184" i="1"/>
  <c r="W183" i="1"/>
  <c r="Y183" i="1"/>
  <c r="AL185" i="1" l="1"/>
  <c r="Q186" i="1"/>
  <c r="T185" i="1"/>
  <c r="AD186" i="1"/>
  <c r="AV184" i="1"/>
  <c r="R185" i="1"/>
  <c r="Y184" i="1"/>
  <c r="W184" i="1"/>
  <c r="AV185" i="1" l="1"/>
  <c r="AD187" i="1"/>
  <c r="Q187" i="1"/>
  <c r="AL186" i="1"/>
  <c r="T186" i="1"/>
  <c r="R186" i="1"/>
  <c r="W185" i="1"/>
  <c r="Y185" i="1"/>
  <c r="AL187" i="1" l="1"/>
  <c r="Q188" i="1"/>
  <c r="T187" i="1"/>
  <c r="AD188" i="1"/>
  <c r="AV186" i="1"/>
  <c r="W186" i="1"/>
  <c r="Y186" i="1"/>
  <c r="R187" i="1"/>
  <c r="AV187" i="1" l="1"/>
  <c r="AD189" i="1"/>
  <c r="Q189" i="1"/>
  <c r="AL188" i="1"/>
  <c r="T188" i="1"/>
  <c r="R188" i="1"/>
  <c r="Y187" i="1"/>
  <c r="W187" i="1"/>
  <c r="AL189" i="1" l="1"/>
  <c r="Q190" i="1"/>
  <c r="T189" i="1"/>
  <c r="AD190" i="1"/>
  <c r="AV188" i="1"/>
  <c r="W188" i="1"/>
  <c r="R189" i="1"/>
  <c r="Y188" i="1"/>
  <c r="AV189" i="1" l="1"/>
  <c r="AD191" i="1"/>
  <c r="Q191" i="1"/>
  <c r="AL190" i="1"/>
  <c r="T190" i="1"/>
  <c r="Y189" i="1"/>
  <c r="W189" i="1"/>
  <c r="R190" i="1"/>
  <c r="AL191" i="1" l="1"/>
  <c r="Q192" i="1"/>
  <c r="T191" i="1"/>
  <c r="AD192" i="1"/>
  <c r="AV190" i="1"/>
  <c r="W190" i="1"/>
  <c r="Y190" i="1"/>
  <c r="R191" i="1"/>
  <c r="AV191" i="1" l="1"/>
  <c r="AD193" i="1"/>
  <c r="Q193" i="1"/>
  <c r="AL192" i="1"/>
  <c r="T192" i="1"/>
  <c r="W191" i="1"/>
  <c r="R192" i="1"/>
  <c r="Y191" i="1"/>
  <c r="AL193" i="1" l="1"/>
  <c r="Q194" i="1"/>
  <c r="T193" i="1"/>
  <c r="AD194" i="1"/>
  <c r="AV192" i="1"/>
  <c r="Y192" i="1"/>
  <c r="R193" i="1"/>
  <c r="W192" i="1"/>
  <c r="AV193" i="1" l="1"/>
  <c r="AD195" i="1"/>
  <c r="Q195" i="1"/>
  <c r="AL194" i="1"/>
  <c r="T194" i="1"/>
  <c r="Y193" i="1"/>
  <c r="R194" i="1"/>
  <c r="W193" i="1"/>
  <c r="AL195" i="1" l="1"/>
  <c r="Q196" i="1"/>
  <c r="T195" i="1"/>
  <c r="AD196" i="1"/>
  <c r="AV194" i="1"/>
  <c r="W194" i="1"/>
  <c r="R195" i="1"/>
  <c r="Y194" i="1"/>
  <c r="AV195" i="1" l="1"/>
  <c r="AD197" i="1"/>
  <c r="Q197" i="1"/>
  <c r="AL196" i="1"/>
  <c r="T196" i="1"/>
  <c r="R196" i="1"/>
  <c r="W195" i="1"/>
  <c r="Y195" i="1"/>
  <c r="AL197" i="1" l="1"/>
  <c r="Q198" i="1"/>
  <c r="T197" i="1"/>
  <c r="AD198" i="1"/>
  <c r="AV196" i="1"/>
  <c r="W196" i="1"/>
  <c r="Y196" i="1"/>
  <c r="R197" i="1"/>
  <c r="AV197" i="1" l="1"/>
  <c r="AD199" i="1"/>
  <c r="Q199" i="1"/>
  <c r="AL198" i="1"/>
  <c r="T198" i="1"/>
  <c r="W197" i="1"/>
  <c r="Y197" i="1"/>
  <c r="R198" i="1"/>
  <c r="AL199" i="1" l="1"/>
  <c r="Q200" i="1"/>
  <c r="T199" i="1"/>
  <c r="AD200" i="1"/>
  <c r="AV198" i="1"/>
  <c r="W198" i="1"/>
  <c r="R199" i="1"/>
  <c r="Y198" i="1"/>
  <c r="AV199" i="1" l="1"/>
  <c r="AD201" i="1"/>
  <c r="Q201" i="1"/>
  <c r="AL200" i="1"/>
  <c r="T200" i="1"/>
  <c r="Y199" i="1"/>
  <c r="R200" i="1"/>
  <c r="W199" i="1"/>
  <c r="AL201" i="1" l="1"/>
  <c r="Q202" i="1"/>
  <c r="T201" i="1"/>
  <c r="AD202" i="1"/>
  <c r="AV200" i="1"/>
  <c r="Y200" i="1"/>
  <c r="W200" i="1"/>
  <c r="R201" i="1"/>
  <c r="AV201" i="1" l="1"/>
  <c r="AD203" i="1"/>
  <c r="Q203" i="1"/>
  <c r="AL202" i="1"/>
  <c r="T202" i="1"/>
  <c r="R202" i="1"/>
  <c r="Y201" i="1"/>
  <c r="W201" i="1"/>
  <c r="AL203" i="1" l="1"/>
  <c r="Q204" i="1"/>
  <c r="T203" i="1"/>
  <c r="AD204" i="1"/>
  <c r="AV202" i="1"/>
  <c r="Y202" i="1"/>
  <c r="R203" i="1"/>
  <c r="W202" i="1"/>
  <c r="AV203" i="1" l="1"/>
  <c r="AD205" i="1"/>
  <c r="Q205" i="1"/>
  <c r="AL204" i="1"/>
  <c r="T204" i="1"/>
  <c r="R204" i="1"/>
  <c r="Y203" i="1"/>
  <c r="W203" i="1"/>
  <c r="AL205" i="1" l="1"/>
  <c r="Q206" i="1"/>
  <c r="T205" i="1"/>
  <c r="AD206" i="1"/>
  <c r="AV204" i="1"/>
  <c r="W204" i="1"/>
  <c r="Y204" i="1"/>
  <c r="R205" i="1"/>
  <c r="AV205" i="1" l="1"/>
  <c r="AD207" i="1"/>
  <c r="Q207" i="1"/>
  <c r="AL206" i="1"/>
  <c r="T206" i="1"/>
  <c r="Y205" i="1"/>
  <c r="R206" i="1"/>
  <c r="W205" i="1"/>
  <c r="AL207" i="1" l="1"/>
  <c r="Q208" i="1"/>
  <c r="T207" i="1"/>
  <c r="AD208" i="1"/>
  <c r="AV206" i="1"/>
  <c r="W206" i="1"/>
  <c r="Y206" i="1"/>
  <c r="R207" i="1"/>
  <c r="AV207" i="1" l="1"/>
  <c r="AD209" i="1"/>
  <c r="Q209" i="1"/>
  <c r="AL208" i="1"/>
  <c r="T208" i="1"/>
  <c r="W207" i="1"/>
  <c r="Y207" i="1"/>
  <c r="R208" i="1"/>
  <c r="AL209" i="1" l="1"/>
  <c r="Q210" i="1"/>
  <c r="T209" i="1"/>
  <c r="AD210" i="1"/>
  <c r="AV208" i="1"/>
  <c r="R209" i="1"/>
  <c r="W208" i="1"/>
  <c r="Y208" i="1"/>
  <c r="AV209" i="1" l="1"/>
  <c r="AD211" i="1"/>
  <c r="Q211" i="1"/>
  <c r="AL210" i="1"/>
  <c r="T210" i="1"/>
  <c r="Y209" i="1"/>
  <c r="R210" i="1"/>
  <c r="W209" i="1"/>
  <c r="AL211" i="1" l="1"/>
  <c r="Q212" i="1"/>
  <c r="T211" i="1"/>
  <c r="AD212" i="1"/>
  <c r="AV210" i="1"/>
  <c r="Y210" i="1"/>
  <c r="R211" i="1"/>
  <c r="W210" i="1"/>
  <c r="AV211" i="1" l="1"/>
  <c r="AD213" i="1"/>
  <c r="Q213" i="1"/>
  <c r="AL212" i="1"/>
  <c r="T212" i="1"/>
  <c r="R212" i="1"/>
  <c r="W211" i="1"/>
  <c r="Y211" i="1"/>
  <c r="AL213" i="1" l="1"/>
  <c r="Q214" i="1"/>
  <c r="T213" i="1"/>
  <c r="AD214" i="1"/>
  <c r="AV212" i="1"/>
  <c r="W212" i="1"/>
  <c r="R213" i="1"/>
  <c r="Y212" i="1"/>
  <c r="AV213" i="1" l="1"/>
  <c r="AD215" i="1"/>
  <c r="Q215" i="1"/>
  <c r="AL214" i="1"/>
  <c r="T214" i="1"/>
  <c r="R214" i="1"/>
  <c r="Y213" i="1"/>
  <c r="W213" i="1"/>
  <c r="AL215" i="1" l="1"/>
  <c r="Q216" i="1"/>
  <c r="T215" i="1"/>
  <c r="AD216" i="1"/>
  <c r="AV214" i="1"/>
  <c r="R215" i="1"/>
  <c r="Y214" i="1"/>
  <c r="W214" i="1"/>
  <c r="AV215" i="1" l="1"/>
  <c r="AD217" i="1"/>
  <c r="Q217" i="1"/>
  <c r="AL216" i="1"/>
  <c r="T216" i="1"/>
  <c r="W215" i="1"/>
  <c r="Y215" i="1"/>
  <c r="R216" i="1"/>
  <c r="AL217" i="1" l="1"/>
  <c r="Q218" i="1"/>
  <c r="T217" i="1"/>
  <c r="AD218" i="1"/>
  <c r="AV216" i="1"/>
  <c r="R217" i="1"/>
  <c r="W216" i="1"/>
  <c r="Y216" i="1"/>
  <c r="AV217" i="1" l="1"/>
  <c r="AD219" i="1"/>
  <c r="Q219" i="1"/>
  <c r="AL218" i="1"/>
  <c r="T218" i="1"/>
  <c r="W217" i="1"/>
  <c r="Y217" i="1"/>
  <c r="R218" i="1"/>
  <c r="AL219" i="1" l="1"/>
  <c r="Q220" i="1"/>
  <c r="T219" i="1"/>
  <c r="AD220" i="1"/>
  <c r="AV218" i="1"/>
  <c r="W218" i="1"/>
  <c r="R219" i="1"/>
  <c r="Y218" i="1"/>
  <c r="AV219" i="1" l="1"/>
  <c r="AD221" i="1"/>
  <c r="Q221" i="1"/>
  <c r="AL220" i="1"/>
  <c r="T220" i="1"/>
  <c r="W219" i="1"/>
  <c r="Y219" i="1"/>
  <c r="R220" i="1"/>
  <c r="AL221" i="1" l="1"/>
  <c r="Q222" i="1"/>
  <c r="T221" i="1"/>
  <c r="AD222" i="1"/>
  <c r="AV220" i="1"/>
  <c r="W220" i="1"/>
  <c r="R221" i="1"/>
  <c r="Y220" i="1"/>
  <c r="AV221" i="1" l="1"/>
  <c r="AD223" i="1"/>
  <c r="Q223" i="1"/>
  <c r="AL222" i="1"/>
  <c r="T222" i="1"/>
  <c r="Y221" i="1"/>
  <c r="W221" i="1"/>
  <c r="R222" i="1"/>
  <c r="AL223" i="1" l="1"/>
  <c r="Q224" i="1"/>
  <c r="T223" i="1"/>
  <c r="AD224" i="1"/>
  <c r="AV222" i="1"/>
  <c r="W222" i="1"/>
  <c r="Y222" i="1"/>
  <c r="R223" i="1"/>
  <c r="AV223" i="1" l="1"/>
  <c r="AD225" i="1"/>
  <c r="Q225" i="1"/>
  <c r="AL224" i="1"/>
  <c r="T224" i="1"/>
  <c r="R224" i="1"/>
  <c r="Y223" i="1"/>
  <c r="W223" i="1"/>
  <c r="AL225" i="1" l="1"/>
  <c r="Q226" i="1"/>
  <c r="T225" i="1"/>
  <c r="AD226" i="1"/>
  <c r="AV224" i="1"/>
  <c r="Y224" i="1"/>
  <c r="R225" i="1"/>
  <c r="W224" i="1"/>
  <c r="AV225" i="1" l="1"/>
  <c r="AD227" i="1"/>
  <c r="Q227" i="1"/>
  <c r="AL226" i="1"/>
  <c r="T226" i="1"/>
  <c r="R226" i="1"/>
  <c r="Y225" i="1"/>
  <c r="W225" i="1"/>
  <c r="AL227" i="1" l="1"/>
  <c r="Q228" i="1"/>
  <c r="T227" i="1"/>
  <c r="AD228" i="1"/>
  <c r="AV226" i="1"/>
  <c r="Y226" i="1"/>
  <c r="R227" i="1"/>
  <c r="W226" i="1"/>
  <c r="AV227" i="1" l="1"/>
  <c r="AD229" i="1"/>
  <c r="Q229" i="1"/>
  <c r="AL228" i="1"/>
  <c r="T228" i="1"/>
  <c r="R228" i="1"/>
  <c r="W227" i="1"/>
  <c r="Y227" i="1"/>
  <c r="AL229" i="1" l="1"/>
  <c r="Q230" i="1"/>
  <c r="T229" i="1"/>
  <c r="AD230" i="1"/>
  <c r="AV228" i="1"/>
  <c r="Y228" i="1"/>
  <c r="W228" i="1"/>
  <c r="R229" i="1"/>
  <c r="AV229" i="1" l="1"/>
  <c r="AD231" i="1"/>
  <c r="Q231" i="1"/>
  <c r="AL230" i="1"/>
  <c r="T230" i="1"/>
  <c r="W229" i="1"/>
  <c r="R230" i="1"/>
  <c r="Y229" i="1"/>
  <c r="AL231" i="1" l="1"/>
  <c r="Q232" i="1"/>
  <c r="T231" i="1"/>
  <c r="AD232" i="1"/>
  <c r="AV230" i="1"/>
  <c r="Y230" i="1"/>
  <c r="R231" i="1"/>
  <c r="W230" i="1"/>
  <c r="AV231" i="1" l="1"/>
  <c r="AD233" i="1"/>
  <c r="Q233" i="1"/>
  <c r="AL232" i="1"/>
  <c r="T232" i="1"/>
  <c r="Y231" i="1"/>
  <c r="R232" i="1"/>
  <c r="W231" i="1"/>
  <c r="AL233" i="1" l="1"/>
  <c r="Q234" i="1"/>
  <c r="T233" i="1"/>
  <c r="AD234" i="1"/>
  <c r="AV232" i="1"/>
  <c r="Y232" i="1"/>
  <c r="R233" i="1"/>
  <c r="W232" i="1"/>
  <c r="AV233" i="1" l="1"/>
  <c r="AD235" i="1"/>
  <c r="Q235" i="1"/>
  <c r="AL234" i="1"/>
  <c r="T234" i="1"/>
  <c r="Y233" i="1"/>
  <c r="W233" i="1"/>
  <c r="R234" i="1"/>
  <c r="AD236" i="1" l="1"/>
  <c r="AV234" i="1"/>
  <c r="AL235" i="1"/>
  <c r="Q236" i="1"/>
  <c r="T235" i="1"/>
  <c r="W234" i="1"/>
  <c r="R235" i="1"/>
  <c r="Y234" i="1"/>
  <c r="Q237" i="1" l="1"/>
  <c r="AL236" i="1"/>
  <c r="T236" i="1"/>
  <c r="AV235" i="1"/>
  <c r="AD237" i="1"/>
  <c r="W235" i="1"/>
  <c r="R236" i="1"/>
  <c r="Y235" i="1"/>
  <c r="AD238" i="1" l="1"/>
  <c r="AV236" i="1"/>
  <c r="AL237" i="1"/>
  <c r="Q238" i="1"/>
  <c r="T237" i="1"/>
  <c r="R237" i="1"/>
  <c r="Y236" i="1"/>
  <c r="W236" i="1"/>
  <c r="Q239" i="1" l="1"/>
  <c r="AL238" i="1"/>
  <c r="T238" i="1"/>
  <c r="AV237" i="1"/>
  <c r="AD239" i="1"/>
  <c r="W237" i="1"/>
  <c r="R238" i="1"/>
  <c r="Y237" i="1"/>
  <c r="AL239" i="1" l="1"/>
  <c r="Q240" i="1"/>
  <c r="T239" i="1"/>
  <c r="AD240" i="1"/>
  <c r="AV238" i="1"/>
  <c r="R239" i="1"/>
  <c r="Y238" i="1"/>
  <c r="W238" i="1"/>
  <c r="AV239" i="1" l="1"/>
  <c r="AD241" i="1"/>
  <c r="Q241" i="1"/>
  <c r="AL240" i="1"/>
  <c r="T240" i="1"/>
  <c r="W239" i="1"/>
  <c r="Y239" i="1"/>
  <c r="R240" i="1"/>
  <c r="AL241" i="1" l="1"/>
  <c r="Q242" i="1"/>
  <c r="T241" i="1"/>
  <c r="AD242" i="1"/>
  <c r="AV240" i="1"/>
  <c r="W240" i="1"/>
  <c r="Y240" i="1"/>
  <c r="R241" i="1"/>
  <c r="AV241" i="1" l="1"/>
  <c r="AD243" i="1"/>
  <c r="Q243" i="1"/>
  <c r="AL242" i="1"/>
  <c r="T242" i="1"/>
  <c r="R242" i="1"/>
  <c r="W241" i="1"/>
  <c r="Y241" i="1"/>
  <c r="AL243" i="1" l="1"/>
  <c r="Q244" i="1"/>
  <c r="T243" i="1"/>
  <c r="AD244" i="1"/>
  <c r="AV242" i="1"/>
  <c r="Y242" i="1"/>
  <c r="W242" i="1"/>
  <c r="R243" i="1"/>
  <c r="AV243" i="1" l="1"/>
  <c r="AD245" i="1"/>
  <c r="Q245" i="1"/>
  <c r="AL244" i="1"/>
  <c r="T244" i="1"/>
  <c r="Y243" i="1"/>
  <c r="R244" i="1"/>
  <c r="W243" i="1"/>
  <c r="AL245" i="1" l="1"/>
  <c r="Q246" i="1"/>
  <c r="T245" i="1"/>
  <c r="AD246" i="1"/>
  <c r="AV244" i="1"/>
  <c r="Y244" i="1"/>
  <c r="R245" i="1"/>
  <c r="W244" i="1"/>
  <c r="AV245" i="1" l="1"/>
  <c r="AD247" i="1"/>
  <c r="Q247" i="1"/>
  <c r="AL246" i="1"/>
  <c r="T246" i="1"/>
  <c r="W245" i="1"/>
  <c r="Y245" i="1"/>
  <c r="R246" i="1"/>
  <c r="AL247" i="1" l="1"/>
  <c r="Q248" i="1"/>
  <c r="T247" i="1"/>
  <c r="AD248" i="1"/>
  <c r="AV246" i="1"/>
  <c r="W246" i="1"/>
  <c r="R247" i="1"/>
  <c r="Y246" i="1"/>
  <c r="AV247" i="1" l="1"/>
  <c r="AD249" i="1"/>
  <c r="Q249" i="1"/>
  <c r="AL248" i="1"/>
  <c r="T248" i="1"/>
  <c r="R248" i="1"/>
  <c r="W247" i="1"/>
  <c r="Y247" i="1"/>
  <c r="AL249" i="1" l="1"/>
  <c r="Q250" i="1"/>
  <c r="T249" i="1"/>
  <c r="AD250" i="1"/>
  <c r="AV248" i="1"/>
  <c r="R249" i="1"/>
  <c r="W248" i="1"/>
  <c r="Y248" i="1"/>
  <c r="AV249" i="1" l="1"/>
  <c r="AD251" i="1"/>
  <c r="Q251" i="1"/>
  <c r="AL250" i="1"/>
  <c r="T250" i="1"/>
  <c r="Y249" i="1"/>
  <c r="W249" i="1"/>
  <c r="R250" i="1"/>
  <c r="AL251" i="1" l="1"/>
  <c r="Q252" i="1"/>
  <c r="T251" i="1"/>
  <c r="AD252" i="1"/>
  <c r="AV250" i="1"/>
  <c r="R251" i="1"/>
  <c r="W250" i="1"/>
  <c r="Y250" i="1"/>
  <c r="AV251" i="1" l="1"/>
  <c r="AD253" i="1"/>
  <c r="Q253" i="1"/>
  <c r="AL252" i="1"/>
  <c r="T252" i="1"/>
  <c r="W251" i="1"/>
  <c r="R252" i="1"/>
  <c r="Y251" i="1"/>
  <c r="AL253" i="1" l="1"/>
  <c r="Q254" i="1"/>
  <c r="T253" i="1"/>
  <c r="AD254" i="1"/>
  <c r="AV252" i="1"/>
  <c r="W252" i="1"/>
  <c r="R253" i="1"/>
  <c r="Y252" i="1"/>
  <c r="AV253" i="1" l="1"/>
  <c r="AD255" i="1"/>
  <c r="Q255" i="1"/>
  <c r="AL254" i="1"/>
  <c r="T254" i="1"/>
  <c r="R254" i="1"/>
  <c r="Y253" i="1"/>
  <c r="W253" i="1"/>
  <c r="AL255" i="1" l="1"/>
  <c r="Q256" i="1"/>
  <c r="T255" i="1"/>
  <c r="AD256" i="1"/>
  <c r="AV254" i="1"/>
  <c r="Y254" i="1"/>
  <c r="W254" i="1"/>
  <c r="R255" i="1"/>
  <c r="AV255" i="1" l="1"/>
  <c r="AD257" i="1"/>
  <c r="Q257" i="1"/>
  <c r="AL256" i="1"/>
  <c r="T256" i="1"/>
  <c r="R256" i="1"/>
  <c r="Y255" i="1"/>
  <c r="W255" i="1"/>
  <c r="AL257" i="1" l="1"/>
  <c r="Q258" i="1"/>
  <c r="T257" i="1"/>
  <c r="AD258" i="1"/>
  <c r="AV256" i="1"/>
  <c r="Y256" i="1"/>
  <c r="W256" i="1"/>
  <c r="R257" i="1"/>
  <c r="AV257" i="1" l="1"/>
  <c r="AD259" i="1"/>
  <c r="Q259" i="1"/>
  <c r="AL258" i="1"/>
  <c r="T258" i="1"/>
  <c r="Y257" i="1"/>
  <c r="R258" i="1"/>
  <c r="W257" i="1"/>
  <c r="AL259" i="1" l="1"/>
  <c r="Q260" i="1"/>
  <c r="T259" i="1"/>
  <c r="AD260" i="1"/>
  <c r="AV258" i="1"/>
  <c r="R259" i="1"/>
  <c r="W258" i="1"/>
  <c r="Y258" i="1"/>
  <c r="AV259" i="1" l="1"/>
  <c r="AD261" i="1"/>
  <c r="Q261" i="1"/>
  <c r="AL260" i="1"/>
  <c r="T260" i="1"/>
  <c r="W259" i="1"/>
  <c r="Y259" i="1"/>
  <c r="R260" i="1"/>
  <c r="AL261" i="1" l="1"/>
  <c r="Q262" i="1"/>
  <c r="T261" i="1"/>
  <c r="AD262" i="1"/>
  <c r="AV260" i="1"/>
  <c r="Y260" i="1"/>
  <c r="W260" i="1"/>
  <c r="R261" i="1"/>
  <c r="AV261" i="1" l="1"/>
  <c r="AD263" i="1"/>
  <c r="Q263" i="1"/>
  <c r="AL262" i="1"/>
  <c r="T262" i="1"/>
  <c r="Y261" i="1"/>
  <c r="R262" i="1"/>
  <c r="W261" i="1"/>
  <c r="AL263" i="1" l="1"/>
  <c r="Q264" i="1"/>
  <c r="T263" i="1"/>
  <c r="AD264" i="1"/>
  <c r="AV262" i="1"/>
  <c r="R263" i="1"/>
  <c r="W262" i="1"/>
  <c r="Y262" i="1"/>
  <c r="AV263" i="1" l="1"/>
  <c r="AD265" i="1"/>
  <c r="Q265" i="1"/>
  <c r="AL264" i="1"/>
  <c r="T264" i="1"/>
  <c r="Y263" i="1"/>
  <c r="R264" i="1"/>
  <c r="W263" i="1"/>
  <c r="AL265" i="1" l="1"/>
  <c r="Q266" i="1"/>
  <c r="T265" i="1"/>
  <c r="AD266" i="1"/>
  <c r="AV264" i="1"/>
  <c r="W264" i="1"/>
  <c r="Y264" i="1"/>
  <c r="R265" i="1"/>
  <c r="AV265" i="1" l="1"/>
  <c r="AD267" i="1"/>
  <c r="Q267" i="1"/>
  <c r="AL266" i="1"/>
  <c r="T266" i="1"/>
  <c r="R266" i="1"/>
  <c r="W265" i="1"/>
  <c r="Y265" i="1"/>
  <c r="AL267" i="1" l="1"/>
  <c r="Q268" i="1"/>
  <c r="T267" i="1"/>
  <c r="AD268" i="1"/>
  <c r="AV266" i="1"/>
  <c r="W266" i="1"/>
  <c r="Y266" i="1"/>
  <c r="R267" i="1"/>
  <c r="AV267" i="1" l="1"/>
  <c r="AD269" i="1"/>
  <c r="Q269" i="1"/>
  <c r="AL268" i="1"/>
  <c r="T268" i="1"/>
  <c r="W267" i="1"/>
  <c r="Y267" i="1"/>
  <c r="R268" i="1"/>
  <c r="AL269" i="1" l="1"/>
  <c r="Q270" i="1"/>
  <c r="T269" i="1"/>
  <c r="AD270" i="1"/>
  <c r="AV268" i="1"/>
  <c r="R269" i="1"/>
  <c r="W268" i="1"/>
  <c r="Y268" i="1"/>
  <c r="AV269" i="1" l="1"/>
  <c r="AD271" i="1"/>
  <c r="Q271" i="1"/>
  <c r="AL270" i="1"/>
  <c r="T270" i="1"/>
  <c r="R270" i="1"/>
  <c r="W269" i="1"/>
  <c r="Y269" i="1"/>
  <c r="AL271" i="1" l="1"/>
  <c r="Q272" i="1"/>
  <c r="T271" i="1"/>
  <c r="AD272" i="1"/>
  <c r="AV270" i="1"/>
  <c r="Y270" i="1"/>
  <c r="R271" i="1"/>
  <c r="W270" i="1"/>
  <c r="AV271" i="1" l="1"/>
  <c r="AD273" i="1"/>
  <c r="Q273" i="1"/>
  <c r="AL272" i="1"/>
  <c r="T272" i="1"/>
  <c r="W271" i="1"/>
  <c r="R272" i="1"/>
  <c r="Y271" i="1"/>
  <c r="AL273" i="1" l="1"/>
  <c r="Q274" i="1"/>
  <c r="T273" i="1"/>
  <c r="AD274" i="1"/>
  <c r="AV272" i="1"/>
  <c r="W272" i="1"/>
  <c r="Y272" i="1"/>
  <c r="R273" i="1"/>
  <c r="AV273" i="1" l="1"/>
  <c r="AD275" i="1"/>
  <c r="Q275" i="1"/>
  <c r="AL274" i="1"/>
  <c r="T274" i="1"/>
  <c r="W273" i="1"/>
  <c r="Y273" i="1"/>
  <c r="R274" i="1"/>
  <c r="AL275" i="1" l="1"/>
  <c r="Q276" i="1"/>
  <c r="T275" i="1"/>
  <c r="AD276" i="1"/>
  <c r="AV274" i="1"/>
  <c r="R275" i="1"/>
  <c r="Y274" i="1"/>
  <c r="W274" i="1"/>
  <c r="AV275" i="1" l="1"/>
  <c r="AD277" i="1"/>
  <c r="Q277" i="1"/>
  <c r="AL276" i="1"/>
  <c r="T276" i="1"/>
  <c r="R276" i="1"/>
  <c r="Y275" i="1"/>
  <c r="W275" i="1"/>
  <c r="AL277" i="1" l="1"/>
  <c r="Q278" i="1"/>
  <c r="T277" i="1"/>
  <c r="AD278" i="1"/>
  <c r="AV276" i="1"/>
  <c r="R277" i="1"/>
  <c r="W276" i="1"/>
  <c r="Y276" i="1"/>
  <c r="AV277" i="1" l="1"/>
  <c r="AD279" i="1"/>
  <c r="Q279" i="1"/>
  <c r="AL278" i="1"/>
  <c r="T278" i="1"/>
  <c r="R278" i="1"/>
  <c r="Y277" i="1"/>
  <c r="W277" i="1"/>
  <c r="AL279" i="1" l="1"/>
  <c r="Q280" i="1"/>
  <c r="T279" i="1"/>
  <c r="AD280" i="1"/>
  <c r="AV278" i="1"/>
  <c r="W278" i="1"/>
  <c r="Y278" i="1"/>
  <c r="R279" i="1"/>
  <c r="AV279" i="1" l="1"/>
  <c r="AD281" i="1"/>
  <c r="Q281" i="1"/>
  <c r="AL280" i="1"/>
  <c r="T280" i="1"/>
  <c r="R280" i="1"/>
  <c r="Y279" i="1"/>
  <c r="W279" i="1"/>
  <c r="AL281" i="1" l="1"/>
  <c r="Q282" i="1"/>
  <c r="T281" i="1"/>
  <c r="AD282" i="1"/>
  <c r="AV280" i="1"/>
  <c r="W280" i="1"/>
  <c r="Y280" i="1"/>
  <c r="R281" i="1"/>
  <c r="AV281" i="1" l="1"/>
  <c r="AD283" i="1"/>
  <c r="Q283" i="1"/>
  <c r="AL282" i="1"/>
  <c r="T282" i="1"/>
  <c r="Y281" i="1"/>
  <c r="W281" i="1"/>
  <c r="R282" i="1"/>
  <c r="AL283" i="1" l="1"/>
  <c r="Q284" i="1"/>
  <c r="T283" i="1"/>
  <c r="AD284" i="1"/>
  <c r="AV282" i="1"/>
  <c r="R283" i="1"/>
  <c r="W282" i="1"/>
  <c r="Y282" i="1"/>
  <c r="AV283" i="1" l="1"/>
  <c r="AD285" i="1"/>
  <c r="Q285" i="1"/>
  <c r="AL284" i="1"/>
  <c r="T284" i="1"/>
  <c r="Y283" i="1"/>
  <c r="W283" i="1"/>
  <c r="R284" i="1"/>
  <c r="AL285" i="1" l="1"/>
  <c r="Q286" i="1"/>
  <c r="T285" i="1"/>
  <c r="AD286" i="1"/>
  <c r="AV284" i="1"/>
  <c r="R285" i="1"/>
  <c r="W284" i="1"/>
  <c r="Y284" i="1"/>
  <c r="AV285" i="1" l="1"/>
  <c r="AD287" i="1"/>
  <c r="Q287" i="1"/>
  <c r="AL286" i="1"/>
  <c r="T286" i="1"/>
  <c r="W285" i="1"/>
  <c r="Y285" i="1"/>
  <c r="R286" i="1"/>
  <c r="AL287" i="1" l="1"/>
  <c r="Q288" i="1"/>
  <c r="T287" i="1"/>
  <c r="AD288" i="1"/>
  <c r="AV286" i="1"/>
  <c r="R287" i="1"/>
  <c r="W286" i="1"/>
  <c r="Y286" i="1"/>
  <c r="AV287" i="1" l="1"/>
  <c r="AD289" i="1"/>
  <c r="Q289" i="1"/>
  <c r="AL288" i="1"/>
  <c r="T288" i="1"/>
  <c r="Y287" i="1"/>
  <c r="W287" i="1"/>
  <c r="R288" i="1"/>
  <c r="AL289" i="1" l="1"/>
  <c r="Q290" i="1"/>
  <c r="T289" i="1"/>
  <c r="AD290" i="1"/>
  <c r="AV288" i="1"/>
  <c r="R289" i="1"/>
  <c r="W288" i="1"/>
  <c r="Y288" i="1"/>
  <c r="AV289" i="1" l="1"/>
  <c r="AD291" i="1"/>
  <c r="Q291" i="1"/>
  <c r="AL290" i="1"/>
  <c r="T290" i="1"/>
  <c r="Y289" i="1"/>
  <c r="W289" i="1"/>
  <c r="R290" i="1"/>
  <c r="AL291" i="1" l="1"/>
  <c r="Q292" i="1"/>
  <c r="T291" i="1"/>
  <c r="AD292" i="1"/>
  <c r="AV290" i="1"/>
  <c r="R291" i="1"/>
  <c r="W290" i="1"/>
  <c r="Y290" i="1"/>
  <c r="AV291" i="1" l="1"/>
  <c r="AD293" i="1"/>
  <c r="Q293" i="1"/>
  <c r="AL292" i="1"/>
  <c r="T292" i="1"/>
  <c r="Y291" i="1"/>
  <c r="R292" i="1"/>
  <c r="W291" i="1"/>
  <c r="AL293" i="1" l="1"/>
  <c r="Q294" i="1"/>
  <c r="T293" i="1"/>
  <c r="AD294" i="1"/>
  <c r="AV292" i="1"/>
  <c r="Y292" i="1"/>
  <c r="W292" i="1"/>
  <c r="R293" i="1"/>
  <c r="AV293" i="1" l="1"/>
  <c r="AD295" i="1"/>
  <c r="Q295" i="1"/>
  <c r="AL294" i="1"/>
  <c r="T294" i="1"/>
  <c r="W293" i="1"/>
  <c r="R294" i="1"/>
  <c r="Y293" i="1"/>
  <c r="AL295" i="1" l="1"/>
  <c r="Q296" i="1"/>
  <c r="T295" i="1"/>
  <c r="AD296" i="1"/>
  <c r="AV294" i="1"/>
  <c r="Y294" i="1"/>
  <c r="W294" i="1"/>
  <c r="R295" i="1"/>
  <c r="AV295" i="1" l="1"/>
  <c r="AD297" i="1"/>
  <c r="Q297" i="1"/>
  <c r="AL296" i="1"/>
  <c r="T296" i="1"/>
  <c r="W295" i="1"/>
  <c r="R296" i="1"/>
  <c r="Y295" i="1"/>
  <c r="AL297" i="1" l="1"/>
  <c r="Q298" i="1"/>
  <c r="T297" i="1"/>
  <c r="AD298" i="1"/>
  <c r="AV296" i="1"/>
  <c r="Y296" i="1"/>
  <c r="R297" i="1"/>
  <c r="W296" i="1"/>
  <c r="AV297" i="1" l="1"/>
  <c r="AD299" i="1"/>
  <c r="Q299" i="1"/>
  <c r="AL298" i="1"/>
  <c r="T298" i="1"/>
  <c r="W297" i="1"/>
  <c r="Y297" i="1"/>
  <c r="R298" i="1"/>
  <c r="AL299" i="1" l="1"/>
  <c r="Q300" i="1"/>
  <c r="T299" i="1"/>
  <c r="AD300" i="1"/>
  <c r="AV298" i="1"/>
  <c r="Y298" i="1"/>
  <c r="R299" i="1"/>
  <c r="W298" i="1"/>
  <c r="AV299" i="1" l="1"/>
  <c r="AD301" i="1"/>
  <c r="Q301" i="1"/>
  <c r="AL300" i="1"/>
  <c r="T300" i="1"/>
  <c r="R300" i="1"/>
  <c r="W299" i="1"/>
  <c r="Y299" i="1"/>
  <c r="AL301" i="1" l="1"/>
  <c r="Q302" i="1"/>
  <c r="T301" i="1"/>
  <c r="AD302" i="1"/>
  <c r="AV300" i="1"/>
  <c r="Y300" i="1"/>
  <c r="R301" i="1"/>
  <c r="W300" i="1"/>
  <c r="AV301" i="1" l="1"/>
  <c r="AD303" i="1"/>
  <c r="Q303" i="1"/>
  <c r="AL302" i="1"/>
  <c r="T302" i="1"/>
  <c r="Y301" i="1"/>
  <c r="W301" i="1"/>
  <c r="R302" i="1"/>
  <c r="AL303" i="1" l="1"/>
  <c r="Q304" i="1"/>
  <c r="T303" i="1"/>
  <c r="AD304" i="1"/>
  <c r="AV302" i="1"/>
  <c r="R303" i="1"/>
  <c r="Y302" i="1"/>
  <c r="W302" i="1"/>
  <c r="AV303" i="1" l="1"/>
  <c r="AD305" i="1"/>
  <c r="Q305" i="1"/>
  <c r="AL304" i="1"/>
  <c r="T304" i="1"/>
  <c r="R304" i="1"/>
  <c r="W303" i="1"/>
  <c r="Y303" i="1"/>
  <c r="AL305" i="1" l="1"/>
  <c r="Q306" i="1"/>
  <c r="T305" i="1"/>
  <c r="AD306" i="1"/>
  <c r="AV304" i="1"/>
  <c r="Y304" i="1"/>
  <c r="W304" i="1"/>
  <c r="R305" i="1"/>
  <c r="AV305" i="1" l="1"/>
  <c r="AD307" i="1"/>
  <c r="Q307" i="1"/>
  <c r="AL306" i="1"/>
  <c r="T306" i="1"/>
  <c r="W305" i="1"/>
  <c r="Y305" i="1"/>
  <c r="R306" i="1"/>
  <c r="AL307" i="1" l="1"/>
  <c r="Q308" i="1"/>
  <c r="T307" i="1"/>
  <c r="AD308" i="1"/>
  <c r="AV306" i="1"/>
  <c r="Y306" i="1"/>
  <c r="W306" i="1"/>
  <c r="R307" i="1"/>
  <c r="AV307" i="1" l="1"/>
  <c r="AD309" i="1"/>
  <c r="Q309" i="1"/>
  <c r="AL308" i="1"/>
  <c r="T308" i="1"/>
  <c r="W307" i="1"/>
  <c r="R308" i="1"/>
  <c r="Y307" i="1"/>
  <c r="AL309" i="1" l="1"/>
  <c r="Q310" i="1"/>
  <c r="T309" i="1"/>
  <c r="AD310" i="1"/>
  <c r="AV308" i="1"/>
  <c r="R309" i="1"/>
  <c r="Y308" i="1"/>
  <c r="W308" i="1"/>
  <c r="AV309" i="1" l="1"/>
  <c r="AD311" i="1"/>
  <c r="Q311" i="1"/>
  <c r="AL310" i="1"/>
  <c r="T310" i="1"/>
  <c r="Y309" i="1"/>
  <c r="R310" i="1"/>
  <c r="W309" i="1"/>
  <c r="AL311" i="1" l="1"/>
  <c r="Q312" i="1"/>
  <c r="T311" i="1"/>
  <c r="AD312" i="1"/>
  <c r="AV310" i="1"/>
  <c r="R311" i="1"/>
  <c r="W310" i="1"/>
  <c r="Y310" i="1"/>
  <c r="AV311" i="1" l="1"/>
  <c r="AD313" i="1"/>
  <c r="Q313" i="1"/>
  <c r="AL312" i="1"/>
  <c r="T312" i="1"/>
  <c r="Y311" i="1"/>
  <c r="R312" i="1"/>
  <c r="W311" i="1"/>
  <c r="AL313" i="1" l="1"/>
  <c r="Q314" i="1"/>
  <c r="T313" i="1"/>
  <c r="AD314" i="1"/>
  <c r="AV312" i="1"/>
  <c r="Y312" i="1"/>
  <c r="W312" i="1"/>
  <c r="R313" i="1"/>
  <c r="AV313" i="1" l="1"/>
  <c r="AD315" i="1"/>
  <c r="Q315" i="1"/>
  <c r="AL314" i="1"/>
  <c r="T314" i="1"/>
  <c r="R314" i="1"/>
  <c r="Y313" i="1"/>
  <c r="W313" i="1"/>
  <c r="AL315" i="1" l="1"/>
  <c r="Q316" i="1"/>
  <c r="T315" i="1"/>
  <c r="AD316" i="1"/>
  <c r="AV314" i="1"/>
  <c r="Y314" i="1"/>
  <c r="W314" i="1"/>
  <c r="R315" i="1"/>
  <c r="AV315" i="1" l="1"/>
  <c r="AD317" i="1"/>
  <c r="Q317" i="1"/>
  <c r="AL316" i="1"/>
  <c r="T316" i="1"/>
  <c r="W315" i="1"/>
  <c r="R316" i="1"/>
  <c r="Y315" i="1"/>
  <c r="AL317" i="1" l="1"/>
  <c r="Q318" i="1"/>
  <c r="T317" i="1"/>
  <c r="AD318" i="1"/>
  <c r="AV316" i="1"/>
  <c r="W316" i="1"/>
  <c r="Y316" i="1"/>
  <c r="R317" i="1"/>
  <c r="AV317" i="1" l="1"/>
  <c r="AD319" i="1"/>
  <c r="Q319" i="1"/>
  <c r="AL318" i="1"/>
  <c r="T318" i="1"/>
  <c r="Y317" i="1"/>
  <c r="W317" i="1"/>
  <c r="R318" i="1"/>
  <c r="AL319" i="1" l="1"/>
  <c r="Q320" i="1"/>
  <c r="T319" i="1"/>
  <c r="AD320" i="1"/>
  <c r="AV318" i="1"/>
  <c r="Y318" i="1"/>
  <c r="W318" i="1"/>
  <c r="R319" i="1"/>
  <c r="AV319" i="1" l="1"/>
  <c r="AD321" i="1"/>
  <c r="Q321" i="1"/>
  <c r="AL320" i="1"/>
  <c r="T320" i="1"/>
  <c r="R320" i="1"/>
  <c r="Y319" i="1"/>
  <c r="W319" i="1"/>
  <c r="AL321" i="1" l="1"/>
  <c r="Q322" i="1"/>
  <c r="T321" i="1"/>
  <c r="AD322" i="1"/>
  <c r="AV320" i="1"/>
  <c r="Y320" i="1"/>
  <c r="W320" i="1"/>
  <c r="R321" i="1"/>
  <c r="AV321" i="1" l="1"/>
  <c r="AD323" i="1"/>
  <c r="Q323" i="1"/>
  <c r="AL322" i="1"/>
  <c r="T322" i="1"/>
  <c r="R322" i="1"/>
  <c r="W321" i="1"/>
  <c r="Y321" i="1"/>
  <c r="AL323" i="1" l="1"/>
  <c r="Q324" i="1"/>
  <c r="T323" i="1"/>
  <c r="AD324" i="1"/>
  <c r="AV322" i="1"/>
  <c r="W322" i="1"/>
  <c r="R323" i="1"/>
  <c r="Y322" i="1"/>
  <c r="AV323" i="1" l="1"/>
  <c r="AD325" i="1"/>
  <c r="Q325" i="1"/>
  <c r="AL324" i="1"/>
  <c r="T324" i="1"/>
  <c r="R324" i="1"/>
  <c r="Y323" i="1"/>
  <c r="W323" i="1"/>
  <c r="AL325" i="1" l="1"/>
  <c r="Q326" i="1"/>
  <c r="T325" i="1"/>
  <c r="AD326" i="1"/>
  <c r="AV324" i="1"/>
  <c r="R325" i="1"/>
  <c r="W324" i="1"/>
  <c r="Y324" i="1"/>
  <c r="AV325" i="1" l="1"/>
  <c r="AD327" i="1"/>
  <c r="Q327" i="1"/>
  <c r="AL326" i="1"/>
  <c r="T326" i="1"/>
  <c r="W325" i="1"/>
  <c r="R326" i="1"/>
  <c r="Y325" i="1"/>
  <c r="AL327" i="1" l="1"/>
  <c r="Q328" i="1"/>
  <c r="T327" i="1"/>
  <c r="AD328" i="1"/>
  <c r="AV326" i="1"/>
  <c r="R327" i="1"/>
  <c r="Y326" i="1"/>
  <c r="W326" i="1"/>
  <c r="AV327" i="1" l="1"/>
  <c r="AD329" i="1"/>
  <c r="Q329" i="1"/>
  <c r="AL328" i="1"/>
  <c r="T328" i="1"/>
  <c r="R328" i="1"/>
  <c r="Y327" i="1"/>
  <c r="W327" i="1"/>
  <c r="AL329" i="1" l="1"/>
  <c r="Q330" i="1"/>
  <c r="T329" i="1"/>
  <c r="AD330" i="1"/>
  <c r="AV328" i="1"/>
  <c r="R329" i="1"/>
  <c r="W328" i="1"/>
  <c r="Y328" i="1"/>
  <c r="AV329" i="1" l="1"/>
  <c r="AD331" i="1"/>
  <c r="Q331" i="1"/>
  <c r="AL330" i="1"/>
  <c r="T330" i="1"/>
  <c r="R330" i="1"/>
  <c r="Y329" i="1"/>
  <c r="W329" i="1"/>
  <c r="AL331" i="1" l="1"/>
  <c r="Q332" i="1"/>
  <c r="T331" i="1"/>
  <c r="AD332" i="1"/>
  <c r="AV330" i="1"/>
  <c r="Y330" i="1"/>
  <c r="W330" i="1"/>
  <c r="R331" i="1"/>
  <c r="AV331" i="1" l="1"/>
  <c r="AD333" i="1"/>
  <c r="Q333" i="1"/>
  <c r="AL332" i="1"/>
  <c r="T332" i="1"/>
  <c r="R332" i="1"/>
  <c r="W331" i="1"/>
  <c r="Y331" i="1"/>
  <c r="AL333" i="1" l="1"/>
  <c r="Q334" i="1"/>
  <c r="T333" i="1"/>
  <c r="AD334" i="1"/>
  <c r="AV332" i="1"/>
  <c r="W332" i="1"/>
  <c r="Y332" i="1"/>
  <c r="R333" i="1"/>
  <c r="AV333" i="1" l="1"/>
  <c r="AD335" i="1"/>
  <c r="Q335" i="1"/>
  <c r="AL334" i="1"/>
  <c r="T334" i="1"/>
  <c r="Y333" i="1"/>
  <c r="W333" i="1"/>
  <c r="R334" i="1"/>
  <c r="AL335" i="1" l="1"/>
  <c r="Q336" i="1"/>
  <c r="T335" i="1"/>
  <c r="AD336" i="1"/>
  <c r="AV334" i="1"/>
  <c r="Y334" i="1"/>
  <c r="R335" i="1"/>
  <c r="W334" i="1"/>
  <c r="AV335" i="1" l="1"/>
  <c r="AD337" i="1"/>
  <c r="Q337" i="1"/>
  <c r="AL336" i="1"/>
  <c r="T336" i="1"/>
  <c r="Y335" i="1"/>
  <c r="R336" i="1"/>
  <c r="W335" i="1"/>
  <c r="AL337" i="1" l="1"/>
  <c r="Q338" i="1"/>
  <c r="T337" i="1"/>
  <c r="AD338" i="1"/>
  <c r="AV336" i="1"/>
  <c r="R337" i="1"/>
  <c r="Y336" i="1"/>
  <c r="W336" i="1"/>
  <c r="AV337" i="1" l="1"/>
  <c r="AD339" i="1"/>
  <c r="Q339" i="1"/>
  <c r="AL338" i="1"/>
  <c r="T338" i="1"/>
  <c r="R338" i="1"/>
  <c r="W337" i="1"/>
  <c r="Y337" i="1"/>
  <c r="AL339" i="1" l="1"/>
  <c r="Q340" i="1"/>
  <c r="T339" i="1"/>
  <c r="AD340" i="1"/>
  <c r="AV338" i="1"/>
  <c r="Y338" i="1"/>
  <c r="R339" i="1"/>
  <c r="W338" i="1"/>
  <c r="AV339" i="1" l="1"/>
  <c r="AD341" i="1"/>
  <c r="Q341" i="1"/>
  <c r="AL340" i="1"/>
  <c r="T340" i="1"/>
  <c r="Y339" i="1"/>
  <c r="W339" i="1"/>
  <c r="R340" i="1"/>
  <c r="AL341" i="1" l="1"/>
  <c r="Q342" i="1"/>
  <c r="T341" i="1"/>
  <c r="AD342" i="1"/>
  <c r="AV340" i="1"/>
  <c r="R341" i="1"/>
  <c r="W340" i="1"/>
  <c r="Y340" i="1"/>
  <c r="AD343" i="1" l="1"/>
  <c r="AV341" i="1"/>
  <c r="Q343" i="1"/>
  <c r="AL342" i="1"/>
  <c r="T342" i="1"/>
  <c r="W341" i="1"/>
  <c r="Y341" i="1"/>
  <c r="R342" i="1"/>
  <c r="AL343" i="1" l="1"/>
  <c r="Q344" i="1"/>
  <c r="T343" i="1"/>
  <c r="AD344" i="1"/>
  <c r="AV342" i="1"/>
  <c r="Y342" i="1"/>
  <c r="R343" i="1"/>
  <c r="W342" i="1"/>
  <c r="AV343" i="1" l="1"/>
  <c r="AD345" i="1"/>
  <c r="Q345" i="1"/>
  <c r="AL344" i="1"/>
  <c r="T344" i="1"/>
  <c r="R344" i="1"/>
  <c r="W343" i="1"/>
  <c r="Y343" i="1"/>
  <c r="AL345" i="1" l="1"/>
  <c r="Q346" i="1"/>
  <c r="T345" i="1"/>
  <c r="AD346" i="1"/>
  <c r="AV344" i="1"/>
  <c r="R345" i="1"/>
  <c r="W344" i="1"/>
  <c r="Y344" i="1"/>
  <c r="AD347" i="1" l="1"/>
  <c r="AV345" i="1"/>
  <c r="Q347" i="1"/>
  <c r="AL346" i="1"/>
  <c r="T346" i="1"/>
  <c r="R346" i="1"/>
  <c r="W345" i="1"/>
  <c r="Y345" i="1"/>
  <c r="AL347" i="1" l="1"/>
  <c r="Q348" i="1"/>
  <c r="T347" i="1"/>
  <c r="AD348" i="1"/>
  <c r="AV346" i="1"/>
  <c r="W346" i="1"/>
  <c r="R347" i="1"/>
  <c r="Y346" i="1"/>
  <c r="AV347" i="1" l="1"/>
  <c r="AD349" i="1"/>
  <c r="Q349" i="1"/>
  <c r="AL348" i="1"/>
  <c r="T348" i="1"/>
  <c r="Y347" i="1"/>
  <c r="W347" i="1"/>
  <c r="R348" i="1"/>
  <c r="AL349" i="1" l="1"/>
  <c r="Q350" i="1"/>
  <c r="T349" i="1"/>
  <c r="AD350" i="1"/>
  <c r="AV348" i="1"/>
  <c r="W348" i="1"/>
  <c r="R349" i="1"/>
  <c r="Y348" i="1"/>
  <c r="AD351" i="1" l="1"/>
  <c r="AV349" i="1"/>
  <c r="Q351" i="1"/>
  <c r="AL350" i="1"/>
  <c r="T350" i="1"/>
  <c r="R350" i="1"/>
  <c r="Y349" i="1"/>
  <c r="W349" i="1"/>
  <c r="AL351" i="1" l="1"/>
  <c r="Q352" i="1"/>
  <c r="T351" i="1"/>
  <c r="AD352" i="1"/>
  <c r="AV350" i="1"/>
  <c r="Y350" i="1"/>
  <c r="W350" i="1"/>
  <c r="R351" i="1"/>
  <c r="AV351" i="1" l="1"/>
  <c r="AD353" i="1"/>
  <c r="Q353" i="1"/>
  <c r="AL352" i="1"/>
  <c r="T352" i="1"/>
  <c r="W351" i="1"/>
  <c r="R352" i="1"/>
  <c r="Y351" i="1"/>
  <c r="AL353" i="1" l="1"/>
  <c r="Q354" i="1"/>
  <c r="T353" i="1"/>
  <c r="AD354" i="1"/>
  <c r="AV352" i="1"/>
  <c r="Y352" i="1"/>
  <c r="R353" i="1"/>
  <c r="W352" i="1"/>
  <c r="AD355" i="1" l="1"/>
  <c r="AV353" i="1"/>
  <c r="Q355" i="1"/>
  <c r="AL354" i="1"/>
  <c r="T354" i="1"/>
  <c r="W353" i="1"/>
  <c r="Y353" i="1"/>
  <c r="R354" i="1"/>
  <c r="AL355" i="1" l="1"/>
  <c r="Q356" i="1"/>
  <c r="T355" i="1"/>
  <c r="AD356" i="1"/>
  <c r="AV354" i="1"/>
  <c r="R355" i="1"/>
  <c r="Y354" i="1"/>
  <c r="W354" i="1"/>
  <c r="AV355" i="1" l="1"/>
  <c r="AD357" i="1"/>
  <c r="Q357" i="1"/>
  <c r="AL356" i="1"/>
  <c r="T356" i="1"/>
  <c r="R356" i="1"/>
  <c r="W355" i="1"/>
  <c r="Y355" i="1"/>
  <c r="AL357" i="1" l="1"/>
  <c r="Q358" i="1"/>
  <c r="T357" i="1"/>
  <c r="AD358" i="1"/>
  <c r="AV356" i="1"/>
  <c r="Y356" i="1"/>
  <c r="W356" i="1"/>
  <c r="R357" i="1"/>
  <c r="AD359" i="1" l="1"/>
  <c r="AV357" i="1"/>
  <c r="Q359" i="1"/>
  <c r="AL358" i="1"/>
  <c r="T358" i="1"/>
  <c r="R358" i="1"/>
  <c r="Y357" i="1"/>
  <c r="W357" i="1"/>
  <c r="AL359" i="1" l="1"/>
  <c r="Q360" i="1"/>
  <c r="T359" i="1"/>
  <c r="AD360" i="1"/>
  <c r="AV358" i="1"/>
  <c r="W358" i="1"/>
  <c r="R359" i="1"/>
  <c r="Y358" i="1"/>
  <c r="AV359" i="1" l="1"/>
  <c r="AD361" i="1"/>
  <c r="Q361" i="1"/>
  <c r="AL360" i="1"/>
  <c r="T360" i="1"/>
  <c r="R360" i="1"/>
  <c r="Y359" i="1"/>
  <c r="W359" i="1"/>
  <c r="AL361" i="1" l="1"/>
  <c r="Q362" i="1"/>
  <c r="T361" i="1"/>
  <c r="AD362" i="1"/>
  <c r="AV360" i="1"/>
  <c r="W360" i="1"/>
  <c r="R361" i="1"/>
  <c r="Y360" i="1"/>
  <c r="AD363" i="1" l="1"/>
  <c r="AV361" i="1"/>
  <c r="Q363" i="1"/>
  <c r="AL362" i="1"/>
  <c r="T362" i="1"/>
  <c r="W361" i="1"/>
  <c r="R362" i="1"/>
  <c r="Y361" i="1"/>
  <c r="AL363" i="1" l="1"/>
  <c r="Q364" i="1"/>
  <c r="T363" i="1"/>
  <c r="AD364" i="1"/>
  <c r="AV362" i="1"/>
  <c r="W362" i="1"/>
  <c r="Y362" i="1"/>
  <c r="R363" i="1"/>
  <c r="AV363" i="1" l="1"/>
  <c r="AD365" i="1"/>
  <c r="Q365" i="1"/>
  <c r="AL364" i="1"/>
  <c r="T364" i="1"/>
  <c r="Y363" i="1"/>
  <c r="W363" i="1"/>
  <c r="R364" i="1"/>
  <c r="AL365" i="1" l="1"/>
  <c r="Q366" i="1"/>
  <c r="T365" i="1"/>
  <c r="AD366" i="1"/>
  <c r="AV364" i="1"/>
  <c r="Y364" i="1"/>
  <c r="R365" i="1"/>
  <c r="W364" i="1"/>
  <c r="AD367" i="1" l="1"/>
  <c r="AV365" i="1"/>
  <c r="Q367" i="1"/>
  <c r="AL366" i="1"/>
  <c r="T366" i="1"/>
  <c r="Y365" i="1"/>
  <c r="R366" i="1"/>
  <c r="W365" i="1"/>
  <c r="AL367" i="1" l="1"/>
  <c r="Q368" i="1"/>
  <c r="T367" i="1"/>
  <c r="AD368" i="1"/>
  <c r="AV366" i="1"/>
  <c r="Y366" i="1"/>
  <c r="R367" i="1"/>
  <c r="W366" i="1"/>
  <c r="AV367" i="1" l="1"/>
  <c r="AD369" i="1"/>
  <c r="Q369" i="1"/>
  <c r="AL368" i="1"/>
  <c r="T368" i="1"/>
  <c r="W367" i="1"/>
  <c r="R368" i="1"/>
  <c r="Y367" i="1"/>
  <c r="AL369" i="1" l="1"/>
  <c r="Q370" i="1"/>
  <c r="T369" i="1"/>
  <c r="AD370" i="1"/>
  <c r="AV368" i="1"/>
  <c r="Y368" i="1"/>
  <c r="R369" i="1"/>
  <c r="W368" i="1"/>
  <c r="AD371" i="1" l="1"/>
  <c r="AV369" i="1"/>
  <c r="Q371" i="1"/>
  <c r="AL370" i="1"/>
  <c r="T370" i="1"/>
  <c r="R370" i="1"/>
  <c r="W369" i="1"/>
  <c r="Y369" i="1"/>
  <c r="AL371" i="1" l="1"/>
  <c r="Q372" i="1"/>
  <c r="T371" i="1"/>
  <c r="AD372" i="1"/>
  <c r="AV370" i="1"/>
  <c r="R371" i="1"/>
  <c r="Y370" i="1"/>
  <c r="W370" i="1"/>
  <c r="AV371" i="1" l="1"/>
  <c r="AD373" i="1"/>
  <c r="Q373" i="1"/>
  <c r="AL372" i="1"/>
  <c r="T372" i="1"/>
  <c r="W371" i="1"/>
  <c r="R372" i="1"/>
  <c r="Y371" i="1"/>
  <c r="AL373" i="1" l="1"/>
  <c r="Q374" i="1"/>
  <c r="T373" i="1"/>
  <c r="AD374" i="1"/>
  <c r="AV372" i="1"/>
  <c r="R373" i="1"/>
  <c r="Y372" i="1"/>
  <c r="W372" i="1"/>
  <c r="AD375" i="1" l="1"/>
  <c r="AV373" i="1"/>
  <c r="Q375" i="1"/>
  <c r="AL374" i="1"/>
  <c r="T374" i="1"/>
  <c r="W373" i="1"/>
  <c r="Y373" i="1"/>
  <c r="R374" i="1"/>
  <c r="AL375" i="1" l="1"/>
  <c r="Q376" i="1"/>
  <c r="T375" i="1"/>
  <c r="AD376" i="1"/>
  <c r="AV374" i="1"/>
  <c r="W374" i="1"/>
  <c r="R375" i="1"/>
  <c r="Y374" i="1"/>
  <c r="AV375" i="1" l="1"/>
  <c r="AD377" i="1"/>
  <c r="Q377" i="1"/>
  <c r="AL376" i="1"/>
  <c r="T376" i="1"/>
  <c r="Y375" i="1"/>
  <c r="R376" i="1"/>
  <c r="W375" i="1"/>
  <c r="AL377" i="1" l="1"/>
  <c r="Q378" i="1"/>
  <c r="T377" i="1"/>
  <c r="AD378" i="1"/>
  <c r="AV376" i="1"/>
  <c r="W376" i="1"/>
  <c r="Y376" i="1"/>
  <c r="R377" i="1"/>
  <c r="AD379" i="1" l="1"/>
  <c r="AV377" i="1"/>
  <c r="Q379" i="1"/>
  <c r="AL378" i="1"/>
  <c r="T378" i="1"/>
  <c r="W377" i="1"/>
  <c r="Y377" i="1"/>
  <c r="R378" i="1"/>
  <c r="AL379" i="1" l="1"/>
  <c r="Q380" i="1"/>
  <c r="T379" i="1"/>
  <c r="AD380" i="1"/>
  <c r="AV378" i="1"/>
  <c r="W378" i="1"/>
  <c r="Y378" i="1"/>
  <c r="R379" i="1"/>
  <c r="AV379" i="1" l="1"/>
  <c r="AD381" i="1"/>
  <c r="Q381" i="1"/>
  <c r="AL380" i="1"/>
  <c r="T380" i="1"/>
  <c r="R380" i="1"/>
  <c r="W379" i="1"/>
  <c r="Y379" i="1"/>
  <c r="AL381" i="1" l="1"/>
  <c r="Q382" i="1"/>
  <c r="T381" i="1"/>
  <c r="AD382" i="1"/>
  <c r="AV380" i="1"/>
  <c r="W380" i="1"/>
  <c r="Y380" i="1"/>
  <c r="R381" i="1"/>
  <c r="AD383" i="1" l="1"/>
  <c r="AV381" i="1"/>
  <c r="Q383" i="1"/>
  <c r="AL382" i="1"/>
  <c r="T382" i="1"/>
  <c r="Y381" i="1"/>
  <c r="R382" i="1"/>
  <c r="W381" i="1"/>
  <c r="AL383" i="1" l="1"/>
  <c r="Q384" i="1"/>
  <c r="T383" i="1"/>
  <c r="AD384" i="1"/>
  <c r="AV382" i="1"/>
  <c r="R383" i="1"/>
  <c r="Y382" i="1"/>
  <c r="W382" i="1"/>
  <c r="AV383" i="1" l="1"/>
  <c r="AD385" i="1"/>
  <c r="Q385" i="1"/>
  <c r="AL384" i="1"/>
  <c r="T384" i="1"/>
  <c r="W383" i="1"/>
  <c r="R384" i="1"/>
  <c r="Y383" i="1"/>
  <c r="AL385" i="1" l="1"/>
  <c r="Q386" i="1"/>
  <c r="T385" i="1"/>
  <c r="AD386" i="1"/>
  <c r="AV384" i="1"/>
  <c r="W384" i="1"/>
  <c r="R385" i="1"/>
  <c r="Y384" i="1"/>
  <c r="AD387" i="1" l="1"/>
  <c r="AV385" i="1"/>
  <c r="Q387" i="1"/>
  <c r="AL386" i="1"/>
  <c r="T386" i="1"/>
  <c r="R386" i="1"/>
  <c r="W385" i="1"/>
  <c r="Y385" i="1"/>
  <c r="AL387" i="1" l="1"/>
  <c r="Q388" i="1"/>
  <c r="T387" i="1"/>
  <c r="AD388" i="1"/>
  <c r="AV386" i="1"/>
  <c r="R387" i="1"/>
  <c r="Y386" i="1"/>
  <c r="W386" i="1"/>
  <c r="AV387" i="1" l="1"/>
  <c r="AD389" i="1"/>
  <c r="Q389" i="1"/>
  <c r="AL388" i="1"/>
  <c r="T388" i="1"/>
  <c r="R388" i="1"/>
  <c r="Y387" i="1"/>
  <c r="W387" i="1"/>
  <c r="AL389" i="1" l="1"/>
  <c r="Q390" i="1"/>
  <c r="T389" i="1"/>
  <c r="AD390" i="1"/>
  <c r="AV388" i="1"/>
  <c r="R389" i="1"/>
  <c r="W388" i="1"/>
  <c r="Y388" i="1"/>
  <c r="AD391" i="1" l="1"/>
  <c r="AV389" i="1"/>
  <c r="Q391" i="1"/>
  <c r="AL390" i="1"/>
  <c r="T390" i="1"/>
  <c r="W389" i="1"/>
  <c r="R390" i="1"/>
  <c r="Y389" i="1"/>
  <c r="AL391" i="1" l="1"/>
  <c r="Q392" i="1"/>
  <c r="T391" i="1"/>
  <c r="AD392" i="1"/>
  <c r="AV390" i="1"/>
  <c r="R391" i="1"/>
  <c r="Y390" i="1"/>
  <c r="W390" i="1"/>
  <c r="AV391" i="1" l="1"/>
  <c r="AD393" i="1"/>
  <c r="Q393" i="1"/>
  <c r="AL392" i="1"/>
  <c r="T392" i="1"/>
  <c r="Y391" i="1"/>
  <c r="R392" i="1"/>
  <c r="W391" i="1"/>
  <c r="AL393" i="1" l="1"/>
  <c r="Q394" i="1"/>
  <c r="T393" i="1"/>
  <c r="AD394" i="1"/>
  <c r="AV392" i="1"/>
  <c r="W392" i="1"/>
  <c r="Y392" i="1"/>
  <c r="R393" i="1"/>
  <c r="AD395" i="1" l="1"/>
  <c r="AV393" i="1"/>
  <c r="Q395" i="1"/>
  <c r="AL394" i="1"/>
  <c r="T394" i="1"/>
  <c r="Y393" i="1"/>
  <c r="W393" i="1"/>
  <c r="R394" i="1"/>
  <c r="AL395" i="1" l="1"/>
  <c r="Q396" i="1"/>
  <c r="T395" i="1"/>
  <c r="AD396" i="1"/>
  <c r="AV394" i="1"/>
  <c r="Y394" i="1"/>
  <c r="R395" i="1"/>
  <c r="W394" i="1"/>
  <c r="AV395" i="1" l="1"/>
  <c r="AD397" i="1"/>
  <c r="Q397" i="1"/>
  <c r="AL396" i="1"/>
  <c r="T396" i="1"/>
  <c r="Y395" i="1"/>
  <c r="W395" i="1"/>
  <c r="R396" i="1"/>
  <c r="AL397" i="1" l="1"/>
  <c r="Q398" i="1"/>
  <c r="T397" i="1"/>
  <c r="AD398" i="1"/>
  <c r="AV396" i="1"/>
  <c r="Y396" i="1"/>
  <c r="W396" i="1"/>
  <c r="R397" i="1"/>
  <c r="AD399" i="1" l="1"/>
  <c r="AV397" i="1"/>
  <c r="Q399" i="1"/>
  <c r="AL398" i="1"/>
  <c r="T398" i="1"/>
  <c r="W397" i="1"/>
  <c r="Y397" i="1"/>
  <c r="R398" i="1"/>
  <c r="AL399" i="1" l="1"/>
  <c r="Q400" i="1"/>
  <c r="T399" i="1"/>
  <c r="AD400" i="1"/>
  <c r="AV398" i="1"/>
  <c r="R399" i="1"/>
  <c r="Y398" i="1"/>
  <c r="W398" i="1"/>
  <c r="AV399" i="1" l="1"/>
  <c r="AD401" i="1"/>
  <c r="Q401" i="1"/>
  <c r="AL400" i="1"/>
  <c r="T400" i="1"/>
  <c r="W399" i="1"/>
  <c r="R400" i="1"/>
  <c r="Y399" i="1"/>
  <c r="AL401" i="1" l="1"/>
  <c r="Q402" i="1"/>
  <c r="T401" i="1"/>
  <c r="AD402" i="1"/>
  <c r="AV400" i="1"/>
  <c r="W400" i="1"/>
  <c r="R401" i="1"/>
  <c r="Y400" i="1"/>
  <c r="AD403" i="1" l="1"/>
  <c r="AV401" i="1"/>
  <c r="Q403" i="1"/>
  <c r="AL402" i="1"/>
  <c r="T402" i="1"/>
  <c r="Y401" i="1"/>
  <c r="R402" i="1"/>
  <c r="W401" i="1"/>
  <c r="AL403" i="1" l="1"/>
  <c r="Q404" i="1"/>
  <c r="T403" i="1"/>
  <c r="AD404" i="1"/>
  <c r="AV402" i="1"/>
  <c r="R403" i="1"/>
  <c r="W402" i="1"/>
  <c r="Y402" i="1"/>
  <c r="AV403" i="1" l="1"/>
  <c r="AD405" i="1"/>
  <c r="Q405" i="1"/>
  <c r="AL404" i="1"/>
  <c r="T404" i="1"/>
  <c r="R404" i="1"/>
  <c r="Y403" i="1"/>
  <c r="W403" i="1"/>
  <c r="AL405" i="1" l="1"/>
  <c r="Q406" i="1"/>
  <c r="T405" i="1"/>
  <c r="AD406" i="1"/>
  <c r="AV404" i="1"/>
  <c r="R405" i="1"/>
  <c r="W404" i="1"/>
  <c r="Y404" i="1"/>
  <c r="AD407" i="1" l="1"/>
  <c r="AV405" i="1"/>
  <c r="Q407" i="1"/>
  <c r="AL406" i="1"/>
  <c r="T406" i="1"/>
  <c r="Y405" i="1"/>
  <c r="R406" i="1"/>
  <c r="W405" i="1"/>
  <c r="AL407" i="1" l="1"/>
  <c r="Q408" i="1"/>
  <c r="T407" i="1"/>
  <c r="AD408" i="1"/>
  <c r="AV406" i="1"/>
  <c r="R407" i="1"/>
  <c r="Y406" i="1"/>
  <c r="W406" i="1"/>
  <c r="AV407" i="1" l="1"/>
  <c r="AD409" i="1"/>
  <c r="Q409" i="1"/>
  <c r="AL408" i="1"/>
  <c r="T408" i="1"/>
  <c r="W407" i="1"/>
  <c r="R408" i="1"/>
  <c r="Y407" i="1"/>
  <c r="AL409" i="1" l="1"/>
  <c r="Q410" i="1"/>
  <c r="T409" i="1"/>
  <c r="AD410" i="1"/>
  <c r="AV408" i="1"/>
  <c r="R409" i="1"/>
  <c r="Y408" i="1"/>
  <c r="W408" i="1"/>
  <c r="AD411" i="1" l="1"/>
  <c r="AV409" i="1"/>
  <c r="Q411" i="1"/>
  <c r="AL410" i="1"/>
  <c r="T410" i="1"/>
  <c r="Y409" i="1"/>
  <c r="R410" i="1"/>
  <c r="W409" i="1"/>
  <c r="AL411" i="1" l="1"/>
  <c r="Q412" i="1"/>
  <c r="T411" i="1"/>
  <c r="AD412" i="1"/>
  <c r="AV410" i="1"/>
  <c r="W410" i="1"/>
  <c r="R411" i="1"/>
  <c r="Y410" i="1"/>
  <c r="AV411" i="1" l="1"/>
  <c r="AD413" i="1"/>
  <c r="Q413" i="1"/>
  <c r="AL412" i="1"/>
  <c r="T412" i="1"/>
  <c r="R412" i="1"/>
  <c r="Y411" i="1"/>
  <c r="W411" i="1"/>
  <c r="AL413" i="1" l="1"/>
  <c r="Q414" i="1"/>
  <c r="T413" i="1"/>
  <c r="AD414" i="1"/>
  <c r="AV412" i="1"/>
  <c r="R413" i="1"/>
  <c r="W412" i="1"/>
  <c r="Y412" i="1"/>
  <c r="AD415" i="1" l="1"/>
  <c r="AV413" i="1"/>
  <c r="Q415" i="1"/>
  <c r="AL414" i="1"/>
  <c r="T414" i="1"/>
  <c r="W413" i="1"/>
  <c r="R414" i="1"/>
  <c r="Y413" i="1"/>
  <c r="AL415" i="1" l="1"/>
  <c r="Q416" i="1"/>
  <c r="T415" i="1"/>
  <c r="AD416" i="1"/>
  <c r="AV414" i="1"/>
  <c r="R415" i="1"/>
  <c r="W414" i="1"/>
  <c r="Y414" i="1"/>
  <c r="AV415" i="1" l="1"/>
  <c r="AD417" i="1"/>
  <c r="Q417" i="1"/>
  <c r="AL416" i="1"/>
  <c r="T416" i="1"/>
  <c r="Y415" i="1"/>
  <c r="R416" i="1"/>
  <c r="W415" i="1"/>
  <c r="AL417" i="1" l="1"/>
  <c r="Q418" i="1"/>
  <c r="T417" i="1"/>
  <c r="AD418" i="1"/>
  <c r="AV416" i="1"/>
  <c r="Y416" i="1"/>
  <c r="R417" i="1"/>
  <c r="W416" i="1"/>
  <c r="AD419" i="1" l="1"/>
  <c r="AV417" i="1"/>
  <c r="Q419" i="1"/>
  <c r="AL418" i="1"/>
  <c r="T418" i="1"/>
  <c r="R418" i="1"/>
  <c r="W417" i="1"/>
  <c r="Y417" i="1"/>
  <c r="AL419" i="1" l="1"/>
  <c r="Q420" i="1"/>
  <c r="T419" i="1"/>
  <c r="AD420" i="1"/>
  <c r="AV418" i="1"/>
  <c r="R419" i="1"/>
  <c r="W418" i="1"/>
  <c r="Y418" i="1"/>
  <c r="AV419" i="1" l="1"/>
  <c r="AD421" i="1"/>
  <c r="Q421" i="1"/>
  <c r="AL420" i="1"/>
  <c r="T420" i="1"/>
  <c r="R420" i="1"/>
  <c r="W419" i="1"/>
  <c r="Y419" i="1"/>
  <c r="AL421" i="1" l="1"/>
  <c r="Q422" i="1"/>
  <c r="T421" i="1"/>
  <c r="AD422" i="1"/>
  <c r="AV420" i="1"/>
  <c r="Y420" i="1"/>
  <c r="R421" i="1"/>
  <c r="W420" i="1"/>
  <c r="AD423" i="1" l="1"/>
  <c r="AV421" i="1"/>
  <c r="Q423" i="1"/>
  <c r="AL422" i="1"/>
  <c r="T422" i="1"/>
  <c r="R422" i="1"/>
  <c r="W421" i="1"/>
  <c r="Y421" i="1"/>
  <c r="AL423" i="1" l="1"/>
  <c r="Q424" i="1"/>
  <c r="T423" i="1"/>
  <c r="AD424" i="1"/>
  <c r="AV422" i="1"/>
  <c r="Y422" i="1"/>
  <c r="R423" i="1"/>
  <c r="W422" i="1"/>
  <c r="AV423" i="1" l="1"/>
  <c r="AD425" i="1"/>
  <c r="Q425" i="1"/>
  <c r="AL424" i="1"/>
  <c r="T424" i="1"/>
  <c r="R424" i="1"/>
  <c r="W423" i="1"/>
  <c r="Y423" i="1"/>
  <c r="AL425" i="1" l="1"/>
  <c r="Q426" i="1"/>
  <c r="T425" i="1"/>
  <c r="AD426" i="1"/>
  <c r="AV424" i="1"/>
  <c r="Y424" i="1"/>
  <c r="R425" i="1"/>
  <c r="W424" i="1"/>
  <c r="AD427" i="1" l="1"/>
  <c r="AV425" i="1"/>
  <c r="Q427" i="1"/>
  <c r="AL426" i="1"/>
  <c r="T426" i="1"/>
  <c r="Y425" i="1"/>
  <c r="R426" i="1"/>
  <c r="W425" i="1"/>
  <c r="AL427" i="1" l="1"/>
  <c r="Q428" i="1"/>
  <c r="T427" i="1"/>
  <c r="AD428" i="1"/>
  <c r="AV426" i="1"/>
  <c r="R427" i="1"/>
  <c r="Y426" i="1"/>
  <c r="W426" i="1"/>
  <c r="AV427" i="1" l="1"/>
  <c r="AD429" i="1"/>
  <c r="Q429" i="1"/>
  <c r="AL428" i="1"/>
  <c r="T428" i="1"/>
  <c r="Y427" i="1"/>
  <c r="R428" i="1"/>
  <c r="W427" i="1"/>
  <c r="AL429" i="1" l="1"/>
  <c r="Q430" i="1"/>
  <c r="T429" i="1"/>
  <c r="AD430" i="1"/>
  <c r="AV428" i="1"/>
  <c r="W428" i="1"/>
  <c r="Y428" i="1"/>
  <c r="R429" i="1"/>
  <c r="AD431" i="1" l="1"/>
  <c r="AV429" i="1"/>
  <c r="Q431" i="1"/>
  <c r="AL430" i="1"/>
  <c r="T430" i="1"/>
  <c r="Y429" i="1"/>
  <c r="R430" i="1"/>
  <c r="W429" i="1"/>
  <c r="AL431" i="1" l="1"/>
  <c r="Q432" i="1"/>
  <c r="T431" i="1"/>
  <c r="AD432" i="1"/>
  <c r="AV430" i="1"/>
  <c r="R431" i="1"/>
  <c r="Y430" i="1"/>
  <c r="W430" i="1"/>
  <c r="AV431" i="1" l="1"/>
  <c r="AD433" i="1"/>
  <c r="Q433" i="1"/>
  <c r="AL432" i="1"/>
  <c r="T432" i="1"/>
  <c r="W431" i="1"/>
  <c r="R432" i="1"/>
  <c r="Y431" i="1"/>
  <c r="AL433" i="1" l="1"/>
  <c r="Q434" i="1"/>
  <c r="T433" i="1"/>
  <c r="AD434" i="1"/>
  <c r="AV432" i="1"/>
  <c r="R433" i="1"/>
  <c r="W432" i="1"/>
  <c r="Y432" i="1"/>
  <c r="AD435" i="1" l="1"/>
  <c r="AV433" i="1"/>
  <c r="Q435" i="1"/>
  <c r="AL434" i="1"/>
  <c r="T434" i="1"/>
  <c r="R434" i="1"/>
  <c r="Y433" i="1"/>
  <c r="W433" i="1"/>
  <c r="AL435" i="1" l="1"/>
  <c r="Q436" i="1"/>
  <c r="T435" i="1"/>
  <c r="AD436" i="1"/>
  <c r="AV434" i="1"/>
  <c r="W434" i="1"/>
  <c r="Y434" i="1"/>
  <c r="R435" i="1"/>
  <c r="AV435" i="1" l="1"/>
  <c r="AD437" i="1"/>
  <c r="Q437" i="1"/>
  <c r="AL436" i="1"/>
  <c r="T436" i="1"/>
  <c r="Y435" i="1"/>
  <c r="W435" i="1"/>
  <c r="R436" i="1"/>
  <c r="AL437" i="1" l="1"/>
  <c r="Q438" i="1"/>
  <c r="T437" i="1"/>
  <c r="AD438" i="1"/>
  <c r="AV436" i="1"/>
  <c r="W436" i="1"/>
  <c r="Y436" i="1"/>
  <c r="R437" i="1"/>
  <c r="AD439" i="1" l="1"/>
  <c r="AV437" i="1"/>
  <c r="Q439" i="1"/>
  <c r="AL438" i="1"/>
  <c r="T438" i="1"/>
  <c r="R438" i="1"/>
  <c r="Y437" i="1"/>
  <c r="W437" i="1"/>
  <c r="AL439" i="1" l="1"/>
  <c r="Q440" i="1"/>
  <c r="T439" i="1"/>
  <c r="AD440" i="1"/>
  <c r="AV438" i="1"/>
  <c r="W438" i="1"/>
  <c r="Y438" i="1"/>
  <c r="R439" i="1"/>
  <c r="AV439" i="1" l="1"/>
  <c r="AD441" i="1"/>
  <c r="Q441" i="1"/>
  <c r="AL440" i="1"/>
  <c r="T440" i="1"/>
  <c r="W439" i="1"/>
  <c r="R440" i="1"/>
  <c r="Y439" i="1"/>
  <c r="AL441" i="1" l="1"/>
  <c r="Q442" i="1"/>
  <c r="T441" i="1"/>
  <c r="AD442" i="1"/>
  <c r="AV440" i="1"/>
  <c r="Y440" i="1"/>
  <c r="W440" i="1"/>
  <c r="R441" i="1"/>
  <c r="AD443" i="1" l="1"/>
  <c r="AV441" i="1"/>
  <c r="Q443" i="1"/>
  <c r="AL442" i="1"/>
  <c r="T442" i="1"/>
  <c r="R442" i="1"/>
  <c r="Y441" i="1"/>
  <c r="W441" i="1"/>
  <c r="AL443" i="1" l="1"/>
  <c r="Q444" i="1"/>
  <c r="T443" i="1"/>
  <c r="AD444" i="1"/>
  <c r="AV442" i="1"/>
  <c r="W442" i="1"/>
  <c r="Y442" i="1"/>
  <c r="R443" i="1"/>
  <c r="AV443" i="1" l="1"/>
  <c r="AD445" i="1"/>
  <c r="Q445" i="1"/>
  <c r="AL444" i="1"/>
  <c r="T444" i="1"/>
  <c r="Y443" i="1"/>
  <c r="W443" i="1"/>
  <c r="R444" i="1"/>
  <c r="AL445" i="1" l="1"/>
  <c r="Q446" i="1"/>
  <c r="T445" i="1"/>
  <c r="AD446" i="1"/>
  <c r="AV444" i="1"/>
  <c r="R445" i="1"/>
  <c r="W444" i="1"/>
  <c r="Y444" i="1"/>
  <c r="AD447" i="1" l="1"/>
  <c r="AV445" i="1"/>
  <c r="Q447" i="1"/>
  <c r="AL446" i="1"/>
  <c r="T446" i="1"/>
  <c r="R446" i="1"/>
  <c r="Y445" i="1"/>
  <c r="W445" i="1"/>
  <c r="AL447" i="1" l="1"/>
  <c r="Q448" i="1"/>
  <c r="T447" i="1"/>
  <c r="AD448" i="1"/>
  <c r="AV446" i="1"/>
  <c r="Y446" i="1"/>
  <c r="W446" i="1"/>
  <c r="R447" i="1"/>
  <c r="AV447" i="1" l="1"/>
  <c r="AD449" i="1"/>
  <c r="Q449" i="1"/>
  <c r="AL448" i="1"/>
  <c r="T448" i="1"/>
  <c r="Y447" i="1"/>
  <c r="R448" i="1"/>
  <c r="W447" i="1"/>
  <c r="AL449" i="1" l="1"/>
  <c r="Q450" i="1"/>
  <c r="T449" i="1"/>
  <c r="AD450" i="1"/>
  <c r="AV448" i="1"/>
  <c r="W448" i="1"/>
  <c r="R449" i="1"/>
  <c r="Y448" i="1"/>
  <c r="AD451" i="1" l="1"/>
  <c r="AV449" i="1"/>
  <c r="Q451" i="1"/>
  <c r="AL450" i="1"/>
  <c r="T450" i="1"/>
  <c r="Y449" i="1"/>
  <c r="R450" i="1"/>
  <c r="W449" i="1"/>
  <c r="AL451" i="1" l="1"/>
  <c r="Q452" i="1"/>
  <c r="T451" i="1"/>
  <c r="AD452" i="1"/>
  <c r="AV450" i="1"/>
  <c r="Y450" i="1"/>
  <c r="R451" i="1"/>
  <c r="W450" i="1"/>
  <c r="AV451" i="1" l="1"/>
  <c r="AD453" i="1"/>
  <c r="Q453" i="1"/>
  <c r="AL452" i="1"/>
  <c r="T452" i="1"/>
  <c r="W451" i="1"/>
  <c r="R452" i="1"/>
  <c r="Y451" i="1"/>
  <c r="AL453" i="1" l="1"/>
  <c r="Q454" i="1"/>
  <c r="T453" i="1"/>
  <c r="AD454" i="1"/>
  <c r="AV452" i="1"/>
  <c r="Y452" i="1"/>
  <c r="R453" i="1"/>
  <c r="W452" i="1"/>
  <c r="AD455" i="1" l="1"/>
  <c r="AV453" i="1"/>
  <c r="Q455" i="1"/>
  <c r="AL454" i="1"/>
  <c r="T454" i="1"/>
  <c r="W453" i="1"/>
  <c r="R454" i="1"/>
  <c r="Y453" i="1"/>
  <c r="Q456" i="1" l="1"/>
  <c r="AL455" i="1"/>
  <c r="T455" i="1"/>
  <c r="AD456" i="1"/>
  <c r="AV454" i="1"/>
  <c r="R455" i="1"/>
  <c r="Y454" i="1"/>
  <c r="W454" i="1"/>
  <c r="AV455" i="1" l="1"/>
  <c r="AD457" i="1"/>
  <c r="Q457" i="1"/>
  <c r="AL456" i="1"/>
  <c r="T456" i="1"/>
  <c r="Y455" i="1"/>
  <c r="W455" i="1"/>
  <c r="R456" i="1"/>
  <c r="Q458" i="1" l="1"/>
  <c r="AL457" i="1"/>
  <c r="T457" i="1"/>
  <c r="AD458" i="1"/>
  <c r="AV456" i="1"/>
  <c r="R457" i="1"/>
  <c r="W456" i="1"/>
  <c r="Y456" i="1"/>
  <c r="AD459" i="1" l="1"/>
  <c r="AV457" i="1"/>
  <c r="Q459" i="1"/>
  <c r="AL458" i="1"/>
  <c r="T458" i="1"/>
  <c r="Y457" i="1"/>
  <c r="W457" i="1"/>
  <c r="R458" i="1"/>
  <c r="Q460" i="1" l="1"/>
  <c r="AL459" i="1"/>
  <c r="T459" i="1"/>
  <c r="AD460" i="1"/>
  <c r="AV458" i="1"/>
  <c r="R459" i="1"/>
  <c r="Y458" i="1"/>
  <c r="W458" i="1"/>
  <c r="AV459" i="1" l="1"/>
  <c r="AD461" i="1"/>
  <c r="Q461" i="1"/>
  <c r="AL460" i="1"/>
  <c r="T460" i="1"/>
  <c r="Y459" i="1"/>
  <c r="W459" i="1"/>
  <c r="R460" i="1"/>
  <c r="Q462" i="1" l="1"/>
  <c r="AL461" i="1"/>
  <c r="T461" i="1"/>
  <c r="AD462" i="1"/>
  <c r="AV460" i="1"/>
  <c r="W460" i="1"/>
  <c r="Y460" i="1"/>
  <c r="R461" i="1"/>
  <c r="Q463" i="1" l="1"/>
  <c r="AL462" i="1"/>
  <c r="T462" i="1"/>
  <c r="AD463" i="1"/>
  <c r="AV461" i="1"/>
  <c r="W461" i="1"/>
  <c r="R462" i="1"/>
  <c r="Y461" i="1"/>
  <c r="AD464" i="1" l="1"/>
  <c r="AV462" i="1"/>
  <c r="Q464" i="1"/>
  <c r="AL463" i="1"/>
  <c r="T463" i="1"/>
  <c r="R463" i="1"/>
  <c r="W462" i="1"/>
  <c r="Y462" i="1"/>
  <c r="Q465" i="1" l="1"/>
  <c r="AL464" i="1"/>
  <c r="T464" i="1"/>
  <c r="AV463" i="1"/>
  <c r="AD465" i="1"/>
  <c r="R464" i="1"/>
  <c r="W463" i="1"/>
  <c r="Y463" i="1"/>
  <c r="Q466" i="1" l="1"/>
  <c r="AL465" i="1"/>
  <c r="T465" i="1"/>
  <c r="AD466" i="1"/>
  <c r="AV464" i="1"/>
  <c r="Y464" i="1"/>
  <c r="R465" i="1"/>
  <c r="W464" i="1"/>
  <c r="Q467" i="1" l="1"/>
  <c r="AL466" i="1"/>
  <c r="T466" i="1"/>
  <c r="AD467" i="1"/>
  <c r="AV465" i="1"/>
  <c r="W465" i="1"/>
  <c r="Y465" i="1"/>
  <c r="R466" i="1"/>
  <c r="AD468" i="1" l="1"/>
  <c r="AV466" i="1"/>
  <c r="Q468" i="1"/>
  <c r="AL467" i="1"/>
  <c r="T467" i="1"/>
  <c r="Y466" i="1"/>
  <c r="W466" i="1"/>
  <c r="R467" i="1"/>
  <c r="Q469" i="1" l="1"/>
  <c r="AL468" i="1"/>
  <c r="T468" i="1"/>
  <c r="AV467" i="1"/>
  <c r="AD469" i="1"/>
  <c r="W467" i="1"/>
  <c r="R468" i="1"/>
  <c r="Y467" i="1"/>
  <c r="Q470" i="1" l="1"/>
  <c r="AL469" i="1"/>
  <c r="T469" i="1"/>
  <c r="AD470" i="1"/>
  <c r="AV468" i="1"/>
  <c r="W468" i="1"/>
  <c r="R469" i="1"/>
  <c r="Y468" i="1"/>
  <c r="Q471" i="1" l="1"/>
  <c r="AL470" i="1"/>
  <c r="T470" i="1"/>
  <c r="AD471" i="1"/>
  <c r="AV469" i="1"/>
  <c r="W469" i="1"/>
  <c r="R470" i="1"/>
  <c r="Y469" i="1"/>
  <c r="AD472" i="1" l="1"/>
  <c r="AV470" i="1"/>
  <c r="Q472" i="1"/>
  <c r="AL471" i="1"/>
  <c r="T471" i="1"/>
  <c r="Y470" i="1"/>
  <c r="W470" i="1"/>
  <c r="R471" i="1"/>
  <c r="Q473" i="1" l="1"/>
  <c r="AL472" i="1"/>
  <c r="T472" i="1"/>
  <c r="AV471" i="1"/>
  <c r="AD473" i="1"/>
  <c r="R472" i="1"/>
  <c r="Y471" i="1"/>
  <c r="W471" i="1"/>
  <c r="Q474" i="1" l="1"/>
  <c r="AL473" i="1"/>
  <c r="T473" i="1"/>
  <c r="AD474" i="1"/>
  <c r="AV472" i="1"/>
  <c r="Y472" i="1"/>
  <c r="R473" i="1"/>
  <c r="W472" i="1"/>
  <c r="AD475" i="1" l="1"/>
  <c r="AV473" i="1"/>
  <c r="Q475" i="1"/>
  <c r="AL474" i="1"/>
  <c r="T474" i="1"/>
  <c r="W473" i="1"/>
  <c r="R474" i="1"/>
  <c r="Y473" i="1"/>
  <c r="Q476" i="1" l="1"/>
  <c r="AL475" i="1"/>
  <c r="T475" i="1"/>
  <c r="AD476" i="1"/>
  <c r="AV474" i="1"/>
  <c r="R475" i="1"/>
  <c r="Y474" i="1"/>
  <c r="W474" i="1"/>
  <c r="AV475" i="1" l="1"/>
  <c r="AD477" i="1"/>
  <c r="Q477" i="1"/>
  <c r="AL476" i="1"/>
  <c r="T476" i="1"/>
  <c r="Y475" i="1"/>
  <c r="R476" i="1"/>
  <c r="W475" i="1"/>
  <c r="Q478" i="1" l="1"/>
  <c r="AL477" i="1"/>
  <c r="T477" i="1"/>
  <c r="AD478" i="1"/>
  <c r="AV476" i="1"/>
  <c r="Y476" i="1"/>
  <c r="R477" i="1"/>
  <c r="W476" i="1"/>
  <c r="AD479" i="1" l="1"/>
  <c r="AV477" i="1"/>
  <c r="Q479" i="1"/>
  <c r="AL478" i="1"/>
  <c r="T478" i="1"/>
  <c r="Y477" i="1"/>
  <c r="W477" i="1"/>
  <c r="R478" i="1"/>
  <c r="Q480" i="1" l="1"/>
  <c r="AL479" i="1"/>
  <c r="T479" i="1"/>
  <c r="AD480" i="1"/>
  <c r="AV478" i="1"/>
  <c r="W478" i="1"/>
  <c r="R479" i="1"/>
  <c r="Y478" i="1"/>
  <c r="AV479" i="1" l="1"/>
  <c r="AD481" i="1"/>
  <c r="Q481" i="1"/>
  <c r="AL480" i="1"/>
  <c r="T480" i="1"/>
  <c r="Y479" i="1"/>
  <c r="W479" i="1"/>
  <c r="R480" i="1"/>
  <c r="Q482" i="1" l="1"/>
  <c r="AL481" i="1"/>
  <c r="T481" i="1"/>
  <c r="AD482" i="1"/>
  <c r="AV480" i="1"/>
  <c r="R481" i="1"/>
  <c r="Y480" i="1"/>
  <c r="W480" i="1"/>
  <c r="Q483" i="1" l="1"/>
  <c r="AL482" i="1"/>
  <c r="T482" i="1"/>
  <c r="AD483" i="1"/>
  <c r="AV481" i="1"/>
  <c r="Y481" i="1"/>
  <c r="R482" i="1"/>
  <c r="W481" i="1"/>
  <c r="AD484" i="1" l="1"/>
  <c r="AV482" i="1"/>
  <c r="Q484" i="1"/>
  <c r="AL483" i="1"/>
  <c r="T483" i="1"/>
  <c r="Y482" i="1"/>
  <c r="R483" i="1"/>
  <c r="W482" i="1"/>
  <c r="Q485" i="1" l="1"/>
  <c r="AL484" i="1"/>
  <c r="T484" i="1"/>
  <c r="AV483" i="1"/>
  <c r="AD485" i="1"/>
  <c r="W483" i="1"/>
  <c r="Y483" i="1"/>
  <c r="R484" i="1"/>
  <c r="Q486" i="1" l="1"/>
  <c r="AL485" i="1"/>
  <c r="T485" i="1"/>
  <c r="AD486" i="1"/>
  <c r="AV484" i="1"/>
  <c r="Y484" i="1"/>
  <c r="W484" i="1"/>
  <c r="R485" i="1"/>
  <c r="Q487" i="1" l="1"/>
  <c r="AL486" i="1"/>
  <c r="T486" i="1"/>
  <c r="AD487" i="1"/>
  <c r="AV485" i="1"/>
  <c r="W485" i="1"/>
  <c r="Y485" i="1"/>
  <c r="R486" i="1"/>
  <c r="AD488" i="1" l="1"/>
  <c r="AV486" i="1"/>
  <c r="Q488" i="1"/>
  <c r="AL487" i="1"/>
  <c r="T487" i="1"/>
  <c r="W486" i="1"/>
  <c r="Y486" i="1"/>
  <c r="R487" i="1"/>
  <c r="Q489" i="1" l="1"/>
  <c r="AL488" i="1"/>
  <c r="T488" i="1"/>
  <c r="AV487" i="1"/>
  <c r="AD489" i="1"/>
  <c r="Y487" i="1"/>
  <c r="R488" i="1"/>
  <c r="W487" i="1"/>
  <c r="Q490" i="1" l="1"/>
  <c r="AL489" i="1"/>
  <c r="T489" i="1"/>
  <c r="AD490" i="1"/>
  <c r="AV488" i="1"/>
  <c r="Y488" i="1"/>
  <c r="R489" i="1"/>
  <c r="W488" i="1"/>
  <c r="AD491" i="1" l="1"/>
  <c r="AV489" i="1"/>
  <c r="Q491" i="1"/>
  <c r="AL490" i="1"/>
  <c r="T490" i="1"/>
  <c r="R490" i="1"/>
  <c r="Y489" i="1"/>
  <c r="W489" i="1"/>
  <c r="Q492" i="1" l="1"/>
  <c r="AL491" i="1"/>
  <c r="T491" i="1"/>
  <c r="AD492" i="1"/>
  <c r="AV490" i="1"/>
  <c r="R491" i="1"/>
  <c r="Y490" i="1"/>
  <c r="W490" i="1"/>
  <c r="AV491" i="1" l="1"/>
  <c r="AD493" i="1"/>
  <c r="Q493" i="1"/>
  <c r="AL492" i="1"/>
  <c r="T492" i="1"/>
  <c r="R492" i="1"/>
  <c r="Y491" i="1"/>
  <c r="W491" i="1"/>
  <c r="Q494" i="1" l="1"/>
  <c r="AL493" i="1"/>
  <c r="T493" i="1"/>
  <c r="AD494" i="1"/>
  <c r="AV492" i="1"/>
  <c r="W492" i="1"/>
  <c r="R493" i="1"/>
  <c r="Y492" i="1"/>
  <c r="Q495" i="1" l="1"/>
  <c r="AL494" i="1"/>
  <c r="T494" i="1"/>
  <c r="AD495" i="1"/>
  <c r="AV493" i="1"/>
  <c r="W493" i="1"/>
  <c r="R494" i="1"/>
  <c r="Y493" i="1"/>
  <c r="AD496" i="1" l="1"/>
  <c r="AV494" i="1"/>
  <c r="Q496" i="1"/>
  <c r="AL495" i="1"/>
  <c r="T495" i="1"/>
  <c r="R495" i="1"/>
  <c r="W494" i="1"/>
  <c r="Y494" i="1"/>
  <c r="Q497" i="1" l="1"/>
  <c r="AL496" i="1"/>
  <c r="T496" i="1"/>
  <c r="AD497" i="1"/>
  <c r="AV495" i="1"/>
  <c r="Y495" i="1"/>
  <c r="R496" i="1"/>
  <c r="W495" i="1"/>
  <c r="AD498" i="1" l="1"/>
  <c r="AV496" i="1"/>
  <c r="Q498" i="1"/>
  <c r="AL497" i="1"/>
  <c r="T497" i="1"/>
  <c r="R497" i="1"/>
  <c r="W496" i="1"/>
  <c r="Y496" i="1"/>
  <c r="Q499" i="1" l="1"/>
  <c r="AL498" i="1"/>
  <c r="T498" i="1"/>
  <c r="AV497" i="1"/>
  <c r="AD499" i="1"/>
  <c r="Y497" i="1"/>
  <c r="W497" i="1"/>
  <c r="R498" i="1"/>
  <c r="Q500" i="1" l="1"/>
  <c r="AL499" i="1"/>
  <c r="T499" i="1"/>
  <c r="AD500" i="1"/>
  <c r="AV498" i="1"/>
  <c r="R499" i="1"/>
  <c r="W498" i="1"/>
  <c r="Y498" i="1"/>
  <c r="AV499" i="1" l="1"/>
  <c r="AD501" i="1"/>
  <c r="Q501" i="1"/>
  <c r="AL500" i="1"/>
  <c r="T500" i="1"/>
  <c r="Y499" i="1"/>
  <c r="W499" i="1"/>
  <c r="R500" i="1"/>
  <c r="Q502" i="1" l="1"/>
  <c r="AL501" i="1"/>
  <c r="T501" i="1"/>
  <c r="AD502" i="1"/>
  <c r="AV500" i="1"/>
  <c r="W500" i="1"/>
  <c r="R501" i="1"/>
  <c r="Y500" i="1"/>
  <c r="AD503" i="1" l="1"/>
  <c r="AV501" i="1"/>
  <c r="Q503" i="1"/>
  <c r="AL502" i="1"/>
  <c r="T502" i="1"/>
  <c r="R502" i="1"/>
  <c r="Y501" i="1"/>
  <c r="W501" i="1"/>
  <c r="AL503" i="1" l="1"/>
  <c r="Q504" i="1"/>
  <c r="T503" i="1"/>
  <c r="AV502" i="1"/>
  <c r="AD504" i="1"/>
  <c r="R503" i="1"/>
  <c r="Y502" i="1"/>
  <c r="W502" i="1"/>
  <c r="AV503" i="1" l="1"/>
  <c r="AD505" i="1"/>
  <c r="Q505" i="1"/>
  <c r="AL504" i="1"/>
  <c r="T504" i="1"/>
  <c r="Y503" i="1"/>
  <c r="W503" i="1"/>
  <c r="R504" i="1"/>
  <c r="AL505" i="1" l="1"/>
  <c r="Q506" i="1"/>
  <c r="T505" i="1"/>
  <c r="AV504" i="1"/>
  <c r="AD506" i="1"/>
  <c r="Y504" i="1"/>
  <c r="R505" i="1"/>
  <c r="W504" i="1"/>
  <c r="AV505" i="1" l="1"/>
  <c r="AD507" i="1"/>
  <c r="Q507" i="1"/>
  <c r="AL506" i="1"/>
  <c r="T506" i="1"/>
  <c r="Y505" i="1"/>
  <c r="R506" i="1"/>
  <c r="W505" i="1"/>
  <c r="AL507" i="1" l="1"/>
  <c r="Q508" i="1"/>
  <c r="T507" i="1"/>
  <c r="AD508" i="1"/>
  <c r="AV506" i="1"/>
  <c r="R507" i="1"/>
  <c r="Y506" i="1"/>
  <c r="W506" i="1"/>
  <c r="AV507" i="1" l="1"/>
  <c r="AD509" i="1"/>
  <c r="Q509" i="1"/>
  <c r="AL508" i="1"/>
  <c r="T508" i="1"/>
  <c r="W507" i="1"/>
  <c r="Y507" i="1"/>
  <c r="R508" i="1"/>
  <c r="AL509" i="1" l="1"/>
  <c r="Q510" i="1"/>
  <c r="T509" i="1"/>
  <c r="AD510" i="1"/>
  <c r="AV508" i="1"/>
  <c r="W508" i="1"/>
  <c r="R509" i="1"/>
  <c r="Y508" i="1"/>
  <c r="AV509" i="1" l="1"/>
  <c r="AD511" i="1"/>
  <c r="Q511" i="1"/>
  <c r="AL510" i="1"/>
  <c r="T510" i="1"/>
  <c r="W509" i="1"/>
  <c r="R510" i="1"/>
  <c r="Y509" i="1"/>
  <c r="AL511" i="1" l="1"/>
  <c r="Q512" i="1"/>
  <c r="T511" i="1"/>
  <c r="AV510" i="1"/>
  <c r="AD512" i="1"/>
  <c r="Y510" i="1"/>
  <c r="W510" i="1"/>
  <c r="R511" i="1"/>
  <c r="AD513" i="1" l="1"/>
  <c r="AV511" i="1"/>
  <c r="Q513" i="1"/>
  <c r="AL512" i="1"/>
  <c r="T512" i="1"/>
  <c r="Y511" i="1"/>
  <c r="R512" i="1"/>
  <c r="W511" i="1"/>
  <c r="AL513" i="1" l="1"/>
  <c r="Q514" i="1"/>
  <c r="T513" i="1"/>
  <c r="AV512" i="1"/>
  <c r="AD514" i="1"/>
  <c r="W512" i="1"/>
  <c r="Y512" i="1"/>
  <c r="R513" i="1"/>
  <c r="AV513" i="1" l="1"/>
  <c r="AD515" i="1"/>
  <c r="Q515" i="1"/>
  <c r="AL514" i="1"/>
  <c r="T514" i="1"/>
  <c r="W513" i="1"/>
  <c r="Y513" i="1"/>
  <c r="R514" i="1"/>
  <c r="AL515" i="1" l="1"/>
  <c r="Q516" i="1"/>
  <c r="T515" i="1"/>
  <c r="AV514" i="1"/>
  <c r="AD516" i="1"/>
  <c r="Y514" i="1"/>
  <c r="W514" i="1"/>
  <c r="R515" i="1"/>
  <c r="AV515" i="1" l="1"/>
  <c r="AD517" i="1"/>
  <c r="Q517" i="1"/>
  <c r="AL516" i="1"/>
  <c r="T516" i="1"/>
  <c r="W515" i="1"/>
  <c r="R516" i="1"/>
  <c r="Y515" i="1"/>
  <c r="AL517" i="1" l="1"/>
  <c r="Q518" i="1"/>
  <c r="T517" i="1"/>
  <c r="AV516" i="1"/>
  <c r="AD518" i="1"/>
  <c r="W516" i="1"/>
  <c r="R517" i="1"/>
  <c r="Y516" i="1"/>
  <c r="AV517" i="1" l="1"/>
  <c r="AD519" i="1"/>
  <c r="Q519" i="1"/>
  <c r="AL518" i="1"/>
  <c r="T518" i="1"/>
  <c r="W517" i="1"/>
  <c r="Y517" i="1"/>
  <c r="R518" i="1"/>
  <c r="AL519" i="1" l="1"/>
  <c r="Q520" i="1"/>
  <c r="T519" i="1"/>
  <c r="AV518" i="1"/>
  <c r="AD520" i="1"/>
  <c r="R519" i="1"/>
  <c r="Y518" i="1"/>
  <c r="W518" i="1"/>
  <c r="AD521" i="1" l="1"/>
  <c r="AV519" i="1"/>
  <c r="Q521" i="1"/>
  <c r="AL520" i="1"/>
  <c r="T520" i="1"/>
  <c r="Y519" i="1"/>
  <c r="W519" i="1"/>
  <c r="R520" i="1"/>
  <c r="AL521" i="1" l="1"/>
  <c r="Q522" i="1"/>
  <c r="T521" i="1"/>
  <c r="AD522" i="1"/>
  <c r="AV520" i="1"/>
  <c r="W520" i="1"/>
  <c r="Y520" i="1"/>
  <c r="R521" i="1"/>
  <c r="AV521" i="1" l="1"/>
  <c r="AD523" i="1"/>
  <c r="Q523" i="1"/>
  <c r="AL522" i="1"/>
  <c r="T522" i="1"/>
  <c r="Y521" i="1"/>
  <c r="R522" i="1"/>
  <c r="W521" i="1"/>
  <c r="AL523" i="1" l="1"/>
  <c r="Q524" i="1"/>
  <c r="T523" i="1"/>
  <c r="AV522" i="1"/>
  <c r="AD524" i="1"/>
  <c r="R523" i="1"/>
  <c r="W522" i="1"/>
  <c r="Y522" i="1"/>
  <c r="AV523" i="1" l="1"/>
  <c r="AD525" i="1"/>
  <c r="Q525" i="1"/>
  <c r="AL524" i="1"/>
  <c r="T524" i="1"/>
  <c r="Y523" i="1"/>
  <c r="R524" i="1"/>
  <c r="W523" i="1"/>
  <c r="AL525" i="1" l="1"/>
  <c r="Q526" i="1"/>
  <c r="T525" i="1"/>
  <c r="AV524" i="1"/>
  <c r="AD526" i="1"/>
  <c r="W524" i="1"/>
  <c r="R525" i="1"/>
  <c r="Y524" i="1"/>
  <c r="AV525" i="1" l="1"/>
  <c r="AD527" i="1"/>
  <c r="Q527" i="1"/>
  <c r="AL526" i="1"/>
  <c r="T526" i="1"/>
  <c r="W525" i="1"/>
  <c r="Y525" i="1"/>
  <c r="R526" i="1"/>
  <c r="AL527" i="1" l="1"/>
  <c r="Q528" i="1"/>
  <c r="T527" i="1"/>
  <c r="AV526" i="1"/>
  <c r="AD528" i="1"/>
  <c r="R527" i="1"/>
  <c r="W526" i="1"/>
  <c r="Y526" i="1"/>
  <c r="AD529" i="1" l="1"/>
  <c r="AV527" i="1"/>
  <c r="Q529" i="1"/>
  <c r="AL528" i="1"/>
  <c r="T528" i="1"/>
  <c r="W527" i="1"/>
  <c r="Y527" i="1"/>
  <c r="R528" i="1"/>
  <c r="AL529" i="1" l="1"/>
  <c r="Q530" i="1"/>
  <c r="T529" i="1"/>
  <c r="AD530" i="1"/>
  <c r="AV528" i="1"/>
  <c r="W528" i="1"/>
  <c r="R529" i="1"/>
  <c r="Y528" i="1"/>
  <c r="AV529" i="1" l="1"/>
  <c r="AD531" i="1"/>
  <c r="Q531" i="1"/>
  <c r="AL530" i="1"/>
  <c r="T530" i="1"/>
  <c r="W529" i="1"/>
  <c r="R530" i="1"/>
  <c r="Y529" i="1"/>
  <c r="AL531" i="1" l="1"/>
  <c r="Q532" i="1"/>
  <c r="T531" i="1"/>
  <c r="AV530" i="1"/>
  <c r="AD532" i="1"/>
  <c r="R531" i="1"/>
  <c r="Y530" i="1"/>
  <c r="W530" i="1"/>
  <c r="AV531" i="1" l="1"/>
  <c r="AD533" i="1"/>
  <c r="Q533" i="1"/>
  <c r="AL532" i="1"/>
  <c r="T532" i="1"/>
  <c r="Y531" i="1"/>
  <c r="R532" i="1"/>
  <c r="W531" i="1"/>
  <c r="AL533" i="1" l="1"/>
  <c r="Q534" i="1"/>
  <c r="T533" i="1"/>
  <c r="AV532" i="1"/>
  <c r="AD534" i="1"/>
  <c r="Y532" i="1"/>
  <c r="W532" i="1"/>
  <c r="R533" i="1"/>
  <c r="AV533" i="1" l="1"/>
  <c r="AD535" i="1"/>
  <c r="Q535" i="1"/>
  <c r="AL534" i="1"/>
  <c r="T534" i="1"/>
  <c r="Y533" i="1"/>
  <c r="W533" i="1"/>
  <c r="R534" i="1"/>
  <c r="AL535" i="1" l="1"/>
  <c r="Q536" i="1"/>
  <c r="T535" i="1"/>
  <c r="AV534" i="1"/>
  <c r="AD536" i="1"/>
  <c r="R535" i="1"/>
  <c r="Y534" i="1"/>
  <c r="W534" i="1"/>
  <c r="AD537" i="1" l="1"/>
  <c r="AV535" i="1"/>
  <c r="Q537" i="1"/>
  <c r="AL536" i="1"/>
  <c r="T536" i="1"/>
  <c r="R536" i="1"/>
  <c r="W535" i="1"/>
  <c r="Y535" i="1"/>
  <c r="AL537" i="1" l="1"/>
  <c r="Q538" i="1"/>
  <c r="T537" i="1"/>
  <c r="AD538" i="1"/>
  <c r="AV536" i="1"/>
  <c r="R537" i="1"/>
  <c r="W536" i="1"/>
  <c r="Y536" i="1"/>
  <c r="AV537" i="1" l="1"/>
  <c r="AD539" i="1"/>
  <c r="Q539" i="1"/>
  <c r="AL538" i="1"/>
  <c r="T538" i="1"/>
  <c r="W537" i="1"/>
  <c r="R538" i="1"/>
  <c r="Y537" i="1"/>
  <c r="AL539" i="1" l="1"/>
  <c r="Q540" i="1"/>
  <c r="T539" i="1"/>
  <c r="AV538" i="1"/>
  <c r="AD540" i="1"/>
  <c r="Y538" i="1"/>
  <c r="R539" i="1"/>
  <c r="W538" i="1"/>
  <c r="AD541" i="1" l="1"/>
  <c r="AV539" i="1"/>
  <c r="Q541" i="1"/>
  <c r="AL540" i="1"/>
  <c r="T540" i="1"/>
  <c r="Y539" i="1"/>
  <c r="R540" i="1"/>
  <c r="W539" i="1"/>
  <c r="AL541" i="1" l="1"/>
  <c r="Q542" i="1"/>
  <c r="T541" i="1"/>
  <c r="AD542" i="1"/>
  <c r="AV540" i="1"/>
  <c r="W540" i="1"/>
  <c r="R541" i="1"/>
  <c r="Y540" i="1"/>
  <c r="AV541" i="1" l="1"/>
  <c r="AD543" i="1"/>
  <c r="Q543" i="1"/>
  <c r="AL542" i="1"/>
  <c r="T542" i="1"/>
  <c r="Y541" i="1"/>
  <c r="W541" i="1"/>
  <c r="R542" i="1"/>
  <c r="AL543" i="1" l="1"/>
  <c r="Q544" i="1"/>
  <c r="T543" i="1"/>
  <c r="AV542" i="1"/>
  <c r="AD544" i="1"/>
  <c r="W542" i="1"/>
  <c r="Y542" i="1"/>
  <c r="R543" i="1"/>
  <c r="AD545" i="1" l="1"/>
  <c r="AV543" i="1"/>
  <c r="Q545" i="1"/>
  <c r="AL544" i="1"/>
  <c r="T544" i="1"/>
  <c r="R544" i="1"/>
  <c r="W543" i="1"/>
  <c r="Y543" i="1"/>
  <c r="AL545" i="1" l="1"/>
  <c r="Q546" i="1"/>
  <c r="T545" i="1"/>
  <c r="AD546" i="1"/>
  <c r="AV544" i="1"/>
  <c r="Y544" i="1"/>
  <c r="W544" i="1"/>
  <c r="R545" i="1"/>
  <c r="AD547" i="1" l="1"/>
  <c r="AV545" i="1"/>
  <c r="Q547" i="1"/>
  <c r="AL546" i="1"/>
  <c r="T546" i="1"/>
  <c r="Y545" i="1"/>
  <c r="R546" i="1"/>
  <c r="W545" i="1"/>
  <c r="AL547" i="1" l="1"/>
  <c r="Q548" i="1"/>
  <c r="T547" i="1"/>
  <c r="AD548" i="1"/>
  <c r="AV546" i="1"/>
  <c r="R547" i="1"/>
  <c r="Y546" i="1"/>
  <c r="W546" i="1"/>
  <c r="AV547" i="1" l="1"/>
  <c r="AD549" i="1"/>
  <c r="Q549" i="1"/>
  <c r="AL548" i="1"/>
  <c r="T548" i="1"/>
  <c r="R548" i="1"/>
  <c r="Y547" i="1"/>
  <c r="W547" i="1"/>
  <c r="AL549" i="1" l="1"/>
  <c r="Q550" i="1"/>
  <c r="T549" i="1"/>
  <c r="AD550" i="1"/>
  <c r="AV548" i="1"/>
  <c r="Y548" i="1"/>
  <c r="W548" i="1"/>
  <c r="R549" i="1"/>
  <c r="AV549" i="1" l="1"/>
  <c r="AD551" i="1"/>
  <c r="Q551" i="1"/>
  <c r="AL550" i="1"/>
  <c r="T550" i="1"/>
  <c r="W549" i="1"/>
  <c r="R550" i="1"/>
  <c r="Y549" i="1"/>
  <c r="AL551" i="1" l="1"/>
  <c r="Q552" i="1"/>
  <c r="T551" i="1"/>
  <c r="AV550" i="1"/>
  <c r="AD552" i="1"/>
  <c r="R551" i="1"/>
  <c r="Y550" i="1"/>
  <c r="W550" i="1"/>
  <c r="AV551" i="1" l="1"/>
  <c r="AD553" i="1"/>
  <c r="Q553" i="1"/>
  <c r="AL552" i="1"/>
  <c r="T552" i="1"/>
  <c r="Y551" i="1"/>
  <c r="W551" i="1"/>
  <c r="R552" i="1"/>
  <c r="AL553" i="1" l="1"/>
  <c r="Q554" i="1"/>
  <c r="T553" i="1"/>
  <c r="AD554" i="1"/>
  <c r="AV552" i="1"/>
  <c r="W552" i="1"/>
  <c r="Y552" i="1"/>
  <c r="R553" i="1"/>
  <c r="AD555" i="1" l="1"/>
  <c r="AV553" i="1"/>
  <c r="Q555" i="1"/>
  <c r="AL554" i="1"/>
  <c r="T554" i="1"/>
  <c r="Y553" i="1"/>
  <c r="R554" i="1"/>
  <c r="W553" i="1"/>
  <c r="AL555" i="1" l="1"/>
  <c r="Q556" i="1"/>
  <c r="T555" i="1"/>
  <c r="AD556" i="1"/>
  <c r="AV554" i="1"/>
  <c r="Y554" i="1"/>
  <c r="W554" i="1"/>
  <c r="R555" i="1"/>
  <c r="AD557" i="1" l="1"/>
  <c r="AV555" i="1"/>
  <c r="Q557" i="1"/>
  <c r="AL556" i="1"/>
  <c r="T556" i="1"/>
  <c r="Y555" i="1"/>
  <c r="R556" i="1"/>
  <c r="W555" i="1"/>
  <c r="AL557" i="1" l="1"/>
  <c r="Q558" i="1"/>
  <c r="T557" i="1"/>
  <c r="AD558" i="1"/>
  <c r="AV556" i="1"/>
  <c r="R557" i="1"/>
  <c r="W556" i="1"/>
  <c r="Y556" i="1"/>
  <c r="AD559" i="1" l="1"/>
  <c r="AV557" i="1"/>
  <c r="Q559" i="1"/>
  <c r="AL558" i="1"/>
  <c r="T558" i="1"/>
  <c r="R558" i="1"/>
  <c r="W557" i="1"/>
  <c r="Y557" i="1"/>
  <c r="AL559" i="1" l="1"/>
  <c r="Q560" i="1"/>
  <c r="T559" i="1"/>
  <c r="AV558" i="1"/>
  <c r="AD560" i="1"/>
  <c r="R559" i="1"/>
  <c r="Y558" i="1"/>
  <c r="W558" i="1"/>
  <c r="AD561" i="1" l="1"/>
  <c r="AV559" i="1"/>
  <c r="Q561" i="1"/>
  <c r="AL560" i="1"/>
  <c r="T560" i="1"/>
  <c r="Y559" i="1"/>
  <c r="R560" i="1"/>
  <c r="W559" i="1"/>
  <c r="AL561" i="1" l="1"/>
  <c r="Q562" i="1"/>
  <c r="T561" i="1"/>
  <c r="AV560" i="1"/>
  <c r="AD562" i="1"/>
  <c r="R561" i="1"/>
  <c r="Y560" i="1"/>
  <c r="W560" i="1"/>
  <c r="AD563" i="1" l="1"/>
  <c r="AV561" i="1"/>
  <c r="Q563" i="1"/>
  <c r="AL562" i="1"/>
  <c r="T562" i="1"/>
  <c r="W561" i="1"/>
  <c r="Y561" i="1"/>
  <c r="R562" i="1"/>
  <c r="AL563" i="1" l="1"/>
  <c r="Q564" i="1"/>
  <c r="T563" i="1"/>
  <c r="AD564" i="1"/>
  <c r="AV562" i="1"/>
  <c r="Y562" i="1"/>
  <c r="W562" i="1"/>
  <c r="R563" i="1"/>
  <c r="AV563" i="1" l="1"/>
  <c r="AD565" i="1"/>
  <c r="Q565" i="1"/>
  <c r="AL564" i="1"/>
  <c r="T564" i="1"/>
  <c r="W563" i="1"/>
  <c r="R564" i="1"/>
  <c r="Y563" i="1"/>
  <c r="AL565" i="1" l="1"/>
  <c r="Q566" i="1"/>
  <c r="T565" i="1"/>
  <c r="AV564" i="1"/>
  <c r="AD566" i="1"/>
  <c r="R565" i="1"/>
  <c r="Y564" i="1"/>
  <c r="W564" i="1"/>
  <c r="AV565" i="1" l="1"/>
  <c r="AD567" i="1"/>
  <c r="Q567" i="1"/>
  <c r="AL566" i="1"/>
  <c r="T566" i="1"/>
  <c r="W565" i="1"/>
  <c r="Y565" i="1"/>
  <c r="R566" i="1"/>
  <c r="AL567" i="1" l="1"/>
  <c r="Q568" i="1"/>
  <c r="T567" i="1"/>
  <c r="AV566" i="1"/>
  <c r="AD568" i="1"/>
  <c r="Y566" i="1"/>
  <c r="R567" i="1"/>
  <c r="W566" i="1"/>
  <c r="AD569" i="1" l="1"/>
  <c r="AV567" i="1"/>
  <c r="Q569" i="1"/>
  <c r="AL568" i="1"/>
  <c r="T568" i="1"/>
  <c r="R568" i="1"/>
  <c r="Y567" i="1"/>
  <c r="W567" i="1"/>
  <c r="AL569" i="1" l="1"/>
  <c r="Q570" i="1"/>
  <c r="T569" i="1"/>
  <c r="AV568" i="1"/>
  <c r="AD570" i="1"/>
  <c r="R569" i="1"/>
  <c r="W568" i="1"/>
  <c r="Y568" i="1"/>
  <c r="AD571" i="1" l="1"/>
  <c r="AV569" i="1"/>
  <c r="Q571" i="1"/>
  <c r="AL570" i="1"/>
  <c r="T570" i="1"/>
  <c r="Y569" i="1"/>
  <c r="R570" i="1"/>
  <c r="W569" i="1"/>
  <c r="AL571" i="1" l="1"/>
  <c r="Q572" i="1"/>
  <c r="T571" i="1"/>
  <c r="AV570" i="1"/>
  <c r="AD572" i="1"/>
  <c r="W570" i="1"/>
  <c r="R571" i="1"/>
  <c r="Y570" i="1"/>
  <c r="AD573" i="1" l="1"/>
  <c r="AV571" i="1"/>
  <c r="Q573" i="1"/>
  <c r="AL572" i="1"/>
  <c r="T572" i="1"/>
  <c r="W571" i="1"/>
  <c r="Y571" i="1"/>
  <c r="R572" i="1"/>
  <c r="AL573" i="1" l="1"/>
  <c r="Q574" i="1"/>
  <c r="T573" i="1"/>
  <c r="AD574" i="1"/>
  <c r="AV572" i="1"/>
  <c r="W572" i="1"/>
  <c r="R573" i="1"/>
  <c r="Y572" i="1"/>
  <c r="AV573" i="1" l="1"/>
  <c r="AD575" i="1"/>
  <c r="Q575" i="1"/>
  <c r="AL574" i="1"/>
  <c r="T574" i="1"/>
  <c r="W573" i="1"/>
  <c r="Y573" i="1"/>
  <c r="R574" i="1"/>
  <c r="AL575" i="1" l="1"/>
  <c r="Q576" i="1"/>
  <c r="T575" i="1"/>
  <c r="AV574" i="1"/>
  <c r="AD576" i="1"/>
  <c r="Y574" i="1"/>
  <c r="R575" i="1"/>
  <c r="W574" i="1"/>
  <c r="AV575" i="1" l="1"/>
  <c r="AD577" i="1"/>
  <c r="Q577" i="1"/>
  <c r="AL576" i="1"/>
  <c r="T576" i="1"/>
  <c r="R576" i="1"/>
  <c r="W575" i="1"/>
  <c r="Y575" i="1"/>
  <c r="AL577" i="1" l="1"/>
  <c r="Q578" i="1"/>
  <c r="T577" i="1"/>
  <c r="AD578" i="1"/>
  <c r="AV576" i="1"/>
  <c r="Y576" i="1"/>
  <c r="W576" i="1"/>
  <c r="R577" i="1"/>
  <c r="AV577" i="1" l="1"/>
  <c r="AD579" i="1"/>
  <c r="Q579" i="1"/>
  <c r="AL578" i="1"/>
  <c r="T578" i="1"/>
  <c r="R578" i="1"/>
  <c r="W577" i="1"/>
  <c r="Y577" i="1"/>
  <c r="AL579" i="1" l="1"/>
  <c r="Q580" i="1"/>
  <c r="T579" i="1"/>
  <c r="AD580" i="1"/>
  <c r="AV578" i="1"/>
  <c r="Y578" i="1"/>
  <c r="R579" i="1"/>
  <c r="W578" i="1"/>
  <c r="AD581" i="1" l="1"/>
  <c r="AV579" i="1"/>
  <c r="Q581" i="1"/>
  <c r="AL580" i="1"/>
  <c r="T580" i="1"/>
  <c r="Y579" i="1"/>
  <c r="W579" i="1"/>
  <c r="R580" i="1"/>
  <c r="AL581" i="1" l="1"/>
  <c r="Q582" i="1"/>
  <c r="T581" i="1"/>
  <c r="AD582" i="1"/>
  <c r="AV580" i="1"/>
  <c r="Y580" i="1"/>
  <c r="W580" i="1"/>
  <c r="R581" i="1"/>
  <c r="AD583" i="1" l="1"/>
  <c r="AV581" i="1"/>
  <c r="Q583" i="1"/>
  <c r="AL582" i="1"/>
  <c r="T582" i="1"/>
  <c r="W581" i="1"/>
  <c r="Y581" i="1"/>
  <c r="R582" i="1"/>
  <c r="AL583" i="1" l="1"/>
  <c r="Q584" i="1"/>
  <c r="T583" i="1"/>
  <c r="AV582" i="1"/>
  <c r="AD584" i="1"/>
  <c r="W582" i="1"/>
  <c r="Y582" i="1"/>
  <c r="R583" i="1"/>
  <c r="AV583" i="1" l="1"/>
  <c r="AD585" i="1"/>
  <c r="Q585" i="1"/>
  <c r="AL584" i="1"/>
  <c r="T584" i="1"/>
  <c r="Y583" i="1"/>
  <c r="W583" i="1"/>
  <c r="R584" i="1"/>
  <c r="AL585" i="1" l="1"/>
  <c r="Q586" i="1"/>
  <c r="T585" i="1"/>
  <c r="AV584" i="1"/>
  <c r="AD586" i="1"/>
  <c r="R585" i="1"/>
  <c r="Y584" i="1"/>
  <c r="W584" i="1"/>
  <c r="AV585" i="1" l="1"/>
  <c r="AD587" i="1"/>
  <c r="Q587" i="1"/>
  <c r="AL586" i="1"/>
  <c r="T586" i="1"/>
  <c r="W585" i="1"/>
  <c r="R586" i="1"/>
  <c r="Y585" i="1"/>
  <c r="AL587" i="1" l="1"/>
  <c r="Q588" i="1"/>
  <c r="T587" i="1"/>
  <c r="AV586" i="1"/>
  <c r="AD588" i="1"/>
  <c r="W586" i="1"/>
  <c r="R587" i="1"/>
  <c r="Y586" i="1"/>
  <c r="AV587" i="1" l="1"/>
  <c r="AD589" i="1"/>
  <c r="Q589" i="1"/>
  <c r="AL588" i="1"/>
  <c r="T588" i="1"/>
  <c r="R588" i="1"/>
  <c r="Y587" i="1"/>
  <c r="W587" i="1"/>
  <c r="AL589" i="1" l="1"/>
  <c r="Q590" i="1"/>
  <c r="T589" i="1"/>
  <c r="AV588" i="1"/>
  <c r="AD590" i="1"/>
  <c r="Y588" i="1"/>
  <c r="R589" i="1"/>
  <c r="W588" i="1"/>
  <c r="AV589" i="1" l="1"/>
  <c r="AD591" i="1"/>
  <c r="Q591" i="1"/>
  <c r="AL590" i="1"/>
  <c r="T590" i="1"/>
  <c r="R590" i="1"/>
  <c r="Y589" i="1"/>
  <c r="W589" i="1"/>
  <c r="AL591" i="1" l="1"/>
  <c r="Q592" i="1"/>
  <c r="T591" i="1"/>
  <c r="AD592" i="1"/>
  <c r="AV590" i="1"/>
  <c r="R591" i="1"/>
  <c r="Y590" i="1"/>
  <c r="W590" i="1"/>
  <c r="AD593" i="1" l="1"/>
  <c r="AV591" i="1"/>
  <c r="Q593" i="1"/>
  <c r="AL592" i="1"/>
  <c r="T592" i="1"/>
  <c r="W591" i="1"/>
  <c r="Y591" i="1"/>
  <c r="R592" i="1"/>
  <c r="AL593" i="1" l="1"/>
  <c r="Q594" i="1"/>
  <c r="T593" i="1"/>
  <c r="AV592" i="1"/>
  <c r="AD594" i="1"/>
  <c r="W592" i="1"/>
  <c r="R593" i="1"/>
  <c r="Y592" i="1"/>
  <c r="AV593" i="1" l="1"/>
  <c r="AD595" i="1"/>
  <c r="Q595" i="1"/>
  <c r="AL594" i="1"/>
  <c r="T594" i="1"/>
  <c r="R594" i="1"/>
  <c r="Y593" i="1"/>
  <c r="W593" i="1"/>
  <c r="AL595" i="1" l="1"/>
  <c r="Q596" i="1"/>
  <c r="T595" i="1"/>
  <c r="AD596" i="1"/>
  <c r="AV594" i="1"/>
  <c r="R595" i="1"/>
  <c r="Y594" i="1"/>
  <c r="W594" i="1"/>
  <c r="AV595" i="1" l="1"/>
  <c r="AD597" i="1"/>
  <c r="Q597" i="1"/>
  <c r="AL596" i="1"/>
  <c r="T596" i="1"/>
  <c r="R596" i="1"/>
  <c r="Y595" i="1"/>
  <c r="W595" i="1"/>
  <c r="AL597" i="1" l="1"/>
  <c r="Q598" i="1"/>
  <c r="T597" i="1"/>
  <c r="AD598" i="1"/>
  <c r="AV596" i="1"/>
  <c r="R597" i="1"/>
  <c r="Y596" i="1"/>
  <c r="W596" i="1"/>
  <c r="AV597" i="1" l="1"/>
  <c r="AD599" i="1"/>
  <c r="Q599" i="1"/>
  <c r="AL598" i="1"/>
  <c r="T598" i="1"/>
  <c r="Y597" i="1"/>
  <c r="W597" i="1"/>
  <c r="R598" i="1"/>
  <c r="AL599" i="1" l="1"/>
  <c r="Q600" i="1"/>
  <c r="T599" i="1"/>
  <c r="AD600" i="1"/>
  <c r="AV598" i="1"/>
  <c r="Y598" i="1"/>
  <c r="R599" i="1"/>
  <c r="W598" i="1"/>
  <c r="AD601" i="1" l="1"/>
  <c r="AV599" i="1"/>
  <c r="Q601" i="1"/>
  <c r="AL600" i="1"/>
  <c r="T600" i="1"/>
  <c r="W599" i="1"/>
  <c r="R600" i="1"/>
  <c r="Y599" i="1"/>
  <c r="AL601" i="1" l="1"/>
  <c r="Q602" i="1"/>
  <c r="T601" i="1"/>
  <c r="AD602" i="1"/>
  <c r="AV600" i="1"/>
  <c r="W600" i="1"/>
  <c r="Y600" i="1"/>
  <c r="R601" i="1"/>
  <c r="AD603" i="1" l="1"/>
  <c r="AV601" i="1"/>
  <c r="Q603" i="1"/>
  <c r="AL602" i="1"/>
  <c r="T602" i="1"/>
  <c r="Y601" i="1"/>
  <c r="R602" i="1"/>
  <c r="W601" i="1"/>
  <c r="AL603" i="1" l="1"/>
  <c r="Q604" i="1"/>
  <c r="T603" i="1"/>
  <c r="AD604" i="1"/>
  <c r="AV602" i="1"/>
  <c r="R603" i="1"/>
  <c r="Y602" i="1"/>
  <c r="W602" i="1"/>
  <c r="AV603" i="1" l="1"/>
  <c r="AD605" i="1"/>
  <c r="Q605" i="1"/>
  <c r="AL604" i="1"/>
  <c r="T604" i="1"/>
  <c r="Y603" i="1"/>
  <c r="R604" i="1"/>
  <c r="W603" i="1"/>
  <c r="AL605" i="1" l="1"/>
  <c r="Q606" i="1"/>
  <c r="T605" i="1"/>
  <c r="AV604" i="1"/>
  <c r="AD606" i="1"/>
  <c r="R605" i="1"/>
  <c r="W604" i="1"/>
  <c r="Y604" i="1"/>
  <c r="AD607" i="1" l="1"/>
  <c r="AV605" i="1"/>
  <c r="Q607" i="1"/>
  <c r="AL606" i="1"/>
  <c r="T606" i="1"/>
  <c r="R606" i="1"/>
  <c r="Y605" i="1"/>
  <c r="W605" i="1"/>
  <c r="AL607" i="1" l="1"/>
  <c r="Q608" i="1"/>
  <c r="T607" i="1"/>
  <c r="AV606" i="1"/>
  <c r="AD608" i="1"/>
  <c r="W606" i="1"/>
  <c r="R607" i="1"/>
  <c r="Y606" i="1"/>
  <c r="AV607" i="1" l="1"/>
  <c r="AD609" i="1"/>
  <c r="Q609" i="1"/>
  <c r="AL608" i="1"/>
  <c r="T608" i="1"/>
  <c r="R608" i="1"/>
  <c r="W607" i="1"/>
  <c r="Y607" i="1"/>
  <c r="AL609" i="1" l="1"/>
  <c r="Q610" i="1"/>
  <c r="T609" i="1"/>
  <c r="AV608" i="1"/>
  <c r="AD610" i="1"/>
  <c r="R609" i="1"/>
  <c r="Y608" i="1"/>
  <c r="W608" i="1"/>
  <c r="AV609" i="1" l="1"/>
  <c r="AD611" i="1"/>
  <c r="Q611" i="1"/>
  <c r="AL610" i="1"/>
  <c r="T610" i="1"/>
  <c r="W609" i="1"/>
  <c r="Y609" i="1"/>
  <c r="R610" i="1"/>
  <c r="AL611" i="1" l="1"/>
  <c r="Q612" i="1"/>
  <c r="T611" i="1"/>
  <c r="AV610" i="1"/>
  <c r="AD612" i="1"/>
  <c r="Y610" i="1"/>
  <c r="W610" i="1"/>
  <c r="R611" i="1"/>
  <c r="AV611" i="1" l="1"/>
  <c r="AD613" i="1"/>
  <c r="Q613" i="1"/>
  <c r="AL612" i="1"/>
  <c r="T612" i="1"/>
  <c r="W611" i="1"/>
  <c r="R612" i="1"/>
  <c r="Y611" i="1"/>
  <c r="AL613" i="1" l="1"/>
  <c r="Q614" i="1"/>
  <c r="T613" i="1"/>
  <c r="AD614" i="1"/>
  <c r="AV612" i="1"/>
  <c r="W612" i="1"/>
  <c r="R613" i="1"/>
  <c r="Y612" i="1"/>
  <c r="AV613" i="1" l="1"/>
  <c r="AD615" i="1"/>
  <c r="Q615" i="1"/>
  <c r="AL614" i="1"/>
  <c r="T614" i="1"/>
  <c r="Y613" i="1"/>
  <c r="W613" i="1"/>
  <c r="R614" i="1"/>
  <c r="AL615" i="1" l="1"/>
  <c r="Q616" i="1"/>
  <c r="T615" i="1"/>
  <c r="AD616" i="1"/>
  <c r="AV614" i="1"/>
  <c r="R615" i="1"/>
  <c r="W614" i="1"/>
  <c r="Y614" i="1"/>
  <c r="AD617" i="1" l="1"/>
  <c r="AV615" i="1"/>
  <c r="Q617" i="1"/>
  <c r="AL616" i="1"/>
  <c r="T616" i="1"/>
  <c r="Y615" i="1"/>
  <c r="R616" i="1"/>
  <c r="W615" i="1"/>
  <c r="AL617" i="1" l="1"/>
  <c r="Q618" i="1"/>
  <c r="T617" i="1"/>
  <c r="AD618" i="1"/>
  <c r="AV616" i="1"/>
  <c r="W616" i="1"/>
  <c r="R617" i="1"/>
  <c r="Y616" i="1"/>
  <c r="AV617" i="1" l="1"/>
  <c r="AD619" i="1"/>
  <c r="Q619" i="1"/>
  <c r="AL618" i="1"/>
  <c r="T618" i="1"/>
  <c r="R618" i="1"/>
  <c r="W617" i="1"/>
  <c r="Y617" i="1"/>
  <c r="AL619" i="1" l="1"/>
  <c r="Q620" i="1"/>
  <c r="T619" i="1"/>
  <c r="AV618" i="1"/>
  <c r="AD620" i="1"/>
  <c r="Y618" i="1"/>
  <c r="W618" i="1"/>
  <c r="R619" i="1"/>
  <c r="AV619" i="1" l="1"/>
  <c r="AD621" i="1"/>
  <c r="Q621" i="1"/>
  <c r="AL620" i="1"/>
  <c r="T620" i="1"/>
  <c r="R620" i="1"/>
  <c r="W619" i="1"/>
  <c r="Y619" i="1"/>
  <c r="AL621" i="1" l="1"/>
  <c r="Q622" i="1"/>
  <c r="T621" i="1"/>
  <c r="AV620" i="1"/>
  <c r="AD622" i="1"/>
  <c r="W620" i="1"/>
  <c r="Y620" i="1"/>
  <c r="R621" i="1"/>
  <c r="AV621" i="1" l="1"/>
  <c r="AD623" i="1"/>
  <c r="Q623" i="1"/>
  <c r="AL622" i="1"/>
  <c r="T622" i="1"/>
  <c r="R622" i="1"/>
  <c r="Y621" i="1"/>
  <c r="W621" i="1"/>
  <c r="AL623" i="1" l="1"/>
  <c r="Q624" i="1"/>
  <c r="T623" i="1"/>
  <c r="AV622" i="1"/>
  <c r="AD624" i="1"/>
  <c r="Y622" i="1"/>
  <c r="R623" i="1"/>
  <c r="W622" i="1"/>
  <c r="AV623" i="1" l="1"/>
  <c r="AD625" i="1"/>
  <c r="Q625" i="1"/>
  <c r="AL624" i="1"/>
  <c r="T624" i="1"/>
  <c r="W623" i="1"/>
  <c r="Y623" i="1"/>
  <c r="R624" i="1"/>
  <c r="AL625" i="1" l="1"/>
  <c r="Q626" i="1"/>
  <c r="T625" i="1"/>
  <c r="AV624" i="1"/>
  <c r="AD626" i="1"/>
  <c r="Y624" i="1"/>
  <c r="W624" i="1"/>
  <c r="R625" i="1"/>
  <c r="AD627" i="1" l="1"/>
  <c r="AV625" i="1"/>
  <c r="Q627" i="1"/>
  <c r="AL626" i="1"/>
  <c r="T626" i="1"/>
  <c r="Y625" i="1"/>
  <c r="W625" i="1"/>
  <c r="R626" i="1"/>
  <c r="AL627" i="1" l="1"/>
  <c r="Q628" i="1"/>
  <c r="T627" i="1"/>
  <c r="AD628" i="1"/>
  <c r="AV626" i="1"/>
  <c r="Y626" i="1"/>
  <c r="W626" i="1"/>
  <c r="R627" i="1"/>
  <c r="AV627" i="1" l="1"/>
  <c r="AD629" i="1"/>
  <c r="Q629" i="1"/>
  <c r="AL628" i="1"/>
  <c r="T628" i="1"/>
  <c r="W627" i="1"/>
  <c r="Y627" i="1"/>
  <c r="R628" i="1"/>
  <c r="AL629" i="1" l="1"/>
  <c r="Q630" i="1"/>
  <c r="T629" i="1"/>
  <c r="AD630" i="1"/>
  <c r="AV628" i="1"/>
  <c r="Y628" i="1"/>
  <c r="W628" i="1"/>
  <c r="R629" i="1"/>
  <c r="AD631" i="1" l="1"/>
  <c r="AV629" i="1"/>
  <c r="Q631" i="1"/>
  <c r="AL630" i="1"/>
  <c r="T630" i="1"/>
  <c r="W629" i="1"/>
  <c r="Y629" i="1"/>
  <c r="R630" i="1"/>
  <c r="AL631" i="1" l="1"/>
  <c r="Q632" i="1"/>
  <c r="T631" i="1"/>
  <c r="AV630" i="1"/>
  <c r="AD632" i="1"/>
  <c r="R631" i="1"/>
  <c r="W630" i="1"/>
  <c r="Y630" i="1"/>
  <c r="AD633" i="1" l="1"/>
  <c r="AV631" i="1"/>
  <c r="Q633" i="1"/>
  <c r="AL632" i="1"/>
  <c r="T632" i="1"/>
  <c r="R632" i="1"/>
  <c r="W631" i="1"/>
  <c r="Y631" i="1"/>
  <c r="AL633" i="1" l="1"/>
  <c r="Q634" i="1"/>
  <c r="T633" i="1"/>
  <c r="AD634" i="1"/>
  <c r="AV632" i="1"/>
  <c r="W632" i="1"/>
  <c r="R633" i="1"/>
  <c r="Y632" i="1"/>
  <c r="AV633" i="1" l="1"/>
  <c r="AD635" i="1"/>
  <c r="Q635" i="1"/>
  <c r="AL634" i="1"/>
  <c r="T634" i="1"/>
  <c r="R634" i="1"/>
  <c r="W633" i="1"/>
  <c r="Y633" i="1"/>
  <c r="AL635" i="1" l="1"/>
  <c r="Q636" i="1"/>
  <c r="T635" i="1"/>
  <c r="AV634" i="1"/>
  <c r="AD636" i="1"/>
  <c r="W634" i="1"/>
  <c r="R635" i="1"/>
  <c r="Y634" i="1"/>
  <c r="AV635" i="1" l="1"/>
  <c r="AD637" i="1"/>
  <c r="Q637" i="1"/>
  <c r="AL636" i="1"/>
  <c r="T636" i="1"/>
  <c r="W635" i="1"/>
  <c r="Y635" i="1"/>
  <c r="R636" i="1"/>
  <c r="AV636" i="1" l="1"/>
  <c r="AD638" i="1"/>
  <c r="AL637" i="1"/>
  <c r="Q638" i="1"/>
  <c r="T637" i="1"/>
  <c r="Y636" i="1"/>
  <c r="R637" i="1"/>
  <c r="W636" i="1"/>
  <c r="Q639" i="1" l="1"/>
  <c r="AL638" i="1"/>
  <c r="T638" i="1"/>
  <c r="AV637" i="1"/>
  <c r="AD639" i="1"/>
  <c r="R638" i="1"/>
  <c r="W637" i="1"/>
  <c r="Y637" i="1"/>
  <c r="AL639" i="1" l="1"/>
  <c r="Q640" i="1"/>
  <c r="T639" i="1"/>
  <c r="AD640" i="1"/>
  <c r="AV638" i="1"/>
  <c r="R639" i="1"/>
  <c r="Y638" i="1"/>
  <c r="W638" i="1"/>
  <c r="AV639" i="1" l="1"/>
  <c r="AD641" i="1"/>
  <c r="Q641" i="1"/>
  <c r="AL640" i="1"/>
  <c r="T640" i="1"/>
  <c r="Y639" i="1"/>
  <c r="W639" i="1"/>
  <c r="R640" i="1"/>
  <c r="AL641" i="1" l="1"/>
  <c r="Q642" i="1"/>
  <c r="T641" i="1"/>
  <c r="AD642" i="1"/>
  <c r="AV640" i="1"/>
  <c r="Y640" i="1"/>
  <c r="R641" i="1"/>
  <c r="W640" i="1"/>
  <c r="AV641" i="1" l="1"/>
  <c r="AD643" i="1"/>
  <c r="Q643" i="1"/>
  <c r="AL642" i="1"/>
  <c r="T642" i="1"/>
  <c r="R642" i="1"/>
  <c r="Y641" i="1"/>
  <c r="W641" i="1"/>
  <c r="AL643" i="1" l="1"/>
  <c r="Q644" i="1"/>
  <c r="T643" i="1"/>
  <c r="AD644" i="1"/>
  <c r="AV642" i="1"/>
  <c r="W642" i="1"/>
  <c r="Y642" i="1"/>
  <c r="R643" i="1"/>
  <c r="AV643" i="1" l="1"/>
  <c r="AD645" i="1"/>
  <c r="Q645" i="1"/>
  <c r="AL644" i="1"/>
  <c r="T644" i="1"/>
  <c r="R644" i="1"/>
  <c r="W643" i="1"/>
  <c r="Y643" i="1"/>
  <c r="AL645" i="1" l="1"/>
  <c r="Q646" i="1"/>
  <c r="T645" i="1"/>
  <c r="AV644" i="1"/>
  <c r="AD646" i="1"/>
  <c r="W644" i="1"/>
  <c r="Y644" i="1"/>
  <c r="R645" i="1"/>
  <c r="AV645" i="1" l="1"/>
  <c r="AD647" i="1"/>
  <c r="Q647" i="1"/>
  <c r="AL646" i="1"/>
  <c r="T646" i="1"/>
  <c r="Y645" i="1"/>
  <c r="R646" i="1"/>
  <c r="W645" i="1"/>
  <c r="AL647" i="1" l="1"/>
  <c r="Q648" i="1"/>
  <c r="T647" i="1"/>
  <c r="AD648" i="1"/>
  <c r="AV646" i="1"/>
  <c r="R647" i="1"/>
  <c r="Y646" i="1"/>
  <c r="W646" i="1"/>
  <c r="AV647" i="1" l="1"/>
  <c r="AD649" i="1"/>
  <c r="Q649" i="1"/>
  <c r="AL648" i="1"/>
  <c r="T648" i="1"/>
  <c r="R648" i="1"/>
  <c r="Y647" i="1"/>
  <c r="W647" i="1"/>
  <c r="AL649" i="1" l="1"/>
  <c r="Q650" i="1"/>
  <c r="T649" i="1"/>
  <c r="AD650" i="1"/>
  <c r="AV648" i="1"/>
  <c r="W648" i="1"/>
  <c r="R649" i="1"/>
  <c r="Y648" i="1"/>
  <c r="AV649" i="1" l="1"/>
  <c r="AD651" i="1"/>
  <c r="Q651" i="1"/>
  <c r="AL650" i="1"/>
  <c r="T650" i="1"/>
  <c r="R650" i="1"/>
  <c r="Y649" i="1"/>
  <c r="W649" i="1"/>
  <c r="AL651" i="1" l="1"/>
  <c r="Q652" i="1"/>
  <c r="T651" i="1"/>
  <c r="AV650" i="1"/>
  <c r="AD652" i="1"/>
  <c r="Y650" i="1"/>
  <c r="R651" i="1"/>
  <c r="W650" i="1"/>
  <c r="AV651" i="1" l="1"/>
  <c r="AD653" i="1"/>
  <c r="Q653" i="1"/>
  <c r="AL652" i="1"/>
  <c r="T652" i="1"/>
  <c r="W651" i="1"/>
  <c r="Y651" i="1"/>
  <c r="R652" i="1"/>
  <c r="AL653" i="1" l="1"/>
  <c r="Q654" i="1"/>
  <c r="T653" i="1"/>
  <c r="AD654" i="1"/>
  <c r="AV652" i="1"/>
  <c r="W652" i="1"/>
  <c r="R653" i="1"/>
  <c r="Y652" i="1"/>
  <c r="AD655" i="1" l="1"/>
  <c r="AV653" i="1"/>
  <c r="Q655" i="1"/>
  <c r="AL654" i="1"/>
  <c r="T654" i="1"/>
  <c r="Y653" i="1"/>
  <c r="W653" i="1"/>
  <c r="R654" i="1"/>
  <c r="AL655" i="1" l="1"/>
  <c r="Q656" i="1"/>
  <c r="T655" i="1"/>
  <c r="AV654" i="1"/>
  <c r="AD656" i="1"/>
  <c r="Y654" i="1"/>
  <c r="R655" i="1"/>
  <c r="W654" i="1"/>
  <c r="AD657" i="1" l="1"/>
  <c r="AV655" i="1"/>
  <c r="Q657" i="1"/>
  <c r="AL656" i="1"/>
  <c r="T656" i="1"/>
  <c r="R656" i="1"/>
  <c r="W655" i="1"/>
  <c r="Y655" i="1"/>
  <c r="AL657" i="1" l="1"/>
  <c r="Q658" i="1"/>
  <c r="T657" i="1"/>
  <c r="AD658" i="1"/>
  <c r="AV656" i="1"/>
  <c r="R657" i="1"/>
  <c r="Y656" i="1"/>
  <c r="W656" i="1"/>
  <c r="AD659" i="1" l="1"/>
  <c r="AV657" i="1"/>
  <c r="Q659" i="1"/>
  <c r="AL658" i="1"/>
  <c r="T658" i="1"/>
  <c r="Y657" i="1"/>
  <c r="W657" i="1"/>
  <c r="R658" i="1"/>
  <c r="AL659" i="1" l="1"/>
  <c r="Q660" i="1"/>
  <c r="T659" i="1"/>
  <c r="AD660" i="1"/>
  <c r="AV658" i="1"/>
  <c r="W658" i="1"/>
  <c r="R659" i="1"/>
  <c r="Y658" i="1"/>
  <c r="AV659" i="1" l="1"/>
  <c r="AD661" i="1"/>
  <c r="Q661" i="1"/>
  <c r="AL660" i="1"/>
  <c r="T660" i="1"/>
  <c r="Y659" i="1"/>
  <c r="R660" i="1"/>
  <c r="W659" i="1"/>
  <c r="AL661" i="1" l="1"/>
  <c r="Q662" i="1"/>
  <c r="T661" i="1"/>
  <c r="AV660" i="1"/>
  <c r="AD662" i="1"/>
  <c r="W660" i="1"/>
  <c r="R661" i="1"/>
  <c r="Y660" i="1"/>
  <c r="AD663" i="1" l="1"/>
  <c r="AV661" i="1"/>
  <c r="Q663" i="1"/>
  <c r="AL662" i="1"/>
  <c r="T662" i="1"/>
  <c r="W661" i="1"/>
  <c r="Y661" i="1"/>
  <c r="R662" i="1"/>
  <c r="AL663" i="1" l="1"/>
  <c r="Q664" i="1"/>
  <c r="T663" i="1"/>
  <c r="AD664" i="1"/>
  <c r="AV662" i="1"/>
  <c r="Y662" i="1"/>
  <c r="R663" i="1"/>
  <c r="W662" i="1"/>
  <c r="AD665" i="1" l="1"/>
  <c r="AV663" i="1"/>
  <c r="Q665" i="1"/>
  <c r="AL664" i="1"/>
  <c r="T664" i="1"/>
  <c r="R664" i="1"/>
  <c r="W663" i="1"/>
  <c r="Y663" i="1"/>
  <c r="AL665" i="1" l="1"/>
  <c r="Q666" i="1"/>
  <c r="T665" i="1"/>
  <c r="AD666" i="1"/>
  <c r="AV664" i="1"/>
  <c r="Y664" i="1"/>
  <c r="R665" i="1"/>
  <c r="W664" i="1"/>
  <c r="AV665" i="1" l="1"/>
  <c r="AD667" i="1"/>
  <c r="Q667" i="1"/>
  <c r="AL666" i="1"/>
  <c r="T666" i="1"/>
  <c r="R666" i="1"/>
  <c r="Y665" i="1"/>
  <c r="W665" i="1"/>
  <c r="AL667" i="1" l="1"/>
  <c r="Q668" i="1"/>
  <c r="T667" i="1"/>
  <c r="AV666" i="1"/>
  <c r="AD668" i="1"/>
  <c r="R667" i="1"/>
  <c r="W666" i="1"/>
  <c r="Y666" i="1"/>
  <c r="AV667" i="1" l="1"/>
  <c r="AD669" i="1"/>
  <c r="Q669" i="1"/>
  <c r="AL668" i="1"/>
  <c r="T668" i="1"/>
  <c r="W667" i="1"/>
  <c r="Y667" i="1"/>
  <c r="R668" i="1"/>
  <c r="AL669" i="1" l="1"/>
  <c r="Q670" i="1"/>
  <c r="T669" i="1"/>
  <c r="AV668" i="1"/>
  <c r="AD670" i="1"/>
  <c r="R669" i="1"/>
  <c r="Y668" i="1"/>
  <c r="W668" i="1"/>
  <c r="AD671" i="1" l="1"/>
  <c r="AV669" i="1"/>
  <c r="Q671" i="1"/>
  <c r="AL670" i="1"/>
  <c r="T670" i="1"/>
  <c r="R670" i="1"/>
  <c r="W669" i="1"/>
  <c r="Y669" i="1"/>
  <c r="AL671" i="1" l="1"/>
  <c r="Q672" i="1"/>
  <c r="T671" i="1"/>
  <c r="AD672" i="1"/>
  <c r="AV670" i="1"/>
  <c r="W670" i="1"/>
  <c r="R671" i="1"/>
  <c r="Y670" i="1"/>
  <c r="AD673" i="1" l="1"/>
  <c r="AV671" i="1"/>
  <c r="Q673" i="1"/>
  <c r="AL672" i="1"/>
  <c r="T672" i="1"/>
  <c r="W671" i="1"/>
  <c r="Y671" i="1"/>
  <c r="R672" i="1"/>
  <c r="AL673" i="1" l="1"/>
  <c r="Q674" i="1"/>
  <c r="T673" i="1"/>
  <c r="AD674" i="1"/>
  <c r="AV672" i="1"/>
  <c r="Y672" i="1"/>
  <c r="R673" i="1"/>
  <c r="W672" i="1"/>
  <c r="AD675" i="1" l="1"/>
  <c r="AV673" i="1"/>
  <c r="Q675" i="1"/>
  <c r="AL674" i="1"/>
  <c r="T674" i="1"/>
  <c r="Y673" i="1"/>
  <c r="R674" i="1"/>
  <c r="W673" i="1"/>
  <c r="AL675" i="1" l="1"/>
  <c r="Q676" i="1"/>
  <c r="T675" i="1"/>
  <c r="AD676" i="1"/>
  <c r="AV674" i="1"/>
  <c r="Y674" i="1"/>
  <c r="W674" i="1"/>
  <c r="R675" i="1"/>
  <c r="AD677" i="1" l="1"/>
  <c r="AV675" i="1"/>
  <c r="Q677" i="1"/>
  <c r="AL676" i="1"/>
  <c r="T676" i="1"/>
  <c r="W675" i="1"/>
  <c r="R676" i="1"/>
  <c r="Y675" i="1"/>
  <c r="AL677" i="1" l="1"/>
  <c r="Q678" i="1"/>
  <c r="T677" i="1"/>
  <c r="AD678" i="1"/>
  <c r="AV676" i="1"/>
  <c r="W676" i="1"/>
  <c r="Y676" i="1"/>
  <c r="R677" i="1"/>
  <c r="AD679" i="1" l="1"/>
  <c r="AV677" i="1"/>
  <c r="Q679" i="1"/>
  <c r="AL678" i="1"/>
  <c r="T678" i="1"/>
  <c r="W677" i="1"/>
  <c r="R678" i="1"/>
  <c r="Y677" i="1"/>
  <c r="AL679" i="1" l="1"/>
  <c r="Q680" i="1"/>
  <c r="T679" i="1"/>
  <c r="AV678" i="1"/>
  <c r="AD680" i="1"/>
  <c r="Y678" i="1"/>
  <c r="R679" i="1"/>
  <c r="W678" i="1"/>
  <c r="AD681" i="1" l="1"/>
  <c r="AV679" i="1"/>
  <c r="Q681" i="1"/>
  <c r="AL680" i="1"/>
  <c r="T680" i="1"/>
  <c r="R680" i="1"/>
  <c r="W679" i="1"/>
  <c r="Y679" i="1"/>
  <c r="AL681" i="1" l="1"/>
  <c r="Q682" i="1"/>
  <c r="T681" i="1"/>
  <c r="AD682" i="1"/>
  <c r="AV680" i="1"/>
  <c r="Y680" i="1"/>
  <c r="R681" i="1"/>
  <c r="W680" i="1"/>
  <c r="AV681" i="1" l="1"/>
  <c r="AD683" i="1"/>
  <c r="Q683" i="1"/>
  <c r="AL682" i="1"/>
  <c r="T682" i="1"/>
  <c r="R682" i="1"/>
  <c r="Y681" i="1"/>
  <c r="W681" i="1"/>
  <c r="AL683" i="1" l="1"/>
  <c r="Q684" i="1"/>
  <c r="T683" i="1"/>
  <c r="AD684" i="1"/>
  <c r="AV682" i="1"/>
  <c r="R683" i="1"/>
  <c r="W682" i="1"/>
  <c r="Y682" i="1"/>
  <c r="AD685" i="1" l="1"/>
  <c r="AV683" i="1"/>
  <c r="Q685" i="1"/>
  <c r="AL684" i="1"/>
  <c r="T684" i="1"/>
  <c r="Y683" i="1"/>
  <c r="R684" i="1"/>
  <c r="W683" i="1"/>
  <c r="AL685" i="1" l="1"/>
  <c r="Q686" i="1"/>
  <c r="T685" i="1"/>
  <c r="AV684" i="1"/>
  <c r="AD686" i="1"/>
  <c r="Y684" i="1"/>
  <c r="R685" i="1"/>
  <c r="W684" i="1"/>
  <c r="AV685" i="1" l="1"/>
  <c r="AD687" i="1"/>
  <c r="Q687" i="1"/>
  <c r="AL686" i="1"/>
  <c r="T686" i="1"/>
  <c r="W685" i="1"/>
  <c r="Y685" i="1"/>
  <c r="R686" i="1"/>
  <c r="AL687" i="1" l="1"/>
  <c r="Q688" i="1"/>
  <c r="T687" i="1"/>
  <c r="AD688" i="1"/>
  <c r="AV686" i="1"/>
  <c r="R687" i="1"/>
  <c r="Y686" i="1"/>
  <c r="W686" i="1"/>
  <c r="AD689" i="1" l="1"/>
  <c r="AV687" i="1"/>
  <c r="Q689" i="1"/>
  <c r="AL688" i="1"/>
  <c r="T688" i="1"/>
  <c r="Y687" i="1"/>
  <c r="W687" i="1"/>
  <c r="R688" i="1"/>
  <c r="AL689" i="1" l="1"/>
  <c r="Q690" i="1"/>
  <c r="T689" i="1"/>
  <c r="AV688" i="1"/>
  <c r="AD690" i="1"/>
  <c r="Y688" i="1"/>
  <c r="W688" i="1"/>
  <c r="R689" i="1"/>
  <c r="AV689" i="1" l="1"/>
  <c r="AD691" i="1"/>
  <c r="Q691" i="1"/>
  <c r="AL690" i="1"/>
  <c r="T690" i="1"/>
  <c r="W689" i="1"/>
  <c r="R690" i="1"/>
  <c r="Y689" i="1"/>
  <c r="AL691" i="1" l="1"/>
  <c r="Q692" i="1"/>
  <c r="T691" i="1"/>
  <c r="AD692" i="1"/>
  <c r="AV690" i="1"/>
  <c r="W690" i="1"/>
  <c r="R691" i="1"/>
  <c r="Y690" i="1"/>
  <c r="AD693" i="1" l="1"/>
  <c r="AV691" i="1"/>
  <c r="Q693" i="1"/>
  <c r="AL692" i="1"/>
  <c r="T692" i="1"/>
  <c r="Y691" i="1"/>
  <c r="W691" i="1"/>
  <c r="R692" i="1"/>
  <c r="AL693" i="1" l="1"/>
  <c r="Q694" i="1"/>
  <c r="T693" i="1"/>
  <c r="AD694" i="1"/>
  <c r="AV692" i="1"/>
  <c r="W692" i="1"/>
  <c r="Y692" i="1"/>
  <c r="R693" i="1"/>
  <c r="AD695" i="1" l="1"/>
  <c r="AV693" i="1"/>
  <c r="Q695" i="1"/>
  <c r="AL694" i="1"/>
  <c r="T694" i="1"/>
  <c r="W693" i="1"/>
  <c r="R694" i="1"/>
  <c r="Y693" i="1"/>
  <c r="AL695" i="1" l="1"/>
  <c r="Q696" i="1"/>
  <c r="T695" i="1"/>
  <c r="AD696" i="1"/>
  <c r="AV694" i="1"/>
  <c r="Y694" i="1"/>
  <c r="R695" i="1"/>
  <c r="W694" i="1"/>
  <c r="AD697" i="1" l="1"/>
  <c r="AV695" i="1"/>
  <c r="Q697" i="1"/>
  <c r="AL696" i="1"/>
  <c r="T696" i="1"/>
  <c r="W695" i="1"/>
  <c r="Y695" i="1"/>
  <c r="R696" i="1"/>
  <c r="AL697" i="1" l="1"/>
  <c r="Q698" i="1"/>
  <c r="T697" i="1"/>
  <c r="AD698" i="1"/>
  <c r="AV696" i="1"/>
  <c r="W696" i="1"/>
  <c r="Y696" i="1"/>
  <c r="R697" i="1"/>
  <c r="AD699" i="1" l="1"/>
  <c r="AV697" i="1"/>
  <c r="Q699" i="1"/>
  <c r="AL698" i="1"/>
  <c r="T698" i="1"/>
  <c r="W697" i="1"/>
  <c r="R698" i="1"/>
  <c r="Y697" i="1"/>
  <c r="AL699" i="1" l="1"/>
  <c r="Q700" i="1"/>
  <c r="T699" i="1"/>
  <c r="AD700" i="1"/>
  <c r="AV698" i="1"/>
  <c r="R699" i="1"/>
  <c r="W698" i="1"/>
  <c r="Y698" i="1"/>
  <c r="AV699" i="1" l="1"/>
  <c r="AD701" i="1"/>
  <c r="Q701" i="1"/>
  <c r="AL700" i="1"/>
  <c r="T700" i="1"/>
  <c r="Y699" i="1"/>
  <c r="R700" i="1"/>
  <c r="W699" i="1"/>
  <c r="AL701" i="1" l="1"/>
  <c r="Q702" i="1"/>
  <c r="T701" i="1"/>
  <c r="AD702" i="1"/>
  <c r="AV700" i="1"/>
  <c r="Y700" i="1"/>
  <c r="R701" i="1"/>
  <c r="W700" i="1"/>
  <c r="AD703" i="1" l="1"/>
  <c r="AV701" i="1"/>
  <c r="Q703" i="1"/>
  <c r="AL702" i="1"/>
  <c r="T702" i="1"/>
  <c r="R702" i="1"/>
  <c r="W701" i="1"/>
  <c r="Y701" i="1"/>
  <c r="AL703" i="1" l="1"/>
  <c r="Q704" i="1"/>
  <c r="T703" i="1"/>
  <c r="AD704" i="1"/>
  <c r="AV702" i="1"/>
  <c r="W702" i="1"/>
  <c r="R703" i="1"/>
  <c r="Y702" i="1"/>
  <c r="AD705" i="1" l="1"/>
  <c r="AV703" i="1"/>
  <c r="Q705" i="1"/>
  <c r="AL704" i="1"/>
  <c r="T704" i="1"/>
  <c r="R704" i="1"/>
  <c r="Y703" i="1"/>
  <c r="W703" i="1"/>
  <c r="AL705" i="1" l="1"/>
  <c r="Q706" i="1"/>
  <c r="T705" i="1"/>
  <c r="AV704" i="1"/>
  <c r="AD706" i="1"/>
  <c r="Y704" i="1"/>
  <c r="R705" i="1"/>
  <c r="W704" i="1"/>
  <c r="AV705" i="1" l="1"/>
  <c r="AD707" i="1"/>
  <c r="Q707" i="1"/>
  <c r="AL706" i="1"/>
  <c r="T706" i="1"/>
  <c r="R706" i="1"/>
  <c r="W705" i="1"/>
  <c r="Y705" i="1"/>
  <c r="AL707" i="1" l="1"/>
  <c r="Q708" i="1"/>
  <c r="T707" i="1"/>
  <c r="AV706" i="1"/>
  <c r="AD708" i="1"/>
  <c r="R707" i="1"/>
  <c r="Y706" i="1"/>
  <c r="W706" i="1"/>
  <c r="AV707" i="1" l="1"/>
  <c r="AD709" i="1"/>
  <c r="Q709" i="1"/>
  <c r="AL708" i="1"/>
  <c r="T708" i="1"/>
  <c r="Y707" i="1"/>
  <c r="R708" i="1"/>
  <c r="W707" i="1"/>
  <c r="AL709" i="1" l="1"/>
  <c r="Q710" i="1"/>
  <c r="T709" i="1"/>
  <c r="AD710" i="1"/>
  <c r="AV708" i="1"/>
  <c r="W708" i="1"/>
  <c r="Y708" i="1"/>
  <c r="R709" i="1"/>
  <c r="AV709" i="1" l="1"/>
  <c r="AD711" i="1"/>
  <c r="Q711" i="1"/>
  <c r="AL710" i="1"/>
  <c r="T710" i="1"/>
  <c r="W709" i="1"/>
  <c r="Y709" i="1"/>
  <c r="R710" i="1"/>
  <c r="AL711" i="1" l="1"/>
  <c r="Q712" i="1"/>
  <c r="T711" i="1"/>
  <c r="AD712" i="1"/>
  <c r="AV710" i="1"/>
  <c r="R711" i="1"/>
  <c r="W710" i="1"/>
  <c r="Y710" i="1"/>
  <c r="AV711" i="1" l="1"/>
  <c r="AD713" i="1"/>
  <c r="Q713" i="1"/>
  <c r="AL712" i="1"/>
  <c r="T712" i="1"/>
  <c r="Y711" i="1"/>
  <c r="W711" i="1"/>
  <c r="R712" i="1"/>
  <c r="AL713" i="1" l="1"/>
  <c r="Q714" i="1"/>
  <c r="T713" i="1"/>
  <c r="AV712" i="1"/>
  <c r="AD714" i="1"/>
  <c r="R713" i="1"/>
  <c r="Y712" i="1"/>
  <c r="W712" i="1"/>
  <c r="AD715" i="1" l="1"/>
  <c r="AV713" i="1"/>
  <c r="Q715" i="1"/>
  <c r="AL714" i="1"/>
  <c r="T714" i="1"/>
  <c r="Y713" i="1"/>
  <c r="W713" i="1"/>
  <c r="R714" i="1"/>
  <c r="AL715" i="1" l="1"/>
  <c r="Q716" i="1"/>
  <c r="T715" i="1"/>
  <c r="AD716" i="1"/>
  <c r="AV714" i="1"/>
  <c r="Y714" i="1"/>
  <c r="W714" i="1"/>
  <c r="R715" i="1"/>
  <c r="AD717" i="1" l="1"/>
  <c r="AV715" i="1"/>
  <c r="Q717" i="1"/>
  <c r="AL716" i="1"/>
  <c r="T716" i="1"/>
  <c r="R716" i="1"/>
  <c r="Y715" i="1"/>
  <c r="W715" i="1"/>
  <c r="AL717" i="1" l="1"/>
  <c r="Q718" i="1"/>
  <c r="T717" i="1"/>
  <c r="AV716" i="1"/>
  <c r="AD718" i="1"/>
  <c r="R717" i="1"/>
  <c r="W716" i="1"/>
  <c r="Y716" i="1"/>
  <c r="AD719" i="1" l="1"/>
  <c r="AV717" i="1"/>
  <c r="Q719" i="1"/>
  <c r="AL718" i="1"/>
  <c r="T718" i="1"/>
  <c r="R718" i="1"/>
  <c r="W717" i="1"/>
  <c r="Y717" i="1"/>
  <c r="AL719" i="1" l="1"/>
  <c r="Q720" i="1"/>
  <c r="T719" i="1"/>
  <c r="AD720" i="1"/>
  <c r="AV718" i="1"/>
  <c r="W718" i="1"/>
  <c r="Y718" i="1"/>
  <c r="R719" i="1"/>
  <c r="AD721" i="1" l="1"/>
  <c r="AV719" i="1"/>
  <c r="Q721" i="1"/>
  <c r="AL720" i="1"/>
  <c r="T720" i="1"/>
  <c r="Y719" i="1"/>
  <c r="W719" i="1"/>
  <c r="R720" i="1"/>
  <c r="AL721" i="1" l="1"/>
  <c r="Q722" i="1"/>
  <c r="T721" i="1"/>
  <c r="AD722" i="1"/>
  <c r="AV720" i="1"/>
  <c r="R721" i="1"/>
  <c r="Y720" i="1"/>
  <c r="W720" i="1"/>
  <c r="AV721" i="1" l="1"/>
  <c r="AD723" i="1"/>
  <c r="Q723" i="1"/>
  <c r="AL722" i="1"/>
  <c r="T722" i="1"/>
  <c r="W721" i="1"/>
  <c r="R722" i="1"/>
  <c r="Y721" i="1"/>
  <c r="AL723" i="1" l="1"/>
  <c r="Q724" i="1"/>
  <c r="T723" i="1"/>
  <c r="AD724" i="1"/>
  <c r="AV722" i="1"/>
  <c r="W722" i="1"/>
  <c r="R723" i="1"/>
  <c r="Y722" i="1"/>
  <c r="AD725" i="1" l="1"/>
  <c r="AV723" i="1"/>
  <c r="Q725" i="1"/>
  <c r="AL724" i="1"/>
  <c r="T724" i="1"/>
  <c r="W723" i="1"/>
  <c r="Y723" i="1"/>
  <c r="R724" i="1"/>
  <c r="AL725" i="1" l="1"/>
  <c r="Q726" i="1"/>
  <c r="T725" i="1"/>
  <c r="AD726" i="1"/>
  <c r="AV724" i="1"/>
  <c r="W724" i="1"/>
  <c r="R725" i="1"/>
  <c r="Y724" i="1"/>
  <c r="AV725" i="1" l="1"/>
  <c r="AD727" i="1"/>
  <c r="Q727" i="1"/>
  <c r="AL726" i="1"/>
  <c r="T726" i="1"/>
  <c r="R726" i="1"/>
  <c r="Y725" i="1"/>
  <c r="W725" i="1"/>
  <c r="AL727" i="1" l="1"/>
  <c r="Q728" i="1"/>
  <c r="T727" i="1"/>
  <c r="AD728" i="1"/>
  <c r="AV726" i="1"/>
  <c r="R727" i="1"/>
  <c r="W726" i="1"/>
  <c r="Y726" i="1"/>
  <c r="AV727" i="1" l="1"/>
  <c r="AD729" i="1"/>
  <c r="Q729" i="1"/>
  <c r="AL728" i="1"/>
  <c r="T728" i="1"/>
  <c r="Y727" i="1"/>
  <c r="W727" i="1"/>
  <c r="R728" i="1"/>
  <c r="AL729" i="1" l="1"/>
  <c r="Q730" i="1"/>
  <c r="T729" i="1"/>
  <c r="AD730" i="1"/>
  <c r="AV728" i="1"/>
  <c r="W728" i="1"/>
  <c r="R729" i="1"/>
  <c r="Y728" i="1"/>
  <c r="AD731" i="1" l="1"/>
  <c r="AV729" i="1"/>
  <c r="Q731" i="1"/>
  <c r="AL730" i="1"/>
  <c r="T730" i="1"/>
  <c r="R730" i="1"/>
  <c r="Y729" i="1"/>
  <c r="W729" i="1"/>
  <c r="AL731" i="1" l="1"/>
  <c r="Q732" i="1"/>
  <c r="T731" i="1"/>
  <c r="AV730" i="1"/>
  <c r="AD732" i="1"/>
  <c r="R731" i="1"/>
  <c r="Y730" i="1"/>
  <c r="W730" i="1"/>
  <c r="AD733" i="1" l="1"/>
  <c r="AV731" i="1"/>
  <c r="Q733" i="1"/>
  <c r="AL732" i="1"/>
  <c r="T732" i="1"/>
  <c r="R732" i="1"/>
  <c r="W731" i="1"/>
  <c r="Y731" i="1"/>
  <c r="AL733" i="1" l="1"/>
  <c r="Q734" i="1"/>
  <c r="T733" i="1"/>
  <c r="AD734" i="1"/>
  <c r="AV732" i="1"/>
  <c r="Y732" i="1"/>
  <c r="R733" i="1"/>
  <c r="W732" i="1"/>
  <c r="AD735" i="1" l="1"/>
  <c r="AV733" i="1"/>
  <c r="Q735" i="1"/>
  <c r="AL734" i="1"/>
  <c r="T734" i="1"/>
  <c r="Y733" i="1"/>
  <c r="W733" i="1"/>
  <c r="R734" i="1"/>
  <c r="AL735" i="1" l="1"/>
  <c r="Q736" i="1"/>
  <c r="T735" i="1"/>
  <c r="AD736" i="1"/>
  <c r="AV734" i="1"/>
  <c r="Y734" i="1"/>
  <c r="W734" i="1"/>
  <c r="R735" i="1"/>
  <c r="AD737" i="1" l="1"/>
  <c r="AV735" i="1"/>
  <c r="Q737" i="1"/>
  <c r="AL736" i="1"/>
  <c r="T736" i="1"/>
  <c r="R736" i="1"/>
  <c r="Y735" i="1"/>
  <c r="W735" i="1"/>
  <c r="AL737" i="1" l="1"/>
  <c r="Q738" i="1"/>
  <c r="T737" i="1"/>
  <c r="AD738" i="1"/>
  <c r="AV736" i="1"/>
  <c r="R737" i="1"/>
  <c r="Y736" i="1"/>
  <c r="W736" i="1"/>
  <c r="AD739" i="1" l="1"/>
  <c r="AV737" i="1"/>
  <c r="Q739" i="1"/>
  <c r="AL738" i="1"/>
  <c r="T738" i="1"/>
  <c r="Y737" i="1"/>
  <c r="W737" i="1"/>
  <c r="R738" i="1"/>
  <c r="AL739" i="1" l="1"/>
  <c r="Q740" i="1"/>
  <c r="T739" i="1"/>
  <c r="AD740" i="1"/>
  <c r="AV738" i="1"/>
  <c r="R739" i="1"/>
  <c r="Y738" i="1"/>
  <c r="W738" i="1"/>
  <c r="AD741" i="1" l="1"/>
  <c r="AV739" i="1"/>
  <c r="Q741" i="1"/>
  <c r="AL740" i="1"/>
  <c r="T740" i="1"/>
  <c r="R740" i="1"/>
  <c r="Y739" i="1"/>
  <c r="W739" i="1"/>
  <c r="AL741" i="1" l="1"/>
  <c r="Q742" i="1"/>
  <c r="T741" i="1"/>
  <c r="AD742" i="1"/>
  <c r="AV740" i="1"/>
  <c r="R741" i="1"/>
  <c r="Y740" i="1"/>
  <c r="W740" i="1"/>
  <c r="AV741" i="1" l="1"/>
  <c r="AD743" i="1"/>
  <c r="Q743" i="1"/>
  <c r="AL742" i="1"/>
  <c r="T742" i="1"/>
  <c r="Y741" i="1"/>
  <c r="W741" i="1"/>
  <c r="R742" i="1"/>
  <c r="AL743" i="1" l="1"/>
  <c r="Q744" i="1"/>
  <c r="T743" i="1"/>
  <c r="AV742" i="1"/>
  <c r="AD744" i="1"/>
  <c r="Y742" i="1"/>
  <c r="R743" i="1"/>
  <c r="W742" i="1"/>
  <c r="AV743" i="1" l="1"/>
  <c r="AD745" i="1"/>
  <c r="Q745" i="1"/>
  <c r="AL744" i="1"/>
  <c r="T744" i="1"/>
  <c r="Y743" i="1"/>
  <c r="W743" i="1"/>
  <c r="R744" i="1"/>
  <c r="AL745" i="1" l="1"/>
  <c r="Q746" i="1"/>
  <c r="T745" i="1"/>
  <c r="AV744" i="1"/>
  <c r="AD746" i="1"/>
  <c r="R745" i="1"/>
  <c r="Y744" i="1"/>
  <c r="W744" i="1"/>
  <c r="AV745" i="1" l="1"/>
  <c r="AD747" i="1"/>
  <c r="Q747" i="1"/>
  <c r="AL746" i="1"/>
  <c r="T746" i="1"/>
  <c r="Y745" i="1"/>
  <c r="R746" i="1"/>
  <c r="W745" i="1"/>
  <c r="AL747" i="1" l="1"/>
  <c r="Q748" i="1"/>
  <c r="T747" i="1"/>
  <c r="AV746" i="1"/>
  <c r="AD748" i="1"/>
  <c r="Y746" i="1"/>
  <c r="R747" i="1"/>
  <c r="W746" i="1"/>
  <c r="AV747" i="1" l="1"/>
  <c r="AD749" i="1"/>
  <c r="Q749" i="1"/>
  <c r="AL748" i="1"/>
  <c r="T748" i="1"/>
  <c r="R748" i="1"/>
  <c r="Y747" i="1"/>
  <c r="W747" i="1"/>
  <c r="AL749" i="1" l="1"/>
  <c r="Q750" i="1"/>
  <c r="T749" i="1"/>
  <c r="AV748" i="1"/>
  <c r="AD750" i="1"/>
  <c r="W748" i="1"/>
  <c r="R749" i="1"/>
  <c r="Y748" i="1"/>
  <c r="AV749" i="1" l="1"/>
  <c r="AD751" i="1"/>
  <c r="Q751" i="1"/>
  <c r="AL750" i="1"/>
  <c r="T750" i="1"/>
  <c r="Y749" i="1"/>
  <c r="R750" i="1"/>
  <c r="W749" i="1"/>
  <c r="AL751" i="1" l="1"/>
  <c r="Q752" i="1"/>
  <c r="T751" i="1"/>
  <c r="AD752" i="1"/>
  <c r="AV750" i="1"/>
  <c r="Y750" i="1"/>
  <c r="W750" i="1"/>
  <c r="R751" i="1"/>
  <c r="AD753" i="1" l="1"/>
  <c r="AV751" i="1"/>
  <c r="Q753" i="1"/>
  <c r="AL752" i="1"/>
  <c r="T752" i="1"/>
  <c r="Y751" i="1"/>
  <c r="W751" i="1"/>
  <c r="R752" i="1"/>
  <c r="AL753" i="1" l="1"/>
  <c r="Q754" i="1"/>
  <c r="T753" i="1"/>
  <c r="AV752" i="1"/>
  <c r="AD754" i="1"/>
  <c r="R753" i="1"/>
  <c r="W752" i="1"/>
  <c r="Y752" i="1"/>
  <c r="AD755" i="1" l="1"/>
  <c r="AV753" i="1"/>
  <c r="Q755" i="1"/>
  <c r="AL754" i="1"/>
  <c r="T754" i="1"/>
  <c r="R754" i="1"/>
  <c r="Y753" i="1"/>
  <c r="W753" i="1"/>
  <c r="AL755" i="1" l="1"/>
  <c r="Q756" i="1"/>
  <c r="T755" i="1"/>
  <c r="AD756" i="1"/>
  <c r="AV754" i="1"/>
  <c r="R755" i="1"/>
  <c r="W754" i="1"/>
  <c r="Y754" i="1"/>
  <c r="AV755" i="1" l="1"/>
  <c r="AD757" i="1"/>
  <c r="Q757" i="1"/>
  <c r="AL756" i="1"/>
  <c r="T756" i="1"/>
  <c r="Y755" i="1"/>
  <c r="R756" i="1"/>
  <c r="W755" i="1"/>
  <c r="AL757" i="1" l="1"/>
  <c r="Q758" i="1"/>
  <c r="T757" i="1"/>
  <c r="AD758" i="1"/>
  <c r="AV756" i="1"/>
  <c r="Y756" i="1"/>
  <c r="R757" i="1"/>
  <c r="W756" i="1"/>
  <c r="AD759" i="1" l="1"/>
  <c r="AV757" i="1"/>
  <c r="Q759" i="1"/>
  <c r="AL758" i="1"/>
  <c r="T758" i="1"/>
  <c r="Y757" i="1"/>
  <c r="W757" i="1"/>
  <c r="R758" i="1"/>
  <c r="AL759" i="1" l="1"/>
  <c r="Q760" i="1"/>
  <c r="T759" i="1"/>
  <c r="AV758" i="1"/>
  <c r="AD760" i="1"/>
  <c r="R759" i="1"/>
  <c r="W758" i="1"/>
  <c r="Y758" i="1"/>
  <c r="AV759" i="1" l="1"/>
  <c r="AD761" i="1"/>
  <c r="Q761" i="1"/>
  <c r="AL760" i="1"/>
  <c r="T760" i="1"/>
  <c r="Y759" i="1"/>
  <c r="R760" i="1"/>
  <c r="W759" i="1"/>
  <c r="AL761" i="1" l="1"/>
  <c r="Q762" i="1"/>
  <c r="T761" i="1"/>
  <c r="AD762" i="1"/>
  <c r="AV760" i="1"/>
  <c r="Y760" i="1"/>
  <c r="W760" i="1"/>
  <c r="R761" i="1"/>
  <c r="AV761" i="1" l="1"/>
  <c r="AD763" i="1"/>
  <c r="Q763" i="1"/>
  <c r="AL762" i="1"/>
  <c r="T762" i="1"/>
  <c r="R762" i="1"/>
  <c r="Y761" i="1"/>
  <c r="W761" i="1"/>
  <c r="AL763" i="1" l="1"/>
  <c r="Q764" i="1"/>
  <c r="T763" i="1"/>
  <c r="AV762" i="1"/>
  <c r="AD764" i="1"/>
  <c r="Y762" i="1"/>
  <c r="W762" i="1"/>
  <c r="R763" i="1"/>
  <c r="AD765" i="1" l="1"/>
  <c r="AV763" i="1"/>
  <c r="Q765" i="1"/>
  <c r="AL764" i="1"/>
  <c r="T764" i="1"/>
  <c r="Y763" i="1"/>
  <c r="R764" i="1"/>
  <c r="W763" i="1"/>
  <c r="AL765" i="1" l="1"/>
  <c r="Q766" i="1"/>
  <c r="T765" i="1"/>
  <c r="AV764" i="1"/>
  <c r="AD766" i="1"/>
  <c r="W764" i="1"/>
  <c r="Y764" i="1"/>
  <c r="R765" i="1"/>
  <c r="AV765" i="1" l="1"/>
  <c r="AD767" i="1"/>
  <c r="Q767" i="1"/>
  <c r="AL766" i="1"/>
  <c r="T766" i="1"/>
  <c r="R766" i="1"/>
  <c r="Y765" i="1"/>
  <c r="W765" i="1"/>
  <c r="AL767" i="1" l="1"/>
  <c r="Q768" i="1"/>
  <c r="T767" i="1"/>
  <c r="AD768" i="1"/>
  <c r="AV766" i="1"/>
  <c r="R767" i="1"/>
  <c r="Y766" i="1"/>
  <c r="W766" i="1"/>
  <c r="AV767" i="1" l="1"/>
  <c r="AD769" i="1"/>
  <c r="Q769" i="1"/>
  <c r="AL768" i="1"/>
  <c r="T768" i="1"/>
  <c r="W767" i="1"/>
  <c r="Y767" i="1"/>
  <c r="R768" i="1"/>
  <c r="AL769" i="1" l="1"/>
  <c r="Q770" i="1"/>
  <c r="T769" i="1"/>
  <c r="AD770" i="1"/>
  <c r="AV768" i="1"/>
  <c r="Y768" i="1"/>
  <c r="R769" i="1"/>
  <c r="W768" i="1"/>
  <c r="AV769" i="1" l="1"/>
  <c r="AD771" i="1"/>
  <c r="Q771" i="1"/>
  <c r="AL770" i="1"/>
  <c r="T770" i="1"/>
  <c r="R770" i="1"/>
  <c r="Y769" i="1"/>
  <c r="W769" i="1"/>
  <c r="AL771" i="1" l="1"/>
  <c r="Q772" i="1"/>
  <c r="T771" i="1"/>
  <c r="AD772" i="1"/>
  <c r="AV770" i="1"/>
  <c r="R771" i="1"/>
  <c r="W770" i="1"/>
  <c r="Y770" i="1"/>
  <c r="AV771" i="1" l="1"/>
  <c r="AD773" i="1"/>
  <c r="Q773" i="1"/>
  <c r="AL772" i="1"/>
  <c r="T772" i="1"/>
  <c r="W771" i="1"/>
  <c r="R772" i="1"/>
  <c r="Y771" i="1"/>
  <c r="AL773" i="1" l="1"/>
  <c r="Q774" i="1"/>
  <c r="T773" i="1"/>
  <c r="AV772" i="1"/>
  <c r="AD774" i="1"/>
  <c r="Y772" i="1"/>
  <c r="R773" i="1"/>
  <c r="W772" i="1"/>
  <c r="AD775" i="1" l="1"/>
  <c r="AV773" i="1"/>
  <c r="Q775" i="1"/>
  <c r="AL774" i="1"/>
  <c r="T774" i="1"/>
  <c r="R774" i="1"/>
  <c r="Y773" i="1"/>
  <c r="W773" i="1"/>
  <c r="AL775" i="1" l="1"/>
  <c r="Q776" i="1"/>
  <c r="T775" i="1"/>
  <c r="AV774" i="1"/>
  <c r="AD776" i="1"/>
  <c r="Y774" i="1"/>
  <c r="R775" i="1"/>
  <c r="W774" i="1"/>
  <c r="AV775" i="1" l="1"/>
  <c r="AD777" i="1"/>
  <c r="Q777" i="1"/>
  <c r="AL776" i="1"/>
  <c r="T776" i="1"/>
  <c r="Y775" i="1"/>
  <c r="R776" i="1"/>
  <c r="W775" i="1"/>
  <c r="AL777" i="1" l="1"/>
  <c r="Q778" i="1"/>
  <c r="T777" i="1"/>
  <c r="AV776" i="1"/>
  <c r="AD778" i="1"/>
  <c r="Y776" i="1"/>
  <c r="R777" i="1"/>
  <c r="W776" i="1"/>
  <c r="AV777" i="1" l="1"/>
  <c r="AD779" i="1"/>
  <c r="Q779" i="1"/>
  <c r="AL778" i="1"/>
  <c r="T778" i="1"/>
  <c r="Y777" i="1"/>
  <c r="R778" i="1"/>
  <c r="W777" i="1"/>
  <c r="AL779" i="1" l="1"/>
  <c r="Q780" i="1"/>
  <c r="T779" i="1"/>
  <c r="AV778" i="1"/>
  <c r="AD780" i="1"/>
  <c r="R779" i="1"/>
  <c r="W778" i="1"/>
  <c r="Y778" i="1"/>
  <c r="AD781" i="1" l="1"/>
  <c r="AV779" i="1"/>
  <c r="Q781" i="1"/>
  <c r="AL780" i="1"/>
  <c r="T780" i="1"/>
  <c r="Y779" i="1"/>
  <c r="W779" i="1"/>
  <c r="R780" i="1"/>
  <c r="AL781" i="1" l="1"/>
  <c r="Q782" i="1"/>
  <c r="T781" i="1"/>
  <c r="AV780" i="1"/>
  <c r="AD782" i="1"/>
  <c r="Y780" i="1"/>
  <c r="R781" i="1"/>
  <c r="W780" i="1"/>
  <c r="AD783" i="1" l="1"/>
  <c r="AV781" i="1"/>
  <c r="Q783" i="1"/>
  <c r="AL782" i="1"/>
  <c r="T782" i="1"/>
  <c r="Y781" i="1"/>
  <c r="R782" i="1"/>
  <c r="W781" i="1"/>
  <c r="AL783" i="1" l="1"/>
  <c r="Q784" i="1"/>
  <c r="T783" i="1"/>
  <c r="AD784" i="1"/>
  <c r="AV782" i="1"/>
  <c r="Y782" i="1"/>
  <c r="W782" i="1"/>
  <c r="R783" i="1"/>
  <c r="AV783" i="1" l="1"/>
  <c r="AD785" i="1"/>
  <c r="Q785" i="1"/>
  <c r="AL784" i="1"/>
  <c r="T784" i="1"/>
  <c r="R784" i="1"/>
  <c r="Y783" i="1"/>
  <c r="W783" i="1"/>
  <c r="AL785" i="1" l="1"/>
  <c r="Q786" i="1"/>
  <c r="T785" i="1"/>
  <c r="AD786" i="1"/>
  <c r="AV784" i="1"/>
  <c r="R785" i="1"/>
  <c r="Y784" i="1"/>
  <c r="W784" i="1"/>
  <c r="AV785" i="1" l="1"/>
  <c r="AD787" i="1"/>
  <c r="Q787" i="1"/>
  <c r="AL786" i="1"/>
  <c r="T786" i="1"/>
  <c r="Y785" i="1"/>
  <c r="W785" i="1"/>
  <c r="R786" i="1"/>
  <c r="AL787" i="1" l="1"/>
  <c r="Q788" i="1"/>
  <c r="T787" i="1"/>
  <c r="AV786" i="1"/>
  <c r="AD788" i="1"/>
  <c r="Y786" i="1"/>
  <c r="W786" i="1"/>
  <c r="R787" i="1"/>
  <c r="AD789" i="1" l="1"/>
  <c r="AV787" i="1"/>
  <c r="Q789" i="1"/>
  <c r="AL788" i="1"/>
  <c r="T788" i="1"/>
  <c r="R788" i="1"/>
  <c r="Y787" i="1"/>
  <c r="W787" i="1"/>
  <c r="AL789" i="1" l="1"/>
  <c r="Q790" i="1"/>
  <c r="T789" i="1"/>
  <c r="AD790" i="1"/>
  <c r="AV788" i="1"/>
  <c r="W788" i="1"/>
  <c r="Y788" i="1"/>
  <c r="R789" i="1"/>
  <c r="AV789" i="1" l="1"/>
  <c r="AD791" i="1"/>
  <c r="Q791" i="1"/>
  <c r="AL790" i="1"/>
  <c r="T790" i="1"/>
  <c r="Y789" i="1"/>
  <c r="R790" i="1"/>
  <c r="W789" i="1"/>
  <c r="AL791" i="1" l="1"/>
  <c r="Q792" i="1"/>
  <c r="T791" i="1"/>
  <c r="AV790" i="1"/>
  <c r="AD792" i="1"/>
  <c r="R791" i="1"/>
  <c r="W790" i="1"/>
  <c r="Y790" i="1"/>
  <c r="AV791" i="1" l="1"/>
  <c r="AD793" i="1"/>
  <c r="Q793" i="1"/>
  <c r="AL792" i="1"/>
  <c r="T792" i="1"/>
  <c r="Y791" i="1"/>
  <c r="W791" i="1"/>
  <c r="R792" i="1"/>
  <c r="AL793" i="1" l="1"/>
  <c r="Q794" i="1"/>
  <c r="T793" i="1"/>
  <c r="AD794" i="1"/>
  <c r="AV792" i="1"/>
  <c r="R793" i="1"/>
  <c r="W792" i="1"/>
  <c r="Y792" i="1"/>
  <c r="AV793" i="1" l="1"/>
  <c r="AD795" i="1"/>
  <c r="Q795" i="1"/>
  <c r="AL794" i="1"/>
  <c r="T794" i="1"/>
  <c r="Y793" i="1"/>
  <c r="W793" i="1"/>
  <c r="R794" i="1"/>
  <c r="AL795" i="1" l="1"/>
  <c r="Q796" i="1"/>
  <c r="T795" i="1"/>
  <c r="AD796" i="1"/>
  <c r="AV794" i="1"/>
  <c r="R795" i="1"/>
  <c r="W794" i="1"/>
  <c r="Y794" i="1"/>
  <c r="AD797" i="1" l="1"/>
  <c r="AV795" i="1"/>
  <c r="Q797" i="1"/>
  <c r="AL796" i="1"/>
  <c r="T796" i="1"/>
  <c r="W795" i="1"/>
  <c r="Y795" i="1"/>
  <c r="R796" i="1"/>
  <c r="AL797" i="1" l="1"/>
  <c r="Q798" i="1"/>
  <c r="T797" i="1"/>
  <c r="AV796" i="1"/>
  <c r="AD798" i="1"/>
  <c r="W796" i="1"/>
  <c r="R797" i="1"/>
  <c r="Y796" i="1"/>
  <c r="AV797" i="1" l="1"/>
  <c r="AD799" i="1"/>
  <c r="Q799" i="1"/>
  <c r="AL798" i="1"/>
  <c r="T798" i="1"/>
  <c r="Y797" i="1"/>
  <c r="R798" i="1"/>
  <c r="W797" i="1"/>
  <c r="AL799" i="1" l="1"/>
  <c r="Q800" i="1"/>
  <c r="T799" i="1"/>
  <c r="AV798" i="1"/>
  <c r="AD800" i="1"/>
  <c r="Y798" i="1"/>
  <c r="R799" i="1"/>
  <c r="W798" i="1"/>
  <c r="AV799" i="1" l="1"/>
  <c r="AD801" i="1"/>
  <c r="Q801" i="1"/>
  <c r="AL800" i="1"/>
  <c r="T800" i="1"/>
  <c r="R800" i="1"/>
  <c r="W799" i="1"/>
  <c r="Y799" i="1"/>
  <c r="AL801" i="1" l="1"/>
  <c r="Q802" i="1"/>
  <c r="T801" i="1"/>
  <c r="AD802" i="1"/>
  <c r="AV800" i="1"/>
  <c r="Y800" i="1"/>
  <c r="W800" i="1"/>
  <c r="R801" i="1"/>
  <c r="AV801" i="1" l="1"/>
  <c r="AD803" i="1"/>
  <c r="Q803" i="1"/>
  <c r="AL802" i="1"/>
  <c r="T802" i="1"/>
  <c r="Y801" i="1"/>
  <c r="W801" i="1"/>
  <c r="R802" i="1"/>
  <c r="AL803" i="1" l="1"/>
  <c r="Q804" i="1"/>
  <c r="T803" i="1"/>
  <c r="AV802" i="1"/>
  <c r="AD804" i="1"/>
  <c r="Y802" i="1"/>
  <c r="W802" i="1"/>
  <c r="R803" i="1"/>
  <c r="AV803" i="1" l="1"/>
  <c r="AD805" i="1"/>
  <c r="Q805" i="1"/>
  <c r="AL804" i="1"/>
  <c r="T804" i="1"/>
  <c r="Y803" i="1"/>
  <c r="R804" i="1"/>
  <c r="W803" i="1"/>
  <c r="AL805" i="1" l="1"/>
  <c r="Q806" i="1"/>
  <c r="T805" i="1"/>
  <c r="AV804" i="1"/>
  <c r="AD806" i="1"/>
  <c r="Y804" i="1"/>
  <c r="W804" i="1"/>
  <c r="R805" i="1"/>
  <c r="AV805" i="1" l="1"/>
  <c r="AD807" i="1"/>
  <c r="Q807" i="1"/>
  <c r="AL806" i="1"/>
  <c r="T806" i="1"/>
  <c r="Y805" i="1"/>
  <c r="R806" i="1"/>
  <c r="W805" i="1"/>
  <c r="AL807" i="1" l="1"/>
  <c r="Q808" i="1"/>
  <c r="T807" i="1"/>
  <c r="AV806" i="1"/>
  <c r="AD808" i="1"/>
  <c r="Y806" i="1"/>
  <c r="R807" i="1"/>
  <c r="W806" i="1"/>
  <c r="AV807" i="1" l="1"/>
  <c r="AD809" i="1"/>
  <c r="Q809" i="1"/>
  <c r="AL808" i="1"/>
  <c r="T808" i="1"/>
  <c r="R808" i="1"/>
  <c r="Y807" i="1"/>
  <c r="W807" i="1"/>
  <c r="AL809" i="1" l="1"/>
  <c r="Q810" i="1"/>
  <c r="T809" i="1"/>
  <c r="AD810" i="1"/>
  <c r="AV808" i="1"/>
  <c r="W808" i="1"/>
  <c r="Y808" i="1"/>
  <c r="R809" i="1"/>
  <c r="AV809" i="1" l="1"/>
  <c r="AD811" i="1"/>
  <c r="Q811" i="1"/>
  <c r="AL810" i="1"/>
  <c r="T810" i="1"/>
  <c r="R810" i="1"/>
  <c r="W809" i="1"/>
  <c r="Y809" i="1"/>
  <c r="AL811" i="1" l="1"/>
  <c r="Q812" i="1"/>
  <c r="T811" i="1"/>
  <c r="AV810" i="1"/>
  <c r="AD812" i="1"/>
  <c r="Y810" i="1"/>
  <c r="W810" i="1"/>
  <c r="R811" i="1"/>
  <c r="AV811" i="1" l="1"/>
  <c r="AD813" i="1"/>
  <c r="Q813" i="1"/>
  <c r="AL812" i="1"/>
  <c r="T812" i="1"/>
  <c r="R812" i="1"/>
  <c r="W811" i="1"/>
  <c r="Y811" i="1"/>
  <c r="AL813" i="1" l="1"/>
  <c r="Q814" i="1"/>
  <c r="T813" i="1"/>
  <c r="AD814" i="1"/>
  <c r="AV812" i="1"/>
  <c r="Y812" i="1"/>
  <c r="W812" i="1"/>
  <c r="R813" i="1"/>
  <c r="AV813" i="1" l="1"/>
  <c r="AD815" i="1"/>
  <c r="Q815" i="1"/>
  <c r="AL814" i="1"/>
  <c r="T814" i="1"/>
  <c r="W813" i="1"/>
  <c r="Y813" i="1"/>
  <c r="R814" i="1"/>
  <c r="AL815" i="1" l="1"/>
  <c r="Q816" i="1"/>
  <c r="T815" i="1"/>
  <c r="AV814" i="1"/>
  <c r="AD816" i="1"/>
  <c r="Y814" i="1"/>
  <c r="W814" i="1"/>
  <c r="R815" i="1"/>
  <c r="AV815" i="1" l="1"/>
  <c r="AD817" i="1"/>
  <c r="Q817" i="1"/>
  <c r="AL816" i="1"/>
  <c r="T816" i="1"/>
  <c r="R816" i="1"/>
  <c r="Y815" i="1"/>
  <c r="W815" i="1"/>
  <c r="AL817" i="1" l="1"/>
  <c r="Q818" i="1"/>
  <c r="T817" i="1"/>
  <c r="AD818" i="1"/>
  <c r="AV816" i="1"/>
  <c r="Y816" i="1"/>
  <c r="W816" i="1"/>
  <c r="R817" i="1"/>
  <c r="AV817" i="1" l="1"/>
  <c r="AD819" i="1"/>
  <c r="Q819" i="1"/>
  <c r="AL818" i="1"/>
  <c r="T818" i="1"/>
  <c r="R818" i="1"/>
  <c r="Y817" i="1"/>
  <c r="W817" i="1"/>
  <c r="AL819" i="1" l="1"/>
  <c r="Q820" i="1"/>
  <c r="T819" i="1"/>
  <c r="AD820" i="1"/>
  <c r="AV818" i="1"/>
  <c r="R819" i="1"/>
  <c r="W818" i="1"/>
  <c r="Y818" i="1"/>
  <c r="AV819" i="1" l="1"/>
  <c r="AD821" i="1"/>
  <c r="Q821" i="1"/>
  <c r="AL820" i="1"/>
  <c r="T820" i="1"/>
  <c r="R820" i="1"/>
  <c r="W819" i="1"/>
  <c r="Y819" i="1"/>
  <c r="AL821" i="1" l="1"/>
  <c r="Q822" i="1"/>
  <c r="T821" i="1"/>
  <c r="AD822" i="1"/>
  <c r="AV820" i="1"/>
  <c r="W820" i="1"/>
  <c r="Y820" i="1"/>
  <c r="R821" i="1"/>
  <c r="AD823" i="1" l="1"/>
  <c r="AV821" i="1"/>
  <c r="Q823" i="1"/>
  <c r="AL822" i="1"/>
  <c r="T822" i="1"/>
  <c r="R822" i="1"/>
  <c r="Y821" i="1"/>
  <c r="W821" i="1"/>
  <c r="AL823" i="1" l="1"/>
  <c r="Q824" i="1"/>
  <c r="T823" i="1"/>
  <c r="AD824" i="1"/>
  <c r="AV822" i="1"/>
  <c r="Y822" i="1"/>
  <c r="W822" i="1"/>
  <c r="R823" i="1"/>
  <c r="AD825" i="1" l="1"/>
  <c r="AV823" i="1"/>
  <c r="Q825" i="1"/>
  <c r="AL824" i="1"/>
  <c r="T824" i="1"/>
  <c r="W823" i="1"/>
  <c r="R824" i="1"/>
  <c r="Y823" i="1"/>
  <c r="AL825" i="1" l="1"/>
  <c r="Q826" i="1"/>
  <c r="T825" i="1"/>
  <c r="AD826" i="1"/>
  <c r="AV824" i="1"/>
  <c r="R825" i="1"/>
  <c r="W824" i="1"/>
  <c r="Y824" i="1"/>
  <c r="AD827" i="1" l="1"/>
  <c r="AV825" i="1"/>
  <c r="Q827" i="1"/>
  <c r="AL826" i="1"/>
  <c r="T826" i="1"/>
  <c r="R826" i="1"/>
  <c r="W825" i="1"/>
  <c r="Y825" i="1"/>
  <c r="AL827" i="1" l="1"/>
  <c r="Q828" i="1"/>
  <c r="T827" i="1"/>
  <c r="AD828" i="1"/>
  <c r="AV826" i="1"/>
  <c r="R827" i="1"/>
  <c r="Y826" i="1"/>
  <c r="W826" i="1"/>
  <c r="AD829" i="1" l="1"/>
  <c r="AV827" i="1"/>
  <c r="Q829" i="1"/>
  <c r="AL828" i="1"/>
  <c r="T828" i="1"/>
  <c r="Y827" i="1"/>
  <c r="W827" i="1"/>
  <c r="R828" i="1"/>
  <c r="AL829" i="1" l="1"/>
  <c r="Q830" i="1"/>
  <c r="T829" i="1"/>
  <c r="AD830" i="1"/>
  <c r="AV828" i="1"/>
  <c r="R829" i="1"/>
  <c r="Y828" i="1"/>
  <c r="W828" i="1"/>
  <c r="AV829" i="1" l="1"/>
  <c r="AD831" i="1"/>
  <c r="Q831" i="1"/>
  <c r="AL830" i="1"/>
  <c r="T830" i="1"/>
  <c r="R830" i="1"/>
  <c r="Y829" i="1"/>
  <c r="W829" i="1"/>
  <c r="AL831" i="1" l="1"/>
  <c r="Q832" i="1"/>
  <c r="T831" i="1"/>
  <c r="AV830" i="1"/>
  <c r="AD832" i="1"/>
  <c r="R831" i="1"/>
  <c r="Y830" i="1"/>
  <c r="W830" i="1"/>
  <c r="AV831" i="1" l="1"/>
  <c r="AD833" i="1"/>
  <c r="Q833" i="1"/>
  <c r="AL832" i="1"/>
  <c r="T832" i="1"/>
  <c r="Y831" i="1"/>
  <c r="W831" i="1"/>
  <c r="R832" i="1"/>
  <c r="AL833" i="1" l="1"/>
  <c r="Q834" i="1"/>
  <c r="T833" i="1"/>
  <c r="AD834" i="1"/>
  <c r="AV832" i="1"/>
  <c r="Y832" i="1"/>
  <c r="R833" i="1"/>
  <c r="W832" i="1"/>
  <c r="AV833" i="1" l="1"/>
  <c r="AD835" i="1"/>
  <c r="Q835" i="1"/>
  <c r="AL834" i="1"/>
  <c r="T834" i="1"/>
  <c r="W833" i="1"/>
  <c r="R834" i="1"/>
  <c r="Y833" i="1"/>
  <c r="AL835" i="1" l="1"/>
  <c r="Q836" i="1"/>
  <c r="T835" i="1"/>
  <c r="AV834" i="1"/>
  <c r="AD836" i="1"/>
  <c r="Y834" i="1"/>
  <c r="W834" i="1"/>
  <c r="R835" i="1"/>
  <c r="AD837" i="1" l="1"/>
  <c r="AV835" i="1"/>
  <c r="Q837" i="1"/>
  <c r="AL836" i="1"/>
  <c r="T836" i="1"/>
  <c r="W835" i="1"/>
  <c r="Y835" i="1"/>
  <c r="R836" i="1"/>
  <c r="AL837" i="1" l="1"/>
  <c r="Q838" i="1"/>
  <c r="T837" i="1"/>
  <c r="AV836" i="1"/>
  <c r="AD838" i="1"/>
  <c r="R837" i="1"/>
  <c r="W836" i="1"/>
  <c r="Y836" i="1"/>
  <c r="AD839" i="1" l="1"/>
  <c r="AV837" i="1"/>
  <c r="Q839" i="1"/>
  <c r="AL838" i="1"/>
  <c r="T838" i="1"/>
  <c r="W837" i="1"/>
  <c r="Y837" i="1"/>
  <c r="R838" i="1"/>
  <c r="AL839" i="1" l="1"/>
  <c r="Q840" i="1"/>
  <c r="T839" i="1"/>
  <c r="AD840" i="1"/>
  <c r="AV838" i="1"/>
  <c r="Y838" i="1"/>
  <c r="R839" i="1"/>
  <c r="W838" i="1"/>
  <c r="AV839" i="1" l="1"/>
  <c r="AD841" i="1"/>
  <c r="Q841" i="1"/>
  <c r="AL840" i="1"/>
  <c r="T840" i="1"/>
  <c r="R840" i="1"/>
  <c r="Y839" i="1"/>
  <c r="W839" i="1"/>
  <c r="AL841" i="1" l="1"/>
  <c r="Q842" i="1"/>
  <c r="T841" i="1"/>
  <c r="AD842" i="1"/>
  <c r="AV840" i="1"/>
  <c r="R841" i="1"/>
  <c r="W840" i="1"/>
  <c r="Y840" i="1"/>
  <c r="AV841" i="1" l="1"/>
  <c r="AD843" i="1"/>
  <c r="Q843" i="1"/>
  <c r="AL842" i="1"/>
  <c r="T842" i="1"/>
  <c r="Y841" i="1"/>
  <c r="W841" i="1"/>
  <c r="R842" i="1"/>
  <c r="AL843" i="1" l="1"/>
  <c r="Q844" i="1"/>
  <c r="T843" i="1"/>
  <c r="AD844" i="1"/>
  <c r="AV842" i="1"/>
  <c r="Y842" i="1"/>
  <c r="R843" i="1"/>
  <c r="W842" i="1"/>
  <c r="AD845" i="1" l="1"/>
  <c r="AV843" i="1"/>
  <c r="Q845" i="1"/>
  <c r="AL844" i="1"/>
  <c r="T844" i="1"/>
  <c r="Y843" i="1"/>
  <c r="R844" i="1"/>
  <c r="W843" i="1"/>
  <c r="AL845" i="1" l="1"/>
  <c r="Q846" i="1"/>
  <c r="T845" i="1"/>
  <c r="AV844" i="1"/>
  <c r="AD846" i="1"/>
  <c r="W844" i="1"/>
  <c r="R845" i="1"/>
  <c r="Y844" i="1"/>
  <c r="AV845" i="1" l="1"/>
  <c r="AD847" i="1"/>
  <c r="Q847" i="1"/>
  <c r="AL846" i="1"/>
  <c r="T846" i="1"/>
  <c r="W845" i="1"/>
  <c r="R846" i="1"/>
  <c r="Y845" i="1"/>
  <c r="AL847" i="1" l="1"/>
  <c r="Q848" i="1"/>
  <c r="T847" i="1"/>
  <c r="AD848" i="1"/>
  <c r="AV846" i="1"/>
  <c r="R847" i="1"/>
  <c r="Y846" i="1"/>
  <c r="W846" i="1"/>
  <c r="AV847" i="1" l="1"/>
  <c r="AD849" i="1"/>
  <c r="Q849" i="1"/>
  <c r="AL848" i="1"/>
  <c r="T848" i="1"/>
  <c r="R848" i="1"/>
  <c r="Y847" i="1"/>
  <c r="W847" i="1"/>
  <c r="AL849" i="1" l="1"/>
  <c r="Q850" i="1"/>
  <c r="T849" i="1"/>
  <c r="AD850" i="1"/>
  <c r="AV848" i="1"/>
  <c r="Y848" i="1"/>
  <c r="W848" i="1"/>
  <c r="R849" i="1"/>
  <c r="AV849" i="1" l="1"/>
  <c r="AD851" i="1"/>
  <c r="Q851" i="1"/>
  <c r="AL850" i="1"/>
  <c r="T850" i="1"/>
  <c r="W849" i="1"/>
  <c r="R850" i="1"/>
  <c r="Y849" i="1"/>
  <c r="AL851" i="1" l="1"/>
  <c r="Q852" i="1"/>
  <c r="T851" i="1"/>
  <c r="AD852" i="1"/>
  <c r="AV850" i="1"/>
  <c r="Y850" i="1"/>
  <c r="W850" i="1"/>
  <c r="R851" i="1"/>
  <c r="AD853" i="1" l="1"/>
  <c r="AV851" i="1"/>
  <c r="Q853" i="1"/>
  <c r="AL852" i="1"/>
  <c r="T852" i="1"/>
  <c r="R852" i="1"/>
  <c r="W851" i="1"/>
  <c r="Y851" i="1"/>
  <c r="AL853" i="1" l="1"/>
  <c r="Q854" i="1"/>
  <c r="T853" i="1"/>
  <c r="AV852" i="1"/>
  <c r="AD854" i="1"/>
  <c r="W852" i="1"/>
  <c r="Y852" i="1"/>
  <c r="R853" i="1"/>
  <c r="AD855" i="1" l="1"/>
  <c r="AV853" i="1"/>
  <c r="Q855" i="1"/>
  <c r="AL854" i="1"/>
  <c r="T854" i="1"/>
  <c r="Y853" i="1"/>
  <c r="R854" i="1"/>
  <c r="W853" i="1"/>
  <c r="AL855" i="1" l="1"/>
  <c r="Q856" i="1"/>
  <c r="T855" i="1"/>
  <c r="AD856" i="1"/>
  <c r="AV854" i="1"/>
  <c r="Y854" i="1"/>
  <c r="W854" i="1"/>
  <c r="R855" i="1"/>
  <c r="AD857" i="1" l="1"/>
  <c r="AV855" i="1"/>
  <c r="Q857" i="1"/>
  <c r="AL856" i="1"/>
  <c r="T856" i="1"/>
  <c r="R856" i="1"/>
  <c r="W855" i="1"/>
  <c r="Y855" i="1"/>
  <c r="AL857" i="1" l="1"/>
  <c r="Q858" i="1"/>
  <c r="T857" i="1"/>
  <c r="AD858" i="1"/>
  <c r="AV856" i="1"/>
  <c r="Y856" i="1"/>
  <c r="R857" i="1"/>
  <c r="W856" i="1"/>
  <c r="AD859" i="1" l="1"/>
  <c r="AV857" i="1"/>
  <c r="Q859" i="1"/>
  <c r="AL858" i="1"/>
  <c r="T858" i="1"/>
  <c r="R858" i="1"/>
  <c r="W857" i="1"/>
  <c r="Y857" i="1"/>
  <c r="AL859" i="1" l="1"/>
  <c r="Q860" i="1"/>
  <c r="T859" i="1"/>
  <c r="AV858" i="1"/>
  <c r="AD860" i="1"/>
  <c r="R859" i="1"/>
  <c r="W858" i="1"/>
  <c r="Y858" i="1"/>
  <c r="AD861" i="1" l="1"/>
  <c r="AV859" i="1"/>
  <c r="Q861" i="1"/>
  <c r="AL860" i="1"/>
  <c r="T860" i="1"/>
  <c r="Y859" i="1"/>
  <c r="R860" i="1"/>
  <c r="W859" i="1"/>
  <c r="AL861" i="1" l="1"/>
  <c r="Q862" i="1"/>
  <c r="T861" i="1"/>
  <c r="AV860" i="1"/>
  <c r="AD862" i="1"/>
  <c r="W860" i="1"/>
  <c r="R861" i="1"/>
  <c r="Y860" i="1"/>
  <c r="AV861" i="1" l="1"/>
  <c r="AD863" i="1"/>
  <c r="Q863" i="1"/>
  <c r="AL862" i="1"/>
  <c r="T862" i="1"/>
  <c r="Y861" i="1"/>
  <c r="R862" i="1"/>
  <c r="W861" i="1"/>
  <c r="AL863" i="1" l="1"/>
  <c r="Q864" i="1"/>
  <c r="T863" i="1"/>
  <c r="AV862" i="1"/>
  <c r="AD864" i="1"/>
  <c r="R863" i="1"/>
  <c r="Y862" i="1"/>
  <c r="W862" i="1"/>
  <c r="AV863" i="1" l="1"/>
  <c r="AD865" i="1"/>
  <c r="Q865" i="1"/>
  <c r="AL864" i="1"/>
  <c r="T864" i="1"/>
  <c r="W863" i="1"/>
  <c r="R864" i="1"/>
  <c r="Y863" i="1"/>
  <c r="AL865" i="1" l="1"/>
  <c r="Q866" i="1"/>
  <c r="T865" i="1"/>
  <c r="AD866" i="1"/>
  <c r="AV864" i="1"/>
  <c r="Y864" i="1"/>
  <c r="W864" i="1"/>
  <c r="R865" i="1"/>
  <c r="AD867" i="1" l="1"/>
  <c r="AV865" i="1"/>
  <c r="Q867" i="1"/>
  <c r="AL866" i="1"/>
  <c r="T866" i="1"/>
  <c r="W865" i="1"/>
  <c r="R866" i="1"/>
  <c r="Y865" i="1"/>
  <c r="AL867" i="1" l="1"/>
  <c r="Q868" i="1"/>
  <c r="T867" i="1"/>
  <c r="AV866" i="1"/>
  <c r="AD868" i="1"/>
  <c r="Y866" i="1"/>
  <c r="W866" i="1"/>
  <c r="R867" i="1"/>
  <c r="AV867" i="1" l="1"/>
  <c r="AD869" i="1"/>
  <c r="Q869" i="1"/>
  <c r="AL868" i="1"/>
  <c r="T868" i="1"/>
  <c r="Y867" i="1"/>
  <c r="W867" i="1"/>
  <c r="R868" i="1"/>
  <c r="AL869" i="1" l="1"/>
  <c r="Q870" i="1"/>
  <c r="T869" i="1"/>
  <c r="AD870" i="1"/>
  <c r="AV868" i="1"/>
  <c r="R869" i="1"/>
  <c r="W868" i="1"/>
  <c r="Y868" i="1"/>
  <c r="AV869" i="1" l="1"/>
  <c r="AD871" i="1"/>
  <c r="Q871" i="1"/>
  <c r="AL870" i="1"/>
  <c r="T870" i="1"/>
  <c r="R870" i="1"/>
  <c r="Y869" i="1"/>
  <c r="W869" i="1"/>
  <c r="AL871" i="1" l="1"/>
  <c r="Q872" i="1"/>
  <c r="T871" i="1"/>
  <c r="AV870" i="1"/>
  <c r="AD872" i="1"/>
  <c r="W870" i="1"/>
  <c r="Y870" i="1"/>
  <c r="R871" i="1"/>
  <c r="AV871" i="1" l="1"/>
  <c r="AD873" i="1"/>
  <c r="Q873" i="1"/>
  <c r="AL872" i="1"/>
  <c r="T872" i="1"/>
  <c r="W871" i="1"/>
  <c r="R872" i="1"/>
  <c r="Y871" i="1"/>
  <c r="AL873" i="1" l="1"/>
  <c r="Q874" i="1"/>
  <c r="T873" i="1"/>
  <c r="AV872" i="1"/>
  <c r="AD874" i="1"/>
  <c r="Y872" i="1"/>
  <c r="W872" i="1"/>
  <c r="R873" i="1"/>
  <c r="AV873" i="1" l="1"/>
  <c r="AD875" i="1"/>
  <c r="Q875" i="1"/>
  <c r="AL874" i="1"/>
  <c r="T874" i="1"/>
  <c r="Y873" i="1"/>
  <c r="R874" i="1"/>
  <c r="W873" i="1"/>
  <c r="AL875" i="1" l="1"/>
  <c r="Q876" i="1"/>
  <c r="T875" i="1"/>
  <c r="AD876" i="1"/>
  <c r="AV874" i="1"/>
  <c r="Y874" i="1"/>
  <c r="W874" i="1"/>
  <c r="R875" i="1"/>
  <c r="AD877" i="1" l="1"/>
  <c r="AV875" i="1"/>
  <c r="Q877" i="1"/>
  <c r="AL876" i="1"/>
  <c r="T876" i="1"/>
  <c r="R876" i="1"/>
  <c r="Y875" i="1"/>
  <c r="W875" i="1"/>
  <c r="AL877" i="1" l="1"/>
  <c r="Q878" i="1"/>
  <c r="T877" i="1"/>
  <c r="AD878" i="1"/>
  <c r="AV876" i="1"/>
  <c r="Y876" i="1"/>
  <c r="R877" i="1"/>
  <c r="W876" i="1"/>
  <c r="AV877" i="1" l="1"/>
  <c r="AD879" i="1"/>
  <c r="Q879" i="1"/>
  <c r="AL878" i="1"/>
  <c r="T878" i="1"/>
  <c r="Y877" i="1"/>
  <c r="W877" i="1"/>
  <c r="R878" i="1"/>
  <c r="AL879" i="1" l="1"/>
  <c r="Q880" i="1"/>
  <c r="T879" i="1"/>
  <c r="AV878" i="1"/>
  <c r="AD880" i="1"/>
  <c r="W878" i="1"/>
  <c r="R879" i="1"/>
  <c r="Y878" i="1"/>
  <c r="AD881" i="1" l="1"/>
  <c r="AV879" i="1"/>
  <c r="Q881" i="1"/>
  <c r="AL880" i="1"/>
  <c r="T880" i="1"/>
  <c r="R880" i="1"/>
  <c r="Y879" i="1"/>
  <c r="W879" i="1"/>
  <c r="AL881" i="1" l="1"/>
  <c r="Q882" i="1"/>
  <c r="T881" i="1"/>
  <c r="AV880" i="1"/>
  <c r="AD882" i="1"/>
  <c r="W880" i="1"/>
  <c r="R881" i="1"/>
  <c r="Y880" i="1"/>
  <c r="AV881" i="1" l="1"/>
  <c r="AD883" i="1"/>
  <c r="Q883" i="1"/>
  <c r="AL882" i="1"/>
  <c r="T882" i="1"/>
  <c r="W881" i="1"/>
  <c r="R882" i="1"/>
  <c r="Y881" i="1"/>
  <c r="AL883" i="1" l="1"/>
  <c r="Q884" i="1"/>
  <c r="T883" i="1"/>
  <c r="AV882" i="1"/>
  <c r="AD884" i="1"/>
  <c r="R883" i="1"/>
  <c r="Y882" i="1"/>
  <c r="W882" i="1"/>
  <c r="AD885" i="1" l="1"/>
  <c r="AV883" i="1"/>
  <c r="Q885" i="1"/>
  <c r="AL884" i="1"/>
  <c r="T884" i="1"/>
  <c r="R884" i="1"/>
  <c r="Y883" i="1"/>
  <c r="W883" i="1"/>
  <c r="Q886" i="1" l="1"/>
  <c r="T885" i="1"/>
  <c r="AL885" i="1"/>
  <c r="AD886" i="1"/>
  <c r="AV884" i="1"/>
  <c r="Y884" i="1"/>
  <c r="R885" i="1"/>
  <c r="W884" i="1"/>
  <c r="AV885" i="1" l="1"/>
  <c r="AD887" i="1"/>
  <c r="AL886" i="1"/>
  <c r="Q887" i="1"/>
  <c r="T886" i="1"/>
  <c r="Y885" i="1"/>
  <c r="W885" i="1"/>
  <c r="R886" i="1"/>
  <c r="Q888" i="1" l="1"/>
  <c r="T887" i="1"/>
  <c r="AL887" i="1"/>
  <c r="AV886" i="1"/>
  <c r="AD888" i="1"/>
  <c r="W886" i="1"/>
  <c r="R887" i="1"/>
  <c r="Y886" i="1"/>
  <c r="Q889" i="1" l="1"/>
  <c r="T888" i="1"/>
  <c r="AL888" i="1"/>
  <c r="AD889" i="1"/>
  <c r="AV887" i="1"/>
  <c r="R888" i="1"/>
  <c r="Y887" i="1"/>
  <c r="W887" i="1"/>
  <c r="AD890" i="1" l="1"/>
  <c r="AV888" i="1"/>
  <c r="AL889" i="1"/>
  <c r="Q890" i="1"/>
  <c r="T889" i="1"/>
  <c r="R889" i="1"/>
  <c r="Y888" i="1"/>
  <c r="W888" i="1"/>
  <c r="AV889" i="1" l="1"/>
  <c r="AD891" i="1"/>
  <c r="Q891" i="1"/>
  <c r="T890" i="1"/>
  <c r="AL890" i="1"/>
  <c r="W889" i="1"/>
  <c r="R890" i="1"/>
  <c r="Y889" i="1"/>
  <c r="AL891" i="1" l="1"/>
  <c r="Q892" i="1"/>
  <c r="T891" i="1"/>
  <c r="AV890" i="1"/>
  <c r="AD892" i="1"/>
  <c r="Y890" i="1"/>
  <c r="W890" i="1"/>
  <c r="R891" i="1"/>
  <c r="AV891" i="1" l="1"/>
  <c r="AD893" i="1"/>
  <c r="Q893" i="1"/>
  <c r="T892" i="1"/>
  <c r="AL892" i="1"/>
  <c r="W891" i="1"/>
  <c r="Y891" i="1"/>
  <c r="R892" i="1"/>
  <c r="AL893" i="1" l="1"/>
  <c r="Q894" i="1"/>
  <c r="T893" i="1"/>
  <c r="AV892" i="1"/>
  <c r="AD894" i="1"/>
  <c r="Y892" i="1"/>
  <c r="W892" i="1"/>
  <c r="R893" i="1"/>
  <c r="AV893" i="1" l="1"/>
  <c r="AD895" i="1"/>
  <c r="Q895" i="1"/>
  <c r="T894" i="1"/>
  <c r="AL894" i="1"/>
  <c r="Y893" i="1"/>
  <c r="W893" i="1"/>
  <c r="R894" i="1"/>
  <c r="AL895" i="1" l="1"/>
  <c r="Q896" i="1"/>
  <c r="T895" i="1"/>
  <c r="AV894" i="1"/>
  <c r="AD896" i="1"/>
  <c r="W894" i="1"/>
  <c r="R895" i="1"/>
  <c r="Y894" i="1"/>
  <c r="AV895" i="1" l="1"/>
  <c r="AD897" i="1"/>
  <c r="Q897" i="1"/>
  <c r="T896" i="1"/>
  <c r="AL896" i="1"/>
  <c r="W895" i="1"/>
  <c r="R896" i="1"/>
  <c r="Y895" i="1"/>
  <c r="AL897" i="1" l="1"/>
  <c r="Q898" i="1"/>
  <c r="T897" i="1"/>
  <c r="AV896" i="1"/>
  <c r="AD898" i="1"/>
  <c r="R897" i="1"/>
  <c r="Y896" i="1"/>
  <c r="W896" i="1"/>
  <c r="AV897" i="1" l="1"/>
  <c r="AD899" i="1"/>
  <c r="Q899" i="1"/>
  <c r="T898" i="1"/>
  <c r="AL898" i="1"/>
  <c r="R898" i="1"/>
  <c r="Y897" i="1"/>
  <c r="W897" i="1"/>
  <c r="AL899" i="1" l="1"/>
  <c r="Q900" i="1"/>
  <c r="T899" i="1"/>
  <c r="AV898" i="1"/>
  <c r="AD900" i="1"/>
  <c r="Y898" i="1"/>
  <c r="W898" i="1"/>
  <c r="R899" i="1"/>
  <c r="AV899" i="1" l="1"/>
  <c r="AD901" i="1"/>
  <c r="Q901" i="1"/>
  <c r="T900" i="1"/>
  <c r="AL900" i="1"/>
  <c r="R900" i="1"/>
  <c r="W899" i="1"/>
  <c r="Y899" i="1"/>
  <c r="AL901" i="1" l="1"/>
  <c r="Q902" i="1"/>
  <c r="T901" i="1"/>
  <c r="AD902" i="1"/>
  <c r="AV900" i="1"/>
  <c r="W900" i="1"/>
  <c r="Y900" i="1"/>
  <c r="R901" i="1"/>
  <c r="AV901" i="1" l="1"/>
  <c r="AD903" i="1"/>
  <c r="Q903" i="1"/>
  <c r="T902" i="1"/>
  <c r="AL902" i="1"/>
  <c r="Y901" i="1"/>
  <c r="R902" i="1"/>
  <c r="W901" i="1"/>
  <c r="AL903" i="1" l="1"/>
  <c r="Q904" i="1"/>
  <c r="T903" i="1"/>
  <c r="AD904" i="1"/>
  <c r="AV902" i="1"/>
  <c r="Y902" i="1"/>
  <c r="R903" i="1"/>
  <c r="W902" i="1"/>
  <c r="AV903" i="1" l="1"/>
  <c r="AD905" i="1"/>
  <c r="Q905" i="1"/>
  <c r="T904" i="1"/>
  <c r="AL904" i="1"/>
  <c r="R904" i="1"/>
  <c r="W903" i="1"/>
  <c r="Y903" i="1"/>
  <c r="AL905" i="1" l="1"/>
  <c r="Q906" i="1"/>
  <c r="T905" i="1"/>
  <c r="AV904" i="1"/>
  <c r="AD906" i="1"/>
  <c r="Y904" i="1"/>
  <c r="W904" i="1"/>
  <c r="R905" i="1"/>
  <c r="AD907" i="1" l="1"/>
  <c r="AV905" i="1"/>
  <c r="Q907" i="1"/>
  <c r="T906" i="1"/>
  <c r="AL906" i="1"/>
  <c r="Y905" i="1"/>
  <c r="R906" i="1"/>
  <c r="W905" i="1"/>
  <c r="AL907" i="1" l="1"/>
  <c r="Q908" i="1"/>
  <c r="T907" i="1"/>
  <c r="AD908" i="1"/>
  <c r="AV906" i="1"/>
  <c r="Y906" i="1"/>
  <c r="W906" i="1"/>
  <c r="R907" i="1"/>
  <c r="AD909" i="1" l="1"/>
  <c r="AV907" i="1"/>
  <c r="Q909" i="1"/>
  <c r="T908" i="1"/>
  <c r="AL908" i="1"/>
  <c r="R908" i="1"/>
  <c r="W907" i="1"/>
  <c r="Y907" i="1"/>
  <c r="AL909" i="1" l="1"/>
  <c r="Q910" i="1"/>
  <c r="T909" i="1"/>
  <c r="AD910" i="1"/>
  <c r="AV908" i="1"/>
  <c r="Y908" i="1"/>
  <c r="R909" i="1"/>
  <c r="W908" i="1"/>
  <c r="AD911" i="1" l="1"/>
  <c r="AV909" i="1"/>
  <c r="Q911" i="1"/>
  <c r="T910" i="1"/>
  <c r="AL910" i="1"/>
  <c r="Y909" i="1"/>
  <c r="R910" i="1"/>
  <c r="W909" i="1"/>
  <c r="AL911" i="1" l="1"/>
  <c r="Q912" i="1"/>
  <c r="T911" i="1"/>
  <c r="AD912" i="1"/>
  <c r="AV910" i="1"/>
  <c r="Y910" i="1"/>
  <c r="R911" i="1"/>
  <c r="W910" i="1"/>
  <c r="AD913" i="1" l="1"/>
  <c r="AV911" i="1"/>
  <c r="Q913" i="1"/>
  <c r="T912" i="1"/>
  <c r="AL912" i="1"/>
  <c r="R912" i="1"/>
  <c r="W911" i="1"/>
  <c r="Y911" i="1"/>
  <c r="AL913" i="1" l="1"/>
  <c r="Q914" i="1"/>
  <c r="T913" i="1"/>
  <c r="AD914" i="1"/>
  <c r="AV912" i="1"/>
  <c r="W912" i="1"/>
  <c r="R913" i="1"/>
  <c r="Y912" i="1"/>
  <c r="AD915" i="1" l="1"/>
  <c r="AV913" i="1"/>
  <c r="Q915" i="1"/>
  <c r="T914" i="1"/>
  <c r="AL914" i="1"/>
  <c r="W913" i="1"/>
  <c r="Y913" i="1"/>
  <c r="R914" i="1"/>
  <c r="AL915" i="1" l="1"/>
  <c r="Q916" i="1"/>
  <c r="T915" i="1"/>
  <c r="AD916" i="1"/>
  <c r="AV914" i="1"/>
  <c r="R915" i="1"/>
  <c r="W914" i="1"/>
  <c r="Y914" i="1"/>
  <c r="AV915" i="1" l="1"/>
  <c r="AD917" i="1"/>
  <c r="Q917" i="1"/>
  <c r="T916" i="1"/>
  <c r="AL916" i="1"/>
  <c r="R916" i="1"/>
  <c r="Y915" i="1"/>
  <c r="W915" i="1"/>
  <c r="AL917" i="1" l="1"/>
  <c r="Q918" i="1"/>
  <c r="T917" i="1"/>
  <c r="AD918" i="1"/>
  <c r="AV916" i="1"/>
  <c r="R917" i="1"/>
  <c r="Y916" i="1"/>
  <c r="W916" i="1"/>
  <c r="AV917" i="1" l="1"/>
  <c r="AD919" i="1"/>
  <c r="Q919" i="1"/>
  <c r="T918" i="1"/>
  <c r="AL918" i="1"/>
  <c r="W917" i="1"/>
  <c r="Y917" i="1"/>
  <c r="R918" i="1"/>
  <c r="AL919" i="1" l="1"/>
  <c r="Q920" i="1"/>
  <c r="T919" i="1"/>
  <c r="AV918" i="1"/>
  <c r="AD920" i="1"/>
  <c r="R919" i="1"/>
  <c r="Y918" i="1"/>
  <c r="W918" i="1"/>
  <c r="AD921" i="1" l="1"/>
  <c r="AV919" i="1"/>
  <c r="Q921" i="1"/>
  <c r="T920" i="1"/>
  <c r="AL920" i="1"/>
  <c r="W919" i="1"/>
  <c r="Y919" i="1"/>
  <c r="R920" i="1"/>
  <c r="AL921" i="1" l="1"/>
  <c r="Q922" i="1"/>
  <c r="T921" i="1"/>
  <c r="AV920" i="1"/>
  <c r="AD922" i="1"/>
  <c r="W920" i="1"/>
  <c r="R921" i="1"/>
  <c r="Y920" i="1"/>
  <c r="AV921" i="1" l="1"/>
  <c r="AD923" i="1"/>
  <c r="Q923" i="1"/>
  <c r="T922" i="1"/>
  <c r="AL922" i="1"/>
  <c r="W921" i="1"/>
  <c r="R922" i="1"/>
  <c r="Y921" i="1"/>
  <c r="AL923" i="1" l="1"/>
  <c r="Q924" i="1"/>
  <c r="T923" i="1"/>
  <c r="AV922" i="1"/>
  <c r="AD924" i="1"/>
  <c r="Y922" i="1"/>
  <c r="R923" i="1"/>
  <c r="W922" i="1"/>
  <c r="AD925" i="1" l="1"/>
  <c r="AV923" i="1"/>
  <c r="Q925" i="1"/>
  <c r="T924" i="1"/>
  <c r="AL924" i="1"/>
  <c r="R924" i="1"/>
  <c r="W923" i="1"/>
  <c r="Y923" i="1"/>
  <c r="AL925" i="1" l="1"/>
  <c r="Q926" i="1"/>
  <c r="T925" i="1"/>
  <c r="AD926" i="1"/>
  <c r="AV924" i="1"/>
  <c r="Y924" i="1"/>
  <c r="R925" i="1"/>
  <c r="W924" i="1"/>
  <c r="AD927" i="1" l="1"/>
  <c r="AV925" i="1"/>
  <c r="Q927" i="1"/>
  <c r="T926" i="1"/>
  <c r="AL926" i="1"/>
  <c r="W925" i="1"/>
  <c r="R926" i="1"/>
  <c r="Y925" i="1"/>
  <c r="AL927" i="1" l="1"/>
  <c r="Q928" i="1"/>
  <c r="T927" i="1"/>
  <c r="AD928" i="1"/>
  <c r="AV926" i="1"/>
  <c r="W926" i="1"/>
  <c r="R927" i="1"/>
  <c r="Y926" i="1"/>
  <c r="AD929" i="1" l="1"/>
  <c r="AV927" i="1"/>
  <c r="Q929" i="1"/>
  <c r="T928" i="1"/>
  <c r="AL928" i="1"/>
  <c r="Y927" i="1"/>
  <c r="R928" i="1"/>
  <c r="W927" i="1"/>
  <c r="AL929" i="1" l="1"/>
  <c r="Q930" i="1"/>
  <c r="T929" i="1"/>
  <c r="AD930" i="1"/>
  <c r="AV928" i="1"/>
  <c r="Y928" i="1"/>
  <c r="W928" i="1"/>
  <c r="R929" i="1"/>
  <c r="AV929" i="1" l="1"/>
  <c r="AD931" i="1"/>
  <c r="Q931" i="1"/>
  <c r="T930" i="1"/>
  <c r="AL930" i="1"/>
  <c r="R930" i="1"/>
  <c r="W929" i="1"/>
  <c r="Y929" i="1"/>
  <c r="AL931" i="1" l="1"/>
  <c r="Q932" i="1"/>
  <c r="T931" i="1"/>
  <c r="AV930" i="1"/>
  <c r="AD932" i="1"/>
  <c r="W930" i="1"/>
  <c r="Y930" i="1"/>
  <c r="R931" i="1"/>
  <c r="AV931" i="1" l="1"/>
  <c r="AD933" i="1"/>
  <c r="Q933" i="1"/>
  <c r="T932" i="1"/>
  <c r="AL932" i="1"/>
  <c r="R932" i="1"/>
  <c r="Y931" i="1"/>
  <c r="W931" i="1"/>
  <c r="AL933" i="1" l="1"/>
  <c r="Q934" i="1"/>
  <c r="T933" i="1"/>
  <c r="AD934" i="1"/>
  <c r="AV932" i="1"/>
  <c r="Y932" i="1"/>
  <c r="R933" i="1"/>
  <c r="W932" i="1"/>
  <c r="AD935" i="1" l="1"/>
  <c r="AV933" i="1"/>
  <c r="Q935" i="1"/>
  <c r="T934" i="1"/>
  <c r="AL934" i="1"/>
  <c r="Y933" i="1"/>
  <c r="W933" i="1"/>
  <c r="R934" i="1"/>
  <c r="AL935" i="1" l="1"/>
  <c r="Q936" i="1"/>
  <c r="T935" i="1"/>
  <c r="AD936" i="1"/>
  <c r="AV934" i="1"/>
  <c r="R935" i="1"/>
  <c r="W934" i="1"/>
  <c r="Y934" i="1"/>
  <c r="AD937" i="1" l="1"/>
  <c r="AV935" i="1"/>
  <c r="Q937" i="1"/>
  <c r="T936" i="1"/>
  <c r="AL936" i="1"/>
  <c r="W935" i="1"/>
  <c r="R936" i="1"/>
  <c r="Y935" i="1"/>
  <c r="AL937" i="1" l="1"/>
  <c r="Q938" i="1"/>
  <c r="T937" i="1"/>
  <c r="AV936" i="1"/>
  <c r="AD938" i="1"/>
  <c r="W936" i="1"/>
  <c r="Y936" i="1"/>
  <c r="R937" i="1"/>
  <c r="AV937" i="1" l="1"/>
  <c r="AD939" i="1"/>
  <c r="Q939" i="1"/>
  <c r="T938" i="1"/>
  <c r="AL938" i="1"/>
  <c r="R938" i="1"/>
  <c r="W937" i="1"/>
  <c r="Y937" i="1"/>
  <c r="AL939" i="1" l="1"/>
  <c r="Q940" i="1"/>
  <c r="T939" i="1"/>
  <c r="AD940" i="1"/>
  <c r="AV938" i="1"/>
  <c r="Y938" i="1"/>
  <c r="W938" i="1"/>
  <c r="R939" i="1"/>
  <c r="AD941" i="1" l="1"/>
  <c r="AV939" i="1"/>
  <c r="Q941" i="1"/>
  <c r="T940" i="1"/>
  <c r="AL940" i="1"/>
  <c r="Y939" i="1"/>
  <c r="W939" i="1"/>
  <c r="R940" i="1"/>
  <c r="AL941" i="1" l="1"/>
  <c r="Q942" i="1"/>
  <c r="T941" i="1"/>
  <c r="AD942" i="1"/>
  <c r="AV940" i="1"/>
  <c r="W940" i="1"/>
  <c r="Y940" i="1"/>
  <c r="R941" i="1"/>
  <c r="AD943" i="1" l="1"/>
  <c r="AV941" i="1"/>
  <c r="Q943" i="1"/>
  <c r="T942" i="1"/>
  <c r="AL942" i="1"/>
  <c r="Y941" i="1"/>
  <c r="W941" i="1"/>
  <c r="R942" i="1"/>
  <c r="AL943" i="1" l="1"/>
  <c r="Q944" i="1"/>
  <c r="T943" i="1"/>
  <c r="AD944" i="1"/>
  <c r="AV942" i="1"/>
  <c r="W942" i="1"/>
  <c r="R943" i="1"/>
  <c r="Y942" i="1"/>
  <c r="AV943" i="1" l="1"/>
  <c r="AD945" i="1"/>
  <c r="Q945" i="1"/>
  <c r="T944" i="1"/>
  <c r="AL944" i="1"/>
  <c r="Y943" i="1"/>
  <c r="W943" i="1"/>
  <c r="R944" i="1"/>
  <c r="AL945" i="1" l="1"/>
  <c r="Q946" i="1"/>
  <c r="T945" i="1"/>
  <c r="AV944" i="1"/>
  <c r="AD946" i="1"/>
  <c r="R945" i="1"/>
  <c r="W944" i="1"/>
  <c r="Y944" i="1"/>
  <c r="AD947" i="1" l="1"/>
  <c r="AV945" i="1"/>
  <c r="AL946" i="1"/>
  <c r="T946" i="1"/>
  <c r="Q947" i="1"/>
  <c r="Y945" i="1"/>
  <c r="R946" i="1"/>
  <c r="W945" i="1"/>
  <c r="Q948" i="1" l="1"/>
  <c r="T947" i="1"/>
  <c r="AL947" i="1"/>
  <c r="AV946" i="1"/>
  <c r="AD948" i="1"/>
  <c r="W946" i="1"/>
  <c r="Y946" i="1"/>
  <c r="R947" i="1"/>
  <c r="AL948" i="1" l="1"/>
  <c r="Q949" i="1"/>
  <c r="T948" i="1"/>
  <c r="AD949" i="1"/>
  <c r="AV947" i="1"/>
  <c r="Y947" i="1"/>
  <c r="W947" i="1"/>
  <c r="R948" i="1"/>
  <c r="AV948" i="1" l="1"/>
  <c r="AD950" i="1"/>
  <c r="Q950" i="1"/>
  <c r="T949" i="1"/>
  <c r="AL949" i="1"/>
  <c r="Y948" i="1"/>
  <c r="R949" i="1"/>
  <c r="W948" i="1"/>
  <c r="AL950" i="1" l="1"/>
  <c r="Q951" i="1"/>
  <c r="T950" i="1"/>
  <c r="AD951" i="1"/>
  <c r="AV949" i="1"/>
  <c r="W949" i="1"/>
  <c r="Y949" i="1"/>
  <c r="R950" i="1"/>
  <c r="AD952" i="1" l="1"/>
  <c r="AV950" i="1"/>
  <c r="Q952" i="1"/>
  <c r="T951" i="1"/>
  <c r="AL951" i="1"/>
  <c r="W950" i="1"/>
  <c r="R951" i="1"/>
  <c r="Y950" i="1"/>
  <c r="AL952" i="1" l="1"/>
  <c r="Q953" i="1"/>
  <c r="T952" i="1"/>
  <c r="AV951" i="1"/>
  <c r="AD953" i="1"/>
  <c r="W951" i="1"/>
  <c r="R952" i="1"/>
  <c r="Y951" i="1"/>
  <c r="AD954" i="1" l="1"/>
  <c r="AV952" i="1"/>
  <c r="Q954" i="1"/>
  <c r="T953" i="1"/>
  <c r="AL953" i="1"/>
  <c r="Y952" i="1"/>
  <c r="W952" i="1"/>
  <c r="R953" i="1"/>
  <c r="AL954" i="1" l="1"/>
  <c r="Q955" i="1"/>
  <c r="T954" i="1"/>
  <c r="AV953" i="1"/>
  <c r="AD955" i="1"/>
  <c r="Y953" i="1"/>
  <c r="R954" i="1"/>
  <c r="W953" i="1"/>
  <c r="AV954" i="1" l="1"/>
  <c r="AD956" i="1"/>
  <c r="Q956" i="1"/>
  <c r="T955" i="1"/>
  <c r="AL955" i="1"/>
  <c r="W954" i="1"/>
  <c r="Y954" i="1"/>
  <c r="R955" i="1"/>
  <c r="AL956" i="1" l="1"/>
  <c r="Q957" i="1"/>
  <c r="T956" i="1"/>
  <c r="AV955" i="1"/>
  <c r="AD957" i="1"/>
  <c r="R956" i="1"/>
  <c r="W955" i="1"/>
  <c r="Y955" i="1"/>
  <c r="AD958" i="1" l="1"/>
  <c r="AV956" i="1"/>
  <c r="Q958" i="1"/>
  <c r="T957" i="1"/>
  <c r="AL957" i="1"/>
  <c r="Y956" i="1"/>
  <c r="R957" i="1"/>
  <c r="W956" i="1"/>
  <c r="AL958" i="1" l="1"/>
  <c r="Q959" i="1"/>
  <c r="T958" i="1"/>
  <c r="AD959" i="1"/>
  <c r="AV957" i="1"/>
  <c r="R958" i="1"/>
  <c r="W957" i="1"/>
  <c r="Y957" i="1"/>
  <c r="AV958" i="1" l="1"/>
  <c r="AD960" i="1"/>
  <c r="Q960" i="1"/>
  <c r="T959" i="1"/>
  <c r="AL959" i="1"/>
  <c r="Y958" i="1"/>
  <c r="R959" i="1"/>
  <c r="W958" i="1"/>
  <c r="AL960" i="1" l="1"/>
  <c r="Q961" i="1"/>
  <c r="T960" i="1"/>
  <c r="AV959" i="1"/>
  <c r="AD961" i="1"/>
  <c r="W959" i="1"/>
  <c r="Y959" i="1"/>
  <c r="R960" i="1"/>
  <c r="AV960" i="1" l="1"/>
  <c r="AD962" i="1"/>
  <c r="Q962" i="1"/>
  <c r="T961" i="1"/>
  <c r="AL961" i="1"/>
  <c r="R961" i="1"/>
  <c r="Y960" i="1"/>
  <c r="W960" i="1"/>
  <c r="AL962" i="1" l="1"/>
  <c r="Q963" i="1"/>
  <c r="T962" i="1"/>
  <c r="AV961" i="1"/>
  <c r="AD963" i="1"/>
  <c r="Y961" i="1"/>
  <c r="W961" i="1"/>
  <c r="R962" i="1"/>
  <c r="AV962" i="1" l="1"/>
  <c r="AD964" i="1"/>
  <c r="Q964" i="1"/>
  <c r="T963" i="1"/>
  <c r="AL963" i="1"/>
  <c r="R963" i="1"/>
  <c r="Y962" i="1"/>
  <c r="W962" i="1"/>
  <c r="AL964" i="1" l="1"/>
  <c r="Q965" i="1"/>
  <c r="T964" i="1"/>
  <c r="AV963" i="1"/>
  <c r="AD965" i="1"/>
  <c r="W963" i="1"/>
  <c r="R964" i="1"/>
  <c r="Y963" i="1"/>
  <c r="AD966" i="1" l="1"/>
  <c r="AV964" i="1"/>
  <c r="Q966" i="1"/>
  <c r="T965" i="1"/>
  <c r="AL965" i="1"/>
  <c r="Y964" i="1"/>
  <c r="R965" i="1"/>
  <c r="W964" i="1"/>
  <c r="AL966" i="1" l="1"/>
  <c r="Q967" i="1"/>
  <c r="T966" i="1"/>
  <c r="AV965" i="1"/>
  <c r="AD967" i="1"/>
  <c r="Y965" i="1"/>
  <c r="R966" i="1"/>
  <c r="W965" i="1"/>
  <c r="AD968" i="1" l="1"/>
  <c r="AV966" i="1"/>
  <c r="Q968" i="1"/>
  <c r="T967" i="1"/>
  <c r="AL967" i="1"/>
  <c r="W966" i="1"/>
  <c r="R967" i="1"/>
  <c r="Y966" i="1"/>
  <c r="AL968" i="1" l="1"/>
  <c r="Q969" i="1"/>
  <c r="T968" i="1"/>
  <c r="AV967" i="1"/>
  <c r="AD969" i="1"/>
  <c r="R968" i="1"/>
  <c r="W967" i="1"/>
  <c r="Y967" i="1"/>
  <c r="AV968" i="1" l="1"/>
  <c r="AD970" i="1"/>
  <c r="Q970" i="1"/>
  <c r="T969" i="1"/>
  <c r="AL969" i="1"/>
  <c r="W968" i="1"/>
  <c r="R969" i="1"/>
  <c r="Y968" i="1"/>
  <c r="AL970" i="1" l="1"/>
  <c r="Q971" i="1"/>
  <c r="T970" i="1"/>
  <c r="AV969" i="1"/>
  <c r="AD971" i="1"/>
  <c r="W969" i="1"/>
  <c r="R970" i="1"/>
  <c r="Y969" i="1"/>
  <c r="AV970" i="1" l="1"/>
  <c r="AD972" i="1"/>
  <c r="Q972" i="1"/>
  <c r="T971" i="1"/>
  <c r="AL971" i="1"/>
  <c r="Y970" i="1"/>
  <c r="W970" i="1"/>
  <c r="R971" i="1"/>
  <c r="AL972" i="1" l="1"/>
  <c r="Q973" i="1"/>
  <c r="T972" i="1"/>
  <c r="AV971" i="1"/>
  <c r="AD973" i="1"/>
  <c r="Y971" i="1"/>
  <c r="W971" i="1"/>
  <c r="R972" i="1"/>
  <c r="AD974" i="1" l="1"/>
  <c r="AV972" i="1"/>
  <c r="Q974" i="1"/>
  <c r="T973" i="1"/>
  <c r="AL973" i="1"/>
  <c r="Y972" i="1"/>
  <c r="R973" i="1"/>
  <c r="W972" i="1"/>
  <c r="AL974" i="1" l="1"/>
  <c r="Q975" i="1"/>
  <c r="T974" i="1"/>
  <c r="AD975" i="1"/>
  <c r="AV973" i="1"/>
  <c r="W973" i="1"/>
  <c r="R974" i="1"/>
  <c r="Y973" i="1"/>
  <c r="AD976" i="1" l="1"/>
  <c r="AV974" i="1"/>
  <c r="Q976" i="1"/>
  <c r="T975" i="1"/>
  <c r="AL975" i="1"/>
  <c r="W974" i="1"/>
  <c r="R975" i="1"/>
  <c r="Y974" i="1"/>
  <c r="AL976" i="1" l="1"/>
  <c r="Q977" i="1"/>
  <c r="T976" i="1"/>
  <c r="AV975" i="1"/>
  <c r="AD977" i="1"/>
  <c r="Y975" i="1"/>
  <c r="R976" i="1"/>
  <c r="W975" i="1"/>
  <c r="AV976" i="1" l="1"/>
  <c r="AD978" i="1"/>
  <c r="Q978" i="1"/>
  <c r="T977" i="1"/>
  <c r="AL977" i="1"/>
  <c r="Y976" i="1"/>
  <c r="W976" i="1"/>
  <c r="R977" i="1"/>
  <c r="AL978" i="1" l="1"/>
  <c r="Q979" i="1"/>
  <c r="T978" i="1"/>
  <c r="AV977" i="1"/>
  <c r="AD979" i="1"/>
  <c r="W977" i="1"/>
  <c r="Y977" i="1"/>
  <c r="R978" i="1"/>
  <c r="AV978" i="1" l="1"/>
  <c r="AD980" i="1"/>
  <c r="Q980" i="1"/>
  <c r="T979" i="1"/>
  <c r="AL979" i="1"/>
  <c r="Y978" i="1"/>
  <c r="W978" i="1"/>
  <c r="R979" i="1"/>
  <c r="AL980" i="1" l="1"/>
  <c r="Q981" i="1"/>
  <c r="T980" i="1"/>
  <c r="AV979" i="1"/>
  <c r="AD981" i="1"/>
  <c r="Y979" i="1"/>
  <c r="W979" i="1"/>
  <c r="R980" i="1"/>
  <c r="AV980" i="1" l="1"/>
  <c r="AD982" i="1"/>
  <c r="Q982" i="1"/>
  <c r="T981" i="1"/>
  <c r="AL981" i="1"/>
  <c r="Y980" i="1"/>
  <c r="R981" i="1"/>
  <c r="W980" i="1"/>
  <c r="AL982" i="1" l="1"/>
  <c r="Q983" i="1"/>
  <c r="T982" i="1"/>
  <c r="AV981" i="1"/>
  <c r="AD983" i="1"/>
  <c r="Y981" i="1"/>
  <c r="R982" i="1"/>
  <c r="W981" i="1"/>
  <c r="AD984" i="1" l="1"/>
  <c r="AV982" i="1"/>
  <c r="Q984" i="1"/>
  <c r="T983" i="1"/>
  <c r="AL983" i="1"/>
  <c r="Y982" i="1"/>
  <c r="W982" i="1"/>
  <c r="R983" i="1"/>
  <c r="AL984" i="1" l="1"/>
  <c r="Q985" i="1"/>
  <c r="T984" i="1"/>
  <c r="AV983" i="1"/>
  <c r="AD985" i="1"/>
  <c r="R984" i="1"/>
  <c r="Y983" i="1"/>
  <c r="W983" i="1"/>
  <c r="AD986" i="1" l="1"/>
  <c r="AV984" i="1"/>
  <c r="Q986" i="1"/>
  <c r="T985" i="1"/>
  <c r="AL985" i="1"/>
  <c r="R985" i="1"/>
  <c r="W984" i="1"/>
  <c r="Y984" i="1"/>
  <c r="AL986" i="1" l="1"/>
  <c r="Q987" i="1"/>
  <c r="T986" i="1"/>
  <c r="AV985" i="1"/>
  <c r="AD987" i="1"/>
  <c r="R986" i="1"/>
  <c r="W985" i="1"/>
  <c r="Y985" i="1"/>
  <c r="AD988" i="1" l="1"/>
  <c r="AV986" i="1"/>
  <c r="Q988" i="1"/>
  <c r="T987" i="1"/>
  <c r="AL987" i="1"/>
  <c r="W986" i="1"/>
  <c r="R987" i="1"/>
  <c r="Y986" i="1"/>
  <c r="AL988" i="1" l="1"/>
  <c r="Q989" i="1"/>
  <c r="T988" i="1"/>
  <c r="AD989" i="1"/>
  <c r="AV987" i="1"/>
  <c r="Y987" i="1"/>
  <c r="W987" i="1"/>
  <c r="R988" i="1"/>
  <c r="AV988" i="1" l="1"/>
  <c r="AD990" i="1"/>
  <c r="Q990" i="1"/>
  <c r="T989" i="1"/>
  <c r="AL989" i="1"/>
  <c r="Y988" i="1"/>
  <c r="W988" i="1"/>
  <c r="R989" i="1"/>
  <c r="AL990" i="1" l="1"/>
  <c r="Q991" i="1"/>
  <c r="T990" i="1"/>
  <c r="AV989" i="1"/>
  <c r="AD991" i="1"/>
  <c r="Y989" i="1"/>
  <c r="R990" i="1"/>
  <c r="W989" i="1"/>
  <c r="AV990" i="1" l="1"/>
  <c r="AD992" i="1"/>
  <c r="Q992" i="1"/>
  <c r="T991" i="1"/>
  <c r="AL991" i="1"/>
  <c r="Y990" i="1"/>
  <c r="W990" i="1"/>
  <c r="R991" i="1"/>
  <c r="AL992" i="1" l="1"/>
  <c r="Q993" i="1"/>
  <c r="T992" i="1"/>
  <c r="AV991" i="1"/>
  <c r="AD993" i="1"/>
  <c r="Y991" i="1"/>
  <c r="W991" i="1"/>
  <c r="R992" i="1"/>
  <c r="AD994" i="1" l="1"/>
  <c r="AV992" i="1"/>
  <c r="Q994" i="1"/>
  <c r="T993" i="1"/>
  <c r="AL993" i="1"/>
  <c r="Y992" i="1"/>
  <c r="W992" i="1"/>
  <c r="R993" i="1"/>
  <c r="AL994" i="1" l="1"/>
  <c r="Q995" i="1"/>
  <c r="T994" i="1"/>
  <c r="AD995" i="1"/>
  <c r="AV993" i="1"/>
  <c r="Y993" i="1"/>
  <c r="W993" i="1"/>
  <c r="R994" i="1"/>
  <c r="AD996" i="1" l="1"/>
  <c r="AV994" i="1"/>
  <c r="Q996" i="1"/>
  <c r="T995" i="1"/>
  <c r="AL995" i="1"/>
  <c r="W994" i="1"/>
  <c r="R995" i="1"/>
  <c r="Y994" i="1"/>
  <c r="AL996" i="1" l="1"/>
  <c r="Q997" i="1"/>
  <c r="T996" i="1"/>
  <c r="AD997" i="1"/>
  <c r="AV995" i="1"/>
  <c r="R996" i="1"/>
  <c r="W995" i="1"/>
  <c r="Y995" i="1"/>
  <c r="AV996" i="1" l="1"/>
  <c r="AD998" i="1"/>
  <c r="Q998" i="1"/>
  <c r="T997" i="1"/>
  <c r="AL997" i="1"/>
  <c r="R997" i="1"/>
  <c r="Y996" i="1"/>
  <c r="W996" i="1"/>
  <c r="AL998" i="1" l="1"/>
  <c r="Q999" i="1"/>
  <c r="T998" i="1"/>
  <c r="AD999" i="1"/>
  <c r="AV997" i="1"/>
  <c r="Y997" i="1"/>
  <c r="R998" i="1"/>
  <c r="W997" i="1"/>
  <c r="AD1000" i="1" l="1"/>
  <c r="AV998" i="1"/>
  <c r="Q1000" i="1"/>
  <c r="T999" i="1"/>
  <c r="AL999" i="1"/>
  <c r="Y998" i="1"/>
  <c r="R999" i="1"/>
  <c r="W998" i="1"/>
  <c r="AL1000" i="1" l="1"/>
  <c r="Q1001" i="1"/>
  <c r="T1000" i="1"/>
  <c r="AV999" i="1"/>
  <c r="AD1001" i="1"/>
  <c r="R1000" i="1"/>
  <c r="W999" i="1"/>
  <c r="Y999" i="1"/>
  <c r="AD1002" i="1" l="1"/>
  <c r="AV1000" i="1"/>
  <c r="Q1002" i="1"/>
  <c r="T1001" i="1"/>
  <c r="AL1001" i="1"/>
  <c r="W1000" i="1"/>
  <c r="Y1000" i="1"/>
  <c r="R1001" i="1"/>
  <c r="AL1002" i="1" l="1"/>
  <c r="Q1003" i="1"/>
  <c r="T1002" i="1"/>
  <c r="AD1003" i="1"/>
  <c r="AV1001" i="1"/>
  <c r="Y1001" i="1"/>
  <c r="W1001" i="1"/>
  <c r="R1002" i="1"/>
  <c r="AD1004" i="1" l="1"/>
  <c r="AV1002" i="1"/>
  <c r="Q1004" i="1"/>
  <c r="T1003" i="1"/>
  <c r="AL1003" i="1"/>
  <c r="Y1002" i="1"/>
  <c r="W1002" i="1"/>
  <c r="R1003" i="1"/>
  <c r="AL1004" i="1" l="1"/>
  <c r="Q1005" i="1"/>
  <c r="T1004" i="1"/>
  <c r="AD1005" i="1"/>
  <c r="AV1003" i="1"/>
  <c r="Y1003" i="1"/>
  <c r="W1003" i="1"/>
  <c r="R1004" i="1"/>
  <c r="AD1006" i="1" l="1"/>
  <c r="AV1004" i="1"/>
  <c r="Q1006" i="1"/>
  <c r="T1005" i="1"/>
  <c r="AL1005" i="1"/>
  <c r="R1005" i="1"/>
  <c r="W1004" i="1"/>
  <c r="Y1004" i="1"/>
  <c r="AL1006" i="1" l="1"/>
  <c r="Q1007" i="1"/>
  <c r="T1006" i="1"/>
  <c r="AD1007" i="1"/>
  <c r="AV1005" i="1"/>
  <c r="Y1005" i="1"/>
  <c r="R1006" i="1"/>
  <c r="W1005" i="1"/>
  <c r="AD1008" i="1" l="1"/>
  <c r="AV1006" i="1"/>
  <c r="Q1008" i="1"/>
  <c r="T1007" i="1"/>
  <c r="AL1007" i="1"/>
  <c r="R1007" i="1"/>
  <c r="W1006" i="1"/>
  <c r="Y1006" i="1"/>
  <c r="AL1008" i="1" l="1"/>
  <c r="Q1009" i="1"/>
  <c r="T1008" i="1"/>
  <c r="AD1009" i="1"/>
  <c r="AV1007" i="1"/>
  <c r="W1007" i="1"/>
  <c r="R1008" i="1"/>
  <c r="Y1007" i="1"/>
  <c r="AV1008" i="1" l="1"/>
  <c r="AD1010" i="1"/>
  <c r="Q1010" i="1"/>
  <c r="T1009" i="1"/>
  <c r="AL1009" i="1"/>
  <c r="W1008" i="1"/>
  <c r="R1009" i="1"/>
  <c r="Y1008" i="1"/>
  <c r="AL1010" i="1" l="1"/>
  <c r="Q1011" i="1"/>
  <c r="T1010" i="1"/>
  <c r="AV1009" i="1"/>
  <c r="AD1011" i="1"/>
  <c r="R1010" i="1"/>
  <c r="W1009" i="1"/>
  <c r="Y1009" i="1"/>
  <c r="AV1010" i="1" l="1"/>
  <c r="AD1012" i="1"/>
  <c r="Q1012" i="1"/>
  <c r="T1011" i="1"/>
  <c r="AL1011" i="1"/>
  <c r="Y1010" i="1"/>
  <c r="W1010" i="1"/>
  <c r="R1011" i="1"/>
  <c r="AL1012" i="1" l="1"/>
  <c r="Q1013" i="1"/>
  <c r="T1012" i="1"/>
  <c r="AV1011" i="1"/>
  <c r="AD1013" i="1"/>
  <c r="R1012" i="1"/>
  <c r="W1011" i="1"/>
  <c r="Y1011" i="1"/>
  <c r="AV1012" i="1" l="1"/>
  <c r="AD1014" i="1"/>
  <c r="Q1014" i="1"/>
  <c r="T1013" i="1"/>
  <c r="AL1013" i="1"/>
  <c r="Y1012" i="1"/>
  <c r="R1013" i="1"/>
  <c r="W1012" i="1"/>
  <c r="AL1014" i="1" l="1"/>
  <c r="Q1015" i="1"/>
  <c r="T1014" i="1"/>
  <c r="AD1015" i="1"/>
  <c r="AV1013" i="1"/>
  <c r="R1014" i="1"/>
  <c r="W1013" i="1"/>
  <c r="Y1013" i="1"/>
  <c r="AD1016" i="1" l="1"/>
  <c r="AV1014" i="1"/>
  <c r="Q1016" i="1"/>
  <c r="T1015" i="1"/>
  <c r="AL1015" i="1"/>
  <c r="R1015" i="1"/>
  <c r="W1014" i="1"/>
  <c r="Y1014" i="1"/>
  <c r="AL1016" i="1" l="1"/>
  <c r="Q1017" i="1"/>
  <c r="T1016" i="1"/>
  <c r="AD1017" i="1"/>
  <c r="AV1015" i="1"/>
  <c r="W1015" i="1"/>
  <c r="Y1015" i="1"/>
  <c r="R1016" i="1"/>
  <c r="AV1016" i="1" l="1"/>
  <c r="AD1018" i="1"/>
  <c r="Q1018" i="1"/>
  <c r="T1017" i="1"/>
  <c r="AL1017" i="1"/>
  <c r="W1016" i="1"/>
  <c r="R1017" i="1"/>
  <c r="Y1016" i="1"/>
  <c r="AL1018" i="1" l="1"/>
  <c r="Q1019" i="1"/>
  <c r="T1018" i="1"/>
  <c r="AD1019" i="1"/>
  <c r="AV1017" i="1"/>
  <c r="R1018" i="1"/>
  <c r="Y1017" i="1"/>
  <c r="W1017" i="1"/>
  <c r="AD1020" i="1" l="1"/>
  <c r="AV1018" i="1"/>
  <c r="Q1020" i="1"/>
  <c r="T1019" i="1"/>
  <c r="AL1019" i="1"/>
  <c r="Y1018" i="1"/>
  <c r="W1018" i="1"/>
  <c r="R1019" i="1"/>
  <c r="AL1020" i="1" l="1"/>
  <c r="Q1021" i="1"/>
  <c r="T1020" i="1"/>
  <c r="AD1021" i="1"/>
  <c r="AV1019" i="1"/>
  <c r="W1019" i="1"/>
  <c r="Y1019" i="1"/>
  <c r="R1020" i="1"/>
  <c r="AD1022" i="1" l="1"/>
  <c r="AV1020" i="1"/>
  <c r="Q1022" i="1"/>
  <c r="T1021" i="1"/>
  <c r="AL1021" i="1"/>
  <c r="W1020" i="1"/>
  <c r="Y1020" i="1"/>
  <c r="R1021" i="1"/>
  <c r="AL1022" i="1" l="1"/>
  <c r="Q1023" i="1"/>
  <c r="T1022" i="1"/>
  <c r="AD1023" i="1"/>
  <c r="AV1021" i="1"/>
  <c r="Y1021" i="1"/>
  <c r="W1021" i="1"/>
  <c r="R1022" i="1"/>
  <c r="AD1024" i="1" l="1"/>
  <c r="AV1022" i="1"/>
  <c r="Q1024" i="1"/>
  <c r="T1023" i="1"/>
  <c r="AL1023" i="1"/>
  <c r="R1023" i="1"/>
  <c r="W1022" i="1"/>
  <c r="Y1022" i="1"/>
  <c r="AL1024" i="1" l="1"/>
  <c r="Q1025" i="1"/>
  <c r="T1024" i="1"/>
  <c r="AD1025" i="1"/>
  <c r="AV1023" i="1"/>
  <c r="Y1023" i="1"/>
  <c r="R1024" i="1"/>
  <c r="W1023" i="1"/>
  <c r="AD1026" i="1" l="1"/>
  <c r="AV1024" i="1"/>
  <c r="Q1026" i="1"/>
  <c r="T1025" i="1"/>
  <c r="AL1025" i="1"/>
  <c r="W1024" i="1"/>
  <c r="Y1024" i="1"/>
  <c r="R1025" i="1"/>
  <c r="AL1026" i="1" l="1"/>
  <c r="Q1027" i="1"/>
  <c r="T1026" i="1"/>
  <c r="AD1027" i="1"/>
  <c r="AV1025" i="1"/>
  <c r="R1026" i="1"/>
  <c r="Y1025" i="1"/>
  <c r="W1025" i="1"/>
  <c r="AD1028" i="1" l="1"/>
  <c r="AV1026" i="1"/>
  <c r="Q1028" i="1"/>
  <c r="T1027" i="1"/>
  <c r="AL1027" i="1"/>
  <c r="R1027" i="1"/>
  <c r="Y1026" i="1"/>
  <c r="W1026" i="1"/>
  <c r="AL1028" i="1" l="1"/>
  <c r="Q1029" i="1"/>
  <c r="T1028" i="1"/>
  <c r="AD1029" i="1"/>
  <c r="AV1027" i="1"/>
  <c r="R1028" i="1"/>
  <c r="W1027" i="1"/>
  <c r="Y1027" i="1"/>
  <c r="AV1028" i="1" l="1"/>
  <c r="AD1030" i="1"/>
  <c r="Q1030" i="1"/>
  <c r="T1029" i="1"/>
  <c r="AL1029" i="1"/>
  <c r="R1029" i="1"/>
  <c r="Y1028" i="1"/>
  <c r="W1028" i="1"/>
  <c r="AL1030" i="1" l="1"/>
  <c r="Q1031" i="1"/>
  <c r="T1030" i="1"/>
  <c r="AD1031" i="1"/>
  <c r="AV1029" i="1"/>
  <c r="R1030" i="1"/>
  <c r="Y1029" i="1"/>
  <c r="W1029" i="1"/>
  <c r="AD1032" i="1" l="1"/>
  <c r="AV1030" i="1"/>
  <c r="Q1032" i="1"/>
  <c r="T1031" i="1"/>
  <c r="AL1031" i="1"/>
  <c r="Y1030" i="1"/>
  <c r="R1031" i="1"/>
  <c r="W1030" i="1"/>
  <c r="AL1032" i="1" l="1"/>
  <c r="Q1033" i="1"/>
  <c r="T1032" i="1"/>
  <c r="AV1031" i="1"/>
  <c r="AD1033" i="1"/>
  <c r="R1032" i="1"/>
  <c r="Y1031" i="1"/>
  <c r="W1031" i="1"/>
  <c r="AD1034" i="1" l="1"/>
  <c r="AV1032" i="1"/>
  <c r="Q1034" i="1"/>
  <c r="T1033" i="1"/>
  <c r="AL1033" i="1"/>
  <c r="W1032" i="1"/>
  <c r="R1033" i="1"/>
  <c r="Y1032" i="1"/>
  <c r="AL1034" i="1" l="1"/>
  <c r="Q1035" i="1"/>
  <c r="T1034" i="1"/>
  <c r="AD1035" i="1"/>
  <c r="AV1033" i="1"/>
  <c r="Y1033" i="1"/>
  <c r="R1034" i="1"/>
  <c r="W1033" i="1"/>
  <c r="AD1036" i="1" l="1"/>
  <c r="AV1034" i="1"/>
  <c r="Q1036" i="1"/>
  <c r="T1035" i="1"/>
  <c r="AL1035" i="1"/>
  <c r="W1034" i="1"/>
  <c r="R1035" i="1"/>
  <c r="Y1034" i="1"/>
  <c r="AL1036" i="1" l="1"/>
  <c r="Q1037" i="1"/>
  <c r="T1036" i="1"/>
  <c r="AD1037" i="1"/>
  <c r="AV1035" i="1"/>
  <c r="W1035" i="1"/>
  <c r="Y1035" i="1"/>
  <c r="R1036" i="1"/>
  <c r="AV1036" i="1" l="1"/>
  <c r="AD1038" i="1"/>
  <c r="Q1038" i="1"/>
  <c r="T1037" i="1"/>
  <c r="AL1037" i="1"/>
  <c r="Y1036" i="1"/>
  <c r="R1037" i="1"/>
  <c r="W1036" i="1"/>
  <c r="AL1038" i="1" l="1"/>
  <c r="Q1039" i="1"/>
  <c r="T1038" i="1"/>
  <c r="AV1037" i="1"/>
  <c r="AD1039" i="1"/>
  <c r="Y1037" i="1"/>
  <c r="W1037" i="1"/>
  <c r="R1038" i="1"/>
  <c r="AV1038" i="1" l="1"/>
  <c r="AD1040" i="1"/>
  <c r="Q1040" i="1"/>
  <c r="T1039" i="1"/>
  <c r="AL1039" i="1"/>
  <c r="W1038" i="1"/>
  <c r="Y1038" i="1"/>
  <c r="R1039" i="1"/>
  <c r="AL1040" i="1" l="1"/>
  <c r="Q1041" i="1"/>
  <c r="T1040" i="1"/>
  <c r="AV1039" i="1"/>
  <c r="AD1041" i="1"/>
  <c r="R1040" i="1"/>
  <c r="W1039" i="1"/>
  <c r="Y1039" i="1"/>
  <c r="AV1040" i="1" l="1"/>
  <c r="AD1042" i="1"/>
  <c r="Q1042" i="1"/>
  <c r="T1041" i="1"/>
  <c r="AL1041" i="1"/>
  <c r="R1041" i="1"/>
  <c r="W1040" i="1"/>
  <c r="Y1040" i="1"/>
  <c r="AL1042" i="1" l="1"/>
  <c r="Q1043" i="1"/>
  <c r="T1042" i="1"/>
  <c r="AD1043" i="1"/>
  <c r="AV1041" i="1"/>
  <c r="Y1041" i="1"/>
  <c r="W1041" i="1"/>
  <c r="R1042" i="1"/>
  <c r="AD1044" i="1" l="1"/>
  <c r="AV1042" i="1"/>
  <c r="Q1044" i="1"/>
  <c r="T1043" i="1"/>
  <c r="AL1043" i="1"/>
  <c r="R1043" i="1"/>
  <c r="Y1042" i="1"/>
  <c r="W1042" i="1"/>
  <c r="AL1044" i="1" l="1"/>
  <c r="Q1045" i="1"/>
  <c r="T1044" i="1"/>
  <c r="AV1043" i="1"/>
  <c r="AD1045" i="1"/>
  <c r="R1044" i="1"/>
  <c r="Y1043" i="1"/>
  <c r="W1043" i="1"/>
  <c r="AV1044" i="1" l="1"/>
  <c r="AD1046" i="1"/>
  <c r="Q1046" i="1"/>
  <c r="T1045" i="1"/>
  <c r="AL1045" i="1"/>
  <c r="Y1044" i="1"/>
  <c r="W1044" i="1"/>
  <c r="R1045" i="1"/>
  <c r="AL1046" i="1" l="1"/>
  <c r="Q1047" i="1"/>
  <c r="T1046" i="1"/>
  <c r="AV1045" i="1"/>
  <c r="AD1047" i="1"/>
  <c r="R1046" i="1"/>
  <c r="W1045" i="1"/>
  <c r="Y1045" i="1"/>
  <c r="AV1046" i="1" l="1"/>
  <c r="AD1048" i="1"/>
  <c r="Q1048" i="1"/>
  <c r="T1047" i="1"/>
  <c r="AL1047" i="1"/>
  <c r="Y1046" i="1"/>
  <c r="W1046" i="1"/>
  <c r="R1047" i="1"/>
  <c r="AL1048" i="1" l="1"/>
  <c r="Q1049" i="1"/>
  <c r="T1048" i="1"/>
  <c r="AD1049" i="1"/>
  <c r="AV1047" i="1"/>
  <c r="W1047" i="1"/>
  <c r="Y1047" i="1"/>
  <c r="R1048" i="1"/>
  <c r="AV1048" i="1" l="1"/>
  <c r="AD1050" i="1"/>
  <c r="Q1050" i="1"/>
  <c r="T1049" i="1"/>
  <c r="AL1049" i="1"/>
  <c r="W1048" i="1"/>
  <c r="R1049" i="1"/>
  <c r="Y1048" i="1"/>
  <c r="AL1050" i="1" l="1"/>
  <c r="Q1051" i="1"/>
  <c r="T1050" i="1"/>
  <c r="AV1049" i="1"/>
  <c r="AD1051" i="1"/>
  <c r="Y1049" i="1"/>
  <c r="W1049" i="1"/>
  <c r="R1050" i="1"/>
  <c r="AV1050" i="1" l="1"/>
  <c r="AD1052" i="1"/>
  <c r="Q1052" i="1"/>
  <c r="T1051" i="1"/>
  <c r="AL1051" i="1"/>
  <c r="R1051" i="1"/>
  <c r="Y1050" i="1"/>
  <c r="W1050" i="1"/>
  <c r="AL1052" i="1" l="1"/>
  <c r="Q1053" i="1"/>
  <c r="T1052" i="1"/>
  <c r="AV1051" i="1"/>
  <c r="AD1053" i="1"/>
  <c r="Y1051" i="1"/>
  <c r="R1052" i="1"/>
  <c r="W1051" i="1"/>
  <c r="AD1054" i="1" l="1"/>
  <c r="AV1052" i="1"/>
  <c r="Q1054" i="1"/>
  <c r="T1053" i="1"/>
  <c r="AL1053" i="1"/>
  <c r="R1053" i="1"/>
  <c r="W1052" i="1"/>
  <c r="Y1052" i="1"/>
  <c r="AL1054" i="1" l="1"/>
  <c r="Q1055" i="1"/>
  <c r="T1054" i="1"/>
  <c r="AD1055" i="1"/>
  <c r="AV1053" i="1"/>
  <c r="W1053" i="1"/>
  <c r="R1054" i="1"/>
  <c r="Y1053" i="1"/>
  <c r="AD1056" i="1" l="1"/>
  <c r="AV1054" i="1"/>
  <c r="Q1056" i="1"/>
  <c r="T1055" i="1"/>
  <c r="AL1055" i="1"/>
  <c r="Y1054" i="1"/>
  <c r="W1054" i="1"/>
  <c r="R1055" i="1"/>
  <c r="AL1056" i="1" l="1"/>
  <c r="Q1057" i="1"/>
  <c r="T1056" i="1"/>
  <c r="AV1055" i="1"/>
  <c r="AD1057" i="1"/>
  <c r="W1055" i="1"/>
  <c r="Y1055" i="1"/>
  <c r="R1056" i="1"/>
  <c r="AD1058" i="1" l="1"/>
  <c r="AV1056" i="1"/>
  <c r="Q1058" i="1"/>
  <c r="T1057" i="1"/>
  <c r="AL1057" i="1"/>
  <c r="Y1056" i="1"/>
  <c r="W1056" i="1"/>
  <c r="R1057" i="1"/>
  <c r="AL1058" i="1" l="1"/>
  <c r="Q1059" i="1"/>
  <c r="T1058" i="1"/>
  <c r="AD1059" i="1"/>
  <c r="AV1057" i="1"/>
  <c r="R1058" i="1"/>
  <c r="W1057" i="1"/>
  <c r="Y1057" i="1"/>
  <c r="AD1060" i="1" l="1"/>
  <c r="AV1058" i="1"/>
  <c r="Q1060" i="1"/>
  <c r="T1059" i="1"/>
  <c r="AL1059" i="1"/>
  <c r="W1058" i="1"/>
  <c r="R1059" i="1"/>
  <c r="Y1058" i="1"/>
  <c r="AL1060" i="1" l="1"/>
  <c r="Q1061" i="1"/>
  <c r="T1060" i="1"/>
  <c r="AD1061" i="1"/>
  <c r="AV1059" i="1"/>
  <c r="W1059" i="1"/>
  <c r="Y1059" i="1"/>
  <c r="R1060" i="1"/>
  <c r="AV1060" i="1" l="1"/>
  <c r="AD1062" i="1"/>
  <c r="Q1062" i="1"/>
  <c r="T1061" i="1"/>
  <c r="AL1061" i="1"/>
  <c r="R1061" i="1"/>
  <c r="Y1060" i="1"/>
  <c r="W1060" i="1"/>
  <c r="AL1062" i="1" l="1"/>
  <c r="Q1063" i="1"/>
  <c r="T1062" i="1"/>
  <c r="AD1063" i="1"/>
  <c r="AV1061" i="1"/>
  <c r="Y1061" i="1"/>
  <c r="W1061" i="1"/>
  <c r="R1062" i="1"/>
  <c r="AD1064" i="1" l="1"/>
  <c r="AV1062" i="1"/>
  <c r="Q1064" i="1"/>
  <c r="T1063" i="1"/>
  <c r="AL1063" i="1"/>
  <c r="R1063" i="1"/>
  <c r="W1062" i="1"/>
  <c r="Y1062" i="1"/>
  <c r="AL1064" i="1" l="1"/>
  <c r="Q1065" i="1"/>
  <c r="T1064" i="1"/>
  <c r="AV1063" i="1"/>
  <c r="AD1065" i="1"/>
  <c r="Y1063" i="1"/>
  <c r="R1064" i="1"/>
  <c r="W1063" i="1"/>
  <c r="AD1066" i="1" l="1"/>
  <c r="AV1064" i="1"/>
  <c r="Q1066" i="1"/>
  <c r="T1065" i="1"/>
  <c r="AL1065" i="1"/>
  <c r="Y1064" i="1"/>
  <c r="W1064" i="1"/>
  <c r="R1065" i="1"/>
  <c r="AL1066" i="1" l="1"/>
  <c r="Q1067" i="1"/>
  <c r="T1066" i="1"/>
  <c r="AD1067" i="1"/>
  <c r="AV1065" i="1"/>
  <c r="R1066" i="1"/>
  <c r="W1065" i="1"/>
  <c r="Y1065" i="1"/>
  <c r="AV1066" i="1" l="1"/>
  <c r="AD1068" i="1"/>
  <c r="Q1068" i="1"/>
  <c r="T1067" i="1"/>
  <c r="AL1067" i="1"/>
  <c r="Y1066" i="1"/>
  <c r="W1066" i="1"/>
  <c r="R1067" i="1"/>
  <c r="AL1068" i="1" l="1"/>
  <c r="Q1069" i="1"/>
  <c r="T1068" i="1"/>
  <c r="AV1067" i="1"/>
  <c r="AD1069" i="1"/>
  <c r="R1068" i="1"/>
  <c r="Y1067" i="1"/>
  <c r="W1067" i="1"/>
  <c r="AD1070" i="1" l="1"/>
  <c r="AV1068" i="1"/>
  <c r="Q1070" i="1"/>
  <c r="T1069" i="1"/>
  <c r="AL1069" i="1"/>
  <c r="R1069" i="1"/>
  <c r="W1068" i="1"/>
  <c r="Y1068" i="1"/>
  <c r="AL1070" i="1" l="1"/>
  <c r="Q1071" i="1"/>
  <c r="T1070" i="1"/>
  <c r="AD1071" i="1"/>
  <c r="AV1069" i="1"/>
  <c r="Y1069" i="1"/>
  <c r="R1070" i="1"/>
  <c r="W1069" i="1"/>
  <c r="AD1072" i="1" l="1"/>
  <c r="AV1070" i="1"/>
  <c r="Q1072" i="1"/>
  <c r="T1071" i="1"/>
  <c r="AL1071" i="1"/>
  <c r="R1071" i="1"/>
  <c r="Y1070" i="1"/>
  <c r="W1070" i="1"/>
  <c r="AL1072" i="1" l="1"/>
  <c r="Q1073" i="1"/>
  <c r="T1072" i="1"/>
  <c r="AD1073" i="1"/>
  <c r="AV1071" i="1"/>
  <c r="R1072" i="1"/>
  <c r="W1071" i="1"/>
  <c r="Y1071" i="1"/>
  <c r="AD1074" i="1" l="1"/>
  <c r="AV1072" i="1"/>
  <c r="Q1074" i="1"/>
  <c r="T1073" i="1"/>
  <c r="AL1073" i="1"/>
  <c r="R1073" i="1"/>
  <c r="Y1072" i="1"/>
  <c r="W1072" i="1"/>
  <c r="AL1074" i="1" l="1"/>
  <c r="Q1075" i="1"/>
  <c r="T1074" i="1"/>
  <c r="AD1075" i="1"/>
  <c r="AV1073" i="1"/>
  <c r="R1074" i="1"/>
  <c r="W1073" i="1"/>
  <c r="Y1073" i="1"/>
  <c r="AD1076" i="1" l="1"/>
  <c r="AV1074" i="1"/>
  <c r="Q1076" i="1"/>
  <c r="T1075" i="1"/>
  <c r="AL1075" i="1"/>
  <c r="R1075" i="1"/>
  <c r="W1074" i="1"/>
  <c r="Y1074" i="1"/>
  <c r="AL1076" i="1" l="1"/>
  <c r="Q1077" i="1"/>
  <c r="T1076" i="1"/>
  <c r="AV1075" i="1"/>
  <c r="AD1077" i="1"/>
  <c r="R1076" i="1"/>
  <c r="W1075" i="1"/>
  <c r="Y1075" i="1"/>
  <c r="AV1076" i="1" l="1"/>
  <c r="AD1078" i="1"/>
  <c r="Q1078" i="1"/>
  <c r="T1077" i="1"/>
  <c r="AL1077" i="1"/>
  <c r="W1076" i="1"/>
  <c r="Y1076" i="1"/>
  <c r="R1077" i="1"/>
  <c r="AL1078" i="1" l="1"/>
  <c r="Q1079" i="1"/>
  <c r="T1078" i="1"/>
  <c r="AV1077" i="1"/>
  <c r="AD1079" i="1"/>
  <c r="Y1077" i="1"/>
  <c r="W1077" i="1"/>
  <c r="R1078" i="1"/>
  <c r="AV1078" i="1" l="1"/>
  <c r="AD1080" i="1"/>
  <c r="Q1080" i="1"/>
  <c r="T1079" i="1"/>
  <c r="AL1079" i="1"/>
  <c r="W1078" i="1"/>
  <c r="Y1078" i="1"/>
  <c r="R1079" i="1"/>
  <c r="AL1080" i="1" l="1"/>
  <c r="Q1081" i="1"/>
  <c r="T1080" i="1"/>
  <c r="AD1081" i="1"/>
  <c r="AV1079" i="1"/>
  <c r="W1079" i="1"/>
  <c r="R1080" i="1"/>
  <c r="Y1079" i="1"/>
  <c r="AD1082" i="1" l="1"/>
  <c r="AV1080" i="1"/>
  <c r="Q1082" i="1"/>
  <c r="T1081" i="1"/>
  <c r="AL1081" i="1"/>
  <c r="W1080" i="1"/>
  <c r="R1081" i="1"/>
  <c r="Y1080" i="1"/>
  <c r="AL1082" i="1" l="1"/>
  <c r="Q1083" i="1"/>
  <c r="T1082" i="1"/>
  <c r="AD1083" i="1"/>
  <c r="AV1081" i="1"/>
  <c r="R1082" i="1"/>
  <c r="W1081" i="1"/>
  <c r="Y1081" i="1"/>
  <c r="AD1084" i="1" l="1"/>
  <c r="AV1082" i="1"/>
  <c r="Q1084" i="1"/>
  <c r="T1083" i="1"/>
  <c r="AL1083" i="1"/>
  <c r="W1082" i="1"/>
  <c r="R1083" i="1"/>
  <c r="Y1082" i="1"/>
  <c r="AL1084" i="1" l="1"/>
  <c r="Q1085" i="1"/>
  <c r="T1084" i="1"/>
  <c r="AV1083" i="1"/>
  <c r="AD1085" i="1"/>
  <c r="W1083" i="1"/>
  <c r="R1084" i="1"/>
  <c r="Y1083" i="1"/>
  <c r="AV1084" i="1" l="1"/>
  <c r="AD1086" i="1"/>
  <c r="Q1086" i="1"/>
  <c r="T1085" i="1"/>
  <c r="AL1085" i="1"/>
  <c r="W1084" i="1"/>
  <c r="Y1084" i="1"/>
  <c r="R1085" i="1"/>
  <c r="AL1086" i="1" l="1"/>
  <c r="Q1087" i="1"/>
  <c r="T1086" i="1"/>
  <c r="AV1085" i="1"/>
  <c r="AD1087" i="1"/>
  <c r="R1086" i="1"/>
  <c r="Y1085" i="1"/>
  <c r="W1085" i="1"/>
  <c r="AV1086" i="1" l="1"/>
  <c r="AD1088" i="1"/>
  <c r="Q1088" i="1"/>
  <c r="T1087" i="1"/>
  <c r="AL1087" i="1"/>
  <c r="Y1086" i="1"/>
  <c r="W1086" i="1"/>
  <c r="R1087" i="1"/>
  <c r="AL1088" i="1" l="1"/>
  <c r="Q1089" i="1"/>
  <c r="T1088" i="1"/>
  <c r="AV1087" i="1"/>
  <c r="AD1089" i="1"/>
  <c r="Y1087" i="1"/>
  <c r="R1088" i="1"/>
  <c r="W1087" i="1"/>
  <c r="AD1090" i="1" l="1"/>
  <c r="AV1088" i="1"/>
  <c r="Q1090" i="1"/>
  <c r="T1089" i="1"/>
  <c r="AL1089" i="1"/>
  <c r="R1089" i="1"/>
  <c r="Y1088" i="1"/>
  <c r="W1088" i="1"/>
  <c r="AL1090" i="1" l="1"/>
  <c r="Q1091" i="1"/>
  <c r="T1090" i="1"/>
  <c r="AD1091" i="1"/>
  <c r="AV1089" i="1"/>
  <c r="W1089" i="1"/>
  <c r="R1090" i="1"/>
  <c r="Y1089" i="1"/>
  <c r="AD1092" i="1" l="1"/>
  <c r="AV1090" i="1"/>
  <c r="Q1092" i="1"/>
  <c r="T1091" i="1"/>
  <c r="AL1091" i="1"/>
  <c r="W1090" i="1"/>
  <c r="R1091" i="1"/>
  <c r="Y1090" i="1"/>
  <c r="AL1092" i="1" l="1"/>
  <c r="Q1093" i="1"/>
  <c r="T1092" i="1"/>
  <c r="AD1093" i="1"/>
  <c r="AV1091" i="1"/>
  <c r="R1092" i="1"/>
  <c r="Y1091" i="1"/>
  <c r="W1091" i="1"/>
  <c r="AV1092" i="1" l="1"/>
  <c r="AD1094" i="1"/>
  <c r="Q1094" i="1"/>
  <c r="T1093" i="1"/>
  <c r="AL1093" i="1"/>
  <c r="Y1092" i="1"/>
  <c r="W1092" i="1"/>
  <c r="R1093" i="1"/>
  <c r="AL1094" i="1" l="1"/>
  <c r="Q1095" i="1"/>
  <c r="T1094" i="1"/>
  <c r="AV1093" i="1"/>
  <c r="AD1095" i="1"/>
  <c r="R1094" i="1"/>
  <c r="W1093" i="1"/>
  <c r="Y1093" i="1"/>
  <c r="AV1094" i="1" l="1"/>
  <c r="AD1096" i="1"/>
  <c r="Q1096" i="1"/>
  <c r="T1095" i="1"/>
  <c r="AL1095" i="1"/>
  <c r="R1095" i="1"/>
  <c r="W1094" i="1"/>
  <c r="Y1094" i="1"/>
  <c r="AL1096" i="1" l="1"/>
  <c r="Q1097" i="1"/>
  <c r="T1096" i="1"/>
  <c r="AD1097" i="1"/>
  <c r="AV1095" i="1"/>
  <c r="R1096" i="1"/>
  <c r="Y1095" i="1"/>
  <c r="W1095" i="1"/>
  <c r="AD1098" i="1" l="1"/>
  <c r="AV1096" i="1"/>
  <c r="Q1098" i="1"/>
  <c r="T1097" i="1"/>
  <c r="AL1097" i="1"/>
  <c r="R1097" i="1"/>
  <c r="W1096" i="1"/>
  <c r="Y1096" i="1"/>
  <c r="AL1098" i="1" l="1"/>
  <c r="Q1099" i="1"/>
  <c r="T1098" i="1"/>
  <c r="AD1099" i="1"/>
  <c r="AV1097" i="1"/>
  <c r="R1098" i="1"/>
  <c r="Y1097" i="1"/>
  <c r="W1097" i="1"/>
  <c r="AV1098" i="1" l="1"/>
  <c r="AD1100" i="1"/>
  <c r="Q1100" i="1"/>
  <c r="T1099" i="1"/>
  <c r="AL1099" i="1"/>
  <c r="Y1098" i="1"/>
  <c r="R1099" i="1"/>
  <c r="W1098" i="1"/>
  <c r="AL1100" i="1" l="1"/>
  <c r="Q1101" i="1"/>
  <c r="T1100" i="1"/>
  <c r="AV1099" i="1"/>
  <c r="AD1101" i="1"/>
  <c r="R1100" i="1"/>
  <c r="Y1099" i="1"/>
  <c r="W1099" i="1"/>
  <c r="AV1100" i="1" l="1"/>
  <c r="AD1102" i="1"/>
  <c r="Q1102" i="1"/>
  <c r="T1101" i="1"/>
  <c r="AL1101" i="1"/>
  <c r="W1100" i="1"/>
  <c r="R1101" i="1"/>
  <c r="Y1100" i="1"/>
  <c r="AL1102" i="1" l="1"/>
  <c r="Q1103" i="1"/>
  <c r="T1102" i="1"/>
  <c r="AV1101" i="1"/>
  <c r="AD1103" i="1"/>
  <c r="R1102" i="1"/>
  <c r="W1101" i="1"/>
  <c r="Y1101" i="1"/>
  <c r="AV1102" i="1" l="1"/>
  <c r="AD1104" i="1"/>
  <c r="Q1104" i="1"/>
  <c r="T1103" i="1"/>
  <c r="AL1103" i="1"/>
  <c r="R1103" i="1"/>
  <c r="Y1102" i="1"/>
  <c r="W1102" i="1"/>
  <c r="AL1104" i="1" l="1"/>
  <c r="Q1105" i="1"/>
  <c r="T1104" i="1"/>
  <c r="AV1103" i="1"/>
  <c r="AD1105" i="1"/>
  <c r="Y1103" i="1"/>
  <c r="R1104" i="1"/>
  <c r="W1103" i="1"/>
  <c r="AD1106" i="1" l="1"/>
  <c r="AV1104" i="1"/>
  <c r="Q1106" i="1"/>
  <c r="T1105" i="1"/>
  <c r="AL1105" i="1"/>
  <c r="R1105" i="1"/>
  <c r="W1104" i="1"/>
  <c r="Y1104" i="1"/>
  <c r="AL1106" i="1" l="1"/>
  <c r="Q1107" i="1"/>
  <c r="T1106" i="1"/>
  <c r="AD1107" i="1"/>
  <c r="AV1105" i="1"/>
  <c r="R1106" i="1"/>
  <c r="Y1105" i="1"/>
  <c r="W1105" i="1"/>
  <c r="AD1108" i="1" l="1"/>
  <c r="AV1106" i="1"/>
  <c r="Q1108" i="1"/>
  <c r="T1107" i="1"/>
  <c r="AL1107" i="1"/>
  <c r="W1106" i="1"/>
  <c r="Y1106" i="1"/>
  <c r="R1107" i="1"/>
  <c r="AL1108" i="1" l="1"/>
  <c r="Q1109" i="1"/>
  <c r="T1108" i="1"/>
  <c r="AV1107" i="1"/>
  <c r="AD1109" i="1"/>
  <c r="R1108" i="1"/>
  <c r="W1107" i="1"/>
  <c r="Y1107" i="1"/>
  <c r="AD1110" i="1" l="1"/>
  <c r="AV1108" i="1"/>
  <c r="Q1110" i="1"/>
  <c r="T1109" i="1"/>
  <c r="AL1109" i="1"/>
  <c r="W1108" i="1"/>
  <c r="Y1108" i="1"/>
  <c r="R1109" i="1"/>
  <c r="AL1110" i="1" l="1"/>
  <c r="Q1111" i="1"/>
  <c r="T1110" i="1"/>
  <c r="AD1111" i="1"/>
  <c r="AV1109" i="1"/>
  <c r="Y1109" i="1"/>
  <c r="W1109" i="1"/>
  <c r="R1110" i="1"/>
  <c r="AD1112" i="1" l="1"/>
  <c r="AV1110" i="1"/>
  <c r="Q1112" i="1"/>
  <c r="T1111" i="1"/>
  <c r="AL1111" i="1"/>
  <c r="Y1110" i="1"/>
  <c r="R1111" i="1"/>
  <c r="W1110" i="1"/>
  <c r="AL1112" i="1" l="1"/>
  <c r="Q1113" i="1"/>
  <c r="T1112" i="1"/>
  <c r="AD1113" i="1"/>
  <c r="AV1111" i="1"/>
  <c r="Y1111" i="1"/>
  <c r="W1111" i="1"/>
  <c r="R1112" i="1"/>
  <c r="AD1114" i="1" l="1"/>
  <c r="AV1112" i="1"/>
  <c r="Q1114" i="1"/>
  <c r="T1113" i="1"/>
  <c r="AL1113" i="1"/>
  <c r="W1112" i="1"/>
  <c r="Y1112" i="1"/>
  <c r="R1113" i="1"/>
  <c r="AL1114" i="1" l="1"/>
  <c r="Q1115" i="1"/>
  <c r="T1114" i="1"/>
  <c r="AD1115" i="1"/>
  <c r="AV1113" i="1"/>
  <c r="Y1113" i="1"/>
  <c r="W1113" i="1"/>
  <c r="R1114" i="1"/>
  <c r="AV1114" i="1" l="1"/>
  <c r="AD1116" i="1"/>
  <c r="Q1116" i="1"/>
  <c r="T1115" i="1"/>
  <c r="AL1115" i="1"/>
  <c r="R1115" i="1"/>
  <c r="Y1114" i="1"/>
  <c r="W1114" i="1"/>
  <c r="AL1116" i="1" l="1"/>
  <c r="Q1117" i="1"/>
  <c r="T1116" i="1"/>
  <c r="AV1115" i="1"/>
  <c r="AD1117" i="1"/>
  <c r="Y1115" i="1"/>
  <c r="R1116" i="1"/>
  <c r="W1115" i="1"/>
  <c r="AD1118" i="1" l="1"/>
  <c r="AV1116" i="1"/>
  <c r="Q1118" i="1"/>
  <c r="T1117" i="1"/>
  <c r="AL1117" i="1"/>
  <c r="Y1116" i="1"/>
  <c r="W1116" i="1"/>
  <c r="R1117" i="1"/>
  <c r="AL1118" i="1" l="1"/>
  <c r="Q1119" i="1"/>
  <c r="T1118" i="1"/>
  <c r="AV1117" i="1"/>
  <c r="AD1119" i="1"/>
  <c r="R1118" i="1"/>
  <c r="Y1117" i="1"/>
  <c r="W1117" i="1"/>
  <c r="AV1118" i="1" l="1"/>
  <c r="AD1120" i="1"/>
  <c r="Q1120" i="1"/>
  <c r="T1119" i="1"/>
  <c r="AL1119" i="1"/>
  <c r="W1118" i="1"/>
  <c r="R1119" i="1"/>
  <c r="Y1118" i="1"/>
  <c r="AL1120" i="1" l="1"/>
  <c r="Q1121" i="1"/>
  <c r="T1120" i="1"/>
  <c r="AV1119" i="1"/>
  <c r="AD1121" i="1"/>
  <c r="W1119" i="1"/>
  <c r="Y1119" i="1"/>
  <c r="R1120" i="1"/>
  <c r="AV1120" i="1" l="1"/>
  <c r="AD1122" i="1"/>
  <c r="Q1122" i="1"/>
  <c r="T1121" i="1"/>
  <c r="AL1121" i="1"/>
  <c r="R1121" i="1"/>
  <c r="Y1120" i="1"/>
  <c r="W1120" i="1"/>
  <c r="AL1122" i="1" l="1"/>
  <c r="Q1123" i="1"/>
  <c r="T1122" i="1"/>
  <c r="AD1123" i="1"/>
  <c r="AV1121" i="1"/>
  <c r="W1121" i="1"/>
  <c r="R1122" i="1"/>
  <c r="Y1121" i="1"/>
  <c r="AV1122" i="1" l="1"/>
  <c r="AD1124" i="1"/>
  <c r="Q1124" i="1"/>
  <c r="T1123" i="1"/>
  <c r="AL1123" i="1"/>
  <c r="W1122" i="1"/>
  <c r="R1123" i="1"/>
  <c r="Y1122" i="1"/>
  <c r="AL1124" i="1" l="1"/>
  <c r="Q1125" i="1"/>
  <c r="T1124" i="1"/>
  <c r="AV1123" i="1"/>
  <c r="AD1125" i="1"/>
  <c r="Y1123" i="1"/>
  <c r="R1124" i="1"/>
  <c r="W1123" i="1"/>
  <c r="AD1126" i="1" l="1"/>
  <c r="AV1124" i="1"/>
  <c r="Q1126" i="1"/>
  <c r="T1125" i="1"/>
  <c r="AL1125" i="1"/>
  <c r="W1124" i="1"/>
  <c r="Y1124" i="1"/>
  <c r="R1125" i="1"/>
  <c r="AL1126" i="1" l="1"/>
  <c r="Q1127" i="1"/>
  <c r="T1126" i="1"/>
  <c r="AD1127" i="1"/>
  <c r="AV1125" i="1"/>
  <c r="Y1125" i="1"/>
  <c r="W1125" i="1"/>
  <c r="R1126" i="1"/>
  <c r="AV1126" i="1" l="1"/>
  <c r="AD1128" i="1"/>
  <c r="Q1128" i="1"/>
  <c r="T1127" i="1"/>
  <c r="AL1127" i="1"/>
  <c r="R1127" i="1"/>
  <c r="W1126" i="1"/>
  <c r="Y1126" i="1"/>
  <c r="AL1128" i="1" l="1"/>
  <c r="Q1129" i="1"/>
  <c r="T1128" i="1"/>
  <c r="AD1129" i="1"/>
  <c r="AV1127" i="1"/>
  <c r="W1127" i="1"/>
  <c r="R1128" i="1"/>
  <c r="Y1127" i="1"/>
  <c r="AD1130" i="1" l="1"/>
  <c r="AV1128" i="1"/>
  <c r="Q1130" i="1"/>
  <c r="T1129" i="1"/>
  <c r="AL1129" i="1"/>
  <c r="Y1128" i="1"/>
  <c r="W1128" i="1"/>
  <c r="R1129" i="1"/>
  <c r="AL1130" i="1" l="1"/>
  <c r="Q1131" i="1"/>
  <c r="T1130" i="1"/>
  <c r="AD1131" i="1"/>
  <c r="AV1129" i="1"/>
  <c r="W1129" i="1"/>
  <c r="R1130" i="1"/>
  <c r="Y1129" i="1"/>
  <c r="AD1132" i="1" l="1"/>
  <c r="AV1130" i="1"/>
  <c r="Q1132" i="1"/>
  <c r="T1131" i="1"/>
  <c r="AL1131" i="1"/>
  <c r="R1131" i="1"/>
  <c r="W1130" i="1"/>
  <c r="Y1130" i="1"/>
  <c r="AL1132" i="1" l="1"/>
  <c r="Q1133" i="1"/>
  <c r="T1132" i="1"/>
  <c r="AV1131" i="1"/>
  <c r="AD1133" i="1"/>
  <c r="W1131" i="1"/>
  <c r="R1132" i="1"/>
  <c r="Y1131" i="1"/>
  <c r="AV1132" i="1" l="1"/>
  <c r="AD1134" i="1"/>
  <c r="Q1134" i="1"/>
  <c r="T1133" i="1"/>
  <c r="AL1133" i="1"/>
  <c r="W1132" i="1"/>
  <c r="Y1132" i="1"/>
  <c r="R1133" i="1"/>
  <c r="AL1134" i="1" l="1"/>
  <c r="Q1135" i="1"/>
  <c r="T1134" i="1"/>
  <c r="AV1133" i="1"/>
  <c r="AD1135" i="1"/>
  <c r="Y1133" i="1"/>
  <c r="W1133" i="1"/>
  <c r="R1134" i="1"/>
  <c r="AV1134" i="1" l="1"/>
  <c r="AD1136" i="1"/>
  <c r="Q1136" i="1"/>
  <c r="T1135" i="1"/>
  <c r="AL1135" i="1"/>
  <c r="Y1134" i="1"/>
  <c r="W1134" i="1"/>
  <c r="R1135" i="1"/>
  <c r="AL1136" i="1" l="1"/>
  <c r="Q1137" i="1"/>
  <c r="T1136" i="1"/>
  <c r="AV1135" i="1"/>
  <c r="AD1137" i="1"/>
  <c r="Y1135" i="1"/>
  <c r="W1135" i="1"/>
  <c r="R1136" i="1"/>
  <c r="AV1136" i="1" l="1"/>
  <c r="AD1138" i="1"/>
  <c r="Q1138" i="1"/>
  <c r="T1137" i="1"/>
  <c r="AL1137" i="1"/>
  <c r="W1136" i="1"/>
  <c r="R1137" i="1"/>
  <c r="Y1136" i="1"/>
  <c r="AL1138" i="1" l="1"/>
  <c r="Q1139" i="1"/>
  <c r="T1138" i="1"/>
  <c r="AV1137" i="1"/>
  <c r="AD1139" i="1"/>
  <c r="R1138" i="1"/>
  <c r="W1137" i="1"/>
  <c r="Y1137" i="1"/>
  <c r="AV1138" i="1" l="1"/>
  <c r="AD1140" i="1"/>
  <c r="Q1140" i="1"/>
  <c r="T1139" i="1"/>
  <c r="AL1139" i="1"/>
  <c r="W1138" i="1"/>
  <c r="R1139" i="1"/>
  <c r="Y1138" i="1"/>
  <c r="AL1140" i="1" l="1"/>
  <c r="Q1141" i="1"/>
  <c r="T1140" i="1"/>
  <c r="AD1141" i="1"/>
  <c r="AV1139" i="1"/>
  <c r="R1140" i="1"/>
  <c r="Y1139" i="1"/>
  <c r="W1139" i="1"/>
  <c r="AD1142" i="1" l="1"/>
  <c r="AV1140" i="1"/>
  <c r="Q1142" i="1"/>
  <c r="T1141" i="1"/>
  <c r="AL1141" i="1"/>
  <c r="R1141" i="1"/>
  <c r="W1140" i="1"/>
  <c r="Y1140" i="1"/>
  <c r="AL1142" i="1" l="1"/>
  <c r="Q1143" i="1"/>
  <c r="T1142" i="1"/>
  <c r="AD1143" i="1"/>
  <c r="AV1141" i="1"/>
  <c r="Y1141" i="1"/>
  <c r="W1141" i="1"/>
  <c r="R1142" i="1"/>
  <c r="AD1144" i="1" l="1"/>
  <c r="AV1142" i="1"/>
  <c r="Q1144" i="1"/>
  <c r="T1143" i="1"/>
  <c r="AL1143" i="1"/>
  <c r="R1143" i="1"/>
  <c r="Y1142" i="1"/>
  <c r="W1142" i="1"/>
  <c r="AL1144" i="1" l="1"/>
  <c r="Q1145" i="1"/>
  <c r="T1144" i="1"/>
  <c r="AD1145" i="1"/>
  <c r="AV1143" i="1"/>
  <c r="W1143" i="1"/>
  <c r="Y1143" i="1"/>
  <c r="R1144" i="1"/>
  <c r="AD1146" i="1" l="1"/>
  <c r="AV1144" i="1"/>
  <c r="Q1146" i="1"/>
  <c r="T1145" i="1"/>
  <c r="AL1145" i="1"/>
  <c r="W1144" i="1"/>
  <c r="R1145" i="1"/>
  <c r="Y1144" i="1"/>
  <c r="AL1146" i="1" l="1"/>
  <c r="Q1147" i="1"/>
  <c r="T1146" i="1"/>
  <c r="AV1145" i="1"/>
  <c r="AD1147" i="1"/>
  <c r="Y1145" i="1"/>
  <c r="W1145" i="1"/>
  <c r="R1146" i="1"/>
  <c r="AV1146" i="1" l="1"/>
  <c r="AD1148" i="1"/>
  <c r="Q1148" i="1"/>
  <c r="T1147" i="1"/>
  <c r="AL1147" i="1"/>
  <c r="Y1146" i="1"/>
  <c r="R1147" i="1"/>
  <c r="W1146" i="1"/>
  <c r="AL1148" i="1" l="1"/>
  <c r="Q1149" i="1"/>
  <c r="T1148" i="1"/>
  <c r="AV1147" i="1"/>
  <c r="AD1149" i="1"/>
  <c r="W1147" i="1"/>
  <c r="Y1147" i="1"/>
  <c r="R1148" i="1"/>
  <c r="AV1148" i="1" l="1"/>
  <c r="AD1150" i="1"/>
  <c r="Q1150" i="1"/>
  <c r="T1149" i="1"/>
  <c r="AL1149" i="1"/>
  <c r="R1149" i="1"/>
  <c r="W1148" i="1"/>
  <c r="Y1148" i="1"/>
  <c r="AL1150" i="1" l="1"/>
  <c r="Q1151" i="1"/>
  <c r="T1150" i="1"/>
  <c r="AV1149" i="1"/>
  <c r="AD1151" i="1"/>
  <c r="R1150" i="1"/>
  <c r="Y1149" i="1"/>
  <c r="W1149" i="1"/>
  <c r="AV1150" i="1" l="1"/>
  <c r="AD1152" i="1"/>
  <c r="Q1152" i="1"/>
  <c r="T1151" i="1"/>
  <c r="AL1151" i="1"/>
  <c r="Y1150" i="1"/>
  <c r="W1150" i="1"/>
  <c r="R1151" i="1"/>
  <c r="AL1152" i="1" l="1"/>
  <c r="Q1153" i="1"/>
  <c r="T1152" i="1"/>
  <c r="AV1151" i="1"/>
  <c r="AD1153" i="1"/>
  <c r="R1152" i="1"/>
  <c r="Y1151" i="1"/>
  <c r="W1151" i="1"/>
  <c r="AV1152" i="1" l="1"/>
  <c r="AD1154" i="1"/>
  <c r="Q1154" i="1"/>
  <c r="T1153" i="1"/>
  <c r="AL1153" i="1"/>
  <c r="R1153" i="1"/>
  <c r="Y1152" i="1"/>
  <c r="W1152" i="1"/>
  <c r="AL1154" i="1" l="1"/>
  <c r="Q1155" i="1"/>
  <c r="T1154" i="1"/>
  <c r="AV1153" i="1"/>
  <c r="AD1155" i="1"/>
  <c r="Y1153" i="1"/>
  <c r="R1154" i="1"/>
  <c r="W1153" i="1"/>
  <c r="AD1156" i="1" l="1"/>
  <c r="AV1154" i="1"/>
  <c r="Q1156" i="1"/>
  <c r="T1155" i="1"/>
  <c r="AL1155" i="1"/>
  <c r="R1155" i="1"/>
  <c r="Y1154" i="1"/>
  <c r="W1154" i="1"/>
  <c r="AL1156" i="1" l="1"/>
  <c r="Q1157" i="1"/>
  <c r="T1156" i="1"/>
  <c r="AV1155" i="1"/>
  <c r="AD1157" i="1"/>
  <c r="Y1155" i="1"/>
  <c r="W1155" i="1"/>
  <c r="R1156" i="1"/>
  <c r="AV1156" i="1" l="1"/>
  <c r="AD1158" i="1"/>
  <c r="Q1158" i="1"/>
  <c r="T1157" i="1"/>
  <c r="AL1157" i="1"/>
  <c r="R1157" i="1"/>
  <c r="W1156" i="1"/>
  <c r="Y1156" i="1"/>
  <c r="AL1158" i="1" l="1"/>
  <c r="Q1159" i="1"/>
  <c r="T1158" i="1"/>
  <c r="AV1157" i="1"/>
  <c r="AD1159" i="1"/>
  <c r="Y1157" i="1"/>
  <c r="R1158" i="1"/>
  <c r="W1157" i="1"/>
  <c r="AD1160" i="1" l="1"/>
  <c r="AV1158" i="1"/>
  <c r="Q1160" i="1"/>
  <c r="T1159" i="1"/>
  <c r="AL1159" i="1"/>
  <c r="Y1158" i="1"/>
  <c r="R1159" i="1"/>
  <c r="W1158" i="1"/>
  <c r="AL1160" i="1" l="1"/>
  <c r="Q1161" i="1"/>
  <c r="T1160" i="1"/>
  <c r="AV1159" i="1"/>
  <c r="AD1161" i="1"/>
  <c r="Y1159" i="1"/>
  <c r="R1160" i="1"/>
  <c r="W1159" i="1"/>
  <c r="AV1160" i="1" l="1"/>
  <c r="AD1162" i="1"/>
  <c r="Q1162" i="1"/>
  <c r="T1161" i="1"/>
  <c r="AL1161" i="1"/>
  <c r="R1161" i="1"/>
  <c r="Y1160" i="1"/>
  <c r="W1160" i="1"/>
  <c r="AL1162" i="1" l="1"/>
  <c r="Q1163" i="1"/>
  <c r="T1162" i="1"/>
  <c r="AV1161" i="1"/>
  <c r="AD1163" i="1"/>
  <c r="Y1161" i="1"/>
  <c r="R1162" i="1"/>
  <c r="W1161" i="1"/>
  <c r="AV1162" i="1" l="1"/>
  <c r="AD1164" i="1"/>
  <c r="Q1164" i="1"/>
  <c r="T1163" i="1"/>
  <c r="AL1163" i="1"/>
  <c r="W1162" i="1"/>
  <c r="Y1162" i="1"/>
  <c r="R1163" i="1"/>
  <c r="AL1164" i="1" l="1"/>
  <c r="Q1165" i="1"/>
  <c r="T1164" i="1"/>
  <c r="AD1165" i="1"/>
  <c r="AV1163" i="1"/>
  <c r="Y1163" i="1"/>
  <c r="W1163" i="1"/>
  <c r="R1164" i="1"/>
  <c r="AD1166" i="1" l="1"/>
  <c r="AV1164" i="1"/>
  <c r="Q1166" i="1"/>
  <c r="T1165" i="1"/>
  <c r="AL1165" i="1"/>
  <c r="W1164" i="1"/>
  <c r="Y1164" i="1"/>
  <c r="R1165" i="1"/>
  <c r="AL1166" i="1" l="1"/>
  <c r="Q1167" i="1"/>
  <c r="T1166" i="1"/>
  <c r="AV1165" i="1"/>
  <c r="AD1167" i="1"/>
  <c r="W1165" i="1"/>
  <c r="Y1165" i="1"/>
  <c r="R1166" i="1"/>
  <c r="AV1166" i="1" l="1"/>
  <c r="AD1168" i="1"/>
  <c r="Q1168" i="1"/>
  <c r="T1167" i="1"/>
  <c r="AL1167" i="1"/>
  <c r="R1167" i="1"/>
  <c r="W1166" i="1"/>
  <c r="Y1166" i="1"/>
  <c r="AL1168" i="1" l="1"/>
  <c r="Q1169" i="1"/>
  <c r="T1168" i="1"/>
  <c r="AD1169" i="1"/>
  <c r="AV1167" i="1"/>
  <c r="Y1167" i="1"/>
  <c r="R1168" i="1"/>
  <c r="W1167" i="1"/>
  <c r="AD1170" i="1" l="1"/>
  <c r="AV1168" i="1"/>
  <c r="Q1170" i="1"/>
  <c r="T1169" i="1"/>
  <c r="AL1169" i="1"/>
  <c r="R1169" i="1"/>
  <c r="W1168" i="1"/>
  <c r="Y1168" i="1"/>
  <c r="AL1170" i="1" l="1"/>
  <c r="Q1171" i="1"/>
  <c r="T1170" i="1"/>
  <c r="AV1169" i="1"/>
  <c r="AD1171" i="1"/>
  <c r="R1170" i="1"/>
  <c r="Y1169" i="1"/>
  <c r="W1169" i="1"/>
  <c r="AV1170" i="1" l="1"/>
  <c r="AD1172" i="1"/>
  <c r="Q1172" i="1"/>
  <c r="T1171" i="1"/>
  <c r="AL1171" i="1"/>
  <c r="W1170" i="1"/>
  <c r="R1171" i="1"/>
  <c r="Y1170" i="1"/>
  <c r="AL1172" i="1" l="1"/>
  <c r="Q1173" i="1"/>
  <c r="T1172" i="1"/>
  <c r="AV1171" i="1"/>
  <c r="AD1173" i="1"/>
  <c r="W1171" i="1"/>
  <c r="R1172" i="1"/>
  <c r="Y1171" i="1"/>
  <c r="AV1172" i="1" l="1"/>
  <c r="AD1174" i="1"/>
  <c r="Q1174" i="1"/>
  <c r="T1173" i="1"/>
  <c r="AL1173" i="1"/>
  <c r="R1173" i="1"/>
  <c r="W1172" i="1"/>
  <c r="Y1172" i="1"/>
  <c r="AL1174" i="1" l="1"/>
  <c r="Q1175" i="1"/>
  <c r="T1174" i="1"/>
  <c r="AV1173" i="1"/>
  <c r="AD1175" i="1"/>
  <c r="Y1173" i="1"/>
  <c r="W1173" i="1"/>
  <c r="R1174" i="1"/>
  <c r="AV1174" i="1" l="1"/>
  <c r="AD1176" i="1"/>
  <c r="Q1176" i="1"/>
  <c r="T1175" i="1"/>
  <c r="AL1175" i="1"/>
  <c r="Y1174" i="1"/>
  <c r="W1174" i="1"/>
  <c r="R1175" i="1"/>
  <c r="AL1176" i="1" l="1"/>
  <c r="Q1177" i="1"/>
  <c r="T1176" i="1"/>
  <c r="AV1175" i="1"/>
  <c r="AD1177" i="1"/>
  <c r="W1175" i="1"/>
  <c r="R1176" i="1"/>
  <c r="Y1175" i="1"/>
  <c r="AV1176" i="1" l="1"/>
  <c r="AD1178" i="1"/>
  <c r="Q1178" i="1"/>
  <c r="T1177" i="1"/>
  <c r="AL1177" i="1"/>
  <c r="Y1176" i="1"/>
  <c r="W1176" i="1"/>
  <c r="R1177" i="1"/>
  <c r="AL1178" i="1" l="1"/>
  <c r="Q1179" i="1"/>
  <c r="T1178" i="1"/>
  <c r="AV1177" i="1"/>
  <c r="AD1179" i="1"/>
  <c r="Y1177" i="1"/>
  <c r="W1177" i="1"/>
  <c r="R1178" i="1"/>
  <c r="AV1178" i="1" l="1"/>
  <c r="AD1180" i="1"/>
  <c r="Q1180" i="1"/>
  <c r="T1179" i="1"/>
  <c r="AL1179" i="1"/>
  <c r="W1178" i="1"/>
  <c r="R1179" i="1"/>
  <c r="Y1178" i="1"/>
  <c r="AL1180" i="1" l="1"/>
  <c r="Q1181" i="1"/>
  <c r="T1180" i="1"/>
  <c r="AD1181" i="1"/>
  <c r="AV1179" i="1"/>
  <c r="W1179" i="1"/>
  <c r="R1180" i="1"/>
  <c r="Y1179" i="1"/>
  <c r="AD1182" i="1" l="1"/>
  <c r="AV1180" i="1"/>
  <c r="Q1182" i="1"/>
  <c r="T1181" i="1"/>
  <c r="AL1181" i="1"/>
  <c r="R1181" i="1"/>
  <c r="W1180" i="1"/>
  <c r="Y1180" i="1"/>
  <c r="AL1182" i="1" l="1"/>
  <c r="Q1183" i="1"/>
  <c r="T1182" i="1"/>
  <c r="AV1181" i="1"/>
  <c r="AD1183" i="1"/>
  <c r="R1182" i="1"/>
  <c r="Y1181" i="1"/>
  <c r="W1181" i="1"/>
  <c r="AV1182" i="1" l="1"/>
  <c r="AD1184" i="1"/>
  <c r="Q1184" i="1"/>
  <c r="T1183" i="1"/>
  <c r="AL1183" i="1"/>
  <c r="Y1182" i="1"/>
  <c r="R1183" i="1"/>
  <c r="W1182" i="1"/>
  <c r="AL1184" i="1" l="1"/>
  <c r="Q1185" i="1"/>
  <c r="T1184" i="1"/>
  <c r="AV1183" i="1"/>
  <c r="AD1185" i="1"/>
  <c r="Y1183" i="1"/>
  <c r="W1183" i="1"/>
  <c r="R1184" i="1"/>
  <c r="AV1184" i="1" l="1"/>
  <c r="AD1186" i="1"/>
  <c r="Q1186" i="1"/>
  <c r="T1185" i="1"/>
  <c r="AL1185" i="1"/>
  <c r="W1184" i="1"/>
  <c r="Y1184" i="1"/>
  <c r="R1185" i="1"/>
  <c r="AL1186" i="1" l="1"/>
  <c r="Q1187" i="1"/>
  <c r="T1186" i="1"/>
  <c r="AV1185" i="1"/>
  <c r="AD1187" i="1"/>
  <c r="Y1185" i="1"/>
  <c r="R1186" i="1"/>
  <c r="W1185" i="1"/>
  <c r="AV1186" i="1" l="1"/>
  <c r="AD1188" i="1"/>
  <c r="Q1188" i="1"/>
  <c r="T1187" i="1"/>
  <c r="AL1187" i="1"/>
  <c r="R1187" i="1"/>
  <c r="W1186" i="1"/>
  <c r="Y1186" i="1"/>
  <c r="AL1188" i="1" l="1"/>
  <c r="Q1189" i="1"/>
  <c r="T1188" i="1"/>
  <c r="AV1187" i="1"/>
  <c r="AD1189" i="1"/>
  <c r="W1187" i="1"/>
  <c r="Y1187" i="1"/>
  <c r="R1188" i="1"/>
  <c r="AV1188" i="1" l="1"/>
  <c r="AD1190" i="1"/>
  <c r="Q1190" i="1"/>
  <c r="T1189" i="1"/>
  <c r="AL1189" i="1"/>
  <c r="Y1188" i="1"/>
  <c r="W1188" i="1"/>
  <c r="R1189" i="1"/>
  <c r="AL1190" i="1" l="1"/>
  <c r="Q1191" i="1"/>
  <c r="T1190" i="1"/>
  <c r="AD1191" i="1"/>
  <c r="AV1189" i="1"/>
  <c r="W1189" i="1"/>
  <c r="Y1189" i="1"/>
  <c r="R1190" i="1"/>
  <c r="AV1190" i="1" l="1"/>
  <c r="AD1192" i="1"/>
  <c r="Q1192" i="1"/>
  <c r="T1191" i="1"/>
  <c r="AL1191" i="1"/>
  <c r="Y1190" i="1"/>
  <c r="W1190" i="1"/>
  <c r="R1191" i="1"/>
  <c r="AL1192" i="1" l="1"/>
  <c r="Q1193" i="1"/>
  <c r="T1192" i="1"/>
  <c r="AD1193" i="1"/>
  <c r="AV1191" i="1"/>
  <c r="R1192" i="1"/>
  <c r="W1191" i="1"/>
  <c r="Y1191" i="1"/>
  <c r="AD1194" i="1" l="1"/>
  <c r="AV1192" i="1"/>
  <c r="Q1194" i="1"/>
  <c r="T1193" i="1"/>
  <c r="AL1193" i="1"/>
  <c r="Y1192" i="1"/>
  <c r="W1192" i="1"/>
  <c r="R1193" i="1"/>
  <c r="AL1194" i="1" l="1"/>
  <c r="Q1195" i="1"/>
  <c r="T1194" i="1"/>
  <c r="AD1195" i="1"/>
  <c r="AV1193" i="1"/>
  <c r="Y1193" i="1"/>
  <c r="W1193" i="1"/>
  <c r="R1194" i="1"/>
  <c r="AD1196" i="1" l="1"/>
  <c r="AV1194" i="1"/>
  <c r="Q1196" i="1"/>
  <c r="T1195" i="1"/>
  <c r="AL1195" i="1"/>
  <c r="R1195" i="1"/>
  <c r="W1194" i="1"/>
  <c r="Y1194" i="1"/>
  <c r="AL1196" i="1" l="1"/>
  <c r="Q1197" i="1"/>
  <c r="T1196" i="1"/>
  <c r="AV1195" i="1"/>
  <c r="AD1197" i="1"/>
  <c r="Y1195" i="1"/>
  <c r="R1196" i="1"/>
  <c r="W1195" i="1"/>
  <c r="AV1196" i="1" l="1"/>
  <c r="AD1198" i="1"/>
  <c r="Q1198" i="1"/>
  <c r="T1197" i="1"/>
  <c r="AL1197" i="1"/>
  <c r="W1196" i="1"/>
  <c r="Y1196" i="1"/>
  <c r="R1197" i="1"/>
  <c r="AL1198" i="1" l="1"/>
  <c r="Q1199" i="1"/>
  <c r="T1198" i="1"/>
  <c r="AV1197" i="1"/>
  <c r="AD1199" i="1"/>
  <c r="Y1197" i="1"/>
  <c r="R1198" i="1"/>
  <c r="W1197" i="1"/>
  <c r="AV1198" i="1" l="1"/>
  <c r="AD1200" i="1"/>
  <c r="Q1200" i="1"/>
  <c r="T1199" i="1"/>
  <c r="AL1199" i="1"/>
  <c r="W1198" i="1"/>
  <c r="R1199" i="1"/>
  <c r="Y1198" i="1"/>
  <c r="AL1200" i="1" l="1"/>
  <c r="Q1201" i="1"/>
  <c r="T1200" i="1"/>
  <c r="AV1199" i="1"/>
  <c r="AD1201" i="1"/>
  <c r="Y1199" i="1"/>
  <c r="R1200" i="1"/>
  <c r="W1199" i="1"/>
  <c r="AV1200" i="1" l="1"/>
  <c r="AD1202" i="1"/>
  <c r="Q1202" i="1"/>
  <c r="T1201" i="1"/>
  <c r="AL1201" i="1"/>
  <c r="W1200" i="1"/>
  <c r="Y1200" i="1"/>
  <c r="R1201" i="1"/>
  <c r="AL1202" i="1" l="1"/>
  <c r="Q1203" i="1"/>
  <c r="T1202" i="1"/>
  <c r="AD1203" i="1"/>
  <c r="AV1201" i="1"/>
  <c r="R1202" i="1"/>
  <c r="Y1201" i="1"/>
  <c r="W1201" i="1"/>
  <c r="AD1204" i="1" l="1"/>
  <c r="AV1202" i="1"/>
  <c r="Q1204" i="1"/>
  <c r="T1203" i="1"/>
  <c r="AL1203" i="1"/>
  <c r="R1203" i="1"/>
  <c r="W1202" i="1"/>
  <c r="Y1202" i="1"/>
  <c r="AL1204" i="1" l="1"/>
  <c r="Q1205" i="1"/>
  <c r="T1204" i="1"/>
  <c r="AD1205" i="1"/>
  <c r="AV1203" i="1"/>
  <c r="R1204" i="1"/>
  <c r="W1203" i="1"/>
  <c r="Y1203" i="1"/>
  <c r="AV1204" i="1" l="1"/>
  <c r="AD1206" i="1"/>
  <c r="Q1206" i="1"/>
  <c r="T1205" i="1"/>
  <c r="AL1205" i="1"/>
  <c r="R1205" i="1"/>
  <c r="W1204" i="1"/>
  <c r="Y1204" i="1"/>
  <c r="AL1206" i="1" l="1"/>
  <c r="Q1207" i="1"/>
  <c r="T1206" i="1"/>
  <c r="AD1207" i="1"/>
  <c r="AV1205" i="1"/>
  <c r="W1205" i="1"/>
  <c r="R1206" i="1"/>
  <c r="Y1205" i="1"/>
  <c r="AD1208" i="1" l="1"/>
  <c r="AV1206" i="1"/>
  <c r="Q1208" i="1"/>
  <c r="T1207" i="1"/>
  <c r="AL1207" i="1"/>
  <c r="W1206" i="1"/>
  <c r="Y1206" i="1"/>
  <c r="R1207" i="1"/>
  <c r="AL1208" i="1" l="1"/>
  <c r="Q1209" i="1"/>
  <c r="T1208" i="1"/>
  <c r="AD1209" i="1"/>
  <c r="AV1207" i="1"/>
  <c r="Y1207" i="1"/>
  <c r="W1207" i="1"/>
  <c r="R1208" i="1"/>
  <c r="AD1210" i="1" l="1"/>
  <c r="AV1208" i="1"/>
  <c r="Q1210" i="1"/>
  <c r="T1209" i="1"/>
  <c r="AL1209" i="1"/>
  <c r="Y1208" i="1"/>
  <c r="W1208" i="1"/>
  <c r="R1209" i="1"/>
  <c r="AL1210" i="1" l="1"/>
  <c r="Q1211" i="1"/>
  <c r="T1210" i="1"/>
  <c r="AV1209" i="1"/>
  <c r="AD1211" i="1"/>
  <c r="W1209" i="1"/>
  <c r="R1210" i="1"/>
  <c r="Y1209" i="1"/>
  <c r="AV1210" i="1" l="1"/>
  <c r="AD1212" i="1"/>
  <c r="Q1212" i="1"/>
  <c r="T1211" i="1"/>
  <c r="AL1211" i="1"/>
  <c r="W1210" i="1"/>
  <c r="R1211" i="1"/>
  <c r="Y1210" i="1"/>
  <c r="AL1212" i="1" l="1"/>
  <c r="Q1213" i="1"/>
  <c r="T1212" i="1"/>
  <c r="AV1211" i="1"/>
  <c r="AD1213" i="1"/>
  <c r="Y1211" i="1"/>
  <c r="R1212" i="1"/>
  <c r="W1211" i="1"/>
  <c r="AD1214" i="1" l="1"/>
  <c r="AV1212" i="1"/>
  <c r="Q1214" i="1"/>
  <c r="T1213" i="1"/>
  <c r="AL1213" i="1"/>
  <c r="R1213" i="1"/>
  <c r="W1212" i="1"/>
  <c r="Y1212" i="1"/>
  <c r="AL1214" i="1" l="1"/>
  <c r="Q1215" i="1"/>
  <c r="T1214" i="1"/>
  <c r="AV1213" i="1"/>
  <c r="AD1215" i="1"/>
  <c r="R1214" i="1"/>
  <c r="Y1213" i="1"/>
  <c r="W1213" i="1"/>
  <c r="AD1216" i="1" l="1"/>
  <c r="AV1214" i="1"/>
  <c r="Q1216" i="1"/>
  <c r="T1215" i="1"/>
  <c r="AL1215" i="1"/>
  <c r="Y1214" i="1"/>
  <c r="W1214" i="1"/>
  <c r="R1215" i="1"/>
  <c r="AL1216" i="1" l="1"/>
  <c r="Q1217" i="1"/>
  <c r="T1216" i="1"/>
  <c r="AD1217" i="1"/>
  <c r="AV1215" i="1"/>
  <c r="R1216" i="1"/>
  <c r="Y1215" i="1"/>
  <c r="W1215" i="1"/>
  <c r="AV1216" i="1" l="1"/>
  <c r="AD1218" i="1"/>
  <c r="Q1218" i="1"/>
  <c r="T1217" i="1"/>
  <c r="AL1217" i="1"/>
  <c r="Y1216" i="1"/>
  <c r="R1217" i="1"/>
  <c r="W1216" i="1"/>
  <c r="AL1218" i="1" l="1"/>
  <c r="Q1219" i="1"/>
  <c r="T1218" i="1"/>
  <c r="AV1217" i="1"/>
  <c r="AD1219" i="1"/>
  <c r="R1218" i="1"/>
  <c r="W1217" i="1"/>
  <c r="Y1217" i="1"/>
  <c r="AV1218" i="1" l="1"/>
  <c r="AD1220" i="1"/>
  <c r="Q1220" i="1"/>
  <c r="T1219" i="1"/>
  <c r="AL1219" i="1"/>
  <c r="R1219" i="1"/>
  <c r="Y1218" i="1"/>
  <c r="W1218" i="1"/>
  <c r="AL1220" i="1" l="1"/>
  <c r="Q1221" i="1"/>
  <c r="T1220" i="1"/>
  <c r="AV1219" i="1"/>
  <c r="AD1221" i="1"/>
  <c r="W1219" i="1"/>
  <c r="R1220" i="1"/>
  <c r="Y1219" i="1"/>
  <c r="AV1220" i="1" l="1"/>
  <c r="AD1222" i="1"/>
  <c r="Q1222" i="1"/>
  <c r="T1221" i="1"/>
  <c r="AL1221" i="1"/>
  <c r="W1220" i="1"/>
  <c r="Y1220" i="1"/>
  <c r="R1221" i="1"/>
  <c r="AL1222" i="1" l="1"/>
  <c r="Q1223" i="1"/>
  <c r="T1222" i="1"/>
  <c r="AV1221" i="1"/>
  <c r="AD1223" i="1"/>
  <c r="R1222" i="1"/>
  <c r="W1221" i="1"/>
  <c r="Y1221" i="1"/>
  <c r="AV1222" i="1" l="1"/>
  <c r="AD1224" i="1"/>
  <c r="Q1224" i="1"/>
  <c r="T1223" i="1"/>
  <c r="AL1223" i="1"/>
  <c r="W1222" i="1"/>
  <c r="R1223" i="1"/>
  <c r="Y1222" i="1"/>
  <c r="AL1224" i="1" l="1"/>
  <c r="Q1225" i="1"/>
  <c r="T1224" i="1"/>
  <c r="AV1223" i="1"/>
  <c r="AD1225" i="1"/>
  <c r="W1223" i="1"/>
  <c r="Y1223" i="1"/>
  <c r="R1224" i="1"/>
  <c r="AV1224" i="1" l="1"/>
  <c r="AD1226" i="1"/>
  <c r="Q1226" i="1"/>
  <c r="T1225" i="1"/>
  <c r="AL1225" i="1"/>
  <c r="R1225" i="1"/>
  <c r="Y1224" i="1"/>
  <c r="W1224" i="1"/>
  <c r="AL1226" i="1" l="1"/>
  <c r="Q1227" i="1"/>
  <c r="T1226" i="1"/>
  <c r="AD1227" i="1"/>
  <c r="AV1225" i="1"/>
  <c r="Y1225" i="1"/>
  <c r="W1225" i="1"/>
  <c r="R1226" i="1"/>
  <c r="AD1228" i="1" l="1"/>
  <c r="AV1226" i="1"/>
  <c r="Q1228" i="1"/>
  <c r="T1227" i="1"/>
  <c r="AL1227" i="1"/>
  <c r="R1227" i="1"/>
  <c r="Y1226" i="1"/>
  <c r="W1226" i="1"/>
  <c r="AL1228" i="1" l="1"/>
  <c r="Q1229" i="1"/>
  <c r="T1228" i="1"/>
  <c r="AV1227" i="1"/>
  <c r="AD1229" i="1"/>
  <c r="R1228" i="1"/>
  <c r="Y1227" i="1"/>
  <c r="W1227" i="1"/>
  <c r="AD1230" i="1" l="1"/>
  <c r="AV1228" i="1"/>
  <c r="Q1230" i="1"/>
  <c r="T1229" i="1"/>
  <c r="AL1229" i="1"/>
  <c r="Y1228" i="1"/>
  <c r="R1229" i="1"/>
  <c r="W1228" i="1"/>
  <c r="AL1230" i="1" l="1"/>
  <c r="Q1231" i="1"/>
  <c r="T1230" i="1"/>
  <c r="AD1231" i="1"/>
  <c r="AV1229" i="1"/>
  <c r="Y1229" i="1"/>
  <c r="W1229" i="1"/>
  <c r="R1230" i="1"/>
  <c r="AD1232" i="1" l="1"/>
  <c r="AV1230" i="1"/>
  <c r="Q1232" i="1"/>
  <c r="T1231" i="1"/>
  <c r="AL1231" i="1"/>
  <c r="R1231" i="1"/>
  <c r="W1230" i="1"/>
  <c r="Y1230" i="1"/>
  <c r="AL1232" i="1" l="1"/>
  <c r="Q1233" i="1"/>
  <c r="T1232" i="1"/>
  <c r="AD1233" i="1"/>
  <c r="AV1231" i="1"/>
  <c r="R1232" i="1"/>
  <c r="Y1231" i="1"/>
  <c r="W1231" i="1"/>
  <c r="AV1232" i="1" l="1"/>
  <c r="AD1234" i="1"/>
  <c r="Q1234" i="1"/>
  <c r="T1233" i="1"/>
  <c r="AL1233" i="1"/>
  <c r="Y1232" i="1"/>
  <c r="W1232" i="1"/>
  <c r="R1233" i="1"/>
  <c r="AL1234" i="1" l="1"/>
  <c r="Q1235" i="1"/>
  <c r="T1234" i="1"/>
  <c r="AV1233" i="1"/>
  <c r="AD1235" i="1"/>
  <c r="R1234" i="1"/>
  <c r="Y1233" i="1"/>
  <c r="W1233" i="1"/>
  <c r="AD1236" i="1" l="1"/>
  <c r="AV1234" i="1"/>
  <c r="Q1236" i="1"/>
  <c r="T1235" i="1"/>
  <c r="AL1235" i="1"/>
  <c r="R1235" i="1"/>
  <c r="W1234" i="1"/>
  <c r="Y1234" i="1"/>
  <c r="AL1236" i="1" l="1"/>
  <c r="Q1237" i="1"/>
  <c r="T1236" i="1"/>
  <c r="AV1235" i="1"/>
  <c r="AD1237" i="1"/>
  <c r="R1236" i="1"/>
  <c r="W1235" i="1"/>
  <c r="Y1235" i="1"/>
  <c r="AD1238" i="1" l="1"/>
  <c r="AV1236" i="1"/>
  <c r="Q1238" i="1"/>
  <c r="T1237" i="1"/>
  <c r="AL1237" i="1"/>
  <c r="Y1236" i="1"/>
  <c r="W1236" i="1"/>
  <c r="R1237" i="1"/>
  <c r="AL1238" i="1" l="1"/>
  <c r="Q1239" i="1"/>
  <c r="T1238" i="1"/>
  <c r="AV1237" i="1"/>
  <c r="AD1239" i="1"/>
  <c r="R1238" i="1"/>
  <c r="W1237" i="1"/>
  <c r="Y1237" i="1"/>
  <c r="AV1238" i="1" l="1"/>
  <c r="AD1240" i="1"/>
  <c r="Q1240" i="1"/>
  <c r="T1239" i="1"/>
  <c r="AL1239" i="1"/>
  <c r="R1239" i="1"/>
  <c r="W1238" i="1"/>
  <c r="Y1238" i="1"/>
  <c r="AL1240" i="1" l="1"/>
  <c r="Q1241" i="1"/>
  <c r="T1240" i="1"/>
  <c r="AV1239" i="1"/>
  <c r="AD1241" i="1"/>
  <c r="Y1239" i="1"/>
  <c r="W1239" i="1"/>
  <c r="R1240" i="1"/>
  <c r="AV1240" i="1" l="1"/>
  <c r="AD1242" i="1"/>
  <c r="Q1242" i="1"/>
  <c r="T1241" i="1"/>
  <c r="AL1241" i="1"/>
  <c r="Y1240" i="1"/>
  <c r="W1240" i="1"/>
  <c r="R1241" i="1"/>
  <c r="AL1242" i="1" l="1"/>
  <c r="Q1243" i="1"/>
  <c r="T1242" i="1"/>
  <c r="AV1241" i="1"/>
  <c r="AD1243" i="1"/>
  <c r="R1242" i="1"/>
  <c r="Y1241" i="1"/>
  <c r="W1241" i="1"/>
  <c r="AV1242" i="1" l="1"/>
  <c r="AD1244" i="1"/>
  <c r="Q1244" i="1"/>
  <c r="T1243" i="1"/>
  <c r="AL1243" i="1"/>
  <c r="W1242" i="1"/>
  <c r="R1243" i="1"/>
  <c r="Y1242" i="1"/>
  <c r="AL1244" i="1" l="1"/>
  <c r="Q1245" i="1"/>
  <c r="T1244" i="1"/>
  <c r="AV1243" i="1"/>
  <c r="AD1245" i="1"/>
  <c r="Y1243" i="1"/>
  <c r="R1244" i="1"/>
  <c r="W1243" i="1"/>
  <c r="AD1246" i="1" l="1"/>
  <c r="AV1244" i="1"/>
  <c r="AL1245" i="1"/>
  <c r="T1245" i="1"/>
  <c r="Q1246" i="1"/>
  <c r="Y1244" i="1"/>
  <c r="W1244" i="1"/>
  <c r="R1245" i="1"/>
  <c r="AL1246" i="1" l="1"/>
  <c r="Q1247" i="1"/>
  <c r="T1246" i="1"/>
  <c r="AD1247" i="1"/>
  <c r="AV1245" i="1"/>
  <c r="R1246" i="1"/>
  <c r="Y1245" i="1"/>
  <c r="W1245" i="1"/>
  <c r="AD1248" i="1" l="1"/>
  <c r="AV1246" i="1"/>
  <c r="Q1248" i="1"/>
  <c r="T1247" i="1"/>
  <c r="AL1247" i="1"/>
  <c r="Y1246" i="1"/>
  <c r="R1247" i="1"/>
  <c r="W1246" i="1"/>
  <c r="AL1248" i="1" l="1"/>
  <c r="Q1249" i="1"/>
  <c r="T1248" i="1"/>
  <c r="AV1247" i="1"/>
  <c r="AD1249" i="1"/>
  <c r="Y1247" i="1"/>
  <c r="R1248" i="1"/>
  <c r="W1247" i="1"/>
  <c r="AV1248" i="1" l="1"/>
  <c r="AD1250" i="1"/>
  <c r="Q1250" i="1"/>
  <c r="T1249" i="1"/>
  <c r="AL1249" i="1"/>
  <c r="W1248" i="1"/>
  <c r="Y1248" i="1"/>
  <c r="R1249" i="1"/>
  <c r="AL1250" i="1" l="1"/>
  <c r="Q1251" i="1"/>
  <c r="T1250" i="1"/>
  <c r="AV1249" i="1"/>
  <c r="AD1251" i="1"/>
  <c r="Y1249" i="1"/>
  <c r="R1250" i="1"/>
  <c r="W1249" i="1"/>
  <c r="AV1250" i="1" l="1"/>
  <c r="AD1252" i="1"/>
  <c r="Q1252" i="1"/>
  <c r="T1251" i="1"/>
  <c r="AL1251" i="1"/>
  <c r="W1250" i="1"/>
  <c r="Y1250" i="1"/>
  <c r="R1251" i="1"/>
  <c r="AL1252" i="1" l="1"/>
  <c r="Q1253" i="1"/>
  <c r="T1252" i="1"/>
  <c r="AV1251" i="1"/>
  <c r="AD1253" i="1"/>
  <c r="W1251" i="1"/>
  <c r="Y1251" i="1"/>
  <c r="R1252" i="1"/>
  <c r="AV1252" i="1" l="1"/>
  <c r="AD1254" i="1"/>
  <c r="Q1254" i="1"/>
  <c r="T1253" i="1"/>
  <c r="AL1253" i="1"/>
  <c r="W1252" i="1"/>
  <c r="Y1252" i="1"/>
  <c r="R1253" i="1"/>
  <c r="AL1254" i="1" l="1"/>
  <c r="Q1255" i="1"/>
  <c r="T1254" i="1"/>
  <c r="AD1255" i="1"/>
  <c r="AV1253" i="1"/>
  <c r="Y1253" i="1"/>
  <c r="W1253" i="1"/>
  <c r="R1254" i="1"/>
  <c r="AD1256" i="1" l="1"/>
  <c r="AV1254" i="1"/>
  <c r="Q1256" i="1"/>
  <c r="T1255" i="1"/>
  <c r="AL1255" i="1"/>
  <c r="W1254" i="1"/>
  <c r="R1255" i="1"/>
  <c r="Y1254" i="1"/>
  <c r="AL1256" i="1" l="1"/>
  <c r="Q1257" i="1"/>
  <c r="T1256" i="1"/>
  <c r="AV1255" i="1"/>
  <c r="AD1257" i="1"/>
  <c r="R1256" i="1"/>
  <c r="Y1255" i="1"/>
  <c r="W1255" i="1"/>
  <c r="AD1258" i="1" l="1"/>
  <c r="AV1256" i="1"/>
  <c r="Q1258" i="1"/>
  <c r="T1257" i="1"/>
  <c r="AL1257" i="1"/>
  <c r="W1256" i="1"/>
  <c r="Y1256" i="1"/>
  <c r="R1257" i="1"/>
  <c r="AL1258" i="1" l="1"/>
  <c r="Q1259" i="1"/>
  <c r="T1258" i="1"/>
  <c r="AD1259" i="1"/>
  <c r="AV1257" i="1"/>
  <c r="W1257" i="1"/>
  <c r="Y1257" i="1"/>
  <c r="R1258" i="1"/>
  <c r="AD1260" i="1" l="1"/>
  <c r="AV1258" i="1"/>
  <c r="Q1260" i="1"/>
  <c r="T1259" i="1"/>
  <c r="AL1259" i="1"/>
  <c r="W1258" i="1"/>
  <c r="R1259" i="1"/>
  <c r="Y1258" i="1"/>
  <c r="AL1260" i="1" l="1"/>
  <c r="Q1261" i="1"/>
  <c r="T1260" i="1"/>
  <c r="AD1261" i="1"/>
  <c r="AV1259" i="1"/>
  <c r="R1260" i="1"/>
  <c r="W1259" i="1"/>
  <c r="Y1259" i="1"/>
  <c r="AD1262" i="1" l="1"/>
  <c r="AV1260" i="1"/>
  <c r="Q1262" i="1"/>
  <c r="T1261" i="1"/>
  <c r="AL1261" i="1"/>
  <c r="R1261" i="1"/>
  <c r="Y1260" i="1"/>
  <c r="W1260" i="1"/>
  <c r="AL1262" i="1" l="1"/>
  <c r="Q1263" i="1"/>
  <c r="T1262" i="1"/>
  <c r="AD1263" i="1"/>
  <c r="AV1261" i="1"/>
  <c r="R1262" i="1"/>
  <c r="W1261" i="1"/>
  <c r="Y1261" i="1"/>
  <c r="AV1262" i="1" l="1"/>
  <c r="AD1264" i="1"/>
  <c r="Q1264" i="1"/>
  <c r="T1263" i="1"/>
  <c r="AL1263" i="1"/>
  <c r="R1263" i="1"/>
  <c r="W1262" i="1"/>
  <c r="Y1262" i="1"/>
  <c r="AL1264" i="1" l="1"/>
  <c r="Q1265" i="1"/>
  <c r="T1264" i="1"/>
  <c r="AV1263" i="1"/>
  <c r="AD1265" i="1"/>
  <c r="R1264" i="1"/>
  <c r="Y1263" i="1"/>
  <c r="W1263" i="1"/>
  <c r="AV1264" i="1" l="1"/>
  <c r="AD1266" i="1"/>
  <c r="Q1266" i="1"/>
  <c r="T1265" i="1"/>
  <c r="AL1265" i="1"/>
  <c r="R1265" i="1"/>
  <c r="Y1264" i="1"/>
  <c r="W1264" i="1"/>
  <c r="AL1266" i="1" l="1"/>
  <c r="Q1267" i="1"/>
  <c r="T1266" i="1"/>
  <c r="AV1265" i="1"/>
  <c r="AD1267" i="1"/>
  <c r="W1265" i="1"/>
  <c r="Y1265" i="1"/>
  <c r="R1266" i="1"/>
  <c r="AV1266" i="1" l="1"/>
  <c r="AD1268" i="1"/>
  <c r="Q1268" i="1"/>
  <c r="T1267" i="1"/>
  <c r="AL1267" i="1"/>
  <c r="W1266" i="1"/>
  <c r="R1267" i="1"/>
  <c r="Y1266" i="1"/>
  <c r="AL1268" i="1" l="1"/>
  <c r="Q1269" i="1"/>
  <c r="T1268" i="1"/>
  <c r="AV1267" i="1"/>
  <c r="AD1269" i="1"/>
  <c r="Y1267" i="1"/>
  <c r="W1267" i="1"/>
  <c r="R1268" i="1"/>
  <c r="AV1268" i="1" l="1"/>
  <c r="AD1270" i="1"/>
  <c r="Q1270" i="1"/>
  <c r="T1269" i="1"/>
  <c r="AL1269" i="1"/>
  <c r="R1269" i="1"/>
  <c r="W1268" i="1"/>
  <c r="Y1268" i="1"/>
  <c r="AL1270" i="1" l="1"/>
  <c r="Q1271" i="1"/>
  <c r="T1270" i="1"/>
  <c r="AV1269" i="1"/>
  <c r="AD1271" i="1"/>
  <c r="R1270" i="1"/>
  <c r="Y1269" i="1"/>
  <c r="W1269" i="1"/>
  <c r="AV1270" i="1" l="1"/>
  <c r="AD1272" i="1"/>
  <c r="Q1272" i="1"/>
  <c r="T1271" i="1"/>
  <c r="AL1271" i="1"/>
  <c r="R1271" i="1"/>
  <c r="Y1270" i="1"/>
  <c r="W1270" i="1"/>
  <c r="AL1272" i="1" l="1"/>
  <c r="Q1273" i="1"/>
  <c r="T1272" i="1"/>
  <c r="AV1271" i="1"/>
  <c r="AD1273" i="1"/>
  <c r="Y1271" i="1"/>
  <c r="W1271" i="1"/>
  <c r="R1272" i="1"/>
  <c r="AV1272" i="1" l="1"/>
  <c r="AD1274" i="1"/>
  <c r="Q1274" i="1"/>
  <c r="T1273" i="1"/>
  <c r="AL1273" i="1"/>
  <c r="Y1272" i="1"/>
  <c r="R1273" i="1"/>
  <c r="W1272" i="1"/>
  <c r="AL1274" i="1" l="1"/>
  <c r="Q1275" i="1"/>
  <c r="T1274" i="1"/>
  <c r="AV1273" i="1"/>
  <c r="AD1275" i="1"/>
  <c r="Y1273" i="1"/>
  <c r="R1274" i="1"/>
  <c r="W1273" i="1"/>
  <c r="AV1274" i="1" l="1"/>
  <c r="AD1276" i="1"/>
  <c r="Q1276" i="1"/>
  <c r="T1275" i="1"/>
  <c r="AL1275" i="1"/>
  <c r="W1274" i="1"/>
  <c r="Y1274" i="1"/>
  <c r="R1275" i="1"/>
  <c r="AL1276" i="1" l="1"/>
  <c r="Q1277" i="1"/>
  <c r="T1276" i="1"/>
  <c r="AV1275" i="1"/>
  <c r="AD1277" i="1"/>
  <c r="W1275" i="1"/>
  <c r="Y1275" i="1"/>
  <c r="R1276" i="1"/>
  <c r="AV1276" i="1" l="1"/>
  <c r="AD1278" i="1"/>
  <c r="Q1278" i="1"/>
  <c r="T1277" i="1"/>
  <c r="AL1277" i="1"/>
  <c r="Y1276" i="1"/>
  <c r="W1276" i="1"/>
  <c r="R1277" i="1"/>
  <c r="AL1278" i="1" l="1"/>
  <c r="Q1279" i="1"/>
  <c r="T1278" i="1"/>
  <c r="AV1277" i="1"/>
  <c r="AD1279" i="1"/>
  <c r="R1278" i="1"/>
  <c r="W1277" i="1"/>
  <c r="Y1277" i="1"/>
  <c r="AV1278" i="1" l="1"/>
  <c r="AD1280" i="1"/>
  <c r="Q1280" i="1"/>
  <c r="T1279" i="1"/>
  <c r="AL1279" i="1"/>
  <c r="W1278" i="1"/>
  <c r="Y1278" i="1"/>
  <c r="R1279" i="1"/>
  <c r="AL1280" i="1" l="1"/>
  <c r="Q1281" i="1"/>
  <c r="T1280" i="1"/>
  <c r="AV1279" i="1"/>
  <c r="AD1281" i="1"/>
  <c r="Y1279" i="1"/>
  <c r="W1279" i="1"/>
  <c r="R1280" i="1"/>
  <c r="AV1280" i="1" l="1"/>
  <c r="AD1282" i="1"/>
  <c r="Q1282" i="1"/>
  <c r="T1281" i="1"/>
  <c r="AL1281" i="1"/>
  <c r="R1281" i="1"/>
  <c r="Y1280" i="1"/>
  <c r="W1280" i="1"/>
  <c r="AL1282" i="1" l="1"/>
  <c r="Q1283" i="1"/>
  <c r="T1282" i="1"/>
  <c r="AV1281" i="1"/>
  <c r="AD1283" i="1"/>
  <c r="Y1281" i="1"/>
  <c r="W1281" i="1"/>
  <c r="R1282" i="1"/>
  <c r="AV1282" i="1" l="1"/>
  <c r="AD1284" i="1"/>
  <c r="Q1284" i="1"/>
  <c r="T1283" i="1"/>
  <c r="AL1283" i="1"/>
  <c r="Y1282" i="1"/>
  <c r="W1282" i="1"/>
  <c r="R1283" i="1"/>
  <c r="AL1284" i="1" l="1"/>
  <c r="Q1285" i="1"/>
  <c r="T1284" i="1"/>
  <c r="AV1283" i="1"/>
  <c r="AD1285" i="1"/>
  <c r="Y1283" i="1"/>
  <c r="W1283" i="1"/>
  <c r="R1284" i="1"/>
  <c r="AV1284" i="1" l="1"/>
  <c r="AD1286" i="1"/>
  <c r="Q1286" i="1"/>
  <c r="T1285" i="1"/>
  <c r="AL1285" i="1"/>
  <c r="Y1284" i="1"/>
  <c r="R1285" i="1"/>
  <c r="W1284" i="1"/>
  <c r="AL1286" i="1" l="1"/>
  <c r="Q1287" i="1"/>
  <c r="T1286" i="1"/>
  <c r="AV1285" i="1"/>
  <c r="AD1287" i="1"/>
  <c r="R1286" i="1"/>
  <c r="Y1285" i="1"/>
  <c r="W1285" i="1"/>
  <c r="AV1286" i="1" l="1"/>
  <c r="AD1288" i="1"/>
  <c r="Q1288" i="1"/>
  <c r="T1287" i="1"/>
  <c r="AL1287" i="1"/>
  <c r="W1286" i="1"/>
  <c r="Y1286" i="1"/>
  <c r="R1287" i="1"/>
  <c r="AL1288" i="1" l="1"/>
  <c r="Q1289" i="1"/>
  <c r="T1288" i="1"/>
  <c r="AV1287" i="1"/>
  <c r="AD1289" i="1"/>
  <c r="R1288" i="1"/>
  <c r="W1287" i="1"/>
  <c r="Y1287" i="1"/>
  <c r="AV1288" i="1" l="1"/>
  <c r="AD1290" i="1"/>
  <c r="Q1290" i="1"/>
  <c r="T1289" i="1"/>
  <c r="AL1289" i="1"/>
  <c r="Y1288" i="1"/>
  <c r="W1288" i="1"/>
  <c r="R1289" i="1"/>
  <c r="AL1290" i="1" l="1"/>
  <c r="Q1291" i="1"/>
  <c r="T1290" i="1"/>
  <c r="AV1289" i="1"/>
  <c r="AD1291" i="1"/>
  <c r="Y1289" i="1"/>
  <c r="R1290" i="1"/>
  <c r="W1289" i="1"/>
  <c r="AV1290" i="1" l="1"/>
  <c r="AD1292" i="1"/>
  <c r="Q1292" i="1"/>
  <c r="T1291" i="1"/>
  <c r="AL1291" i="1"/>
  <c r="R1291" i="1"/>
  <c r="Y1290" i="1"/>
  <c r="W1290" i="1"/>
  <c r="AL1292" i="1" l="1"/>
  <c r="Q1293" i="1"/>
  <c r="T1292" i="1"/>
  <c r="AD1293" i="1"/>
  <c r="AV1291" i="1"/>
  <c r="W1291" i="1"/>
  <c r="Y1291" i="1"/>
  <c r="R1292" i="1"/>
  <c r="AD1294" i="1" l="1"/>
  <c r="AV1292" i="1"/>
  <c r="Q1294" i="1"/>
  <c r="T1293" i="1"/>
  <c r="AL1293" i="1"/>
  <c r="Y1292" i="1"/>
  <c r="W1292" i="1"/>
  <c r="R1293" i="1"/>
  <c r="AL1294" i="1" l="1"/>
  <c r="Q1295" i="1"/>
  <c r="T1294" i="1"/>
  <c r="AD1295" i="1"/>
  <c r="AV1293" i="1"/>
  <c r="W1293" i="1"/>
  <c r="R1294" i="1"/>
  <c r="Y1293" i="1"/>
  <c r="AD1296" i="1" l="1"/>
  <c r="AV1294" i="1"/>
  <c r="Q1296" i="1"/>
  <c r="T1295" i="1"/>
  <c r="AL1295" i="1"/>
  <c r="R1295" i="1"/>
  <c r="W1294" i="1"/>
  <c r="Y1294" i="1"/>
  <c r="AL1296" i="1" l="1"/>
  <c r="Q1297" i="1"/>
  <c r="T1296" i="1"/>
  <c r="AD1297" i="1"/>
  <c r="AV1295" i="1"/>
  <c r="R1296" i="1"/>
  <c r="W1295" i="1"/>
  <c r="Y1295" i="1"/>
  <c r="AD1298" i="1" l="1"/>
  <c r="AV1296" i="1"/>
  <c r="Q1298" i="1"/>
  <c r="T1297" i="1"/>
  <c r="AL1297" i="1"/>
  <c r="Y1296" i="1"/>
  <c r="W1296" i="1"/>
  <c r="R1297" i="1"/>
  <c r="AL1298" i="1" l="1"/>
  <c r="Q1299" i="1"/>
  <c r="T1298" i="1"/>
  <c r="AD1299" i="1"/>
  <c r="AV1297" i="1"/>
  <c r="W1297" i="1"/>
  <c r="Y1297" i="1"/>
  <c r="R1298" i="1"/>
  <c r="AD1300" i="1" l="1"/>
  <c r="AV1298" i="1"/>
  <c r="Q1300" i="1"/>
  <c r="T1299" i="1"/>
  <c r="AL1299" i="1"/>
  <c r="R1299" i="1"/>
  <c r="W1298" i="1"/>
  <c r="Y1298" i="1"/>
  <c r="AL1300" i="1" l="1"/>
  <c r="Q1301" i="1"/>
  <c r="T1300" i="1"/>
  <c r="AV1299" i="1"/>
  <c r="AD1301" i="1"/>
  <c r="W1299" i="1"/>
  <c r="R1300" i="1"/>
  <c r="Y1299" i="1"/>
  <c r="AV1300" i="1" l="1"/>
  <c r="AD1302" i="1"/>
  <c r="Q1302" i="1"/>
  <c r="T1301" i="1"/>
  <c r="AL1301" i="1"/>
  <c r="R1301" i="1"/>
  <c r="W1300" i="1"/>
  <c r="Y1300" i="1"/>
  <c r="AL1302" i="1" l="1"/>
  <c r="Q1303" i="1"/>
  <c r="T1302" i="1"/>
  <c r="AD1303" i="1"/>
  <c r="AV1301" i="1"/>
  <c r="Y1301" i="1"/>
  <c r="R1302" i="1"/>
  <c r="W1301" i="1"/>
  <c r="AD1304" i="1" l="1"/>
  <c r="AV1302" i="1"/>
  <c r="Q1304" i="1"/>
  <c r="T1303" i="1"/>
  <c r="AL1303" i="1"/>
  <c r="R1303" i="1"/>
  <c r="W1302" i="1"/>
  <c r="Y1302" i="1"/>
  <c r="AL1304" i="1" l="1"/>
  <c r="Q1305" i="1"/>
  <c r="T1304" i="1"/>
  <c r="AD1305" i="1"/>
  <c r="AV1303" i="1"/>
  <c r="Y1303" i="1"/>
  <c r="W1303" i="1"/>
  <c r="R1304" i="1"/>
  <c r="AV1304" i="1" l="1"/>
  <c r="AD1306" i="1"/>
  <c r="Q1306" i="1"/>
  <c r="T1305" i="1"/>
  <c r="AL1305" i="1"/>
  <c r="Y1304" i="1"/>
  <c r="W1304" i="1"/>
  <c r="R1305" i="1"/>
  <c r="AL1306" i="1" l="1"/>
  <c r="Q1307" i="1"/>
  <c r="T1306" i="1"/>
  <c r="AV1305" i="1"/>
  <c r="AD1307" i="1"/>
  <c r="Y1305" i="1"/>
  <c r="R1306" i="1"/>
  <c r="W1305" i="1"/>
  <c r="AV1306" i="1" l="1"/>
  <c r="AD1308" i="1"/>
  <c r="Q1308" i="1"/>
  <c r="T1307" i="1"/>
  <c r="AL1307" i="1"/>
  <c r="R1307" i="1"/>
  <c r="W1306" i="1"/>
  <c r="Y1306" i="1"/>
  <c r="AL1308" i="1" l="1"/>
  <c r="Q1309" i="1"/>
  <c r="T1308" i="1"/>
  <c r="AD1309" i="1"/>
  <c r="AV1307" i="1"/>
  <c r="W1307" i="1"/>
  <c r="Y1307" i="1"/>
  <c r="R1308" i="1"/>
  <c r="AD1310" i="1" l="1"/>
  <c r="AV1308" i="1"/>
  <c r="Q1310" i="1"/>
  <c r="T1309" i="1"/>
  <c r="AL1309" i="1"/>
  <c r="W1308" i="1"/>
  <c r="R1309" i="1"/>
  <c r="Y1308" i="1"/>
  <c r="AL1310" i="1" l="1"/>
  <c r="Q1311" i="1"/>
  <c r="T1310" i="1"/>
  <c r="AD1311" i="1"/>
  <c r="AV1309" i="1"/>
  <c r="Y1309" i="1"/>
  <c r="W1309" i="1"/>
  <c r="R1310" i="1"/>
  <c r="AD1312" i="1" l="1"/>
  <c r="AV1310" i="1"/>
  <c r="Q1312" i="1"/>
  <c r="T1311" i="1"/>
  <c r="AL1311" i="1"/>
  <c r="Y1310" i="1"/>
  <c r="R1311" i="1"/>
  <c r="W1310" i="1"/>
  <c r="AL1312" i="1" l="1"/>
  <c r="Q1313" i="1"/>
  <c r="T1312" i="1"/>
  <c r="AD1313" i="1"/>
  <c r="AV1311" i="1"/>
  <c r="W1311" i="1"/>
  <c r="R1312" i="1"/>
  <c r="Y1311" i="1"/>
  <c r="AD1314" i="1" l="1"/>
  <c r="AV1312" i="1"/>
  <c r="Q1314" i="1"/>
  <c r="T1313" i="1"/>
  <c r="AL1313" i="1"/>
  <c r="Y1312" i="1"/>
  <c r="W1312" i="1"/>
  <c r="R1313" i="1"/>
  <c r="AL1314" i="1" l="1"/>
  <c r="Q1315" i="1"/>
  <c r="T1314" i="1"/>
  <c r="AD1315" i="1"/>
  <c r="AV1313" i="1"/>
  <c r="R1314" i="1"/>
  <c r="Y1313" i="1"/>
  <c r="W1313" i="1"/>
  <c r="AD1316" i="1" l="1"/>
  <c r="AV1314" i="1"/>
  <c r="Q1316" i="1"/>
  <c r="T1315" i="1"/>
  <c r="AL1315" i="1"/>
  <c r="R1315" i="1"/>
  <c r="W1314" i="1"/>
  <c r="Y1314" i="1"/>
  <c r="AL1316" i="1" l="1"/>
  <c r="Q1317" i="1"/>
  <c r="T1316" i="1"/>
  <c r="AD1317" i="1"/>
  <c r="AV1315" i="1"/>
  <c r="W1315" i="1"/>
  <c r="Y1315" i="1"/>
  <c r="R1316" i="1"/>
  <c r="AD1318" i="1" l="1"/>
  <c r="AV1316" i="1"/>
  <c r="Q1318" i="1"/>
  <c r="T1317" i="1"/>
  <c r="AL1317" i="1"/>
  <c r="Y1316" i="1"/>
  <c r="R1317" i="1"/>
  <c r="W1316" i="1"/>
  <c r="AL1318" i="1" l="1"/>
  <c r="Q1319" i="1"/>
  <c r="T1318" i="1"/>
  <c r="AD1319" i="1"/>
  <c r="AV1317" i="1"/>
  <c r="R1318" i="1"/>
  <c r="W1317" i="1"/>
  <c r="Y1317" i="1"/>
  <c r="AD1320" i="1" l="1"/>
  <c r="AV1318" i="1"/>
  <c r="Q1320" i="1"/>
  <c r="T1319" i="1"/>
  <c r="AL1319" i="1"/>
  <c r="R1319" i="1"/>
  <c r="W1318" i="1"/>
  <c r="Y1318" i="1"/>
  <c r="AL1320" i="1" l="1"/>
  <c r="Q1321" i="1"/>
  <c r="T1320" i="1"/>
  <c r="AV1319" i="1"/>
  <c r="AD1321" i="1"/>
  <c r="Y1319" i="1"/>
  <c r="R1320" i="1"/>
  <c r="W1319" i="1"/>
  <c r="AD1322" i="1" l="1"/>
  <c r="AV1320" i="1"/>
  <c r="Q1322" i="1"/>
  <c r="T1321" i="1"/>
  <c r="AL1321" i="1"/>
  <c r="R1321" i="1"/>
  <c r="W1320" i="1"/>
  <c r="Y1320" i="1"/>
  <c r="AL1322" i="1" l="1"/>
  <c r="Q1323" i="1"/>
  <c r="T1322" i="1"/>
  <c r="AV1321" i="1"/>
  <c r="AD1323" i="1"/>
  <c r="Y1321" i="1"/>
  <c r="R1322" i="1"/>
  <c r="W1321" i="1"/>
  <c r="AV1322" i="1" l="1"/>
  <c r="AD1324" i="1"/>
  <c r="Q1324" i="1"/>
  <c r="T1323" i="1"/>
  <c r="AL1323" i="1"/>
  <c r="R1323" i="1"/>
  <c r="Y1322" i="1"/>
  <c r="W1322" i="1"/>
  <c r="AL1324" i="1" l="1"/>
  <c r="Q1325" i="1"/>
  <c r="T1324" i="1"/>
  <c r="AV1323" i="1"/>
  <c r="AD1325" i="1"/>
  <c r="R1324" i="1"/>
  <c r="W1323" i="1"/>
  <c r="Y1323" i="1"/>
  <c r="AV1324" i="1" l="1"/>
  <c r="AD1326" i="1"/>
  <c r="Q1326" i="1"/>
  <c r="T1325" i="1"/>
  <c r="AL1325" i="1"/>
  <c r="W1324" i="1"/>
  <c r="R1325" i="1"/>
  <c r="Y1324" i="1"/>
  <c r="AL1326" i="1" l="1"/>
  <c r="Q1327" i="1"/>
  <c r="T1326" i="1"/>
  <c r="AV1325" i="1"/>
  <c r="AD1327" i="1"/>
  <c r="Y1325" i="1"/>
  <c r="W1325" i="1"/>
  <c r="R1326" i="1"/>
  <c r="AV1326" i="1" l="1"/>
  <c r="AD1328" i="1"/>
  <c r="Q1328" i="1"/>
  <c r="T1327" i="1"/>
  <c r="AL1327" i="1"/>
  <c r="Y1326" i="1"/>
  <c r="R1327" i="1"/>
  <c r="W1326" i="1"/>
  <c r="AL1328" i="1" l="1"/>
  <c r="Q1329" i="1"/>
  <c r="T1328" i="1"/>
  <c r="AV1327" i="1"/>
  <c r="AD1329" i="1"/>
  <c r="Y1327" i="1"/>
  <c r="R1328" i="1"/>
  <c r="W1327" i="1"/>
  <c r="AV1328" i="1" l="1"/>
  <c r="AD1330" i="1"/>
  <c r="Q1330" i="1"/>
  <c r="T1329" i="1"/>
  <c r="AL1329" i="1"/>
  <c r="Y1328" i="1"/>
  <c r="W1328" i="1"/>
  <c r="R1329" i="1"/>
  <c r="AL1330" i="1" l="1"/>
  <c r="Q1331" i="1"/>
  <c r="T1330" i="1"/>
  <c r="AV1329" i="1"/>
  <c r="AD1331" i="1"/>
  <c r="R1330" i="1"/>
  <c r="W1329" i="1"/>
  <c r="Y1329" i="1"/>
  <c r="AV1330" i="1" l="1"/>
  <c r="AD1332" i="1"/>
  <c r="Q1332" i="1"/>
  <c r="T1331" i="1"/>
  <c r="AL1331" i="1"/>
  <c r="Y1330" i="1"/>
  <c r="R1331" i="1"/>
  <c r="W1330" i="1"/>
  <c r="AL1332" i="1" l="1"/>
  <c r="Q1333" i="1"/>
  <c r="T1332" i="1"/>
  <c r="AD1333" i="1"/>
  <c r="AV1331" i="1"/>
  <c r="W1331" i="1"/>
  <c r="R1332" i="1"/>
  <c r="Y1331" i="1"/>
  <c r="AD1334" i="1" l="1"/>
  <c r="AV1332" i="1"/>
  <c r="Q1334" i="1"/>
  <c r="T1333" i="1"/>
  <c r="AL1333" i="1"/>
  <c r="R1333" i="1"/>
  <c r="Y1332" i="1"/>
  <c r="W1332" i="1"/>
  <c r="AL1334" i="1" l="1"/>
  <c r="Q1335" i="1"/>
  <c r="T1334" i="1"/>
  <c r="AV1333" i="1"/>
  <c r="AD1335" i="1"/>
  <c r="Y1333" i="1"/>
  <c r="R1334" i="1"/>
  <c r="W1333" i="1"/>
  <c r="AV1334" i="1" l="1"/>
  <c r="AD1336" i="1"/>
  <c r="Q1336" i="1"/>
  <c r="T1335" i="1"/>
  <c r="AL1335" i="1"/>
  <c r="R1335" i="1"/>
  <c r="Y1334" i="1"/>
  <c r="W1334" i="1"/>
  <c r="AL1336" i="1" l="1"/>
  <c r="Q1337" i="1"/>
  <c r="T1336" i="1"/>
  <c r="AV1335" i="1"/>
  <c r="AD1337" i="1"/>
  <c r="Y1335" i="1"/>
  <c r="W1335" i="1"/>
  <c r="R1336" i="1"/>
  <c r="AV1336" i="1" l="1"/>
  <c r="AD1338" i="1"/>
  <c r="Q1338" i="1"/>
  <c r="T1337" i="1"/>
  <c r="AL1337" i="1"/>
  <c r="Y1336" i="1"/>
  <c r="W1336" i="1"/>
  <c r="R1337" i="1"/>
  <c r="AL1338" i="1" l="1"/>
  <c r="Q1339" i="1"/>
  <c r="T1338" i="1"/>
  <c r="AD1339" i="1"/>
  <c r="AV1337" i="1"/>
  <c r="R1338" i="1"/>
  <c r="Y1337" i="1"/>
  <c r="W1337" i="1"/>
  <c r="AD1340" i="1" l="1"/>
  <c r="AV1338" i="1"/>
  <c r="Q1340" i="1"/>
  <c r="T1339" i="1"/>
  <c r="AL1339" i="1"/>
  <c r="Y1338" i="1"/>
  <c r="R1339" i="1"/>
  <c r="W1338" i="1"/>
  <c r="AL1340" i="1" l="1"/>
  <c r="Q1341" i="1"/>
  <c r="T1340" i="1"/>
  <c r="AD1341" i="1"/>
  <c r="AV1339" i="1"/>
  <c r="Y1339" i="1"/>
  <c r="W1339" i="1"/>
  <c r="R1340" i="1"/>
  <c r="AD1342" i="1" l="1"/>
  <c r="AV1340" i="1"/>
  <c r="Q1342" i="1"/>
  <c r="T1341" i="1"/>
  <c r="AL1341" i="1"/>
  <c r="R1341" i="1"/>
  <c r="W1340" i="1"/>
  <c r="Y1340" i="1"/>
  <c r="AL1342" i="1" l="1"/>
  <c r="Q1343" i="1"/>
  <c r="T1342" i="1"/>
  <c r="AD1343" i="1"/>
  <c r="AV1341" i="1"/>
  <c r="R1342" i="1"/>
  <c r="Y1341" i="1"/>
  <c r="W1341" i="1"/>
  <c r="AD1344" i="1" l="1"/>
  <c r="AV1342" i="1"/>
  <c r="Q1344" i="1"/>
  <c r="T1343" i="1"/>
  <c r="AL1343" i="1"/>
  <c r="W1342" i="1"/>
  <c r="Y1342" i="1"/>
  <c r="R1343" i="1"/>
  <c r="AL1344" i="1" l="1"/>
  <c r="Q1345" i="1"/>
  <c r="T1344" i="1"/>
  <c r="AD1345" i="1"/>
  <c r="AV1343" i="1"/>
  <c r="R1344" i="1"/>
  <c r="W1343" i="1"/>
  <c r="Y1343" i="1"/>
  <c r="AD1346" i="1" l="1"/>
  <c r="AV1344" i="1"/>
  <c r="Q1346" i="1"/>
  <c r="T1345" i="1"/>
  <c r="AL1345" i="1"/>
  <c r="R1345" i="1"/>
  <c r="Y1344" i="1"/>
  <c r="W1344" i="1"/>
  <c r="AL1346" i="1" l="1"/>
  <c r="Q1347" i="1"/>
  <c r="T1346" i="1"/>
  <c r="AD1347" i="1"/>
  <c r="AV1345" i="1"/>
  <c r="R1346" i="1"/>
  <c r="Y1345" i="1"/>
  <c r="W1345" i="1"/>
  <c r="AD1348" i="1" l="1"/>
  <c r="AV1346" i="1"/>
  <c r="Q1348" i="1"/>
  <c r="T1347" i="1"/>
  <c r="AL1347" i="1"/>
  <c r="Y1346" i="1"/>
  <c r="R1347" i="1"/>
  <c r="W1346" i="1"/>
  <c r="AL1348" i="1" l="1"/>
  <c r="Q1349" i="1"/>
  <c r="T1348" i="1"/>
  <c r="AD1349" i="1"/>
  <c r="AV1347" i="1"/>
  <c r="R1348" i="1"/>
  <c r="Y1347" i="1"/>
  <c r="W1347" i="1"/>
  <c r="AD1350" i="1" l="1"/>
  <c r="AV1348" i="1"/>
  <c r="Q1350" i="1"/>
  <c r="T1349" i="1"/>
  <c r="AL1349" i="1"/>
  <c r="Y1348" i="1"/>
  <c r="R1349" i="1"/>
  <c r="W1348" i="1"/>
  <c r="AL1350" i="1" l="1"/>
  <c r="Q1351" i="1"/>
  <c r="T1350" i="1"/>
  <c r="AD1351" i="1"/>
  <c r="AV1349" i="1"/>
  <c r="W1349" i="1"/>
  <c r="Y1349" i="1"/>
  <c r="R1350" i="1"/>
  <c r="AV1350" i="1" l="1"/>
  <c r="AD1352" i="1"/>
  <c r="Q1352" i="1"/>
  <c r="T1351" i="1"/>
  <c r="AL1351" i="1"/>
  <c r="R1351" i="1"/>
  <c r="W1350" i="1"/>
  <c r="Y1350" i="1"/>
  <c r="AL1352" i="1" l="1"/>
  <c r="Q1353" i="1"/>
  <c r="T1352" i="1"/>
  <c r="AD1353" i="1"/>
  <c r="AV1351" i="1"/>
  <c r="Y1351" i="1"/>
  <c r="W1351" i="1"/>
  <c r="R1352" i="1"/>
  <c r="AD1354" i="1" l="1"/>
  <c r="AV1352" i="1"/>
  <c r="Q1354" i="1"/>
  <c r="T1353" i="1"/>
  <c r="AL1353" i="1"/>
  <c r="Y1352" i="1"/>
  <c r="R1353" i="1"/>
  <c r="W1352" i="1"/>
  <c r="AL1354" i="1" l="1"/>
  <c r="Q1355" i="1"/>
  <c r="T1354" i="1"/>
  <c r="AD1355" i="1"/>
  <c r="AV1353" i="1"/>
  <c r="R1354" i="1"/>
  <c r="Y1353" i="1"/>
  <c r="W1353" i="1"/>
  <c r="AD1356" i="1" l="1"/>
  <c r="AV1354" i="1"/>
  <c r="Q1356" i="1"/>
  <c r="T1355" i="1"/>
  <c r="AL1355" i="1"/>
  <c r="W1354" i="1"/>
  <c r="R1355" i="1"/>
  <c r="Y1354" i="1"/>
  <c r="AL1356" i="1" l="1"/>
  <c r="Q1357" i="1"/>
  <c r="T1356" i="1"/>
  <c r="AD1357" i="1"/>
  <c r="AV1355" i="1"/>
  <c r="R1356" i="1"/>
  <c r="Y1355" i="1"/>
  <c r="W1355" i="1"/>
  <c r="AD1358" i="1" l="1"/>
  <c r="AV1356" i="1"/>
  <c r="Q1358" i="1"/>
  <c r="T1357" i="1"/>
  <c r="AL1357" i="1"/>
  <c r="R1357" i="1"/>
  <c r="W1356" i="1"/>
  <c r="Y1356" i="1"/>
  <c r="AL1358" i="1" l="1"/>
  <c r="Q1359" i="1"/>
  <c r="T1358" i="1"/>
  <c r="AD1359" i="1"/>
  <c r="AV1357" i="1"/>
  <c r="R1358" i="1"/>
  <c r="W1357" i="1"/>
  <c r="Y1357" i="1"/>
  <c r="AD1360" i="1" l="1"/>
  <c r="AV1358" i="1"/>
  <c r="Q1360" i="1"/>
  <c r="T1359" i="1"/>
  <c r="AL1359" i="1"/>
  <c r="R1359" i="1"/>
  <c r="W1358" i="1"/>
  <c r="Y1358" i="1"/>
  <c r="AL1360" i="1" l="1"/>
  <c r="Q1361" i="1"/>
  <c r="T1360" i="1"/>
  <c r="AD1361" i="1"/>
  <c r="AV1359" i="1"/>
  <c r="R1360" i="1"/>
  <c r="Y1359" i="1"/>
  <c r="W1359" i="1"/>
  <c r="AV1360" i="1" l="1"/>
  <c r="AD1362" i="1"/>
  <c r="Q1362" i="1"/>
  <c r="T1361" i="1"/>
  <c r="AL1361" i="1"/>
  <c r="Y1360" i="1"/>
  <c r="W1360" i="1"/>
  <c r="R1361" i="1"/>
  <c r="AL1362" i="1" l="1"/>
  <c r="Q1363" i="1"/>
  <c r="T1362" i="1"/>
  <c r="AV1361" i="1"/>
  <c r="AD1363" i="1"/>
  <c r="W1361" i="1"/>
  <c r="Y1361" i="1"/>
  <c r="R1362" i="1"/>
  <c r="AV1362" i="1" l="1"/>
  <c r="AD1364" i="1"/>
  <c r="Q1364" i="1"/>
  <c r="T1363" i="1"/>
  <c r="AL1363" i="1"/>
  <c r="R1363" i="1"/>
  <c r="Y1362" i="1"/>
  <c r="W1362" i="1"/>
  <c r="AL1364" i="1" l="1"/>
  <c r="Q1365" i="1"/>
  <c r="T1364" i="1"/>
  <c r="AD1365" i="1"/>
  <c r="AV1363" i="1"/>
  <c r="W1363" i="1"/>
  <c r="R1364" i="1"/>
  <c r="Y1363" i="1"/>
  <c r="AV1364" i="1" l="1"/>
  <c r="AD1366" i="1"/>
  <c r="Q1366" i="1"/>
  <c r="T1365" i="1"/>
  <c r="AL1365" i="1"/>
  <c r="R1365" i="1"/>
  <c r="Y1364" i="1"/>
  <c r="W1364" i="1"/>
  <c r="AL1366" i="1" l="1"/>
  <c r="Q1367" i="1"/>
  <c r="T1366" i="1"/>
  <c r="AD1367" i="1"/>
  <c r="AV1365" i="1"/>
  <c r="R1366" i="1"/>
  <c r="W1365" i="1"/>
  <c r="Y1365" i="1"/>
  <c r="AD1368" i="1" l="1"/>
  <c r="AV1366" i="1"/>
  <c r="Q1368" i="1"/>
  <c r="T1367" i="1"/>
  <c r="AL1367" i="1"/>
  <c r="W1366" i="1"/>
  <c r="R1367" i="1"/>
  <c r="Y1366" i="1"/>
  <c r="AL1368" i="1" l="1"/>
  <c r="Q1369" i="1"/>
  <c r="T1368" i="1"/>
  <c r="AV1367" i="1"/>
  <c r="AD1369" i="1"/>
  <c r="Y1367" i="1"/>
  <c r="W1367" i="1"/>
  <c r="R1368" i="1"/>
  <c r="AV1368" i="1" l="1"/>
  <c r="AD1370" i="1"/>
  <c r="Q1370" i="1"/>
  <c r="T1369" i="1"/>
  <c r="AL1369" i="1"/>
  <c r="R1369" i="1"/>
  <c r="W1368" i="1"/>
  <c r="Y1368" i="1"/>
  <c r="AL1370" i="1" l="1"/>
  <c r="Q1371" i="1"/>
  <c r="T1370" i="1"/>
  <c r="AV1369" i="1"/>
  <c r="AD1371" i="1"/>
  <c r="R1370" i="1"/>
  <c r="Y1369" i="1"/>
  <c r="W1369" i="1"/>
  <c r="AV1370" i="1" l="1"/>
  <c r="AD1372" i="1"/>
  <c r="Q1372" i="1"/>
  <c r="T1371" i="1"/>
  <c r="AL1371" i="1"/>
  <c r="Y1370" i="1"/>
  <c r="W1370" i="1"/>
  <c r="R1371" i="1"/>
  <c r="AL1372" i="1" l="1"/>
  <c r="Q1373" i="1"/>
  <c r="T1372" i="1"/>
  <c r="AD1373" i="1"/>
  <c r="AV1371" i="1"/>
  <c r="W1371" i="1"/>
  <c r="R1372" i="1"/>
  <c r="Y1371" i="1"/>
  <c r="AD1374" i="1" l="1"/>
  <c r="AV1372" i="1"/>
  <c r="Q1374" i="1"/>
  <c r="T1373" i="1"/>
  <c r="AL1373" i="1"/>
  <c r="W1372" i="1"/>
  <c r="R1373" i="1"/>
  <c r="Y1372" i="1"/>
  <c r="AL1374" i="1" l="1"/>
  <c r="Q1375" i="1"/>
  <c r="T1374" i="1"/>
  <c r="AV1373" i="1"/>
  <c r="AD1375" i="1"/>
  <c r="Y1373" i="1"/>
  <c r="W1373" i="1"/>
  <c r="R1374" i="1"/>
  <c r="AV1374" i="1" l="1"/>
  <c r="AD1376" i="1"/>
  <c r="Q1376" i="1"/>
  <c r="T1375" i="1"/>
  <c r="AL1375" i="1"/>
  <c r="R1375" i="1"/>
  <c r="W1374" i="1"/>
  <c r="Y1374" i="1"/>
  <c r="AL1376" i="1" l="1"/>
  <c r="Q1377" i="1"/>
  <c r="T1376" i="1"/>
  <c r="AV1375" i="1"/>
  <c r="AD1377" i="1"/>
  <c r="Y1375" i="1"/>
  <c r="R1376" i="1"/>
  <c r="W1375" i="1"/>
  <c r="AD1378" i="1" l="1"/>
  <c r="AV1376" i="1"/>
  <c r="Q1378" i="1"/>
  <c r="T1377" i="1"/>
  <c r="AL1377" i="1"/>
  <c r="W1376" i="1"/>
  <c r="Y1376" i="1"/>
  <c r="R1377" i="1"/>
  <c r="AL1378" i="1" l="1"/>
  <c r="Q1379" i="1"/>
  <c r="T1378" i="1"/>
  <c r="AV1377" i="1"/>
  <c r="AD1379" i="1"/>
  <c r="W1377" i="1"/>
  <c r="Y1377" i="1"/>
  <c r="R1378" i="1"/>
  <c r="AD1380" i="1" l="1"/>
  <c r="AV1378" i="1"/>
  <c r="Q1380" i="1"/>
  <c r="T1379" i="1"/>
  <c r="AL1379" i="1"/>
  <c r="Y1378" i="1"/>
  <c r="W1378" i="1"/>
  <c r="R1379" i="1"/>
  <c r="AL1380" i="1" l="1"/>
  <c r="Q1381" i="1"/>
  <c r="T1380" i="1"/>
  <c r="AD1381" i="1"/>
  <c r="AV1379" i="1"/>
  <c r="Y1379" i="1"/>
  <c r="R1380" i="1"/>
  <c r="W1379" i="1"/>
  <c r="AD1382" i="1" l="1"/>
  <c r="AV1380" i="1"/>
  <c r="Q1382" i="1"/>
  <c r="T1381" i="1"/>
  <c r="AL1381" i="1"/>
  <c r="R1381" i="1"/>
  <c r="Y1380" i="1"/>
  <c r="W1380" i="1"/>
  <c r="AL1382" i="1" l="1"/>
  <c r="Q1383" i="1"/>
  <c r="T1382" i="1"/>
  <c r="AV1381" i="1"/>
  <c r="AD1383" i="1"/>
  <c r="Y1381" i="1"/>
  <c r="W1381" i="1"/>
  <c r="R1382" i="1"/>
  <c r="AD1384" i="1" l="1"/>
  <c r="AV1382" i="1"/>
  <c r="Q1384" i="1"/>
  <c r="T1383" i="1"/>
  <c r="AL1383" i="1"/>
  <c r="Y1382" i="1"/>
  <c r="W1382" i="1"/>
  <c r="R1383" i="1"/>
  <c r="AL1384" i="1" l="1"/>
  <c r="Q1385" i="1"/>
  <c r="T1384" i="1"/>
  <c r="AV1383" i="1"/>
  <c r="AD1385" i="1"/>
  <c r="R1384" i="1"/>
  <c r="W1383" i="1"/>
  <c r="Y1383" i="1"/>
  <c r="AV1384" i="1" l="1"/>
  <c r="AD1386" i="1"/>
  <c r="Q1386" i="1"/>
  <c r="T1385" i="1"/>
  <c r="AL1385" i="1"/>
  <c r="Y1384" i="1"/>
  <c r="W1384" i="1"/>
  <c r="R1385" i="1"/>
  <c r="AL1386" i="1" l="1"/>
  <c r="Q1387" i="1"/>
  <c r="T1386" i="1"/>
  <c r="AV1385" i="1"/>
  <c r="AD1387" i="1"/>
  <c r="Y1385" i="1"/>
  <c r="R1386" i="1"/>
  <c r="W1385" i="1"/>
  <c r="AD1388" i="1" l="1"/>
  <c r="AV1386" i="1"/>
  <c r="Q1388" i="1"/>
  <c r="T1387" i="1"/>
  <c r="AL1387" i="1"/>
  <c r="Y1386" i="1"/>
  <c r="W1386" i="1"/>
  <c r="R1387" i="1"/>
  <c r="AL1388" i="1" l="1"/>
  <c r="Q1389" i="1"/>
  <c r="T1388" i="1"/>
  <c r="AD1389" i="1"/>
  <c r="AV1387" i="1"/>
  <c r="R1388" i="1"/>
  <c r="Y1387" i="1"/>
  <c r="W1387" i="1"/>
  <c r="AD1390" i="1" l="1"/>
  <c r="AV1388" i="1"/>
  <c r="Q1390" i="1"/>
  <c r="T1389" i="1"/>
  <c r="AL1389" i="1"/>
  <c r="Y1388" i="1"/>
  <c r="W1388" i="1"/>
  <c r="R1389" i="1"/>
  <c r="AL1390" i="1" l="1"/>
  <c r="Q1391" i="1"/>
  <c r="T1390" i="1"/>
  <c r="AD1391" i="1"/>
  <c r="AV1389" i="1"/>
  <c r="W1389" i="1"/>
  <c r="R1390" i="1"/>
  <c r="Y1389" i="1"/>
  <c r="AD1392" i="1" l="1"/>
  <c r="AV1390" i="1"/>
  <c r="Q1392" i="1"/>
  <c r="T1391" i="1"/>
  <c r="AL1391" i="1"/>
  <c r="R1391" i="1"/>
  <c r="Y1390" i="1"/>
  <c r="W1390" i="1"/>
  <c r="AL1392" i="1" l="1"/>
  <c r="Q1393" i="1"/>
  <c r="T1392" i="1"/>
  <c r="AV1391" i="1"/>
  <c r="AD1393" i="1"/>
  <c r="Y1391" i="1"/>
  <c r="R1392" i="1"/>
  <c r="W1391" i="1"/>
  <c r="AD1394" i="1" l="1"/>
  <c r="AV1392" i="1"/>
  <c r="Q1394" i="1"/>
  <c r="T1393" i="1"/>
  <c r="AL1393" i="1"/>
  <c r="Y1392" i="1"/>
  <c r="W1392" i="1"/>
  <c r="R1393" i="1"/>
  <c r="AL1394" i="1" l="1"/>
  <c r="Q1395" i="1"/>
  <c r="T1394" i="1"/>
  <c r="AD1395" i="1"/>
  <c r="AV1393" i="1"/>
  <c r="W1393" i="1"/>
  <c r="Y1393" i="1"/>
  <c r="R1394" i="1"/>
  <c r="AV1394" i="1" l="1"/>
  <c r="AD1396" i="1"/>
  <c r="Q1396" i="1"/>
  <c r="T1395" i="1"/>
  <c r="AL1395" i="1"/>
  <c r="W1394" i="1"/>
  <c r="R1395" i="1"/>
  <c r="Y1394" i="1"/>
  <c r="AL1396" i="1" l="1"/>
  <c r="Q1397" i="1"/>
  <c r="T1396" i="1"/>
  <c r="AV1395" i="1"/>
  <c r="AD1397" i="1"/>
  <c r="Y1395" i="1"/>
  <c r="W1395" i="1"/>
  <c r="R1396" i="1"/>
  <c r="AV1396" i="1" l="1"/>
  <c r="AD1398" i="1"/>
  <c r="Q1398" i="1"/>
  <c r="T1397" i="1"/>
  <c r="AL1397" i="1"/>
  <c r="R1397" i="1"/>
  <c r="Y1396" i="1"/>
  <c r="W1396" i="1"/>
  <c r="AL1398" i="1" l="1"/>
  <c r="Q1399" i="1"/>
  <c r="T1398" i="1"/>
  <c r="AV1397" i="1"/>
  <c r="AD1399" i="1"/>
  <c r="Y1397" i="1"/>
  <c r="R1398" i="1"/>
  <c r="W1397" i="1"/>
  <c r="AV1398" i="1" l="1"/>
  <c r="AD1400" i="1"/>
  <c r="Q1400" i="1"/>
  <c r="T1399" i="1"/>
  <c r="AL1399" i="1"/>
  <c r="W1398" i="1"/>
  <c r="Y1398" i="1"/>
  <c r="R1399" i="1"/>
  <c r="AL1400" i="1" l="1"/>
  <c r="Q1401" i="1"/>
  <c r="T1400" i="1"/>
  <c r="AV1399" i="1"/>
  <c r="AD1401" i="1"/>
  <c r="Y1399" i="1"/>
  <c r="W1399" i="1"/>
  <c r="R1400" i="1"/>
  <c r="AV1400" i="1" l="1"/>
  <c r="AD1402" i="1"/>
  <c r="Q1402" i="1"/>
  <c r="T1401" i="1"/>
  <c r="AL1401" i="1"/>
  <c r="Y1400" i="1"/>
  <c r="R1401" i="1"/>
  <c r="W1400" i="1"/>
  <c r="AL1402" i="1" l="1"/>
  <c r="Q1403" i="1"/>
  <c r="T1402" i="1"/>
  <c r="AD1403" i="1"/>
  <c r="AV1401" i="1"/>
  <c r="W1401" i="1"/>
  <c r="R1402" i="1"/>
  <c r="Y1401" i="1"/>
  <c r="AV1402" i="1" l="1"/>
  <c r="AD1404" i="1"/>
  <c r="Q1404" i="1"/>
  <c r="T1403" i="1"/>
  <c r="AL1403" i="1"/>
  <c r="R1403" i="1"/>
  <c r="W1402" i="1"/>
  <c r="Y1402" i="1"/>
  <c r="AL1404" i="1" l="1"/>
  <c r="Q1405" i="1"/>
  <c r="T1404" i="1"/>
  <c r="AV1403" i="1"/>
  <c r="AD1405" i="1"/>
  <c r="Y1403" i="1"/>
  <c r="R1404" i="1"/>
  <c r="W1403" i="1"/>
  <c r="AD1406" i="1" l="1"/>
  <c r="AV1404" i="1"/>
  <c r="Q1406" i="1"/>
  <c r="T1405" i="1"/>
  <c r="AL1405" i="1"/>
  <c r="Y1404" i="1"/>
  <c r="W1404" i="1"/>
  <c r="R1405" i="1"/>
  <c r="AL1406" i="1" l="1"/>
  <c r="Q1407" i="1"/>
  <c r="T1406" i="1"/>
  <c r="AV1405" i="1"/>
  <c r="AD1407" i="1"/>
  <c r="Y1405" i="1"/>
  <c r="R1406" i="1"/>
  <c r="W1405" i="1"/>
  <c r="AD1408" i="1" l="1"/>
  <c r="AV1406" i="1"/>
  <c r="Q1408" i="1"/>
  <c r="T1407" i="1"/>
  <c r="AL1407" i="1"/>
  <c r="Y1406" i="1"/>
  <c r="R1407" i="1"/>
  <c r="W1406" i="1"/>
  <c r="AL1408" i="1" l="1"/>
  <c r="Q1409" i="1"/>
  <c r="T1408" i="1"/>
  <c r="AD1409" i="1"/>
  <c r="AV1407" i="1"/>
  <c r="W1407" i="1"/>
  <c r="Y1407" i="1"/>
  <c r="R1408" i="1"/>
  <c r="AD1410" i="1" l="1"/>
  <c r="AV1408" i="1"/>
  <c r="Q1410" i="1"/>
  <c r="T1409" i="1"/>
  <c r="AL1409" i="1"/>
  <c r="W1408" i="1"/>
  <c r="R1409" i="1"/>
  <c r="Y1408" i="1"/>
  <c r="AL1410" i="1" l="1"/>
  <c r="Q1411" i="1"/>
  <c r="T1410" i="1"/>
  <c r="AD1411" i="1"/>
  <c r="AV1409" i="1"/>
  <c r="R1410" i="1"/>
  <c r="Y1409" i="1"/>
  <c r="W1409" i="1"/>
  <c r="AD1412" i="1" l="1"/>
  <c r="AV1410" i="1"/>
  <c r="Q1412" i="1"/>
  <c r="T1411" i="1"/>
  <c r="AL1411" i="1"/>
  <c r="Y1410" i="1"/>
  <c r="W1410" i="1"/>
  <c r="R1411" i="1"/>
  <c r="AL1412" i="1" l="1"/>
  <c r="Q1413" i="1"/>
  <c r="T1412" i="1"/>
  <c r="AD1413" i="1"/>
  <c r="AV1411" i="1"/>
  <c r="Y1411" i="1"/>
  <c r="W1411" i="1"/>
  <c r="R1412" i="1"/>
  <c r="AD1414" i="1" l="1"/>
  <c r="AV1412" i="1"/>
  <c r="Q1414" i="1"/>
  <c r="T1413" i="1"/>
  <c r="AL1413" i="1"/>
  <c r="W1412" i="1"/>
  <c r="Y1412" i="1"/>
  <c r="R1413" i="1"/>
  <c r="AL1414" i="1" l="1"/>
  <c r="Q1415" i="1"/>
  <c r="T1414" i="1"/>
  <c r="AD1415" i="1"/>
  <c r="AV1413" i="1"/>
  <c r="R1414" i="1"/>
  <c r="W1413" i="1"/>
  <c r="Y1413" i="1"/>
  <c r="AD1416" i="1" l="1"/>
  <c r="AV1414" i="1"/>
  <c r="Q1416" i="1"/>
  <c r="T1415" i="1"/>
  <c r="AL1415" i="1"/>
  <c r="W1414" i="1"/>
  <c r="R1415" i="1"/>
  <c r="Y1414" i="1"/>
  <c r="AL1416" i="1" l="1"/>
  <c r="Q1417" i="1"/>
  <c r="T1416" i="1"/>
  <c r="AD1417" i="1"/>
  <c r="AV1415" i="1"/>
  <c r="Y1415" i="1"/>
  <c r="W1415" i="1"/>
  <c r="R1416" i="1"/>
  <c r="AD1418" i="1" l="1"/>
  <c r="AV1416" i="1"/>
  <c r="Q1418" i="1"/>
  <c r="T1417" i="1"/>
  <c r="AL1417" i="1"/>
  <c r="W1416" i="1"/>
  <c r="R1417" i="1"/>
  <c r="Y1416" i="1"/>
  <c r="AL1418" i="1" l="1"/>
  <c r="Q1419" i="1"/>
  <c r="T1418" i="1"/>
  <c r="AD1419" i="1"/>
  <c r="AV1417" i="1"/>
  <c r="W1417" i="1"/>
  <c r="R1418" i="1"/>
  <c r="Y1417" i="1"/>
  <c r="AD1420" i="1" l="1"/>
  <c r="AV1418" i="1"/>
  <c r="Q1420" i="1"/>
  <c r="T1419" i="1"/>
  <c r="AL1419" i="1"/>
  <c r="W1418" i="1"/>
  <c r="Y1418" i="1"/>
  <c r="R1419" i="1"/>
  <c r="AL1420" i="1" l="1"/>
  <c r="Q1421" i="1"/>
  <c r="T1420" i="1"/>
  <c r="AD1421" i="1"/>
  <c r="AV1419" i="1"/>
  <c r="Y1419" i="1"/>
  <c r="R1420" i="1"/>
  <c r="W1419" i="1"/>
  <c r="AD1422" i="1" l="1"/>
  <c r="AV1420" i="1"/>
  <c r="Q1422" i="1"/>
  <c r="T1421" i="1"/>
  <c r="AL1421" i="1"/>
  <c r="W1420" i="1"/>
  <c r="R1421" i="1"/>
  <c r="Y1420" i="1"/>
  <c r="AL1422" i="1" l="1"/>
  <c r="Q1423" i="1"/>
  <c r="T1422" i="1"/>
  <c r="AV1421" i="1"/>
  <c r="AD1423" i="1"/>
  <c r="Y1421" i="1"/>
  <c r="R1422" i="1"/>
  <c r="W1421" i="1"/>
  <c r="AV1422" i="1" l="1"/>
  <c r="AD1424" i="1"/>
  <c r="Q1424" i="1"/>
  <c r="T1423" i="1"/>
  <c r="AL1423" i="1"/>
  <c r="Y1422" i="1"/>
  <c r="R1423" i="1"/>
  <c r="W1422" i="1"/>
  <c r="AL1424" i="1" l="1"/>
  <c r="Q1425" i="1"/>
  <c r="T1424" i="1"/>
  <c r="AV1423" i="1"/>
  <c r="AD1425" i="1"/>
  <c r="R1424" i="1"/>
  <c r="W1423" i="1"/>
  <c r="Y1423" i="1"/>
  <c r="AD1426" i="1" l="1"/>
  <c r="AV1424" i="1"/>
  <c r="Q1426" i="1"/>
  <c r="T1425" i="1"/>
  <c r="AL1425" i="1"/>
  <c r="W1424" i="1"/>
  <c r="R1425" i="1"/>
  <c r="Y1424" i="1"/>
  <c r="AL1426" i="1" l="1"/>
  <c r="Q1427" i="1"/>
  <c r="T1426" i="1"/>
  <c r="AD1427" i="1"/>
  <c r="AV1425" i="1"/>
  <c r="Y1425" i="1"/>
  <c r="R1426" i="1"/>
  <c r="W1425" i="1"/>
  <c r="AD1428" i="1" l="1"/>
  <c r="AV1426" i="1"/>
  <c r="Q1428" i="1"/>
  <c r="T1427" i="1"/>
  <c r="AL1427" i="1"/>
  <c r="Y1426" i="1"/>
  <c r="W1426" i="1"/>
  <c r="R1427" i="1"/>
  <c r="AL1428" i="1" l="1"/>
  <c r="Q1429" i="1"/>
  <c r="T1428" i="1"/>
  <c r="AD1429" i="1"/>
  <c r="AV1427" i="1"/>
  <c r="Y1427" i="1"/>
  <c r="R1428" i="1"/>
  <c r="W1427" i="1"/>
  <c r="AD1430" i="1" l="1"/>
  <c r="AV1428" i="1"/>
  <c r="Q1430" i="1"/>
  <c r="T1429" i="1"/>
  <c r="AL1429" i="1"/>
  <c r="R1429" i="1"/>
  <c r="W1428" i="1"/>
  <c r="Y1428" i="1"/>
  <c r="AL1430" i="1" l="1"/>
  <c r="Q1431" i="1"/>
  <c r="T1430" i="1"/>
  <c r="AD1431" i="1"/>
  <c r="AV1429" i="1"/>
  <c r="Y1429" i="1"/>
  <c r="R1430" i="1"/>
  <c r="W1429" i="1"/>
  <c r="AD1432" i="1" l="1"/>
  <c r="AV1430" i="1"/>
  <c r="Q1432" i="1"/>
  <c r="T1431" i="1"/>
  <c r="AL1431" i="1"/>
  <c r="W1430" i="1"/>
  <c r="R1431" i="1"/>
  <c r="Y1430" i="1"/>
  <c r="AL1432" i="1" l="1"/>
  <c r="Q1433" i="1"/>
  <c r="T1432" i="1"/>
  <c r="AD1433" i="1"/>
  <c r="AV1431" i="1"/>
  <c r="Y1431" i="1"/>
  <c r="W1431" i="1"/>
  <c r="R1432" i="1"/>
  <c r="AV1432" i="1" l="1"/>
  <c r="AD1434" i="1"/>
  <c r="Q1434" i="1"/>
  <c r="T1433" i="1"/>
  <c r="AL1433" i="1"/>
  <c r="R1433" i="1"/>
  <c r="Y1432" i="1"/>
  <c r="W1432" i="1"/>
  <c r="AL1434" i="1" l="1"/>
  <c r="Q1435" i="1"/>
  <c r="T1434" i="1"/>
  <c r="AD1435" i="1"/>
  <c r="AV1433" i="1"/>
  <c r="Y1433" i="1"/>
  <c r="W1433" i="1"/>
  <c r="R1434" i="1"/>
  <c r="AD1436" i="1" l="1"/>
  <c r="AV1434" i="1"/>
  <c r="Q1436" i="1"/>
  <c r="T1435" i="1"/>
  <c r="AL1435" i="1"/>
  <c r="W1434" i="1"/>
  <c r="R1435" i="1"/>
  <c r="Y1434" i="1"/>
  <c r="AL1436" i="1" l="1"/>
  <c r="Q1437" i="1"/>
  <c r="T1436" i="1"/>
  <c r="AD1437" i="1"/>
  <c r="AV1435" i="1"/>
  <c r="W1435" i="1"/>
  <c r="Y1435" i="1"/>
  <c r="R1436" i="1"/>
  <c r="AD1438" i="1" l="1"/>
  <c r="AV1436" i="1"/>
  <c r="Q1438" i="1"/>
  <c r="T1437" i="1"/>
  <c r="AL1437" i="1"/>
  <c r="R1437" i="1"/>
  <c r="W1436" i="1"/>
  <c r="Y1436" i="1"/>
  <c r="AL1438" i="1" l="1"/>
  <c r="Q1439" i="1"/>
  <c r="T1438" i="1"/>
  <c r="AD1439" i="1"/>
  <c r="AV1437" i="1"/>
  <c r="Y1437" i="1"/>
  <c r="W1437" i="1"/>
  <c r="R1438" i="1"/>
  <c r="AV1438" i="1" l="1"/>
  <c r="AD1440" i="1"/>
  <c r="Q1440" i="1"/>
  <c r="T1439" i="1"/>
  <c r="AL1439" i="1"/>
  <c r="R1439" i="1"/>
  <c r="W1438" i="1"/>
  <c r="Y1438" i="1"/>
  <c r="AL1440" i="1" l="1"/>
  <c r="Q1441" i="1"/>
  <c r="T1440" i="1"/>
  <c r="AV1439" i="1"/>
  <c r="AD1441" i="1"/>
  <c r="Y1439" i="1"/>
  <c r="R1440" i="1"/>
  <c r="W1439" i="1"/>
  <c r="AD1442" i="1" l="1"/>
  <c r="AV1440" i="1"/>
  <c r="Q1442" i="1"/>
  <c r="T1441" i="1"/>
  <c r="AL1441" i="1"/>
  <c r="Y1440" i="1"/>
  <c r="W1440" i="1"/>
  <c r="R1441" i="1"/>
  <c r="AL1442" i="1" l="1"/>
  <c r="Q1443" i="1"/>
  <c r="T1442" i="1"/>
  <c r="AV1441" i="1"/>
  <c r="AD1443" i="1"/>
  <c r="R1442" i="1"/>
  <c r="Y1441" i="1"/>
  <c r="W1441" i="1"/>
  <c r="AV1442" i="1" l="1"/>
  <c r="AD1444" i="1"/>
  <c r="Q1444" i="1"/>
  <c r="T1443" i="1"/>
  <c r="AL1443" i="1"/>
  <c r="W1442" i="1"/>
  <c r="Y1442" i="1"/>
  <c r="R1443" i="1"/>
  <c r="AL1444" i="1" l="1"/>
  <c r="Q1445" i="1"/>
  <c r="T1444" i="1"/>
  <c r="AD1445" i="1"/>
  <c r="AV1443" i="1"/>
  <c r="Y1443" i="1"/>
  <c r="W1443" i="1"/>
  <c r="R1444" i="1"/>
  <c r="AD1446" i="1" l="1"/>
  <c r="AV1444" i="1"/>
  <c r="Q1446" i="1"/>
  <c r="T1445" i="1"/>
  <c r="AL1445" i="1"/>
  <c r="Y1444" i="1"/>
  <c r="W1444" i="1"/>
  <c r="R1445" i="1"/>
  <c r="AL1446" i="1" l="1"/>
  <c r="Q1447" i="1"/>
  <c r="T1446" i="1"/>
  <c r="AV1445" i="1"/>
  <c r="AD1447" i="1"/>
  <c r="Y1445" i="1"/>
  <c r="R1446" i="1"/>
  <c r="W1445" i="1"/>
  <c r="AV1446" i="1" l="1"/>
  <c r="AD1448" i="1"/>
  <c r="Q1448" i="1"/>
  <c r="T1447" i="1"/>
  <c r="AL1447" i="1"/>
  <c r="R1447" i="1"/>
  <c r="W1446" i="1"/>
  <c r="Y1446" i="1"/>
  <c r="AL1448" i="1" l="1"/>
  <c r="Q1449" i="1"/>
  <c r="T1448" i="1"/>
  <c r="AD1449" i="1"/>
  <c r="AV1447" i="1"/>
  <c r="R1448" i="1"/>
  <c r="Y1447" i="1"/>
  <c r="W1447" i="1"/>
  <c r="AV1448" i="1" l="1"/>
  <c r="AD1450" i="1"/>
  <c r="Q1450" i="1"/>
  <c r="T1449" i="1"/>
  <c r="AL1449" i="1"/>
  <c r="W1448" i="1"/>
  <c r="R1449" i="1"/>
  <c r="Y1448" i="1"/>
  <c r="AL1450" i="1" l="1"/>
  <c r="Q1451" i="1"/>
  <c r="T1450" i="1"/>
  <c r="AV1449" i="1"/>
  <c r="AD1451" i="1"/>
  <c r="W1449" i="1"/>
  <c r="Y1449" i="1"/>
  <c r="R1450" i="1"/>
  <c r="AV1450" i="1" l="1"/>
  <c r="AD1452" i="1"/>
  <c r="Q1452" i="1"/>
  <c r="T1451" i="1"/>
  <c r="AL1451" i="1"/>
  <c r="Y1450" i="1"/>
  <c r="W1450" i="1"/>
  <c r="R1451" i="1"/>
  <c r="AL1452" i="1" l="1"/>
  <c r="Q1453" i="1"/>
  <c r="T1452" i="1"/>
  <c r="AV1451" i="1"/>
  <c r="AD1453" i="1"/>
  <c r="Y1451" i="1"/>
  <c r="R1452" i="1"/>
  <c r="W1451" i="1"/>
  <c r="AV1452" i="1" l="1"/>
  <c r="AD1454" i="1"/>
  <c r="Q1454" i="1"/>
  <c r="T1453" i="1"/>
  <c r="AL1453" i="1"/>
  <c r="W1452" i="1"/>
  <c r="R1453" i="1"/>
  <c r="Y1452" i="1"/>
  <c r="AL1454" i="1" l="1"/>
  <c r="Q1455" i="1"/>
  <c r="T1454" i="1"/>
  <c r="AV1453" i="1"/>
  <c r="AD1455" i="1"/>
  <c r="W1453" i="1"/>
  <c r="Y1453" i="1"/>
  <c r="R1454" i="1"/>
  <c r="AV1454" i="1" l="1"/>
  <c r="AD1456" i="1"/>
  <c r="Q1456" i="1"/>
  <c r="T1455" i="1"/>
  <c r="AL1455" i="1"/>
  <c r="Y1454" i="1"/>
  <c r="W1454" i="1"/>
  <c r="R1455" i="1"/>
  <c r="AL1456" i="1" l="1"/>
  <c r="Q1457" i="1"/>
  <c r="T1456" i="1"/>
  <c r="AV1455" i="1"/>
  <c r="AD1457" i="1"/>
  <c r="Y1455" i="1"/>
  <c r="W1455" i="1"/>
  <c r="R1456" i="1"/>
  <c r="AV1456" i="1" l="1"/>
  <c r="AD1458" i="1"/>
  <c r="Q1458" i="1"/>
  <c r="T1457" i="1"/>
  <c r="AL1457" i="1"/>
  <c r="Y1456" i="1"/>
  <c r="W1456" i="1"/>
  <c r="R1457" i="1"/>
  <c r="AL1458" i="1" l="1"/>
  <c r="Q1459" i="1"/>
  <c r="T1458" i="1"/>
  <c r="AV1457" i="1"/>
  <c r="AD1459" i="1"/>
  <c r="Y1457" i="1"/>
  <c r="R1458" i="1"/>
  <c r="W1457" i="1"/>
  <c r="AD1460" i="1" l="1"/>
  <c r="AV1458" i="1"/>
  <c r="Q1460" i="1"/>
  <c r="T1459" i="1"/>
  <c r="AL1459" i="1"/>
  <c r="W1458" i="1"/>
  <c r="R1459" i="1"/>
  <c r="Y1458" i="1"/>
  <c r="AL1460" i="1" l="1"/>
  <c r="Q1461" i="1"/>
  <c r="T1460" i="1"/>
  <c r="AD1461" i="1"/>
  <c r="AV1459" i="1"/>
  <c r="Y1459" i="1"/>
  <c r="R1460" i="1"/>
  <c r="W1459" i="1"/>
  <c r="AD1462" i="1" l="1"/>
  <c r="AV1460" i="1"/>
  <c r="Q1462" i="1"/>
  <c r="T1461" i="1"/>
  <c r="AL1461" i="1"/>
  <c r="R1461" i="1"/>
  <c r="W1460" i="1"/>
  <c r="Y1460" i="1"/>
  <c r="AL1462" i="1" l="1"/>
  <c r="Q1463" i="1"/>
  <c r="T1462" i="1"/>
  <c r="AD1463" i="1"/>
  <c r="AV1461" i="1"/>
  <c r="Y1461" i="1"/>
  <c r="R1462" i="1"/>
  <c r="W1461" i="1"/>
  <c r="AV1462" i="1" l="1"/>
  <c r="AD1464" i="1"/>
  <c r="Q1464" i="1"/>
  <c r="T1463" i="1"/>
  <c r="AL1463" i="1"/>
  <c r="R1463" i="1"/>
  <c r="Y1462" i="1"/>
  <c r="W1462" i="1"/>
  <c r="AL1464" i="1" l="1"/>
  <c r="Q1465" i="1"/>
  <c r="T1464" i="1"/>
  <c r="AV1463" i="1"/>
  <c r="AD1465" i="1"/>
  <c r="W1463" i="1"/>
  <c r="Y1463" i="1"/>
  <c r="R1464" i="1"/>
  <c r="AV1464" i="1" l="1"/>
  <c r="AD1466" i="1"/>
  <c r="Q1466" i="1"/>
  <c r="T1465" i="1"/>
  <c r="AL1465" i="1"/>
  <c r="Y1464" i="1"/>
  <c r="R1465" i="1"/>
  <c r="W1464" i="1"/>
  <c r="AL1466" i="1" l="1"/>
  <c r="Q1467" i="1"/>
  <c r="T1466" i="1"/>
  <c r="AD1467" i="1"/>
  <c r="AV1465" i="1"/>
  <c r="W1465" i="1"/>
  <c r="R1466" i="1"/>
  <c r="Y1465" i="1"/>
  <c r="AV1466" i="1" l="1"/>
  <c r="AD1468" i="1"/>
  <c r="Q1468" i="1"/>
  <c r="T1467" i="1"/>
  <c r="AL1467" i="1"/>
  <c r="W1466" i="1"/>
  <c r="Y1466" i="1"/>
  <c r="R1467" i="1"/>
  <c r="AL1468" i="1" l="1"/>
  <c r="Q1469" i="1"/>
  <c r="T1468" i="1"/>
  <c r="AV1467" i="1"/>
  <c r="AD1469" i="1"/>
  <c r="Y1467" i="1"/>
  <c r="R1468" i="1"/>
  <c r="W1467" i="1"/>
  <c r="AV1468" i="1" l="1"/>
  <c r="AD1470" i="1"/>
  <c r="Q1470" i="1"/>
  <c r="T1469" i="1"/>
  <c r="AL1469" i="1"/>
  <c r="Y1468" i="1"/>
  <c r="W1468" i="1"/>
  <c r="R1469" i="1"/>
  <c r="AL1470" i="1" l="1"/>
  <c r="Q1471" i="1"/>
  <c r="T1470" i="1"/>
  <c r="AV1469" i="1"/>
  <c r="AD1471" i="1"/>
  <c r="Y1469" i="1"/>
  <c r="R1470" i="1"/>
  <c r="W1469" i="1"/>
  <c r="AD1472" i="1" l="1"/>
  <c r="AV1470" i="1"/>
  <c r="Q1472" i="1"/>
  <c r="T1471" i="1"/>
  <c r="AL1471" i="1"/>
  <c r="Y1470" i="1"/>
  <c r="R1471" i="1"/>
  <c r="W1470" i="1"/>
  <c r="AL1472" i="1" l="1"/>
  <c r="Q1473" i="1"/>
  <c r="T1472" i="1"/>
  <c r="AD1473" i="1"/>
  <c r="AV1471" i="1"/>
  <c r="W1471" i="1"/>
  <c r="Y1471" i="1"/>
  <c r="R1472" i="1"/>
  <c r="AD1474" i="1" l="1"/>
  <c r="AV1472" i="1"/>
  <c r="Q1474" i="1"/>
  <c r="T1473" i="1"/>
  <c r="AL1473" i="1"/>
  <c r="Y1472" i="1"/>
  <c r="W1472" i="1"/>
  <c r="R1473" i="1"/>
  <c r="AL1474" i="1" l="1"/>
  <c r="Q1475" i="1"/>
  <c r="T1474" i="1"/>
  <c r="AD1475" i="1"/>
  <c r="AV1473" i="1"/>
  <c r="R1474" i="1"/>
  <c r="Y1473" i="1"/>
  <c r="W1473" i="1"/>
  <c r="AV1474" i="1" l="1"/>
  <c r="AD1476" i="1"/>
  <c r="Q1476" i="1"/>
  <c r="T1475" i="1"/>
  <c r="AL1475" i="1"/>
  <c r="R1475" i="1"/>
  <c r="Y1474" i="1"/>
  <c r="W1474" i="1"/>
  <c r="AL1476" i="1" l="1"/>
  <c r="Q1477" i="1"/>
  <c r="T1476" i="1"/>
  <c r="AV1475" i="1"/>
  <c r="AD1477" i="1"/>
  <c r="R1476" i="1"/>
  <c r="Y1475" i="1"/>
  <c r="W1475" i="1"/>
  <c r="AD1478" i="1" l="1"/>
  <c r="AV1476" i="1"/>
  <c r="Q1478" i="1"/>
  <c r="T1477" i="1"/>
  <c r="AL1477" i="1"/>
  <c r="R1477" i="1"/>
  <c r="W1476" i="1"/>
  <c r="Y1476" i="1"/>
  <c r="AL1478" i="1" l="1"/>
  <c r="Q1479" i="1"/>
  <c r="T1478" i="1"/>
  <c r="AD1479" i="1"/>
  <c r="AV1477" i="1"/>
  <c r="R1478" i="1"/>
  <c r="Y1477" i="1"/>
  <c r="W1477" i="1"/>
  <c r="AD1480" i="1" l="1"/>
  <c r="AV1478" i="1"/>
  <c r="Q1480" i="1"/>
  <c r="T1479" i="1"/>
  <c r="AL1479" i="1"/>
  <c r="W1478" i="1"/>
  <c r="R1479" i="1"/>
  <c r="Y1478" i="1"/>
  <c r="AL1480" i="1" l="1"/>
  <c r="Q1481" i="1"/>
  <c r="T1480" i="1"/>
  <c r="AV1479" i="1"/>
  <c r="AD1481" i="1"/>
  <c r="W1479" i="1"/>
  <c r="R1480" i="1"/>
  <c r="Y1479" i="1"/>
  <c r="AD1482" i="1" l="1"/>
  <c r="AV1480" i="1"/>
  <c r="Q1482" i="1"/>
  <c r="T1481" i="1"/>
  <c r="AL1481" i="1"/>
  <c r="Y1480" i="1"/>
  <c r="W1480" i="1"/>
  <c r="R1481" i="1"/>
  <c r="AL1482" i="1" l="1"/>
  <c r="Q1483" i="1"/>
  <c r="T1482" i="1"/>
  <c r="AD1483" i="1"/>
  <c r="AV1481" i="1"/>
  <c r="W1481" i="1"/>
  <c r="Y1481" i="1"/>
  <c r="R1482" i="1"/>
  <c r="AV1482" i="1" l="1"/>
  <c r="AD1484" i="1"/>
  <c r="Q1484" i="1"/>
  <c r="T1483" i="1"/>
  <c r="AL1483" i="1"/>
  <c r="R1483" i="1"/>
  <c r="Y1482" i="1"/>
  <c r="W1482" i="1"/>
  <c r="AL1484" i="1" l="1"/>
  <c r="Q1485" i="1"/>
  <c r="T1484" i="1"/>
  <c r="AV1483" i="1"/>
  <c r="AD1485" i="1"/>
  <c r="Y1483" i="1"/>
  <c r="W1483" i="1"/>
  <c r="R1484" i="1"/>
  <c r="AV1484" i="1" l="1"/>
  <c r="AD1486" i="1"/>
  <c r="Q1486" i="1"/>
  <c r="T1485" i="1"/>
  <c r="AL1485" i="1"/>
  <c r="W1484" i="1"/>
  <c r="Y1484" i="1"/>
  <c r="R1485" i="1"/>
  <c r="AL1486" i="1" l="1"/>
  <c r="Q1487" i="1"/>
  <c r="T1486" i="1"/>
  <c r="AV1485" i="1"/>
  <c r="AD1487" i="1"/>
  <c r="W1485" i="1"/>
  <c r="Y1485" i="1"/>
  <c r="R1486" i="1"/>
  <c r="AD1488" i="1" l="1"/>
  <c r="AV1486" i="1"/>
  <c r="Q1488" i="1"/>
  <c r="T1487" i="1"/>
  <c r="AL1487" i="1"/>
  <c r="R1487" i="1"/>
  <c r="Y1486" i="1"/>
  <c r="W1486" i="1"/>
  <c r="AL1488" i="1" l="1"/>
  <c r="Q1489" i="1"/>
  <c r="T1488" i="1"/>
  <c r="AV1487" i="1"/>
  <c r="AD1489" i="1"/>
  <c r="W1487" i="1"/>
  <c r="Y1487" i="1"/>
  <c r="R1488" i="1"/>
  <c r="AV1488" i="1" l="1"/>
  <c r="AD1490" i="1"/>
  <c r="Q1490" i="1"/>
  <c r="T1489" i="1"/>
  <c r="AL1489" i="1"/>
  <c r="Y1488" i="1"/>
  <c r="W1488" i="1"/>
  <c r="R1489" i="1"/>
  <c r="AL1490" i="1" l="1"/>
  <c r="Q1491" i="1"/>
  <c r="T1490" i="1"/>
  <c r="AV1489" i="1"/>
  <c r="AD1491" i="1"/>
  <c r="W1489" i="1"/>
  <c r="R1490" i="1"/>
  <c r="Y1489" i="1"/>
  <c r="AD1492" i="1" l="1"/>
  <c r="AV1490" i="1"/>
  <c r="Q1492" i="1"/>
  <c r="T1491" i="1"/>
  <c r="AL1491" i="1"/>
  <c r="Y1490" i="1"/>
  <c r="W1490" i="1"/>
  <c r="R1491" i="1"/>
  <c r="AL1492" i="1" l="1"/>
  <c r="Q1493" i="1"/>
  <c r="T1492" i="1"/>
  <c r="AV1491" i="1"/>
  <c r="AD1493" i="1"/>
  <c r="W1491" i="1"/>
  <c r="R1492" i="1"/>
  <c r="Y1491" i="1"/>
  <c r="AV1492" i="1" l="1"/>
  <c r="AD1494" i="1"/>
  <c r="Q1494" i="1"/>
  <c r="T1493" i="1"/>
  <c r="AL1493" i="1"/>
  <c r="R1493" i="1"/>
  <c r="W1492" i="1"/>
  <c r="Y1492" i="1"/>
  <c r="AL1494" i="1" l="1"/>
  <c r="Q1495" i="1"/>
  <c r="T1494" i="1"/>
  <c r="AD1495" i="1"/>
  <c r="AV1493" i="1"/>
  <c r="Y1493" i="1"/>
  <c r="W1493" i="1"/>
  <c r="R1494" i="1"/>
  <c r="AV1494" i="1" l="1"/>
  <c r="AD1496" i="1"/>
  <c r="Q1496" i="1"/>
  <c r="T1495" i="1"/>
  <c r="AL1495" i="1"/>
  <c r="W1494" i="1"/>
  <c r="Y1494" i="1"/>
  <c r="R1495" i="1"/>
  <c r="AL1496" i="1" l="1"/>
  <c r="Q1497" i="1"/>
  <c r="T1496" i="1"/>
  <c r="AV1495" i="1"/>
  <c r="AD1497" i="1"/>
  <c r="W1495" i="1"/>
  <c r="R1496" i="1"/>
  <c r="Y1495" i="1"/>
  <c r="AD1498" i="1" l="1"/>
  <c r="AV1496" i="1"/>
  <c r="Q1498" i="1"/>
  <c r="T1497" i="1"/>
  <c r="AL1497" i="1"/>
  <c r="Y1496" i="1"/>
  <c r="R1497" i="1"/>
  <c r="W1496" i="1"/>
  <c r="AL1498" i="1" l="1"/>
  <c r="Q1499" i="1"/>
  <c r="T1498" i="1"/>
  <c r="AD1499" i="1"/>
  <c r="AV1497" i="1"/>
  <c r="R1498" i="1"/>
  <c r="Y1497" i="1"/>
  <c r="W1497" i="1"/>
  <c r="AD1500" i="1" l="1"/>
  <c r="AV1498" i="1"/>
  <c r="Q1500" i="1"/>
  <c r="T1499" i="1"/>
  <c r="AL1499" i="1"/>
  <c r="W1498" i="1"/>
  <c r="R1499" i="1"/>
  <c r="Y1498" i="1"/>
  <c r="AL1500" i="1" l="1"/>
  <c r="Q1501" i="1"/>
  <c r="T1500" i="1"/>
  <c r="AV1499" i="1"/>
  <c r="AD1501" i="1"/>
  <c r="W1499" i="1"/>
  <c r="R1500" i="1"/>
  <c r="Y1499" i="1"/>
  <c r="AV1500" i="1" l="1"/>
  <c r="AD1502" i="1"/>
  <c r="Q1502" i="1"/>
  <c r="T1501" i="1"/>
  <c r="AL1501" i="1"/>
  <c r="W1500" i="1"/>
  <c r="R1501" i="1"/>
  <c r="Y1500" i="1"/>
  <c r="AL1502" i="1" l="1"/>
  <c r="Q1503" i="1"/>
  <c r="T1502" i="1"/>
  <c r="AV1501" i="1"/>
  <c r="AD1503" i="1"/>
  <c r="R1502" i="1"/>
  <c r="Y1501" i="1"/>
  <c r="W1501" i="1"/>
  <c r="AV1502" i="1" l="1"/>
  <c r="AD1504" i="1"/>
  <c r="Q1504" i="1"/>
  <c r="T1503" i="1"/>
  <c r="AL1503" i="1"/>
  <c r="W1502" i="1"/>
  <c r="Y1502" i="1"/>
  <c r="R1503" i="1"/>
  <c r="AL1504" i="1" l="1"/>
  <c r="Q1505" i="1"/>
  <c r="T1504" i="1"/>
  <c r="AV1503" i="1"/>
  <c r="AD1505" i="1"/>
  <c r="W1503" i="1"/>
  <c r="R1504" i="1"/>
  <c r="Y1503" i="1"/>
  <c r="AV1504" i="1" l="1"/>
  <c r="AD1506" i="1"/>
  <c r="Q1506" i="1"/>
  <c r="T1505" i="1"/>
  <c r="AL1505" i="1"/>
  <c r="Y1504" i="1"/>
  <c r="W1504" i="1"/>
  <c r="R1505" i="1"/>
  <c r="AL1506" i="1" l="1"/>
  <c r="Q1507" i="1"/>
  <c r="T1506" i="1"/>
  <c r="AD1507" i="1"/>
  <c r="AV1505" i="1"/>
  <c r="W1505" i="1"/>
  <c r="Y1505" i="1"/>
  <c r="R1506" i="1"/>
  <c r="AD1508" i="1" l="1"/>
  <c r="AV1506" i="1"/>
  <c r="Q1508" i="1"/>
  <c r="T1507" i="1"/>
  <c r="AL1507" i="1"/>
  <c r="Y1506" i="1"/>
  <c r="W1506" i="1"/>
  <c r="R1507" i="1"/>
  <c r="AL1508" i="1" l="1"/>
  <c r="Q1509" i="1"/>
  <c r="T1508" i="1"/>
  <c r="AD1509" i="1"/>
  <c r="AV1507" i="1"/>
  <c r="Y1507" i="1"/>
  <c r="R1508" i="1"/>
  <c r="W1507" i="1"/>
  <c r="AV1508" i="1" l="1"/>
  <c r="AD1510" i="1"/>
  <c r="Q1510" i="1"/>
  <c r="T1509" i="1"/>
  <c r="AL1509" i="1"/>
  <c r="Y1508" i="1"/>
  <c r="R1509" i="1"/>
  <c r="W1508" i="1"/>
  <c r="AL1510" i="1" l="1"/>
  <c r="Q1511" i="1"/>
  <c r="T1510" i="1"/>
  <c r="AV1509" i="1"/>
  <c r="AD1511" i="1"/>
  <c r="R1510" i="1"/>
  <c r="Y1509" i="1"/>
  <c r="W1509" i="1"/>
  <c r="AV1510" i="1" l="1"/>
  <c r="AD1512" i="1"/>
  <c r="Q1512" i="1"/>
  <c r="T1511" i="1"/>
  <c r="AL1511" i="1"/>
  <c r="Y1510" i="1"/>
  <c r="W1510" i="1"/>
  <c r="R1511" i="1"/>
  <c r="AL1512" i="1" l="1"/>
  <c r="Q1513" i="1"/>
  <c r="T1512" i="1"/>
  <c r="AD1513" i="1"/>
  <c r="AV1511" i="1"/>
  <c r="Y1511" i="1"/>
  <c r="W1511" i="1"/>
  <c r="R1512" i="1"/>
  <c r="AV1512" i="1" l="1"/>
  <c r="AD1514" i="1"/>
  <c r="Q1514" i="1"/>
  <c r="T1513" i="1"/>
  <c r="AL1513" i="1"/>
  <c r="W1512" i="1"/>
  <c r="R1513" i="1"/>
  <c r="Y1512" i="1"/>
  <c r="AL1514" i="1" l="1"/>
  <c r="Q1515" i="1"/>
  <c r="T1514" i="1"/>
  <c r="AD1515" i="1"/>
  <c r="AV1513" i="1"/>
  <c r="Y1513" i="1"/>
  <c r="R1514" i="1"/>
  <c r="W1513" i="1"/>
  <c r="AV1514" i="1" l="1"/>
  <c r="AD1516" i="1"/>
  <c r="Q1516" i="1"/>
  <c r="T1515" i="1"/>
  <c r="AL1515" i="1"/>
  <c r="Y1514" i="1"/>
  <c r="W1514" i="1"/>
  <c r="R1515" i="1"/>
  <c r="AL1516" i="1" l="1"/>
  <c r="Q1517" i="1"/>
  <c r="T1516" i="1"/>
  <c r="AV1515" i="1"/>
  <c r="AD1517" i="1"/>
  <c r="W1515" i="1"/>
  <c r="R1516" i="1"/>
  <c r="Y1515" i="1"/>
  <c r="AD1518" i="1" l="1"/>
  <c r="AV1516" i="1"/>
  <c r="Q1518" i="1"/>
  <c r="T1517" i="1"/>
  <c r="AL1517" i="1"/>
  <c r="R1517" i="1"/>
  <c r="Y1516" i="1"/>
  <c r="W1516" i="1"/>
  <c r="AL1518" i="1" l="1"/>
  <c r="Q1519" i="1"/>
  <c r="T1518" i="1"/>
  <c r="AV1517" i="1"/>
  <c r="AD1519" i="1"/>
  <c r="R1518" i="1"/>
  <c r="W1517" i="1"/>
  <c r="Y1517" i="1"/>
  <c r="AD1520" i="1" l="1"/>
  <c r="AV1518" i="1"/>
  <c r="Q1520" i="1"/>
  <c r="T1519" i="1"/>
  <c r="AL1519" i="1"/>
  <c r="R1519" i="1"/>
  <c r="Y1518" i="1"/>
  <c r="W1518" i="1"/>
  <c r="AL1520" i="1" l="1"/>
  <c r="Q1521" i="1"/>
  <c r="T1520" i="1"/>
  <c r="AD1521" i="1"/>
  <c r="AV1519" i="1"/>
  <c r="W1519" i="1"/>
  <c r="R1520" i="1"/>
  <c r="Y1519" i="1"/>
  <c r="AD1522" i="1" l="1"/>
  <c r="AV1520" i="1"/>
  <c r="Q1522" i="1"/>
  <c r="T1521" i="1"/>
  <c r="AL1521" i="1"/>
  <c r="Y1520" i="1"/>
  <c r="W1520" i="1"/>
  <c r="R1521" i="1"/>
  <c r="AL1522" i="1" l="1"/>
  <c r="Q1523" i="1"/>
  <c r="T1522" i="1"/>
  <c r="AV1521" i="1"/>
  <c r="AD1523" i="1"/>
  <c r="W1521" i="1"/>
  <c r="R1522" i="1"/>
  <c r="Y1521" i="1"/>
  <c r="AV1522" i="1" l="1"/>
  <c r="AD1524" i="1"/>
  <c r="Q1524" i="1"/>
  <c r="T1523" i="1"/>
  <c r="AL1523" i="1"/>
  <c r="R1523" i="1"/>
  <c r="Y1522" i="1"/>
  <c r="W1522" i="1"/>
  <c r="AL1524" i="1" l="1"/>
  <c r="Q1525" i="1"/>
  <c r="T1524" i="1"/>
  <c r="AV1523" i="1"/>
  <c r="AD1525" i="1"/>
  <c r="R1524" i="1"/>
  <c r="W1523" i="1"/>
  <c r="Y1523" i="1"/>
  <c r="AD1526" i="1" l="1"/>
  <c r="AV1524" i="1"/>
  <c r="Q1526" i="1"/>
  <c r="T1525" i="1"/>
  <c r="AL1525" i="1"/>
  <c r="W1524" i="1"/>
  <c r="Y1524" i="1"/>
  <c r="R1525" i="1"/>
  <c r="AL1526" i="1" l="1"/>
  <c r="Q1527" i="1"/>
  <c r="T1526" i="1"/>
  <c r="AD1527" i="1"/>
  <c r="AV1525" i="1"/>
  <c r="W1525" i="1"/>
  <c r="R1526" i="1"/>
  <c r="Y1525" i="1"/>
  <c r="AV1526" i="1" l="1"/>
  <c r="AD1528" i="1"/>
  <c r="Q1528" i="1"/>
  <c r="T1527" i="1"/>
  <c r="AL1527" i="1"/>
  <c r="R1527" i="1"/>
  <c r="Y1526" i="1"/>
  <c r="W1526" i="1"/>
  <c r="AL1528" i="1" l="1"/>
  <c r="Q1529" i="1"/>
  <c r="T1528" i="1"/>
  <c r="AV1527" i="1"/>
  <c r="AD1529" i="1"/>
  <c r="W1527" i="1"/>
  <c r="Y1527" i="1"/>
  <c r="R1528" i="1"/>
  <c r="AD1530" i="1" l="1"/>
  <c r="AV1528" i="1"/>
  <c r="Q1530" i="1"/>
  <c r="T1529" i="1"/>
  <c r="AL1529" i="1"/>
  <c r="Y1528" i="1"/>
  <c r="R1529" i="1"/>
  <c r="W1528" i="1"/>
  <c r="AL1530" i="1" l="1"/>
  <c r="Q1531" i="1"/>
  <c r="T1530" i="1"/>
  <c r="AD1531" i="1"/>
  <c r="AV1529" i="1"/>
  <c r="W1529" i="1"/>
  <c r="Y1529" i="1"/>
  <c r="R1530" i="1"/>
  <c r="AD1532" i="1" l="1"/>
  <c r="AV1530" i="1"/>
  <c r="Q1532" i="1"/>
  <c r="T1531" i="1"/>
  <c r="AL1531" i="1"/>
  <c r="W1530" i="1"/>
  <c r="R1531" i="1"/>
  <c r="Y1530" i="1"/>
  <c r="AL1532" i="1" l="1"/>
  <c r="Q1533" i="1"/>
  <c r="T1532" i="1"/>
  <c r="AV1531" i="1"/>
  <c r="AD1533" i="1"/>
  <c r="W1531" i="1"/>
  <c r="Y1531" i="1"/>
  <c r="R1532" i="1"/>
  <c r="AD1534" i="1" l="1"/>
  <c r="AV1532" i="1"/>
  <c r="Q1534" i="1"/>
  <c r="T1533" i="1"/>
  <c r="AL1533" i="1"/>
  <c r="R1533" i="1"/>
  <c r="W1532" i="1"/>
  <c r="Y1532" i="1"/>
  <c r="AL1534" i="1" l="1"/>
  <c r="Q1535" i="1"/>
  <c r="T1534" i="1"/>
  <c r="AD1535" i="1"/>
  <c r="AV1533" i="1"/>
  <c r="R1534" i="1"/>
  <c r="W1533" i="1"/>
  <c r="Y1533" i="1"/>
  <c r="AD1536" i="1" l="1"/>
  <c r="AV1534" i="1"/>
  <c r="Q1536" i="1"/>
  <c r="T1535" i="1"/>
  <c r="AL1535" i="1"/>
  <c r="Y1534" i="1"/>
  <c r="R1535" i="1"/>
  <c r="W1534" i="1"/>
  <c r="AL1536" i="1" l="1"/>
  <c r="Q1537" i="1"/>
  <c r="T1536" i="1"/>
  <c r="AV1535" i="1"/>
  <c r="AD1537" i="1"/>
  <c r="W1535" i="1"/>
  <c r="R1536" i="1"/>
  <c r="Y1535" i="1"/>
  <c r="AD1538" i="1" l="1"/>
  <c r="AV1536" i="1"/>
  <c r="Q1538" i="1"/>
  <c r="T1537" i="1"/>
  <c r="AL1537" i="1"/>
  <c r="R1537" i="1"/>
  <c r="Y1536" i="1"/>
  <c r="W1536" i="1"/>
  <c r="AL1538" i="1" l="1"/>
  <c r="Q1539" i="1"/>
  <c r="T1538" i="1"/>
  <c r="AV1537" i="1"/>
  <c r="AD1539" i="1"/>
  <c r="W1537" i="1"/>
  <c r="R1538" i="1"/>
  <c r="Y1537" i="1"/>
  <c r="AV1538" i="1" l="1"/>
  <c r="AD1540" i="1"/>
  <c r="Q1540" i="1"/>
  <c r="T1539" i="1"/>
  <c r="AL1539" i="1"/>
  <c r="R1539" i="1"/>
  <c r="Y1538" i="1"/>
  <c r="W1538" i="1"/>
  <c r="AL1540" i="1" l="1"/>
  <c r="Q1541" i="1"/>
  <c r="T1540" i="1"/>
  <c r="AV1539" i="1"/>
  <c r="AD1541" i="1"/>
  <c r="Y1539" i="1"/>
  <c r="R1540" i="1"/>
  <c r="W1539" i="1"/>
  <c r="AV1540" i="1" l="1"/>
  <c r="AD1542" i="1"/>
  <c r="Q1542" i="1"/>
  <c r="T1541" i="1"/>
  <c r="AL1541" i="1"/>
  <c r="Y1540" i="1"/>
  <c r="R1541" i="1"/>
  <c r="W1540" i="1"/>
  <c r="AL1542" i="1" l="1"/>
  <c r="Q1543" i="1"/>
  <c r="T1542" i="1"/>
  <c r="AV1541" i="1"/>
  <c r="AD1543" i="1"/>
  <c r="R1542" i="1"/>
  <c r="Y1541" i="1"/>
  <c r="W1541" i="1"/>
  <c r="AV1542" i="1" l="1"/>
  <c r="AD1544" i="1"/>
  <c r="Q1544" i="1"/>
  <c r="T1543" i="1"/>
  <c r="AL1543" i="1"/>
  <c r="Y1542" i="1"/>
  <c r="R1543" i="1"/>
  <c r="W1542" i="1"/>
  <c r="AL1544" i="1" l="1"/>
  <c r="Q1545" i="1"/>
  <c r="T1544" i="1"/>
  <c r="AV1543" i="1"/>
  <c r="AD1545" i="1"/>
  <c r="R1544" i="1"/>
  <c r="W1543" i="1"/>
  <c r="Y1543" i="1"/>
  <c r="AV1544" i="1" l="1"/>
  <c r="AD1546" i="1"/>
  <c r="Q1546" i="1"/>
  <c r="T1545" i="1"/>
  <c r="AL1545" i="1"/>
  <c r="Y1544" i="1"/>
  <c r="W1544" i="1"/>
  <c r="R1545" i="1"/>
  <c r="AL1546" i="1" l="1"/>
  <c r="Q1547" i="1"/>
  <c r="T1546" i="1"/>
  <c r="AV1545" i="1"/>
  <c r="AD1547" i="1"/>
  <c r="R1546" i="1"/>
  <c r="Y1545" i="1"/>
  <c r="W1545" i="1"/>
  <c r="AV1546" i="1" l="1"/>
  <c r="AD1548" i="1"/>
  <c r="Q1548" i="1"/>
  <c r="T1547" i="1"/>
  <c r="AL1547" i="1"/>
  <c r="Y1546" i="1"/>
  <c r="R1547" i="1"/>
  <c r="W1546" i="1"/>
  <c r="AL1548" i="1" l="1"/>
  <c r="Q1549" i="1"/>
  <c r="T1548" i="1"/>
  <c r="AD1549" i="1"/>
  <c r="AV1547" i="1"/>
  <c r="W1547" i="1"/>
  <c r="R1548" i="1"/>
  <c r="Y1547" i="1"/>
  <c r="AD1550" i="1" l="1"/>
  <c r="AV1548" i="1"/>
  <c r="Q1550" i="1"/>
  <c r="T1549" i="1"/>
  <c r="AL1549" i="1"/>
  <c r="W1548" i="1"/>
  <c r="R1549" i="1"/>
  <c r="Y1548" i="1"/>
  <c r="AL1550" i="1" l="1"/>
  <c r="Q1551" i="1"/>
  <c r="T1550" i="1"/>
  <c r="AD1551" i="1"/>
  <c r="AV1549" i="1"/>
  <c r="W1549" i="1"/>
  <c r="Y1549" i="1"/>
  <c r="R1550" i="1"/>
  <c r="AV1550" i="1" l="1"/>
  <c r="AD1552" i="1"/>
  <c r="Q1552" i="1"/>
  <c r="T1551" i="1"/>
  <c r="AL1551" i="1"/>
  <c r="R1551" i="1"/>
  <c r="Y1550" i="1"/>
  <c r="W1550" i="1"/>
  <c r="AL1552" i="1" l="1"/>
  <c r="Q1553" i="1"/>
  <c r="T1552" i="1"/>
  <c r="AD1553" i="1"/>
  <c r="AV1551" i="1"/>
  <c r="Y1551" i="1"/>
  <c r="R1552" i="1"/>
  <c r="W1551" i="1"/>
  <c r="AD1554" i="1" l="1"/>
  <c r="AV1552" i="1"/>
  <c r="Q1554" i="1"/>
  <c r="T1553" i="1"/>
  <c r="AL1553" i="1"/>
  <c r="Y1552" i="1"/>
  <c r="W1552" i="1"/>
  <c r="R1553" i="1"/>
  <c r="AL1554" i="1" l="1"/>
  <c r="Q1555" i="1"/>
  <c r="T1554" i="1"/>
  <c r="AD1555" i="1"/>
  <c r="AV1553" i="1"/>
  <c r="Y1553" i="1"/>
  <c r="W1553" i="1"/>
  <c r="R1554" i="1"/>
  <c r="AV1554" i="1" l="1"/>
  <c r="AD1556" i="1"/>
  <c r="Q1556" i="1"/>
  <c r="T1555" i="1"/>
  <c r="AL1555" i="1"/>
  <c r="R1555" i="1"/>
  <c r="Y1554" i="1"/>
  <c r="W1554" i="1"/>
  <c r="AL1556" i="1" l="1"/>
  <c r="Q1557" i="1"/>
  <c r="T1556" i="1"/>
  <c r="AV1555" i="1"/>
  <c r="AD1557" i="1"/>
  <c r="R1556" i="1"/>
  <c r="W1555" i="1"/>
  <c r="Y1555" i="1"/>
  <c r="AD1558" i="1" l="1"/>
  <c r="AV1556" i="1"/>
  <c r="Q1558" i="1"/>
  <c r="T1557" i="1"/>
  <c r="AL1557" i="1"/>
  <c r="Y1556" i="1"/>
  <c r="R1557" i="1"/>
  <c r="W1556" i="1"/>
  <c r="AL1558" i="1" l="1"/>
  <c r="Q1559" i="1"/>
  <c r="T1558" i="1"/>
  <c r="AV1557" i="1"/>
  <c r="AD1559" i="1"/>
  <c r="R1558" i="1"/>
  <c r="W1557" i="1"/>
  <c r="Y1557" i="1"/>
  <c r="AV1558" i="1" l="1"/>
  <c r="AD1560" i="1"/>
  <c r="Q1560" i="1"/>
  <c r="T1559" i="1"/>
  <c r="AL1559" i="1"/>
  <c r="Y1558" i="1"/>
  <c r="W1558" i="1"/>
  <c r="R1559" i="1"/>
  <c r="AL1560" i="1" l="1"/>
  <c r="Q1561" i="1"/>
  <c r="T1560" i="1"/>
  <c r="AV1559" i="1"/>
  <c r="AD1561" i="1"/>
  <c r="R1560" i="1"/>
  <c r="Y1559" i="1"/>
  <c r="W1559" i="1"/>
  <c r="AV1560" i="1" l="1"/>
  <c r="AD1562" i="1"/>
  <c r="Q1562" i="1"/>
  <c r="T1561" i="1"/>
  <c r="AL1561" i="1"/>
  <c r="R1561" i="1"/>
  <c r="Y1560" i="1"/>
  <c r="W1560" i="1"/>
  <c r="AL1562" i="1" l="1"/>
  <c r="Q1563" i="1"/>
  <c r="T1562" i="1"/>
  <c r="AV1561" i="1"/>
  <c r="AD1563" i="1"/>
  <c r="Y1561" i="1"/>
  <c r="W1561" i="1"/>
  <c r="R1562" i="1"/>
  <c r="AV1562" i="1" l="1"/>
  <c r="AD1564" i="1"/>
  <c r="Q1564" i="1"/>
  <c r="T1563" i="1"/>
  <c r="AL1563" i="1"/>
  <c r="W1562" i="1"/>
  <c r="R1563" i="1"/>
  <c r="Y1562" i="1"/>
  <c r="AL1564" i="1" l="1"/>
  <c r="Q1565" i="1"/>
  <c r="T1564" i="1"/>
  <c r="AV1563" i="1"/>
  <c r="AD1565" i="1"/>
  <c r="R1564" i="1"/>
  <c r="Y1563" i="1"/>
  <c r="W1563" i="1"/>
  <c r="AD1566" i="1" l="1"/>
  <c r="AV1564" i="1"/>
  <c r="Q1566" i="1"/>
  <c r="T1565" i="1"/>
  <c r="AL1565" i="1"/>
  <c r="W1564" i="1"/>
  <c r="R1565" i="1"/>
  <c r="Y1564" i="1"/>
  <c r="AL1566" i="1" l="1"/>
  <c r="Q1567" i="1"/>
  <c r="T1566" i="1"/>
  <c r="AD1567" i="1"/>
  <c r="AV1565" i="1"/>
  <c r="W1565" i="1"/>
  <c r="R1566" i="1"/>
  <c r="Y1565" i="1"/>
  <c r="AD1568" i="1" l="1"/>
  <c r="AV1566" i="1"/>
  <c r="Q1568" i="1"/>
  <c r="T1567" i="1"/>
  <c r="AL1567" i="1"/>
  <c r="W1566" i="1"/>
  <c r="Y1566" i="1"/>
  <c r="R1567" i="1"/>
  <c r="AL1568" i="1" l="1"/>
  <c r="Q1569" i="1"/>
  <c r="T1568" i="1"/>
  <c r="AV1567" i="1"/>
  <c r="AD1569" i="1"/>
  <c r="R1568" i="1"/>
  <c r="W1567" i="1"/>
  <c r="Y1567" i="1"/>
  <c r="AD1570" i="1" l="1"/>
  <c r="AV1568" i="1"/>
  <c r="Q1570" i="1"/>
  <c r="T1569" i="1"/>
  <c r="AL1569" i="1"/>
  <c r="W1568" i="1"/>
  <c r="Y1568" i="1"/>
  <c r="R1569" i="1"/>
  <c r="AL1570" i="1" l="1"/>
  <c r="Q1571" i="1"/>
  <c r="T1570" i="1"/>
  <c r="AD1571" i="1"/>
  <c r="AV1569" i="1"/>
  <c r="R1570" i="1"/>
  <c r="Y1569" i="1"/>
  <c r="W1569" i="1"/>
  <c r="AD1572" i="1" l="1"/>
  <c r="AV1570" i="1"/>
  <c r="Q1572" i="1"/>
  <c r="T1571" i="1"/>
  <c r="AL1571" i="1"/>
  <c r="W1570" i="1"/>
  <c r="R1571" i="1"/>
  <c r="Y1570" i="1"/>
  <c r="AL1572" i="1" l="1"/>
  <c r="Q1573" i="1"/>
  <c r="T1572" i="1"/>
  <c r="AV1571" i="1"/>
  <c r="AD1573" i="1"/>
  <c r="R1572" i="1"/>
  <c r="Y1571" i="1"/>
  <c r="W1571" i="1"/>
  <c r="AD1574" i="1" l="1"/>
  <c r="AV1572" i="1"/>
  <c r="Q1574" i="1"/>
  <c r="T1573" i="1"/>
  <c r="AL1573" i="1"/>
  <c r="R1573" i="1"/>
  <c r="W1572" i="1"/>
  <c r="Y1572" i="1"/>
  <c r="AL1574" i="1" l="1"/>
  <c r="Q1575" i="1"/>
  <c r="T1574" i="1"/>
  <c r="AD1575" i="1"/>
  <c r="AV1573" i="1"/>
  <c r="W1573" i="1"/>
  <c r="Y1573" i="1"/>
  <c r="R1574" i="1"/>
  <c r="AD1576" i="1" l="1"/>
  <c r="AV1574" i="1"/>
  <c r="Q1576" i="1"/>
  <c r="T1575" i="1"/>
  <c r="AL1575" i="1"/>
  <c r="W1574" i="1"/>
  <c r="R1575" i="1"/>
  <c r="Y1574" i="1"/>
  <c r="AL1576" i="1" l="1"/>
  <c r="Q1577" i="1"/>
  <c r="T1576" i="1"/>
  <c r="AD1577" i="1"/>
  <c r="AV1575" i="1"/>
  <c r="W1575" i="1"/>
  <c r="Y1575" i="1"/>
  <c r="R1576" i="1"/>
  <c r="AD1578" i="1" l="1"/>
  <c r="AV1576" i="1"/>
  <c r="Q1578" i="1"/>
  <c r="T1577" i="1"/>
  <c r="AL1577" i="1"/>
  <c r="R1577" i="1"/>
  <c r="W1576" i="1"/>
  <c r="Y1576" i="1"/>
  <c r="AL1578" i="1" l="1"/>
  <c r="Q1579" i="1"/>
  <c r="T1578" i="1"/>
  <c r="AD1579" i="1"/>
  <c r="AV1577" i="1"/>
  <c r="Y1577" i="1"/>
  <c r="R1578" i="1"/>
  <c r="W1577" i="1"/>
  <c r="AV1578" i="1" l="1"/>
  <c r="AD1580" i="1"/>
  <c r="Q1580" i="1"/>
  <c r="T1579" i="1"/>
  <c r="AL1579" i="1"/>
  <c r="Y1578" i="1"/>
  <c r="R1579" i="1"/>
  <c r="W1578" i="1"/>
  <c r="AL1580" i="1" l="1"/>
  <c r="Q1581" i="1"/>
  <c r="T1580" i="1"/>
  <c r="AV1579" i="1"/>
  <c r="AD1581" i="1"/>
  <c r="W1579" i="1"/>
  <c r="R1580" i="1"/>
  <c r="Y1579" i="1"/>
  <c r="AV1580" i="1" l="1"/>
  <c r="AD1582" i="1"/>
  <c r="Q1582" i="1"/>
  <c r="T1581" i="1"/>
  <c r="AL1581" i="1"/>
  <c r="Y1580" i="1"/>
  <c r="R1581" i="1"/>
  <c r="W1580" i="1"/>
  <c r="AL1582" i="1" l="1"/>
  <c r="Q1583" i="1"/>
  <c r="T1582" i="1"/>
  <c r="AV1581" i="1"/>
  <c r="AD1583" i="1"/>
  <c r="Y1581" i="1"/>
  <c r="R1582" i="1"/>
  <c r="W1581" i="1"/>
  <c r="AV1582" i="1" l="1"/>
  <c r="AD1584" i="1"/>
  <c r="Q1584" i="1"/>
  <c r="T1583" i="1"/>
  <c r="AL1583" i="1"/>
  <c r="R1583" i="1"/>
  <c r="Y1582" i="1"/>
  <c r="W1582" i="1"/>
  <c r="AL1584" i="1" l="1"/>
  <c r="Q1585" i="1"/>
  <c r="T1584" i="1"/>
  <c r="AV1583" i="1"/>
  <c r="AD1585" i="1"/>
  <c r="Y1583" i="1"/>
  <c r="R1584" i="1"/>
  <c r="W1583" i="1"/>
  <c r="AV1584" i="1" l="1"/>
  <c r="AD1586" i="1"/>
  <c r="Q1586" i="1"/>
  <c r="T1585" i="1"/>
  <c r="AL1585" i="1"/>
  <c r="W1584" i="1"/>
  <c r="Y1584" i="1"/>
  <c r="R1585" i="1"/>
  <c r="AL1586" i="1" l="1"/>
  <c r="Q1587" i="1"/>
  <c r="T1586" i="1"/>
  <c r="AV1585" i="1"/>
  <c r="AD1587" i="1"/>
  <c r="W1585" i="1"/>
  <c r="Y1585" i="1"/>
  <c r="R1586" i="1"/>
  <c r="AD1588" i="1" l="1"/>
  <c r="AV1586" i="1"/>
  <c r="Q1588" i="1"/>
  <c r="T1587" i="1"/>
  <c r="AL1587" i="1"/>
  <c r="W1586" i="1"/>
  <c r="R1587" i="1"/>
  <c r="Y1586" i="1"/>
  <c r="AL1588" i="1" l="1"/>
  <c r="Q1589" i="1"/>
  <c r="T1588" i="1"/>
  <c r="AD1589" i="1"/>
  <c r="AV1587" i="1"/>
  <c r="R1588" i="1"/>
  <c r="Y1587" i="1"/>
  <c r="W1587" i="1"/>
  <c r="AD1590" i="1" l="1"/>
  <c r="AV1588" i="1"/>
  <c r="Q1590" i="1"/>
  <c r="T1589" i="1"/>
  <c r="AL1589" i="1"/>
  <c r="R1589" i="1"/>
  <c r="W1588" i="1"/>
  <c r="Y1588" i="1"/>
  <c r="AL1590" i="1" l="1"/>
  <c r="Q1591" i="1"/>
  <c r="T1590" i="1"/>
  <c r="AV1589" i="1"/>
  <c r="AD1591" i="1"/>
  <c r="W1589" i="1"/>
  <c r="Y1589" i="1"/>
  <c r="R1590" i="1"/>
  <c r="AV1590" i="1" l="1"/>
  <c r="AD1592" i="1"/>
  <c r="Q1592" i="1"/>
  <c r="T1591" i="1"/>
  <c r="AL1591" i="1"/>
  <c r="R1591" i="1"/>
  <c r="W1590" i="1"/>
  <c r="Y1590" i="1"/>
  <c r="AL1592" i="1" l="1"/>
  <c r="Q1593" i="1"/>
  <c r="T1592" i="1"/>
  <c r="AV1591" i="1"/>
  <c r="AD1593" i="1"/>
  <c r="Y1591" i="1"/>
  <c r="R1592" i="1"/>
  <c r="W1591" i="1"/>
  <c r="AD1594" i="1" l="1"/>
  <c r="AV1592" i="1"/>
  <c r="Q1594" i="1"/>
  <c r="T1593" i="1"/>
  <c r="AL1593" i="1"/>
  <c r="Y1592" i="1"/>
  <c r="W1592" i="1"/>
  <c r="R1593" i="1"/>
  <c r="AL1594" i="1" l="1"/>
  <c r="Q1595" i="1"/>
  <c r="T1594" i="1"/>
  <c r="AV1593" i="1"/>
  <c r="AD1595" i="1"/>
  <c r="R1594" i="1"/>
  <c r="Y1593" i="1"/>
  <c r="W1593" i="1"/>
  <c r="AD1596" i="1" l="1"/>
  <c r="AV1594" i="1"/>
  <c r="Q1596" i="1"/>
  <c r="T1595" i="1"/>
  <c r="AL1595" i="1"/>
  <c r="W1594" i="1"/>
  <c r="Y1594" i="1"/>
  <c r="R1595" i="1"/>
  <c r="AL1596" i="1" l="1"/>
  <c r="Q1597" i="1"/>
  <c r="T1596" i="1"/>
  <c r="AD1597" i="1"/>
  <c r="AV1595" i="1"/>
  <c r="Y1595" i="1"/>
  <c r="R1596" i="1"/>
  <c r="W1595" i="1"/>
  <c r="AV1596" i="1" l="1"/>
  <c r="AD1598" i="1"/>
  <c r="Q1598" i="1"/>
  <c r="T1597" i="1"/>
  <c r="AL1597" i="1"/>
  <c r="Y1596" i="1"/>
  <c r="R1597" i="1"/>
  <c r="W1596" i="1"/>
  <c r="AL1598" i="1" l="1"/>
  <c r="Q1599" i="1"/>
  <c r="T1598" i="1"/>
  <c r="AV1597" i="1"/>
  <c r="AD1599" i="1"/>
  <c r="R1598" i="1"/>
  <c r="W1597" i="1"/>
  <c r="Y1597" i="1"/>
  <c r="AV1598" i="1" l="1"/>
  <c r="AD1600" i="1"/>
  <c r="Q1600" i="1"/>
  <c r="T1599" i="1"/>
  <c r="AL1599" i="1"/>
  <c r="W1598" i="1"/>
  <c r="R1599" i="1"/>
  <c r="Y1598" i="1"/>
  <c r="AL1600" i="1" l="1"/>
  <c r="Q1601" i="1"/>
  <c r="T1600" i="1"/>
  <c r="AD1601" i="1"/>
  <c r="AV1599" i="1"/>
  <c r="Y1599" i="1"/>
  <c r="W1599" i="1"/>
  <c r="R1600" i="1"/>
  <c r="AV1600" i="1" l="1"/>
  <c r="AD1602" i="1"/>
  <c r="Q1602" i="1"/>
  <c r="T1601" i="1"/>
  <c r="AL1601" i="1"/>
  <c r="Y1600" i="1"/>
  <c r="W1600" i="1"/>
  <c r="R1601" i="1"/>
  <c r="AL1602" i="1" l="1"/>
  <c r="Q1603" i="1"/>
  <c r="T1602" i="1"/>
  <c r="AV1601" i="1"/>
  <c r="AD1603" i="1"/>
  <c r="W1601" i="1"/>
  <c r="Y1601" i="1"/>
  <c r="R1602" i="1"/>
  <c r="AV1602" i="1" l="1"/>
  <c r="AD1604" i="1"/>
  <c r="Q1604" i="1"/>
  <c r="T1603" i="1"/>
  <c r="AL1603" i="1"/>
  <c r="R1603" i="1"/>
  <c r="Y1602" i="1"/>
  <c r="W1602" i="1"/>
  <c r="AL1604" i="1" l="1"/>
  <c r="Q1605" i="1"/>
  <c r="T1604" i="1"/>
  <c r="AV1603" i="1"/>
  <c r="AD1605" i="1"/>
  <c r="W1603" i="1"/>
  <c r="R1604" i="1"/>
  <c r="Y1603" i="1"/>
  <c r="AV1604" i="1" l="1"/>
  <c r="AD1606" i="1"/>
  <c r="Q1606" i="1"/>
  <c r="T1605" i="1"/>
  <c r="AL1605" i="1"/>
  <c r="Y1604" i="1"/>
  <c r="W1604" i="1"/>
  <c r="R1605" i="1"/>
  <c r="AL1606" i="1" l="1"/>
  <c r="Q1607" i="1"/>
  <c r="T1606" i="1"/>
  <c r="AV1605" i="1"/>
  <c r="AD1607" i="1"/>
  <c r="W1605" i="1"/>
  <c r="R1606" i="1"/>
  <c r="Y1605" i="1"/>
  <c r="AV1606" i="1" l="1"/>
  <c r="AD1608" i="1"/>
  <c r="Q1608" i="1"/>
  <c r="T1607" i="1"/>
  <c r="AL1607" i="1"/>
  <c r="W1606" i="1"/>
  <c r="R1607" i="1"/>
  <c r="Y1606" i="1"/>
  <c r="AL1608" i="1" l="1"/>
  <c r="Q1609" i="1"/>
  <c r="T1608" i="1"/>
  <c r="AD1609" i="1"/>
  <c r="AV1607" i="1"/>
  <c r="R1608" i="1"/>
  <c r="Y1607" i="1"/>
  <c r="W1607" i="1"/>
  <c r="AD1610" i="1" l="1"/>
  <c r="AV1608" i="1"/>
  <c r="Q1610" i="1"/>
  <c r="T1609" i="1"/>
  <c r="AL1609" i="1"/>
  <c r="R1609" i="1"/>
  <c r="W1608" i="1"/>
  <c r="Y1608" i="1"/>
  <c r="AL1610" i="1" l="1"/>
  <c r="Q1611" i="1"/>
  <c r="T1610" i="1"/>
  <c r="AD1611" i="1"/>
  <c r="AV1609" i="1"/>
  <c r="R1610" i="1"/>
  <c r="Y1609" i="1"/>
  <c r="W1609" i="1"/>
  <c r="AD1612" i="1" l="1"/>
  <c r="AV1610" i="1"/>
  <c r="Q1612" i="1"/>
  <c r="T1611" i="1"/>
  <c r="AL1611" i="1"/>
  <c r="Y1610" i="1"/>
  <c r="W1610" i="1"/>
  <c r="R1611" i="1"/>
  <c r="AL1612" i="1" l="1"/>
  <c r="Q1613" i="1"/>
  <c r="T1612" i="1"/>
  <c r="AV1611" i="1"/>
  <c r="AD1613" i="1"/>
  <c r="W1611" i="1"/>
  <c r="Y1611" i="1"/>
  <c r="R1612" i="1"/>
  <c r="AV1612" i="1" l="1"/>
  <c r="AD1614" i="1"/>
  <c r="Q1614" i="1"/>
  <c r="T1613" i="1"/>
  <c r="AL1613" i="1"/>
  <c r="W1612" i="1"/>
  <c r="Y1612" i="1"/>
  <c r="R1613" i="1"/>
  <c r="AL1614" i="1" l="1"/>
  <c r="Q1615" i="1"/>
  <c r="T1614" i="1"/>
  <c r="AV1613" i="1"/>
  <c r="AD1615" i="1"/>
  <c r="Y1613" i="1"/>
  <c r="W1613" i="1"/>
  <c r="R1614" i="1"/>
  <c r="AV1614" i="1" l="1"/>
  <c r="AD1616" i="1"/>
  <c r="Q1616" i="1"/>
  <c r="T1615" i="1"/>
  <c r="AL1615" i="1"/>
  <c r="R1615" i="1"/>
  <c r="Y1614" i="1"/>
  <c r="W1614" i="1"/>
  <c r="AL1616" i="1" l="1"/>
  <c r="Q1617" i="1"/>
  <c r="T1616" i="1"/>
  <c r="AV1615" i="1"/>
  <c r="AD1617" i="1"/>
  <c r="Y1615" i="1"/>
  <c r="R1616" i="1"/>
  <c r="W1615" i="1"/>
  <c r="AV1616" i="1" l="1"/>
  <c r="AD1618" i="1"/>
  <c r="Q1618" i="1"/>
  <c r="T1617" i="1"/>
  <c r="AL1617" i="1"/>
  <c r="R1617" i="1"/>
  <c r="Y1616" i="1"/>
  <c r="W1616" i="1"/>
  <c r="AL1618" i="1" l="1"/>
  <c r="Q1619" i="1"/>
  <c r="T1618" i="1"/>
  <c r="AV1617" i="1"/>
  <c r="AD1619" i="1"/>
  <c r="W1617" i="1"/>
  <c r="Y1617" i="1"/>
  <c r="R1618" i="1"/>
  <c r="AV1618" i="1" l="1"/>
  <c r="AD1620" i="1"/>
  <c r="Q1620" i="1"/>
  <c r="T1619" i="1"/>
  <c r="AL1619" i="1"/>
  <c r="Y1618" i="1"/>
  <c r="R1619" i="1"/>
  <c r="W1618" i="1"/>
  <c r="AL1620" i="1" l="1"/>
  <c r="Q1621" i="1"/>
  <c r="T1620" i="1"/>
  <c r="AV1619" i="1"/>
  <c r="AD1621" i="1"/>
  <c r="Y1619" i="1"/>
  <c r="W1619" i="1"/>
  <c r="R1620" i="1"/>
  <c r="AV1620" i="1" l="1"/>
  <c r="AD1622" i="1"/>
  <c r="Q1622" i="1"/>
  <c r="T1621" i="1"/>
  <c r="AL1621" i="1"/>
  <c r="R1621" i="1"/>
  <c r="W1620" i="1"/>
  <c r="Y1620" i="1"/>
  <c r="AL1622" i="1" l="1"/>
  <c r="Q1623" i="1"/>
  <c r="T1622" i="1"/>
  <c r="AV1621" i="1"/>
  <c r="AD1623" i="1"/>
  <c r="Y1621" i="1"/>
  <c r="R1622" i="1"/>
  <c r="W1621" i="1"/>
  <c r="AV1622" i="1" l="1"/>
  <c r="AD1624" i="1"/>
  <c r="Q1624" i="1"/>
  <c r="T1623" i="1"/>
  <c r="AL1623" i="1"/>
  <c r="Y1622" i="1"/>
  <c r="R1623" i="1"/>
  <c r="W1622" i="1"/>
  <c r="AL1624" i="1" l="1"/>
  <c r="Q1625" i="1"/>
  <c r="T1624" i="1"/>
  <c r="AV1623" i="1"/>
  <c r="AD1625" i="1"/>
  <c r="R1624" i="1"/>
  <c r="Y1623" i="1"/>
  <c r="W1623" i="1"/>
  <c r="AV1624" i="1" l="1"/>
  <c r="AD1626" i="1"/>
  <c r="Q1626" i="1"/>
  <c r="T1625" i="1"/>
  <c r="AL1625" i="1"/>
  <c r="W1624" i="1"/>
  <c r="Y1624" i="1"/>
  <c r="R1625" i="1"/>
  <c r="AL1626" i="1" l="1"/>
  <c r="Q1627" i="1"/>
  <c r="T1626" i="1"/>
  <c r="AV1625" i="1"/>
  <c r="AD1627" i="1"/>
  <c r="R1626" i="1"/>
  <c r="Y1625" i="1"/>
  <c r="W1625" i="1"/>
  <c r="AV1626" i="1" l="1"/>
  <c r="AD1628" i="1"/>
  <c r="Q1628" i="1"/>
  <c r="T1627" i="1"/>
  <c r="AL1627" i="1"/>
  <c r="W1626" i="1"/>
  <c r="R1627" i="1"/>
  <c r="Y1626" i="1"/>
  <c r="AL1628" i="1" l="1"/>
  <c r="Q1629" i="1"/>
  <c r="T1628" i="1"/>
  <c r="AV1627" i="1"/>
  <c r="AD1629" i="1"/>
  <c r="Y1627" i="1"/>
  <c r="W1627" i="1"/>
  <c r="R1628" i="1"/>
  <c r="AV1628" i="1" l="1"/>
  <c r="AD1630" i="1"/>
  <c r="Q1630" i="1"/>
  <c r="T1629" i="1"/>
  <c r="AL1629" i="1"/>
  <c r="W1628" i="1"/>
  <c r="R1629" i="1"/>
  <c r="Y1628" i="1"/>
  <c r="AL1630" i="1" l="1"/>
  <c r="Q1631" i="1"/>
  <c r="T1630" i="1"/>
  <c r="AV1629" i="1"/>
  <c r="AD1631" i="1"/>
  <c r="W1629" i="1"/>
  <c r="R1630" i="1"/>
  <c r="Y1629" i="1"/>
  <c r="AV1630" i="1" l="1"/>
  <c r="AD1632" i="1"/>
  <c r="Q1632" i="1"/>
  <c r="T1631" i="1"/>
  <c r="AL1631" i="1"/>
  <c r="R1631" i="1"/>
  <c r="W1630" i="1"/>
  <c r="Y1630" i="1"/>
  <c r="AL1632" i="1" l="1"/>
  <c r="Q1633" i="1"/>
  <c r="T1632" i="1"/>
  <c r="AV1631" i="1"/>
  <c r="AD1633" i="1"/>
  <c r="R1632" i="1"/>
  <c r="W1631" i="1"/>
  <c r="Y1631" i="1"/>
  <c r="AV1632" i="1" l="1"/>
  <c r="AD1634" i="1"/>
  <c r="Q1634" i="1"/>
  <c r="T1633" i="1"/>
  <c r="AL1633" i="1"/>
  <c r="Y1632" i="1"/>
  <c r="R1633" i="1"/>
  <c r="W1632" i="1"/>
  <c r="AL1634" i="1" l="1"/>
  <c r="Q1635" i="1"/>
  <c r="T1634" i="1"/>
  <c r="AV1633" i="1"/>
  <c r="AD1635" i="1"/>
  <c r="R1634" i="1"/>
  <c r="Y1633" i="1"/>
  <c r="W1633" i="1"/>
  <c r="AV1634" i="1" l="1"/>
  <c r="AD1636" i="1"/>
  <c r="Q1636" i="1"/>
  <c r="T1635" i="1"/>
  <c r="AL1635" i="1"/>
  <c r="R1635" i="1"/>
  <c r="Y1634" i="1"/>
  <c r="W1634" i="1"/>
  <c r="AL1636" i="1" l="1"/>
  <c r="Q1637" i="1"/>
  <c r="T1636" i="1"/>
  <c r="AV1635" i="1"/>
  <c r="AD1637" i="1"/>
  <c r="W1635" i="1"/>
  <c r="R1636" i="1"/>
  <c r="Y1635" i="1"/>
  <c r="AV1636" i="1" l="1"/>
  <c r="AD1638" i="1"/>
  <c r="Q1638" i="1"/>
  <c r="T1637" i="1"/>
  <c r="AL1637" i="1"/>
  <c r="Y1636" i="1"/>
  <c r="R1637" i="1"/>
  <c r="W1636" i="1"/>
  <c r="AL1638" i="1" l="1"/>
  <c r="Q1639" i="1"/>
  <c r="T1638" i="1"/>
  <c r="AV1637" i="1"/>
  <c r="AD1639" i="1"/>
  <c r="R1638" i="1"/>
  <c r="W1637" i="1"/>
  <c r="Y1637" i="1"/>
  <c r="AV1638" i="1" l="1"/>
  <c r="AD1640" i="1"/>
  <c r="Q1640" i="1"/>
  <c r="T1639" i="1"/>
  <c r="AL1639" i="1"/>
  <c r="Y1638" i="1"/>
  <c r="R1639" i="1"/>
  <c r="W1638" i="1"/>
  <c r="AL1640" i="1" l="1"/>
  <c r="Q1641" i="1"/>
  <c r="T1640" i="1"/>
  <c r="AV1639" i="1"/>
  <c r="AD1641" i="1"/>
  <c r="R1640" i="1"/>
  <c r="Y1639" i="1"/>
  <c r="W1639" i="1"/>
  <c r="AV1640" i="1" l="1"/>
  <c r="AD1642" i="1"/>
  <c r="Q1642" i="1"/>
  <c r="T1641" i="1"/>
  <c r="AL1641" i="1"/>
  <c r="Y1640" i="1"/>
  <c r="R1641" i="1"/>
  <c r="W1640" i="1"/>
  <c r="AL1642" i="1" l="1"/>
  <c r="Q1643" i="1"/>
  <c r="T1642" i="1"/>
  <c r="AV1641" i="1"/>
  <c r="AD1643" i="1"/>
  <c r="W1641" i="1"/>
  <c r="R1642" i="1"/>
  <c r="Y1641" i="1"/>
  <c r="AV1642" i="1" l="1"/>
  <c r="AD1644" i="1"/>
  <c r="Q1644" i="1"/>
  <c r="T1643" i="1"/>
  <c r="AL1643" i="1"/>
  <c r="W1642" i="1"/>
  <c r="R1643" i="1"/>
  <c r="Y1642" i="1"/>
  <c r="AL1644" i="1" l="1"/>
  <c r="Q1645" i="1"/>
  <c r="T1644" i="1"/>
  <c r="AV1643" i="1"/>
  <c r="AD1645" i="1"/>
  <c r="W1643" i="1"/>
  <c r="R1644" i="1"/>
  <c r="Y1643" i="1"/>
  <c r="AV1644" i="1" l="1"/>
  <c r="AD1646" i="1"/>
  <c r="Q1646" i="1"/>
  <c r="T1645" i="1"/>
  <c r="AL1645" i="1"/>
  <c r="Y1644" i="1"/>
  <c r="W1644" i="1"/>
  <c r="R1645" i="1"/>
  <c r="AL1646" i="1" l="1"/>
  <c r="Q1647" i="1"/>
  <c r="T1646" i="1"/>
  <c r="AV1645" i="1"/>
  <c r="AD1647" i="1"/>
  <c r="Y1645" i="1"/>
  <c r="R1646" i="1"/>
  <c r="W1645" i="1"/>
  <c r="AV1646" i="1" l="1"/>
  <c r="AD1648" i="1"/>
  <c r="Q1648" i="1"/>
  <c r="T1647" i="1"/>
  <c r="AL1647" i="1"/>
  <c r="W1646" i="1"/>
  <c r="Y1646" i="1"/>
  <c r="R1647" i="1"/>
  <c r="AL1648" i="1" l="1"/>
  <c r="Q1649" i="1"/>
  <c r="T1648" i="1"/>
  <c r="AV1647" i="1"/>
  <c r="AD1649" i="1"/>
  <c r="R1648" i="1"/>
  <c r="Y1647" i="1"/>
  <c r="W1647" i="1"/>
  <c r="AV1648" i="1" l="1"/>
  <c r="AD1650" i="1"/>
  <c r="Q1650" i="1"/>
  <c r="T1649" i="1"/>
  <c r="AL1649" i="1"/>
  <c r="Y1648" i="1"/>
  <c r="W1648" i="1"/>
  <c r="R1649" i="1"/>
  <c r="AL1650" i="1" l="1"/>
  <c r="Q1651" i="1"/>
  <c r="T1650" i="1"/>
  <c r="AV1649" i="1"/>
  <c r="AD1651" i="1"/>
  <c r="Y1649" i="1"/>
  <c r="W1649" i="1"/>
  <c r="R1650" i="1"/>
  <c r="AV1650" i="1" l="1"/>
  <c r="AD1652" i="1"/>
  <c r="Q1652" i="1"/>
  <c r="T1651" i="1"/>
  <c r="AL1651" i="1"/>
  <c r="W1650" i="1"/>
  <c r="R1651" i="1"/>
  <c r="Y1650" i="1"/>
  <c r="AL1652" i="1" l="1"/>
  <c r="Q1653" i="1"/>
  <c r="T1652" i="1"/>
  <c r="AV1651" i="1"/>
  <c r="AD1653" i="1"/>
  <c r="R1652" i="1"/>
  <c r="Y1651" i="1"/>
  <c r="W1651" i="1"/>
  <c r="AV1652" i="1" l="1"/>
  <c r="AD1654" i="1"/>
  <c r="Q1654" i="1"/>
  <c r="T1653" i="1"/>
  <c r="AL1653" i="1"/>
  <c r="Y1652" i="1"/>
  <c r="R1653" i="1"/>
  <c r="W1652" i="1"/>
  <c r="AL1654" i="1" l="1"/>
  <c r="Q1655" i="1"/>
  <c r="T1654" i="1"/>
  <c r="AV1653" i="1"/>
  <c r="AD1655" i="1"/>
  <c r="W1653" i="1"/>
  <c r="Y1653" i="1"/>
  <c r="R1654" i="1"/>
  <c r="AV1654" i="1" l="1"/>
  <c r="AD1656" i="1"/>
  <c r="Q1656" i="1"/>
  <c r="T1655" i="1"/>
  <c r="AL1655" i="1"/>
  <c r="R1655" i="1"/>
  <c r="W1654" i="1"/>
  <c r="Y1654" i="1"/>
  <c r="AL1656" i="1" l="1"/>
  <c r="Q1657" i="1"/>
  <c r="T1656" i="1"/>
  <c r="AV1655" i="1"/>
  <c r="AD1657" i="1"/>
  <c r="R1656" i="1"/>
  <c r="Y1655" i="1"/>
  <c r="W1655" i="1"/>
  <c r="AV1656" i="1" l="1"/>
  <c r="AD1658" i="1"/>
  <c r="Q1658" i="1"/>
  <c r="T1657" i="1"/>
  <c r="AL1657" i="1"/>
  <c r="R1657" i="1"/>
  <c r="W1656" i="1"/>
  <c r="Y1656" i="1"/>
  <c r="AL1658" i="1" l="1"/>
  <c r="Q1659" i="1"/>
  <c r="T1658" i="1"/>
  <c r="AV1657" i="1"/>
  <c r="AD1659" i="1"/>
  <c r="W1657" i="1"/>
  <c r="R1658" i="1"/>
  <c r="Y1657" i="1"/>
  <c r="AV1658" i="1" l="1"/>
  <c r="AD1660" i="1"/>
  <c r="Q1660" i="1"/>
  <c r="T1659" i="1"/>
  <c r="AL1659" i="1"/>
  <c r="R1659" i="1"/>
  <c r="W1658" i="1"/>
  <c r="Y1658" i="1"/>
  <c r="AL1660" i="1" l="1"/>
  <c r="Q1661" i="1"/>
  <c r="T1660" i="1"/>
  <c r="AV1659" i="1"/>
  <c r="AD1661" i="1"/>
  <c r="Y1659" i="1"/>
  <c r="R1660" i="1"/>
  <c r="W1659" i="1"/>
  <c r="AV1660" i="1" l="1"/>
  <c r="AD1662" i="1"/>
  <c r="Q1662" i="1"/>
  <c r="T1661" i="1"/>
  <c r="AL1661" i="1"/>
  <c r="R1661" i="1"/>
  <c r="Y1660" i="1"/>
  <c r="W1660" i="1"/>
  <c r="AL1662" i="1" l="1"/>
  <c r="Q1663" i="1"/>
  <c r="T1662" i="1"/>
  <c r="AV1661" i="1"/>
  <c r="AD1663" i="1"/>
  <c r="W1661" i="1"/>
  <c r="R1662" i="1"/>
  <c r="Y1661" i="1"/>
  <c r="AV1662" i="1" l="1"/>
  <c r="AD1664" i="1"/>
  <c r="Q1664" i="1"/>
  <c r="T1663" i="1"/>
  <c r="AL1663" i="1"/>
  <c r="W1662" i="1"/>
  <c r="Y1662" i="1"/>
  <c r="R1663" i="1"/>
  <c r="AL1664" i="1" l="1"/>
  <c r="Q1665" i="1"/>
  <c r="T1664" i="1"/>
  <c r="AV1663" i="1"/>
  <c r="AD1665" i="1"/>
  <c r="Y1663" i="1"/>
  <c r="W1663" i="1"/>
  <c r="R1664" i="1"/>
  <c r="AV1664" i="1" l="1"/>
  <c r="AD1666" i="1"/>
  <c r="Q1666" i="1"/>
  <c r="T1665" i="1"/>
  <c r="AL1665" i="1"/>
  <c r="W1664" i="1"/>
  <c r="Y1664" i="1"/>
  <c r="R1665" i="1"/>
  <c r="AL1666" i="1" l="1"/>
  <c r="Q1667" i="1"/>
  <c r="T1666" i="1"/>
  <c r="AV1665" i="1"/>
  <c r="AD1667" i="1"/>
  <c r="Y1665" i="1"/>
  <c r="W1665" i="1"/>
  <c r="R1666" i="1"/>
  <c r="AV1666" i="1" l="1"/>
  <c r="AD1668" i="1"/>
  <c r="Q1668" i="1"/>
  <c r="T1667" i="1"/>
  <c r="AL1667" i="1"/>
  <c r="Y1666" i="1"/>
  <c r="W1666" i="1"/>
  <c r="R1667" i="1"/>
  <c r="AL1668" i="1" l="1"/>
  <c r="Q1669" i="1"/>
  <c r="T1668" i="1"/>
  <c r="AV1667" i="1"/>
  <c r="AD1669" i="1"/>
  <c r="R1668" i="1"/>
  <c r="Y1667" i="1"/>
  <c r="W1667" i="1"/>
  <c r="AV1668" i="1" l="1"/>
  <c r="AD1670" i="1"/>
  <c r="Q1670" i="1"/>
  <c r="T1669" i="1"/>
  <c r="AL1669" i="1"/>
  <c r="W1668" i="1"/>
  <c r="Y1668" i="1"/>
  <c r="R1669" i="1"/>
  <c r="AL1670" i="1" l="1"/>
  <c r="Q1671" i="1"/>
  <c r="T1670" i="1"/>
  <c r="AV1669" i="1"/>
  <c r="AD1671" i="1"/>
  <c r="R1670" i="1"/>
  <c r="W1669" i="1"/>
  <c r="Y1669" i="1"/>
  <c r="AV1670" i="1" l="1"/>
  <c r="AD1672" i="1"/>
  <c r="Q1672" i="1"/>
  <c r="T1671" i="1"/>
  <c r="AL1671" i="1"/>
  <c r="Y1670" i="1"/>
  <c r="R1671" i="1"/>
  <c r="W1670" i="1"/>
  <c r="AL1672" i="1" l="1"/>
  <c r="Q1673" i="1"/>
  <c r="T1672" i="1"/>
  <c r="AV1671" i="1"/>
  <c r="AD1673" i="1"/>
  <c r="W1671" i="1"/>
  <c r="Y1671" i="1"/>
  <c r="R1672" i="1"/>
  <c r="AV1672" i="1" l="1"/>
  <c r="AD1674" i="1"/>
  <c r="Q1674" i="1"/>
  <c r="T1673" i="1"/>
  <c r="AL1673" i="1"/>
  <c r="W1672" i="1"/>
  <c r="R1673" i="1"/>
  <c r="Y1672" i="1"/>
  <c r="AL1674" i="1" l="1"/>
  <c r="Q1675" i="1"/>
  <c r="T1674" i="1"/>
  <c r="AV1673" i="1"/>
  <c r="AD1675" i="1"/>
  <c r="Y1673" i="1"/>
  <c r="R1674" i="1"/>
  <c r="W1673" i="1"/>
  <c r="AV1674" i="1" l="1"/>
  <c r="AD1676" i="1"/>
  <c r="Q1676" i="1"/>
  <c r="T1675" i="1"/>
  <c r="AL1675" i="1"/>
  <c r="W1674" i="1"/>
  <c r="R1675" i="1"/>
  <c r="Y1674" i="1"/>
  <c r="AL1676" i="1" l="1"/>
  <c r="Q1677" i="1"/>
  <c r="T1676" i="1"/>
  <c r="AV1675" i="1"/>
  <c r="AD1677" i="1"/>
  <c r="W1675" i="1"/>
  <c r="R1676" i="1"/>
  <c r="Y1675" i="1"/>
  <c r="AV1676" i="1" l="1"/>
  <c r="AD1678" i="1"/>
  <c r="Q1678" i="1"/>
  <c r="T1677" i="1"/>
  <c r="AL1677" i="1"/>
  <c r="Y1676" i="1"/>
  <c r="W1676" i="1"/>
  <c r="R1677" i="1"/>
  <c r="AL1678" i="1" l="1"/>
  <c r="Q1679" i="1"/>
  <c r="T1678" i="1"/>
  <c r="AV1677" i="1"/>
  <c r="AD1679" i="1"/>
  <c r="W1677" i="1"/>
  <c r="Y1677" i="1"/>
  <c r="R1678" i="1"/>
  <c r="AV1678" i="1" l="1"/>
  <c r="AD1680" i="1"/>
  <c r="Q1680" i="1"/>
  <c r="T1679" i="1"/>
  <c r="AL1679" i="1"/>
  <c r="R1679" i="1"/>
  <c r="Y1678" i="1"/>
  <c r="W1678" i="1"/>
  <c r="AL1680" i="1" l="1"/>
  <c r="Q1681" i="1"/>
  <c r="T1680" i="1"/>
  <c r="AV1679" i="1"/>
  <c r="AD1681" i="1"/>
  <c r="Y1679" i="1"/>
  <c r="R1680" i="1"/>
  <c r="W1679" i="1"/>
  <c r="AV1680" i="1" l="1"/>
  <c r="AD1682" i="1"/>
  <c r="Q1682" i="1"/>
  <c r="T1681" i="1"/>
  <c r="AL1681" i="1"/>
  <c r="R1681" i="1"/>
  <c r="Y1680" i="1"/>
  <c r="W1680" i="1"/>
  <c r="AL1682" i="1" l="1"/>
  <c r="Q1683" i="1"/>
  <c r="T1682" i="1"/>
  <c r="AV1681" i="1"/>
  <c r="AD1683" i="1"/>
  <c r="R1682" i="1"/>
  <c r="W1681" i="1"/>
  <c r="Y1681" i="1"/>
  <c r="AV1682" i="1" l="1"/>
  <c r="AD1684" i="1"/>
  <c r="Q1684" i="1"/>
  <c r="T1683" i="1"/>
  <c r="AL1683" i="1"/>
  <c r="W1682" i="1"/>
  <c r="R1683" i="1"/>
  <c r="Y1682" i="1"/>
  <c r="AL1684" i="1" l="1"/>
  <c r="Q1685" i="1"/>
  <c r="T1684" i="1"/>
  <c r="AV1683" i="1"/>
  <c r="AD1685" i="1"/>
  <c r="W1683" i="1"/>
  <c r="R1684" i="1"/>
  <c r="Y1683" i="1"/>
  <c r="AV1684" i="1" l="1"/>
  <c r="AD1686" i="1"/>
  <c r="Q1686" i="1"/>
  <c r="T1685" i="1"/>
  <c r="AL1685" i="1"/>
  <c r="R1685" i="1"/>
  <c r="Y1684" i="1"/>
  <c r="W1684" i="1"/>
  <c r="AL1686" i="1" l="1"/>
  <c r="Q1687" i="1"/>
  <c r="T1686" i="1"/>
  <c r="AV1685" i="1"/>
  <c r="AD1687" i="1"/>
  <c r="W1685" i="1"/>
  <c r="R1686" i="1"/>
  <c r="Y1685" i="1"/>
  <c r="AV1686" i="1" l="1"/>
  <c r="AD1688" i="1"/>
  <c r="Q1688" i="1"/>
  <c r="T1687" i="1"/>
  <c r="AL1687" i="1"/>
  <c r="W1686" i="1"/>
  <c r="R1687" i="1"/>
  <c r="Y1686" i="1"/>
  <c r="AL1688" i="1" l="1"/>
  <c r="Q1689" i="1"/>
  <c r="T1688" i="1"/>
  <c r="AV1687" i="1"/>
  <c r="AD1689" i="1"/>
  <c r="W1687" i="1"/>
  <c r="R1688" i="1"/>
  <c r="Y1687" i="1"/>
  <c r="AV1688" i="1" l="1"/>
  <c r="AD1690" i="1"/>
  <c r="Q1690" i="1"/>
  <c r="T1689" i="1"/>
  <c r="AL1689" i="1"/>
  <c r="Y1688" i="1"/>
  <c r="W1688" i="1"/>
  <c r="R1689" i="1"/>
  <c r="AL1690" i="1" l="1"/>
  <c r="Q1691" i="1"/>
  <c r="T1690" i="1"/>
  <c r="AV1689" i="1"/>
  <c r="AD1691" i="1"/>
  <c r="W1689" i="1"/>
  <c r="R1690" i="1"/>
  <c r="Y1689" i="1"/>
  <c r="AV1690" i="1" l="1"/>
  <c r="AD1692" i="1"/>
  <c r="Q1692" i="1"/>
  <c r="T1691" i="1"/>
  <c r="AL1691" i="1"/>
  <c r="W1690" i="1"/>
  <c r="R1691" i="1"/>
  <c r="Y1690" i="1"/>
  <c r="AL1692" i="1" l="1"/>
  <c r="Q1693" i="1"/>
  <c r="T1692" i="1"/>
  <c r="AV1691" i="1"/>
  <c r="AD1693" i="1"/>
  <c r="W1691" i="1"/>
  <c r="R1692" i="1"/>
  <c r="Y1691" i="1"/>
  <c r="AV1692" i="1" l="1"/>
  <c r="AD1694" i="1"/>
  <c r="Q1694" i="1"/>
  <c r="T1693" i="1"/>
  <c r="AL1693" i="1"/>
  <c r="R1693" i="1"/>
  <c r="Y1692" i="1"/>
  <c r="W1692" i="1"/>
  <c r="AL1694" i="1" l="1"/>
  <c r="Q1695" i="1"/>
  <c r="T1694" i="1"/>
  <c r="AV1693" i="1"/>
  <c r="AD1695" i="1"/>
  <c r="Y1693" i="1"/>
  <c r="R1694" i="1"/>
  <c r="W1693" i="1"/>
  <c r="AV1694" i="1" l="1"/>
  <c r="AD1696" i="1"/>
  <c r="Q1696" i="1"/>
  <c r="T1695" i="1"/>
  <c r="AL1695" i="1"/>
  <c r="Y1694" i="1"/>
  <c r="R1695" i="1"/>
  <c r="W1694" i="1"/>
  <c r="AL1696" i="1" l="1"/>
  <c r="Q1697" i="1"/>
  <c r="T1696" i="1"/>
  <c r="AV1695" i="1"/>
  <c r="AD1697" i="1"/>
  <c r="R1696" i="1"/>
  <c r="W1695" i="1"/>
  <c r="Y1695" i="1"/>
  <c r="AV1696" i="1" l="1"/>
  <c r="AD1698" i="1"/>
  <c r="Q1698" i="1"/>
  <c r="T1697" i="1"/>
  <c r="AL1697" i="1"/>
  <c r="R1697" i="1"/>
  <c r="W1696" i="1"/>
  <c r="Y1696" i="1"/>
  <c r="AL1698" i="1" l="1"/>
  <c r="Q1699" i="1"/>
  <c r="T1698" i="1"/>
  <c r="AV1697" i="1"/>
  <c r="AD1699" i="1"/>
  <c r="Y1697" i="1"/>
  <c r="R1698" i="1"/>
  <c r="W1697" i="1"/>
  <c r="AV1698" i="1" l="1"/>
  <c r="AD1700" i="1"/>
  <c r="Q1700" i="1"/>
  <c r="T1699" i="1"/>
  <c r="AL1699" i="1"/>
  <c r="R1699" i="1"/>
  <c r="Y1698" i="1"/>
  <c r="W1698" i="1"/>
  <c r="AL1700" i="1" l="1"/>
  <c r="Q1701" i="1"/>
  <c r="T1700" i="1"/>
  <c r="AV1699" i="1"/>
  <c r="AD1701" i="1"/>
  <c r="W1699" i="1"/>
  <c r="R1700" i="1"/>
  <c r="Y1699" i="1"/>
  <c r="AV1700" i="1" l="1"/>
  <c r="AD1702" i="1"/>
  <c r="Q1702" i="1"/>
  <c r="T1701" i="1"/>
  <c r="AL1701" i="1"/>
  <c r="R1701" i="1"/>
  <c r="Y1700" i="1"/>
  <c r="W1700" i="1"/>
  <c r="AL1702" i="1" l="1"/>
  <c r="Q1703" i="1"/>
  <c r="T1702" i="1"/>
  <c r="AV1701" i="1"/>
  <c r="AD1703" i="1"/>
  <c r="W1701" i="1"/>
  <c r="R1702" i="1"/>
  <c r="Y1701" i="1"/>
  <c r="AV1702" i="1" l="1"/>
  <c r="AD1704" i="1"/>
  <c r="Q1704" i="1"/>
  <c r="T1703" i="1"/>
  <c r="AL1703" i="1"/>
  <c r="Y1702" i="1"/>
  <c r="W1702" i="1"/>
  <c r="R1703" i="1"/>
  <c r="AL1704" i="1" l="1"/>
  <c r="Q1705" i="1"/>
  <c r="T1704" i="1"/>
  <c r="AV1703" i="1"/>
  <c r="AD1705" i="1"/>
  <c r="Y1703" i="1"/>
  <c r="W1703" i="1"/>
  <c r="R1704" i="1"/>
  <c r="AV1704" i="1" l="1"/>
  <c r="AD1706" i="1"/>
  <c r="Q1706" i="1"/>
  <c r="T1705" i="1"/>
  <c r="AL1705" i="1"/>
  <c r="R1705" i="1"/>
  <c r="W1704" i="1"/>
  <c r="Y1704" i="1"/>
  <c r="AL1706" i="1" l="1"/>
  <c r="Q1707" i="1"/>
  <c r="T1706" i="1"/>
  <c r="AV1705" i="1"/>
  <c r="AD1707" i="1"/>
  <c r="W1705" i="1"/>
  <c r="Y1705" i="1"/>
  <c r="R1706" i="1"/>
  <c r="AV1706" i="1" l="1"/>
  <c r="AD1708" i="1"/>
  <c r="Q1708" i="1"/>
  <c r="T1707" i="1"/>
  <c r="AL1707" i="1"/>
  <c r="R1707" i="1"/>
  <c r="Y1706" i="1"/>
  <c r="W1706" i="1"/>
  <c r="AL1708" i="1" l="1"/>
  <c r="Q1709" i="1"/>
  <c r="T1708" i="1"/>
  <c r="AV1707" i="1"/>
  <c r="AD1709" i="1"/>
  <c r="R1708" i="1"/>
  <c r="W1707" i="1"/>
  <c r="Y1707" i="1"/>
  <c r="AV1708" i="1" l="1"/>
  <c r="AD1710" i="1"/>
  <c r="Q1710" i="1"/>
  <c r="T1709" i="1"/>
  <c r="AL1709" i="1"/>
  <c r="Y1708" i="1"/>
  <c r="R1709" i="1"/>
  <c r="W1708" i="1"/>
  <c r="AL1710" i="1" l="1"/>
  <c r="Q1711" i="1"/>
  <c r="T1710" i="1"/>
  <c r="AV1709" i="1"/>
  <c r="AD1711" i="1"/>
  <c r="W1709" i="1"/>
  <c r="Y1709" i="1"/>
  <c r="R1710" i="1"/>
  <c r="AV1710" i="1" l="1"/>
  <c r="AD1712" i="1"/>
  <c r="Q1712" i="1"/>
  <c r="T1711" i="1"/>
  <c r="AL1711" i="1"/>
  <c r="R1711" i="1"/>
  <c r="Y1710" i="1"/>
  <c r="W1710" i="1"/>
  <c r="AL1712" i="1" l="1"/>
  <c r="Q1713" i="1"/>
  <c r="T1712" i="1"/>
  <c r="AV1711" i="1"/>
  <c r="AD1713" i="1"/>
  <c r="Y1711" i="1"/>
  <c r="R1712" i="1"/>
  <c r="W1711" i="1"/>
  <c r="AV1712" i="1" l="1"/>
  <c r="AD1714" i="1"/>
  <c r="Q1714" i="1"/>
  <c r="T1713" i="1"/>
  <c r="AL1713" i="1"/>
  <c r="R1713" i="1"/>
  <c r="Y1712" i="1"/>
  <c r="W1712" i="1"/>
  <c r="AL1714" i="1" l="1"/>
  <c r="Q1715" i="1"/>
  <c r="T1714" i="1"/>
  <c r="AV1713" i="1"/>
  <c r="AD1715" i="1"/>
  <c r="R1714" i="1"/>
  <c r="Y1713" i="1"/>
  <c r="W1713" i="1"/>
  <c r="AV1714" i="1" l="1"/>
  <c r="AD1716" i="1"/>
  <c r="Q1716" i="1"/>
  <c r="T1715" i="1"/>
  <c r="AL1715" i="1"/>
  <c r="R1715" i="1"/>
  <c r="W1714" i="1"/>
  <c r="Y1714" i="1"/>
  <c r="AL1716" i="1" l="1"/>
  <c r="Q1717" i="1"/>
  <c r="T1716" i="1"/>
  <c r="AV1715" i="1"/>
  <c r="AD1717" i="1"/>
  <c r="W1715" i="1"/>
  <c r="R1716" i="1"/>
  <c r="Y1715" i="1"/>
  <c r="AV1716" i="1" l="1"/>
  <c r="AD1718" i="1"/>
  <c r="Q1718" i="1"/>
  <c r="T1717" i="1"/>
  <c r="AL1717" i="1"/>
  <c r="W1716" i="1"/>
  <c r="Y1716" i="1"/>
  <c r="R1717" i="1"/>
  <c r="AL1718" i="1" l="1"/>
  <c r="Q1719" i="1"/>
  <c r="T1718" i="1"/>
  <c r="AV1717" i="1"/>
  <c r="AD1719" i="1"/>
  <c r="R1718" i="1"/>
  <c r="W1717" i="1"/>
  <c r="Y1717" i="1"/>
  <c r="AV1718" i="1" l="1"/>
  <c r="AD1720" i="1"/>
  <c r="Q1720" i="1"/>
  <c r="T1719" i="1"/>
  <c r="AL1719" i="1"/>
  <c r="Y1718" i="1"/>
  <c r="R1719" i="1"/>
  <c r="W1718" i="1"/>
  <c r="AL1720" i="1" l="1"/>
  <c r="Q1721" i="1"/>
  <c r="T1720" i="1"/>
  <c r="AV1719" i="1"/>
  <c r="AD1721" i="1"/>
  <c r="R1720" i="1"/>
  <c r="W1719" i="1"/>
  <c r="Y1719" i="1"/>
  <c r="AV1720" i="1" l="1"/>
  <c r="AD1722" i="1"/>
  <c r="Q1722" i="1"/>
  <c r="T1721" i="1"/>
  <c r="AL1721" i="1"/>
  <c r="Y1720" i="1"/>
  <c r="W1720" i="1"/>
  <c r="R1721" i="1"/>
  <c r="AL1722" i="1" l="1"/>
  <c r="Q1723" i="1"/>
  <c r="T1722" i="1"/>
  <c r="AV1721" i="1"/>
  <c r="AD1723" i="1"/>
  <c r="R1722" i="1"/>
  <c r="Y1721" i="1"/>
  <c r="W1721" i="1"/>
  <c r="AV1722" i="1" l="1"/>
  <c r="AD1724" i="1"/>
  <c r="Q1724" i="1"/>
  <c r="T1723" i="1"/>
  <c r="AL1723" i="1"/>
  <c r="R1723" i="1"/>
  <c r="W1722" i="1"/>
  <c r="Y1722" i="1"/>
  <c r="AL1724" i="1" l="1"/>
  <c r="Q1725" i="1"/>
  <c r="T1724" i="1"/>
  <c r="AV1723" i="1"/>
  <c r="AD1725" i="1"/>
  <c r="Y1723" i="1"/>
  <c r="R1724" i="1"/>
  <c r="W1723" i="1"/>
  <c r="AV1724" i="1" l="1"/>
  <c r="AD1726" i="1"/>
  <c r="Q1726" i="1"/>
  <c r="T1725" i="1"/>
  <c r="AL1725" i="1"/>
  <c r="R1725" i="1"/>
  <c r="Y1724" i="1"/>
  <c r="W1724" i="1"/>
  <c r="AL1726" i="1" l="1"/>
  <c r="Q1727" i="1"/>
  <c r="T1726" i="1"/>
  <c r="AV1725" i="1"/>
  <c r="AD1727" i="1"/>
  <c r="W1725" i="1"/>
  <c r="Y1725" i="1"/>
  <c r="R1726" i="1"/>
  <c r="AV1726" i="1" l="1"/>
  <c r="AD1728" i="1"/>
  <c r="Q1728" i="1"/>
  <c r="T1727" i="1"/>
  <c r="AL1727" i="1"/>
  <c r="R1727" i="1"/>
  <c r="W1726" i="1"/>
  <c r="Y1726" i="1"/>
  <c r="AL1728" i="1" l="1"/>
  <c r="Q1729" i="1"/>
  <c r="T1728" i="1"/>
  <c r="AV1727" i="1"/>
  <c r="AD1729" i="1"/>
  <c r="W1727" i="1"/>
  <c r="R1728" i="1"/>
  <c r="Y1727" i="1"/>
  <c r="AV1728" i="1" l="1"/>
  <c r="AD1730" i="1"/>
  <c r="Q1730" i="1"/>
  <c r="T1729" i="1"/>
  <c r="AL1729" i="1"/>
  <c r="Y1728" i="1"/>
  <c r="W1728" i="1"/>
  <c r="R1729" i="1"/>
  <c r="AL1730" i="1" l="1"/>
  <c r="Q1731" i="1"/>
  <c r="T1730" i="1"/>
  <c r="AV1729" i="1"/>
  <c r="AD1731" i="1"/>
  <c r="W1729" i="1"/>
  <c r="R1730" i="1"/>
  <c r="Y1729" i="1"/>
  <c r="AV1730" i="1" l="1"/>
  <c r="AD1732" i="1"/>
  <c r="Q1732" i="1"/>
  <c r="T1731" i="1"/>
  <c r="AL1731" i="1"/>
  <c r="W1730" i="1"/>
  <c r="R1731" i="1"/>
  <c r="Y1730" i="1"/>
  <c r="AL1732" i="1" l="1"/>
  <c r="Q1733" i="1"/>
  <c r="T1732" i="1"/>
  <c r="AV1731" i="1"/>
  <c r="AD1733" i="1"/>
  <c r="R1732" i="1"/>
  <c r="W1731" i="1"/>
  <c r="Y1731" i="1"/>
  <c r="AV1732" i="1" l="1"/>
  <c r="AD1734" i="1"/>
  <c r="Q1734" i="1"/>
  <c r="T1733" i="1"/>
  <c r="AL1733" i="1"/>
  <c r="Y1732" i="1"/>
  <c r="R1733" i="1"/>
  <c r="W1732" i="1"/>
  <c r="AL1734" i="1" l="1"/>
  <c r="Q1735" i="1"/>
  <c r="T1734" i="1"/>
  <c r="AV1733" i="1"/>
  <c r="AD1735" i="1"/>
  <c r="Y1733" i="1"/>
  <c r="R1734" i="1"/>
  <c r="W1733" i="1"/>
  <c r="AV1734" i="1" l="1"/>
  <c r="AD1736" i="1"/>
  <c r="Q1736" i="1"/>
  <c r="T1735" i="1"/>
  <c r="AL1735" i="1"/>
  <c r="Y1734" i="1"/>
  <c r="W1734" i="1"/>
  <c r="R1735" i="1"/>
  <c r="AL1736" i="1" l="1"/>
  <c r="Q1737" i="1"/>
  <c r="T1736" i="1"/>
  <c r="AV1735" i="1"/>
  <c r="AD1737" i="1"/>
  <c r="Y1735" i="1"/>
  <c r="W1735" i="1"/>
  <c r="R1736" i="1"/>
  <c r="AV1736" i="1" l="1"/>
  <c r="AD1738" i="1"/>
  <c r="Q1738" i="1"/>
  <c r="T1737" i="1"/>
  <c r="AL1737" i="1"/>
  <c r="W1736" i="1"/>
  <c r="Y1736" i="1"/>
  <c r="R1737" i="1"/>
  <c r="AL1738" i="1" l="1"/>
  <c r="Q1739" i="1"/>
  <c r="T1738" i="1"/>
  <c r="AV1737" i="1"/>
  <c r="AD1739" i="1"/>
  <c r="R1738" i="1"/>
  <c r="W1737" i="1"/>
  <c r="Y1737" i="1"/>
  <c r="AV1738" i="1" l="1"/>
  <c r="AD1740" i="1"/>
  <c r="Q1740" i="1"/>
  <c r="T1739" i="1"/>
  <c r="AL1739" i="1"/>
  <c r="Y1738" i="1"/>
  <c r="W1738" i="1"/>
  <c r="R1739" i="1"/>
  <c r="AL1740" i="1" l="1"/>
  <c r="Q1741" i="1"/>
  <c r="T1740" i="1"/>
  <c r="AV1739" i="1"/>
  <c r="AD1741" i="1"/>
  <c r="R1740" i="1"/>
  <c r="W1739" i="1"/>
  <c r="Y1739" i="1"/>
  <c r="AV1740" i="1" l="1"/>
  <c r="AD1742" i="1"/>
  <c r="Q1742" i="1"/>
  <c r="T1741" i="1"/>
  <c r="AL1741" i="1"/>
  <c r="Y1740" i="1"/>
  <c r="R1741" i="1"/>
  <c r="W1740" i="1"/>
  <c r="AL1742" i="1" l="1"/>
  <c r="Q1743" i="1"/>
  <c r="T1742" i="1"/>
  <c r="AV1741" i="1"/>
  <c r="AD1743" i="1"/>
  <c r="Y1741" i="1"/>
  <c r="R1742" i="1"/>
  <c r="W1741" i="1"/>
  <c r="AV1742" i="1" l="1"/>
  <c r="AD1744" i="1"/>
  <c r="Q1744" i="1"/>
  <c r="T1743" i="1"/>
  <c r="AL1743" i="1"/>
  <c r="R1743" i="1"/>
  <c r="Y1742" i="1"/>
  <c r="W1742" i="1"/>
  <c r="AL1744" i="1" l="1"/>
  <c r="Q1745" i="1"/>
  <c r="T1744" i="1"/>
  <c r="AV1743" i="1"/>
  <c r="AD1745" i="1"/>
  <c r="Y1743" i="1"/>
  <c r="R1744" i="1"/>
  <c r="W1743" i="1"/>
  <c r="AV1744" i="1" l="1"/>
  <c r="AD1746" i="1"/>
  <c r="Q1746" i="1"/>
  <c r="T1745" i="1"/>
  <c r="AL1745" i="1"/>
  <c r="W1744" i="1"/>
  <c r="R1745" i="1"/>
  <c r="Y1744" i="1"/>
  <c r="AL1746" i="1" l="1"/>
  <c r="Q1747" i="1"/>
  <c r="T1746" i="1"/>
  <c r="AV1745" i="1"/>
  <c r="AD1747" i="1"/>
  <c r="R1746" i="1"/>
  <c r="Y1745" i="1"/>
  <c r="W1745" i="1"/>
  <c r="AV1746" i="1" l="1"/>
  <c r="AD1748" i="1"/>
  <c r="Q1748" i="1"/>
  <c r="T1747" i="1"/>
  <c r="AL1747" i="1"/>
  <c r="R1747" i="1"/>
  <c r="Y1746" i="1"/>
  <c r="W1746" i="1"/>
  <c r="AL1748" i="1" l="1"/>
  <c r="Q1749" i="1"/>
  <c r="T1748" i="1"/>
  <c r="AV1747" i="1"/>
  <c r="AD1749" i="1"/>
  <c r="R1748" i="1"/>
  <c r="Y1747" i="1"/>
  <c r="W1747" i="1"/>
  <c r="AV1748" i="1" l="1"/>
  <c r="AD1750" i="1"/>
  <c r="Q1750" i="1"/>
  <c r="T1749" i="1"/>
  <c r="AL1749" i="1"/>
  <c r="Y1748" i="1"/>
  <c r="W1748" i="1"/>
  <c r="R1749" i="1"/>
  <c r="AL1750" i="1" l="1"/>
  <c r="Q1751" i="1"/>
  <c r="T1750" i="1"/>
  <c r="AV1749" i="1"/>
  <c r="AD1751" i="1"/>
  <c r="R1750" i="1"/>
  <c r="W1749" i="1"/>
  <c r="Y1749" i="1"/>
  <c r="AV1750" i="1" l="1"/>
  <c r="AD1752" i="1"/>
  <c r="Q1752" i="1"/>
  <c r="T1751" i="1"/>
  <c r="AL1751" i="1"/>
  <c r="Y1750" i="1"/>
  <c r="R1751" i="1"/>
  <c r="W1750" i="1"/>
  <c r="AL1752" i="1" l="1"/>
  <c r="Q1753" i="1"/>
  <c r="T1752" i="1"/>
  <c r="AV1751" i="1"/>
  <c r="AD1753" i="1"/>
  <c r="W1751" i="1"/>
  <c r="Y1751" i="1"/>
  <c r="R1752" i="1"/>
  <c r="AV1752" i="1" l="1"/>
  <c r="AD1754" i="1"/>
  <c r="Q1754" i="1"/>
  <c r="T1753" i="1"/>
  <c r="AL1753" i="1"/>
  <c r="Y1752" i="1"/>
  <c r="R1753" i="1"/>
  <c r="W1752" i="1"/>
  <c r="AL1754" i="1" l="1"/>
  <c r="Q1755" i="1"/>
  <c r="T1754" i="1"/>
  <c r="AV1753" i="1"/>
  <c r="AD1755" i="1"/>
  <c r="R1754" i="1"/>
  <c r="Y1753" i="1"/>
  <c r="W1753" i="1"/>
  <c r="AV1754" i="1" l="1"/>
  <c r="AD1756" i="1"/>
  <c r="Q1756" i="1"/>
  <c r="T1755" i="1"/>
  <c r="AL1755" i="1"/>
  <c r="Y1754" i="1"/>
  <c r="R1755" i="1"/>
  <c r="W1754" i="1"/>
  <c r="AL1756" i="1" l="1"/>
  <c r="Q1757" i="1"/>
  <c r="T1756" i="1"/>
  <c r="AV1755" i="1"/>
  <c r="AD1757" i="1"/>
  <c r="Y1755" i="1"/>
  <c r="W1755" i="1"/>
  <c r="R1756" i="1"/>
  <c r="AV1756" i="1" l="1"/>
  <c r="AD1758" i="1"/>
  <c r="Q1758" i="1"/>
  <c r="T1757" i="1"/>
  <c r="AL1757" i="1"/>
  <c r="R1757" i="1"/>
  <c r="Y1756" i="1"/>
  <c r="W1756" i="1"/>
  <c r="AL1758" i="1" l="1"/>
  <c r="Q1759" i="1"/>
  <c r="T1758" i="1"/>
  <c r="AV1757" i="1"/>
  <c r="AD1759" i="1"/>
  <c r="W1757" i="1"/>
  <c r="R1758" i="1"/>
  <c r="Y1757" i="1"/>
  <c r="AV1758" i="1" l="1"/>
  <c r="AD1760" i="1"/>
  <c r="Q1760" i="1"/>
  <c r="T1759" i="1"/>
  <c r="AL1759" i="1"/>
  <c r="Y1758" i="1"/>
  <c r="R1759" i="1"/>
  <c r="W1758" i="1"/>
  <c r="AL1760" i="1" l="1"/>
  <c r="Q1761" i="1"/>
  <c r="T1760" i="1"/>
  <c r="AV1759" i="1"/>
  <c r="AD1761" i="1"/>
  <c r="W1759" i="1"/>
  <c r="Y1759" i="1"/>
  <c r="R1760" i="1"/>
  <c r="AV1760" i="1" l="1"/>
  <c r="AD1762" i="1"/>
  <c r="Q1762" i="1"/>
  <c r="T1761" i="1"/>
  <c r="AL1761" i="1"/>
  <c r="W1760" i="1"/>
  <c r="Y1760" i="1"/>
  <c r="R1761" i="1"/>
  <c r="AL1762" i="1" l="1"/>
  <c r="Q1763" i="1"/>
  <c r="T1762" i="1"/>
  <c r="AV1761" i="1"/>
  <c r="AD1763" i="1"/>
  <c r="Y1761" i="1"/>
  <c r="R1762" i="1"/>
  <c r="W1761" i="1"/>
  <c r="AV1762" i="1" l="1"/>
  <c r="AD1764" i="1"/>
  <c r="Q1764" i="1"/>
  <c r="T1763" i="1"/>
  <c r="AL1763" i="1"/>
  <c r="W1762" i="1"/>
  <c r="Y1762" i="1"/>
  <c r="R1763" i="1"/>
  <c r="AL1764" i="1" l="1"/>
  <c r="Q1765" i="1"/>
  <c r="T1764" i="1"/>
  <c r="AV1763" i="1"/>
  <c r="AD1765" i="1"/>
  <c r="R1764" i="1"/>
  <c r="Y1763" i="1"/>
  <c r="W1763" i="1"/>
  <c r="AV1764" i="1" l="1"/>
  <c r="AD1766" i="1"/>
  <c r="Q1766" i="1"/>
  <c r="T1765" i="1"/>
  <c r="AL1765" i="1"/>
  <c r="Y1764" i="1"/>
  <c r="R1765" i="1"/>
  <c r="W1764" i="1"/>
  <c r="AL1766" i="1" l="1"/>
  <c r="Q1767" i="1"/>
  <c r="T1766" i="1"/>
  <c r="AV1765" i="1"/>
  <c r="AD1767" i="1"/>
  <c r="W1765" i="1"/>
  <c r="Y1765" i="1"/>
  <c r="R1766" i="1"/>
  <c r="AV1766" i="1" l="1"/>
  <c r="AD1768" i="1"/>
  <c r="Q1768" i="1"/>
  <c r="T1767" i="1"/>
  <c r="AL1767" i="1"/>
  <c r="Y1766" i="1"/>
  <c r="R1767" i="1"/>
  <c r="W1766" i="1"/>
  <c r="AL1768" i="1" l="1"/>
  <c r="Q1769" i="1"/>
  <c r="T1768" i="1"/>
  <c r="AV1767" i="1"/>
  <c r="AD1769" i="1"/>
  <c r="R1768" i="1"/>
  <c r="Y1767" i="1"/>
  <c r="W1767" i="1"/>
  <c r="AV1768" i="1" l="1"/>
  <c r="AD1770" i="1"/>
  <c r="Q1770" i="1"/>
  <c r="T1769" i="1"/>
  <c r="AL1769" i="1"/>
  <c r="Y1768" i="1"/>
  <c r="W1768" i="1"/>
  <c r="R1769" i="1"/>
  <c r="AL1770" i="1" l="1"/>
  <c r="Q1771" i="1"/>
  <c r="T1770" i="1"/>
  <c r="AV1769" i="1"/>
  <c r="AD1771" i="1"/>
  <c r="R1770" i="1"/>
  <c r="W1769" i="1"/>
  <c r="Y1769" i="1"/>
  <c r="AV1770" i="1" l="1"/>
  <c r="AD1772" i="1"/>
  <c r="Q1772" i="1"/>
  <c r="T1771" i="1"/>
  <c r="AL1771" i="1"/>
  <c r="W1770" i="1"/>
  <c r="Y1770" i="1"/>
  <c r="R1771" i="1"/>
  <c r="AL1772" i="1" l="1"/>
  <c r="Q1773" i="1"/>
  <c r="T1772" i="1"/>
  <c r="AV1771" i="1"/>
  <c r="AD1773" i="1"/>
  <c r="W1771" i="1"/>
  <c r="R1772" i="1"/>
  <c r="Y1771" i="1"/>
  <c r="AV1772" i="1" l="1"/>
  <c r="AD1774" i="1"/>
  <c r="Q1774" i="1"/>
  <c r="T1773" i="1"/>
  <c r="AL1773" i="1"/>
  <c r="W1772" i="1"/>
  <c r="Y1772" i="1"/>
  <c r="R1773" i="1"/>
  <c r="AL1774" i="1" l="1"/>
  <c r="Q1775" i="1"/>
  <c r="T1774" i="1"/>
  <c r="AV1773" i="1"/>
  <c r="AD1775" i="1"/>
  <c r="Y1773" i="1"/>
  <c r="W1773" i="1"/>
  <c r="R1774" i="1"/>
  <c r="AV1774" i="1" l="1"/>
  <c r="AD1776" i="1"/>
  <c r="Q1776" i="1"/>
  <c r="T1775" i="1"/>
  <c r="AL1775" i="1"/>
  <c r="R1775" i="1"/>
  <c r="Y1774" i="1"/>
  <c r="W1774" i="1"/>
  <c r="AL1776" i="1" l="1"/>
  <c r="Q1777" i="1"/>
  <c r="T1776" i="1"/>
  <c r="AV1775" i="1"/>
  <c r="AD1777" i="1"/>
  <c r="R1776" i="1"/>
  <c r="W1775" i="1"/>
  <c r="Y1775" i="1"/>
  <c r="AV1776" i="1" l="1"/>
  <c r="AD1778" i="1"/>
  <c r="Q1778" i="1"/>
  <c r="T1777" i="1"/>
  <c r="AL1777" i="1"/>
  <c r="Y1776" i="1"/>
  <c r="R1777" i="1"/>
  <c r="W1776" i="1"/>
  <c r="AL1778" i="1" l="1"/>
  <c r="Q1779" i="1"/>
  <c r="T1778" i="1"/>
  <c r="AV1777" i="1"/>
  <c r="AD1779" i="1"/>
  <c r="R1778" i="1"/>
  <c r="Y1777" i="1"/>
  <c r="W1777" i="1"/>
  <c r="AV1778" i="1" l="1"/>
  <c r="AD1780" i="1"/>
  <c r="Q1780" i="1"/>
  <c r="T1779" i="1"/>
  <c r="AL1779" i="1"/>
  <c r="W1778" i="1"/>
  <c r="Y1778" i="1"/>
  <c r="R1779" i="1"/>
  <c r="AL1780" i="1" l="1"/>
  <c r="Q1781" i="1"/>
  <c r="T1780" i="1"/>
  <c r="AV1779" i="1"/>
  <c r="AD1781" i="1"/>
  <c r="R1780" i="1"/>
  <c r="Y1779" i="1"/>
  <c r="W1779" i="1"/>
  <c r="AV1780" i="1" l="1"/>
  <c r="AD1782" i="1"/>
  <c r="Q1782" i="1"/>
  <c r="T1781" i="1"/>
  <c r="AL1781" i="1"/>
  <c r="R1781" i="1"/>
  <c r="Y1780" i="1"/>
  <c r="W1780" i="1"/>
  <c r="AL1782" i="1" l="1"/>
  <c r="Q1783" i="1"/>
  <c r="T1782" i="1"/>
  <c r="AV1781" i="1"/>
  <c r="AD1783" i="1"/>
  <c r="R1782" i="1"/>
  <c r="W1781" i="1"/>
  <c r="Y1781" i="1"/>
  <c r="AV1782" i="1" l="1"/>
  <c r="AD1784" i="1"/>
  <c r="Q1784" i="1"/>
  <c r="T1783" i="1"/>
  <c r="AL1783" i="1"/>
  <c r="R1783" i="1"/>
  <c r="Y1782" i="1"/>
  <c r="W1782" i="1"/>
  <c r="AL1784" i="1" l="1"/>
  <c r="Q1785" i="1"/>
  <c r="T1784" i="1"/>
  <c r="AV1783" i="1"/>
  <c r="AD1785" i="1"/>
  <c r="R1784" i="1"/>
  <c r="Y1783" i="1"/>
  <c r="W1783" i="1"/>
  <c r="AV1784" i="1" l="1"/>
  <c r="AD1786" i="1"/>
  <c r="Q1786" i="1"/>
  <c r="T1785" i="1"/>
  <c r="AL1785" i="1"/>
  <c r="W1784" i="1"/>
  <c r="Y1784" i="1"/>
  <c r="R1785" i="1"/>
  <c r="AL1786" i="1" l="1"/>
  <c r="Q1787" i="1"/>
  <c r="T1786" i="1"/>
  <c r="AV1785" i="1"/>
  <c r="AD1787" i="1"/>
  <c r="R1786" i="1"/>
  <c r="Y1785" i="1"/>
  <c r="W1785" i="1"/>
  <c r="AV1786" i="1" l="1"/>
  <c r="AD1788" i="1"/>
  <c r="Q1788" i="1"/>
  <c r="T1787" i="1"/>
  <c r="AL1787" i="1"/>
  <c r="R1787" i="1"/>
  <c r="W1786" i="1"/>
  <c r="Y1786" i="1"/>
  <c r="AL1788" i="1" l="1"/>
  <c r="Q1789" i="1"/>
  <c r="T1788" i="1"/>
  <c r="AV1787" i="1"/>
  <c r="AD1789" i="1"/>
  <c r="R1788" i="1"/>
  <c r="W1787" i="1"/>
  <c r="Y1787" i="1"/>
  <c r="AV1788" i="1" l="1"/>
  <c r="AD1790" i="1"/>
  <c r="Q1790" i="1"/>
  <c r="T1789" i="1"/>
  <c r="AL1789" i="1"/>
  <c r="R1789" i="1"/>
  <c r="Y1788" i="1"/>
  <c r="W1788" i="1"/>
  <c r="AL1790" i="1" l="1"/>
  <c r="Q1791" i="1"/>
  <c r="T1790" i="1"/>
  <c r="AV1789" i="1"/>
  <c r="AD1791" i="1"/>
  <c r="Y1789" i="1"/>
  <c r="R1790" i="1"/>
  <c r="W1789" i="1"/>
  <c r="AV1790" i="1" l="1"/>
  <c r="AD1792" i="1"/>
  <c r="Q1792" i="1"/>
  <c r="T1791" i="1"/>
  <c r="AL1791" i="1"/>
  <c r="R1791" i="1"/>
  <c r="W1790" i="1"/>
  <c r="Y1790" i="1"/>
  <c r="AL1792" i="1" l="1"/>
  <c r="Q1793" i="1"/>
  <c r="T1792" i="1"/>
  <c r="AV1791" i="1"/>
  <c r="AD1793" i="1"/>
  <c r="W1791" i="1"/>
  <c r="Y1791" i="1"/>
  <c r="R1792" i="1"/>
  <c r="AV1792" i="1" l="1"/>
  <c r="AD1794" i="1"/>
  <c r="Q1794" i="1"/>
  <c r="T1793" i="1"/>
  <c r="AL1793" i="1"/>
  <c r="W1792" i="1"/>
  <c r="R1793" i="1"/>
  <c r="Y1792" i="1"/>
  <c r="AL1794" i="1" l="1"/>
  <c r="Q1795" i="1"/>
  <c r="T1794" i="1"/>
  <c r="AV1793" i="1"/>
  <c r="AD1795" i="1"/>
  <c r="W1793" i="1"/>
  <c r="R1794" i="1"/>
  <c r="Y1793" i="1"/>
  <c r="AV1794" i="1" l="1"/>
  <c r="AD1796" i="1"/>
  <c r="Q1796" i="1"/>
  <c r="T1795" i="1"/>
  <c r="AL1795" i="1"/>
  <c r="Y1794" i="1"/>
  <c r="R1795" i="1"/>
  <c r="W1794" i="1"/>
  <c r="AL1796" i="1" l="1"/>
  <c r="Q1797" i="1"/>
  <c r="T1796" i="1"/>
  <c r="AV1795" i="1"/>
  <c r="AD1797" i="1"/>
  <c r="Y1795" i="1"/>
  <c r="R1796" i="1"/>
  <c r="W1795" i="1"/>
  <c r="AV1796" i="1" l="1"/>
  <c r="AD1798" i="1"/>
  <c r="Q1798" i="1"/>
  <c r="T1797" i="1"/>
  <c r="AL1797" i="1"/>
  <c r="Y1796" i="1"/>
  <c r="W1796" i="1"/>
  <c r="R1797" i="1"/>
  <c r="AL1798" i="1" l="1"/>
  <c r="Q1799" i="1"/>
  <c r="T1798" i="1"/>
  <c r="AV1797" i="1"/>
  <c r="AD1799" i="1"/>
  <c r="Y1797" i="1"/>
  <c r="R1798" i="1"/>
  <c r="W1797" i="1"/>
  <c r="AV1798" i="1" l="1"/>
  <c r="AD1800" i="1"/>
  <c r="Q1800" i="1"/>
  <c r="T1799" i="1"/>
  <c r="AL1799" i="1"/>
  <c r="Y1798" i="1"/>
  <c r="W1798" i="1"/>
  <c r="R1799" i="1"/>
  <c r="AL1800" i="1" l="1"/>
  <c r="Q1801" i="1"/>
  <c r="T1800" i="1"/>
  <c r="AV1799" i="1"/>
  <c r="AD1801" i="1"/>
  <c r="W1799" i="1"/>
  <c r="R1800" i="1"/>
  <c r="Y1799" i="1"/>
  <c r="AV1800" i="1" l="1"/>
  <c r="AD1802" i="1"/>
  <c r="Q1802" i="1"/>
  <c r="T1801" i="1"/>
  <c r="AL1801" i="1"/>
  <c r="Y1800" i="1"/>
  <c r="R1801" i="1"/>
  <c r="W1800" i="1"/>
  <c r="AL1802" i="1" l="1"/>
  <c r="Q1803" i="1"/>
  <c r="T1802" i="1"/>
  <c r="AV1801" i="1"/>
  <c r="AD1803" i="1"/>
  <c r="W1801" i="1"/>
  <c r="R1802" i="1"/>
  <c r="Y1801" i="1"/>
  <c r="AV1802" i="1" l="1"/>
  <c r="AD1804" i="1"/>
  <c r="Q1804" i="1"/>
  <c r="T1803" i="1"/>
  <c r="AL1803" i="1"/>
  <c r="Y1802" i="1"/>
  <c r="W1802" i="1"/>
  <c r="R1803" i="1"/>
  <c r="AL1804" i="1" l="1"/>
  <c r="Q1805" i="1"/>
  <c r="T1804" i="1"/>
  <c r="AV1803" i="1"/>
  <c r="AD1805" i="1"/>
  <c r="Y1803" i="1"/>
  <c r="W1803" i="1"/>
  <c r="R1804" i="1"/>
  <c r="AV1804" i="1" l="1"/>
  <c r="AD1806" i="1"/>
  <c r="Q1806" i="1"/>
  <c r="T1805" i="1"/>
  <c r="AL1805" i="1"/>
  <c r="R1805" i="1"/>
  <c r="Y1804" i="1"/>
  <c r="W1804" i="1"/>
  <c r="AL1806" i="1" l="1"/>
  <c r="Q1807" i="1"/>
  <c r="T1806" i="1"/>
  <c r="AV1805" i="1"/>
  <c r="AD1807" i="1"/>
  <c r="R1806" i="1"/>
  <c r="W1805" i="1"/>
  <c r="Y1805" i="1"/>
  <c r="AV1806" i="1" l="1"/>
  <c r="AD1808" i="1"/>
  <c r="Q1808" i="1"/>
  <c r="T1807" i="1"/>
  <c r="AL1807" i="1"/>
  <c r="R1807" i="1"/>
  <c r="Y1806" i="1"/>
  <c r="W1806" i="1"/>
  <c r="AL1808" i="1" l="1"/>
  <c r="Q1809" i="1"/>
  <c r="T1808" i="1"/>
  <c r="AV1807" i="1"/>
  <c r="AD1809" i="1"/>
  <c r="Y1807" i="1"/>
  <c r="R1808" i="1"/>
  <c r="W1807" i="1"/>
  <c r="AV1808" i="1" l="1"/>
  <c r="AD1810" i="1"/>
  <c r="Q1810" i="1"/>
  <c r="T1809" i="1"/>
  <c r="AL1809" i="1"/>
  <c r="Y1808" i="1"/>
  <c r="R1809" i="1"/>
  <c r="W1808" i="1"/>
  <c r="AL1810" i="1" l="1"/>
  <c r="Q1811" i="1"/>
  <c r="T1810" i="1"/>
  <c r="AV1809" i="1"/>
  <c r="AD1811" i="1"/>
  <c r="W1809" i="1"/>
  <c r="R1810" i="1"/>
  <c r="Y1809" i="1"/>
  <c r="AV1810" i="1" l="1"/>
  <c r="AD1812" i="1"/>
  <c r="Q1812" i="1"/>
  <c r="T1811" i="1"/>
  <c r="AL1811" i="1"/>
  <c r="R1811" i="1"/>
  <c r="Y1810" i="1"/>
  <c r="W1810" i="1"/>
  <c r="AL1812" i="1" l="1"/>
  <c r="Q1813" i="1"/>
  <c r="T1812" i="1"/>
  <c r="AV1811" i="1"/>
  <c r="AD1813" i="1"/>
  <c r="Y1811" i="1"/>
  <c r="R1812" i="1"/>
  <c r="W1811" i="1"/>
  <c r="AV1812" i="1" l="1"/>
  <c r="AD1814" i="1"/>
  <c r="Q1814" i="1"/>
  <c r="T1813" i="1"/>
  <c r="AL1813" i="1"/>
  <c r="Y1812" i="1"/>
  <c r="R1813" i="1"/>
  <c r="W1812" i="1"/>
  <c r="AL1814" i="1" l="1"/>
  <c r="Q1815" i="1"/>
  <c r="T1814" i="1"/>
  <c r="AV1813" i="1"/>
  <c r="AD1815" i="1"/>
  <c r="R1814" i="1"/>
  <c r="Y1813" i="1"/>
  <c r="W1813" i="1"/>
  <c r="AV1814" i="1" l="1"/>
  <c r="AD1816" i="1"/>
  <c r="Q1816" i="1"/>
  <c r="T1815" i="1"/>
  <c r="AL1815" i="1"/>
  <c r="Y1814" i="1"/>
  <c r="W1814" i="1"/>
  <c r="R1815" i="1"/>
  <c r="AL1816" i="1" l="1"/>
  <c r="Q1817" i="1"/>
  <c r="T1816" i="1"/>
  <c r="AV1815" i="1"/>
  <c r="AD1817" i="1"/>
  <c r="Y1815" i="1"/>
  <c r="W1815" i="1"/>
  <c r="R1816" i="1"/>
  <c r="AV1816" i="1" l="1"/>
  <c r="AD1818" i="1"/>
  <c r="Q1818" i="1"/>
  <c r="T1817" i="1"/>
  <c r="AL1817" i="1"/>
  <c r="Y1816" i="1"/>
  <c r="R1817" i="1"/>
  <c r="W1816" i="1"/>
  <c r="AL1818" i="1" l="1"/>
  <c r="Q1819" i="1"/>
  <c r="T1818" i="1"/>
  <c r="AV1817" i="1"/>
  <c r="AD1819" i="1"/>
  <c r="Y1817" i="1"/>
  <c r="W1817" i="1"/>
  <c r="R1818" i="1"/>
  <c r="AV1818" i="1" l="1"/>
  <c r="AD1820" i="1"/>
  <c r="Q1820" i="1"/>
  <c r="T1819" i="1"/>
  <c r="AL1819" i="1"/>
  <c r="Y1818" i="1"/>
  <c r="R1819" i="1"/>
  <c r="W1818" i="1"/>
  <c r="AL1820" i="1" l="1"/>
  <c r="Q1821" i="1"/>
  <c r="T1820" i="1"/>
  <c r="AV1819" i="1"/>
  <c r="AD1821" i="1"/>
  <c r="Y1819" i="1"/>
  <c r="W1819" i="1"/>
  <c r="R1820" i="1"/>
  <c r="AV1820" i="1" l="1"/>
  <c r="AD1822" i="1"/>
  <c r="Q1822" i="1"/>
  <c r="T1821" i="1"/>
  <c r="AL1821" i="1"/>
  <c r="Y1820" i="1"/>
  <c r="W1820" i="1"/>
  <c r="R1821" i="1"/>
  <c r="AL1822" i="1" l="1"/>
  <c r="Q1823" i="1"/>
  <c r="T1822" i="1"/>
  <c r="AV1821" i="1"/>
  <c r="AD1823" i="1"/>
  <c r="W1821" i="1"/>
  <c r="Y1821" i="1"/>
  <c r="R1822" i="1"/>
  <c r="AV1822" i="1" l="1"/>
  <c r="AD1824" i="1"/>
  <c r="Q1824" i="1"/>
  <c r="T1823" i="1"/>
  <c r="AL1823" i="1"/>
  <c r="R1823" i="1"/>
  <c r="W1822" i="1"/>
  <c r="Y1822" i="1"/>
  <c r="AL1824" i="1" l="1"/>
  <c r="Q1825" i="1"/>
  <c r="T1824" i="1"/>
  <c r="AV1823" i="1"/>
  <c r="AD1825" i="1"/>
  <c r="Y1823" i="1"/>
  <c r="R1824" i="1"/>
  <c r="W1823" i="1"/>
  <c r="AV1824" i="1" l="1"/>
  <c r="AD1826" i="1"/>
  <c r="Q1826" i="1"/>
  <c r="T1825" i="1"/>
  <c r="AL1825" i="1"/>
  <c r="Y1824" i="1"/>
  <c r="W1824" i="1"/>
  <c r="R1825" i="1"/>
  <c r="AL1826" i="1" l="1"/>
  <c r="Q1827" i="1"/>
  <c r="T1826" i="1"/>
  <c r="AV1825" i="1"/>
  <c r="AD1827" i="1"/>
  <c r="W1825" i="1"/>
  <c r="Y1825" i="1"/>
  <c r="R1826" i="1"/>
  <c r="AV1826" i="1" l="1"/>
  <c r="AD1828" i="1"/>
  <c r="Q1828" i="1"/>
  <c r="T1827" i="1"/>
  <c r="AL1827" i="1"/>
  <c r="R1827" i="1"/>
  <c r="Y1826" i="1"/>
  <c r="W1826" i="1"/>
  <c r="AL1828" i="1" l="1"/>
  <c r="Q1829" i="1"/>
  <c r="T1828" i="1"/>
  <c r="AV1827" i="1"/>
  <c r="AD1829" i="1"/>
  <c r="Y1827" i="1"/>
  <c r="W1827" i="1"/>
  <c r="R1828" i="1"/>
  <c r="AV1828" i="1" l="1"/>
  <c r="AD1830" i="1"/>
  <c r="Q1830" i="1"/>
  <c r="T1829" i="1"/>
  <c r="AL1829" i="1"/>
  <c r="Y1828" i="1"/>
  <c r="R1829" i="1"/>
  <c r="W1828" i="1"/>
  <c r="AL1830" i="1" l="1"/>
  <c r="Q1831" i="1"/>
  <c r="T1830" i="1"/>
  <c r="AV1829" i="1"/>
  <c r="AD1831" i="1"/>
  <c r="R1830" i="1"/>
  <c r="Y1829" i="1"/>
  <c r="W1829" i="1"/>
  <c r="AV1830" i="1" l="1"/>
  <c r="AD1832" i="1"/>
  <c r="Q1832" i="1"/>
  <c r="T1831" i="1"/>
  <c r="AL1831" i="1"/>
  <c r="R1831" i="1"/>
  <c r="W1830" i="1"/>
  <c r="Y1830" i="1"/>
  <c r="AL1832" i="1" l="1"/>
  <c r="Q1833" i="1"/>
  <c r="T1832" i="1"/>
  <c r="AV1831" i="1"/>
  <c r="AD1833" i="1"/>
  <c r="W1831" i="1"/>
  <c r="R1832" i="1"/>
  <c r="Y1831" i="1"/>
  <c r="AV1832" i="1" l="1"/>
  <c r="AD1834" i="1"/>
  <c r="Q1834" i="1"/>
  <c r="T1833" i="1"/>
  <c r="AL1833" i="1"/>
  <c r="Y1832" i="1"/>
  <c r="W1832" i="1"/>
  <c r="R1833" i="1"/>
  <c r="AL1834" i="1" l="1"/>
  <c r="Q1835" i="1"/>
  <c r="T1834" i="1"/>
  <c r="AV1833" i="1"/>
  <c r="AD1835" i="1"/>
  <c r="W1833" i="1"/>
  <c r="R1834" i="1"/>
  <c r="Y1833" i="1"/>
  <c r="AV1834" i="1" l="1"/>
  <c r="AD1836" i="1"/>
  <c r="Q1836" i="1"/>
  <c r="T1835" i="1"/>
  <c r="AL1835" i="1"/>
  <c r="R1835" i="1"/>
  <c r="Y1834" i="1"/>
  <c r="W1834" i="1"/>
  <c r="AL1836" i="1" l="1"/>
  <c r="Q1837" i="1"/>
  <c r="T1836" i="1"/>
  <c r="AV1835" i="1"/>
  <c r="AD1837" i="1"/>
  <c r="R1836" i="1"/>
  <c r="Y1835" i="1"/>
  <c r="W1835" i="1"/>
  <c r="AV1836" i="1" l="1"/>
  <c r="AD1838" i="1"/>
  <c r="Q1838" i="1"/>
  <c r="T1837" i="1"/>
  <c r="AL1837" i="1"/>
  <c r="W1836" i="1"/>
  <c r="R1837" i="1"/>
  <c r="Y1836" i="1"/>
  <c r="AL1838" i="1" l="1"/>
  <c r="Q1839" i="1"/>
  <c r="T1838" i="1"/>
  <c r="AV1837" i="1"/>
  <c r="AD1839" i="1"/>
  <c r="W1837" i="1"/>
  <c r="Y1837" i="1"/>
  <c r="R1838" i="1"/>
  <c r="AV1838" i="1" l="1"/>
  <c r="AD1840" i="1"/>
  <c r="Q1840" i="1"/>
  <c r="T1839" i="1"/>
  <c r="AL1839" i="1"/>
  <c r="Y1838" i="1"/>
  <c r="R1839" i="1"/>
  <c r="W1838" i="1"/>
  <c r="AL1840" i="1" l="1"/>
  <c r="Q1841" i="1"/>
  <c r="T1840" i="1"/>
  <c r="AV1839" i="1"/>
  <c r="AD1841" i="1"/>
  <c r="Y1839" i="1"/>
  <c r="R1840" i="1"/>
  <c r="W1839" i="1"/>
  <c r="AV1840" i="1" l="1"/>
  <c r="AD1842" i="1"/>
  <c r="Q1842" i="1"/>
  <c r="T1841" i="1"/>
  <c r="AL1841" i="1"/>
  <c r="W1840" i="1"/>
  <c r="R1841" i="1"/>
  <c r="Y1840" i="1"/>
  <c r="AL1842" i="1" l="1"/>
  <c r="Q1843" i="1"/>
  <c r="T1842" i="1"/>
  <c r="AV1841" i="1"/>
  <c r="AD1843" i="1"/>
  <c r="R1842" i="1"/>
  <c r="Y1841" i="1"/>
  <c r="W1841" i="1"/>
  <c r="AV1842" i="1" l="1"/>
  <c r="AD1844" i="1"/>
  <c r="Q1844" i="1"/>
  <c r="T1843" i="1"/>
  <c r="AL1843" i="1"/>
  <c r="R1843" i="1"/>
  <c r="W1842" i="1"/>
  <c r="Y1842" i="1"/>
  <c r="AL1844" i="1" l="1"/>
  <c r="Q1845" i="1"/>
  <c r="T1844" i="1"/>
  <c r="AV1843" i="1"/>
  <c r="AD1845" i="1"/>
  <c r="W1843" i="1"/>
  <c r="Y1843" i="1"/>
  <c r="R1844" i="1"/>
  <c r="AV1844" i="1" l="1"/>
  <c r="AD1846" i="1"/>
  <c r="Q1846" i="1"/>
  <c r="T1845" i="1"/>
  <c r="AL1845" i="1"/>
  <c r="W1844" i="1"/>
  <c r="Y1844" i="1"/>
  <c r="R1845" i="1"/>
  <c r="AL1846" i="1" l="1"/>
  <c r="Q1847" i="1"/>
  <c r="T1846" i="1"/>
  <c r="AV1845" i="1"/>
  <c r="AD1847" i="1"/>
  <c r="R1846" i="1"/>
  <c r="W1845" i="1"/>
  <c r="Y1845" i="1"/>
  <c r="AV1846" i="1" l="1"/>
  <c r="AD1848" i="1"/>
  <c r="Q1848" i="1"/>
  <c r="T1847" i="1"/>
  <c r="AL1847" i="1"/>
  <c r="Y1846" i="1"/>
  <c r="W1846" i="1"/>
  <c r="R1847" i="1"/>
  <c r="AL1848" i="1" l="1"/>
  <c r="Q1849" i="1"/>
  <c r="T1848" i="1"/>
  <c r="AV1847" i="1"/>
  <c r="AD1849" i="1"/>
  <c r="W1847" i="1"/>
  <c r="R1848" i="1"/>
  <c r="Y1847" i="1"/>
  <c r="AV1848" i="1" l="1"/>
  <c r="AD1850" i="1"/>
  <c r="Q1850" i="1"/>
  <c r="T1849" i="1"/>
  <c r="AL1849" i="1"/>
  <c r="R1849" i="1"/>
  <c r="Y1848" i="1"/>
  <c r="W1848" i="1"/>
  <c r="AL1850" i="1" l="1"/>
  <c r="Q1851" i="1"/>
  <c r="T1850" i="1"/>
  <c r="AV1849" i="1"/>
  <c r="AD1851" i="1"/>
  <c r="R1850" i="1"/>
  <c r="Y1849" i="1"/>
  <c r="W1849" i="1"/>
  <c r="AV1850" i="1" l="1"/>
  <c r="AD1852" i="1"/>
  <c r="Q1852" i="1"/>
  <c r="T1851" i="1"/>
  <c r="AL1851" i="1"/>
  <c r="W1850" i="1"/>
  <c r="Y1850" i="1"/>
  <c r="R1851" i="1"/>
  <c r="AL1852" i="1" l="1"/>
  <c r="Q1853" i="1"/>
  <c r="T1852" i="1"/>
  <c r="AV1851" i="1"/>
  <c r="AD1853" i="1"/>
  <c r="Y1851" i="1"/>
  <c r="W1851" i="1"/>
  <c r="R1852" i="1"/>
  <c r="AV1852" i="1" l="1"/>
  <c r="AD1854" i="1"/>
  <c r="Q1854" i="1"/>
  <c r="T1853" i="1"/>
  <c r="AL1853" i="1"/>
  <c r="Y1852" i="1"/>
  <c r="W1852" i="1"/>
  <c r="R1853" i="1"/>
  <c r="AL1854" i="1" l="1"/>
  <c r="Q1855" i="1"/>
  <c r="T1854" i="1"/>
  <c r="AV1853" i="1"/>
  <c r="AD1855" i="1"/>
  <c r="Y1853" i="1"/>
  <c r="R1854" i="1"/>
  <c r="W1853" i="1"/>
  <c r="AV1854" i="1" l="1"/>
  <c r="AD1856" i="1"/>
  <c r="Q1856" i="1"/>
  <c r="T1855" i="1"/>
  <c r="AL1855" i="1"/>
  <c r="W1854" i="1"/>
  <c r="Y1854" i="1"/>
  <c r="R1855" i="1"/>
  <c r="AL1856" i="1" l="1"/>
  <c r="Q1857" i="1"/>
  <c r="T1856" i="1"/>
  <c r="AV1855" i="1"/>
  <c r="AD1857" i="1"/>
  <c r="W1855" i="1"/>
  <c r="Y1855" i="1"/>
  <c r="R1856" i="1"/>
  <c r="AV1856" i="1" l="1"/>
  <c r="AD1858" i="1"/>
  <c r="Q1858" i="1"/>
  <c r="T1857" i="1"/>
  <c r="AL1857" i="1"/>
  <c r="Y1856" i="1"/>
  <c r="R1857" i="1"/>
  <c r="W1856" i="1"/>
  <c r="AL1858" i="1" l="1"/>
  <c r="Q1859" i="1"/>
  <c r="T1858" i="1"/>
  <c r="AV1857" i="1"/>
  <c r="AD1859" i="1"/>
  <c r="W1857" i="1"/>
  <c r="R1858" i="1"/>
  <c r="Y1857" i="1"/>
  <c r="AV1858" i="1" l="1"/>
  <c r="AD1860" i="1"/>
  <c r="Q1860" i="1"/>
  <c r="T1859" i="1"/>
  <c r="AL1859" i="1"/>
  <c r="W1858" i="1"/>
  <c r="Y1858" i="1"/>
  <c r="R1859" i="1"/>
  <c r="AL1860" i="1" l="1"/>
  <c r="Q1861" i="1"/>
  <c r="T1860" i="1"/>
  <c r="AV1859" i="1"/>
  <c r="AD1861" i="1"/>
  <c r="W1859" i="1"/>
  <c r="Y1859" i="1"/>
  <c r="R1860" i="1"/>
  <c r="AV1860" i="1" l="1"/>
  <c r="AD1862" i="1"/>
  <c r="Q1862" i="1"/>
  <c r="T1861" i="1"/>
  <c r="AL1861" i="1"/>
  <c r="W1860" i="1"/>
  <c r="Y1860" i="1"/>
  <c r="R1861" i="1"/>
  <c r="AL1862" i="1" l="1"/>
  <c r="Q1863" i="1"/>
  <c r="T1862" i="1"/>
  <c r="AV1861" i="1"/>
  <c r="AD1863" i="1"/>
  <c r="R1862" i="1"/>
  <c r="W1861" i="1"/>
  <c r="Y1861" i="1"/>
  <c r="AV1862" i="1" l="1"/>
  <c r="AD1864" i="1"/>
  <c r="Q1864" i="1"/>
  <c r="T1863" i="1"/>
  <c r="AL1863" i="1"/>
  <c r="Y1862" i="1"/>
  <c r="R1863" i="1"/>
  <c r="W1862" i="1"/>
  <c r="AL1864" i="1" l="1"/>
  <c r="Q1865" i="1"/>
  <c r="T1864" i="1"/>
  <c r="AV1863" i="1"/>
  <c r="AD1865" i="1"/>
  <c r="R1864" i="1"/>
  <c r="W1863" i="1"/>
  <c r="Y1863" i="1"/>
  <c r="AV1864" i="1" l="1"/>
  <c r="AD1866" i="1"/>
  <c r="Q1866" i="1"/>
  <c r="T1865" i="1"/>
  <c r="AL1865" i="1"/>
  <c r="R1865" i="1"/>
  <c r="Y1864" i="1"/>
  <c r="W1864" i="1"/>
  <c r="AL1866" i="1" l="1"/>
  <c r="Q1867" i="1"/>
  <c r="T1866" i="1"/>
  <c r="AV1865" i="1"/>
  <c r="AD1867" i="1"/>
  <c r="R1866" i="1"/>
  <c r="W1865" i="1"/>
  <c r="Y1865" i="1"/>
  <c r="AV1866" i="1" l="1"/>
  <c r="AD1868" i="1"/>
  <c r="Q1868" i="1"/>
  <c r="T1867" i="1"/>
  <c r="AL1867" i="1"/>
  <c r="R1867" i="1"/>
  <c r="Y1866" i="1"/>
  <c r="W1866" i="1"/>
  <c r="AL1868" i="1" l="1"/>
  <c r="Q1869" i="1"/>
  <c r="T1868" i="1"/>
  <c r="AV1867" i="1"/>
  <c r="AD1869" i="1"/>
  <c r="Y1867" i="1"/>
  <c r="W1867" i="1"/>
  <c r="R1868" i="1"/>
  <c r="AV1868" i="1" l="1"/>
  <c r="AD1870" i="1"/>
  <c r="Q1870" i="1"/>
  <c r="T1869" i="1"/>
  <c r="AL1869" i="1"/>
  <c r="W1868" i="1"/>
  <c r="R1869" i="1"/>
  <c r="Y1868" i="1"/>
  <c r="AL1870" i="1" l="1"/>
  <c r="Q1871" i="1"/>
  <c r="T1870" i="1"/>
  <c r="AV1869" i="1"/>
  <c r="AD1871" i="1"/>
  <c r="W1869" i="1"/>
  <c r="Y1869" i="1"/>
  <c r="R1870" i="1"/>
  <c r="AV1870" i="1" l="1"/>
  <c r="AD1872" i="1"/>
  <c r="Q1872" i="1"/>
  <c r="T1871" i="1"/>
  <c r="AL1871" i="1"/>
  <c r="R1871" i="1"/>
  <c r="W1870" i="1"/>
  <c r="Y1870" i="1"/>
  <c r="AL1872" i="1" l="1"/>
  <c r="Q1873" i="1"/>
  <c r="T1872" i="1"/>
  <c r="AV1871" i="1"/>
  <c r="AD1873" i="1"/>
  <c r="Y1871" i="1"/>
  <c r="R1872" i="1"/>
  <c r="W1871" i="1"/>
  <c r="AV1872" i="1" l="1"/>
  <c r="AD1874" i="1"/>
  <c r="Q1874" i="1"/>
  <c r="T1873" i="1"/>
  <c r="AL1873" i="1"/>
  <c r="Y1872" i="1"/>
  <c r="R1873" i="1"/>
  <c r="W1872" i="1"/>
  <c r="AL1874" i="1" l="1"/>
  <c r="Q1875" i="1"/>
  <c r="T1874" i="1"/>
  <c r="AV1873" i="1"/>
  <c r="AD1875" i="1"/>
  <c r="W1873" i="1"/>
  <c r="R1874" i="1"/>
  <c r="Y1873" i="1"/>
  <c r="AV1874" i="1" l="1"/>
  <c r="AD1876" i="1"/>
  <c r="Q1876" i="1"/>
  <c r="T1875" i="1"/>
  <c r="AL1875" i="1"/>
  <c r="W1874" i="1"/>
  <c r="R1875" i="1"/>
  <c r="Y1874" i="1"/>
  <c r="AL1876" i="1" l="1"/>
  <c r="Q1877" i="1"/>
  <c r="T1876" i="1"/>
  <c r="AV1875" i="1"/>
  <c r="AD1877" i="1"/>
  <c r="Y1875" i="1"/>
  <c r="R1876" i="1"/>
  <c r="W1875" i="1"/>
  <c r="AV1876" i="1" l="1"/>
  <c r="AD1878" i="1"/>
  <c r="Q1878" i="1"/>
  <c r="T1877" i="1"/>
  <c r="AL1877" i="1"/>
  <c r="R1877" i="1"/>
  <c r="Y1876" i="1"/>
  <c r="W1876" i="1"/>
  <c r="AL1878" i="1" l="1"/>
  <c r="Q1879" i="1"/>
  <c r="T1878" i="1"/>
  <c r="AV1877" i="1"/>
  <c r="AD1879" i="1"/>
  <c r="Y1877" i="1"/>
  <c r="R1878" i="1"/>
  <c r="W1877" i="1"/>
  <c r="AV1878" i="1" l="1"/>
  <c r="AD1880" i="1"/>
  <c r="Q1880" i="1"/>
  <c r="T1879" i="1"/>
  <c r="AL1879" i="1"/>
  <c r="Y1878" i="1"/>
  <c r="W1878" i="1"/>
  <c r="R1879" i="1"/>
  <c r="AL1880" i="1" l="1"/>
  <c r="Q1881" i="1"/>
  <c r="T1880" i="1"/>
  <c r="AV1879" i="1"/>
  <c r="AD1881" i="1"/>
  <c r="W1879" i="1"/>
  <c r="Y1879" i="1"/>
  <c r="R1880" i="1"/>
  <c r="AV1880" i="1" l="1"/>
  <c r="AD1882" i="1"/>
  <c r="Q1882" i="1"/>
  <c r="T1881" i="1"/>
  <c r="AL1881" i="1"/>
  <c r="Y1880" i="1"/>
  <c r="W1880" i="1"/>
  <c r="R1881" i="1"/>
  <c r="AL1882" i="1" l="1"/>
  <c r="Q1883" i="1"/>
  <c r="T1882" i="1"/>
  <c r="AV1881" i="1"/>
  <c r="AD1883" i="1"/>
  <c r="Y1881" i="1"/>
  <c r="W1881" i="1"/>
  <c r="R1882" i="1"/>
  <c r="AV1882" i="1" l="1"/>
  <c r="AD1884" i="1"/>
  <c r="Q1884" i="1"/>
  <c r="T1883" i="1"/>
  <c r="AL1883" i="1"/>
  <c r="R1883" i="1"/>
  <c r="W1882" i="1"/>
  <c r="Y1882" i="1"/>
  <c r="AL1884" i="1" l="1"/>
  <c r="Q1885" i="1"/>
  <c r="T1884" i="1"/>
  <c r="AV1883" i="1"/>
  <c r="AD1885" i="1"/>
  <c r="R1884" i="1"/>
  <c r="W1883" i="1"/>
  <c r="Y1883" i="1"/>
  <c r="AV1884" i="1" l="1"/>
  <c r="AD1886" i="1"/>
  <c r="Q1886" i="1"/>
  <c r="T1885" i="1"/>
  <c r="AL1885" i="1"/>
  <c r="R1885" i="1"/>
  <c r="W1884" i="1"/>
  <c r="Y1884" i="1"/>
  <c r="AL1886" i="1" l="1"/>
  <c r="Q1887" i="1"/>
  <c r="T1886" i="1"/>
  <c r="AV1885" i="1"/>
  <c r="AD1887" i="1"/>
  <c r="W1885" i="1"/>
  <c r="Y1885" i="1"/>
  <c r="R1886" i="1"/>
  <c r="AV1886" i="1" l="1"/>
  <c r="AD1888" i="1"/>
  <c r="Q1888" i="1"/>
  <c r="T1887" i="1"/>
  <c r="AL1887" i="1"/>
  <c r="R1887" i="1"/>
  <c r="W1886" i="1"/>
  <c r="Y1886" i="1"/>
  <c r="AL1888" i="1" l="1"/>
  <c r="Q1889" i="1"/>
  <c r="T1888" i="1"/>
  <c r="AV1887" i="1"/>
  <c r="AD1889" i="1"/>
  <c r="W1887" i="1"/>
  <c r="R1888" i="1"/>
  <c r="Y1887" i="1"/>
  <c r="AV1888" i="1" l="1"/>
  <c r="AD1890" i="1"/>
  <c r="Q1890" i="1"/>
  <c r="T1889" i="1"/>
  <c r="AL1889" i="1"/>
  <c r="Y1888" i="1"/>
  <c r="R1889" i="1"/>
  <c r="W1888" i="1"/>
  <c r="AL1890" i="1" l="1"/>
  <c r="Q1891" i="1"/>
  <c r="T1890" i="1"/>
  <c r="AV1889" i="1"/>
  <c r="AD1891" i="1"/>
  <c r="W1889" i="1"/>
  <c r="Y1889" i="1"/>
  <c r="R1890" i="1"/>
  <c r="AV1890" i="1" l="1"/>
  <c r="AD1892" i="1"/>
  <c r="Q1892" i="1"/>
  <c r="T1891" i="1"/>
  <c r="AL1891" i="1"/>
  <c r="R1891" i="1"/>
  <c r="Y1890" i="1"/>
  <c r="W1890" i="1"/>
  <c r="AL1892" i="1" l="1"/>
  <c r="Q1893" i="1"/>
  <c r="T1892" i="1"/>
  <c r="AV1891" i="1"/>
  <c r="AD1893" i="1"/>
  <c r="R1892" i="1"/>
  <c r="Y1891" i="1"/>
  <c r="W1891" i="1"/>
  <c r="AV1892" i="1" l="1"/>
  <c r="AD1894" i="1"/>
  <c r="Q1894" i="1"/>
  <c r="T1893" i="1"/>
  <c r="AL1893" i="1"/>
  <c r="W1892" i="1"/>
  <c r="Y1892" i="1"/>
  <c r="R1893" i="1"/>
  <c r="AL1894" i="1" l="1"/>
  <c r="Q1895" i="1"/>
  <c r="T1894" i="1"/>
  <c r="AV1893" i="1"/>
  <c r="AD1895" i="1"/>
  <c r="Y1893" i="1"/>
  <c r="R1894" i="1"/>
  <c r="W1893" i="1"/>
  <c r="AV1894" i="1" l="1"/>
  <c r="AD1896" i="1"/>
  <c r="Q1896" i="1"/>
  <c r="T1895" i="1"/>
  <c r="AL1895" i="1"/>
  <c r="Y1894" i="1"/>
  <c r="R1895" i="1"/>
  <c r="W1894" i="1"/>
  <c r="AL1896" i="1" l="1"/>
  <c r="Q1897" i="1"/>
  <c r="T1896" i="1"/>
  <c r="AV1895" i="1"/>
  <c r="AD1897" i="1"/>
  <c r="W1895" i="1"/>
  <c r="R1896" i="1"/>
  <c r="Y1895" i="1"/>
  <c r="AV1896" i="1" l="1"/>
  <c r="AD1898" i="1"/>
  <c r="Q1898" i="1"/>
  <c r="T1897" i="1"/>
  <c r="AL1897" i="1"/>
  <c r="W1896" i="1"/>
  <c r="Y1896" i="1"/>
  <c r="R1897" i="1"/>
  <c r="AL1898" i="1" l="1"/>
  <c r="Q1899" i="1"/>
  <c r="T1898" i="1"/>
  <c r="AV1897" i="1"/>
  <c r="AD1899" i="1"/>
  <c r="W1897" i="1"/>
  <c r="R1898" i="1"/>
  <c r="Y1897" i="1"/>
  <c r="AV1898" i="1" l="1"/>
  <c r="AD1900" i="1"/>
  <c r="Q1900" i="1"/>
  <c r="T1899" i="1"/>
  <c r="AL1899" i="1"/>
  <c r="Y1898" i="1"/>
  <c r="W1898" i="1"/>
  <c r="R1899" i="1"/>
  <c r="AL1900" i="1" l="1"/>
  <c r="Q1901" i="1"/>
  <c r="T1900" i="1"/>
  <c r="AV1899" i="1"/>
  <c r="AD1901" i="1"/>
  <c r="W1899" i="1"/>
  <c r="R1900" i="1"/>
  <c r="Y1899" i="1"/>
  <c r="AV1900" i="1" l="1"/>
  <c r="AD1902" i="1"/>
  <c r="Q1902" i="1"/>
  <c r="T1901" i="1"/>
  <c r="AL1901" i="1"/>
  <c r="W1900" i="1"/>
  <c r="R1901" i="1"/>
  <c r="Y1900" i="1"/>
  <c r="AL1902" i="1" l="1"/>
  <c r="Q1903" i="1"/>
  <c r="T1902" i="1"/>
  <c r="AV1901" i="1"/>
  <c r="AD1903" i="1"/>
  <c r="W1901" i="1"/>
  <c r="Y1901" i="1"/>
  <c r="R1902" i="1"/>
  <c r="AV1902" i="1" l="1"/>
  <c r="AD1904" i="1"/>
  <c r="Q1904" i="1"/>
  <c r="T1903" i="1"/>
  <c r="AL1903" i="1"/>
  <c r="R1903" i="1"/>
  <c r="Y1902" i="1"/>
  <c r="W1902" i="1"/>
  <c r="AL1904" i="1" l="1"/>
  <c r="Q1905" i="1"/>
  <c r="T1904" i="1"/>
  <c r="AV1903" i="1"/>
  <c r="AD1905" i="1"/>
  <c r="W1903" i="1"/>
  <c r="Y1903" i="1"/>
  <c r="R1904" i="1"/>
  <c r="AV1904" i="1" l="1"/>
  <c r="AD1906" i="1"/>
  <c r="Q1906" i="1"/>
  <c r="T1905" i="1"/>
  <c r="AL1905" i="1"/>
  <c r="W1904" i="1"/>
  <c r="Y1904" i="1"/>
  <c r="R1905" i="1"/>
  <c r="AL1906" i="1" l="1"/>
  <c r="Q1907" i="1"/>
  <c r="T1906" i="1"/>
  <c r="AV1905" i="1"/>
  <c r="AD1907" i="1"/>
  <c r="W1905" i="1"/>
  <c r="Y1905" i="1"/>
  <c r="R1906" i="1"/>
  <c r="AV1906" i="1" l="1"/>
  <c r="AD1908" i="1"/>
  <c r="Q1908" i="1"/>
  <c r="T1907" i="1"/>
  <c r="AL1907" i="1"/>
  <c r="R1907" i="1"/>
  <c r="Y1906" i="1"/>
  <c r="W1906" i="1"/>
  <c r="AL1908" i="1" l="1"/>
  <c r="Q1909" i="1"/>
  <c r="T1908" i="1"/>
  <c r="AV1907" i="1"/>
  <c r="AD1909" i="1"/>
  <c r="W1907" i="1"/>
  <c r="Y1907" i="1"/>
  <c r="R1908" i="1"/>
  <c r="AV1908" i="1" l="1"/>
  <c r="AD1910" i="1"/>
  <c r="Q1910" i="1"/>
  <c r="T1909" i="1"/>
  <c r="AL1909" i="1"/>
  <c r="R1909" i="1"/>
  <c r="W1908" i="1"/>
  <c r="Y1908" i="1"/>
  <c r="AL1910" i="1" l="1"/>
  <c r="Q1911" i="1"/>
  <c r="T1910" i="1"/>
  <c r="AV1909" i="1"/>
  <c r="AD1911" i="1"/>
  <c r="W1909" i="1"/>
  <c r="Y1909" i="1"/>
  <c r="R1910" i="1"/>
  <c r="AV1910" i="1" l="1"/>
  <c r="AD1912" i="1"/>
  <c r="Q1912" i="1"/>
  <c r="T1911" i="1"/>
  <c r="AL1911" i="1"/>
  <c r="Y1910" i="1"/>
  <c r="W1910" i="1"/>
  <c r="R1911" i="1"/>
  <c r="AL1912" i="1" l="1"/>
  <c r="Q1913" i="1"/>
  <c r="T1912" i="1"/>
  <c r="AV1911" i="1"/>
  <c r="AD1913" i="1"/>
  <c r="W1911" i="1"/>
  <c r="R1912" i="1"/>
  <c r="Y1911" i="1"/>
  <c r="AV1912" i="1" l="1"/>
  <c r="AD1914" i="1"/>
  <c r="Q1914" i="1"/>
  <c r="T1913" i="1"/>
  <c r="AL1913" i="1"/>
  <c r="R1913" i="1"/>
  <c r="W1912" i="1"/>
  <c r="Y1912" i="1"/>
  <c r="AL1914" i="1" l="1"/>
  <c r="Q1915" i="1"/>
  <c r="T1914" i="1"/>
  <c r="AV1913" i="1"/>
  <c r="AD1915" i="1"/>
  <c r="R1914" i="1"/>
  <c r="W1913" i="1"/>
  <c r="Y1913" i="1"/>
  <c r="AV1914" i="1" l="1"/>
  <c r="AD1916" i="1"/>
  <c r="Q1916" i="1"/>
  <c r="T1915" i="1"/>
  <c r="AL1915" i="1"/>
  <c r="R1915" i="1"/>
  <c r="Y1914" i="1"/>
  <c r="W1914" i="1"/>
  <c r="AL1916" i="1" l="1"/>
  <c r="Q1917" i="1"/>
  <c r="T1916" i="1"/>
  <c r="AV1915" i="1"/>
  <c r="AD1917" i="1"/>
  <c r="R1916" i="1"/>
  <c r="Y1915" i="1"/>
  <c r="W1915" i="1"/>
  <c r="AV1916" i="1" l="1"/>
  <c r="AD1918" i="1"/>
  <c r="Q1918" i="1"/>
  <c r="T1917" i="1"/>
  <c r="AL1917" i="1"/>
  <c r="W1916" i="1"/>
  <c r="R1917" i="1"/>
  <c r="Y1916" i="1"/>
  <c r="AL1918" i="1" l="1"/>
  <c r="Q1919" i="1"/>
  <c r="T1918" i="1"/>
  <c r="AV1917" i="1"/>
  <c r="AD1919" i="1"/>
  <c r="W1917" i="1"/>
  <c r="R1918" i="1"/>
  <c r="Y1917" i="1"/>
  <c r="AV1918" i="1" l="1"/>
  <c r="AD1920" i="1"/>
  <c r="Q1920" i="1"/>
  <c r="T1919" i="1"/>
  <c r="AL1919" i="1"/>
  <c r="R1919" i="1"/>
  <c r="Y1918" i="1"/>
  <c r="W1918" i="1"/>
  <c r="AL1920" i="1" l="1"/>
  <c r="Q1921" i="1"/>
  <c r="T1920" i="1"/>
  <c r="AV1919" i="1"/>
  <c r="AD1921" i="1"/>
  <c r="R1920" i="1"/>
  <c r="W1919" i="1"/>
  <c r="Y1919" i="1"/>
  <c r="AV1920" i="1" l="1"/>
  <c r="AD1922" i="1"/>
  <c r="Q1922" i="1"/>
  <c r="T1921" i="1"/>
  <c r="AL1921" i="1"/>
  <c r="R1921" i="1"/>
  <c r="Y1920" i="1"/>
  <c r="W1920" i="1"/>
  <c r="AL1922" i="1" l="1"/>
  <c r="Q1923" i="1"/>
  <c r="T1922" i="1"/>
  <c r="AV1921" i="1"/>
  <c r="AD1923" i="1"/>
  <c r="W1921" i="1"/>
  <c r="Y1921" i="1"/>
  <c r="R1922" i="1"/>
  <c r="AV1922" i="1" l="1"/>
  <c r="AD1924" i="1"/>
  <c r="Q1924" i="1"/>
  <c r="T1923" i="1"/>
  <c r="AL1923" i="1"/>
  <c r="R1923" i="1"/>
  <c r="W1922" i="1"/>
  <c r="Y1922" i="1"/>
  <c r="AL1924" i="1" l="1"/>
  <c r="Q1925" i="1"/>
  <c r="T1924" i="1"/>
  <c r="AV1923" i="1"/>
  <c r="AD1925" i="1"/>
  <c r="Y1923" i="1"/>
  <c r="W1923" i="1"/>
  <c r="R1924" i="1"/>
  <c r="AV1924" i="1" l="1"/>
  <c r="AD1926" i="1"/>
  <c r="Q1926" i="1"/>
  <c r="T1925" i="1"/>
  <c r="AL1925" i="1"/>
  <c r="Y1924" i="1"/>
  <c r="R1925" i="1"/>
  <c r="W1924" i="1"/>
  <c r="AL1926" i="1" l="1"/>
  <c r="Q1927" i="1"/>
  <c r="T1926" i="1"/>
  <c r="AV1925" i="1"/>
  <c r="AD1927" i="1"/>
  <c r="W1925" i="1"/>
  <c r="Y1925" i="1"/>
  <c r="R1926" i="1"/>
  <c r="AV1926" i="1" l="1"/>
  <c r="AD1928" i="1"/>
  <c r="Q1928" i="1"/>
  <c r="T1927" i="1"/>
  <c r="AL1927" i="1"/>
  <c r="Y1926" i="1"/>
  <c r="R1927" i="1"/>
  <c r="W1926" i="1"/>
  <c r="AL1928" i="1" l="1"/>
  <c r="Q1929" i="1"/>
  <c r="T1928" i="1"/>
  <c r="AV1927" i="1"/>
  <c r="AD1929" i="1"/>
  <c r="W1927" i="1"/>
  <c r="Y1927" i="1"/>
  <c r="R1928" i="1"/>
  <c r="AV1928" i="1" l="1"/>
  <c r="AD1930" i="1"/>
  <c r="Q1930" i="1"/>
  <c r="T1929" i="1"/>
  <c r="AL1929" i="1"/>
  <c r="R1929" i="1"/>
  <c r="Y1928" i="1"/>
  <c r="W1928" i="1"/>
  <c r="AL1930" i="1" l="1"/>
  <c r="Q1931" i="1"/>
  <c r="T1930" i="1"/>
  <c r="AV1929" i="1"/>
  <c r="AD1931" i="1"/>
  <c r="W1929" i="1"/>
  <c r="R1930" i="1"/>
  <c r="Y1929" i="1"/>
  <c r="AV1930" i="1" l="1"/>
  <c r="AD1932" i="1"/>
  <c r="Q1932" i="1"/>
  <c r="T1931" i="1"/>
  <c r="AL1931" i="1"/>
  <c r="Y1930" i="1"/>
  <c r="W1930" i="1"/>
  <c r="R1931" i="1"/>
  <c r="AL1932" i="1" l="1"/>
  <c r="Q1933" i="1"/>
  <c r="T1932" i="1"/>
  <c r="AV1931" i="1"/>
  <c r="AD1933" i="1"/>
  <c r="W1931" i="1"/>
  <c r="R1932" i="1"/>
  <c r="Y1931" i="1"/>
  <c r="AV1932" i="1" l="1"/>
  <c r="AD1934" i="1"/>
  <c r="Q1934" i="1"/>
  <c r="T1933" i="1"/>
  <c r="AL1933" i="1"/>
  <c r="Y1932" i="1"/>
  <c r="W1932" i="1"/>
  <c r="R1933" i="1"/>
  <c r="AL1934" i="1" l="1"/>
  <c r="Q1935" i="1"/>
  <c r="T1934" i="1"/>
  <c r="AV1933" i="1"/>
  <c r="AD1935" i="1"/>
  <c r="R1934" i="1"/>
  <c r="W1933" i="1"/>
  <c r="Y1933" i="1"/>
  <c r="AV1934" i="1" l="1"/>
  <c r="AD1936" i="1"/>
  <c r="Q1936" i="1"/>
  <c r="T1935" i="1"/>
  <c r="AL1935" i="1"/>
  <c r="R1935" i="1"/>
  <c r="W1934" i="1"/>
  <c r="Y1934" i="1"/>
  <c r="AL1936" i="1" l="1"/>
  <c r="Q1937" i="1"/>
  <c r="T1936" i="1"/>
  <c r="AV1935" i="1"/>
  <c r="AD1937" i="1"/>
  <c r="W1935" i="1"/>
  <c r="R1936" i="1"/>
  <c r="Y1935" i="1"/>
  <c r="AV1936" i="1" l="1"/>
  <c r="AD1938" i="1"/>
  <c r="Q1938" i="1"/>
  <c r="T1937" i="1"/>
  <c r="AL1937" i="1"/>
  <c r="Y1936" i="1"/>
  <c r="W1936" i="1"/>
  <c r="R1937" i="1"/>
  <c r="AL1938" i="1" l="1"/>
  <c r="Q1939" i="1"/>
  <c r="T1938" i="1"/>
  <c r="AV1937" i="1"/>
  <c r="AD1939" i="1"/>
  <c r="Y1937" i="1"/>
  <c r="R1938" i="1"/>
  <c r="W1937" i="1"/>
  <c r="AV1938" i="1" l="1"/>
  <c r="AD1940" i="1"/>
  <c r="Q1940" i="1"/>
  <c r="T1939" i="1"/>
  <c r="AL1939" i="1"/>
  <c r="Y1938" i="1"/>
  <c r="R1939" i="1"/>
  <c r="W1938" i="1"/>
  <c r="AL1940" i="1" l="1"/>
  <c r="Q1941" i="1"/>
  <c r="T1940" i="1"/>
  <c r="AV1939" i="1"/>
  <c r="AD1941" i="1"/>
  <c r="R1940" i="1"/>
  <c r="W1939" i="1"/>
  <c r="Y1939" i="1"/>
  <c r="AV1940" i="1" l="1"/>
  <c r="AD1942" i="1"/>
  <c r="Q1942" i="1"/>
  <c r="T1941" i="1"/>
  <c r="AL1941" i="1"/>
  <c r="Y1940" i="1"/>
  <c r="R1941" i="1"/>
  <c r="W1940" i="1"/>
  <c r="AL1942" i="1" l="1"/>
  <c r="Q1943" i="1"/>
  <c r="T1942" i="1"/>
  <c r="AV1941" i="1"/>
  <c r="AD1943" i="1"/>
  <c r="R1942" i="1"/>
  <c r="W1941" i="1"/>
  <c r="Y1941" i="1"/>
  <c r="AV1942" i="1" l="1"/>
  <c r="AD1944" i="1"/>
  <c r="Q1944" i="1"/>
  <c r="T1943" i="1"/>
  <c r="AL1943" i="1"/>
  <c r="Y1942" i="1"/>
  <c r="W1942" i="1"/>
  <c r="R1943" i="1"/>
  <c r="AL1944" i="1" l="1"/>
  <c r="Q1945" i="1"/>
  <c r="T1944" i="1"/>
  <c r="AV1943" i="1"/>
  <c r="AD1945" i="1"/>
  <c r="Y1943" i="1"/>
  <c r="W1943" i="1"/>
  <c r="R1944" i="1"/>
  <c r="AV1944" i="1" l="1"/>
  <c r="AD1946" i="1"/>
  <c r="Q1946" i="1"/>
  <c r="T1945" i="1"/>
  <c r="AL1945" i="1"/>
  <c r="Y1944" i="1"/>
  <c r="W1944" i="1"/>
  <c r="R1945" i="1"/>
  <c r="AL1946" i="1" l="1"/>
  <c r="Q1947" i="1"/>
  <c r="T1946" i="1"/>
  <c r="AV1945" i="1"/>
  <c r="AD1947" i="1"/>
  <c r="Y1945" i="1"/>
  <c r="W1945" i="1"/>
  <c r="R1946" i="1"/>
  <c r="AV1946" i="1" l="1"/>
  <c r="AD1948" i="1"/>
  <c r="Q1948" i="1"/>
  <c r="T1947" i="1"/>
  <c r="AL1947" i="1"/>
  <c r="R1947" i="1"/>
  <c r="W1946" i="1"/>
  <c r="Y1946" i="1"/>
  <c r="AL1948" i="1" l="1"/>
  <c r="Q1949" i="1"/>
  <c r="T1948" i="1"/>
  <c r="AV1947" i="1"/>
  <c r="AD1949" i="1"/>
  <c r="Y1947" i="1"/>
  <c r="W1947" i="1"/>
  <c r="R1948" i="1"/>
  <c r="AV1948" i="1" l="1"/>
  <c r="AD1950" i="1"/>
  <c r="Q1950" i="1"/>
  <c r="T1949" i="1"/>
  <c r="AL1949" i="1"/>
  <c r="R1949" i="1"/>
  <c r="W1948" i="1"/>
  <c r="Y1948" i="1"/>
  <c r="AL1950" i="1" l="1"/>
  <c r="Q1951" i="1"/>
  <c r="T1950" i="1"/>
  <c r="AV1949" i="1"/>
  <c r="AD1951" i="1"/>
  <c r="R1950" i="1"/>
  <c r="W1949" i="1"/>
  <c r="Y1949" i="1"/>
  <c r="AV1950" i="1" l="1"/>
  <c r="AD1952" i="1"/>
  <c r="Q1952" i="1"/>
  <c r="T1951" i="1"/>
  <c r="AL1951" i="1"/>
  <c r="W1950" i="1"/>
  <c r="Y1950" i="1"/>
  <c r="R1951" i="1"/>
  <c r="AL1952" i="1" l="1"/>
  <c r="Q1953" i="1"/>
  <c r="T1952" i="1"/>
  <c r="AV1951" i="1"/>
  <c r="AD1953" i="1"/>
  <c r="Y1951" i="1"/>
  <c r="W1951" i="1"/>
  <c r="R1952" i="1"/>
  <c r="AV1952" i="1" l="1"/>
  <c r="AD1954" i="1"/>
  <c r="Q1954" i="1"/>
  <c r="T1953" i="1"/>
  <c r="AL1953" i="1"/>
  <c r="Y1952" i="1"/>
  <c r="R1953" i="1"/>
  <c r="W1952" i="1"/>
  <c r="AL1954" i="1" l="1"/>
  <c r="Q1955" i="1"/>
  <c r="T1954" i="1"/>
  <c r="AV1953" i="1"/>
  <c r="AD1955" i="1"/>
  <c r="R1954" i="1"/>
  <c r="W1953" i="1"/>
  <c r="Y1953" i="1"/>
  <c r="AV1954" i="1" l="1"/>
  <c r="AD1956" i="1"/>
  <c r="Q1956" i="1"/>
  <c r="T1955" i="1"/>
  <c r="AL1955" i="1"/>
  <c r="R1955" i="1"/>
  <c r="Y1954" i="1"/>
  <c r="W1954" i="1"/>
  <c r="AL1956" i="1" l="1"/>
  <c r="Q1957" i="1"/>
  <c r="T1956" i="1"/>
  <c r="AV1955" i="1"/>
  <c r="AD1957" i="1"/>
  <c r="R1956" i="1"/>
  <c r="Y1955" i="1"/>
  <c r="W1955" i="1"/>
  <c r="AV1956" i="1" l="1"/>
  <c r="AD1958" i="1"/>
  <c r="Q1958" i="1"/>
  <c r="T1957" i="1"/>
  <c r="AL1957" i="1"/>
  <c r="R1957" i="1"/>
  <c r="Y1956" i="1"/>
  <c r="W1956" i="1"/>
  <c r="AL1958" i="1" l="1"/>
  <c r="Q1959" i="1"/>
  <c r="T1958" i="1"/>
  <c r="AV1957" i="1"/>
  <c r="AD1959" i="1"/>
  <c r="R1958" i="1"/>
  <c r="Y1957" i="1"/>
  <c r="W1957" i="1"/>
  <c r="AV1958" i="1" l="1"/>
  <c r="AD1960" i="1"/>
  <c r="Q1960" i="1"/>
  <c r="T1959" i="1"/>
  <c r="AL1959" i="1"/>
  <c r="Y1958" i="1"/>
  <c r="W1958" i="1"/>
  <c r="R1959" i="1"/>
  <c r="AL1960" i="1" l="1"/>
  <c r="Q1961" i="1"/>
  <c r="T1960" i="1"/>
  <c r="AV1959" i="1"/>
  <c r="AD1961" i="1"/>
  <c r="R1960" i="1"/>
  <c r="W1959" i="1"/>
  <c r="Y1959" i="1"/>
  <c r="AV1960" i="1" l="1"/>
  <c r="AD1962" i="1"/>
  <c r="Q1962" i="1"/>
  <c r="T1961" i="1"/>
  <c r="AL1961" i="1"/>
  <c r="R1961" i="1"/>
  <c r="W1960" i="1"/>
  <c r="Y1960" i="1"/>
  <c r="AL1962" i="1" l="1"/>
  <c r="Q1963" i="1"/>
  <c r="T1962" i="1"/>
  <c r="AV1961" i="1"/>
  <c r="AD1963" i="1"/>
  <c r="W1961" i="1"/>
  <c r="Y1961" i="1"/>
  <c r="R1962" i="1"/>
  <c r="AV1962" i="1" l="1"/>
  <c r="AD1964" i="1"/>
  <c r="Q1964" i="1"/>
  <c r="T1963" i="1"/>
  <c r="AL1963" i="1"/>
  <c r="R1963" i="1"/>
  <c r="Y1962" i="1"/>
  <c r="W1962" i="1"/>
  <c r="AL1964" i="1" l="1"/>
  <c r="Q1965" i="1"/>
  <c r="T1964" i="1"/>
  <c r="AV1963" i="1"/>
  <c r="AD1965" i="1"/>
  <c r="R1964" i="1"/>
  <c r="W1963" i="1"/>
  <c r="Y1963" i="1"/>
  <c r="AV1964" i="1" l="1"/>
  <c r="AD1966" i="1"/>
  <c r="Q1966" i="1"/>
  <c r="T1965" i="1"/>
  <c r="AL1965" i="1"/>
  <c r="Y1964" i="1"/>
  <c r="W1964" i="1"/>
  <c r="R1965" i="1"/>
  <c r="AL1966" i="1" l="1"/>
  <c r="Q1967" i="1"/>
  <c r="T1966" i="1"/>
  <c r="AV1965" i="1"/>
  <c r="AD1967" i="1"/>
  <c r="W1965" i="1"/>
  <c r="R1966" i="1"/>
  <c r="Y1965" i="1"/>
  <c r="AV1966" i="1" l="1"/>
  <c r="AD1968" i="1"/>
  <c r="Q1968" i="1"/>
  <c r="T1967" i="1"/>
  <c r="AL1967" i="1"/>
  <c r="Y1966" i="1"/>
  <c r="W1966" i="1"/>
  <c r="R1967" i="1"/>
  <c r="AL1968" i="1" l="1"/>
  <c r="Q1969" i="1"/>
  <c r="T1968" i="1"/>
  <c r="AV1967" i="1"/>
  <c r="AD1969" i="1"/>
  <c r="R1968" i="1"/>
  <c r="W1967" i="1"/>
  <c r="Y1967" i="1"/>
  <c r="AV1968" i="1" l="1"/>
  <c r="AD1970" i="1"/>
  <c r="Q1970" i="1"/>
  <c r="T1969" i="1"/>
  <c r="AL1969" i="1"/>
  <c r="Y1968" i="1"/>
  <c r="W1968" i="1"/>
  <c r="R1969" i="1"/>
  <c r="AL1970" i="1" l="1"/>
  <c r="Q1971" i="1"/>
  <c r="T1970" i="1"/>
  <c r="AV1969" i="1"/>
  <c r="AD1971" i="1"/>
  <c r="R1970" i="1"/>
  <c r="W1969" i="1"/>
  <c r="Y1969" i="1"/>
  <c r="AV1970" i="1" l="1"/>
  <c r="AD1972" i="1"/>
  <c r="Q1972" i="1"/>
  <c r="T1971" i="1"/>
  <c r="AL1971" i="1"/>
  <c r="Y1970" i="1"/>
  <c r="W1970" i="1"/>
  <c r="R1971" i="1"/>
  <c r="AL1972" i="1" l="1"/>
  <c r="Q1973" i="1"/>
  <c r="T1972" i="1"/>
  <c r="AV1971" i="1"/>
  <c r="AD1973" i="1"/>
  <c r="Y1971" i="1"/>
  <c r="W1971" i="1"/>
  <c r="R1972" i="1"/>
  <c r="AV1972" i="1" l="1"/>
  <c r="AD1974" i="1"/>
  <c r="Q1974" i="1"/>
  <c r="T1973" i="1"/>
  <c r="AL1973" i="1"/>
  <c r="R1973" i="1"/>
  <c r="W1972" i="1"/>
  <c r="Y1972" i="1"/>
  <c r="AL1974" i="1" l="1"/>
  <c r="Q1975" i="1"/>
  <c r="T1974" i="1"/>
  <c r="AV1973" i="1"/>
  <c r="AD1975" i="1"/>
  <c r="W1973" i="1"/>
  <c r="Y1973" i="1"/>
  <c r="R1974" i="1"/>
  <c r="AV1974" i="1" l="1"/>
  <c r="AD1976" i="1"/>
  <c r="Q1976" i="1"/>
  <c r="T1975" i="1"/>
  <c r="AL1975" i="1"/>
  <c r="W1974" i="1"/>
  <c r="R1975" i="1"/>
  <c r="Y1974" i="1"/>
  <c r="AL1976" i="1" l="1"/>
  <c r="Q1977" i="1"/>
  <c r="T1976" i="1"/>
  <c r="AV1975" i="1"/>
  <c r="AD1977" i="1"/>
  <c r="W1975" i="1"/>
  <c r="R1976" i="1"/>
  <c r="Y1975" i="1"/>
  <c r="AV1976" i="1" l="1"/>
  <c r="AD1978" i="1"/>
  <c r="Q1978" i="1"/>
  <c r="T1977" i="1"/>
  <c r="AL1977" i="1"/>
  <c r="R1977" i="1"/>
  <c r="W1976" i="1"/>
  <c r="Y1976" i="1"/>
  <c r="AL1978" i="1" l="1"/>
  <c r="Q1979" i="1"/>
  <c r="T1978" i="1"/>
  <c r="AV1977" i="1"/>
  <c r="AD1979" i="1"/>
  <c r="Y1977" i="1"/>
  <c r="R1978" i="1"/>
  <c r="W1977" i="1"/>
  <c r="AV1978" i="1" l="1"/>
  <c r="AD1980" i="1"/>
  <c r="Q1980" i="1"/>
  <c r="T1979" i="1"/>
  <c r="AL1979" i="1"/>
  <c r="W1978" i="1"/>
  <c r="R1979" i="1"/>
  <c r="Y1978" i="1"/>
  <c r="AL1980" i="1" l="1"/>
  <c r="Q1981" i="1"/>
  <c r="T1980" i="1"/>
  <c r="AV1979" i="1"/>
  <c r="AD1981" i="1"/>
  <c r="W1979" i="1"/>
  <c r="R1980" i="1"/>
  <c r="Y1979" i="1"/>
  <c r="AV1980" i="1" l="1"/>
  <c r="AD1982" i="1"/>
  <c r="Q1982" i="1"/>
  <c r="T1981" i="1"/>
  <c r="AL1981" i="1"/>
  <c r="Y1980" i="1"/>
  <c r="R1981" i="1"/>
  <c r="W1980" i="1"/>
  <c r="AL1982" i="1" l="1"/>
  <c r="Q1983" i="1"/>
  <c r="T1982" i="1"/>
  <c r="AV1981" i="1"/>
  <c r="AD1983" i="1"/>
  <c r="R1982" i="1"/>
  <c r="Y1981" i="1"/>
  <c r="W1981" i="1"/>
  <c r="AV1982" i="1" l="1"/>
  <c r="AD1984" i="1"/>
  <c r="Q1984" i="1"/>
  <c r="T1983" i="1"/>
  <c r="AL1983" i="1"/>
  <c r="Y1982" i="1"/>
  <c r="R1983" i="1"/>
  <c r="W1982" i="1"/>
  <c r="AL1984" i="1" l="1"/>
  <c r="Q1985" i="1"/>
  <c r="T1984" i="1"/>
  <c r="AV1983" i="1"/>
  <c r="AD1985" i="1"/>
  <c r="R1984" i="1"/>
  <c r="W1983" i="1"/>
  <c r="Y1983" i="1"/>
  <c r="AV1984" i="1" l="1"/>
  <c r="AD1986" i="1"/>
  <c r="Q1986" i="1"/>
  <c r="T1985" i="1"/>
  <c r="AL1985" i="1"/>
  <c r="W1984" i="1"/>
  <c r="Y1984" i="1"/>
  <c r="R1985" i="1"/>
  <c r="AL1986" i="1" l="1"/>
  <c r="Q1987" i="1"/>
  <c r="T1986" i="1"/>
  <c r="AV1985" i="1"/>
  <c r="AD1987" i="1"/>
  <c r="Y1985" i="1"/>
  <c r="W1985" i="1"/>
  <c r="R1986" i="1"/>
  <c r="AV1986" i="1" l="1"/>
  <c r="AD1988" i="1"/>
  <c r="Q1988" i="1"/>
  <c r="T1987" i="1"/>
  <c r="AL1987" i="1"/>
  <c r="W1986" i="1"/>
  <c r="R1987" i="1"/>
  <c r="Y1986" i="1"/>
  <c r="AL1988" i="1" l="1"/>
  <c r="Q1989" i="1"/>
  <c r="T1988" i="1"/>
  <c r="AV1987" i="1"/>
  <c r="AD1989" i="1"/>
  <c r="Y1987" i="1"/>
  <c r="R1988" i="1"/>
  <c r="W1987" i="1"/>
  <c r="AV1988" i="1" l="1"/>
  <c r="AD1990" i="1"/>
  <c r="Q1990" i="1"/>
  <c r="T1989" i="1"/>
  <c r="AL1989" i="1"/>
  <c r="R1989" i="1"/>
  <c r="W1988" i="1"/>
  <c r="Y1988" i="1"/>
  <c r="AL1990" i="1" l="1"/>
  <c r="Q1991" i="1"/>
  <c r="T1990" i="1"/>
  <c r="AV1989" i="1"/>
  <c r="AD1991" i="1"/>
  <c r="W1989" i="1"/>
  <c r="Y1989" i="1"/>
  <c r="R1990" i="1"/>
  <c r="AV1990" i="1" l="1"/>
  <c r="AD1992" i="1"/>
  <c r="Q1992" i="1"/>
  <c r="T1991" i="1"/>
  <c r="AL1991" i="1"/>
  <c r="W1990" i="1"/>
  <c r="Y1990" i="1"/>
  <c r="R1991" i="1"/>
  <c r="AV1991" i="1" l="1"/>
  <c r="AD1993" i="1"/>
  <c r="AL1992" i="1"/>
  <c r="Q1993" i="1"/>
  <c r="T1992" i="1"/>
  <c r="Y1991" i="1"/>
  <c r="R1992" i="1"/>
  <c r="W1991" i="1"/>
  <c r="Q1994" i="1" l="1"/>
  <c r="T1993" i="1"/>
  <c r="AL1993" i="1"/>
  <c r="AV1992" i="1"/>
  <c r="AD1994" i="1"/>
  <c r="R1993" i="1"/>
  <c r="Y1992" i="1"/>
  <c r="W1992" i="1"/>
  <c r="AL1994" i="1" l="1"/>
  <c r="Q1995" i="1"/>
  <c r="T1994" i="1"/>
  <c r="AV1993" i="1"/>
  <c r="AD1995" i="1"/>
  <c r="W1993" i="1"/>
  <c r="R1994" i="1"/>
  <c r="Y1993" i="1"/>
  <c r="AV1994" i="1" l="1"/>
  <c r="AD1996" i="1"/>
  <c r="Q1996" i="1"/>
  <c r="T1995" i="1"/>
  <c r="AL1995" i="1"/>
  <c r="R1995" i="1"/>
  <c r="W1994" i="1"/>
  <c r="Y1994" i="1"/>
  <c r="AL1996" i="1" l="1"/>
  <c r="Q1997" i="1"/>
  <c r="T1996" i="1"/>
  <c r="AV1995" i="1"/>
  <c r="AD1997" i="1"/>
  <c r="Y1995" i="1"/>
  <c r="R1996" i="1"/>
  <c r="W1995" i="1"/>
  <c r="AV1996" i="1" l="1"/>
  <c r="AD1998" i="1"/>
  <c r="Q1998" i="1"/>
  <c r="T1997" i="1"/>
  <c r="AL1997" i="1"/>
  <c r="W1996" i="1"/>
  <c r="Y1996" i="1"/>
  <c r="R1997" i="1"/>
  <c r="AL1998" i="1" l="1"/>
  <c r="Q1999" i="1"/>
  <c r="T1998" i="1"/>
  <c r="AV1997" i="1"/>
  <c r="AD1999" i="1"/>
  <c r="R1998" i="1"/>
  <c r="Y1997" i="1"/>
  <c r="W1997" i="1"/>
  <c r="AV1998" i="1" l="1"/>
  <c r="AD2000" i="1"/>
  <c r="AV1999" i="1" s="1"/>
  <c r="Q2000" i="1"/>
  <c r="T1999" i="1"/>
  <c r="AL1999" i="1"/>
  <c r="R1999" i="1"/>
  <c r="Y1998" i="1"/>
  <c r="W1998" i="1"/>
  <c r="AL2000" i="1" l="1"/>
  <c r="AL28" i="1" s="1"/>
  <c r="T2000" i="1"/>
  <c r="W1999" i="1"/>
  <c r="Y1999" i="1"/>
  <c r="R2000" i="1"/>
  <c r="Y2000" i="1" l="1"/>
  <c r="W2000" i="1"/>
  <c r="AK31" i="1" l="1"/>
  <c r="AW30" i="1"/>
  <c r="AI32" i="1" l="1"/>
  <c r="AN32" i="1"/>
  <c r="U32" i="1"/>
  <c r="V32" i="1" l="1"/>
  <c r="X32" i="1"/>
  <c r="Z32" i="1" s="1"/>
  <c r="AH32" i="1"/>
  <c r="AJ32" i="1" s="1"/>
  <c r="AO32" i="1" l="1"/>
  <c r="AQ32" i="1" s="1"/>
  <c r="AE32" i="1"/>
  <c r="AG32" i="1" s="1"/>
  <c r="AX32" i="1" s="1"/>
  <c r="AY32" i="1" l="1"/>
  <c r="AZ32" i="1" s="1"/>
  <c r="AK32" i="1"/>
  <c r="CC32" i="1"/>
  <c r="AW31" i="1"/>
  <c r="AN33" i="1"/>
  <c r="AI33" i="1"/>
  <c r="U33" i="1"/>
  <c r="V33" i="1" l="1"/>
  <c r="X33" i="1"/>
  <c r="Z33" i="1" s="1"/>
  <c r="AH33" i="1"/>
  <c r="AJ33" i="1" s="1"/>
  <c r="AK33" i="1" l="1"/>
  <c r="AE33" i="1"/>
  <c r="AG33" i="1" s="1"/>
  <c r="AX33" i="1" s="1"/>
  <c r="AO33" i="1"/>
  <c r="AQ33" i="1" s="1"/>
  <c r="AY33" i="1" l="1"/>
  <c r="AZ33" i="1" s="1"/>
  <c r="CC33" i="1"/>
  <c r="AW32" i="1"/>
  <c r="AN34" i="1"/>
  <c r="AI34" i="1"/>
  <c r="U34" i="1"/>
  <c r="V34" i="1" l="1"/>
  <c r="X34" i="1"/>
  <c r="Z34" i="1" s="1"/>
  <c r="AH34" i="1"/>
  <c r="AJ34" i="1" s="1"/>
  <c r="AK34" i="1" l="1"/>
  <c r="AE34" i="1"/>
  <c r="AG34" i="1" s="1"/>
  <c r="AX34" i="1" s="1"/>
  <c r="AO34" i="1"/>
  <c r="AQ34" i="1" s="1"/>
  <c r="AW33" i="1" l="1"/>
  <c r="AY34" i="1"/>
  <c r="AZ34" i="1" s="1"/>
  <c r="CC34" i="1"/>
  <c r="AN35" i="1"/>
  <c r="U35" i="1"/>
  <c r="AI35" i="1"/>
  <c r="V35" i="1" l="1"/>
  <c r="X35" i="1"/>
  <c r="Z35" i="1" s="1"/>
  <c r="AH35" i="1"/>
  <c r="AJ35" i="1" s="1"/>
  <c r="AK35" i="1" l="1"/>
  <c r="AE35" i="1"/>
  <c r="AY35" i="1" s="1"/>
  <c r="AZ35" i="1" s="1"/>
  <c r="AO35" i="1"/>
  <c r="AQ35" i="1" s="1"/>
  <c r="AW34" i="1" l="1"/>
  <c r="AG35" i="1"/>
  <c r="AX35" i="1" s="1"/>
  <c r="CC35" i="1"/>
  <c r="AN36" i="1"/>
  <c r="AI36" i="1"/>
  <c r="U36" i="1"/>
  <c r="V36" i="1" l="1"/>
  <c r="X36" i="1"/>
  <c r="Z36" i="1" s="1"/>
  <c r="AH36" i="1"/>
  <c r="AJ36" i="1" s="1"/>
  <c r="AO36" i="1" l="1"/>
  <c r="AQ36" i="1" s="1"/>
  <c r="AE36" i="1"/>
  <c r="AG36" i="1" s="1"/>
  <c r="AX36" i="1" s="1"/>
  <c r="AY36" i="1" l="1"/>
  <c r="AZ36" i="1" s="1"/>
  <c r="AW35" i="1"/>
  <c r="CC36" i="1"/>
  <c r="AK36" i="1"/>
  <c r="AN37" i="1"/>
  <c r="AI37" i="1"/>
  <c r="U37" i="1"/>
  <c r="V37" i="1" l="1"/>
  <c r="X37" i="1"/>
  <c r="Z37" i="1" s="1"/>
  <c r="AH37" i="1"/>
  <c r="AJ37" i="1" s="1"/>
  <c r="AW36" i="1" l="1"/>
  <c r="AE37" i="1"/>
  <c r="AY37" i="1" s="1"/>
  <c r="AZ37" i="1" s="1"/>
  <c r="AO37" i="1"/>
  <c r="AQ37" i="1" s="1"/>
  <c r="CC37" i="1" l="1"/>
  <c r="AK37" i="1"/>
  <c r="AG37" i="1"/>
  <c r="AX37" i="1" s="1"/>
  <c r="AN38" i="1"/>
  <c r="AI38" i="1"/>
  <c r="U38" i="1"/>
  <c r="V38" i="1" l="1"/>
  <c r="X38" i="1"/>
  <c r="Z38" i="1" s="1"/>
  <c r="AH38" i="1"/>
  <c r="AJ38" i="1" s="1"/>
  <c r="AK38" i="1" l="1"/>
  <c r="AE38" i="1"/>
  <c r="AG38" i="1" s="1"/>
  <c r="AX38" i="1" s="1"/>
  <c r="AO38" i="1"/>
  <c r="AQ38" i="1" s="1"/>
  <c r="AW37" i="1" l="1"/>
  <c r="AY38" i="1"/>
  <c r="AZ38" i="1" s="1"/>
  <c r="CC38" i="1"/>
  <c r="AI39" i="1"/>
  <c r="AN39" i="1"/>
  <c r="U39" i="1"/>
  <c r="V39" i="1" l="1"/>
  <c r="X39" i="1"/>
  <c r="Z39" i="1" s="1"/>
  <c r="AH39" i="1"/>
  <c r="AJ39" i="1" s="1"/>
  <c r="AK39" i="1" l="1"/>
  <c r="AE39" i="1"/>
  <c r="AG39" i="1" s="1"/>
  <c r="AX39" i="1" s="1"/>
  <c r="AO39" i="1"/>
  <c r="AQ39" i="1" s="1"/>
  <c r="AW38" i="1" l="1"/>
  <c r="AY39" i="1"/>
  <c r="AZ39" i="1" s="1"/>
  <c r="CC39" i="1"/>
  <c r="AI40" i="1"/>
  <c r="U40" i="1"/>
  <c r="AN40" i="1"/>
  <c r="V40" i="1" l="1"/>
  <c r="X40" i="1"/>
  <c r="Z40" i="1" s="1"/>
  <c r="AH40" i="1"/>
  <c r="AJ40" i="1" s="1"/>
  <c r="AK40" i="1" l="1"/>
  <c r="AE40" i="1"/>
  <c r="AG40" i="1" s="1"/>
  <c r="AX40" i="1" s="1"/>
  <c r="AO40" i="1"/>
  <c r="AQ40" i="1" s="1"/>
  <c r="AW39" i="1" l="1"/>
  <c r="AY40" i="1"/>
  <c r="AZ40" i="1" s="1"/>
  <c r="CC40" i="1"/>
  <c r="AI41" i="1"/>
  <c r="AN41" i="1"/>
  <c r="U41" i="1"/>
  <c r="V41" i="1" l="1"/>
  <c r="X41" i="1"/>
  <c r="Z41" i="1" s="1"/>
  <c r="AH41" i="1"/>
  <c r="AJ41" i="1" s="1"/>
  <c r="AK41" i="1" l="1"/>
  <c r="AE41" i="1"/>
  <c r="AG41" i="1" s="1"/>
  <c r="AX41" i="1" s="1"/>
  <c r="AO41" i="1"/>
  <c r="AQ41" i="1" s="1"/>
  <c r="AY41" i="1" l="1"/>
  <c r="AZ41" i="1" s="1"/>
  <c r="AW40" i="1"/>
  <c r="CC41" i="1"/>
  <c r="AI42" i="1"/>
  <c r="AN42" i="1"/>
  <c r="U42" i="1"/>
  <c r="V42" i="1" l="1"/>
  <c r="X42" i="1"/>
  <c r="Z42" i="1" s="1"/>
  <c r="AH42" i="1"/>
  <c r="AJ42" i="1" s="1"/>
  <c r="AO42" i="1" l="1"/>
  <c r="AQ42" i="1" s="1"/>
  <c r="AE42" i="1"/>
  <c r="AG42" i="1" s="1"/>
  <c r="AX42" i="1" s="1"/>
  <c r="AY42" i="1" l="1"/>
  <c r="AZ42" i="1" s="1"/>
  <c r="AW41" i="1"/>
  <c r="CC42" i="1"/>
  <c r="AK42" i="1"/>
  <c r="AN43" i="1"/>
  <c r="U43" i="1"/>
  <c r="AI43" i="1"/>
  <c r="V43" i="1" l="1"/>
  <c r="X43" i="1"/>
  <c r="Z43" i="1" s="1"/>
  <c r="AH43" i="1"/>
  <c r="AJ43" i="1" s="1"/>
  <c r="AO43" i="1" l="1"/>
  <c r="AQ43" i="1" s="1"/>
  <c r="AE43" i="1"/>
  <c r="AG43" i="1" s="1"/>
  <c r="AX43" i="1" s="1"/>
  <c r="AY43" i="1" l="1"/>
  <c r="AZ43" i="1" s="1"/>
  <c r="AW42" i="1"/>
  <c r="CC43" i="1"/>
  <c r="AK43" i="1"/>
  <c r="AN44" i="1"/>
  <c r="U44" i="1"/>
  <c r="AI44" i="1"/>
  <c r="V44" i="1" l="1"/>
  <c r="X44" i="1"/>
  <c r="Z44" i="1" s="1"/>
  <c r="AH44" i="1"/>
  <c r="AJ44" i="1" s="1"/>
  <c r="AO44" i="1" l="1"/>
  <c r="AQ44" i="1" s="1"/>
  <c r="CC44" i="1"/>
  <c r="AE44" i="1"/>
  <c r="AY44" i="1" s="1"/>
  <c r="AZ44" i="1" s="1"/>
  <c r="AG44" i="1" l="1"/>
  <c r="AX44" i="1" s="1"/>
  <c r="AK44" i="1"/>
  <c r="AW43" i="1"/>
  <c r="AN45" i="1"/>
  <c r="AI45" i="1"/>
  <c r="U45" i="1"/>
  <c r="V45" i="1" l="1"/>
  <c r="X45" i="1"/>
  <c r="Z45" i="1" s="1"/>
  <c r="AH45" i="1"/>
  <c r="AJ45" i="1" s="1"/>
  <c r="AO45" i="1" l="1"/>
  <c r="AQ45" i="1" s="1"/>
  <c r="AE45" i="1"/>
  <c r="AY45" i="1" s="1"/>
  <c r="AZ45" i="1" s="1"/>
  <c r="AG45" i="1" l="1"/>
  <c r="AX45" i="1" s="1"/>
  <c r="AK45" i="1"/>
  <c r="CC45" i="1"/>
  <c r="AW44" i="1"/>
  <c r="AN46" i="1"/>
  <c r="AI46" i="1"/>
  <c r="U46" i="1"/>
  <c r="V46" i="1" l="1"/>
  <c r="X46" i="1"/>
  <c r="Z46" i="1" s="1"/>
  <c r="AH46" i="1"/>
  <c r="AJ46" i="1" s="1"/>
  <c r="AO46" i="1" l="1"/>
  <c r="AQ46" i="1" s="1"/>
  <c r="AE46" i="1"/>
  <c r="AY46" i="1" s="1"/>
  <c r="AZ46" i="1" s="1"/>
  <c r="AG46" i="1" l="1"/>
  <c r="AX46" i="1" s="1"/>
  <c r="AK46" i="1"/>
  <c r="CC46" i="1"/>
  <c r="AW45" i="1"/>
  <c r="AI47" i="1"/>
  <c r="U47" i="1"/>
  <c r="AN47" i="1"/>
  <c r="V47" i="1" l="1"/>
  <c r="X47" i="1"/>
  <c r="Z47" i="1" s="1"/>
  <c r="AH47" i="1"/>
  <c r="AJ47" i="1" s="1"/>
  <c r="AO47" i="1" l="1"/>
  <c r="AQ47" i="1" s="1"/>
  <c r="CC47" i="1"/>
  <c r="AE47" i="1"/>
  <c r="AY47" i="1" s="1"/>
  <c r="AZ47" i="1" s="1"/>
  <c r="AG47" i="1" l="1"/>
  <c r="AX47" i="1" s="1"/>
  <c r="AW46" i="1"/>
  <c r="AK47" i="1"/>
  <c r="U48" i="1"/>
  <c r="AN48" i="1"/>
  <c r="AI48" i="1"/>
  <c r="V48" i="1" l="1"/>
  <c r="X48" i="1"/>
  <c r="Z48" i="1" s="1"/>
  <c r="AH48" i="1"/>
  <c r="AJ48" i="1" s="1"/>
  <c r="AO48" i="1" l="1"/>
  <c r="AQ48" i="1" s="1"/>
  <c r="AE48" i="1"/>
  <c r="AY48" i="1" s="1"/>
  <c r="AZ48" i="1" s="1"/>
  <c r="AG48" i="1" l="1"/>
  <c r="AX48" i="1" s="1"/>
  <c r="AW47" i="1"/>
  <c r="CC48" i="1"/>
  <c r="AK48" i="1"/>
  <c r="AN49" i="1"/>
  <c r="AI49" i="1"/>
  <c r="U49" i="1"/>
  <c r="V49" i="1" l="1"/>
  <c r="X49" i="1"/>
  <c r="Z49" i="1" s="1"/>
  <c r="AH49" i="1"/>
  <c r="AJ49" i="1" s="1"/>
  <c r="AO49" i="1" l="1"/>
  <c r="AQ49" i="1" s="1"/>
  <c r="AE49" i="1"/>
  <c r="AY49" i="1" s="1"/>
  <c r="AZ49" i="1" s="1"/>
  <c r="AG49" i="1" l="1"/>
  <c r="AX49" i="1" s="1"/>
  <c r="AW48" i="1"/>
  <c r="CC49" i="1"/>
  <c r="AK49" i="1"/>
  <c r="AN50" i="1"/>
  <c r="AI50" i="1"/>
  <c r="U50" i="1"/>
  <c r="V50" i="1" l="1"/>
  <c r="X50" i="1"/>
  <c r="Z50" i="1" s="1"/>
  <c r="AH50" i="1"/>
  <c r="AJ50" i="1" s="1"/>
  <c r="AO50" i="1" l="1"/>
  <c r="AQ50" i="1" s="1"/>
  <c r="AE50" i="1"/>
  <c r="AY50" i="1" s="1"/>
  <c r="AZ50" i="1" s="1"/>
  <c r="AG50" i="1" l="1"/>
  <c r="AX50" i="1" s="1"/>
  <c r="AK50" i="1"/>
  <c r="CC50" i="1"/>
  <c r="AW49" i="1"/>
  <c r="AI51" i="1"/>
  <c r="AN51" i="1"/>
  <c r="U51" i="1"/>
  <c r="V51" i="1" l="1"/>
  <c r="X51" i="1"/>
  <c r="Z51" i="1" s="1"/>
  <c r="AH51" i="1"/>
  <c r="AJ51" i="1" s="1"/>
  <c r="AO51" i="1" l="1"/>
  <c r="AQ51" i="1" s="1"/>
  <c r="AE51" i="1"/>
  <c r="AY51" i="1" s="1"/>
  <c r="AZ51" i="1" s="1"/>
  <c r="AG51" i="1" l="1"/>
  <c r="AX51" i="1" s="1"/>
  <c r="AW50" i="1"/>
  <c r="CC51" i="1"/>
  <c r="AK51" i="1"/>
  <c r="AI52" i="1"/>
  <c r="U52" i="1"/>
  <c r="AN52" i="1"/>
  <c r="V52" i="1" l="1"/>
  <c r="X52" i="1"/>
  <c r="Z52" i="1" s="1"/>
  <c r="AH52" i="1"/>
  <c r="AO52" i="1" l="1"/>
  <c r="AQ52" i="1" s="1"/>
  <c r="AJ52" i="1"/>
  <c r="AE52" i="1"/>
  <c r="AG52" i="1" s="1"/>
  <c r="AX52" i="1" s="1"/>
  <c r="AY52" i="1" l="1"/>
  <c r="AZ52" i="1" s="1"/>
  <c r="AK52" i="1"/>
  <c r="CC52" i="1"/>
  <c r="AW51" i="1"/>
  <c r="AN53" i="1"/>
  <c r="AI53" i="1"/>
  <c r="U53" i="1"/>
  <c r="V53" i="1" l="1"/>
  <c r="X53" i="1"/>
  <c r="Z53" i="1" s="1"/>
  <c r="AH53" i="1"/>
  <c r="AO53" i="1" l="1"/>
  <c r="AQ53" i="1" s="1"/>
  <c r="AJ53" i="1"/>
  <c r="AE53" i="1"/>
  <c r="AG53" i="1" s="1"/>
  <c r="AX53" i="1" s="1"/>
  <c r="AY53" i="1" l="1"/>
  <c r="AZ53" i="1" s="1"/>
  <c r="AK53" i="1"/>
  <c r="CC53" i="1"/>
  <c r="AW52" i="1"/>
  <c r="AN54" i="1"/>
  <c r="AI54" i="1"/>
  <c r="U54" i="1"/>
  <c r="V54" i="1" l="1"/>
  <c r="X54" i="1"/>
  <c r="Z54" i="1" s="1"/>
  <c r="AH54" i="1"/>
  <c r="AJ54" i="1" s="1"/>
  <c r="AE54" i="1" l="1"/>
  <c r="AY54" i="1" s="1"/>
  <c r="AZ54" i="1" s="1"/>
  <c r="CC54" i="1"/>
  <c r="AO54" i="1"/>
  <c r="AQ54" i="1" s="1"/>
  <c r="AW53" i="1"/>
  <c r="AK54" i="1"/>
  <c r="AG54" i="1" l="1"/>
  <c r="AX54" i="1" s="1"/>
  <c r="AN55" i="1"/>
  <c r="U55" i="1"/>
  <c r="AI55" i="1"/>
  <c r="V55" i="1" l="1"/>
  <c r="X55" i="1"/>
  <c r="Z55" i="1" s="1"/>
  <c r="AH55" i="1"/>
  <c r="AJ55" i="1" s="1"/>
  <c r="AE55" i="1" l="1"/>
  <c r="AY55" i="1" s="1"/>
  <c r="AZ55" i="1" s="1"/>
  <c r="CC55" i="1"/>
  <c r="AO55" i="1"/>
  <c r="AQ55" i="1" s="1"/>
  <c r="AW54" i="1"/>
  <c r="AK55" i="1"/>
  <c r="AG55" i="1" l="1"/>
  <c r="AX55" i="1" s="1"/>
  <c r="AN56" i="1"/>
  <c r="AI56" i="1"/>
  <c r="U56" i="1"/>
  <c r="V56" i="1" l="1"/>
  <c r="X56" i="1"/>
  <c r="Z56" i="1" s="1"/>
  <c r="AH56" i="1"/>
  <c r="AO56" i="1" l="1"/>
  <c r="AQ56" i="1" s="1"/>
  <c r="AJ56" i="1"/>
  <c r="CC56" i="1" s="1"/>
  <c r="AE56" i="1"/>
  <c r="AY56" i="1" s="1"/>
  <c r="AZ56" i="1" s="1"/>
  <c r="AG56" i="1" l="1"/>
  <c r="AX56" i="1" s="1"/>
  <c r="AW55" i="1"/>
  <c r="AK56" i="1"/>
  <c r="AN57" i="1"/>
  <c r="AI57" i="1"/>
  <c r="U57" i="1"/>
  <c r="V57" i="1" l="1"/>
  <c r="X57" i="1"/>
  <c r="Z57" i="1" s="1"/>
  <c r="AH57" i="1"/>
  <c r="AO57" i="1" l="1"/>
  <c r="AQ57" i="1" s="1"/>
  <c r="AJ57" i="1"/>
  <c r="AE57" i="1"/>
  <c r="AG57" i="1" s="1"/>
  <c r="AX57" i="1" s="1"/>
  <c r="AY57" i="1" l="1"/>
  <c r="AZ57" i="1" s="1"/>
  <c r="AW56" i="1"/>
  <c r="CC57" i="1"/>
  <c r="AK57" i="1"/>
  <c r="AN58" i="1"/>
  <c r="AI58" i="1"/>
  <c r="U58" i="1"/>
  <c r="V58" i="1" l="1"/>
  <c r="X58" i="1"/>
  <c r="Z58" i="1" s="1"/>
  <c r="AH58" i="1"/>
  <c r="AJ58" i="1" s="1"/>
  <c r="AE58" i="1" l="1"/>
  <c r="AY58" i="1" s="1"/>
  <c r="AZ58" i="1" s="1"/>
  <c r="CC58" i="1"/>
  <c r="AW57" i="1"/>
  <c r="AK58" i="1"/>
  <c r="AO58" i="1"/>
  <c r="AQ58" i="1" s="1"/>
  <c r="AG58" i="1" l="1"/>
  <c r="AX58" i="1" s="1"/>
  <c r="AI59" i="1"/>
  <c r="U59" i="1"/>
  <c r="AN59" i="1"/>
  <c r="V59" i="1" l="1"/>
  <c r="X59" i="1"/>
  <c r="Z59" i="1" s="1"/>
  <c r="AH59" i="1"/>
  <c r="AJ59" i="1" s="1"/>
  <c r="AE59" i="1" l="1"/>
  <c r="AG59" i="1" s="1"/>
  <c r="AX59" i="1" s="1"/>
  <c r="CC59" i="1"/>
  <c r="AW58" i="1"/>
  <c r="AK59" i="1"/>
  <c r="AO59" i="1"/>
  <c r="AQ59" i="1" s="1"/>
  <c r="AY59" i="1" l="1"/>
  <c r="AZ59" i="1" s="1"/>
  <c r="AN60" i="1"/>
  <c r="U60" i="1"/>
  <c r="AI60" i="1"/>
  <c r="V60" i="1" l="1"/>
  <c r="X60" i="1"/>
  <c r="Z60" i="1" s="1"/>
  <c r="AH60" i="1"/>
  <c r="AO60" i="1" l="1"/>
  <c r="AQ60" i="1" s="1"/>
  <c r="AJ60" i="1"/>
  <c r="CC60" i="1" s="1"/>
  <c r="AE60" i="1"/>
  <c r="AY60" i="1" s="1"/>
  <c r="AZ60" i="1" s="1"/>
  <c r="AG60" i="1" l="1"/>
  <c r="AX60" i="1" s="1"/>
  <c r="AW59" i="1"/>
  <c r="AK60" i="1"/>
  <c r="AI61" i="1"/>
  <c r="AN61" i="1"/>
  <c r="U61" i="1"/>
  <c r="V61" i="1" l="1"/>
  <c r="X61" i="1"/>
  <c r="Z61" i="1" s="1"/>
  <c r="AH61" i="1"/>
  <c r="AO61" i="1" l="1"/>
  <c r="AQ61" i="1" s="1"/>
  <c r="AJ61" i="1"/>
  <c r="AE61" i="1"/>
  <c r="AY61" i="1" s="1"/>
  <c r="AZ61" i="1" s="1"/>
  <c r="AG61" i="1" l="1"/>
  <c r="AX61" i="1" s="1"/>
  <c r="AW60" i="1"/>
  <c r="CC61" i="1"/>
  <c r="AK61" i="1"/>
  <c r="AI62" i="1"/>
  <c r="AN62" i="1"/>
  <c r="U62" i="1"/>
  <c r="V62" i="1" l="1"/>
  <c r="X62" i="1"/>
  <c r="Z62" i="1" s="1"/>
  <c r="AH62" i="1"/>
  <c r="AJ62" i="1" s="1"/>
  <c r="AE62" i="1" l="1"/>
  <c r="AG62" i="1" s="1"/>
  <c r="AX62" i="1" s="1"/>
  <c r="CC62" i="1"/>
  <c r="AO62" i="1"/>
  <c r="AQ62" i="1" s="1"/>
  <c r="AK62" i="1"/>
  <c r="AW61" i="1"/>
  <c r="AY62" i="1" l="1"/>
  <c r="AZ62" i="1" s="1"/>
  <c r="AN63" i="1"/>
  <c r="U63" i="1"/>
  <c r="AI63" i="1"/>
  <c r="V63" i="1" l="1"/>
  <c r="X63" i="1"/>
  <c r="Z63" i="1" s="1"/>
  <c r="AH63" i="1"/>
  <c r="AO63" i="1" l="1"/>
  <c r="AQ63" i="1" s="1"/>
  <c r="AJ63" i="1"/>
  <c r="AE63" i="1"/>
  <c r="AG63" i="1" s="1"/>
  <c r="AX63" i="1" s="1"/>
  <c r="AY63" i="1" l="1"/>
  <c r="AZ63" i="1" s="1"/>
  <c r="AK63" i="1"/>
  <c r="CC63" i="1"/>
  <c r="AW62" i="1"/>
  <c r="AN64" i="1"/>
  <c r="AI64" i="1"/>
  <c r="U64" i="1"/>
  <c r="V64" i="1" l="1"/>
  <c r="X64" i="1"/>
  <c r="Z64" i="1" s="1"/>
  <c r="AH64" i="1"/>
  <c r="AO64" i="1" l="1"/>
  <c r="AQ64" i="1" s="1"/>
  <c r="AJ64" i="1"/>
  <c r="AE64" i="1"/>
  <c r="AY64" i="1" s="1"/>
  <c r="AZ64" i="1" s="1"/>
  <c r="AG64" i="1" l="1"/>
  <c r="AX64" i="1" s="1"/>
  <c r="AW63" i="1"/>
  <c r="CC64" i="1"/>
  <c r="AK64" i="1"/>
  <c r="AN65" i="1"/>
  <c r="AI65" i="1"/>
  <c r="U65" i="1"/>
  <c r="V65" i="1" l="1"/>
  <c r="X65" i="1"/>
  <c r="Z65" i="1" s="1"/>
  <c r="AH65" i="1"/>
  <c r="AO65" i="1" l="1"/>
  <c r="AQ65" i="1" s="1"/>
  <c r="AJ65" i="1"/>
  <c r="CC65" i="1" s="1"/>
  <c r="AE65" i="1"/>
  <c r="AY65" i="1" s="1"/>
  <c r="AZ65" i="1" s="1"/>
  <c r="AG65" i="1" l="1"/>
  <c r="AX65" i="1" s="1"/>
  <c r="AK65" i="1"/>
  <c r="AW64" i="1"/>
  <c r="AI66" i="1"/>
  <c r="AN66" i="1"/>
  <c r="U66" i="1"/>
  <c r="V66" i="1" l="1"/>
  <c r="X66" i="1"/>
  <c r="Z66" i="1" s="1"/>
  <c r="AH66" i="1"/>
  <c r="AJ66" i="1" s="1"/>
  <c r="CC66" i="1" l="1"/>
  <c r="AE66" i="1"/>
  <c r="AG66" i="1" s="1"/>
  <c r="AX66" i="1" s="1"/>
  <c r="AO66" i="1"/>
  <c r="AQ66" i="1" s="1"/>
  <c r="AK66" i="1"/>
  <c r="AW65" i="1"/>
  <c r="AY66" i="1" l="1"/>
  <c r="AZ66" i="1" s="1"/>
  <c r="AI67" i="1"/>
  <c r="AN67" i="1"/>
  <c r="U67" i="1"/>
  <c r="V67" i="1" l="1"/>
  <c r="X67" i="1"/>
  <c r="Z67" i="1" s="1"/>
  <c r="AH67" i="1"/>
  <c r="AO67" i="1" l="1"/>
  <c r="AQ67" i="1" s="1"/>
  <c r="AJ67" i="1"/>
  <c r="AE67" i="1"/>
  <c r="AG67" i="1" s="1"/>
  <c r="AX67" i="1" s="1"/>
  <c r="AY67" i="1" l="1"/>
  <c r="AZ67" i="1" s="1"/>
  <c r="AK67" i="1"/>
  <c r="CC67" i="1"/>
  <c r="AW66" i="1"/>
  <c r="AN68" i="1"/>
  <c r="U68" i="1"/>
  <c r="AI68" i="1"/>
  <c r="V68" i="1" l="1"/>
  <c r="X68" i="1"/>
  <c r="Z68" i="1" s="1"/>
  <c r="AH68" i="1"/>
  <c r="AJ68" i="1" s="1"/>
  <c r="AE68" i="1" l="1"/>
  <c r="AG68" i="1" s="1"/>
  <c r="AX68" i="1" s="1"/>
  <c r="CC68" i="1"/>
  <c r="AO68" i="1"/>
  <c r="AQ68" i="1" s="1"/>
  <c r="AK68" i="1"/>
  <c r="AW67" i="1"/>
  <c r="AY68" i="1" l="1"/>
  <c r="AZ68" i="1" s="1"/>
  <c r="AI69" i="1"/>
  <c r="AN69" i="1"/>
  <c r="U69" i="1"/>
  <c r="V69" i="1" l="1"/>
  <c r="X69" i="1"/>
  <c r="Z69" i="1" s="1"/>
  <c r="AH69" i="1"/>
  <c r="AO69" i="1" l="1"/>
  <c r="AQ69" i="1" s="1"/>
  <c r="AJ69" i="1"/>
  <c r="AE69" i="1"/>
  <c r="AG69" i="1" s="1"/>
  <c r="AX69" i="1" s="1"/>
  <c r="AY69" i="1" l="1"/>
  <c r="AZ69" i="1" s="1"/>
  <c r="AK69" i="1"/>
  <c r="CC69" i="1"/>
  <c r="AW68" i="1"/>
  <c r="AN70" i="1"/>
  <c r="AI70" i="1"/>
  <c r="U70" i="1"/>
  <c r="V70" i="1" l="1"/>
  <c r="X70" i="1"/>
  <c r="Z70" i="1" s="1"/>
  <c r="AH70" i="1"/>
  <c r="AJ70" i="1" s="1"/>
  <c r="AE70" i="1" l="1"/>
  <c r="AG70" i="1" s="1"/>
  <c r="AX70" i="1" s="1"/>
  <c r="CC70" i="1"/>
  <c r="AO70" i="1"/>
  <c r="AQ70" i="1" s="1"/>
  <c r="AK70" i="1"/>
  <c r="AW69" i="1"/>
  <c r="AY70" i="1" l="1"/>
  <c r="AZ70" i="1" s="1"/>
  <c r="AI71" i="1"/>
  <c r="AN71" i="1"/>
  <c r="U71" i="1"/>
  <c r="V71" i="1" l="1"/>
  <c r="X71" i="1"/>
  <c r="Z71" i="1" s="1"/>
  <c r="AH71" i="1"/>
  <c r="AO71" i="1" l="1"/>
  <c r="AQ71" i="1" s="1"/>
  <c r="AJ71" i="1"/>
  <c r="AE71" i="1"/>
  <c r="AG71" i="1" s="1"/>
  <c r="AX71" i="1" s="1"/>
  <c r="AY71" i="1" l="1"/>
  <c r="AZ71" i="1" s="1"/>
  <c r="AK71" i="1"/>
  <c r="CC71" i="1"/>
  <c r="AW70" i="1"/>
  <c r="AI72" i="1"/>
  <c r="AN72" i="1"/>
  <c r="U72" i="1"/>
  <c r="V72" i="1" l="1"/>
  <c r="X72" i="1"/>
  <c r="Z72" i="1" s="1"/>
  <c r="AH72" i="1"/>
  <c r="AJ72" i="1" s="1"/>
  <c r="AE72" i="1" l="1"/>
  <c r="AY72" i="1" s="1"/>
  <c r="AZ72" i="1" s="1"/>
  <c r="CC72" i="1"/>
  <c r="AO72" i="1"/>
  <c r="AQ72" i="1" s="1"/>
  <c r="AK72" i="1"/>
  <c r="AW71" i="1"/>
  <c r="AG72" i="1" l="1"/>
  <c r="AX72" i="1" s="1"/>
  <c r="AI73" i="1"/>
  <c r="AN73" i="1"/>
  <c r="U73" i="1"/>
  <c r="V73" i="1" l="1"/>
  <c r="X73" i="1"/>
  <c r="Z73" i="1" s="1"/>
  <c r="AH73" i="1"/>
  <c r="AJ73" i="1" s="1"/>
  <c r="AE73" i="1" l="1"/>
  <c r="AG73" i="1" s="1"/>
  <c r="AX73" i="1" s="1"/>
  <c r="CC73" i="1"/>
  <c r="AK73" i="1"/>
  <c r="AW72" i="1"/>
  <c r="AO73" i="1"/>
  <c r="AQ73" i="1" s="1"/>
  <c r="AY73" i="1" l="1"/>
  <c r="AZ73" i="1" s="1"/>
  <c r="AN74" i="1"/>
  <c r="AI74" i="1"/>
  <c r="U74" i="1"/>
  <c r="V74" i="1" l="1"/>
  <c r="X74" i="1"/>
  <c r="Z74" i="1" s="1"/>
  <c r="AH74" i="1"/>
  <c r="AO74" i="1" l="1"/>
  <c r="AQ74" i="1" s="1"/>
  <c r="AJ74" i="1"/>
  <c r="CC74" i="1" s="1"/>
  <c r="AE74" i="1"/>
  <c r="AG74" i="1" s="1"/>
  <c r="AX74" i="1" s="1"/>
  <c r="AY74" i="1" l="1"/>
  <c r="AZ74" i="1" s="1"/>
  <c r="AK74" i="1"/>
  <c r="AW73" i="1"/>
  <c r="AN75" i="1"/>
  <c r="AI75" i="1"/>
  <c r="U75" i="1"/>
  <c r="V75" i="1" l="1"/>
  <c r="X75" i="1"/>
  <c r="Z75" i="1" s="1"/>
  <c r="AH75" i="1"/>
  <c r="AJ75" i="1" s="1"/>
  <c r="AE75" i="1" l="1"/>
  <c r="AY75" i="1" s="1"/>
  <c r="AZ75" i="1" s="1"/>
  <c r="CC75" i="1"/>
  <c r="AO75" i="1"/>
  <c r="AQ75" i="1" s="1"/>
  <c r="AW74" i="1"/>
  <c r="AK75" i="1"/>
  <c r="AG75" i="1" l="1"/>
  <c r="AX75" i="1" s="1"/>
  <c r="AN76" i="1"/>
  <c r="AI76" i="1"/>
  <c r="U76" i="1"/>
  <c r="V76" i="1" l="1"/>
  <c r="X76" i="1"/>
  <c r="Z76" i="1" s="1"/>
  <c r="AH76" i="1"/>
  <c r="AO76" i="1" l="1"/>
  <c r="AQ76" i="1" s="1"/>
  <c r="AJ76" i="1"/>
  <c r="CC76" i="1" s="1"/>
  <c r="AE76" i="1"/>
  <c r="AG76" i="1" s="1"/>
  <c r="AX76" i="1" s="1"/>
  <c r="AY76" i="1" l="1"/>
  <c r="AZ76" i="1" s="1"/>
  <c r="AK76" i="1"/>
  <c r="AW75" i="1"/>
  <c r="AN77" i="1"/>
  <c r="U77" i="1"/>
  <c r="AI77" i="1"/>
  <c r="V77" i="1" l="1"/>
  <c r="X77" i="1"/>
  <c r="Z77" i="1" s="1"/>
  <c r="AH77" i="1"/>
  <c r="AO77" i="1" l="1"/>
  <c r="AQ77" i="1" s="1"/>
  <c r="AJ77" i="1"/>
  <c r="CC77" i="1" s="1"/>
  <c r="AE77" i="1"/>
  <c r="AG77" i="1" s="1"/>
  <c r="AX77" i="1" s="1"/>
  <c r="AY77" i="1" l="1"/>
  <c r="AZ77" i="1" s="1"/>
  <c r="AW76" i="1"/>
  <c r="AK77" i="1"/>
  <c r="AI78" i="1"/>
  <c r="AN78" i="1"/>
  <c r="U78" i="1"/>
  <c r="V78" i="1" l="1"/>
  <c r="X78" i="1"/>
  <c r="Z78" i="1" s="1"/>
  <c r="AH78" i="1"/>
  <c r="AJ78" i="1" s="1"/>
  <c r="AE78" i="1" l="1"/>
  <c r="AG78" i="1" s="1"/>
  <c r="AX78" i="1" s="1"/>
  <c r="CC78" i="1"/>
  <c r="AW77" i="1"/>
  <c r="AK78" i="1"/>
  <c r="AO78" i="1"/>
  <c r="AQ78" i="1" s="1"/>
  <c r="AY78" i="1" l="1"/>
  <c r="AZ78" i="1" s="1"/>
  <c r="AI79" i="1"/>
  <c r="AN79" i="1"/>
  <c r="U79" i="1"/>
  <c r="V79" i="1" l="1"/>
  <c r="X79" i="1"/>
  <c r="Z79" i="1" s="1"/>
  <c r="AH79" i="1"/>
  <c r="AJ79" i="1" s="1"/>
  <c r="AE79" i="1" l="1"/>
  <c r="AG79" i="1" s="1"/>
  <c r="AX79" i="1" s="1"/>
  <c r="CC79" i="1"/>
  <c r="AO79" i="1"/>
  <c r="AQ79" i="1" s="1"/>
  <c r="AK79" i="1"/>
  <c r="AW78" i="1"/>
  <c r="AY79" i="1" l="1"/>
  <c r="AZ79" i="1" s="1"/>
  <c r="AI80" i="1"/>
  <c r="AN80" i="1"/>
  <c r="U80" i="1"/>
  <c r="V80" i="1" l="1"/>
  <c r="X80" i="1"/>
  <c r="Z80" i="1" s="1"/>
  <c r="AH80" i="1"/>
  <c r="AO80" i="1" l="1"/>
  <c r="AQ80" i="1" s="1"/>
  <c r="AJ80" i="1"/>
  <c r="CC80" i="1" s="1"/>
  <c r="AE80" i="1"/>
  <c r="AY80" i="1" s="1"/>
  <c r="AZ80" i="1" s="1"/>
  <c r="AG80" i="1" l="1"/>
  <c r="AX80" i="1" s="1"/>
  <c r="AW79" i="1"/>
  <c r="AK80" i="1"/>
  <c r="AI81" i="1"/>
  <c r="AN81" i="1"/>
  <c r="U81" i="1"/>
  <c r="V81" i="1" l="1"/>
  <c r="X81" i="1"/>
  <c r="Z81" i="1" s="1"/>
  <c r="AH81" i="1"/>
  <c r="AJ81" i="1" s="1"/>
  <c r="AE81" i="1" l="1"/>
  <c r="AG81" i="1" s="1"/>
  <c r="AX81" i="1" s="1"/>
  <c r="CC81" i="1"/>
  <c r="AO81" i="1"/>
  <c r="AQ81" i="1" s="1"/>
  <c r="AK81" i="1"/>
  <c r="AW80" i="1"/>
  <c r="AY81" i="1" l="1"/>
  <c r="AZ81" i="1" s="1"/>
  <c r="AI82" i="1"/>
  <c r="AN82" i="1"/>
  <c r="U82" i="1"/>
  <c r="V82" i="1" l="1"/>
  <c r="X82" i="1"/>
  <c r="Z82" i="1" s="1"/>
  <c r="AH82" i="1"/>
  <c r="AO82" i="1" l="1"/>
  <c r="AQ82" i="1" s="1"/>
  <c r="AJ82" i="1"/>
  <c r="CC82" i="1" s="1"/>
  <c r="AE82" i="1"/>
  <c r="AY82" i="1" s="1"/>
  <c r="AZ82" i="1" s="1"/>
  <c r="AG82" i="1" l="1"/>
  <c r="AX82" i="1" s="1"/>
  <c r="AW81" i="1"/>
  <c r="AK82" i="1"/>
  <c r="AN83" i="1"/>
  <c r="AI83" i="1"/>
  <c r="U83" i="1"/>
  <c r="V83" i="1" l="1"/>
  <c r="X83" i="1"/>
  <c r="Z83" i="1" s="1"/>
  <c r="AH83" i="1"/>
  <c r="AO83" i="1" l="1"/>
  <c r="AQ83" i="1" s="1"/>
  <c r="AJ83" i="1"/>
  <c r="AE83" i="1"/>
  <c r="AG83" i="1" s="1"/>
  <c r="AX83" i="1" s="1"/>
  <c r="AY83" i="1" l="1"/>
  <c r="AZ83" i="1" s="1"/>
  <c r="AK83" i="1"/>
  <c r="CC83" i="1"/>
  <c r="AW82" i="1"/>
  <c r="AN84" i="1"/>
  <c r="AI84" i="1"/>
  <c r="U84" i="1"/>
  <c r="V84" i="1" l="1"/>
  <c r="X84" i="1"/>
  <c r="Z84" i="1" s="1"/>
  <c r="AH84" i="1"/>
  <c r="AJ84" i="1" s="1"/>
  <c r="AE84" i="1" l="1"/>
  <c r="AY84" i="1" s="1"/>
  <c r="AZ84" i="1" s="1"/>
  <c r="CC84" i="1"/>
  <c r="AO84" i="1"/>
  <c r="AQ84" i="1" s="1"/>
  <c r="AW83" i="1"/>
  <c r="AK84" i="1"/>
  <c r="AG84" i="1" l="1"/>
  <c r="AX84" i="1" s="1"/>
  <c r="AN85" i="1"/>
  <c r="U85" i="1"/>
  <c r="AI85" i="1"/>
  <c r="V85" i="1" l="1"/>
  <c r="X85" i="1"/>
  <c r="Z85" i="1" s="1"/>
  <c r="AH85" i="1"/>
  <c r="AJ85" i="1" s="1"/>
  <c r="AE85" i="1" l="1"/>
  <c r="AG85" i="1" s="1"/>
  <c r="AX85" i="1" s="1"/>
  <c r="CC85" i="1"/>
  <c r="AK85" i="1"/>
  <c r="AW84" i="1"/>
  <c r="AO85" i="1"/>
  <c r="AQ85" i="1" s="1"/>
  <c r="AY85" i="1" l="1"/>
  <c r="AZ85" i="1" s="1"/>
  <c r="AI86" i="1"/>
  <c r="AN86" i="1"/>
  <c r="U86" i="1"/>
  <c r="V86" i="1" l="1"/>
  <c r="X86" i="1"/>
  <c r="Z86" i="1" s="1"/>
  <c r="AH86" i="1"/>
  <c r="AO86" i="1" l="1"/>
  <c r="AQ86" i="1" s="1"/>
  <c r="AJ86" i="1"/>
  <c r="AE86" i="1"/>
  <c r="AY86" i="1" s="1"/>
  <c r="AZ86" i="1" s="1"/>
  <c r="AG86" i="1" l="1"/>
  <c r="AX86" i="1" s="1"/>
  <c r="AK86" i="1"/>
  <c r="CC86" i="1"/>
  <c r="AW85" i="1"/>
  <c r="AN87" i="1"/>
  <c r="AI87" i="1"/>
  <c r="U87" i="1"/>
  <c r="V87" i="1" l="1"/>
  <c r="X87" i="1"/>
  <c r="Z87" i="1" s="1"/>
  <c r="AH87" i="1"/>
  <c r="AJ87" i="1" s="1"/>
  <c r="AE87" i="1" l="1"/>
  <c r="AY87" i="1" s="1"/>
  <c r="AZ87" i="1" s="1"/>
  <c r="CC87" i="1"/>
  <c r="AK87" i="1"/>
  <c r="AW86" i="1"/>
  <c r="AO87" i="1"/>
  <c r="AQ87" i="1" s="1"/>
  <c r="AG87" i="1" l="1"/>
  <c r="AX87" i="1" s="1"/>
  <c r="AI88" i="1"/>
  <c r="U88" i="1"/>
  <c r="AN88" i="1"/>
  <c r="V88" i="1" l="1"/>
  <c r="X88" i="1"/>
  <c r="Z88" i="1" s="1"/>
  <c r="AH88" i="1"/>
  <c r="AJ88" i="1" s="1"/>
  <c r="AE88" i="1" l="1"/>
  <c r="AY88" i="1" s="1"/>
  <c r="AZ88" i="1" s="1"/>
  <c r="CC88" i="1"/>
  <c r="AK88" i="1"/>
  <c r="AW87" i="1"/>
  <c r="AO88" i="1"/>
  <c r="AQ88" i="1" s="1"/>
  <c r="AG88" i="1" l="1"/>
  <c r="AX88" i="1" s="1"/>
  <c r="AN89" i="1"/>
  <c r="AI89" i="1"/>
  <c r="U89" i="1"/>
  <c r="V89" i="1" l="1"/>
  <c r="X89" i="1"/>
  <c r="Z89" i="1" s="1"/>
  <c r="AH89" i="1"/>
  <c r="AJ89" i="1" s="1"/>
  <c r="AE89" i="1" l="1"/>
  <c r="AG89" i="1" s="1"/>
  <c r="AX89" i="1" s="1"/>
  <c r="CC89" i="1"/>
  <c r="AO89" i="1"/>
  <c r="AQ89" i="1" s="1"/>
  <c r="AW88" i="1"/>
  <c r="AK89" i="1"/>
  <c r="AY89" i="1" l="1"/>
  <c r="AZ89" i="1" s="1"/>
  <c r="AN90" i="1"/>
  <c r="U90" i="1"/>
  <c r="AI90" i="1"/>
  <c r="V90" i="1" l="1"/>
  <c r="X90" i="1"/>
  <c r="Z90" i="1" s="1"/>
  <c r="AH90" i="1"/>
  <c r="AJ90" i="1" s="1"/>
  <c r="AE90" i="1" l="1"/>
  <c r="AY90" i="1" s="1"/>
  <c r="AZ90" i="1" s="1"/>
  <c r="CC90" i="1"/>
  <c r="AW89" i="1"/>
  <c r="AK90" i="1"/>
  <c r="AO90" i="1"/>
  <c r="AQ90" i="1" s="1"/>
  <c r="AG90" i="1" l="1"/>
  <c r="AX90" i="1" s="1"/>
  <c r="AN91" i="1"/>
  <c r="AI91" i="1"/>
  <c r="U91" i="1"/>
  <c r="V91" i="1" l="1"/>
  <c r="X91" i="1"/>
  <c r="Z91" i="1" s="1"/>
  <c r="AH91" i="1"/>
  <c r="AJ91" i="1" s="1"/>
  <c r="AE91" i="1" l="1"/>
  <c r="AY91" i="1" s="1"/>
  <c r="AZ91" i="1" s="1"/>
  <c r="CC91" i="1"/>
  <c r="AO91" i="1"/>
  <c r="AQ91" i="1" s="1"/>
  <c r="AW90" i="1"/>
  <c r="AK91" i="1"/>
  <c r="AG91" i="1" l="1"/>
  <c r="AX91" i="1" s="1"/>
  <c r="AN92" i="1"/>
  <c r="AI92" i="1"/>
  <c r="U92" i="1"/>
  <c r="V92" i="1" l="1"/>
  <c r="X92" i="1"/>
  <c r="Z92" i="1" s="1"/>
  <c r="AH92" i="1"/>
  <c r="AJ92" i="1" s="1"/>
  <c r="AE92" i="1" l="1"/>
  <c r="AY92" i="1" s="1"/>
  <c r="AZ92" i="1" s="1"/>
  <c r="CC92" i="1"/>
  <c r="AW91" i="1"/>
  <c r="AK92" i="1"/>
  <c r="AO92" i="1"/>
  <c r="AQ92" i="1" s="1"/>
  <c r="AG92" i="1" l="1"/>
  <c r="AX92" i="1" s="1"/>
  <c r="AN93" i="1"/>
  <c r="AI93" i="1"/>
  <c r="U93" i="1"/>
  <c r="V93" i="1" l="1"/>
  <c r="X93" i="1"/>
  <c r="Z93" i="1" s="1"/>
  <c r="AH93" i="1"/>
  <c r="AO93" i="1" l="1"/>
  <c r="AQ93" i="1" s="1"/>
  <c r="AJ93" i="1"/>
  <c r="CC93" i="1" s="1"/>
  <c r="AE93" i="1"/>
  <c r="AG93" i="1" s="1"/>
  <c r="AX93" i="1" s="1"/>
  <c r="AY93" i="1" l="1"/>
  <c r="AZ93" i="1" s="1"/>
  <c r="AW92" i="1"/>
  <c r="AK93" i="1"/>
  <c r="AN94" i="1"/>
  <c r="AI94" i="1"/>
  <c r="U94" i="1"/>
  <c r="V94" i="1" l="1"/>
  <c r="X94" i="1"/>
  <c r="Z94" i="1" s="1"/>
  <c r="AH94" i="1"/>
  <c r="AJ94" i="1" s="1"/>
  <c r="AE94" i="1" l="1"/>
  <c r="AG94" i="1" s="1"/>
  <c r="AX94" i="1" s="1"/>
  <c r="CC94" i="1"/>
  <c r="AW93" i="1"/>
  <c r="AK94" i="1"/>
  <c r="AO94" i="1"/>
  <c r="AQ94" i="1" s="1"/>
  <c r="AY94" i="1" l="1"/>
  <c r="AZ94" i="1" s="1"/>
  <c r="AI95" i="1"/>
  <c r="AN95" i="1"/>
  <c r="U95" i="1"/>
  <c r="V95" i="1" l="1"/>
  <c r="X95" i="1"/>
  <c r="Z95" i="1" s="1"/>
  <c r="AH95" i="1"/>
  <c r="AO95" i="1" l="1"/>
  <c r="AQ95" i="1" s="1"/>
  <c r="AJ95" i="1"/>
  <c r="CC95" i="1" s="1"/>
  <c r="AE95" i="1"/>
  <c r="AG95" i="1" s="1"/>
  <c r="AX95" i="1" s="1"/>
  <c r="AY95" i="1" l="1"/>
  <c r="AZ95" i="1" s="1"/>
  <c r="AN96" i="1"/>
  <c r="AI96" i="1"/>
  <c r="U96" i="1"/>
  <c r="AK95" i="1"/>
  <c r="AW94" i="1"/>
  <c r="V96" i="1" l="1"/>
  <c r="X96" i="1"/>
  <c r="Z96" i="1" s="1"/>
  <c r="AH96" i="1"/>
  <c r="AJ96" i="1" s="1"/>
  <c r="AE96" i="1" l="1"/>
  <c r="AG96" i="1" s="1"/>
  <c r="AX96" i="1" s="1"/>
  <c r="CC96" i="1"/>
  <c r="AO96" i="1"/>
  <c r="AQ96" i="1" s="1"/>
  <c r="AW95" i="1"/>
  <c r="AK96" i="1"/>
  <c r="AY96" i="1" l="1"/>
  <c r="AZ96" i="1" s="1"/>
  <c r="AN97" i="1"/>
  <c r="AI97" i="1"/>
  <c r="U97" i="1"/>
  <c r="V97" i="1" l="1"/>
  <c r="X97" i="1"/>
  <c r="Z97" i="1" s="1"/>
  <c r="AH97" i="1"/>
  <c r="AO97" i="1" l="1"/>
  <c r="AQ97" i="1" s="1"/>
  <c r="AJ97" i="1"/>
  <c r="AE97" i="1"/>
  <c r="AY97" i="1" s="1"/>
  <c r="AZ97" i="1" s="1"/>
  <c r="AG97" i="1" l="1"/>
  <c r="AX97" i="1" s="1"/>
  <c r="AW96" i="1"/>
  <c r="CC97" i="1"/>
  <c r="AK97" i="1"/>
  <c r="AN98" i="1"/>
  <c r="AI98" i="1"/>
  <c r="U98" i="1"/>
  <c r="V98" i="1" l="1"/>
  <c r="X98" i="1"/>
  <c r="Z98" i="1" s="1"/>
  <c r="AH98" i="1"/>
  <c r="AJ98" i="1" s="1"/>
  <c r="AE98" i="1" l="1"/>
  <c r="AG98" i="1" s="1"/>
  <c r="AX98" i="1" s="1"/>
  <c r="CC98" i="1"/>
  <c r="AK98" i="1"/>
  <c r="AW97" i="1"/>
  <c r="AO98" i="1"/>
  <c r="AQ98" i="1" s="1"/>
  <c r="AY98" i="1" l="1"/>
  <c r="AZ98" i="1" s="1"/>
  <c r="AN99" i="1"/>
  <c r="AI99" i="1"/>
  <c r="U99" i="1"/>
  <c r="V99" i="1" l="1"/>
  <c r="X99" i="1"/>
  <c r="Z99" i="1" s="1"/>
  <c r="AH99" i="1"/>
  <c r="AJ99" i="1" s="1"/>
  <c r="AE99" i="1" l="1"/>
  <c r="AY99" i="1" s="1"/>
  <c r="AZ99" i="1" s="1"/>
  <c r="CC99" i="1"/>
  <c r="AO99" i="1"/>
  <c r="AQ99" i="1" s="1"/>
  <c r="AW98" i="1"/>
  <c r="AK99" i="1"/>
  <c r="AG99" i="1" l="1"/>
  <c r="AX99" i="1" s="1"/>
  <c r="AI100" i="1"/>
  <c r="AN100" i="1"/>
  <c r="U100" i="1"/>
  <c r="V100" i="1" l="1"/>
  <c r="X100" i="1"/>
  <c r="Z100" i="1" s="1"/>
  <c r="AH100" i="1"/>
  <c r="AJ100" i="1" s="1"/>
  <c r="AE100" i="1" l="1"/>
  <c r="AG100" i="1" s="1"/>
  <c r="AX100" i="1" s="1"/>
  <c r="CC100" i="1"/>
  <c r="AW99" i="1"/>
  <c r="AK100" i="1"/>
  <c r="AO100" i="1"/>
  <c r="AQ100" i="1" s="1"/>
  <c r="AY100" i="1" l="1"/>
  <c r="AZ100" i="1" s="1"/>
  <c r="AN101" i="1"/>
  <c r="AI101" i="1"/>
  <c r="U101" i="1"/>
  <c r="V101" i="1" l="1"/>
  <c r="X101" i="1"/>
  <c r="Z101" i="1" s="1"/>
  <c r="AH101" i="1"/>
  <c r="AJ101" i="1" s="1"/>
  <c r="AE101" i="1" l="1"/>
  <c r="AY101" i="1" s="1"/>
  <c r="AZ101" i="1" s="1"/>
  <c r="CC101" i="1"/>
  <c r="AO101" i="1"/>
  <c r="AQ101" i="1" s="1"/>
  <c r="AK101" i="1"/>
  <c r="AW100" i="1"/>
  <c r="AG101" i="1" l="1"/>
  <c r="AX101" i="1" s="1"/>
  <c r="AI102" i="1"/>
  <c r="AN102" i="1"/>
  <c r="U102" i="1"/>
  <c r="V102" i="1" l="1"/>
  <c r="X102" i="1"/>
  <c r="Z102" i="1" s="1"/>
  <c r="AH102" i="1"/>
  <c r="AJ102" i="1" s="1"/>
  <c r="AE102" i="1" l="1"/>
  <c r="AG102" i="1" s="1"/>
  <c r="AX102" i="1" s="1"/>
  <c r="CC102" i="1"/>
  <c r="AW101" i="1"/>
  <c r="AK102" i="1"/>
  <c r="AO102" i="1"/>
  <c r="AQ102" i="1" s="1"/>
  <c r="AY102" i="1" l="1"/>
  <c r="AZ102" i="1" s="1"/>
  <c r="AN103" i="1"/>
  <c r="AI103" i="1"/>
  <c r="U103" i="1"/>
  <c r="V103" i="1" l="1"/>
  <c r="X103" i="1"/>
  <c r="Z103" i="1" s="1"/>
  <c r="AH103" i="1"/>
  <c r="AO103" i="1" l="1"/>
  <c r="AQ103" i="1" s="1"/>
  <c r="AJ103" i="1"/>
  <c r="AE103" i="1"/>
  <c r="AG103" i="1" s="1"/>
  <c r="AX103" i="1" s="1"/>
  <c r="AY103" i="1" l="1"/>
  <c r="AZ103" i="1" s="1"/>
  <c r="AW102" i="1"/>
  <c r="CC103" i="1"/>
  <c r="AK103" i="1"/>
  <c r="AN104" i="1"/>
  <c r="AI104" i="1"/>
  <c r="U104" i="1"/>
  <c r="V104" i="1" l="1"/>
  <c r="X104" i="1"/>
  <c r="Z104" i="1" s="1"/>
  <c r="AH104" i="1"/>
  <c r="AJ104" i="1" s="1"/>
  <c r="AE104" i="1" l="1"/>
  <c r="AG104" i="1" s="1"/>
  <c r="AX104" i="1" s="1"/>
  <c r="CC104" i="1"/>
  <c r="AW103" i="1"/>
  <c r="AK104" i="1"/>
  <c r="AO104" i="1"/>
  <c r="AQ104" i="1" s="1"/>
  <c r="AY104" i="1" l="1"/>
  <c r="AZ104" i="1" s="1"/>
  <c r="AN105" i="1"/>
  <c r="AI105" i="1"/>
  <c r="U105" i="1"/>
  <c r="V105" i="1" l="1"/>
  <c r="X105" i="1"/>
  <c r="Z105" i="1" s="1"/>
  <c r="AH105" i="1"/>
  <c r="AJ105" i="1" s="1"/>
  <c r="AE105" i="1" l="1"/>
  <c r="AG105" i="1" s="1"/>
  <c r="AX105" i="1" s="1"/>
  <c r="CC105" i="1"/>
  <c r="AO105" i="1"/>
  <c r="AQ105" i="1" s="1"/>
  <c r="AK105" i="1"/>
  <c r="AW104" i="1"/>
  <c r="AY105" i="1" l="1"/>
  <c r="AZ105" i="1" s="1"/>
  <c r="AN106" i="1"/>
  <c r="AI106" i="1"/>
  <c r="U106" i="1"/>
  <c r="V106" i="1" l="1"/>
  <c r="X106" i="1"/>
  <c r="Z106" i="1" s="1"/>
  <c r="AH106" i="1"/>
  <c r="AJ106" i="1" s="1"/>
  <c r="AE106" i="1" l="1"/>
  <c r="AY106" i="1" s="1"/>
  <c r="AZ106" i="1" s="1"/>
  <c r="CC106" i="1"/>
  <c r="AW105" i="1"/>
  <c r="AK106" i="1"/>
  <c r="AO106" i="1"/>
  <c r="AQ106" i="1" s="1"/>
  <c r="AG106" i="1" l="1"/>
  <c r="AX106" i="1" s="1"/>
  <c r="AI107" i="1"/>
  <c r="AN107" i="1"/>
  <c r="U107" i="1"/>
  <c r="V107" i="1" l="1"/>
  <c r="X107" i="1"/>
  <c r="Z107" i="1" s="1"/>
  <c r="AH107" i="1"/>
  <c r="AJ107" i="1" s="1"/>
  <c r="AE107" i="1" l="1"/>
  <c r="AY107" i="1" s="1"/>
  <c r="AZ107" i="1" s="1"/>
  <c r="CC107" i="1"/>
  <c r="AO107" i="1"/>
  <c r="AQ107" i="1" s="1"/>
  <c r="AK107" i="1"/>
  <c r="AW106" i="1"/>
  <c r="AG107" i="1" l="1"/>
  <c r="AX107" i="1" s="1"/>
  <c r="AI108" i="1"/>
  <c r="AN108" i="1"/>
  <c r="U108" i="1"/>
  <c r="V108" i="1" l="1"/>
  <c r="X108" i="1"/>
  <c r="Z108" i="1" s="1"/>
  <c r="AH108" i="1"/>
  <c r="AJ108" i="1" s="1"/>
  <c r="AE108" i="1" l="1"/>
  <c r="AY108" i="1" s="1"/>
  <c r="AZ108" i="1" s="1"/>
  <c r="CC108" i="1"/>
  <c r="AK108" i="1"/>
  <c r="AW107" i="1"/>
  <c r="AO108" i="1"/>
  <c r="AQ108" i="1" s="1"/>
  <c r="AG108" i="1" l="1"/>
  <c r="AX108" i="1" s="1"/>
  <c r="AN109" i="1"/>
  <c r="AI109" i="1"/>
  <c r="U109" i="1"/>
  <c r="V109" i="1" l="1"/>
  <c r="X109" i="1"/>
  <c r="Z109" i="1" s="1"/>
  <c r="AH109" i="1"/>
  <c r="AJ109" i="1" s="1"/>
  <c r="AE109" i="1" l="1"/>
  <c r="AY109" i="1" s="1"/>
  <c r="AZ109" i="1" s="1"/>
  <c r="CC109" i="1"/>
  <c r="AO109" i="1"/>
  <c r="AQ109" i="1" s="1"/>
  <c r="AK109" i="1"/>
  <c r="AW108" i="1"/>
  <c r="AG109" i="1" l="1"/>
  <c r="AX109" i="1" s="1"/>
  <c r="AI110" i="1"/>
  <c r="AN110" i="1"/>
  <c r="U110" i="1"/>
  <c r="V110" i="1" l="1"/>
  <c r="X110" i="1"/>
  <c r="Z110" i="1" s="1"/>
  <c r="AH110" i="1"/>
  <c r="AJ110" i="1" s="1"/>
  <c r="AE110" i="1" l="1"/>
  <c r="AY110" i="1" s="1"/>
  <c r="AZ110" i="1" s="1"/>
  <c r="CC110" i="1"/>
  <c r="AK110" i="1"/>
  <c r="AW109" i="1"/>
  <c r="AO110" i="1"/>
  <c r="AQ110" i="1" s="1"/>
  <c r="AG110" i="1" l="1"/>
  <c r="AX110" i="1" s="1"/>
  <c r="AI111" i="1"/>
  <c r="AN111" i="1"/>
  <c r="U111" i="1"/>
  <c r="V111" i="1" l="1"/>
  <c r="X111" i="1"/>
  <c r="Z111" i="1" s="1"/>
  <c r="AH111" i="1"/>
  <c r="AJ111" i="1" s="1"/>
  <c r="AE111" i="1" l="1"/>
  <c r="AG111" i="1" s="1"/>
  <c r="AX111" i="1" s="1"/>
  <c r="CC111" i="1"/>
  <c r="AW110" i="1"/>
  <c r="AK111" i="1"/>
  <c r="AO111" i="1"/>
  <c r="AQ111" i="1" s="1"/>
  <c r="AY111" i="1" l="1"/>
  <c r="AZ111" i="1" s="1"/>
  <c r="AI112" i="1"/>
  <c r="U112" i="1"/>
  <c r="AN112" i="1"/>
  <c r="V112" i="1" l="1"/>
  <c r="X112" i="1"/>
  <c r="Z112" i="1" s="1"/>
  <c r="AH112" i="1"/>
  <c r="AJ112" i="1" s="1"/>
  <c r="AE112" i="1" l="1"/>
  <c r="AY112" i="1" s="1"/>
  <c r="AZ112" i="1" s="1"/>
  <c r="CC112" i="1"/>
  <c r="AO112" i="1"/>
  <c r="AQ112" i="1" s="1"/>
  <c r="AK112" i="1"/>
  <c r="AW111" i="1"/>
  <c r="AG112" i="1" l="1"/>
  <c r="AX112" i="1" s="1"/>
  <c r="AI113" i="1"/>
  <c r="AN113" i="1"/>
  <c r="U113" i="1"/>
  <c r="V113" i="1" l="1"/>
  <c r="X113" i="1"/>
  <c r="Z113" i="1" s="1"/>
  <c r="AH113" i="1"/>
  <c r="AJ113" i="1" s="1"/>
  <c r="AE113" i="1" l="1"/>
  <c r="AY113" i="1" s="1"/>
  <c r="AZ113" i="1" s="1"/>
  <c r="CC113" i="1"/>
  <c r="AW112" i="1"/>
  <c r="AK113" i="1"/>
  <c r="AO113" i="1"/>
  <c r="AQ113" i="1" s="1"/>
  <c r="AG113" i="1" l="1"/>
  <c r="AX113" i="1" s="1"/>
  <c r="AI114" i="1"/>
  <c r="U114" i="1"/>
  <c r="AN114" i="1"/>
  <c r="V114" i="1" l="1"/>
  <c r="X114" i="1"/>
  <c r="Z114" i="1" s="1"/>
  <c r="AH114" i="1"/>
  <c r="AJ114" i="1" s="1"/>
  <c r="AE114" i="1" l="1"/>
  <c r="AG114" i="1" s="1"/>
  <c r="AX114" i="1" s="1"/>
  <c r="CC114" i="1"/>
  <c r="AK114" i="1"/>
  <c r="AW113" i="1"/>
  <c r="AO114" i="1"/>
  <c r="AQ114" i="1" s="1"/>
  <c r="AY114" i="1" l="1"/>
  <c r="AZ114" i="1" s="1"/>
  <c r="AI115" i="1"/>
  <c r="AN115" i="1"/>
  <c r="U115" i="1"/>
  <c r="V115" i="1" l="1"/>
  <c r="X115" i="1"/>
  <c r="Z115" i="1" s="1"/>
  <c r="AH115" i="1"/>
  <c r="AJ115" i="1" s="1"/>
  <c r="AE115" i="1" l="1"/>
  <c r="AG115" i="1" s="1"/>
  <c r="AX115" i="1" s="1"/>
  <c r="CC115" i="1"/>
  <c r="AW114" i="1"/>
  <c r="AK115" i="1"/>
  <c r="AO115" i="1"/>
  <c r="AQ115" i="1" s="1"/>
  <c r="AY115" i="1" l="1"/>
  <c r="AZ115" i="1" s="1"/>
  <c r="U116" i="1"/>
  <c r="AI116" i="1"/>
  <c r="AN116" i="1"/>
  <c r="V116" i="1" l="1"/>
  <c r="X116" i="1"/>
  <c r="Z116" i="1" s="1"/>
  <c r="AH116" i="1"/>
  <c r="AJ116" i="1" s="1"/>
  <c r="AE116" i="1" l="1"/>
  <c r="AG116" i="1" s="1"/>
  <c r="AX116" i="1" s="1"/>
  <c r="CC116" i="1"/>
  <c r="AW115" i="1"/>
  <c r="AK116" i="1"/>
  <c r="AO116" i="1"/>
  <c r="AQ116" i="1" s="1"/>
  <c r="AY116" i="1" l="1"/>
  <c r="AZ116" i="1" s="1"/>
  <c r="AN117" i="1"/>
  <c r="AI117" i="1"/>
  <c r="U117" i="1"/>
  <c r="V117" i="1" l="1"/>
  <c r="X117" i="1"/>
  <c r="Z117" i="1" s="1"/>
  <c r="AH117" i="1"/>
  <c r="AO117" i="1" l="1"/>
  <c r="AQ117" i="1" s="1"/>
  <c r="AJ117" i="1"/>
  <c r="AE117" i="1"/>
  <c r="AY117" i="1" s="1"/>
  <c r="AZ117" i="1" s="1"/>
  <c r="AG117" i="1" l="1"/>
  <c r="AX117" i="1" s="1"/>
  <c r="AW116" i="1"/>
  <c r="CC117" i="1"/>
  <c r="AK117" i="1"/>
  <c r="AN118" i="1"/>
  <c r="U118" i="1"/>
  <c r="AI118" i="1"/>
  <c r="V118" i="1" l="1"/>
  <c r="X118" i="1"/>
  <c r="Z118" i="1" s="1"/>
  <c r="AH118" i="1"/>
  <c r="AJ118" i="1" s="1"/>
  <c r="AE118" i="1" l="1"/>
  <c r="AG118" i="1" s="1"/>
  <c r="AX118" i="1" s="1"/>
  <c r="CC118" i="1"/>
  <c r="AW117" i="1"/>
  <c r="AK118" i="1"/>
  <c r="AO118" i="1"/>
  <c r="AQ118" i="1" s="1"/>
  <c r="AY118" i="1" l="1"/>
  <c r="AZ118" i="1" s="1"/>
  <c r="AN119" i="1"/>
  <c r="AI119" i="1"/>
  <c r="U119" i="1"/>
  <c r="V119" i="1" l="1"/>
  <c r="X119" i="1"/>
  <c r="Z119" i="1" s="1"/>
  <c r="AH119" i="1"/>
  <c r="AJ119" i="1" s="1"/>
  <c r="AE119" i="1" l="1"/>
  <c r="AG119" i="1" s="1"/>
  <c r="AX119" i="1" s="1"/>
  <c r="CC119" i="1"/>
  <c r="AW118" i="1"/>
  <c r="AK119" i="1"/>
  <c r="AO119" i="1"/>
  <c r="AQ119" i="1" s="1"/>
  <c r="AY119" i="1" l="1"/>
  <c r="AZ119" i="1" s="1"/>
  <c r="AN120" i="1"/>
  <c r="AI120" i="1"/>
  <c r="U120" i="1"/>
  <c r="V120" i="1" l="1"/>
  <c r="X120" i="1"/>
  <c r="Z120" i="1" s="1"/>
  <c r="AH120" i="1"/>
  <c r="AO120" i="1" l="1"/>
  <c r="AQ120" i="1" s="1"/>
  <c r="AJ120" i="1"/>
  <c r="CC120" i="1" s="1"/>
  <c r="AE120" i="1"/>
  <c r="AG120" i="1" s="1"/>
  <c r="AX120" i="1" s="1"/>
  <c r="AY120" i="1" l="1"/>
  <c r="AZ120" i="1" s="1"/>
  <c r="AK120" i="1"/>
  <c r="AW119" i="1"/>
  <c r="AI121" i="1"/>
  <c r="AN121" i="1"/>
  <c r="U121" i="1"/>
  <c r="V121" i="1" l="1"/>
  <c r="X121" i="1"/>
  <c r="Z121" i="1" s="1"/>
  <c r="AH121" i="1"/>
  <c r="AO121" i="1" l="1"/>
  <c r="AQ121" i="1" s="1"/>
  <c r="AJ121" i="1"/>
  <c r="AE121" i="1"/>
  <c r="AY121" i="1" s="1"/>
  <c r="AZ121" i="1" s="1"/>
  <c r="AG121" i="1" l="1"/>
  <c r="AX121" i="1" s="1"/>
  <c r="AK121" i="1"/>
  <c r="CC121" i="1"/>
  <c r="AW120" i="1"/>
  <c r="AN122" i="1"/>
  <c r="U122" i="1"/>
  <c r="AI122" i="1"/>
  <c r="V122" i="1" l="1"/>
  <c r="X122" i="1"/>
  <c r="Z122" i="1" s="1"/>
  <c r="AH122" i="1"/>
  <c r="AJ122" i="1" s="1"/>
  <c r="AE122" i="1" l="1"/>
  <c r="AY122" i="1" s="1"/>
  <c r="AZ122" i="1" s="1"/>
  <c r="CC122" i="1"/>
  <c r="AK122" i="1"/>
  <c r="AW121" i="1"/>
  <c r="AO122" i="1"/>
  <c r="AQ122" i="1" s="1"/>
  <c r="AG122" i="1" l="1"/>
  <c r="AX122" i="1" s="1"/>
  <c r="AI123" i="1"/>
  <c r="AN123" i="1"/>
  <c r="U123" i="1"/>
  <c r="V123" i="1" l="1"/>
  <c r="X123" i="1"/>
  <c r="Z123" i="1" s="1"/>
  <c r="AH123" i="1"/>
  <c r="AJ123" i="1" s="1"/>
  <c r="AE123" i="1" l="1"/>
  <c r="AY123" i="1" s="1"/>
  <c r="AZ123" i="1" s="1"/>
  <c r="CC123" i="1"/>
  <c r="AW122" i="1"/>
  <c r="AK123" i="1"/>
  <c r="AO123" i="1"/>
  <c r="AQ123" i="1" s="1"/>
  <c r="AG123" i="1" l="1"/>
  <c r="AX123" i="1" s="1"/>
  <c r="AN124" i="1"/>
  <c r="U124" i="1"/>
  <c r="AI124" i="1"/>
  <c r="V124" i="1" l="1"/>
  <c r="X124" i="1"/>
  <c r="Z124" i="1" s="1"/>
  <c r="AH124" i="1"/>
  <c r="AJ124" i="1" s="1"/>
  <c r="AE124" i="1" l="1"/>
  <c r="AY124" i="1" s="1"/>
  <c r="AZ124" i="1" s="1"/>
  <c r="CC124" i="1"/>
  <c r="AW123" i="1"/>
  <c r="AK124" i="1"/>
  <c r="AO124" i="1"/>
  <c r="AQ124" i="1" s="1"/>
  <c r="AG124" i="1" l="1"/>
  <c r="AX124" i="1" s="1"/>
  <c r="AN125" i="1"/>
  <c r="AI125" i="1"/>
  <c r="U125" i="1"/>
  <c r="V125" i="1" l="1"/>
  <c r="X125" i="1"/>
  <c r="Z125" i="1" s="1"/>
  <c r="AH125" i="1"/>
  <c r="AO125" i="1" l="1"/>
  <c r="AQ125" i="1" s="1"/>
  <c r="AJ125" i="1"/>
  <c r="AE125" i="1"/>
  <c r="AG125" i="1" s="1"/>
  <c r="AX125" i="1" s="1"/>
  <c r="AY125" i="1" l="1"/>
  <c r="AZ125" i="1" s="1"/>
  <c r="AW124" i="1"/>
  <c r="CC125" i="1"/>
  <c r="AK125" i="1"/>
  <c r="AN126" i="1"/>
  <c r="U126" i="1"/>
  <c r="AI126" i="1"/>
  <c r="V126" i="1" l="1"/>
  <c r="X126" i="1"/>
  <c r="Z126" i="1" s="1"/>
  <c r="AH126" i="1"/>
  <c r="AJ126" i="1" s="1"/>
  <c r="AE126" i="1" l="1"/>
  <c r="AY126" i="1" s="1"/>
  <c r="AZ126" i="1" s="1"/>
  <c r="CC126" i="1"/>
  <c r="AO126" i="1"/>
  <c r="AQ126" i="1" s="1"/>
  <c r="AW125" i="1"/>
  <c r="AK126" i="1"/>
  <c r="AG126" i="1" l="1"/>
  <c r="AX126" i="1" s="1"/>
  <c r="AN127" i="1"/>
  <c r="AI127" i="1"/>
  <c r="U127" i="1"/>
  <c r="V127" i="1" l="1"/>
  <c r="X127" i="1"/>
  <c r="Z127" i="1" s="1"/>
  <c r="AH127" i="1"/>
  <c r="AO127" i="1" l="1"/>
  <c r="AQ127" i="1" s="1"/>
  <c r="AJ127" i="1"/>
  <c r="AE127" i="1"/>
  <c r="AY127" i="1" s="1"/>
  <c r="AZ127" i="1" s="1"/>
  <c r="AG127" i="1" l="1"/>
  <c r="AX127" i="1" s="1"/>
  <c r="AK127" i="1"/>
  <c r="CC127" i="1"/>
  <c r="AW126" i="1"/>
  <c r="AI128" i="1"/>
  <c r="U128" i="1"/>
  <c r="AN128" i="1"/>
  <c r="V128" i="1" l="1"/>
  <c r="X128" i="1"/>
  <c r="Z128" i="1" s="1"/>
  <c r="AH128" i="1"/>
  <c r="AJ128" i="1" s="1"/>
  <c r="AE128" i="1" l="1"/>
  <c r="AY128" i="1" s="1"/>
  <c r="AZ128" i="1" s="1"/>
  <c r="CC128" i="1"/>
  <c r="AW127" i="1"/>
  <c r="AK128" i="1"/>
  <c r="AO128" i="1"/>
  <c r="AQ128" i="1" s="1"/>
  <c r="AG128" i="1" l="1"/>
  <c r="AX128" i="1" s="1"/>
  <c r="AI129" i="1"/>
  <c r="AN129" i="1"/>
  <c r="U129" i="1"/>
  <c r="V129" i="1" l="1"/>
  <c r="X129" i="1"/>
  <c r="Z129" i="1" s="1"/>
  <c r="AH129" i="1"/>
  <c r="AO129" i="1" l="1"/>
  <c r="AQ129" i="1" s="1"/>
  <c r="AJ129" i="1"/>
  <c r="CC129" i="1" s="1"/>
  <c r="AE129" i="1"/>
  <c r="AG129" i="1" s="1"/>
  <c r="AX129" i="1" s="1"/>
  <c r="AY129" i="1" l="1"/>
  <c r="AZ129" i="1" s="1"/>
  <c r="AW128" i="1"/>
  <c r="AK129" i="1"/>
  <c r="AN130" i="1"/>
  <c r="U130" i="1"/>
  <c r="AI130" i="1"/>
  <c r="V130" i="1" l="1"/>
  <c r="X130" i="1"/>
  <c r="Z130" i="1" s="1"/>
  <c r="AH130" i="1"/>
  <c r="AJ130" i="1" s="1"/>
  <c r="AE130" i="1" l="1"/>
  <c r="AY130" i="1" s="1"/>
  <c r="AZ130" i="1" s="1"/>
  <c r="CC130" i="1"/>
  <c r="AK130" i="1"/>
  <c r="AW129" i="1"/>
  <c r="AO130" i="1"/>
  <c r="AQ130" i="1" s="1"/>
  <c r="AG130" i="1" l="1"/>
  <c r="AX130" i="1" s="1"/>
  <c r="AI131" i="1"/>
  <c r="AN131" i="1"/>
  <c r="U131" i="1"/>
  <c r="V131" i="1" l="1"/>
  <c r="X131" i="1"/>
  <c r="Z131" i="1" s="1"/>
  <c r="AH131" i="1"/>
  <c r="AJ131" i="1" s="1"/>
  <c r="AE131" i="1" l="1"/>
  <c r="AY131" i="1" s="1"/>
  <c r="AZ131" i="1" s="1"/>
  <c r="CC131" i="1"/>
  <c r="AW130" i="1"/>
  <c r="AK131" i="1"/>
  <c r="AO131" i="1"/>
  <c r="AQ131" i="1" s="1"/>
  <c r="AG131" i="1" l="1"/>
  <c r="AX131" i="1" s="1"/>
  <c r="AI132" i="1"/>
  <c r="U132" i="1"/>
  <c r="AN132" i="1"/>
  <c r="V132" i="1" l="1"/>
  <c r="X132" i="1"/>
  <c r="Z132" i="1" s="1"/>
  <c r="AH132" i="1"/>
  <c r="AJ132" i="1" s="1"/>
  <c r="CC132" i="1" l="1"/>
  <c r="AE132" i="1"/>
  <c r="AY132" i="1" s="1"/>
  <c r="AZ132" i="1" s="1"/>
  <c r="AO132" i="1"/>
  <c r="AQ132" i="1" s="1"/>
  <c r="AW131" i="1"/>
  <c r="AK132" i="1"/>
  <c r="AG132" i="1" l="1"/>
  <c r="AX132" i="1" s="1"/>
  <c r="AN133" i="1"/>
  <c r="AI133" i="1"/>
  <c r="U133" i="1"/>
  <c r="V133" i="1" l="1"/>
  <c r="X133" i="1"/>
  <c r="Z133" i="1" s="1"/>
  <c r="AH133" i="1"/>
  <c r="AJ133" i="1" s="1"/>
  <c r="CC133" i="1" l="1"/>
  <c r="AE133" i="1"/>
  <c r="AY133" i="1" s="1"/>
  <c r="AZ133" i="1" s="1"/>
  <c r="AO133" i="1"/>
  <c r="AQ133" i="1" s="1"/>
  <c r="AK133" i="1"/>
  <c r="AW132" i="1"/>
  <c r="AG133" i="1" l="1"/>
  <c r="AX133" i="1" s="1"/>
  <c r="AN134" i="1"/>
  <c r="AI134" i="1"/>
  <c r="U134" i="1"/>
  <c r="V134" i="1" l="1"/>
  <c r="X134" i="1"/>
  <c r="Z134" i="1" s="1"/>
  <c r="AH134" i="1"/>
  <c r="AJ134" i="1" s="1"/>
  <c r="CC134" i="1" l="1"/>
  <c r="AE134" i="1"/>
  <c r="AY134" i="1" s="1"/>
  <c r="AZ134" i="1" s="1"/>
  <c r="AO134" i="1"/>
  <c r="AQ134" i="1" s="1"/>
  <c r="AW133" i="1"/>
  <c r="AK134" i="1"/>
  <c r="AG134" i="1" l="1"/>
  <c r="AX134" i="1" s="1"/>
  <c r="AI135" i="1"/>
  <c r="AN135" i="1"/>
  <c r="U135" i="1"/>
  <c r="V135" i="1" l="1"/>
  <c r="X135" i="1"/>
  <c r="Z135" i="1" s="1"/>
  <c r="AH135" i="1"/>
  <c r="AJ135" i="1" s="1"/>
  <c r="CC135" i="1" l="1"/>
  <c r="AE135" i="1"/>
  <c r="AG135" i="1" s="1"/>
  <c r="AX135" i="1" s="1"/>
  <c r="AO135" i="1"/>
  <c r="AQ135" i="1" s="1"/>
  <c r="AW134" i="1"/>
  <c r="AK135" i="1"/>
  <c r="AY135" i="1" l="1"/>
  <c r="AZ135" i="1" s="1"/>
  <c r="AI136" i="1"/>
  <c r="AN136" i="1"/>
  <c r="U136" i="1"/>
  <c r="V136" i="1" l="1"/>
  <c r="X136" i="1"/>
  <c r="Z136" i="1" s="1"/>
  <c r="AH136" i="1"/>
  <c r="AO136" i="1" l="1"/>
  <c r="AQ136" i="1" s="1"/>
  <c r="AJ136" i="1"/>
  <c r="AE136" i="1"/>
  <c r="AY136" i="1" s="1"/>
  <c r="AZ136" i="1" s="1"/>
  <c r="AG136" i="1" l="1"/>
  <c r="AX136" i="1" s="1"/>
  <c r="AK136" i="1"/>
  <c r="CC136" i="1"/>
  <c r="AW135" i="1"/>
  <c r="AI137" i="1"/>
  <c r="AN137" i="1"/>
  <c r="U137" i="1"/>
  <c r="V137" i="1" l="1"/>
  <c r="X137" i="1"/>
  <c r="Z137" i="1" s="1"/>
  <c r="AH137" i="1"/>
  <c r="AJ137" i="1" s="1"/>
  <c r="CC137" i="1" l="1"/>
  <c r="AE137" i="1"/>
  <c r="AY137" i="1" s="1"/>
  <c r="AZ137" i="1" s="1"/>
  <c r="AO137" i="1"/>
  <c r="AQ137" i="1" s="1"/>
  <c r="AW136" i="1"/>
  <c r="AK137" i="1"/>
  <c r="AG137" i="1" l="1"/>
  <c r="AX137" i="1" s="1"/>
  <c r="AI138" i="1"/>
  <c r="AN138" i="1"/>
  <c r="U138" i="1"/>
  <c r="V138" i="1" l="1"/>
  <c r="X138" i="1"/>
  <c r="Z138" i="1" s="1"/>
  <c r="AH138" i="1"/>
  <c r="AO138" i="1" l="1"/>
  <c r="AQ138" i="1" s="1"/>
  <c r="AJ138" i="1"/>
  <c r="AE138" i="1"/>
  <c r="AY138" i="1" s="1"/>
  <c r="AZ138" i="1" s="1"/>
  <c r="AG138" i="1" l="1"/>
  <c r="AX138" i="1" s="1"/>
  <c r="AK138" i="1"/>
  <c r="CC138" i="1"/>
  <c r="AW137" i="1"/>
  <c r="AI139" i="1"/>
  <c r="U139" i="1"/>
  <c r="AN139" i="1"/>
  <c r="V139" i="1" l="1"/>
  <c r="X139" i="1"/>
  <c r="Z139" i="1" s="1"/>
  <c r="AH139" i="1"/>
  <c r="AJ139" i="1" s="1"/>
  <c r="AE139" i="1" l="1"/>
  <c r="AG139" i="1" s="1"/>
  <c r="AX139" i="1" s="1"/>
  <c r="CC139" i="1"/>
  <c r="AO139" i="1"/>
  <c r="AQ139" i="1" s="1"/>
  <c r="AW138" i="1"/>
  <c r="AK139" i="1"/>
  <c r="AY139" i="1" l="1"/>
  <c r="AZ139" i="1" s="1"/>
  <c r="AN140" i="1"/>
  <c r="AI140" i="1"/>
  <c r="U140" i="1"/>
  <c r="V140" i="1" l="1"/>
  <c r="X140" i="1"/>
  <c r="Z140" i="1" s="1"/>
  <c r="AH140" i="1"/>
  <c r="AO140" i="1" l="1"/>
  <c r="AQ140" i="1" s="1"/>
  <c r="AJ140" i="1"/>
  <c r="AE140" i="1"/>
  <c r="AY140" i="1" s="1"/>
  <c r="AZ140" i="1" s="1"/>
  <c r="AG140" i="1" l="1"/>
  <c r="AX140" i="1" s="1"/>
  <c r="AW139" i="1"/>
  <c r="CC140" i="1"/>
  <c r="AK140" i="1"/>
  <c r="AI141" i="1"/>
  <c r="AN141" i="1"/>
  <c r="U141" i="1"/>
  <c r="V141" i="1" l="1"/>
  <c r="X141" i="1"/>
  <c r="Z141" i="1" s="1"/>
  <c r="AH141" i="1"/>
  <c r="AJ141" i="1" s="1"/>
  <c r="AE141" i="1" l="1"/>
  <c r="AY141" i="1" s="1"/>
  <c r="AZ141" i="1" s="1"/>
  <c r="CC141" i="1"/>
  <c r="AO141" i="1"/>
  <c r="AQ141" i="1" s="1"/>
  <c r="AK141" i="1"/>
  <c r="AW140" i="1"/>
  <c r="AG141" i="1" l="1"/>
  <c r="AX141" i="1" s="1"/>
  <c r="AN142" i="1"/>
  <c r="AI142" i="1"/>
  <c r="U142" i="1"/>
  <c r="V142" i="1" l="1"/>
  <c r="X142" i="1"/>
  <c r="Z142" i="1" s="1"/>
  <c r="AH142" i="1"/>
  <c r="AJ142" i="1" s="1"/>
  <c r="AE142" i="1" l="1"/>
  <c r="AY142" i="1" s="1"/>
  <c r="AZ142" i="1" s="1"/>
  <c r="CC142" i="1"/>
  <c r="AW141" i="1"/>
  <c r="AK142" i="1"/>
  <c r="AO142" i="1"/>
  <c r="AQ142" i="1" s="1"/>
  <c r="AG142" i="1" l="1"/>
  <c r="AX142" i="1" s="1"/>
  <c r="U143" i="1"/>
  <c r="AN143" i="1"/>
  <c r="AI143" i="1"/>
  <c r="V143" i="1" l="1"/>
  <c r="X143" i="1"/>
  <c r="Z143" i="1" s="1"/>
  <c r="AH143" i="1"/>
  <c r="AJ143" i="1" s="1"/>
  <c r="AE143" i="1" l="1"/>
  <c r="AG143" i="1" s="1"/>
  <c r="AX143" i="1" s="1"/>
  <c r="CC143" i="1"/>
  <c r="AW142" i="1"/>
  <c r="AK143" i="1"/>
  <c r="AO143" i="1"/>
  <c r="AQ143" i="1" s="1"/>
  <c r="AY143" i="1" l="1"/>
  <c r="AZ143" i="1" s="1"/>
  <c r="AI144" i="1"/>
  <c r="AN144" i="1"/>
  <c r="U144" i="1"/>
  <c r="V144" i="1" l="1"/>
  <c r="X144" i="1"/>
  <c r="Z144" i="1" s="1"/>
  <c r="AH144" i="1"/>
  <c r="AO144" i="1" l="1"/>
  <c r="AQ144" i="1" s="1"/>
  <c r="AJ144" i="1"/>
  <c r="AE144" i="1"/>
  <c r="AG144" i="1" s="1"/>
  <c r="AX144" i="1" s="1"/>
  <c r="AY144" i="1" l="1"/>
  <c r="AZ144" i="1" s="1"/>
  <c r="AW143" i="1"/>
  <c r="CC144" i="1"/>
  <c r="AK144" i="1"/>
  <c r="AI145" i="1"/>
  <c r="U145" i="1"/>
  <c r="AN145" i="1"/>
  <c r="V145" i="1" l="1"/>
  <c r="X145" i="1"/>
  <c r="Z145" i="1" s="1"/>
  <c r="AH145" i="1"/>
  <c r="AJ145" i="1" s="1"/>
  <c r="AE145" i="1" l="1"/>
  <c r="AY145" i="1" s="1"/>
  <c r="AZ145" i="1" s="1"/>
  <c r="CC145" i="1"/>
  <c r="AO145" i="1"/>
  <c r="AQ145" i="1" s="1"/>
  <c r="AK145" i="1"/>
  <c r="AW144" i="1"/>
  <c r="AG145" i="1" l="1"/>
  <c r="AX145" i="1" s="1"/>
  <c r="AI146" i="1"/>
  <c r="AN146" i="1"/>
  <c r="U146" i="1"/>
  <c r="V146" i="1" l="1"/>
  <c r="X146" i="1"/>
  <c r="Z146" i="1" s="1"/>
  <c r="AH146" i="1"/>
  <c r="AJ146" i="1" s="1"/>
  <c r="AE146" i="1" l="1"/>
  <c r="AG146" i="1" s="1"/>
  <c r="AX146" i="1" s="1"/>
  <c r="CC146" i="1"/>
  <c r="AO146" i="1"/>
  <c r="AQ146" i="1" s="1"/>
  <c r="AK146" i="1"/>
  <c r="AW145" i="1"/>
  <c r="AY146" i="1" l="1"/>
  <c r="AZ146" i="1" s="1"/>
  <c r="AN147" i="1"/>
  <c r="U147" i="1"/>
  <c r="AI147" i="1"/>
  <c r="V147" i="1" l="1"/>
  <c r="X147" i="1"/>
  <c r="Z147" i="1" s="1"/>
  <c r="AH147" i="1"/>
  <c r="AJ147" i="1" s="1"/>
  <c r="AE147" i="1" l="1"/>
  <c r="AY147" i="1" s="1"/>
  <c r="AZ147" i="1" s="1"/>
  <c r="CC147" i="1"/>
  <c r="AO147" i="1"/>
  <c r="AQ147" i="1" s="1"/>
  <c r="AK147" i="1"/>
  <c r="AW146" i="1"/>
  <c r="AG147" i="1" l="1"/>
  <c r="AX147" i="1" s="1"/>
  <c r="AN148" i="1"/>
  <c r="AI148" i="1"/>
  <c r="U148" i="1"/>
  <c r="V148" i="1" l="1"/>
  <c r="X148" i="1"/>
  <c r="Z148" i="1" s="1"/>
  <c r="AH148" i="1"/>
  <c r="AJ148" i="1" s="1"/>
  <c r="AE148" i="1" l="1"/>
  <c r="AG148" i="1" s="1"/>
  <c r="AX148" i="1" s="1"/>
  <c r="CC148" i="1"/>
  <c r="AW147" i="1"/>
  <c r="AK148" i="1"/>
  <c r="AO148" i="1"/>
  <c r="AQ148" i="1" s="1"/>
  <c r="AY148" i="1" l="1"/>
  <c r="AZ148" i="1" s="1"/>
  <c r="AN149" i="1"/>
  <c r="U149" i="1"/>
  <c r="AI149" i="1"/>
  <c r="V149" i="1" l="1"/>
  <c r="X149" i="1"/>
  <c r="Z149" i="1" s="1"/>
  <c r="AH149" i="1"/>
  <c r="AO149" i="1" l="1"/>
  <c r="AQ149" i="1" s="1"/>
  <c r="AJ149" i="1"/>
  <c r="AE149" i="1"/>
  <c r="AG149" i="1" s="1"/>
  <c r="AX149" i="1" s="1"/>
  <c r="AY149" i="1" l="1"/>
  <c r="AZ149" i="1" s="1"/>
  <c r="AK149" i="1"/>
  <c r="CC149" i="1"/>
  <c r="AW148" i="1"/>
  <c r="AI150" i="1"/>
  <c r="U150" i="1"/>
  <c r="AN150" i="1"/>
  <c r="V150" i="1" l="1"/>
  <c r="X150" i="1"/>
  <c r="Z150" i="1" s="1"/>
  <c r="AH150" i="1"/>
  <c r="AO150" i="1" l="1"/>
  <c r="AQ150" i="1" s="1"/>
  <c r="AJ150" i="1"/>
  <c r="CC150" i="1" s="1"/>
  <c r="AE150" i="1"/>
  <c r="AY150" i="1" s="1"/>
  <c r="AZ150" i="1" s="1"/>
  <c r="AG150" i="1" l="1"/>
  <c r="AX150" i="1" s="1"/>
  <c r="AW149" i="1"/>
  <c r="AK150" i="1"/>
  <c r="AI151" i="1"/>
  <c r="AN151" i="1"/>
  <c r="U151" i="1"/>
  <c r="V151" i="1" l="1"/>
  <c r="X151" i="1"/>
  <c r="Z151" i="1" s="1"/>
  <c r="AH151" i="1"/>
  <c r="AO151" i="1" l="1"/>
  <c r="AQ151" i="1" s="1"/>
  <c r="AJ151" i="1"/>
  <c r="AE151" i="1"/>
  <c r="AG151" i="1" s="1"/>
  <c r="AX151" i="1" s="1"/>
  <c r="AY151" i="1" l="1"/>
  <c r="AZ151" i="1" s="1"/>
  <c r="AW150" i="1"/>
  <c r="CC151" i="1"/>
  <c r="AK151" i="1"/>
  <c r="AI152" i="1"/>
  <c r="AN152" i="1"/>
  <c r="U152" i="1"/>
  <c r="V152" i="1" l="1"/>
  <c r="X152" i="1"/>
  <c r="Z152" i="1" s="1"/>
  <c r="AH152" i="1"/>
  <c r="AO152" i="1" l="1"/>
  <c r="AQ152" i="1" s="1"/>
  <c r="AJ152" i="1"/>
  <c r="AE152" i="1"/>
  <c r="AG152" i="1" s="1"/>
  <c r="AX152" i="1" s="1"/>
  <c r="AY152" i="1" l="1"/>
  <c r="AZ152" i="1" s="1"/>
  <c r="AK152" i="1"/>
  <c r="CC152" i="1"/>
  <c r="AW151" i="1"/>
  <c r="AN153" i="1"/>
  <c r="U153" i="1"/>
  <c r="AI153" i="1"/>
  <c r="V153" i="1" l="1"/>
  <c r="X153" i="1"/>
  <c r="Z153" i="1" s="1"/>
  <c r="AH153" i="1"/>
  <c r="AJ153" i="1" s="1"/>
  <c r="AE153" i="1" l="1"/>
  <c r="AY153" i="1" s="1"/>
  <c r="AZ153" i="1" s="1"/>
  <c r="CC153" i="1"/>
  <c r="AO153" i="1"/>
  <c r="AQ153" i="1" s="1"/>
  <c r="AW152" i="1"/>
  <c r="AK153" i="1"/>
  <c r="AG153" i="1" l="1"/>
  <c r="AX153" i="1" s="1"/>
  <c r="AN154" i="1"/>
  <c r="U154" i="1"/>
  <c r="AI154" i="1"/>
  <c r="V154" i="1" l="1"/>
  <c r="X154" i="1"/>
  <c r="Z154" i="1" s="1"/>
  <c r="AH154" i="1"/>
  <c r="AO154" i="1" l="1"/>
  <c r="AQ154" i="1" s="1"/>
  <c r="AJ154" i="1"/>
  <c r="AE154" i="1"/>
  <c r="AG154" i="1" s="1"/>
  <c r="AX154" i="1" s="1"/>
  <c r="AY154" i="1" l="1"/>
  <c r="AZ154" i="1" s="1"/>
  <c r="AW153" i="1"/>
  <c r="CC154" i="1"/>
  <c r="AK154" i="1"/>
  <c r="AI155" i="1"/>
  <c r="AN155" i="1"/>
  <c r="U155" i="1"/>
  <c r="V155" i="1" l="1"/>
  <c r="X155" i="1"/>
  <c r="Z155" i="1" s="1"/>
  <c r="AH155" i="1"/>
  <c r="AJ155" i="1" s="1"/>
  <c r="AE155" i="1" l="1"/>
  <c r="AY155" i="1" s="1"/>
  <c r="AZ155" i="1" s="1"/>
  <c r="CC155" i="1"/>
  <c r="AW154" i="1"/>
  <c r="AK155" i="1"/>
  <c r="AO155" i="1"/>
  <c r="AQ155" i="1" s="1"/>
  <c r="AG155" i="1" l="1"/>
  <c r="AX155" i="1" s="1"/>
  <c r="AN156" i="1"/>
  <c r="U156" i="1"/>
  <c r="AI156" i="1"/>
  <c r="V156" i="1" l="1"/>
  <c r="X156" i="1"/>
  <c r="Z156" i="1" s="1"/>
  <c r="AH156" i="1"/>
  <c r="AJ156" i="1" s="1"/>
  <c r="AE156" i="1" l="1"/>
  <c r="AY156" i="1" s="1"/>
  <c r="AZ156" i="1" s="1"/>
  <c r="CC156" i="1"/>
  <c r="AK156" i="1"/>
  <c r="AW155" i="1"/>
  <c r="AO156" i="1"/>
  <c r="AQ156" i="1" s="1"/>
  <c r="AG156" i="1" l="1"/>
  <c r="AX156" i="1" s="1"/>
  <c r="AI157" i="1"/>
  <c r="AN157" i="1"/>
  <c r="U157" i="1"/>
  <c r="V157" i="1" l="1"/>
  <c r="X157" i="1"/>
  <c r="Z157" i="1" s="1"/>
  <c r="AH157" i="1"/>
  <c r="AJ157" i="1" s="1"/>
  <c r="AE157" i="1" l="1"/>
  <c r="AG157" i="1" s="1"/>
  <c r="AX157" i="1" s="1"/>
  <c r="CC157" i="1"/>
  <c r="AK157" i="1"/>
  <c r="AW156" i="1"/>
  <c r="AO157" i="1"/>
  <c r="AQ157" i="1" s="1"/>
  <c r="AY157" i="1" l="1"/>
  <c r="AZ157" i="1" s="1"/>
  <c r="AN158" i="1"/>
  <c r="U158" i="1"/>
  <c r="AI158" i="1"/>
  <c r="V158" i="1" l="1"/>
  <c r="X158" i="1"/>
  <c r="Z158" i="1" s="1"/>
  <c r="AH158" i="1"/>
  <c r="AJ158" i="1" s="1"/>
  <c r="AE158" i="1" l="1"/>
  <c r="AG158" i="1" s="1"/>
  <c r="AX158" i="1" s="1"/>
  <c r="CC158" i="1"/>
  <c r="AW157" i="1"/>
  <c r="AK158" i="1"/>
  <c r="AO158" i="1"/>
  <c r="AQ158" i="1" s="1"/>
  <c r="AY158" i="1" l="1"/>
  <c r="AZ158" i="1" s="1"/>
  <c r="AN159" i="1"/>
  <c r="AI159" i="1"/>
  <c r="U159" i="1"/>
  <c r="V159" i="1" l="1"/>
  <c r="X159" i="1"/>
  <c r="Z159" i="1" s="1"/>
  <c r="AH159" i="1"/>
  <c r="AO159" i="1" l="1"/>
  <c r="AQ159" i="1" s="1"/>
  <c r="AJ159" i="1"/>
  <c r="AE159" i="1"/>
  <c r="AY159" i="1" s="1"/>
  <c r="AZ159" i="1" s="1"/>
  <c r="AG159" i="1" l="1"/>
  <c r="AX159" i="1" s="1"/>
  <c r="AK159" i="1"/>
  <c r="CC159" i="1"/>
  <c r="AW158" i="1"/>
  <c r="AI160" i="1"/>
  <c r="U160" i="1"/>
  <c r="AN160" i="1"/>
  <c r="V160" i="1" l="1"/>
  <c r="X160" i="1"/>
  <c r="Z160" i="1" s="1"/>
  <c r="AH160" i="1"/>
  <c r="AJ160" i="1" s="1"/>
  <c r="CC160" i="1" l="1"/>
  <c r="AE160" i="1"/>
  <c r="AY160" i="1" s="1"/>
  <c r="AZ160" i="1" s="1"/>
  <c r="AO160" i="1"/>
  <c r="AQ160" i="1" s="1"/>
  <c r="AW159" i="1"/>
  <c r="AK160" i="1"/>
  <c r="AG160" i="1" l="1"/>
  <c r="AX160" i="1" s="1"/>
  <c r="AN161" i="1"/>
  <c r="AI161" i="1"/>
  <c r="U161" i="1"/>
  <c r="V161" i="1" l="1"/>
  <c r="X161" i="1"/>
  <c r="Z161" i="1" s="1"/>
  <c r="AH161" i="1"/>
  <c r="AJ161" i="1" s="1"/>
  <c r="AE161" i="1" l="1"/>
  <c r="AG161" i="1" s="1"/>
  <c r="AX161" i="1" s="1"/>
  <c r="CC161" i="1"/>
  <c r="AO161" i="1"/>
  <c r="AQ161" i="1" s="1"/>
  <c r="AK161" i="1"/>
  <c r="AW160" i="1"/>
  <c r="AY161" i="1" l="1"/>
  <c r="AZ161" i="1" s="1"/>
  <c r="AI162" i="1"/>
  <c r="AN162" i="1"/>
  <c r="U162" i="1"/>
  <c r="V162" i="1" l="1"/>
  <c r="X162" i="1"/>
  <c r="Z162" i="1" s="1"/>
  <c r="AH162" i="1"/>
  <c r="AJ162" i="1" s="1"/>
  <c r="AE162" i="1" l="1"/>
  <c r="AY162" i="1" s="1"/>
  <c r="AZ162" i="1" s="1"/>
  <c r="CC162" i="1"/>
  <c r="AO162" i="1"/>
  <c r="AQ162" i="1" s="1"/>
  <c r="AK162" i="1"/>
  <c r="AW161" i="1"/>
  <c r="AG162" i="1" l="1"/>
  <c r="AX162" i="1" s="1"/>
  <c r="AN163" i="1"/>
  <c r="U163" i="1"/>
  <c r="AI163" i="1"/>
  <c r="V163" i="1" l="1"/>
  <c r="X163" i="1"/>
  <c r="Z163" i="1" s="1"/>
  <c r="AH163" i="1"/>
  <c r="AJ163" i="1" s="1"/>
  <c r="CC163" i="1" l="1"/>
  <c r="AE163" i="1"/>
  <c r="AG163" i="1" s="1"/>
  <c r="AX163" i="1" s="1"/>
  <c r="AO163" i="1"/>
  <c r="AQ163" i="1" s="1"/>
  <c r="AW162" i="1"/>
  <c r="AK163" i="1"/>
  <c r="AY163" i="1" l="1"/>
  <c r="AZ163" i="1" s="1"/>
  <c r="AI164" i="1"/>
  <c r="AN164" i="1"/>
  <c r="U164" i="1"/>
  <c r="V164" i="1" l="1"/>
  <c r="X164" i="1"/>
  <c r="Z164" i="1" s="1"/>
  <c r="AH164" i="1"/>
  <c r="AO164" i="1" l="1"/>
  <c r="AQ164" i="1" s="1"/>
  <c r="AJ164" i="1"/>
  <c r="AE164" i="1"/>
  <c r="AY164" i="1" s="1"/>
  <c r="AZ164" i="1" s="1"/>
  <c r="AG164" i="1" l="1"/>
  <c r="AX164" i="1" s="1"/>
  <c r="AW163" i="1"/>
  <c r="CC164" i="1"/>
  <c r="AK164" i="1"/>
  <c r="U165" i="1"/>
  <c r="AI165" i="1"/>
  <c r="AN165" i="1"/>
  <c r="V165" i="1" l="1"/>
  <c r="X165" i="1"/>
  <c r="Z165" i="1" s="1"/>
  <c r="AH165" i="1"/>
  <c r="AJ165" i="1" s="1"/>
  <c r="AE165" i="1" l="1"/>
  <c r="AY165" i="1" s="1"/>
  <c r="AZ165" i="1" s="1"/>
  <c r="CC165" i="1"/>
  <c r="AW164" i="1"/>
  <c r="AK165" i="1"/>
  <c r="AO165" i="1"/>
  <c r="AQ165" i="1" s="1"/>
  <c r="AG165" i="1" l="1"/>
  <c r="AX165" i="1" s="1"/>
  <c r="AN166" i="1"/>
  <c r="AI166" i="1"/>
  <c r="U166" i="1"/>
  <c r="V166" i="1" l="1"/>
  <c r="X166" i="1"/>
  <c r="Z166" i="1" s="1"/>
  <c r="AH166" i="1"/>
  <c r="AO166" i="1" l="1"/>
  <c r="AQ166" i="1" s="1"/>
  <c r="AJ166" i="1"/>
  <c r="AE166" i="1"/>
  <c r="AY166" i="1" s="1"/>
  <c r="AZ166" i="1" s="1"/>
  <c r="AG166" i="1" l="1"/>
  <c r="AX166" i="1" s="1"/>
  <c r="AW165" i="1"/>
  <c r="CC166" i="1"/>
  <c r="AK166" i="1"/>
  <c r="AI167" i="1"/>
  <c r="AN167" i="1"/>
  <c r="U167" i="1"/>
  <c r="V167" i="1" l="1"/>
  <c r="X167" i="1"/>
  <c r="Z167" i="1" s="1"/>
  <c r="AH167" i="1"/>
  <c r="AJ167" i="1" s="1"/>
  <c r="AE167" i="1" l="1"/>
  <c r="AY167" i="1" s="1"/>
  <c r="AZ167" i="1" s="1"/>
  <c r="CC167" i="1"/>
  <c r="AO167" i="1"/>
  <c r="AQ167" i="1" s="1"/>
  <c r="AW166" i="1"/>
  <c r="AK167" i="1"/>
  <c r="AG167" i="1" l="1"/>
  <c r="AX167" i="1" s="1"/>
  <c r="AN168" i="1"/>
  <c r="AI168" i="1"/>
  <c r="U168" i="1"/>
  <c r="V168" i="1" l="1"/>
  <c r="X168" i="1"/>
  <c r="Z168" i="1" s="1"/>
  <c r="AH168" i="1"/>
  <c r="AO168" i="1" l="1"/>
  <c r="AQ168" i="1" s="1"/>
  <c r="AJ168" i="1"/>
  <c r="AE168" i="1"/>
  <c r="AG168" i="1" s="1"/>
  <c r="AX168" i="1" s="1"/>
  <c r="AY168" i="1" l="1"/>
  <c r="AZ168" i="1" s="1"/>
  <c r="AK168" i="1"/>
  <c r="CC168" i="1"/>
  <c r="AW167" i="1"/>
  <c r="AN169" i="1"/>
  <c r="U169" i="1"/>
  <c r="AI169" i="1"/>
  <c r="V169" i="1" l="1"/>
  <c r="X169" i="1"/>
  <c r="Z169" i="1" s="1"/>
  <c r="AH169" i="1"/>
  <c r="AJ169" i="1" s="1"/>
  <c r="AE169" i="1" l="1"/>
  <c r="AG169" i="1" s="1"/>
  <c r="AX169" i="1" s="1"/>
  <c r="CC169" i="1"/>
  <c r="AK169" i="1"/>
  <c r="AW168" i="1"/>
  <c r="AO169" i="1"/>
  <c r="AQ169" i="1" s="1"/>
  <c r="AY169" i="1" l="1"/>
  <c r="AZ169" i="1" s="1"/>
  <c r="AI170" i="1"/>
  <c r="AN170" i="1"/>
  <c r="U170" i="1"/>
  <c r="V170" i="1" l="1"/>
  <c r="X170" i="1"/>
  <c r="Z170" i="1" s="1"/>
  <c r="AH170" i="1"/>
  <c r="AJ170" i="1" s="1"/>
  <c r="AE170" i="1" l="1"/>
  <c r="AG170" i="1" s="1"/>
  <c r="AX170" i="1" s="1"/>
  <c r="CC170" i="1"/>
  <c r="AW169" i="1"/>
  <c r="AK170" i="1"/>
  <c r="AO170" i="1"/>
  <c r="AQ170" i="1" s="1"/>
  <c r="AY170" i="1" l="1"/>
  <c r="AZ170" i="1" s="1"/>
  <c r="AI171" i="1"/>
  <c r="AN171" i="1"/>
  <c r="U171" i="1"/>
  <c r="V171" i="1" l="1"/>
  <c r="X171" i="1"/>
  <c r="Z171" i="1" s="1"/>
  <c r="AH171" i="1"/>
  <c r="AO171" i="1" l="1"/>
  <c r="AQ171" i="1" s="1"/>
  <c r="AJ171" i="1"/>
  <c r="AE171" i="1"/>
  <c r="AY171" i="1" s="1"/>
  <c r="AZ171" i="1" s="1"/>
  <c r="AG171" i="1" l="1"/>
  <c r="AX171" i="1" s="1"/>
  <c r="AW170" i="1"/>
  <c r="CC171" i="1"/>
  <c r="AK171" i="1"/>
  <c r="AI172" i="1"/>
  <c r="AN172" i="1"/>
  <c r="U172" i="1"/>
  <c r="V172" i="1" l="1"/>
  <c r="X172" i="1"/>
  <c r="Z172" i="1" s="1"/>
  <c r="AH172" i="1"/>
  <c r="AJ172" i="1" s="1"/>
  <c r="AE172" i="1" l="1"/>
  <c r="AY172" i="1" s="1"/>
  <c r="AZ172" i="1" s="1"/>
  <c r="CC172" i="1"/>
  <c r="AW171" i="1"/>
  <c r="AK172" i="1"/>
  <c r="AO172" i="1"/>
  <c r="AQ172" i="1" s="1"/>
  <c r="AG172" i="1" l="1"/>
  <c r="AX172" i="1" s="1"/>
  <c r="AN173" i="1"/>
  <c r="AI173" i="1"/>
  <c r="U173" i="1"/>
  <c r="V173" i="1" l="1"/>
  <c r="X173" i="1"/>
  <c r="Z173" i="1" s="1"/>
  <c r="AH173" i="1"/>
  <c r="AO173" i="1" l="1"/>
  <c r="AQ173" i="1" s="1"/>
  <c r="AJ173" i="1"/>
  <c r="AE173" i="1"/>
  <c r="AG173" i="1" s="1"/>
  <c r="AX173" i="1" s="1"/>
  <c r="AY173" i="1" l="1"/>
  <c r="AZ173" i="1" s="1"/>
  <c r="AW172" i="1"/>
  <c r="CC173" i="1"/>
  <c r="AK173" i="1"/>
  <c r="AI174" i="1"/>
  <c r="AN174" i="1"/>
  <c r="U174" i="1"/>
  <c r="V174" i="1" l="1"/>
  <c r="X174" i="1"/>
  <c r="Z174" i="1" s="1"/>
  <c r="AH174" i="1"/>
  <c r="AO174" i="1" l="1"/>
  <c r="AQ174" i="1" s="1"/>
  <c r="AJ174" i="1"/>
  <c r="CC174" i="1" s="1"/>
  <c r="AE174" i="1"/>
  <c r="AY174" i="1" s="1"/>
  <c r="AZ174" i="1" s="1"/>
  <c r="AG174" i="1" l="1"/>
  <c r="AX174" i="1" s="1"/>
  <c r="AW173" i="1"/>
  <c r="AK174" i="1"/>
  <c r="AN175" i="1"/>
  <c r="AI175" i="1"/>
  <c r="U175" i="1"/>
  <c r="V175" i="1" l="1"/>
  <c r="X175" i="1"/>
  <c r="Z175" i="1" s="1"/>
  <c r="AH175" i="1"/>
  <c r="AJ175" i="1" s="1"/>
  <c r="CC175" i="1" l="1"/>
  <c r="AE175" i="1"/>
  <c r="AY175" i="1" s="1"/>
  <c r="AZ175" i="1" s="1"/>
  <c r="AO175" i="1"/>
  <c r="AQ175" i="1" s="1"/>
  <c r="AK175" i="1"/>
  <c r="AW174" i="1"/>
  <c r="AG175" i="1" l="1"/>
  <c r="AX175" i="1" s="1"/>
  <c r="AI176" i="1"/>
  <c r="AN176" i="1"/>
  <c r="U176" i="1"/>
  <c r="V176" i="1" l="1"/>
  <c r="X176" i="1"/>
  <c r="Z176" i="1" s="1"/>
  <c r="AH176" i="1"/>
  <c r="AJ176" i="1" s="1"/>
  <c r="AE176" i="1" l="1"/>
  <c r="AG176" i="1" s="1"/>
  <c r="AX176" i="1" s="1"/>
  <c r="CC176" i="1"/>
  <c r="AK176" i="1"/>
  <c r="AW175" i="1"/>
  <c r="AO176" i="1"/>
  <c r="AQ176" i="1" s="1"/>
  <c r="AY176" i="1" l="1"/>
  <c r="AZ176" i="1" s="1"/>
  <c r="AN177" i="1"/>
  <c r="AI177" i="1"/>
  <c r="U177" i="1"/>
  <c r="V177" i="1" l="1"/>
  <c r="X177" i="1"/>
  <c r="Z177" i="1" s="1"/>
  <c r="AH177" i="1"/>
  <c r="AO177" i="1" l="1"/>
  <c r="AQ177" i="1" s="1"/>
  <c r="AJ177" i="1"/>
  <c r="AE177" i="1"/>
  <c r="AG177" i="1" s="1"/>
  <c r="AX177" i="1" s="1"/>
  <c r="AY177" i="1" l="1"/>
  <c r="AZ177" i="1" s="1"/>
  <c r="AW176" i="1"/>
  <c r="CC177" i="1"/>
  <c r="AK177" i="1"/>
  <c r="AI178" i="1"/>
  <c r="AN178" i="1"/>
  <c r="U178" i="1"/>
  <c r="V178" i="1" l="1"/>
  <c r="X178" i="1"/>
  <c r="Z178" i="1" s="1"/>
  <c r="AH178" i="1"/>
  <c r="AJ178" i="1" s="1"/>
  <c r="AE178" i="1" l="1"/>
  <c r="AG178" i="1" s="1"/>
  <c r="AX178" i="1" s="1"/>
  <c r="CC178" i="1"/>
  <c r="AW177" i="1"/>
  <c r="AK178" i="1"/>
  <c r="AO178" i="1"/>
  <c r="AQ178" i="1" s="1"/>
  <c r="AY178" i="1" l="1"/>
  <c r="AZ178" i="1" s="1"/>
  <c r="AI179" i="1"/>
  <c r="AN179" i="1"/>
  <c r="U179" i="1"/>
  <c r="V179" i="1" l="1"/>
  <c r="X179" i="1"/>
  <c r="Z179" i="1" s="1"/>
  <c r="AH179" i="1"/>
  <c r="AO179" i="1" l="1"/>
  <c r="AQ179" i="1" s="1"/>
  <c r="AJ179" i="1"/>
  <c r="AE179" i="1"/>
  <c r="AY179" i="1" s="1"/>
  <c r="AZ179" i="1" s="1"/>
  <c r="AG179" i="1" l="1"/>
  <c r="AX179" i="1" s="1"/>
  <c r="AW178" i="1"/>
  <c r="CC179" i="1"/>
  <c r="AK179" i="1"/>
  <c r="AI180" i="1"/>
  <c r="AN180" i="1"/>
  <c r="U180" i="1"/>
  <c r="V180" i="1" l="1"/>
  <c r="X180" i="1"/>
  <c r="Z180" i="1" s="1"/>
  <c r="AH180" i="1"/>
  <c r="AJ180" i="1" s="1"/>
  <c r="AE180" i="1" l="1"/>
  <c r="AY180" i="1" s="1"/>
  <c r="AZ180" i="1" s="1"/>
  <c r="CC180" i="1"/>
  <c r="AW179" i="1"/>
  <c r="AK180" i="1"/>
  <c r="AO180" i="1"/>
  <c r="AQ180" i="1" s="1"/>
  <c r="AG180" i="1" l="1"/>
  <c r="AX180" i="1" s="1"/>
  <c r="AI181" i="1"/>
  <c r="AN181" i="1"/>
  <c r="U181" i="1"/>
  <c r="V181" i="1" l="1"/>
  <c r="X181" i="1"/>
  <c r="Z181" i="1" s="1"/>
  <c r="AH181" i="1"/>
  <c r="AO181" i="1" l="1"/>
  <c r="AQ181" i="1" s="1"/>
  <c r="AJ181" i="1"/>
  <c r="AE181" i="1"/>
  <c r="AY181" i="1" s="1"/>
  <c r="AZ181" i="1" s="1"/>
  <c r="AG181" i="1" l="1"/>
  <c r="AX181" i="1" s="1"/>
  <c r="AK181" i="1"/>
  <c r="CC181" i="1"/>
  <c r="AW180" i="1"/>
  <c r="AI182" i="1"/>
  <c r="AN182" i="1"/>
  <c r="U182" i="1"/>
  <c r="V182" i="1" l="1"/>
  <c r="X182" i="1"/>
  <c r="Z182" i="1" s="1"/>
  <c r="AH182" i="1"/>
  <c r="AO182" i="1" l="1"/>
  <c r="AQ182" i="1" s="1"/>
  <c r="AJ182" i="1"/>
  <c r="CC182" i="1" s="1"/>
  <c r="AE182" i="1"/>
  <c r="AY182" i="1" s="1"/>
  <c r="AZ182" i="1" s="1"/>
  <c r="AG182" i="1" l="1"/>
  <c r="AX182" i="1" s="1"/>
  <c r="AK182" i="1"/>
  <c r="AW181" i="1"/>
  <c r="AN183" i="1"/>
  <c r="AI183" i="1"/>
  <c r="U183" i="1"/>
  <c r="V183" i="1" l="1"/>
  <c r="X183" i="1"/>
  <c r="Z183" i="1" s="1"/>
  <c r="AH183" i="1"/>
  <c r="AJ183" i="1" s="1"/>
  <c r="AE183" i="1" l="1"/>
  <c r="AY183" i="1" s="1"/>
  <c r="AZ183" i="1" s="1"/>
  <c r="CC183" i="1"/>
  <c r="AK183" i="1"/>
  <c r="AW182" i="1"/>
  <c r="AO183" i="1"/>
  <c r="AQ183" i="1" s="1"/>
  <c r="AG183" i="1" l="1"/>
  <c r="AX183" i="1" s="1"/>
  <c r="AN184" i="1"/>
  <c r="AI184" i="1"/>
  <c r="U184" i="1"/>
  <c r="V184" i="1" l="1"/>
  <c r="X184" i="1"/>
  <c r="Z184" i="1" s="1"/>
  <c r="AH184" i="1"/>
  <c r="AO184" i="1" l="1"/>
  <c r="AQ184" i="1" s="1"/>
  <c r="AJ184" i="1"/>
  <c r="CC184" i="1" s="1"/>
  <c r="AE184" i="1"/>
  <c r="AG184" i="1" s="1"/>
  <c r="AX184" i="1" s="1"/>
  <c r="AY184" i="1" l="1"/>
  <c r="AZ184" i="1" s="1"/>
  <c r="AK184" i="1"/>
  <c r="AW183" i="1"/>
  <c r="AN185" i="1"/>
  <c r="AI185" i="1"/>
  <c r="U185" i="1"/>
  <c r="V185" i="1" l="1"/>
  <c r="X185" i="1"/>
  <c r="Z185" i="1" s="1"/>
  <c r="AH185" i="1"/>
  <c r="AO185" i="1" l="1"/>
  <c r="AQ185" i="1" s="1"/>
  <c r="AJ185" i="1"/>
  <c r="AE185" i="1"/>
  <c r="AY185" i="1" s="1"/>
  <c r="AZ185" i="1" s="1"/>
  <c r="AG185" i="1" l="1"/>
  <c r="AX185" i="1" s="1"/>
  <c r="AW184" i="1"/>
  <c r="CC185" i="1"/>
  <c r="AK185" i="1"/>
  <c r="AI186" i="1"/>
  <c r="AN186" i="1"/>
  <c r="U186" i="1"/>
  <c r="V186" i="1" l="1"/>
  <c r="X186" i="1"/>
  <c r="Z186" i="1" s="1"/>
  <c r="AH186" i="1"/>
  <c r="AO186" i="1" l="1"/>
  <c r="AQ186" i="1" s="1"/>
  <c r="AJ186" i="1"/>
  <c r="CC186" i="1" s="1"/>
  <c r="AE186" i="1"/>
  <c r="AG186" i="1" s="1"/>
  <c r="AX186" i="1" s="1"/>
  <c r="AY186" i="1" l="1"/>
  <c r="AZ186" i="1" s="1"/>
  <c r="AK186" i="1"/>
  <c r="AW185" i="1"/>
  <c r="AI187" i="1"/>
  <c r="AN187" i="1"/>
  <c r="U187" i="1"/>
  <c r="V187" i="1" l="1"/>
  <c r="X187" i="1"/>
  <c r="Z187" i="1" s="1"/>
  <c r="AH187" i="1"/>
  <c r="AO187" i="1" l="1"/>
  <c r="AQ187" i="1" s="1"/>
  <c r="AJ187" i="1"/>
  <c r="AE187" i="1"/>
  <c r="AY187" i="1" s="1"/>
  <c r="AZ187" i="1" s="1"/>
  <c r="AG187" i="1" l="1"/>
  <c r="AX187" i="1" s="1"/>
  <c r="AW186" i="1"/>
  <c r="CC187" i="1"/>
  <c r="AK187" i="1"/>
  <c r="AN188" i="1"/>
  <c r="AI188" i="1"/>
  <c r="U188" i="1"/>
  <c r="V188" i="1" l="1"/>
  <c r="X188" i="1"/>
  <c r="Z188" i="1" s="1"/>
  <c r="AH188" i="1"/>
  <c r="AO188" i="1" l="1"/>
  <c r="AQ188" i="1" s="1"/>
  <c r="AJ188" i="1"/>
  <c r="CC188" i="1" s="1"/>
  <c r="AE188" i="1"/>
  <c r="AY188" i="1" s="1"/>
  <c r="AZ188" i="1" s="1"/>
  <c r="AG188" i="1" l="1"/>
  <c r="AX188" i="1" s="1"/>
  <c r="AW187" i="1"/>
  <c r="AK188" i="1"/>
  <c r="U189" i="1"/>
  <c r="AN189" i="1"/>
  <c r="AI189" i="1"/>
  <c r="V189" i="1" l="1"/>
  <c r="X189" i="1"/>
  <c r="Z189" i="1" s="1"/>
  <c r="AH189" i="1"/>
  <c r="AO189" i="1" l="1"/>
  <c r="AQ189" i="1" s="1"/>
  <c r="AJ189" i="1"/>
  <c r="CC189" i="1" s="1"/>
  <c r="AE189" i="1"/>
  <c r="AG189" i="1" s="1"/>
  <c r="AX189" i="1" s="1"/>
  <c r="AY189" i="1" l="1"/>
  <c r="AZ189" i="1" s="1"/>
  <c r="AW188" i="1"/>
  <c r="AK189" i="1"/>
  <c r="AN190" i="1"/>
  <c r="AI190" i="1"/>
  <c r="U190" i="1"/>
  <c r="V190" i="1" l="1"/>
  <c r="X190" i="1"/>
  <c r="Z190" i="1" s="1"/>
  <c r="AH190" i="1"/>
  <c r="AO190" i="1" l="1"/>
  <c r="AQ190" i="1" s="1"/>
  <c r="AJ190" i="1"/>
  <c r="AE190" i="1"/>
  <c r="AY190" i="1" s="1"/>
  <c r="AZ190" i="1" s="1"/>
  <c r="AG190" i="1" l="1"/>
  <c r="AX190" i="1" s="1"/>
  <c r="AK190" i="1"/>
  <c r="CC190" i="1"/>
  <c r="AW189" i="1"/>
  <c r="AI191" i="1"/>
  <c r="U191" i="1"/>
  <c r="AN191" i="1"/>
  <c r="V191" i="1" l="1"/>
  <c r="X191" i="1"/>
  <c r="Z191" i="1" s="1"/>
  <c r="AH191" i="1"/>
  <c r="AJ191" i="1" s="1"/>
  <c r="CC191" i="1" l="1"/>
  <c r="AE191" i="1"/>
  <c r="AY191" i="1" s="1"/>
  <c r="AZ191" i="1" s="1"/>
  <c r="AO191" i="1"/>
  <c r="AQ191" i="1" s="1"/>
  <c r="AW190" i="1"/>
  <c r="AK191" i="1"/>
  <c r="AG191" i="1" l="1"/>
  <c r="AX191" i="1" s="1"/>
  <c r="AN192" i="1"/>
  <c r="AI192" i="1"/>
  <c r="U192" i="1"/>
  <c r="V192" i="1" l="1"/>
  <c r="X192" i="1"/>
  <c r="Z192" i="1" s="1"/>
  <c r="AH192" i="1"/>
  <c r="AO192" i="1" l="1"/>
  <c r="AQ192" i="1" s="1"/>
  <c r="AJ192" i="1"/>
  <c r="AE192" i="1"/>
  <c r="AY192" i="1" s="1"/>
  <c r="AZ192" i="1" s="1"/>
  <c r="AG192" i="1" l="1"/>
  <c r="AX192" i="1" s="1"/>
  <c r="AW191" i="1"/>
  <c r="CC192" i="1"/>
  <c r="AK192" i="1"/>
  <c r="AI193" i="1"/>
  <c r="U193" i="1"/>
  <c r="AN193" i="1"/>
  <c r="V193" i="1" l="1"/>
  <c r="X193" i="1"/>
  <c r="Z193" i="1" s="1"/>
  <c r="AH193" i="1"/>
  <c r="AJ193" i="1" s="1"/>
  <c r="CC193" i="1" l="1"/>
  <c r="AE193" i="1"/>
  <c r="AG193" i="1" s="1"/>
  <c r="AX193" i="1" s="1"/>
  <c r="AO193" i="1"/>
  <c r="AQ193" i="1" s="1"/>
  <c r="AW192" i="1"/>
  <c r="AK193" i="1"/>
  <c r="AY193" i="1" l="1"/>
  <c r="AZ193" i="1" s="1"/>
  <c r="AI194" i="1"/>
  <c r="AN194" i="1"/>
  <c r="U194" i="1"/>
  <c r="V194" i="1" l="1"/>
  <c r="X194" i="1"/>
  <c r="Z194" i="1" s="1"/>
  <c r="AH194" i="1"/>
  <c r="AO194" i="1" l="1"/>
  <c r="AQ194" i="1" s="1"/>
  <c r="AJ194" i="1"/>
  <c r="AE194" i="1"/>
  <c r="AY194" i="1" s="1"/>
  <c r="AZ194" i="1" s="1"/>
  <c r="AG194" i="1" l="1"/>
  <c r="AX194" i="1" s="1"/>
  <c r="AW193" i="1"/>
  <c r="CC194" i="1"/>
  <c r="AK194" i="1"/>
  <c r="AN195" i="1"/>
  <c r="U195" i="1"/>
  <c r="AI195" i="1"/>
  <c r="V195" i="1" l="1"/>
  <c r="X195" i="1"/>
  <c r="Z195" i="1" s="1"/>
  <c r="AH195" i="1"/>
  <c r="AO195" i="1" l="1"/>
  <c r="AQ195" i="1" s="1"/>
  <c r="AJ195" i="1"/>
  <c r="CC195" i="1"/>
  <c r="AE195" i="1"/>
  <c r="AG195" i="1" s="1"/>
  <c r="AX195" i="1" s="1"/>
  <c r="AY195" i="1" l="1"/>
  <c r="AZ195" i="1" s="1"/>
  <c r="AW194" i="1"/>
  <c r="AK195" i="1"/>
  <c r="AI196" i="1"/>
  <c r="AN196" i="1"/>
  <c r="U196" i="1"/>
  <c r="V196" i="1" l="1"/>
  <c r="X196" i="1"/>
  <c r="Z196" i="1" s="1"/>
  <c r="AH196" i="1"/>
  <c r="AJ196" i="1" s="1"/>
  <c r="CC196" i="1" l="1"/>
  <c r="AE196" i="1"/>
  <c r="AY196" i="1" s="1"/>
  <c r="AZ196" i="1" s="1"/>
  <c r="AO196" i="1"/>
  <c r="AQ196" i="1" s="1"/>
  <c r="AK196" i="1"/>
  <c r="AW195" i="1"/>
  <c r="AG196" i="1" l="1"/>
  <c r="AX196" i="1" s="1"/>
  <c r="U197" i="1"/>
  <c r="AN197" i="1"/>
  <c r="AI197" i="1"/>
  <c r="V197" i="1" l="1"/>
  <c r="X197" i="1"/>
  <c r="Z197" i="1" s="1"/>
  <c r="AH197" i="1"/>
  <c r="AJ197" i="1" s="1"/>
  <c r="AE197" i="1" l="1"/>
  <c r="AG197" i="1" s="1"/>
  <c r="AX197" i="1" s="1"/>
  <c r="CC197" i="1"/>
  <c r="AO197" i="1"/>
  <c r="AQ197" i="1" s="1"/>
  <c r="AK197" i="1"/>
  <c r="AW196" i="1"/>
  <c r="AY197" i="1" l="1"/>
  <c r="AZ197" i="1" s="1"/>
  <c r="AI198" i="1"/>
  <c r="AN198" i="1"/>
  <c r="U198" i="1"/>
  <c r="V198" i="1" l="1"/>
  <c r="X198" i="1"/>
  <c r="Z198" i="1" s="1"/>
  <c r="AH198" i="1"/>
  <c r="AO198" i="1" l="1"/>
  <c r="AQ198" i="1" s="1"/>
  <c r="AJ198" i="1"/>
  <c r="AE198" i="1"/>
  <c r="AY198" i="1" s="1"/>
  <c r="AZ198" i="1" s="1"/>
  <c r="AG198" i="1" l="1"/>
  <c r="AX198" i="1" s="1"/>
  <c r="AW197" i="1"/>
  <c r="CC198" i="1"/>
  <c r="AK198" i="1"/>
  <c r="AN199" i="1"/>
  <c r="AI199" i="1"/>
  <c r="U199" i="1"/>
  <c r="V199" i="1" l="1"/>
  <c r="X199" i="1"/>
  <c r="Z199" i="1" s="1"/>
  <c r="AH199" i="1"/>
  <c r="AO199" i="1" l="1"/>
  <c r="AQ199" i="1" s="1"/>
  <c r="AJ199" i="1"/>
  <c r="AE199" i="1"/>
  <c r="AY199" i="1" s="1"/>
  <c r="AZ199" i="1" s="1"/>
  <c r="AG199" i="1" l="1"/>
  <c r="AX199" i="1" s="1"/>
  <c r="AW198" i="1"/>
  <c r="CC199" i="1"/>
  <c r="AK199" i="1"/>
  <c r="AI200" i="1"/>
  <c r="AN200" i="1"/>
  <c r="U200" i="1"/>
  <c r="V200" i="1" l="1"/>
  <c r="X200" i="1"/>
  <c r="Z200" i="1" s="1"/>
  <c r="AH200" i="1"/>
  <c r="AO200" i="1" l="1"/>
  <c r="AQ200" i="1" s="1"/>
  <c r="AJ200" i="1"/>
  <c r="AE200" i="1"/>
  <c r="AG200" i="1" s="1"/>
  <c r="AX200" i="1" s="1"/>
  <c r="AY200" i="1" l="1"/>
  <c r="AZ200" i="1" s="1"/>
  <c r="AW199" i="1"/>
  <c r="CC200" i="1"/>
  <c r="AK200" i="1"/>
  <c r="AI201" i="1"/>
  <c r="U201" i="1"/>
  <c r="AN201" i="1"/>
  <c r="V201" i="1" l="1"/>
  <c r="X201" i="1"/>
  <c r="Z201" i="1" s="1"/>
  <c r="AH201" i="1"/>
  <c r="AO201" i="1" l="1"/>
  <c r="AQ201" i="1" s="1"/>
  <c r="AJ201" i="1"/>
  <c r="AE201" i="1"/>
  <c r="AG201" i="1" s="1"/>
  <c r="AX201" i="1" s="1"/>
  <c r="AY201" i="1" l="1"/>
  <c r="AZ201" i="1" s="1"/>
  <c r="AW200" i="1"/>
  <c r="CC201" i="1"/>
  <c r="AK201" i="1"/>
  <c r="AI202" i="1"/>
  <c r="AN202" i="1"/>
  <c r="U202" i="1"/>
  <c r="V202" i="1" l="1"/>
  <c r="X202" i="1"/>
  <c r="Z202" i="1" s="1"/>
  <c r="AH202" i="1"/>
  <c r="AO202" i="1" l="1"/>
  <c r="AQ202" i="1" s="1"/>
  <c r="AJ202" i="1"/>
  <c r="CC202" i="1" s="1"/>
  <c r="AE202" i="1"/>
  <c r="AY202" i="1" s="1"/>
  <c r="AZ202" i="1" s="1"/>
  <c r="AG202" i="1" l="1"/>
  <c r="AX202" i="1" s="1"/>
  <c r="AK202" i="1"/>
  <c r="AW201" i="1"/>
  <c r="AN203" i="1"/>
  <c r="AI203" i="1"/>
  <c r="U203" i="1"/>
  <c r="V203" i="1" l="1"/>
  <c r="X203" i="1"/>
  <c r="Z203" i="1" s="1"/>
  <c r="AH203" i="1"/>
  <c r="AO203" i="1" l="1"/>
  <c r="AQ203" i="1" s="1"/>
  <c r="AJ203" i="1"/>
  <c r="AE203" i="1"/>
  <c r="AG203" i="1" s="1"/>
  <c r="AX203" i="1" s="1"/>
  <c r="AY203" i="1" l="1"/>
  <c r="AZ203" i="1" s="1"/>
  <c r="AW202" i="1"/>
  <c r="CC203" i="1"/>
  <c r="AK203" i="1"/>
  <c r="AI204" i="1"/>
  <c r="AN204" i="1"/>
  <c r="U204" i="1"/>
  <c r="V204" i="1" l="1"/>
  <c r="X204" i="1"/>
  <c r="Z204" i="1" s="1"/>
  <c r="AH204" i="1"/>
  <c r="AO204" i="1" l="1"/>
  <c r="AQ204" i="1" s="1"/>
  <c r="AJ204" i="1"/>
  <c r="CC204" i="1" s="1"/>
  <c r="AE204" i="1"/>
  <c r="AG204" i="1" s="1"/>
  <c r="AX204" i="1" s="1"/>
  <c r="AY204" i="1" l="1"/>
  <c r="AZ204" i="1" s="1"/>
  <c r="AW203" i="1"/>
  <c r="AK204" i="1"/>
  <c r="AI205" i="1"/>
  <c r="AN205" i="1"/>
  <c r="U205" i="1"/>
  <c r="V205" i="1" l="1"/>
  <c r="X205" i="1"/>
  <c r="Z205" i="1" s="1"/>
  <c r="AH205" i="1"/>
  <c r="AO205" i="1" l="1"/>
  <c r="AQ205" i="1" s="1"/>
  <c r="AJ205" i="1"/>
  <c r="AE205" i="1"/>
  <c r="AY205" i="1" s="1"/>
  <c r="AZ205" i="1" s="1"/>
  <c r="AG205" i="1" l="1"/>
  <c r="AX205" i="1" s="1"/>
  <c r="AW204" i="1"/>
  <c r="CC205" i="1"/>
  <c r="AK205" i="1"/>
  <c r="AN206" i="1"/>
  <c r="AI206" i="1"/>
  <c r="U206" i="1"/>
  <c r="V206" i="1" l="1"/>
  <c r="X206" i="1"/>
  <c r="Z206" i="1" s="1"/>
  <c r="AH206" i="1"/>
  <c r="AO206" i="1" l="1"/>
  <c r="AQ206" i="1" s="1"/>
  <c r="AJ206" i="1"/>
  <c r="CC206" i="1" s="1"/>
  <c r="AE206" i="1"/>
  <c r="AY206" i="1" s="1"/>
  <c r="AZ206" i="1" s="1"/>
  <c r="AG206" i="1" l="1"/>
  <c r="AX206" i="1" s="1"/>
  <c r="AK206" i="1"/>
  <c r="AW205" i="1"/>
  <c r="AN207" i="1"/>
  <c r="AI207" i="1"/>
  <c r="U207" i="1"/>
  <c r="V207" i="1" l="1"/>
  <c r="X207" i="1"/>
  <c r="Z207" i="1" s="1"/>
  <c r="AH207" i="1"/>
  <c r="AO207" i="1" l="1"/>
  <c r="AQ207" i="1" s="1"/>
  <c r="AJ207" i="1"/>
  <c r="AE207" i="1"/>
  <c r="AY207" i="1" s="1"/>
  <c r="AZ207" i="1" s="1"/>
  <c r="AG207" i="1" l="1"/>
  <c r="AX207" i="1" s="1"/>
  <c r="AK207" i="1"/>
  <c r="CC207" i="1"/>
  <c r="AW206" i="1"/>
  <c r="AN208" i="1"/>
  <c r="AI208" i="1"/>
  <c r="U208" i="1"/>
  <c r="V208" i="1" l="1"/>
  <c r="X208" i="1"/>
  <c r="Z208" i="1" s="1"/>
  <c r="AH208" i="1"/>
  <c r="AO208" i="1" l="1"/>
  <c r="AQ208" i="1" s="1"/>
  <c r="AJ208" i="1"/>
  <c r="AE208" i="1"/>
  <c r="AG208" i="1" s="1"/>
  <c r="AX208" i="1" s="1"/>
  <c r="AY208" i="1" l="1"/>
  <c r="AZ208" i="1" s="1"/>
  <c r="AW207" i="1"/>
  <c r="CC208" i="1"/>
  <c r="AK208" i="1"/>
  <c r="AN209" i="1"/>
  <c r="AI209" i="1"/>
  <c r="U209" i="1"/>
  <c r="V209" i="1" l="1"/>
  <c r="X209" i="1"/>
  <c r="Z209" i="1" s="1"/>
  <c r="AH209" i="1"/>
  <c r="AJ209" i="1" s="1"/>
  <c r="CC209" i="1" l="1"/>
  <c r="AE209" i="1"/>
  <c r="AG209" i="1" s="1"/>
  <c r="AX209" i="1" s="1"/>
  <c r="AO209" i="1"/>
  <c r="AQ209" i="1" s="1"/>
  <c r="AK209" i="1"/>
  <c r="AW208" i="1"/>
  <c r="AY209" i="1" l="1"/>
  <c r="AZ209" i="1" s="1"/>
  <c r="AI210" i="1"/>
  <c r="U210" i="1"/>
  <c r="AN210" i="1"/>
  <c r="V210" i="1" l="1"/>
  <c r="X210" i="1"/>
  <c r="Z210" i="1" s="1"/>
  <c r="AH210" i="1"/>
  <c r="AJ210" i="1" s="1"/>
  <c r="CC210" i="1" l="1"/>
  <c r="AE210" i="1"/>
  <c r="AY210" i="1" s="1"/>
  <c r="AZ210" i="1" s="1"/>
  <c r="AO210" i="1"/>
  <c r="AQ210" i="1" s="1"/>
  <c r="AK210" i="1"/>
  <c r="AW209" i="1"/>
  <c r="AG210" i="1" l="1"/>
  <c r="AX210" i="1" s="1"/>
  <c r="AI211" i="1"/>
  <c r="AN211" i="1"/>
  <c r="U211" i="1"/>
  <c r="V211" i="1" l="1"/>
  <c r="X211" i="1"/>
  <c r="Z211" i="1" s="1"/>
  <c r="AH211" i="1"/>
  <c r="AJ211" i="1" s="1"/>
  <c r="AE211" i="1" l="1"/>
  <c r="AY211" i="1" s="1"/>
  <c r="AZ211" i="1" s="1"/>
  <c r="CC211" i="1"/>
  <c r="AO211" i="1"/>
  <c r="AQ211" i="1" s="1"/>
  <c r="AK211" i="1"/>
  <c r="AW210" i="1"/>
  <c r="AG211" i="1" l="1"/>
  <c r="AX211" i="1" s="1"/>
  <c r="U212" i="1"/>
  <c r="AI212" i="1"/>
  <c r="AN212" i="1"/>
  <c r="V212" i="1" l="1"/>
  <c r="X212" i="1"/>
  <c r="Z212" i="1" s="1"/>
  <c r="AH212" i="1"/>
  <c r="AJ212" i="1" s="1"/>
  <c r="CC212" i="1" l="1"/>
  <c r="AE212" i="1"/>
  <c r="AG212" i="1" s="1"/>
  <c r="AX212" i="1" s="1"/>
  <c r="AO212" i="1"/>
  <c r="AQ212" i="1" s="1"/>
  <c r="AW211" i="1"/>
  <c r="AK212" i="1"/>
  <c r="AY212" i="1" l="1"/>
  <c r="AZ212" i="1" s="1"/>
  <c r="AN213" i="1"/>
  <c r="AI213" i="1"/>
  <c r="U213" i="1"/>
  <c r="V213" i="1" l="1"/>
  <c r="X213" i="1"/>
  <c r="Z213" i="1" s="1"/>
  <c r="AH213" i="1"/>
  <c r="AJ213" i="1" s="1"/>
  <c r="CC213" i="1" l="1"/>
  <c r="AE213" i="1"/>
  <c r="AY213" i="1" s="1"/>
  <c r="AZ213" i="1" s="1"/>
  <c r="AO213" i="1"/>
  <c r="AQ213" i="1" s="1"/>
  <c r="AK213" i="1"/>
  <c r="AW212" i="1"/>
  <c r="AG213" i="1" l="1"/>
  <c r="AX213" i="1" s="1"/>
  <c r="AN214" i="1"/>
  <c r="AI214" i="1"/>
  <c r="U214" i="1"/>
  <c r="V214" i="1" l="1"/>
  <c r="X214" i="1"/>
  <c r="Z214" i="1" s="1"/>
  <c r="AH214" i="1"/>
  <c r="AJ214" i="1" s="1"/>
  <c r="AE214" i="1" l="1"/>
  <c r="AY214" i="1" s="1"/>
  <c r="AZ214" i="1" s="1"/>
  <c r="CC214" i="1"/>
  <c r="AW213" i="1"/>
  <c r="AK214" i="1"/>
  <c r="AO214" i="1"/>
  <c r="AQ214" i="1" s="1"/>
  <c r="AG214" i="1" l="1"/>
  <c r="AX214" i="1" s="1"/>
  <c r="AI215" i="1"/>
  <c r="AN215" i="1"/>
  <c r="U215" i="1"/>
  <c r="V215" i="1" l="1"/>
  <c r="X215" i="1"/>
  <c r="Z215" i="1" s="1"/>
  <c r="AH215" i="1"/>
  <c r="AO215" i="1" l="1"/>
  <c r="AQ215" i="1" s="1"/>
  <c r="AJ215" i="1"/>
  <c r="AE215" i="1"/>
  <c r="AG215" i="1" s="1"/>
  <c r="AX215" i="1" s="1"/>
  <c r="AY215" i="1" l="1"/>
  <c r="AZ215" i="1" s="1"/>
  <c r="AK215" i="1"/>
  <c r="CC215" i="1"/>
  <c r="AW214" i="1"/>
  <c r="AI216" i="1"/>
  <c r="AN216" i="1"/>
  <c r="U216" i="1"/>
  <c r="V216" i="1" l="1"/>
  <c r="X216" i="1"/>
  <c r="Z216" i="1" s="1"/>
  <c r="AH216" i="1"/>
  <c r="AJ216" i="1" s="1"/>
  <c r="AE216" i="1" l="1"/>
  <c r="AG216" i="1" s="1"/>
  <c r="AX216" i="1" s="1"/>
  <c r="CC216" i="1"/>
  <c r="AO216" i="1"/>
  <c r="AQ216" i="1" s="1"/>
  <c r="AK216" i="1"/>
  <c r="AW215" i="1"/>
  <c r="AY216" i="1" l="1"/>
  <c r="AZ216" i="1" s="1"/>
  <c r="AN217" i="1"/>
  <c r="U217" i="1"/>
  <c r="AI217" i="1"/>
  <c r="V217" i="1" l="1"/>
  <c r="X217" i="1"/>
  <c r="Z217" i="1" s="1"/>
  <c r="AH217" i="1"/>
  <c r="AJ217" i="1" s="1"/>
  <c r="AE217" i="1" l="1"/>
  <c r="AY217" i="1" s="1"/>
  <c r="AZ217" i="1" s="1"/>
  <c r="CC217" i="1"/>
  <c r="AO217" i="1"/>
  <c r="AQ217" i="1" s="1"/>
  <c r="AK217" i="1"/>
  <c r="AW216" i="1"/>
  <c r="AG217" i="1" l="1"/>
  <c r="AX217" i="1" s="1"/>
  <c r="AN218" i="1"/>
  <c r="AI218" i="1"/>
  <c r="U218" i="1"/>
  <c r="V218" i="1" l="1"/>
  <c r="X218" i="1"/>
  <c r="Z218" i="1" s="1"/>
  <c r="AH218" i="1"/>
  <c r="AO218" i="1" l="1"/>
  <c r="AQ218" i="1" s="1"/>
  <c r="AJ218" i="1"/>
  <c r="AE218" i="1"/>
  <c r="AY218" i="1" s="1"/>
  <c r="AZ218" i="1" s="1"/>
  <c r="AG218" i="1" l="1"/>
  <c r="AX218" i="1" s="1"/>
  <c r="AW217" i="1"/>
  <c r="CC218" i="1"/>
  <c r="AK218" i="1"/>
  <c r="AI219" i="1"/>
  <c r="AN219" i="1"/>
  <c r="U219" i="1"/>
  <c r="V219" i="1" l="1"/>
  <c r="X219" i="1"/>
  <c r="Z219" i="1" s="1"/>
  <c r="AH219" i="1"/>
  <c r="AO219" i="1" l="1"/>
  <c r="AQ219" i="1" s="1"/>
  <c r="AJ219" i="1"/>
  <c r="AE219" i="1"/>
  <c r="AY219" i="1" s="1"/>
  <c r="AZ219" i="1" s="1"/>
  <c r="AG219" i="1" l="1"/>
  <c r="AX219" i="1" s="1"/>
  <c r="AW218" i="1"/>
  <c r="CC219" i="1"/>
  <c r="AK219" i="1"/>
  <c r="AI220" i="1"/>
  <c r="AN220" i="1"/>
  <c r="U220" i="1"/>
  <c r="V220" i="1" l="1"/>
  <c r="X220" i="1"/>
  <c r="Z220" i="1" s="1"/>
  <c r="AH220" i="1"/>
  <c r="AO220" i="1" l="1"/>
  <c r="AQ220" i="1" s="1"/>
  <c r="AJ220" i="1"/>
  <c r="AE220" i="1"/>
  <c r="AG220" i="1" s="1"/>
  <c r="AX220" i="1" s="1"/>
  <c r="AY220" i="1" l="1"/>
  <c r="AZ220" i="1" s="1"/>
  <c r="AK220" i="1"/>
  <c r="CC220" i="1"/>
  <c r="AW219" i="1"/>
  <c r="AI221" i="1"/>
  <c r="U221" i="1"/>
  <c r="AN221" i="1"/>
  <c r="V221" i="1" l="1"/>
  <c r="X221" i="1"/>
  <c r="Z221" i="1" s="1"/>
  <c r="AH221" i="1"/>
  <c r="AO221" i="1" l="1"/>
  <c r="AQ221" i="1" s="1"/>
  <c r="AJ221" i="1"/>
  <c r="AE221" i="1"/>
  <c r="AY221" i="1" s="1"/>
  <c r="AZ221" i="1" s="1"/>
  <c r="AG221" i="1" l="1"/>
  <c r="AX221" i="1" s="1"/>
  <c r="AK221" i="1"/>
  <c r="CC221" i="1"/>
  <c r="AW220" i="1"/>
  <c r="AI222" i="1"/>
  <c r="AN222" i="1"/>
  <c r="U222" i="1"/>
  <c r="V222" i="1" l="1"/>
  <c r="X222" i="1"/>
  <c r="Z222" i="1" s="1"/>
  <c r="AH222" i="1"/>
  <c r="AO222" i="1" l="1"/>
  <c r="AQ222" i="1" s="1"/>
  <c r="AJ222" i="1"/>
  <c r="CC222" i="1" s="1"/>
  <c r="AE222" i="1"/>
  <c r="AY222" i="1" s="1"/>
  <c r="AZ222" i="1" s="1"/>
  <c r="AG222" i="1" l="1"/>
  <c r="AX222" i="1" s="1"/>
  <c r="AW221" i="1"/>
  <c r="AK222" i="1"/>
  <c r="AN223" i="1"/>
  <c r="U223" i="1"/>
  <c r="AI223" i="1"/>
  <c r="V223" i="1" l="1"/>
  <c r="X223" i="1"/>
  <c r="Z223" i="1" s="1"/>
  <c r="AH223" i="1"/>
  <c r="AO223" i="1" l="1"/>
  <c r="AQ223" i="1" s="1"/>
  <c r="AJ223" i="1"/>
  <c r="AE223" i="1"/>
  <c r="AY223" i="1" s="1"/>
  <c r="AZ223" i="1" s="1"/>
  <c r="AG223" i="1" l="1"/>
  <c r="AX223" i="1" s="1"/>
  <c r="AW222" i="1"/>
  <c r="CC223" i="1"/>
  <c r="AK223" i="1"/>
  <c r="AI224" i="1"/>
  <c r="AN224" i="1"/>
  <c r="U224" i="1"/>
  <c r="V224" i="1" l="1"/>
  <c r="X224" i="1"/>
  <c r="Z224" i="1" s="1"/>
  <c r="AH224" i="1"/>
  <c r="AO224" i="1" l="1"/>
  <c r="AQ224" i="1" s="1"/>
  <c r="AJ224" i="1"/>
  <c r="CC224" i="1"/>
  <c r="AE224" i="1"/>
  <c r="AY224" i="1" s="1"/>
  <c r="AZ224" i="1" s="1"/>
  <c r="AG224" i="1" l="1"/>
  <c r="AX224" i="1" s="1"/>
  <c r="AK224" i="1"/>
  <c r="AW223" i="1"/>
  <c r="AI225" i="1"/>
  <c r="U225" i="1"/>
  <c r="AN225" i="1"/>
  <c r="V225" i="1" l="1"/>
  <c r="X225" i="1"/>
  <c r="Z225" i="1" s="1"/>
  <c r="AH225" i="1"/>
  <c r="AO225" i="1" l="1"/>
  <c r="AQ225" i="1" s="1"/>
  <c r="AJ225" i="1"/>
  <c r="CC225" i="1"/>
  <c r="AE225" i="1"/>
  <c r="AG225" i="1" s="1"/>
  <c r="AX225" i="1" s="1"/>
  <c r="AY225" i="1" l="1"/>
  <c r="AZ225" i="1" s="1"/>
  <c r="AK225" i="1"/>
  <c r="AW224" i="1"/>
  <c r="AN226" i="1"/>
  <c r="AI226" i="1"/>
  <c r="U226" i="1"/>
  <c r="V226" i="1" l="1"/>
  <c r="X226" i="1"/>
  <c r="Z226" i="1" s="1"/>
  <c r="AH226" i="1"/>
  <c r="AJ226" i="1" s="1"/>
  <c r="AE226" i="1" l="1"/>
  <c r="AY226" i="1" s="1"/>
  <c r="AZ226" i="1" s="1"/>
  <c r="CC226" i="1"/>
  <c r="AO226" i="1"/>
  <c r="AQ226" i="1" s="1"/>
  <c r="AK226" i="1"/>
  <c r="AW225" i="1"/>
  <c r="AG226" i="1" l="1"/>
  <c r="AX226" i="1" s="1"/>
  <c r="AI227" i="1"/>
  <c r="AN227" i="1"/>
  <c r="U227" i="1"/>
  <c r="V227" i="1" l="1"/>
  <c r="X227" i="1"/>
  <c r="Z227" i="1" s="1"/>
  <c r="AH227" i="1"/>
  <c r="AJ227" i="1" s="1"/>
  <c r="AE227" i="1" l="1"/>
  <c r="AY227" i="1" s="1"/>
  <c r="AZ227" i="1" s="1"/>
  <c r="CC227" i="1"/>
  <c r="AO227" i="1"/>
  <c r="AQ227" i="1" s="1"/>
  <c r="AW226" i="1"/>
  <c r="AK227" i="1"/>
  <c r="AG227" i="1" l="1"/>
  <c r="AX227" i="1" s="1"/>
  <c r="AN228" i="1"/>
  <c r="AI228" i="1"/>
  <c r="U228" i="1"/>
  <c r="V228" i="1" l="1"/>
  <c r="X228" i="1"/>
  <c r="Z228" i="1" s="1"/>
  <c r="AH228" i="1"/>
  <c r="AO228" i="1" l="1"/>
  <c r="AQ228" i="1" s="1"/>
  <c r="AJ228" i="1"/>
  <c r="AE228" i="1"/>
  <c r="AG228" i="1" s="1"/>
  <c r="AX228" i="1" s="1"/>
  <c r="AY228" i="1" l="1"/>
  <c r="AZ228" i="1" s="1"/>
  <c r="AW227" i="1"/>
  <c r="CC228" i="1"/>
  <c r="AK228" i="1"/>
  <c r="AN229" i="1"/>
  <c r="U229" i="1"/>
  <c r="AI229" i="1"/>
  <c r="V229" i="1" l="1"/>
  <c r="X229" i="1"/>
  <c r="Z229" i="1" s="1"/>
  <c r="AH229" i="1"/>
  <c r="AJ229" i="1" s="1"/>
  <c r="AE229" i="1" l="1"/>
  <c r="AY229" i="1" s="1"/>
  <c r="AZ229" i="1" s="1"/>
  <c r="CC229" i="1"/>
  <c r="AW228" i="1"/>
  <c r="AK229" i="1"/>
  <c r="AO229" i="1"/>
  <c r="AQ229" i="1" s="1"/>
  <c r="AG229" i="1" l="1"/>
  <c r="AX229" i="1" s="1"/>
  <c r="U230" i="1"/>
  <c r="AN230" i="1"/>
  <c r="AI230" i="1"/>
  <c r="V230" i="1" l="1"/>
  <c r="X230" i="1"/>
  <c r="Z230" i="1" s="1"/>
  <c r="AH230" i="1"/>
  <c r="AJ230" i="1" s="1"/>
  <c r="AE230" i="1" l="1"/>
  <c r="AG230" i="1" s="1"/>
  <c r="AX230" i="1" s="1"/>
  <c r="CC230" i="1"/>
  <c r="AO230" i="1"/>
  <c r="AQ230" i="1" s="1"/>
  <c r="AK230" i="1"/>
  <c r="AW229" i="1"/>
  <c r="AY230" i="1" l="1"/>
  <c r="AZ230" i="1" s="1"/>
  <c r="AI231" i="1"/>
  <c r="AN231" i="1"/>
  <c r="U231" i="1"/>
  <c r="V231" i="1" l="1"/>
  <c r="X231" i="1"/>
  <c r="Z231" i="1" s="1"/>
  <c r="AH231" i="1"/>
  <c r="AJ231" i="1" s="1"/>
  <c r="AE231" i="1" l="1"/>
  <c r="AG231" i="1" s="1"/>
  <c r="AX231" i="1" s="1"/>
  <c r="CC231" i="1"/>
  <c r="AO231" i="1"/>
  <c r="AQ231" i="1" s="1"/>
  <c r="AW230" i="1"/>
  <c r="AK231" i="1"/>
  <c r="AY231" i="1" l="1"/>
  <c r="AZ231" i="1" s="1"/>
  <c r="AI232" i="1"/>
  <c r="AN232" i="1"/>
  <c r="U232" i="1"/>
  <c r="V232" i="1" l="1"/>
  <c r="X232" i="1"/>
  <c r="Z232" i="1" s="1"/>
  <c r="AH232" i="1"/>
  <c r="AJ232" i="1" s="1"/>
  <c r="AE232" i="1" l="1"/>
  <c r="AY232" i="1" s="1"/>
  <c r="AZ232" i="1" s="1"/>
  <c r="CC232" i="1"/>
  <c r="AW231" i="1"/>
  <c r="AK232" i="1"/>
  <c r="AO232" i="1"/>
  <c r="AQ232" i="1" s="1"/>
  <c r="AG232" i="1" l="1"/>
  <c r="AX232" i="1" s="1"/>
  <c r="AN233" i="1"/>
  <c r="AI233" i="1"/>
  <c r="U233" i="1"/>
  <c r="V233" i="1" l="1"/>
  <c r="X233" i="1"/>
  <c r="Z233" i="1" s="1"/>
  <c r="AH233" i="1"/>
  <c r="AO233" i="1" l="1"/>
  <c r="AQ233" i="1" s="1"/>
  <c r="AJ233" i="1"/>
  <c r="AE233" i="1"/>
  <c r="AG233" i="1" s="1"/>
  <c r="AX233" i="1" s="1"/>
  <c r="AY233" i="1" l="1"/>
  <c r="AZ233" i="1" s="1"/>
  <c r="AW232" i="1"/>
  <c r="CC233" i="1"/>
  <c r="AK233" i="1"/>
  <c r="AN234" i="1"/>
  <c r="U234" i="1"/>
  <c r="AI234" i="1"/>
  <c r="V234" i="1" l="1"/>
  <c r="X234" i="1"/>
  <c r="Z234" i="1" s="1"/>
  <c r="AH234" i="1"/>
  <c r="AJ234" i="1" s="1"/>
  <c r="AE234" i="1" l="1"/>
  <c r="AY234" i="1" s="1"/>
  <c r="AZ234" i="1" s="1"/>
  <c r="CC234" i="1"/>
  <c r="AO234" i="1"/>
  <c r="AQ234" i="1" s="1"/>
  <c r="AK234" i="1"/>
  <c r="AW233" i="1"/>
  <c r="AG234" i="1" l="1"/>
  <c r="AX234" i="1" s="1"/>
  <c r="AI235" i="1"/>
  <c r="U235" i="1"/>
  <c r="AN235" i="1"/>
  <c r="V235" i="1" l="1"/>
  <c r="X235" i="1"/>
  <c r="Z235" i="1" s="1"/>
  <c r="AH235" i="1"/>
  <c r="AJ235" i="1" s="1"/>
  <c r="CC235" i="1" l="1"/>
  <c r="AE235" i="1"/>
  <c r="AG235" i="1" s="1"/>
  <c r="AX235" i="1" s="1"/>
  <c r="AW234" i="1"/>
  <c r="AK235" i="1"/>
  <c r="AO235" i="1"/>
  <c r="AQ235" i="1" s="1"/>
  <c r="AY235" i="1" l="1"/>
  <c r="AZ235" i="1" s="1"/>
  <c r="AN236" i="1"/>
  <c r="AI236" i="1"/>
  <c r="U236" i="1"/>
  <c r="V236" i="1" l="1"/>
  <c r="X236" i="1"/>
  <c r="Z236" i="1" s="1"/>
  <c r="AH236" i="1"/>
  <c r="AO236" i="1" l="1"/>
  <c r="AQ236" i="1" s="1"/>
  <c r="AJ236" i="1"/>
  <c r="AE236" i="1"/>
  <c r="AY236" i="1" s="1"/>
  <c r="AZ236" i="1" s="1"/>
  <c r="AG236" i="1" l="1"/>
  <c r="AX236" i="1" s="1"/>
  <c r="AW235" i="1"/>
  <c r="CC236" i="1"/>
  <c r="AK236" i="1"/>
  <c r="AN237" i="1"/>
  <c r="U237" i="1"/>
  <c r="AI237" i="1"/>
  <c r="V237" i="1" l="1"/>
  <c r="X237" i="1"/>
  <c r="Z237" i="1" s="1"/>
  <c r="AH237" i="1"/>
  <c r="AJ237" i="1" s="1"/>
  <c r="AE237" i="1" l="1"/>
  <c r="AG237" i="1" s="1"/>
  <c r="AX237" i="1" s="1"/>
  <c r="CC237" i="1"/>
  <c r="AK237" i="1"/>
  <c r="AW236" i="1"/>
  <c r="AO237" i="1"/>
  <c r="AQ237" i="1" s="1"/>
  <c r="AY237" i="1" l="1"/>
  <c r="AZ237" i="1" s="1"/>
  <c r="AI238" i="1"/>
  <c r="U238" i="1"/>
  <c r="AN238" i="1"/>
  <c r="V238" i="1" l="1"/>
  <c r="X238" i="1"/>
  <c r="Z238" i="1" s="1"/>
  <c r="AH238" i="1"/>
  <c r="AJ238" i="1" s="1"/>
  <c r="CC238" i="1" l="1"/>
  <c r="AE238" i="1"/>
  <c r="AY238" i="1" s="1"/>
  <c r="AZ238" i="1" s="1"/>
  <c r="AO238" i="1"/>
  <c r="AQ238" i="1" s="1"/>
  <c r="AK238" i="1"/>
  <c r="AW237" i="1"/>
  <c r="AG238" i="1" l="1"/>
  <c r="AX238" i="1" s="1"/>
  <c r="AN239" i="1"/>
  <c r="AI239" i="1"/>
  <c r="U239" i="1"/>
  <c r="V239" i="1" l="1"/>
  <c r="X239" i="1"/>
  <c r="Z239" i="1" s="1"/>
  <c r="AH239" i="1"/>
  <c r="AJ239" i="1" s="1"/>
  <c r="AE239" i="1" l="1"/>
  <c r="AG239" i="1" s="1"/>
  <c r="AX239" i="1" s="1"/>
  <c r="CC239" i="1"/>
  <c r="AK239" i="1"/>
  <c r="AW238" i="1"/>
  <c r="AO239" i="1"/>
  <c r="AQ239" i="1" s="1"/>
  <c r="AY239" i="1" l="1"/>
  <c r="AZ239" i="1" s="1"/>
  <c r="U240" i="1"/>
  <c r="AI240" i="1"/>
  <c r="AN240" i="1"/>
  <c r="V240" i="1" l="1"/>
  <c r="X240" i="1"/>
  <c r="Z240" i="1" s="1"/>
  <c r="AH240" i="1"/>
  <c r="AJ240" i="1" s="1"/>
  <c r="CC240" i="1" l="1"/>
  <c r="AE240" i="1"/>
  <c r="AY240" i="1" s="1"/>
  <c r="AZ240" i="1" s="1"/>
  <c r="AO240" i="1"/>
  <c r="AQ240" i="1" s="1"/>
  <c r="AW239" i="1"/>
  <c r="AK240" i="1"/>
  <c r="AG240" i="1" l="1"/>
  <c r="AX240" i="1" s="1"/>
  <c r="AN241" i="1"/>
  <c r="U241" i="1"/>
  <c r="AI241" i="1"/>
  <c r="V241" i="1" l="1"/>
  <c r="X241" i="1"/>
  <c r="Z241" i="1" s="1"/>
  <c r="AH241" i="1"/>
  <c r="AO241" i="1" l="1"/>
  <c r="AQ241" i="1" s="1"/>
  <c r="AJ241" i="1"/>
  <c r="CC241" i="1" s="1"/>
  <c r="AE241" i="1"/>
  <c r="AG241" i="1" s="1"/>
  <c r="AX241" i="1" s="1"/>
  <c r="AY241" i="1" l="1"/>
  <c r="AZ241" i="1" s="1"/>
  <c r="U242" i="1"/>
  <c r="AI242" i="1"/>
  <c r="AN242" i="1"/>
  <c r="AW240" i="1"/>
  <c r="AK241" i="1"/>
  <c r="V242" i="1" l="1"/>
  <c r="X242" i="1"/>
  <c r="Z242" i="1" s="1"/>
  <c r="AH242" i="1"/>
  <c r="AO242" i="1" l="1"/>
  <c r="AQ242" i="1" s="1"/>
  <c r="AJ242" i="1"/>
  <c r="AE242" i="1"/>
  <c r="AG242" i="1" s="1"/>
  <c r="AX242" i="1" s="1"/>
  <c r="AY242" i="1" l="1"/>
  <c r="AZ242" i="1" s="1"/>
  <c r="AK242" i="1"/>
  <c r="CC242" i="1"/>
  <c r="AW241" i="1"/>
  <c r="AI243" i="1"/>
  <c r="AN243" i="1"/>
  <c r="U243" i="1"/>
  <c r="V243" i="1" l="1"/>
  <c r="X243" i="1"/>
  <c r="Z243" i="1" s="1"/>
  <c r="AH243" i="1"/>
  <c r="AJ243" i="1" s="1"/>
  <c r="CC243" i="1" l="1"/>
  <c r="AE243" i="1"/>
  <c r="AY243" i="1" s="1"/>
  <c r="AZ243" i="1" s="1"/>
  <c r="AO243" i="1"/>
  <c r="AQ243" i="1" s="1"/>
  <c r="AW242" i="1"/>
  <c r="AK243" i="1"/>
  <c r="AG243" i="1" l="1"/>
  <c r="AX243" i="1" s="1"/>
  <c r="AI244" i="1"/>
  <c r="AN244" i="1"/>
  <c r="U244" i="1"/>
  <c r="V244" i="1" l="1"/>
  <c r="X244" i="1"/>
  <c r="Z244" i="1" s="1"/>
  <c r="AH244" i="1"/>
  <c r="AJ244" i="1" s="1"/>
  <c r="AE244" i="1" l="1"/>
  <c r="AG244" i="1" s="1"/>
  <c r="AX244" i="1" s="1"/>
  <c r="CC244" i="1"/>
  <c r="AO244" i="1"/>
  <c r="AQ244" i="1" s="1"/>
  <c r="AW243" i="1"/>
  <c r="AK244" i="1"/>
  <c r="AY244" i="1" l="1"/>
  <c r="AZ244" i="1" s="1"/>
  <c r="AI245" i="1"/>
  <c r="U245" i="1"/>
  <c r="AN245" i="1"/>
  <c r="V245" i="1" l="1"/>
  <c r="X245" i="1"/>
  <c r="Z245" i="1" s="1"/>
  <c r="AH245" i="1"/>
  <c r="AJ245" i="1" s="1"/>
  <c r="CC245" i="1" l="1"/>
  <c r="AE245" i="1"/>
  <c r="AG245" i="1" s="1"/>
  <c r="AX245" i="1" s="1"/>
  <c r="AO245" i="1"/>
  <c r="AQ245" i="1" s="1"/>
  <c r="AW244" i="1"/>
  <c r="AK245" i="1"/>
  <c r="AY245" i="1" l="1"/>
  <c r="AZ245" i="1" s="1"/>
  <c r="AI246" i="1"/>
  <c r="AN246" i="1"/>
  <c r="U246" i="1"/>
  <c r="V246" i="1" l="1"/>
  <c r="X246" i="1"/>
  <c r="Z246" i="1" s="1"/>
  <c r="AH246" i="1"/>
  <c r="AO246" i="1" l="1"/>
  <c r="AQ246" i="1" s="1"/>
  <c r="AJ246" i="1"/>
  <c r="AE246" i="1"/>
  <c r="AG246" i="1" s="1"/>
  <c r="AX246" i="1" s="1"/>
  <c r="AY246" i="1" l="1"/>
  <c r="AZ246" i="1" s="1"/>
  <c r="AW245" i="1"/>
  <c r="CC246" i="1"/>
  <c r="AK246" i="1"/>
  <c r="AN247" i="1"/>
  <c r="AI247" i="1"/>
  <c r="U247" i="1"/>
  <c r="V247" i="1" l="1"/>
  <c r="X247" i="1"/>
  <c r="Z247" i="1" s="1"/>
  <c r="AH247" i="1"/>
  <c r="AJ247" i="1" s="1"/>
  <c r="CC247" i="1" l="1"/>
  <c r="AE247" i="1"/>
  <c r="AY247" i="1" s="1"/>
  <c r="AZ247" i="1" s="1"/>
  <c r="AO247" i="1"/>
  <c r="AQ247" i="1" s="1"/>
  <c r="AW246" i="1"/>
  <c r="AK247" i="1"/>
  <c r="AG247" i="1" l="1"/>
  <c r="AX247" i="1" s="1"/>
  <c r="AI248" i="1"/>
  <c r="AN248" i="1"/>
  <c r="U248" i="1"/>
  <c r="V248" i="1" l="1"/>
  <c r="X248" i="1"/>
  <c r="Z248" i="1" s="1"/>
  <c r="AH248" i="1"/>
  <c r="AO248" i="1" l="1"/>
  <c r="AQ248" i="1" s="1"/>
  <c r="AJ248" i="1"/>
  <c r="CC248" i="1" s="1"/>
  <c r="AE248" i="1"/>
  <c r="AY248" i="1" s="1"/>
  <c r="AZ248" i="1" s="1"/>
  <c r="AG248" i="1" l="1"/>
  <c r="AX248" i="1" s="1"/>
  <c r="AK248" i="1"/>
  <c r="AW247" i="1"/>
  <c r="AI249" i="1"/>
  <c r="AN249" i="1"/>
  <c r="U249" i="1"/>
  <c r="V249" i="1" l="1"/>
  <c r="X249" i="1"/>
  <c r="Z249" i="1" s="1"/>
  <c r="AH249" i="1"/>
  <c r="AJ249" i="1" s="1"/>
  <c r="AE249" i="1" l="1"/>
  <c r="AY249" i="1" s="1"/>
  <c r="AZ249" i="1" s="1"/>
  <c r="CC249" i="1"/>
  <c r="AK249" i="1"/>
  <c r="AW248" i="1"/>
  <c r="AO249" i="1"/>
  <c r="AQ249" i="1" s="1"/>
  <c r="AG249" i="1" l="1"/>
  <c r="AX249" i="1" s="1"/>
  <c r="AI250" i="1"/>
  <c r="U250" i="1"/>
  <c r="AN250" i="1"/>
  <c r="V250" i="1" l="1"/>
  <c r="X250" i="1"/>
  <c r="Z250" i="1" s="1"/>
  <c r="AH250" i="1"/>
  <c r="AJ250" i="1" s="1"/>
  <c r="CC250" i="1" l="1"/>
  <c r="AE250" i="1"/>
  <c r="AG250" i="1" s="1"/>
  <c r="AX250" i="1" s="1"/>
  <c r="AO250" i="1"/>
  <c r="AQ250" i="1" s="1"/>
  <c r="AK250" i="1"/>
  <c r="AW249" i="1"/>
  <c r="AY250" i="1" l="1"/>
  <c r="AZ250" i="1" s="1"/>
  <c r="AN251" i="1"/>
  <c r="U251" i="1"/>
  <c r="AI251" i="1"/>
  <c r="V251" i="1" l="1"/>
  <c r="X251" i="1"/>
  <c r="Z251" i="1" s="1"/>
  <c r="AH251" i="1"/>
  <c r="AO251" i="1" l="1"/>
  <c r="AQ251" i="1" s="1"/>
  <c r="AJ251" i="1"/>
  <c r="CC251" i="1" s="1"/>
  <c r="AE251" i="1"/>
  <c r="AG251" i="1" s="1"/>
  <c r="AX251" i="1" s="1"/>
  <c r="AY251" i="1" l="1"/>
  <c r="AZ251" i="1" s="1"/>
  <c r="U252" i="1"/>
  <c r="AN252" i="1"/>
  <c r="AI252" i="1"/>
  <c r="AW250" i="1"/>
  <c r="AK251" i="1"/>
  <c r="V252" i="1" l="1"/>
  <c r="X252" i="1"/>
  <c r="Z252" i="1" s="1"/>
  <c r="AH252" i="1"/>
  <c r="AO252" i="1" l="1"/>
  <c r="AQ252" i="1" s="1"/>
  <c r="AJ252" i="1"/>
  <c r="CC252" i="1" s="1"/>
  <c r="AE252" i="1"/>
  <c r="AY252" i="1" s="1"/>
  <c r="AZ252" i="1" s="1"/>
  <c r="AG252" i="1" l="1"/>
  <c r="AX252" i="1" s="1"/>
  <c r="AW251" i="1"/>
  <c r="AK252" i="1"/>
  <c r="AN253" i="1"/>
  <c r="U253" i="1"/>
  <c r="AI253" i="1"/>
  <c r="V253" i="1" l="1"/>
  <c r="X253" i="1"/>
  <c r="Z253" i="1" s="1"/>
  <c r="AH253" i="1"/>
  <c r="AJ253" i="1" s="1"/>
  <c r="CC253" i="1" l="1"/>
  <c r="AE253" i="1"/>
  <c r="AG253" i="1" s="1"/>
  <c r="AX253" i="1" s="1"/>
  <c r="AO253" i="1"/>
  <c r="AQ253" i="1" s="1"/>
  <c r="AK253" i="1"/>
  <c r="AW252" i="1"/>
  <c r="AY253" i="1" l="1"/>
  <c r="AZ253" i="1" s="1"/>
  <c r="AI254" i="1"/>
  <c r="AN254" i="1"/>
  <c r="U254" i="1"/>
  <c r="V254" i="1" l="1"/>
  <c r="X254" i="1"/>
  <c r="Z254" i="1" s="1"/>
  <c r="AH254" i="1"/>
  <c r="AJ254" i="1" s="1"/>
  <c r="AE254" i="1" l="1"/>
  <c r="AY254" i="1" s="1"/>
  <c r="AZ254" i="1" s="1"/>
  <c r="CC254" i="1"/>
  <c r="AO254" i="1"/>
  <c r="AQ254" i="1" s="1"/>
  <c r="AK254" i="1"/>
  <c r="AW253" i="1"/>
  <c r="AG254" i="1" l="1"/>
  <c r="AX254" i="1" s="1"/>
  <c r="AN255" i="1"/>
  <c r="AI255" i="1"/>
  <c r="U255" i="1"/>
  <c r="V255" i="1" l="1"/>
  <c r="X255" i="1"/>
  <c r="Z255" i="1" s="1"/>
  <c r="AH255" i="1"/>
  <c r="AJ255" i="1" s="1"/>
  <c r="CC255" i="1" l="1"/>
  <c r="AE255" i="1"/>
  <c r="AG255" i="1" s="1"/>
  <c r="AX255" i="1" s="1"/>
  <c r="AO255" i="1"/>
  <c r="AQ255" i="1" s="1"/>
  <c r="AW254" i="1"/>
  <c r="AK255" i="1"/>
  <c r="AY255" i="1" l="1"/>
  <c r="AZ255" i="1" s="1"/>
  <c r="AI256" i="1"/>
  <c r="AN256" i="1"/>
  <c r="U256" i="1"/>
  <c r="V256" i="1" l="1"/>
  <c r="X256" i="1"/>
  <c r="Z256" i="1" s="1"/>
  <c r="AH256" i="1"/>
  <c r="AO256" i="1" l="1"/>
  <c r="AQ256" i="1" s="1"/>
  <c r="AJ256" i="1"/>
  <c r="AE256" i="1"/>
  <c r="AY256" i="1" s="1"/>
  <c r="AZ256" i="1" s="1"/>
  <c r="AG256" i="1" l="1"/>
  <c r="AX256" i="1" s="1"/>
  <c r="AK256" i="1"/>
  <c r="CC256" i="1"/>
  <c r="AW255" i="1"/>
  <c r="AI257" i="1"/>
  <c r="AN257" i="1"/>
  <c r="U257" i="1"/>
  <c r="V257" i="1" l="1"/>
  <c r="X257" i="1"/>
  <c r="Z257" i="1" s="1"/>
  <c r="AH257" i="1"/>
  <c r="AJ257" i="1" s="1"/>
  <c r="CC257" i="1" l="1"/>
  <c r="AE257" i="1"/>
  <c r="AY257" i="1" s="1"/>
  <c r="AZ257" i="1" s="1"/>
  <c r="AO257" i="1"/>
  <c r="AQ257" i="1" s="1"/>
  <c r="AK257" i="1"/>
  <c r="AW256" i="1"/>
  <c r="AG257" i="1" l="1"/>
  <c r="AX257" i="1" s="1"/>
  <c r="AN258" i="1"/>
  <c r="AI258" i="1"/>
  <c r="U258" i="1"/>
  <c r="V258" i="1" l="1"/>
  <c r="X258" i="1"/>
  <c r="Z258" i="1" s="1"/>
  <c r="AH258" i="1"/>
  <c r="AO258" i="1" l="1"/>
  <c r="AQ258" i="1" s="1"/>
  <c r="AJ258" i="1"/>
  <c r="CC258" i="1" s="1"/>
  <c r="AE258" i="1"/>
  <c r="AY258" i="1" s="1"/>
  <c r="AZ258" i="1" s="1"/>
  <c r="AG258" i="1" l="1"/>
  <c r="AX258" i="1" s="1"/>
  <c r="AK258" i="1"/>
  <c r="AW257" i="1"/>
  <c r="AI259" i="1"/>
  <c r="AN259" i="1"/>
  <c r="U259" i="1"/>
  <c r="V259" i="1" l="1"/>
  <c r="X259" i="1"/>
  <c r="Z259" i="1" s="1"/>
  <c r="AH259" i="1"/>
  <c r="AJ259" i="1" s="1"/>
  <c r="AE259" i="1" l="1"/>
  <c r="AG259" i="1" s="1"/>
  <c r="AX259" i="1" s="1"/>
  <c r="CC259" i="1"/>
  <c r="AO259" i="1"/>
  <c r="AQ259" i="1" s="1"/>
  <c r="AW258" i="1"/>
  <c r="AK259" i="1"/>
  <c r="AY259" i="1" l="1"/>
  <c r="AZ259" i="1" s="1"/>
  <c r="AN260" i="1"/>
  <c r="U260" i="1"/>
  <c r="AI260" i="1"/>
  <c r="V260" i="1" l="1"/>
  <c r="X260" i="1"/>
  <c r="Z260" i="1" s="1"/>
  <c r="AH260" i="1"/>
  <c r="AJ260" i="1" s="1"/>
  <c r="AE260" i="1" l="1"/>
  <c r="AY260" i="1" s="1"/>
  <c r="AZ260" i="1" s="1"/>
  <c r="CC260" i="1"/>
  <c r="AK260" i="1"/>
  <c r="AW259" i="1"/>
  <c r="AO260" i="1"/>
  <c r="AQ260" i="1" s="1"/>
  <c r="AG260" i="1" l="1"/>
  <c r="AX260" i="1" s="1"/>
  <c r="AI261" i="1"/>
  <c r="AN261" i="1"/>
  <c r="U261" i="1"/>
  <c r="V261" i="1" l="1"/>
  <c r="X261" i="1"/>
  <c r="Z261" i="1" s="1"/>
  <c r="AH261" i="1"/>
  <c r="AJ261" i="1" s="1"/>
  <c r="AE261" i="1" l="1"/>
  <c r="AG261" i="1" s="1"/>
  <c r="AX261" i="1" s="1"/>
  <c r="CC261" i="1"/>
  <c r="AW260" i="1"/>
  <c r="AK261" i="1"/>
  <c r="AO261" i="1"/>
  <c r="AQ261" i="1" s="1"/>
  <c r="AY261" i="1" l="1"/>
  <c r="AZ261" i="1" s="1"/>
  <c r="AN262" i="1"/>
  <c r="U262" i="1"/>
  <c r="AI262" i="1"/>
  <c r="V262" i="1" l="1"/>
  <c r="X262" i="1"/>
  <c r="Z262" i="1" s="1"/>
  <c r="AH262" i="1"/>
  <c r="AJ262" i="1" s="1"/>
  <c r="CC262" i="1" l="1"/>
  <c r="AE262" i="1"/>
  <c r="AG262" i="1" s="1"/>
  <c r="AX262" i="1" s="1"/>
  <c r="AW261" i="1"/>
  <c r="AK262" i="1"/>
  <c r="AO262" i="1"/>
  <c r="AQ262" i="1" s="1"/>
  <c r="AY262" i="1" l="1"/>
  <c r="AZ262" i="1" s="1"/>
  <c r="AI263" i="1"/>
  <c r="AN263" i="1"/>
  <c r="U263" i="1"/>
  <c r="V263" i="1" l="1"/>
  <c r="X263" i="1"/>
  <c r="Z263" i="1" s="1"/>
  <c r="AH263" i="1"/>
  <c r="AO263" i="1" l="1"/>
  <c r="AQ263" i="1" s="1"/>
  <c r="AJ263" i="1"/>
  <c r="AE263" i="1"/>
  <c r="AG263" i="1" s="1"/>
  <c r="AX263" i="1" s="1"/>
  <c r="AY263" i="1" l="1"/>
  <c r="AZ263" i="1" s="1"/>
  <c r="AK263" i="1"/>
  <c r="CC263" i="1"/>
  <c r="AW262" i="1"/>
  <c r="AI264" i="1"/>
  <c r="U264" i="1"/>
  <c r="AN264" i="1"/>
  <c r="V264" i="1" l="1"/>
  <c r="X264" i="1"/>
  <c r="Z264" i="1" s="1"/>
  <c r="AH264" i="1"/>
  <c r="AJ264" i="1" s="1"/>
  <c r="AE264" i="1" l="1"/>
  <c r="AG264" i="1" s="1"/>
  <c r="AX264" i="1" s="1"/>
  <c r="CC264" i="1"/>
  <c r="AK264" i="1"/>
  <c r="AW263" i="1"/>
  <c r="AO264" i="1"/>
  <c r="AQ264" i="1" s="1"/>
  <c r="AY264" i="1" l="1"/>
  <c r="AZ264" i="1" s="1"/>
  <c r="AI265" i="1"/>
  <c r="AN265" i="1"/>
  <c r="U265" i="1"/>
  <c r="V265" i="1" l="1"/>
  <c r="X265" i="1"/>
  <c r="Z265" i="1" s="1"/>
  <c r="AH265" i="1"/>
  <c r="AO265" i="1" l="1"/>
  <c r="AQ265" i="1" s="1"/>
  <c r="AJ265" i="1"/>
  <c r="CC265" i="1" s="1"/>
  <c r="AE265" i="1"/>
  <c r="AY265" i="1" s="1"/>
  <c r="AZ265" i="1" s="1"/>
  <c r="AG265" i="1" l="1"/>
  <c r="AX265" i="1" s="1"/>
  <c r="AK265" i="1"/>
  <c r="AW264" i="1"/>
  <c r="AN266" i="1"/>
  <c r="U266" i="1"/>
  <c r="AI266" i="1"/>
  <c r="V266" i="1" l="1"/>
  <c r="X266" i="1"/>
  <c r="Z266" i="1" s="1"/>
  <c r="AH266" i="1"/>
  <c r="AO266" i="1" l="1"/>
  <c r="AQ266" i="1" s="1"/>
  <c r="AJ266" i="1"/>
  <c r="AE266" i="1"/>
  <c r="AY266" i="1" s="1"/>
  <c r="AZ266" i="1" s="1"/>
  <c r="AG266" i="1" l="1"/>
  <c r="AX266" i="1" s="1"/>
  <c r="AW265" i="1"/>
  <c r="CC266" i="1"/>
  <c r="AK266" i="1"/>
  <c r="AI267" i="1"/>
  <c r="AN267" i="1"/>
  <c r="U267" i="1"/>
  <c r="V267" i="1" l="1"/>
  <c r="X267" i="1"/>
  <c r="Z267" i="1" s="1"/>
  <c r="AH267" i="1"/>
  <c r="AO267" i="1" l="1"/>
  <c r="AQ267" i="1" s="1"/>
  <c r="AJ267" i="1"/>
  <c r="CC267" i="1" s="1"/>
  <c r="AE267" i="1"/>
  <c r="AY267" i="1" s="1"/>
  <c r="AZ267" i="1" s="1"/>
  <c r="AG267" i="1" l="1"/>
  <c r="AX267" i="1" s="1"/>
  <c r="AK267" i="1"/>
  <c r="AW266" i="1"/>
  <c r="AN268" i="1"/>
  <c r="AI268" i="1"/>
  <c r="U268" i="1"/>
  <c r="V268" i="1" l="1"/>
  <c r="X268" i="1"/>
  <c r="Z268" i="1" s="1"/>
  <c r="AH268" i="1"/>
  <c r="AO268" i="1" l="1"/>
  <c r="AQ268" i="1" s="1"/>
  <c r="AJ268" i="1"/>
  <c r="AE268" i="1"/>
  <c r="AG268" i="1" s="1"/>
  <c r="AX268" i="1" s="1"/>
  <c r="AY268" i="1" l="1"/>
  <c r="AZ268" i="1" s="1"/>
  <c r="AK268" i="1"/>
  <c r="CC268" i="1"/>
  <c r="AW267" i="1"/>
  <c r="AI269" i="1"/>
  <c r="U269" i="1"/>
  <c r="AN269" i="1"/>
  <c r="V269" i="1" l="1"/>
  <c r="X269" i="1"/>
  <c r="Z269" i="1" s="1"/>
  <c r="AH269" i="1"/>
  <c r="AJ269" i="1" s="1"/>
  <c r="AE269" i="1" l="1"/>
  <c r="AY269" i="1" s="1"/>
  <c r="AZ269" i="1" s="1"/>
  <c r="CC269" i="1"/>
  <c r="AO269" i="1"/>
  <c r="AQ269" i="1" s="1"/>
  <c r="AK269" i="1"/>
  <c r="AW268" i="1"/>
  <c r="AG269" i="1" l="1"/>
  <c r="AX269" i="1" s="1"/>
  <c r="AN270" i="1"/>
  <c r="AI270" i="1"/>
  <c r="U270" i="1"/>
  <c r="V270" i="1" l="1"/>
  <c r="X270" i="1"/>
  <c r="Z270" i="1" s="1"/>
  <c r="AH270" i="1"/>
  <c r="AO270" i="1" l="1"/>
  <c r="AQ270" i="1" s="1"/>
  <c r="AJ270" i="1"/>
  <c r="CC270" i="1" s="1"/>
  <c r="AE270" i="1"/>
  <c r="AG270" i="1" s="1"/>
  <c r="AX270" i="1" s="1"/>
  <c r="AY270" i="1" l="1"/>
  <c r="AZ270" i="1" s="1"/>
  <c r="AK270" i="1"/>
  <c r="AW269" i="1"/>
  <c r="AN271" i="1"/>
  <c r="AI271" i="1"/>
  <c r="U271" i="1"/>
  <c r="V271" i="1" l="1"/>
  <c r="X271" i="1"/>
  <c r="Z271" i="1" s="1"/>
  <c r="AH271" i="1"/>
  <c r="AJ271" i="1" s="1"/>
  <c r="AE271" i="1" l="1"/>
  <c r="AG271" i="1" s="1"/>
  <c r="AX271" i="1" s="1"/>
  <c r="CC271" i="1"/>
  <c r="AK271" i="1"/>
  <c r="AW270" i="1"/>
  <c r="AO271" i="1"/>
  <c r="AQ271" i="1" s="1"/>
  <c r="AY271" i="1" l="1"/>
  <c r="AZ271" i="1" s="1"/>
  <c r="AN272" i="1"/>
  <c r="U272" i="1"/>
  <c r="AI272" i="1"/>
  <c r="V272" i="1" l="1"/>
  <c r="X272" i="1"/>
  <c r="Z272" i="1" s="1"/>
  <c r="AH272" i="1"/>
  <c r="AJ272" i="1" s="1"/>
  <c r="AE272" i="1" l="1"/>
  <c r="AY272" i="1" s="1"/>
  <c r="AZ272" i="1" s="1"/>
  <c r="CC272" i="1"/>
  <c r="AW271" i="1"/>
  <c r="AK272" i="1"/>
  <c r="AO272" i="1"/>
  <c r="AQ272" i="1" s="1"/>
  <c r="AG272" i="1" l="1"/>
  <c r="AX272" i="1" s="1"/>
  <c r="AI273" i="1"/>
  <c r="AN273" i="1"/>
  <c r="U273" i="1"/>
  <c r="V273" i="1" l="1"/>
  <c r="X273" i="1"/>
  <c r="Z273" i="1" s="1"/>
  <c r="AH273" i="1"/>
  <c r="AO273" i="1" l="1"/>
  <c r="AQ273" i="1" s="1"/>
  <c r="AJ273" i="1"/>
  <c r="AE273" i="1"/>
  <c r="AY273" i="1" s="1"/>
  <c r="AZ273" i="1" s="1"/>
  <c r="AG273" i="1" l="1"/>
  <c r="AX273" i="1" s="1"/>
  <c r="AW272" i="1"/>
  <c r="CC273" i="1"/>
  <c r="AK273" i="1"/>
  <c r="AN274" i="1"/>
  <c r="U274" i="1"/>
  <c r="AI274" i="1"/>
  <c r="V274" i="1" l="1"/>
  <c r="X274" i="1"/>
  <c r="Z274" i="1" s="1"/>
  <c r="AH274" i="1"/>
  <c r="AJ274" i="1" s="1"/>
  <c r="AE274" i="1" l="1"/>
  <c r="AG274" i="1" s="1"/>
  <c r="AX274" i="1" s="1"/>
  <c r="CC274" i="1"/>
  <c r="AO274" i="1"/>
  <c r="AQ274" i="1" s="1"/>
  <c r="AW273" i="1"/>
  <c r="AK274" i="1"/>
  <c r="AY274" i="1" l="1"/>
  <c r="AZ274" i="1" s="1"/>
  <c r="AN275" i="1"/>
  <c r="AI275" i="1"/>
  <c r="U275" i="1"/>
  <c r="V275" i="1" l="1"/>
  <c r="X275" i="1"/>
  <c r="Z275" i="1" s="1"/>
  <c r="AH275" i="1"/>
  <c r="AO275" i="1" l="1"/>
  <c r="AQ275" i="1" s="1"/>
  <c r="AJ275" i="1"/>
  <c r="AE275" i="1"/>
  <c r="AY275" i="1" s="1"/>
  <c r="AZ275" i="1" s="1"/>
  <c r="AG275" i="1" l="1"/>
  <c r="AX275" i="1" s="1"/>
  <c r="AW274" i="1"/>
  <c r="CC275" i="1"/>
  <c r="AK275" i="1"/>
  <c r="U276" i="1"/>
  <c r="AN276" i="1"/>
  <c r="AI276" i="1"/>
  <c r="V276" i="1" l="1"/>
  <c r="X276" i="1"/>
  <c r="Z276" i="1" s="1"/>
  <c r="AH276" i="1"/>
  <c r="AJ276" i="1" s="1"/>
  <c r="AE276" i="1" l="1"/>
  <c r="AG276" i="1" s="1"/>
  <c r="AX276" i="1" s="1"/>
  <c r="CC276" i="1"/>
  <c r="AW275" i="1"/>
  <c r="AK276" i="1"/>
  <c r="AO276" i="1"/>
  <c r="AQ276" i="1" s="1"/>
  <c r="AY276" i="1" l="1"/>
  <c r="AZ276" i="1" s="1"/>
  <c r="AN277" i="1"/>
  <c r="AI277" i="1"/>
  <c r="U277" i="1"/>
  <c r="V277" i="1" l="1"/>
  <c r="X277" i="1"/>
  <c r="Z277" i="1" s="1"/>
  <c r="AH277" i="1"/>
  <c r="AO277" i="1" s="1"/>
  <c r="AQ277" i="1" s="1"/>
  <c r="AJ277" i="1" l="1"/>
  <c r="AE277" i="1"/>
  <c r="AG277" i="1" s="1"/>
  <c r="AX277" i="1" s="1"/>
  <c r="AY277" i="1" l="1"/>
  <c r="AZ277" i="1" s="1"/>
  <c r="AK277" i="1"/>
  <c r="CC277" i="1"/>
  <c r="AW276" i="1"/>
  <c r="U278" i="1"/>
  <c r="AN278" i="1"/>
  <c r="AI278" i="1"/>
  <c r="V278" i="1" l="1"/>
  <c r="X278" i="1"/>
  <c r="Z278" i="1" s="1"/>
  <c r="AH278" i="1"/>
  <c r="AJ278" i="1" s="1"/>
  <c r="AE278" i="1" l="1"/>
  <c r="AG278" i="1" s="1"/>
  <c r="AX278" i="1" s="1"/>
  <c r="CC278" i="1"/>
  <c r="AK278" i="1"/>
  <c r="AW277" i="1"/>
  <c r="AO278" i="1"/>
  <c r="AQ278" i="1" s="1"/>
  <c r="AY278" i="1" l="1"/>
  <c r="AZ278" i="1" s="1"/>
  <c r="AI279" i="1"/>
  <c r="AN279" i="1"/>
  <c r="U279" i="1"/>
  <c r="V279" i="1" l="1"/>
  <c r="X279" i="1"/>
  <c r="Z279" i="1" s="1"/>
  <c r="AH279" i="1"/>
  <c r="AJ279" i="1" s="1"/>
  <c r="AE279" i="1" l="1"/>
  <c r="AG279" i="1" s="1"/>
  <c r="AX279" i="1" s="1"/>
  <c r="CC279" i="1"/>
  <c r="AW278" i="1"/>
  <c r="AK279" i="1"/>
  <c r="AO279" i="1"/>
  <c r="AQ279" i="1" s="1"/>
  <c r="AY279" i="1" l="1"/>
  <c r="AZ279" i="1" s="1"/>
  <c r="AI280" i="1"/>
  <c r="U280" i="1"/>
  <c r="AN280" i="1"/>
  <c r="V280" i="1" l="1"/>
  <c r="X280" i="1"/>
  <c r="Z280" i="1" s="1"/>
  <c r="AH280" i="1"/>
  <c r="AJ280" i="1" s="1"/>
  <c r="CC280" i="1" l="1"/>
  <c r="AE280" i="1"/>
  <c r="AG280" i="1" s="1"/>
  <c r="AX280" i="1" s="1"/>
  <c r="AK280" i="1"/>
  <c r="AW279" i="1"/>
  <c r="AO280" i="1"/>
  <c r="AQ280" i="1" s="1"/>
  <c r="AY280" i="1" l="1"/>
  <c r="AZ280" i="1" s="1"/>
  <c r="AN281" i="1"/>
  <c r="AI281" i="1"/>
  <c r="U281" i="1"/>
  <c r="V281" i="1" l="1"/>
  <c r="X281" i="1"/>
  <c r="Z281" i="1" s="1"/>
  <c r="AH281" i="1"/>
  <c r="AJ281" i="1" s="1"/>
  <c r="CC281" i="1" l="1"/>
  <c r="AE281" i="1"/>
  <c r="AY281" i="1" s="1"/>
  <c r="AZ281" i="1" s="1"/>
  <c r="AK281" i="1"/>
  <c r="AW280" i="1"/>
  <c r="AO281" i="1"/>
  <c r="AQ281" i="1" s="1"/>
  <c r="AG281" i="1" l="1"/>
  <c r="AX281" i="1" s="1"/>
  <c r="U282" i="1"/>
  <c r="AI282" i="1"/>
  <c r="AN282" i="1"/>
  <c r="V282" i="1" l="1"/>
  <c r="X282" i="1"/>
  <c r="Z282" i="1" s="1"/>
  <c r="AH282" i="1"/>
  <c r="AJ282" i="1" s="1"/>
  <c r="CC282" i="1" l="1"/>
  <c r="AE282" i="1"/>
  <c r="AG282" i="1" s="1"/>
  <c r="AX282" i="1" s="1"/>
  <c r="AK282" i="1"/>
  <c r="AW281" i="1"/>
  <c r="AO282" i="1"/>
  <c r="AQ282" i="1" s="1"/>
  <c r="AY282" i="1" l="1"/>
  <c r="AZ282" i="1" s="1"/>
  <c r="AI283" i="1"/>
  <c r="AN283" i="1"/>
  <c r="U283" i="1"/>
  <c r="V283" i="1" l="1"/>
  <c r="X283" i="1"/>
  <c r="Z283" i="1" s="1"/>
  <c r="AH283" i="1"/>
  <c r="AO283" i="1" s="1"/>
  <c r="AQ283" i="1" s="1"/>
  <c r="AJ283" i="1" l="1"/>
  <c r="CC283" i="1" s="1"/>
  <c r="AE283" i="1"/>
  <c r="AG283" i="1" s="1"/>
  <c r="AX283" i="1" s="1"/>
  <c r="AY283" i="1" l="1"/>
  <c r="AZ283" i="1" s="1"/>
  <c r="AW282" i="1"/>
  <c r="AK283" i="1"/>
  <c r="AI284" i="1"/>
  <c r="AN284" i="1"/>
  <c r="U284" i="1"/>
  <c r="V284" i="1" l="1"/>
  <c r="X284" i="1"/>
  <c r="Z284" i="1" s="1"/>
  <c r="AH284" i="1"/>
  <c r="AJ284" i="1" s="1"/>
  <c r="CC284" i="1" l="1"/>
  <c r="AE284" i="1"/>
  <c r="AG284" i="1" s="1"/>
  <c r="AX284" i="1" s="1"/>
  <c r="AO284" i="1"/>
  <c r="AQ284" i="1" s="1"/>
  <c r="AW283" i="1"/>
  <c r="AK284" i="1"/>
  <c r="AY284" i="1" l="1"/>
  <c r="AZ284" i="1" s="1"/>
  <c r="AN285" i="1"/>
  <c r="AI285" i="1"/>
  <c r="U285" i="1"/>
  <c r="V285" i="1" l="1"/>
  <c r="X285" i="1"/>
  <c r="Z285" i="1" s="1"/>
  <c r="AH285" i="1"/>
  <c r="AJ285" i="1" s="1"/>
  <c r="AE285" i="1" l="1"/>
  <c r="AG285" i="1" s="1"/>
  <c r="AX285" i="1" s="1"/>
  <c r="CC285" i="1"/>
  <c r="AO285" i="1"/>
  <c r="AQ285" i="1" s="1"/>
  <c r="AK285" i="1"/>
  <c r="AW284" i="1"/>
  <c r="AY285" i="1" l="1"/>
  <c r="AZ285" i="1" s="1"/>
  <c r="AN286" i="1"/>
  <c r="AI286" i="1"/>
  <c r="U286" i="1"/>
  <c r="V286" i="1" l="1"/>
  <c r="X286" i="1"/>
  <c r="Z286" i="1" s="1"/>
  <c r="AH286" i="1"/>
  <c r="AJ286" i="1" s="1"/>
  <c r="CC286" i="1" l="1"/>
  <c r="AE286" i="1"/>
  <c r="AY286" i="1" s="1"/>
  <c r="AZ286" i="1" s="1"/>
  <c r="AO286" i="1"/>
  <c r="AQ286" i="1" s="1"/>
  <c r="AW285" i="1"/>
  <c r="AK286" i="1"/>
  <c r="AG286" i="1" l="1"/>
  <c r="AX286" i="1" s="1"/>
  <c r="AI287" i="1"/>
  <c r="U287" i="1"/>
  <c r="AN287" i="1"/>
  <c r="V287" i="1" l="1"/>
  <c r="X287" i="1"/>
  <c r="Z287" i="1" s="1"/>
  <c r="AH287" i="1"/>
  <c r="AJ287" i="1" s="1"/>
  <c r="CC287" i="1" l="1"/>
  <c r="AE287" i="1"/>
  <c r="AG287" i="1" s="1"/>
  <c r="AX287" i="1" s="1"/>
  <c r="AK287" i="1"/>
  <c r="AW286" i="1"/>
  <c r="AO287" i="1"/>
  <c r="AQ287" i="1" s="1"/>
  <c r="AY287" i="1" l="1"/>
  <c r="AZ287" i="1" s="1"/>
  <c r="AI288" i="1"/>
  <c r="U288" i="1"/>
  <c r="AN288" i="1"/>
  <c r="V288" i="1" l="1"/>
  <c r="X288" i="1"/>
  <c r="Z288" i="1" s="1"/>
  <c r="AH288" i="1"/>
  <c r="AO288" i="1" s="1"/>
  <c r="AQ288" i="1" s="1"/>
  <c r="AJ288" i="1" l="1"/>
  <c r="CC288" i="1" s="1"/>
  <c r="AE288" i="1"/>
  <c r="AG288" i="1" s="1"/>
  <c r="AX288" i="1" s="1"/>
  <c r="AY288" i="1" l="1"/>
  <c r="AZ288" i="1" s="1"/>
  <c r="AW287" i="1"/>
  <c r="AK288" i="1"/>
  <c r="AI289" i="1"/>
  <c r="U289" i="1"/>
  <c r="AN289" i="1"/>
  <c r="V289" i="1" l="1"/>
  <c r="X289" i="1"/>
  <c r="Z289" i="1" s="1"/>
  <c r="AH289" i="1"/>
  <c r="AJ289" i="1" s="1"/>
  <c r="CC289" i="1" l="1"/>
  <c r="AE289" i="1"/>
  <c r="AY289" i="1" s="1"/>
  <c r="AZ289" i="1" s="1"/>
  <c r="AO289" i="1"/>
  <c r="AQ289" i="1" s="1"/>
  <c r="AK289" i="1"/>
  <c r="AW288" i="1"/>
  <c r="AG289" i="1" l="1"/>
  <c r="AX289" i="1" s="1"/>
  <c r="AN290" i="1"/>
  <c r="AI290" i="1"/>
  <c r="U290" i="1"/>
  <c r="V290" i="1" l="1"/>
  <c r="X290" i="1"/>
  <c r="Z290" i="1" s="1"/>
  <c r="AH290" i="1"/>
  <c r="AJ290" i="1" s="1"/>
  <c r="AE290" i="1" l="1"/>
  <c r="AG290" i="1" s="1"/>
  <c r="AX290" i="1" s="1"/>
  <c r="CC290" i="1"/>
  <c r="AO290" i="1"/>
  <c r="AQ290" i="1" s="1"/>
  <c r="AW289" i="1"/>
  <c r="AK290" i="1"/>
  <c r="AY290" i="1" l="1"/>
  <c r="AZ290" i="1" s="1"/>
  <c r="AN291" i="1"/>
  <c r="AI291" i="1"/>
  <c r="U291" i="1"/>
  <c r="V291" i="1" l="1"/>
  <c r="X291" i="1"/>
  <c r="Z291" i="1" s="1"/>
  <c r="AH291" i="1"/>
  <c r="AJ291" i="1" s="1"/>
  <c r="CC291" i="1" l="1"/>
  <c r="AE291" i="1"/>
  <c r="AY291" i="1" s="1"/>
  <c r="AZ291" i="1" s="1"/>
  <c r="AO291" i="1"/>
  <c r="AQ291" i="1" s="1"/>
  <c r="AW290" i="1"/>
  <c r="AK291" i="1"/>
  <c r="AG291" i="1" l="1"/>
  <c r="AX291" i="1" s="1"/>
  <c r="AN292" i="1"/>
  <c r="AI292" i="1"/>
  <c r="U292" i="1"/>
  <c r="V292" i="1" l="1"/>
  <c r="X292" i="1"/>
  <c r="Z292" i="1" s="1"/>
  <c r="AH292" i="1"/>
  <c r="AO292" i="1" s="1"/>
  <c r="AQ292" i="1" s="1"/>
  <c r="AJ292" i="1" l="1"/>
  <c r="AE292" i="1"/>
  <c r="AY292" i="1" s="1"/>
  <c r="AZ292" i="1" s="1"/>
  <c r="AG292" i="1" l="1"/>
  <c r="AX292" i="1" s="1"/>
  <c r="AK292" i="1"/>
  <c r="CC292" i="1"/>
  <c r="AW291" i="1"/>
  <c r="AN293" i="1"/>
  <c r="U293" i="1"/>
  <c r="AI293" i="1"/>
  <c r="V293" i="1" l="1"/>
  <c r="X293" i="1"/>
  <c r="Z293" i="1" s="1"/>
  <c r="AH293" i="1"/>
  <c r="AJ293" i="1" s="1"/>
  <c r="CC293" i="1" l="1"/>
  <c r="AE293" i="1"/>
  <c r="AY293" i="1" s="1"/>
  <c r="AZ293" i="1" s="1"/>
  <c r="AK293" i="1"/>
  <c r="AW292" i="1"/>
  <c r="AO293" i="1"/>
  <c r="AQ293" i="1" s="1"/>
  <c r="AG293" i="1" l="1"/>
  <c r="AX293" i="1" s="1"/>
  <c r="AI294" i="1"/>
  <c r="AN294" i="1"/>
  <c r="U294" i="1"/>
  <c r="V294" i="1" l="1"/>
  <c r="X294" i="1"/>
  <c r="Z294" i="1" s="1"/>
  <c r="AH294" i="1"/>
  <c r="AJ294" i="1" s="1"/>
  <c r="AE294" i="1" l="1"/>
  <c r="AY294" i="1" s="1"/>
  <c r="AZ294" i="1" s="1"/>
  <c r="CC294" i="1"/>
  <c r="AO294" i="1"/>
  <c r="AQ294" i="1" s="1"/>
  <c r="AK294" i="1"/>
  <c r="AW293" i="1"/>
  <c r="AG294" i="1" l="1"/>
  <c r="AX294" i="1" s="1"/>
  <c r="AN295" i="1"/>
  <c r="AI295" i="1"/>
  <c r="U295" i="1"/>
  <c r="V295" i="1" l="1"/>
  <c r="X295" i="1"/>
  <c r="Z295" i="1" s="1"/>
  <c r="AH295" i="1"/>
  <c r="AJ295" i="1" s="1"/>
  <c r="CC295" i="1" l="1"/>
  <c r="AE295" i="1"/>
  <c r="AG295" i="1" s="1"/>
  <c r="AX295" i="1" s="1"/>
  <c r="AO295" i="1"/>
  <c r="AQ295" i="1" s="1"/>
  <c r="AK295" i="1"/>
  <c r="AW294" i="1"/>
  <c r="AY295" i="1" l="1"/>
  <c r="AZ295" i="1" s="1"/>
  <c r="AI296" i="1"/>
  <c r="AN296" i="1"/>
  <c r="U296" i="1"/>
  <c r="V296" i="1" l="1"/>
  <c r="X296" i="1"/>
  <c r="Z296" i="1" s="1"/>
  <c r="AH296" i="1"/>
  <c r="AJ296" i="1" s="1"/>
  <c r="AE296" i="1" l="1"/>
  <c r="AY296" i="1" s="1"/>
  <c r="AZ296" i="1" s="1"/>
  <c r="CC296" i="1"/>
  <c r="AO296" i="1"/>
  <c r="AQ296" i="1" s="1"/>
  <c r="AW295" i="1"/>
  <c r="AK296" i="1"/>
  <c r="AG296" i="1" l="1"/>
  <c r="AX296" i="1" s="1"/>
  <c r="AN297" i="1"/>
  <c r="AI297" i="1"/>
  <c r="U297" i="1"/>
  <c r="V297" i="1" l="1"/>
  <c r="X297" i="1"/>
  <c r="Z297" i="1" s="1"/>
  <c r="AH297" i="1"/>
  <c r="AJ297" i="1" s="1"/>
  <c r="CC297" i="1" l="1"/>
  <c r="AE297" i="1"/>
  <c r="AY297" i="1" s="1"/>
  <c r="AZ297" i="1" s="1"/>
  <c r="AO297" i="1"/>
  <c r="AQ297" i="1" s="1"/>
  <c r="AW296" i="1"/>
  <c r="AK297" i="1"/>
  <c r="AG297" i="1" l="1"/>
  <c r="AX297" i="1" s="1"/>
  <c r="AN298" i="1"/>
  <c r="AI298" i="1"/>
  <c r="U298" i="1"/>
  <c r="V298" i="1" l="1"/>
  <c r="X298" i="1"/>
  <c r="Z298" i="1" s="1"/>
  <c r="AH298" i="1"/>
  <c r="AJ298" i="1" s="1"/>
  <c r="CC298" i="1" l="1"/>
  <c r="AE298" i="1"/>
  <c r="AY298" i="1" s="1"/>
  <c r="AZ298" i="1" s="1"/>
  <c r="AO298" i="1"/>
  <c r="AQ298" i="1" s="1"/>
  <c r="AK298" i="1"/>
  <c r="AW297" i="1"/>
  <c r="AG298" i="1" l="1"/>
  <c r="AX298" i="1" s="1"/>
  <c r="AN299" i="1"/>
  <c r="AI299" i="1"/>
  <c r="U299" i="1"/>
  <c r="V299" i="1" l="1"/>
  <c r="X299" i="1"/>
  <c r="Z299" i="1" s="1"/>
  <c r="AH299" i="1"/>
  <c r="AJ299" i="1" s="1"/>
  <c r="CC299" i="1" l="1"/>
  <c r="AE299" i="1"/>
  <c r="AY299" i="1" s="1"/>
  <c r="AZ299" i="1" s="1"/>
  <c r="AO299" i="1"/>
  <c r="AQ299" i="1" s="1"/>
  <c r="AW298" i="1"/>
  <c r="AK299" i="1"/>
  <c r="AG299" i="1" l="1"/>
  <c r="AX299" i="1" s="1"/>
  <c r="AI300" i="1"/>
  <c r="AN300" i="1"/>
  <c r="U300" i="1"/>
  <c r="V300" i="1" l="1"/>
  <c r="X300" i="1"/>
  <c r="Z300" i="1" s="1"/>
  <c r="AH300" i="1"/>
  <c r="AO300" i="1" s="1"/>
  <c r="AQ300" i="1" s="1"/>
  <c r="AJ300" i="1" l="1"/>
  <c r="CC300" i="1" s="1"/>
  <c r="AE300" i="1"/>
  <c r="AY300" i="1" s="1"/>
  <c r="AZ300" i="1" s="1"/>
  <c r="AG300" i="1" l="1"/>
  <c r="AX300" i="1" s="1"/>
  <c r="AI301" i="1"/>
  <c r="AN301" i="1"/>
  <c r="U301" i="1"/>
  <c r="AW299" i="1"/>
  <c r="AK300" i="1"/>
  <c r="V301" i="1" l="1"/>
  <c r="X301" i="1"/>
  <c r="Z301" i="1" s="1"/>
  <c r="AH301" i="1"/>
  <c r="AJ301" i="1" s="1"/>
  <c r="AE301" i="1" l="1"/>
  <c r="AY301" i="1" s="1"/>
  <c r="AZ301" i="1" s="1"/>
  <c r="CC301" i="1"/>
  <c r="AO301" i="1"/>
  <c r="AQ301" i="1" s="1"/>
  <c r="AK301" i="1"/>
  <c r="AW300" i="1"/>
  <c r="AG301" i="1" l="1"/>
  <c r="AX301" i="1" s="1"/>
  <c r="AN302" i="1"/>
  <c r="AI302" i="1"/>
  <c r="U302" i="1"/>
  <c r="V302" i="1" l="1"/>
  <c r="X302" i="1"/>
  <c r="Z302" i="1" s="1"/>
  <c r="AH302" i="1"/>
  <c r="AJ302" i="1" s="1"/>
  <c r="AE302" i="1" l="1"/>
  <c r="AG302" i="1" s="1"/>
  <c r="AX302" i="1" s="1"/>
  <c r="CC302" i="1"/>
  <c r="AK302" i="1"/>
  <c r="AW301" i="1"/>
  <c r="AO302" i="1"/>
  <c r="AQ302" i="1" s="1"/>
  <c r="AY302" i="1" l="1"/>
  <c r="AZ302" i="1" s="1"/>
  <c r="AN303" i="1"/>
  <c r="AI303" i="1"/>
  <c r="U303" i="1"/>
  <c r="V303" i="1" l="1"/>
  <c r="X303" i="1"/>
  <c r="Z303" i="1" s="1"/>
  <c r="AH303" i="1"/>
  <c r="AJ303" i="1" s="1"/>
  <c r="CC303" i="1" l="1"/>
  <c r="AE303" i="1"/>
  <c r="AG303" i="1" s="1"/>
  <c r="AX303" i="1" s="1"/>
  <c r="AO303" i="1"/>
  <c r="AQ303" i="1" s="1"/>
  <c r="AW302" i="1"/>
  <c r="AK303" i="1"/>
  <c r="AY303" i="1" l="1"/>
  <c r="AZ303" i="1" s="1"/>
  <c r="AI304" i="1"/>
  <c r="AN304" i="1"/>
  <c r="U304" i="1"/>
  <c r="V304" i="1" l="1"/>
  <c r="X304" i="1"/>
  <c r="Z304" i="1" s="1"/>
  <c r="AH304" i="1"/>
  <c r="AO304" i="1" s="1"/>
  <c r="AQ304" i="1" s="1"/>
  <c r="AJ304" i="1" l="1"/>
  <c r="CC304" i="1" s="1"/>
  <c r="AE304" i="1"/>
  <c r="AY304" i="1" s="1"/>
  <c r="AZ304" i="1" s="1"/>
  <c r="AG304" i="1" l="1"/>
  <c r="AX304" i="1" s="1"/>
  <c r="AN305" i="1"/>
  <c r="AI305" i="1"/>
  <c r="U305" i="1"/>
  <c r="AK304" i="1"/>
  <c r="AW303" i="1"/>
  <c r="V305" i="1" l="1"/>
  <c r="X305" i="1"/>
  <c r="Z305" i="1" s="1"/>
  <c r="AH305" i="1"/>
  <c r="AJ305" i="1" s="1"/>
  <c r="AE305" i="1" l="1"/>
  <c r="AG305" i="1" s="1"/>
  <c r="AX305" i="1" s="1"/>
  <c r="CC305" i="1"/>
  <c r="AO305" i="1"/>
  <c r="AQ305" i="1" s="1"/>
  <c r="AW304" i="1"/>
  <c r="AK305" i="1"/>
  <c r="AY305" i="1" l="1"/>
  <c r="AZ305" i="1" s="1"/>
  <c r="AN306" i="1"/>
  <c r="AI306" i="1"/>
  <c r="U306" i="1"/>
  <c r="V306" i="1" l="1"/>
  <c r="X306" i="1"/>
  <c r="Z306" i="1" s="1"/>
  <c r="AH306" i="1"/>
  <c r="AJ306" i="1" s="1"/>
  <c r="AE306" i="1" l="1"/>
  <c r="AY306" i="1" s="1"/>
  <c r="AZ306" i="1" s="1"/>
  <c r="CC306" i="1"/>
  <c r="AW305" i="1"/>
  <c r="AK306" i="1"/>
  <c r="AO306" i="1"/>
  <c r="AQ306" i="1" s="1"/>
  <c r="AG306" i="1" l="1"/>
  <c r="AX306" i="1" s="1"/>
  <c r="AN307" i="1"/>
  <c r="AI307" i="1"/>
  <c r="U307" i="1"/>
  <c r="V307" i="1" l="1"/>
  <c r="X307" i="1"/>
  <c r="Z307" i="1" s="1"/>
  <c r="AH307" i="1"/>
  <c r="AO307" i="1" s="1"/>
  <c r="AQ307" i="1" s="1"/>
  <c r="AJ307" i="1" l="1"/>
  <c r="AE307" i="1"/>
  <c r="AG307" i="1" s="1"/>
  <c r="AX307" i="1" s="1"/>
  <c r="AY307" i="1" l="1"/>
  <c r="AZ307" i="1" s="1"/>
  <c r="AW306" i="1"/>
  <c r="CC307" i="1"/>
  <c r="AK307" i="1"/>
  <c r="AI308" i="1"/>
  <c r="AN308" i="1"/>
  <c r="U308" i="1"/>
  <c r="V308" i="1" l="1"/>
  <c r="X308" i="1"/>
  <c r="Z308" i="1" s="1"/>
  <c r="AH308" i="1"/>
  <c r="AJ308" i="1" s="1"/>
  <c r="AE308" i="1" l="1"/>
  <c r="AG308" i="1" s="1"/>
  <c r="AX308" i="1" s="1"/>
  <c r="CC308" i="1"/>
  <c r="AO308" i="1"/>
  <c r="AQ308" i="1" s="1"/>
  <c r="AW307" i="1"/>
  <c r="AK308" i="1"/>
  <c r="AY308" i="1" l="1"/>
  <c r="AZ308" i="1" s="1"/>
  <c r="AN309" i="1"/>
  <c r="AI309" i="1"/>
  <c r="U309" i="1"/>
  <c r="V309" i="1" l="1"/>
  <c r="X309" i="1"/>
  <c r="Z309" i="1" s="1"/>
  <c r="AH309" i="1"/>
  <c r="AJ309" i="1" s="1"/>
  <c r="AE309" i="1" l="1"/>
  <c r="AG309" i="1" s="1"/>
  <c r="AX309" i="1" s="1"/>
  <c r="CC309" i="1"/>
  <c r="AO309" i="1"/>
  <c r="AQ309" i="1" s="1"/>
  <c r="AK309" i="1"/>
  <c r="AW308" i="1"/>
  <c r="AY309" i="1" l="1"/>
  <c r="AZ309" i="1" s="1"/>
  <c r="AN310" i="1"/>
  <c r="AI310" i="1"/>
  <c r="U310" i="1"/>
  <c r="V310" i="1" l="1"/>
  <c r="X310" i="1"/>
  <c r="Z310" i="1" s="1"/>
  <c r="AH310" i="1"/>
  <c r="AJ310" i="1" s="1"/>
  <c r="CC310" i="1" l="1"/>
  <c r="AE310" i="1"/>
  <c r="AG310" i="1" s="1"/>
  <c r="AX310" i="1" s="1"/>
  <c r="AO310" i="1"/>
  <c r="AQ310" i="1" s="1"/>
  <c r="AW309" i="1"/>
  <c r="AK310" i="1"/>
  <c r="AY310" i="1" l="1"/>
  <c r="AZ310" i="1" s="1"/>
  <c r="AN311" i="1"/>
  <c r="AI311" i="1"/>
  <c r="U311" i="1"/>
  <c r="V311" i="1" l="1"/>
  <c r="X311" i="1"/>
  <c r="Z311" i="1" s="1"/>
  <c r="AH311" i="1"/>
  <c r="AJ311" i="1" s="1"/>
  <c r="CB312" i="1" l="1"/>
  <c r="CC311" i="1"/>
  <c r="AE311" i="1"/>
  <c r="AY311" i="1" s="1"/>
  <c r="AZ311" i="1" s="1"/>
  <c r="AO311" i="1"/>
  <c r="AQ311" i="1" s="1"/>
  <c r="AW310" i="1"/>
  <c r="AK311" i="1"/>
  <c r="AG311" i="1" l="1"/>
  <c r="AX311" i="1" s="1"/>
  <c r="AN312" i="1"/>
  <c r="AI312" i="1"/>
  <c r="U312" i="1"/>
  <c r="V312" i="1" l="1"/>
  <c r="X312" i="1"/>
  <c r="Z312" i="1" s="1"/>
  <c r="AH312" i="1"/>
  <c r="AJ312" i="1" s="1"/>
  <c r="CB313" i="1" l="1"/>
  <c r="CC312" i="1"/>
  <c r="AE312" i="1"/>
  <c r="AY312" i="1" s="1"/>
  <c r="AZ312" i="1" s="1"/>
  <c r="AO312" i="1"/>
  <c r="AQ312" i="1" s="1"/>
  <c r="AK312" i="1"/>
  <c r="AW311" i="1"/>
  <c r="AG312" i="1" l="1"/>
  <c r="AX312" i="1" s="1"/>
  <c r="AN313" i="1"/>
  <c r="AI313" i="1"/>
  <c r="U313" i="1"/>
  <c r="V313" i="1" l="1"/>
  <c r="X313" i="1"/>
  <c r="Z313" i="1" s="1"/>
  <c r="AH313" i="1"/>
  <c r="AJ313" i="1" s="1"/>
  <c r="CC313" i="1" l="1"/>
  <c r="AE313" i="1"/>
  <c r="AG313" i="1" s="1"/>
  <c r="AX313" i="1" s="1"/>
  <c r="AO313" i="1"/>
  <c r="AQ313" i="1" s="1"/>
  <c r="AW312" i="1"/>
  <c r="AK313" i="1"/>
  <c r="AY313" i="1" l="1"/>
  <c r="AZ313" i="1" s="1"/>
  <c r="AI314" i="1"/>
  <c r="AN314" i="1"/>
  <c r="U314" i="1"/>
  <c r="V314" i="1" l="1"/>
  <c r="X314" i="1"/>
  <c r="Z314" i="1" s="1"/>
  <c r="AH314" i="1"/>
  <c r="AJ314" i="1" s="1"/>
  <c r="CC314" i="1" l="1"/>
  <c r="AE314" i="1"/>
  <c r="AY314" i="1" s="1"/>
  <c r="AZ314" i="1" s="1"/>
  <c r="AO314" i="1"/>
  <c r="AQ314" i="1" s="1"/>
  <c r="AW313" i="1"/>
  <c r="AK314" i="1"/>
  <c r="AG314" i="1" l="1"/>
  <c r="AX314" i="1" s="1"/>
  <c r="AI315" i="1"/>
  <c r="AN315" i="1"/>
  <c r="U315" i="1"/>
  <c r="V315" i="1" l="1"/>
  <c r="X315" i="1"/>
  <c r="Z315" i="1" s="1"/>
  <c r="AH315" i="1"/>
  <c r="AJ315" i="1" s="1"/>
  <c r="AE315" i="1" l="1"/>
  <c r="AY315" i="1" s="1"/>
  <c r="AZ315" i="1" s="1"/>
  <c r="CC315" i="1"/>
  <c r="AW314" i="1"/>
  <c r="AK315" i="1"/>
  <c r="AO315" i="1"/>
  <c r="AQ315" i="1" s="1"/>
  <c r="AG315" i="1" l="1"/>
  <c r="AX315" i="1" s="1"/>
  <c r="AN316" i="1"/>
  <c r="AI316" i="1"/>
  <c r="U316" i="1"/>
  <c r="V316" i="1" l="1"/>
  <c r="X316" i="1"/>
  <c r="Z316" i="1" s="1"/>
  <c r="AH316" i="1"/>
  <c r="AJ316" i="1" s="1"/>
  <c r="AE316" i="1" l="1"/>
  <c r="AG316" i="1" s="1"/>
  <c r="AX316" i="1" s="1"/>
  <c r="CC316" i="1"/>
  <c r="AO316" i="1"/>
  <c r="AQ316" i="1" s="1"/>
  <c r="AK316" i="1"/>
  <c r="AW315" i="1"/>
  <c r="AY316" i="1" l="1"/>
  <c r="AZ316" i="1" s="1"/>
  <c r="AN317" i="1"/>
  <c r="AI317" i="1"/>
  <c r="U317" i="1"/>
  <c r="V317" i="1" l="1"/>
  <c r="X317" i="1"/>
  <c r="Z317" i="1" s="1"/>
  <c r="AH317" i="1"/>
  <c r="AJ317" i="1" s="1"/>
  <c r="AE317" i="1" l="1"/>
  <c r="AY317" i="1" s="1"/>
  <c r="AZ317" i="1" s="1"/>
  <c r="CC317" i="1"/>
  <c r="AO317" i="1"/>
  <c r="AQ317" i="1" s="1"/>
  <c r="AK317" i="1"/>
  <c r="AW316" i="1"/>
  <c r="AG317" i="1" l="1"/>
  <c r="AX317" i="1" s="1"/>
  <c r="AI318" i="1"/>
  <c r="AN318" i="1"/>
  <c r="U318" i="1"/>
  <c r="V318" i="1" l="1"/>
  <c r="X318" i="1"/>
  <c r="Z318" i="1" s="1"/>
  <c r="AH318" i="1"/>
  <c r="AJ318" i="1" s="1"/>
  <c r="AE318" i="1" l="1"/>
  <c r="AG318" i="1" s="1"/>
  <c r="AX318" i="1" s="1"/>
  <c r="CC318" i="1"/>
  <c r="AO318" i="1"/>
  <c r="AQ318" i="1" s="1"/>
  <c r="AW317" i="1"/>
  <c r="AK318" i="1"/>
  <c r="AY318" i="1" l="1"/>
  <c r="AZ318" i="1" s="1"/>
  <c r="AN319" i="1"/>
  <c r="AI319" i="1"/>
  <c r="U319" i="1"/>
  <c r="V319" i="1" l="1"/>
  <c r="X319" i="1"/>
  <c r="Z319" i="1" s="1"/>
  <c r="AH319" i="1"/>
  <c r="AJ319" i="1" s="1"/>
  <c r="AE319" i="1" l="1"/>
  <c r="AY319" i="1" s="1"/>
  <c r="AZ319" i="1" s="1"/>
  <c r="CC319" i="1"/>
  <c r="AW318" i="1"/>
  <c r="AK319" i="1"/>
  <c r="AO319" i="1"/>
  <c r="AQ319" i="1" s="1"/>
  <c r="AG319" i="1" l="1"/>
  <c r="AX319" i="1" s="1"/>
  <c r="AI320" i="1"/>
  <c r="AN320" i="1"/>
  <c r="U320" i="1"/>
  <c r="V320" i="1" l="1"/>
  <c r="X320" i="1"/>
  <c r="Z320" i="1" s="1"/>
  <c r="AH320" i="1"/>
  <c r="AO320" i="1" s="1"/>
  <c r="AQ320" i="1" s="1"/>
  <c r="AJ320" i="1" l="1"/>
  <c r="AE320" i="1"/>
  <c r="AG320" i="1" s="1"/>
  <c r="AX320" i="1" s="1"/>
  <c r="AY320" i="1" l="1"/>
  <c r="AZ320" i="1" s="1"/>
  <c r="AW319" i="1"/>
  <c r="CC320" i="1"/>
  <c r="AK320" i="1"/>
  <c r="AN321" i="1"/>
  <c r="AI321" i="1"/>
  <c r="U321" i="1"/>
  <c r="AF30" i="1"/>
  <c r="V321" i="1" l="1"/>
  <c r="X321" i="1"/>
  <c r="Z321" i="1" s="1"/>
  <c r="AH321" i="1"/>
  <c r="AO321" i="1" s="1"/>
  <c r="AQ321" i="1" s="1"/>
  <c r="AJ321" i="1" l="1"/>
  <c r="CC321" i="1" s="1"/>
  <c r="AE321" i="1"/>
  <c r="AY321" i="1" s="1"/>
  <c r="AZ321" i="1" s="1"/>
  <c r="AG321" i="1" l="1"/>
  <c r="AX321" i="1" s="1"/>
  <c r="AW320" i="1"/>
  <c r="AK321" i="1"/>
  <c r="AI322" i="1"/>
  <c r="AN322" i="1"/>
  <c r="U322" i="1"/>
  <c r="AF31" i="1" l="1"/>
  <c r="V322" i="1"/>
  <c r="CB323" i="1" s="1"/>
  <c r="X322" i="1"/>
  <c r="Z322" i="1" s="1"/>
  <c r="AH322" i="1"/>
  <c r="AJ322" i="1" s="1"/>
  <c r="AE322" i="1" l="1"/>
  <c r="AG322" i="1" s="1"/>
  <c r="AX322" i="1" s="1"/>
  <c r="CC322" i="1"/>
  <c r="AO322" i="1"/>
  <c r="AQ322" i="1" s="1"/>
  <c r="AK322" i="1"/>
  <c r="AW321" i="1"/>
  <c r="AY322" i="1" l="1"/>
  <c r="AZ322" i="1" s="1"/>
  <c r="AI323" i="1"/>
  <c r="AN323" i="1"/>
  <c r="U323" i="1"/>
  <c r="V323" i="1" l="1"/>
  <c r="CB324" i="1" s="1"/>
  <c r="X323" i="1"/>
  <c r="Z323" i="1" s="1"/>
  <c r="AH323" i="1"/>
  <c r="AO323" i="1" s="1"/>
  <c r="AQ323" i="1" s="1"/>
  <c r="AJ323" i="1" l="1"/>
  <c r="AE323" i="1"/>
  <c r="AG323" i="1" s="1"/>
  <c r="AX323" i="1" s="1"/>
  <c r="AY323" i="1" l="1"/>
  <c r="AZ323" i="1" s="1"/>
  <c r="AW322" i="1"/>
  <c r="CC323" i="1"/>
  <c r="AK323" i="1"/>
  <c r="AN324" i="1"/>
  <c r="AI324" i="1"/>
  <c r="U324" i="1"/>
  <c r="V324" i="1" l="1"/>
  <c r="CB325" i="1" s="1"/>
  <c r="X324" i="1"/>
  <c r="Z324" i="1" s="1"/>
  <c r="AH324" i="1"/>
  <c r="AJ324" i="1" s="1"/>
  <c r="AE324" i="1" l="1"/>
  <c r="AG324" i="1" s="1"/>
  <c r="AX324" i="1" s="1"/>
  <c r="CC324" i="1"/>
  <c r="AO324" i="1"/>
  <c r="AQ324" i="1" s="1"/>
  <c r="AK324" i="1"/>
  <c r="AW323" i="1"/>
  <c r="AY324" i="1" l="1"/>
  <c r="AZ324" i="1" s="1"/>
  <c r="AI325" i="1"/>
  <c r="U325" i="1"/>
  <c r="AN325" i="1"/>
  <c r="V325" i="1" l="1"/>
  <c r="CB326" i="1" s="1"/>
  <c r="X325" i="1"/>
  <c r="Z325" i="1" s="1"/>
  <c r="AH325" i="1"/>
  <c r="AJ325" i="1" s="1"/>
  <c r="AE325" i="1" l="1"/>
  <c r="AY325" i="1" s="1"/>
  <c r="AZ325" i="1" s="1"/>
  <c r="CC325" i="1"/>
  <c r="AK325" i="1"/>
  <c r="AW324" i="1"/>
  <c r="AO325" i="1"/>
  <c r="AQ325" i="1" s="1"/>
  <c r="AG325" i="1" l="1"/>
  <c r="AX325" i="1" s="1"/>
  <c r="AN326" i="1"/>
  <c r="AI326" i="1"/>
  <c r="U326" i="1"/>
  <c r="V326" i="1" l="1"/>
  <c r="CB327" i="1" s="1"/>
  <c r="X326" i="1"/>
  <c r="Z326" i="1" s="1"/>
  <c r="AH326" i="1"/>
  <c r="AJ326" i="1" s="1"/>
  <c r="AE326" i="1" l="1"/>
  <c r="AY326" i="1" s="1"/>
  <c r="AZ326" i="1" s="1"/>
  <c r="CC326" i="1"/>
  <c r="AK326" i="1"/>
  <c r="AW325" i="1"/>
  <c r="AO326" i="1"/>
  <c r="AQ326" i="1" s="1"/>
  <c r="AG326" i="1" l="1"/>
  <c r="AX326" i="1" s="1"/>
  <c r="AN327" i="1"/>
  <c r="AI327" i="1"/>
  <c r="U327" i="1"/>
  <c r="V327" i="1" l="1"/>
  <c r="U328" i="1"/>
  <c r="X328" i="1" s="1"/>
  <c r="Z328" i="1" s="1"/>
  <c r="X327" i="1"/>
  <c r="Z327" i="1" s="1"/>
  <c r="AH327" i="1"/>
  <c r="AJ327" i="1" s="1"/>
  <c r="AE327" i="1" l="1"/>
  <c r="AG327" i="1" s="1"/>
  <c r="AX327" i="1" s="1"/>
  <c r="CC327" i="1"/>
  <c r="V328" i="1"/>
  <c r="AI328" i="1"/>
  <c r="AN328" i="1"/>
  <c r="AO327" i="1"/>
  <c r="AQ327" i="1" s="1"/>
  <c r="AK327" i="1"/>
  <c r="AH328" i="1"/>
  <c r="AO328" i="1" s="1"/>
  <c r="AQ328" i="1" s="1"/>
  <c r="AJ328" i="1" l="1"/>
  <c r="AY327" i="1"/>
  <c r="AZ327" i="1" s="1"/>
  <c r="AW326" i="1"/>
  <c r="AE328" i="1"/>
  <c r="AW327" i="1" l="1"/>
  <c r="CC328" i="1"/>
  <c r="AY328" i="1"/>
  <c r="AZ328" i="1" s="1"/>
  <c r="AG328" i="1"/>
  <c r="AX328" i="1" s="1"/>
  <c r="AK328" i="1"/>
  <c r="AN329" i="1"/>
  <c r="AI329" i="1"/>
  <c r="U329" i="1"/>
  <c r="V329" i="1" l="1"/>
  <c r="U330" i="1"/>
  <c r="X330" i="1" s="1"/>
  <c r="Z330" i="1" s="1"/>
  <c r="X329" i="1"/>
  <c r="Z329" i="1" s="1"/>
  <c r="AH329" i="1"/>
  <c r="AO329" i="1" s="1"/>
  <c r="AQ329" i="1" s="1"/>
  <c r="AJ329" i="1" l="1"/>
  <c r="AE329" i="1"/>
  <c r="AG329" i="1" s="1"/>
  <c r="AX329" i="1" s="1"/>
  <c r="AN330" i="1"/>
  <c r="AI330" i="1"/>
  <c r="V330" i="1"/>
  <c r="AH330" i="1"/>
  <c r="AO330" i="1" s="1"/>
  <c r="AQ330" i="1" s="1"/>
  <c r="AJ330" i="1" l="1"/>
  <c r="CC330" i="1" s="1"/>
  <c r="AY329" i="1"/>
  <c r="AZ329" i="1" s="1"/>
  <c r="AK329" i="1"/>
  <c r="CC329" i="1"/>
  <c r="AE330" i="1"/>
  <c r="AW328" i="1"/>
  <c r="AG330" i="1" l="1"/>
  <c r="AX330" i="1" s="1"/>
  <c r="AY330" i="1"/>
  <c r="AZ330" i="1" s="1"/>
  <c r="U331" i="1"/>
  <c r="AN331" i="1"/>
  <c r="AI331" i="1"/>
  <c r="AW329" i="1"/>
  <c r="AK330" i="1"/>
  <c r="X331" i="1" l="1"/>
  <c r="Z331" i="1" s="1"/>
  <c r="V331" i="1"/>
  <c r="AH331" i="1"/>
  <c r="AJ331" i="1" s="1"/>
  <c r="AE331" i="1" l="1"/>
  <c r="CC331" i="1"/>
  <c r="AO331" i="1"/>
  <c r="AQ331" i="1" s="1"/>
  <c r="AY331" i="1" l="1"/>
  <c r="AZ331" i="1" s="1"/>
  <c r="AG331" i="1"/>
  <c r="AX331" i="1" s="1"/>
  <c r="AW330" i="1"/>
  <c r="AK331" i="1"/>
  <c r="AI332" i="1"/>
  <c r="U332" i="1"/>
  <c r="AN332" i="1"/>
  <c r="X332" i="1" l="1"/>
  <c r="Z332" i="1" s="1"/>
  <c r="V332" i="1"/>
  <c r="AH332" i="1"/>
  <c r="AJ332" i="1" s="1"/>
  <c r="CC332" i="1" l="1"/>
  <c r="AE332" i="1"/>
  <c r="AW331" i="1"/>
  <c r="AK332" i="1"/>
  <c r="AO332" i="1"/>
  <c r="AQ332" i="1" s="1"/>
  <c r="AY332" i="1" l="1"/>
  <c r="AZ332" i="1" s="1"/>
  <c r="AG332" i="1"/>
  <c r="AX332" i="1" s="1"/>
  <c r="U333" i="1"/>
  <c r="AI333" i="1"/>
  <c r="AN333" i="1"/>
  <c r="X333" i="1" l="1"/>
  <c r="Z333" i="1" s="1"/>
  <c r="AH333" i="1"/>
  <c r="AO333" i="1" s="1"/>
  <c r="AQ333" i="1" s="1"/>
  <c r="V333" i="1"/>
  <c r="AJ333" i="1" l="1"/>
  <c r="CC333" i="1" s="1"/>
  <c r="AE333" i="1"/>
  <c r="AK333" i="1" l="1"/>
  <c r="AW332" i="1"/>
  <c r="AY333" i="1"/>
  <c r="AZ333" i="1" s="1"/>
  <c r="AG333" i="1"/>
  <c r="AX333" i="1" s="1"/>
  <c r="AI334" i="1"/>
  <c r="AN334" i="1"/>
  <c r="U334" i="1"/>
  <c r="X334" i="1" l="1"/>
  <c r="Z334" i="1" s="1"/>
  <c r="AH334" i="1"/>
  <c r="AJ334" i="1" s="1"/>
  <c r="V334" i="1"/>
  <c r="AO334" i="1"/>
  <c r="AQ334" i="1" s="1"/>
  <c r="CC334" i="1" l="1"/>
  <c r="U335" i="1"/>
  <c r="X335" i="1" s="1"/>
  <c r="Z335" i="1" s="1"/>
  <c r="AE334" i="1"/>
  <c r="AW333" i="1" l="1"/>
  <c r="AK334" i="1"/>
  <c r="AN335" i="1"/>
  <c r="AH335" i="1"/>
  <c r="AO335" i="1" s="1"/>
  <c r="AQ335" i="1" s="1"/>
  <c r="V335" i="1"/>
  <c r="AI335" i="1"/>
  <c r="AY334" i="1"/>
  <c r="AZ334" i="1" s="1"/>
  <c r="AG334" i="1"/>
  <c r="AX334" i="1" s="1"/>
  <c r="AJ335" i="1" l="1"/>
  <c r="CC335" i="1" s="1"/>
  <c r="AE335" i="1"/>
  <c r="AY335" i="1" s="1"/>
  <c r="AZ335" i="1" s="1"/>
  <c r="AN336" i="1"/>
  <c r="AK335" i="1" l="1"/>
  <c r="AW334" i="1"/>
  <c r="U336" i="1"/>
  <c r="AG335" i="1"/>
  <c r="AX335" i="1" s="1"/>
  <c r="AI336" i="1"/>
  <c r="AH336" i="1" l="1"/>
  <c r="AO336" i="1" s="1"/>
  <c r="AQ336" i="1" s="1"/>
  <c r="V336" i="1"/>
  <c r="X336" i="1"/>
  <c r="Z336" i="1" s="1"/>
  <c r="AE336" i="1"/>
  <c r="AG336" i="1" s="1"/>
  <c r="AX336" i="1" s="1"/>
  <c r="AJ336" i="1" l="1"/>
  <c r="CC336" i="1" s="1"/>
  <c r="AY336" i="1"/>
  <c r="AZ336" i="1" s="1"/>
  <c r="AN337" i="1"/>
  <c r="AI337" i="1"/>
  <c r="U337" i="1"/>
  <c r="AK336" i="1" l="1"/>
  <c r="AW335" i="1"/>
  <c r="X337" i="1"/>
  <c r="Z337" i="1" s="1"/>
  <c r="AH337" i="1"/>
  <c r="AO337" i="1" s="1"/>
  <c r="AQ337" i="1" s="1"/>
  <c r="V337" i="1"/>
  <c r="AJ337" i="1" l="1"/>
  <c r="AE337" i="1"/>
  <c r="AY337" i="1" s="1"/>
  <c r="AZ337" i="1" s="1"/>
  <c r="AG337" i="1" l="1"/>
  <c r="AX337" i="1" s="1"/>
  <c r="AK337" i="1"/>
  <c r="CC337" i="1"/>
  <c r="AW336" i="1"/>
  <c r="AI338" i="1"/>
  <c r="U338" i="1"/>
  <c r="AN338" i="1"/>
  <c r="X338" i="1" l="1"/>
  <c r="Z338" i="1" s="1"/>
  <c r="V338" i="1"/>
  <c r="AH338" i="1"/>
  <c r="AO338" i="1" s="1"/>
  <c r="AQ338" i="1" s="1"/>
  <c r="AJ338" i="1" l="1"/>
  <c r="CC338" i="1" s="1"/>
  <c r="AE338" i="1"/>
  <c r="AG338" i="1" s="1"/>
  <c r="AX338" i="1" s="1"/>
  <c r="AY338" i="1" l="1"/>
  <c r="AZ338" i="1" s="1"/>
  <c r="AW337" i="1"/>
  <c r="AK338" i="1"/>
  <c r="U339" i="1"/>
  <c r="AI339" i="1"/>
  <c r="AN339" i="1"/>
  <c r="X339" i="1" l="1"/>
  <c r="Z339" i="1" s="1"/>
  <c r="V339" i="1"/>
  <c r="AH339" i="1"/>
  <c r="AO339" i="1" s="1"/>
  <c r="AQ339" i="1" s="1"/>
  <c r="AJ339" i="1" l="1"/>
  <c r="CC339" i="1" s="1"/>
  <c r="AE339" i="1"/>
  <c r="AY339" i="1" s="1"/>
  <c r="AZ339" i="1" s="1"/>
  <c r="AG339" i="1" l="1"/>
  <c r="AX339" i="1" s="1"/>
  <c r="U340" i="1"/>
  <c r="AI340" i="1"/>
  <c r="AN340" i="1"/>
  <c r="AK339" i="1"/>
  <c r="AW338" i="1"/>
  <c r="X340" i="1" l="1"/>
  <c r="Z340" i="1" s="1"/>
  <c r="V340" i="1"/>
  <c r="AH340" i="1"/>
  <c r="AO340" i="1" s="1"/>
  <c r="AQ340" i="1" s="1"/>
  <c r="AJ340" i="1" l="1"/>
  <c r="CC340" i="1" s="1"/>
  <c r="AE340" i="1"/>
  <c r="AY340" i="1" s="1"/>
  <c r="AZ340" i="1" s="1"/>
  <c r="AG340" i="1" l="1"/>
  <c r="AX340" i="1" s="1"/>
  <c r="U341" i="1"/>
  <c r="AN341" i="1"/>
  <c r="AI341" i="1"/>
  <c r="AW339" i="1"/>
  <c r="AK340" i="1"/>
  <c r="X341" i="1" l="1"/>
  <c r="Z341" i="1" s="1"/>
  <c r="AH341" i="1"/>
  <c r="AO341" i="1" s="1"/>
  <c r="AQ341" i="1" s="1"/>
  <c r="V341" i="1"/>
  <c r="AJ341" i="1" l="1"/>
  <c r="CC341" i="1" s="1"/>
  <c r="AE341" i="1"/>
  <c r="AG341" i="1" s="1"/>
  <c r="AX341" i="1" s="1"/>
  <c r="AY341" i="1" l="1"/>
  <c r="AZ341" i="1" s="1"/>
  <c r="AW340" i="1"/>
  <c r="AK341" i="1"/>
  <c r="AN342" i="1"/>
  <c r="AI342" i="1"/>
  <c r="U342" i="1"/>
  <c r="X342" i="1" l="1"/>
  <c r="Z342" i="1" s="1"/>
  <c r="AH342" i="1"/>
  <c r="AO342" i="1" s="1"/>
  <c r="AQ342" i="1" s="1"/>
  <c r="V342" i="1"/>
  <c r="AJ342" i="1" l="1"/>
  <c r="CC342" i="1" s="1"/>
  <c r="AE342" i="1"/>
  <c r="AY342" i="1" s="1"/>
  <c r="AZ342" i="1" s="1"/>
  <c r="AK342" i="1" l="1"/>
  <c r="AW341" i="1"/>
  <c r="AG342" i="1"/>
  <c r="AX342" i="1" s="1"/>
  <c r="AI343" i="1"/>
  <c r="AN343" i="1"/>
  <c r="U343" i="1"/>
  <c r="V343" i="1" l="1"/>
  <c r="X343" i="1"/>
  <c r="Z343" i="1" s="1"/>
  <c r="AH343" i="1"/>
  <c r="AJ343" i="1" s="1"/>
  <c r="CC343" i="1" l="1"/>
  <c r="AE343" i="1"/>
  <c r="AG343" i="1" s="1"/>
  <c r="AX343" i="1" s="1"/>
  <c r="AO343" i="1"/>
  <c r="AQ343" i="1" s="1"/>
  <c r="AK343" i="1"/>
  <c r="AW342" i="1"/>
  <c r="AY343" i="1" l="1"/>
  <c r="AZ343" i="1" s="1"/>
  <c r="AI344" i="1"/>
  <c r="AN344" i="1"/>
  <c r="U344" i="1"/>
  <c r="X344" i="1" l="1"/>
  <c r="Z344" i="1" s="1"/>
  <c r="V344" i="1"/>
  <c r="AH344" i="1"/>
  <c r="AJ344" i="1" s="1"/>
  <c r="CC344" i="1" l="1"/>
  <c r="AE344" i="1"/>
  <c r="AG344" i="1" s="1"/>
  <c r="AX344" i="1" s="1"/>
  <c r="AK344" i="1"/>
  <c r="AW343" i="1"/>
  <c r="AO344" i="1"/>
  <c r="AQ344" i="1" s="1"/>
  <c r="AY344" i="1" l="1"/>
  <c r="AZ344" i="1" s="1"/>
  <c r="AN345" i="1"/>
  <c r="U345" i="1"/>
  <c r="AI345" i="1"/>
  <c r="X345" i="1" l="1"/>
  <c r="Z345" i="1" s="1"/>
  <c r="AH345" i="1"/>
  <c r="AO345" i="1" s="1"/>
  <c r="AQ345" i="1" s="1"/>
  <c r="V345" i="1"/>
  <c r="AJ345" i="1" l="1"/>
  <c r="CC345" i="1" s="1"/>
  <c r="AE345" i="1"/>
  <c r="AY345" i="1" s="1"/>
  <c r="AZ345" i="1" s="1"/>
  <c r="AK345" i="1" l="1"/>
  <c r="AW344" i="1"/>
  <c r="AG345" i="1"/>
  <c r="AX345" i="1" s="1"/>
  <c r="AN346" i="1"/>
  <c r="U346" i="1"/>
  <c r="AI346" i="1"/>
  <c r="X346" i="1" l="1"/>
  <c r="Z346" i="1" s="1"/>
  <c r="AH346" i="1"/>
  <c r="AJ346" i="1" s="1"/>
  <c r="V346" i="1"/>
  <c r="AO346" i="1"/>
  <c r="AQ346" i="1" s="1"/>
  <c r="CC346" i="1" l="1"/>
  <c r="AE346" i="1"/>
  <c r="AG346" i="1" s="1"/>
  <c r="AX346" i="1" s="1"/>
  <c r="AK346" i="1" l="1"/>
  <c r="AW345" i="1"/>
  <c r="AY346" i="1"/>
  <c r="AZ346" i="1" s="1"/>
  <c r="U347" i="1"/>
  <c r="AI347" i="1"/>
  <c r="AN347" i="1"/>
  <c r="X347" i="1" l="1"/>
  <c r="Z347" i="1" s="1"/>
  <c r="AH347" i="1"/>
  <c r="AJ347" i="1" s="1"/>
  <c r="V347" i="1"/>
  <c r="AO347" i="1"/>
  <c r="AQ347" i="1" s="1"/>
  <c r="CC347" i="1" l="1"/>
  <c r="AE347" i="1"/>
  <c r="AG347" i="1" s="1"/>
  <c r="AX347" i="1" s="1"/>
  <c r="AW346" i="1" l="1"/>
  <c r="AK347" i="1"/>
  <c r="AY347" i="1"/>
  <c r="AZ347" i="1" s="1"/>
  <c r="U348" i="1"/>
  <c r="AI348" i="1"/>
  <c r="AN348" i="1"/>
  <c r="X348" i="1" l="1"/>
  <c r="Z348" i="1" s="1"/>
  <c r="AH348" i="1"/>
  <c r="AJ348" i="1" s="1"/>
  <c r="V348" i="1"/>
  <c r="AO348" i="1"/>
  <c r="AQ348" i="1" s="1"/>
  <c r="CC348" i="1" l="1"/>
  <c r="AE348" i="1"/>
  <c r="AG348" i="1" s="1"/>
  <c r="AX348" i="1" s="1"/>
  <c r="AK348" i="1" l="1"/>
  <c r="AW347" i="1"/>
  <c r="AY348" i="1"/>
  <c r="AZ348" i="1" s="1"/>
  <c r="U349" i="1"/>
  <c r="AI349" i="1"/>
  <c r="AN349" i="1"/>
  <c r="X349" i="1" l="1"/>
  <c r="Z349" i="1" s="1"/>
  <c r="AH349" i="1"/>
  <c r="AJ349" i="1" s="1"/>
  <c r="V349" i="1"/>
  <c r="AO349" i="1"/>
  <c r="AQ349" i="1" s="1"/>
  <c r="CC349" i="1" l="1"/>
  <c r="AE349" i="1"/>
  <c r="AG349" i="1" s="1"/>
  <c r="AX349" i="1" s="1"/>
  <c r="AK349" i="1" l="1"/>
  <c r="AW348" i="1"/>
  <c r="AY349" i="1"/>
  <c r="AZ349" i="1" s="1"/>
  <c r="AI350" i="1"/>
  <c r="AN350" i="1"/>
  <c r="U350" i="1"/>
  <c r="V350" i="1" l="1"/>
  <c r="X350" i="1"/>
  <c r="Z350" i="1" s="1"/>
  <c r="AH350" i="1"/>
  <c r="AJ350" i="1" s="1"/>
  <c r="CC350" i="1" l="1"/>
  <c r="AE350" i="1"/>
  <c r="AG350" i="1" s="1"/>
  <c r="AX350" i="1" s="1"/>
  <c r="AW349" i="1"/>
  <c r="AK350" i="1"/>
  <c r="AO350" i="1"/>
  <c r="AQ350" i="1" s="1"/>
  <c r="AY350" i="1" l="1"/>
  <c r="AZ350" i="1" s="1"/>
  <c r="AI351" i="1"/>
  <c r="AN351" i="1"/>
  <c r="U351" i="1"/>
  <c r="X351" i="1" l="1"/>
  <c r="Z351" i="1" s="1"/>
  <c r="AH351" i="1"/>
  <c r="AJ351" i="1" s="1"/>
  <c r="V351" i="1"/>
  <c r="AO351" i="1"/>
  <c r="AQ351" i="1" s="1"/>
  <c r="CC351" i="1" l="1"/>
  <c r="AE351" i="1"/>
  <c r="AG351" i="1" s="1"/>
  <c r="AX351" i="1" s="1"/>
  <c r="AW350" i="1" l="1"/>
  <c r="AK351" i="1"/>
  <c r="AY351" i="1"/>
  <c r="AZ351" i="1" s="1"/>
  <c r="AN352" i="1"/>
  <c r="U352" i="1"/>
  <c r="AI352" i="1"/>
  <c r="V352" i="1" l="1"/>
  <c r="X352" i="1"/>
  <c r="Z352" i="1" s="1"/>
  <c r="AH352" i="1"/>
  <c r="AO352" i="1" s="1"/>
  <c r="AQ352" i="1" s="1"/>
  <c r="AJ352" i="1" l="1"/>
  <c r="CC352" i="1" s="1"/>
  <c r="AE352" i="1"/>
  <c r="AG352" i="1" s="1"/>
  <c r="AX352" i="1" s="1"/>
  <c r="AY352" i="1" l="1"/>
  <c r="AZ352" i="1" s="1"/>
  <c r="AN353" i="1"/>
  <c r="U353" i="1"/>
  <c r="AI353" i="1"/>
  <c r="AK352" i="1"/>
  <c r="AW351" i="1"/>
  <c r="X353" i="1" l="1"/>
  <c r="Z353" i="1" s="1"/>
  <c r="V353" i="1"/>
  <c r="AH353" i="1"/>
  <c r="AJ353" i="1" s="1"/>
  <c r="CC353" i="1" l="1"/>
  <c r="AE353" i="1"/>
  <c r="AY353" i="1" s="1"/>
  <c r="AZ353" i="1" s="1"/>
  <c r="AW352" i="1"/>
  <c r="AK353" i="1"/>
  <c r="AO353" i="1"/>
  <c r="AQ353" i="1" s="1"/>
  <c r="AG353" i="1" l="1"/>
  <c r="AX353" i="1" s="1"/>
  <c r="AI354" i="1"/>
  <c r="AN354" i="1"/>
  <c r="U354" i="1"/>
  <c r="X354" i="1" l="1"/>
  <c r="Z354" i="1" s="1"/>
  <c r="AH354" i="1"/>
  <c r="AO354" i="1" s="1"/>
  <c r="AQ354" i="1" s="1"/>
  <c r="V354" i="1"/>
  <c r="AJ354" i="1" l="1"/>
  <c r="CC354" i="1" s="1"/>
  <c r="AE354" i="1"/>
  <c r="AG354" i="1" s="1"/>
  <c r="AX354" i="1" s="1"/>
  <c r="AW353" i="1" l="1"/>
  <c r="AK354" i="1"/>
  <c r="AY354" i="1"/>
  <c r="AZ354" i="1" s="1"/>
  <c r="AN355" i="1"/>
  <c r="AI355" i="1"/>
  <c r="U355" i="1"/>
  <c r="V355" i="1" l="1"/>
  <c r="X355" i="1"/>
  <c r="Z355" i="1" s="1"/>
  <c r="AH355" i="1"/>
  <c r="AO355" i="1" s="1"/>
  <c r="AQ355" i="1" s="1"/>
  <c r="AJ355" i="1" l="1"/>
  <c r="AE355" i="1"/>
  <c r="AY355" i="1" s="1"/>
  <c r="AZ355" i="1" s="1"/>
  <c r="AG355" i="1" l="1"/>
  <c r="AX355" i="1" s="1"/>
  <c r="AW354" i="1"/>
  <c r="CC355" i="1"/>
  <c r="AK355" i="1"/>
  <c r="AN356" i="1"/>
  <c r="U356" i="1"/>
  <c r="AI356" i="1"/>
  <c r="X356" i="1" l="1"/>
  <c r="Z356" i="1" s="1"/>
  <c r="AH356" i="1"/>
  <c r="AJ356" i="1" s="1"/>
  <c r="V356" i="1"/>
  <c r="AO356" i="1"/>
  <c r="AQ356" i="1" s="1"/>
  <c r="CC356" i="1" l="1"/>
  <c r="AE356" i="1"/>
  <c r="AY356" i="1" s="1"/>
  <c r="AZ356" i="1" s="1"/>
  <c r="AK356" i="1" l="1"/>
  <c r="AW355" i="1"/>
  <c r="AG356" i="1"/>
  <c r="AX356" i="1" s="1"/>
  <c r="AN357" i="1"/>
  <c r="U357" i="1"/>
  <c r="AI357" i="1"/>
  <c r="X357" i="1" l="1"/>
  <c r="Z357" i="1" s="1"/>
  <c r="AH357" i="1"/>
  <c r="AJ357" i="1" s="1"/>
  <c r="V357" i="1"/>
  <c r="CC357" i="1" l="1"/>
  <c r="AE357" i="1"/>
  <c r="AG357" i="1" s="1"/>
  <c r="AX357" i="1" s="1"/>
  <c r="AO357" i="1"/>
  <c r="AQ357" i="1" s="1"/>
  <c r="AW356" i="1" l="1"/>
  <c r="AK357" i="1"/>
  <c r="AY357" i="1"/>
  <c r="AZ357" i="1" s="1"/>
  <c r="AI358" i="1"/>
  <c r="U358" i="1"/>
  <c r="AN358" i="1"/>
  <c r="X358" i="1" l="1"/>
  <c r="Z358" i="1" s="1"/>
  <c r="V358" i="1"/>
  <c r="AH358" i="1"/>
  <c r="AO358" i="1" s="1"/>
  <c r="AQ358" i="1" s="1"/>
  <c r="AJ358" i="1" l="1"/>
  <c r="AE358" i="1"/>
  <c r="AG358" i="1" s="1"/>
  <c r="AX358" i="1" s="1"/>
  <c r="AY358" i="1" l="1"/>
  <c r="AZ358" i="1" s="1"/>
  <c r="AW357" i="1"/>
  <c r="CC358" i="1"/>
  <c r="AK358" i="1"/>
  <c r="AI359" i="1"/>
  <c r="AN359" i="1"/>
  <c r="U359" i="1"/>
  <c r="X359" i="1" l="1"/>
  <c r="Z359" i="1" s="1"/>
  <c r="AH359" i="1"/>
  <c r="AJ359" i="1" s="1"/>
  <c r="V359" i="1"/>
  <c r="AO359" i="1"/>
  <c r="AQ359" i="1" s="1"/>
  <c r="CC359" i="1" l="1"/>
  <c r="AE359" i="1"/>
  <c r="AY359" i="1" s="1"/>
  <c r="AZ359" i="1" s="1"/>
  <c r="AK359" i="1" l="1"/>
  <c r="AW358" i="1"/>
  <c r="AG359" i="1"/>
  <c r="AX359" i="1" s="1"/>
  <c r="U360" i="1"/>
  <c r="AI360" i="1"/>
  <c r="AN360" i="1"/>
  <c r="X360" i="1" l="1"/>
  <c r="Z360" i="1" s="1"/>
  <c r="AH360" i="1"/>
  <c r="AJ360" i="1" s="1"/>
  <c r="V360" i="1"/>
  <c r="CC360" i="1" l="1"/>
  <c r="AE360" i="1"/>
  <c r="AG360" i="1" s="1"/>
  <c r="AX360" i="1" s="1"/>
  <c r="AO360" i="1"/>
  <c r="AQ360" i="1" s="1"/>
  <c r="AW359" i="1" l="1"/>
  <c r="AK360" i="1"/>
  <c r="AY360" i="1"/>
  <c r="AZ360" i="1" s="1"/>
  <c r="AN361" i="1"/>
  <c r="U361" i="1"/>
  <c r="AI361" i="1"/>
  <c r="X361" i="1" l="1"/>
  <c r="Z361" i="1" s="1"/>
  <c r="AH361" i="1"/>
  <c r="AO361" i="1" s="1"/>
  <c r="AQ361" i="1" s="1"/>
  <c r="V361" i="1"/>
  <c r="AJ361" i="1" l="1"/>
  <c r="CC361" i="1" s="1"/>
  <c r="AE361" i="1"/>
  <c r="AY361" i="1" s="1"/>
  <c r="AZ361" i="1" s="1"/>
  <c r="AK361" i="1" l="1"/>
  <c r="AW360" i="1"/>
  <c r="AG361" i="1"/>
  <c r="AX361" i="1" s="1"/>
  <c r="AN362" i="1"/>
  <c r="AI362" i="1"/>
  <c r="U362" i="1"/>
  <c r="X362" i="1" l="1"/>
  <c r="Z362" i="1" s="1"/>
  <c r="AH362" i="1"/>
  <c r="AJ362" i="1" s="1"/>
  <c r="V362" i="1"/>
  <c r="AO362" i="1"/>
  <c r="AQ362" i="1" s="1"/>
  <c r="CC362" i="1" l="1"/>
  <c r="AE362" i="1"/>
  <c r="AG362" i="1" s="1"/>
  <c r="AX362" i="1" s="1"/>
  <c r="AW361" i="1" l="1"/>
  <c r="AK362" i="1"/>
  <c r="AY362" i="1"/>
  <c r="AZ362" i="1" s="1"/>
  <c r="AN363" i="1"/>
  <c r="AI363" i="1"/>
  <c r="U363" i="1"/>
  <c r="X363" i="1" l="1"/>
  <c r="Z363" i="1" s="1"/>
  <c r="V363" i="1"/>
  <c r="AH363" i="1"/>
  <c r="AJ363" i="1" s="1"/>
  <c r="CC363" i="1" l="1"/>
  <c r="AE363" i="1"/>
  <c r="AG363" i="1" s="1"/>
  <c r="AX363" i="1" s="1"/>
  <c r="AO363" i="1"/>
  <c r="AQ363" i="1" s="1"/>
  <c r="AW362" i="1"/>
  <c r="AK363" i="1"/>
  <c r="AY363" i="1" l="1"/>
  <c r="AZ363" i="1" s="1"/>
  <c r="AN364" i="1"/>
  <c r="U364" i="1"/>
  <c r="AI364" i="1"/>
  <c r="X364" i="1" l="1"/>
  <c r="Z364" i="1" s="1"/>
  <c r="AH364" i="1"/>
  <c r="AJ364" i="1" s="1"/>
  <c r="V364" i="1"/>
  <c r="AO364" i="1"/>
  <c r="AQ364" i="1" s="1"/>
  <c r="CC364" i="1" l="1"/>
  <c r="AE364" i="1"/>
  <c r="AY364" i="1" s="1"/>
  <c r="AZ364" i="1" s="1"/>
  <c r="AW363" i="1" l="1"/>
  <c r="AK364" i="1"/>
  <c r="AG364" i="1"/>
  <c r="AX364" i="1" s="1"/>
  <c r="AN365" i="1"/>
  <c r="AI365" i="1"/>
  <c r="U365" i="1"/>
  <c r="X365" i="1" l="1"/>
  <c r="Z365" i="1" s="1"/>
  <c r="AH365" i="1"/>
  <c r="AJ365" i="1" s="1"/>
  <c r="V365" i="1"/>
  <c r="CC365" i="1" l="1"/>
  <c r="AE365" i="1"/>
  <c r="AY365" i="1" s="1"/>
  <c r="AZ365" i="1" s="1"/>
  <c r="AO365" i="1"/>
  <c r="AQ365" i="1" s="1"/>
  <c r="AK365" i="1" l="1"/>
  <c r="AW364" i="1"/>
  <c r="AG365" i="1"/>
  <c r="AX365" i="1" s="1"/>
  <c r="U366" i="1"/>
  <c r="AI366" i="1"/>
  <c r="AN366" i="1"/>
  <c r="X366" i="1" l="1"/>
  <c r="Z366" i="1" s="1"/>
  <c r="V366" i="1"/>
  <c r="AH366" i="1"/>
  <c r="AO366" i="1" s="1"/>
  <c r="AQ366" i="1" s="1"/>
  <c r="AJ366" i="1" l="1"/>
  <c r="CC366" i="1" s="1"/>
  <c r="AE366" i="1"/>
  <c r="AG366" i="1" s="1"/>
  <c r="AX366" i="1" s="1"/>
  <c r="AY366" i="1" l="1"/>
  <c r="AZ366" i="1" s="1"/>
  <c r="AW365" i="1"/>
  <c r="AK366" i="1"/>
  <c r="AN367" i="1"/>
  <c r="AI367" i="1"/>
  <c r="U367" i="1"/>
  <c r="X367" i="1" l="1"/>
  <c r="Z367" i="1" s="1"/>
  <c r="AH367" i="1"/>
  <c r="AJ367" i="1" s="1"/>
  <c r="V367" i="1"/>
  <c r="AO367" i="1"/>
  <c r="AQ367" i="1" s="1"/>
  <c r="CC367" i="1" l="1"/>
  <c r="AE367" i="1"/>
  <c r="AG367" i="1" s="1"/>
  <c r="AX367" i="1" s="1"/>
  <c r="AK367" i="1" l="1"/>
  <c r="AW366" i="1"/>
  <c r="AY367" i="1"/>
  <c r="AZ367" i="1" s="1"/>
  <c r="AI368" i="1"/>
  <c r="U368" i="1"/>
  <c r="AN368" i="1"/>
  <c r="X368" i="1" l="1"/>
  <c r="Z368" i="1" s="1"/>
  <c r="AH368" i="1"/>
  <c r="AJ368" i="1" s="1"/>
  <c r="V368" i="1"/>
  <c r="AO368" i="1"/>
  <c r="AQ368" i="1" s="1"/>
  <c r="CC368" i="1" l="1"/>
  <c r="AE368" i="1"/>
  <c r="AY368" i="1" s="1"/>
  <c r="AZ368" i="1" s="1"/>
  <c r="AW367" i="1" l="1"/>
  <c r="AK368" i="1"/>
  <c r="AG368" i="1"/>
  <c r="AX368" i="1" s="1"/>
  <c r="U369" i="1"/>
  <c r="AI369" i="1"/>
  <c r="AN369" i="1"/>
  <c r="X369" i="1" l="1"/>
  <c r="Z369" i="1" s="1"/>
  <c r="AH369" i="1"/>
  <c r="AJ369" i="1" s="1"/>
  <c r="V369" i="1"/>
  <c r="CC369" i="1" l="1"/>
  <c r="AE369" i="1"/>
  <c r="AY369" i="1" s="1"/>
  <c r="AZ369" i="1" s="1"/>
  <c r="AO369" i="1"/>
  <c r="AQ369" i="1" s="1"/>
  <c r="AK369" i="1" l="1"/>
  <c r="AW368" i="1"/>
  <c r="AG369" i="1"/>
  <c r="AX369" i="1" s="1"/>
  <c r="AI370" i="1"/>
  <c r="U370" i="1"/>
  <c r="AN370" i="1"/>
  <c r="X370" i="1" l="1"/>
  <c r="Z370" i="1" s="1"/>
  <c r="AH370" i="1"/>
  <c r="AJ370" i="1" s="1"/>
  <c r="V370" i="1"/>
  <c r="CC370" i="1" l="1"/>
  <c r="AE370" i="1"/>
  <c r="AG370" i="1" s="1"/>
  <c r="AX370" i="1" s="1"/>
  <c r="AO370" i="1"/>
  <c r="AQ370" i="1" s="1"/>
  <c r="AW369" i="1" l="1"/>
  <c r="AK370" i="1"/>
  <c r="AY370" i="1"/>
  <c r="AZ370" i="1" s="1"/>
  <c r="AI371" i="1"/>
  <c r="U371" i="1"/>
  <c r="AN371" i="1"/>
  <c r="X371" i="1" l="1"/>
  <c r="Z371" i="1" s="1"/>
  <c r="AH371" i="1"/>
  <c r="AO371" i="1" s="1"/>
  <c r="AQ371" i="1" s="1"/>
  <c r="V371" i="1"/>
  <c r="AJ371" i="1" l="1"/>
  <c r="AW370" i="1" s="1"/>
  <c r="AE371" i="1"/>
  <c r="AG371" i="1" s="1"/>
  <c r="AX371" i="1" s="1"/>
  <c r="AY371" i="1" l="1"/>
  <c r="AZ371" i="1" s="1"/>
  <c r="AK371" i="1"/>
  <c r="CC371" i="1"/>
  <c r="AN372" i="1"/>
  <c r="AI372" i="1"/>
  <c r="U372" i="1"/>
  <c r="X372" i="1" l="1"/>
  <c r="Z372" i="1" s="1"/>
  <c r="V372" i="1"/>
  <c r="AH372" i="1"/>
  <c r="AJ372" i="1" s="1"/>
  <c r="CC372" i="1" l="1"/>
  <c r="AE372" i="1"/>
  <c r="AY372" i="1" s="1"/>
  <c r="AZ372" i="1" s="1"/>
  <c r="AK372" i="1"/>
  <c r="AW371" i="1"/>
  <c r="AO372" i="1"/>
  <c r="AQ372" i="1" s="1"/>
  <c r="AG372" i="1" l="1"/>
  <c r="AX372" i="1" s="1"/>
  <c r="AN373" i="1"/>
  <c r="U373" i="1"/>
  <c r="AI373" i="1"/>
  <c r="X373" i="1" l="1"/>
  <c r="Z373" i="1" s="1"/>
  <c r="V373" i="1"/>
  <c r="AH373" i="1"/>
  <c r="AJ373" i="1" s="1"/>
  <c r="CC373" i="1" l="1"/>
  <c r="AE373" i="1"/>
  <c r="AG373" i="1" s="1"/>
  <c r="AX373" i="1" s="1"/>
  <c r="AK373" i="1"/>
  <c r="AW372" i="1"/>
  <c r="AO373" i="1"/>
  <c r="AQ373" i="1" s="1"/>
  <c r="AY373" i="1" l="1"/>
  <c r="AZ373" i="1" s="1"/>
  <c r="AN374" i="1"/>
  <c r="U374" i="1"/>
  <c r="AI374" i="1"/>
  <c r="X374" i="1" l="1"/>
  <c r="Z374" i="1" s="1"/>
  <c r="V374" i="1"/>
  <c r="AH374" i="1"/>
  <c r="AO374" i="1" s="1"/>
  <c r="AQ374" i="1" s="1"/>
  <c r="AJ374" i="1" l="1"/>
  <c r="CC374" i="1" s="1"/>
  <c r="AE374" i="1"/>
  <c r="AG374" i="1" s="1"/>
  <c r="AX374" i="1" s="1"/>
  <c r="AY374" i="1" l="1"/>
  <c r="AZ374" i="1" s="1"/>
  <c r="AI375" i="1"/>
  <c r="AN375" i="1"/>
  <c r="U375" i="1"/>
  <c r="AK374" i="1"/>
  <c r="AW373" i="1"/>
  <c r="X375" i="1" l="1"/>
  <c r="Z375" i="1" s="1"/>
  <c r="V375" i="1"/>
  <c r="AH375" i="1"/>
  <c r="AJ375" i="1" s="1"/>
  <c r="CC375" i="1" l="1"/>
  <c r="AE375" i="1"/>
  <c r="AY375" i="1" s="1"/>
  <c r="AZ375" i="1" s="1"/>
  <c r="AW374" i="1"/>
  <c r="AK375" i="1"/>
  <c r="AO375" i="1"/>
  <c r="AQ375" i="1" s="1"/>
  <c r="AG375" i="1" l="1"/>
  <c r="AX375" i="1" s="1"/>
  <c r="U376" i="1"/>
  <c r="AN376" i="1"/>
  <c r="AI376" i="1"/>
  <c r="X376" i="1" l="1"/>
  <c r="Z376" i="1" s="1"/>
  <c r="V376" i="1"/>
  <c r="AH376" i="1"/>
  <c r="AO376" i="1" s="1"/>
  <c r="AQ376" i="1" s="1"/>
  <c r="AJ376" i="1" l="1"/>
  <c r="CC376" i="1" s="1"/>
  <c r="AE376" i="1"/>
  <c r="AG376" i="1" s="1"/>
  <c r="AX376" i="1" s="1"/>
  <c r="AY376" i="1" l="1"/>
  <c r="AZ376" i="1" s="1"/>
  <c r="AN377" i="1"/>
  <c r="AI377" i="1"/>
  <c r="U377" i="1"/>
  <c r="AK376" i="1"/>
  <c r="AW375" i="1"/>
  <c r="X377" i="1" l="1"/>
  <c r="Z377" i="1" s="1"/>
  <c r="AH377" i="1"/>
  <c r="AJ377" i="1" s="1"/>
  <c r="V377" i="1"/>
  <c r="AO377" i="1"/>
  <c r="AQ377" i="1" s="1"/>
  <c r="CC377" i="1" l="1"/>
  <c r="AE377" i="1"/>
  <c r="AG377" i="1" s="1"/>
  <c r="AX377" i="1" s="1"/>
  <c r="AK377" i="1" l="1"/>
  <c r="AW376" i="1"/>
  <c r="AY377" i="1"/>
  <c r="AZ377" i="1" s="1"/>
  <c r="U378" i="1"/>
  <c r="AN378" i="1"/>
  <c r="AI378" i="1"/>
  <c r="X378" i="1" l="1"/>
  <c r="Z378" i="1" s="1"/>
  <c r="AH378" i="1"/>
  <c r="AJ378" i="1" s="1"/>
  <c r="V378" i="1"/>
  <c r="AO378" i="1"/>
  <c r="AQ378" i="1" s="1"/>
  <c r="CC378" i="1" l="1"/>
  <c r="AE378" i="1"/>
  <c r="AG378" i="1" s="1"/>
  <c r="AX378" i="1" s="1"/>
  <c r="AW377" i="1" l="1"/>
  <c r="AK378" i="1"/>
  <c r="AY378" i="1"/>
  <c r="AZ378" i="1" s="1"/>
  <c r="AI379" i="1"/>
  <c r="AN379" i="1"/>
  <c r="U379" i="1"/>
  <c r="X379" i="1" l="1"/>
  <c r="Z379" i="1" s="1"/>
  <c r="V379" i="1"/>
  <c r="AH379" i="1"/>
  <c r="AJ379" i="1" s="1"/>
  <c r="CC379" i="1" l="1"/>
  <c r="AE379" i="1"/>
  <c r="AY379" i="1" s="1"/>
  <c r="AZ379" i="1" s="1"/>
  <c r="AO379" i="1"/>
  <c r="AQ379" i="1" s="1"/>
  <c r="AW378" i="1"/>
  <c r="AK379" i="1"/>
  <c r="AG379" i="1" l="1"/>
  <c r="AX379" i="1" s="1"/>
  <c r="U380" i="1"/>
  <c r="AN380" i="1"/>
  <c r="AI380" i="1"/>
  <c r="X380" i="1" l="1"/>
  <c r="Z380" i="1" s="1"/>
  <c r="V380" i="1"/>
  <c r="AH380" i="1"/>
  <c r="AO380" i="1" s="1"/>
  <c r="AQ380" i="1" s="1"/>
  <c r="AJ380" i="1" l="1"/>
  <c r="CC380" i="1" s="1"/>
  <c r="AE380" i="1"/>
  <c r="AY380" i="1" s="1"/>
  <c r="AZ380" i="1" s="1"/>
  <c r="AG380" i="1" l="1"/>
  <c r="AX380" i="1" s="1"/>
  <c r="AW379" i="1"/>
  <c r="AK380" i="1"/>
  <c r="AI381" i="1"/>
  <c r="AN381" i="1"/>
  <c r="U381" i="1"/>
  <c r="X381" i="1" l="1"/>
  <c r="Z381" i="1" s="1"/>
  <c r="V381" i="1"/>
  <c r="AH381" i="1"/>
  <c r="AO381" i="1" s="1"/>
  <c r="AQ381" i="1" s="1"/>
  <c r="AJ381" i="1" l="1"/>
  <c r="CC381" i="1" s="1"/>
  <c r="AE381" i="1"/>
  <c r="AY381" i="1" s="1"/>
  <c r="AZ381" i="1" s="1"/>
  <c r="AG381" i="1" l="1"/>
  <c r="AX381" i="1" s="1"/>
  <c r="U382" i="1"/>
  <c r="AN382" i="1"/>
  <c r="AI382" i="1"/>
  <c r="AK381" i="1"/>
  <c r="AW380" i="1"/>
  <c r="X382" i="1" l="1"/>
  <c r="Z382" i="1" s="1"/>
  <c r="AH382" i="1"/>
  <c r="AJ382" i="1" s="1"/>
  <c r="V382" i="1"/>
  <c r="AO382" i="1"/>
  <c r="AQ382" i="1" s="1"/>
  <c r="CC382" i="1" l="1"/>
  <c r="AE382" i="1"/>
  <c r="AY382" i="1" s="1"/>
  <c r="AZ382" i="1" s="1"/>
  <c r="AK382" i="1" l="1"/>
  <c r="AW381" i="1"/>
  <c r="AG382" i="1"/>
  <c r="AX382" i="1" s="1"/>
  <c r="U383" i="1"/>
  <c r="AN383" i="1"/>
  <c r="AI383" i="1"/>
  <c r="X383" i="1" l="1"/>
  <c r="Z383" i="1" s="1"/>
  <c r="V383" i="1"/>
  <c r="AH383" i="1"/>
  <c r="AO383" i="1" s="1"/>
  <c r="AQ383" i="1" s="1"/>
  <c r="AJ383" i="1" l="1"/>
  <c r="CC383" i="1" s="1"/>
  <c r="AE383" i="1"/>
  <c r="AG383" i="1" s="1"/>
  <c r="AX383" i="1" s="1"/>
  <c r="AY383" i="1" l="1"/>
  <c r="AZ383" i="1" s="1"/>
  <c r="AI384" i="1"/>
  <c r="U384" i="1"/>
  <c r="AN384" i="1"/>
  <c r="AK383" i="1"/>
  <c r="AW382" i="1"/>
  <c r="X384" i="1" l="1"/>
  <c r="Z384" i="1" s="1"/>
  <c r="V384" i="1"/>
  <c r="AH384" i="1"/>
  <c r="AO384" i="1" s="1"/>
  <c r="AQ384" i="1" s="1"/>
  <c r="AJ384" i="1" l="1"/>
  <c r="CC384" i="1" s="1"/>
  <c r="AE384" i="1"/>
  <c r="AG384" i="1" s="1"/>
  <c r="AX384" i="1" s="1"/>
  <c r="AY384" i="1" l="1"/>
  <c r="AZ384" i="1" s="1"/>
  <c r="AI385" i="1"/>
  <c r="AN385" i="1"/>
  <c r="U385" i="1"/>
  <c r="AK384" i="1"/>
  <c r="AW383" i="1"/>
  <c r="X385" i="1" l="1"/>
  <c r="Z385" i="1" s="1"/>
  <c r="AH385" i="1"/>
  <c r="AJ385" i="1" s="1"/>
  <c r="V385" i="1"/>
  <c r="AO385" i="1"/>
  <c r="AQ385" i="1" s="1"/>
  <c r="CC385" i="1" l="1"/>
  <c r="AE385" i="1"/>
  <c r="AY385" i="1" s="1"/>
  <c r="AZ385" i="1" s="1"/>
  <c r="AK385" i="1" l="1"/>
  <c r="AW384" i="1"/>
  <c r="AG385" i="1"/>
  <c r="AX385" i="1" s="1"/>
  <c r="U386" i="1"/>
  <c r="AN386" i="1"/>
  <c r="AI386" i="1"/>
  <c r="X386" i="1" l="1"/>
  <c r="Z386" i="1" s="1"/>
  <c r="V386" i="1"/>
  <c r="AH386" i="1"/>
  <c r="AJ386" i="1" s="1"/>
  <c r="CC386" i="1" l="1"/>
  <c r="AE386" i="1"/>
  <c r="AG386" i="1" s="1"/>
  <c r="AX386" i="1" s="1"/>
  <c r="AK386" i="1"/>
  <c r="AW385" i="1"/>
  <c r="AO386" i="1"/>
  <c r="AQ386" i="1" s="1"/>
  <c r="AY386" i="1" l="1"/>
  <c r="AZ386" i="1" s="1"/>
  <c r="AI387" i="1"/>
  <c r="U387" i="1"/>
  <c r="AN387" i="1"/>
  <c r="X387" i="1" l="1"/>
  <c r="Z387" i="1" s="1"/>
  <c r="V387" i="1"/>
  <c r="AH387" i="1"/>
  <c r="AO387" i="1" s="1"/>
  <c r="AQ387" i="1" s="1"/>
  <c r="AJ387" i="1" l="1"/>
  <c r="CC387" i="1" s="1"/>
  <c r="AE387" i="1"/>
  <c r="AY387" i="1" s="1"/>
  <c r="AZ387" i="1" s="1"/>
  <c r="AG387" i="1" l="1"/>
  <c r="AX387" i="1" s="1"/>
  <c r="AK387" i="1"/>
  <c r="AW386" i="1"/>
  <c r="U388" i="1"/>
  <c r="AI388" i="1"/>
  <c r="AN388" i="1"/>
  <c r="X388" i="1" l="1"/>
  <c r="Z388" i="1" s="1"/>
  <c r="V388" i="1"/>
  <c r="AH388" i="1"/>
  <c r="AJ388" i="1" s="1"/>
  <c r="CC388" i="1" l="1"/>
  <c r="AE388" i="1"/>
  <c r="AG388" i="1" s="1"/>
  <c r="AX388" i="1" s="1"/>
  <c r="AK388" i="1"/>
  <c r="AW387" i="1"/>
  <c r="AO388" i="1"/>
  <c r="AQ388" i="1" s="1"/>
  <c r="AY388" i="1" l="1"/>
  <c r="AZ388" i="1" s="1"/>
  <c r="AN389" i="1"/>
  <c r="AI389" i="1"/>
  <c r="U389" i="1"/>
  <c r="X389" i="1" l="1"/>
  <c r="Z389" i="1" s="1"/>
  <c r="AH389" i="1"/>
  <c r="AO389" i="1" s="1"/>
  <c r="AQ389" i="1" s="1"/>
  <c r="V389" i="1"/>
  <c r="AJ389" i="1" l="1"/>
  <c r="CC389" i="1" s="1"/>
  <c r="AE389" i="1"/>
  <c r="AG389" i="1" s="1"/>
  <c r="AX389" i="1" s="1"/>
  <c r="AY389" i="1" l="1"/>
  <c r="AZ389" i="1" s="1"/>
  <c r="AK389" i="1"/>
  <c r="AW388" i="1"/>
  <c r="AN390" i="1"/>
  <c r="U390" i="1"/>
  <c r="AI390" i="1"/>
  <c r="X390" i="1" l="1"/>
  <c r="Z390" i="1" s="1"/>
  <c r="V390" i="1"/>
  <c r="AH390" i="1"/>
  <c r="AJ390" i="1" s="1"/>
  <c r="CC390" i="1" l="1"/>
  <c r="AE390" i="1"/>
  <c r="AY390" i="1" s="1"/>
  <c r="AZ390" i="1" s="1"/>
  <c r="AO390" i="1"/>
  <c r="AQ390" i="1" s="1"/>
  <c r="AK390" i="1"/>
  <c r="AW389" i="1"/>
  <c r="AG390" i="1" l="1"/>
  <c r="AX390" i="1" s="1"/>
  <c r="U391" i="1"/>
  <c r="AN391" i="1"/>
  <c r="AI391" i="1"/>
  <c r="X391" i="1" l="1"/>
  <c r="Z391" i="1" s="1"/>
  <c r="V391" i="1"/>
  <c r="AH391" i="1"/>
  <c r="AJ391" i="1" s="1"/>
  <c r="CC391" i="1" l="1"/>
  <c r="AE391" i="1"/>
  <c r="AY391" i="1" s="1"/>
  <c r="AZ391" i="1" s="1"/>
  <c r="AW390" i="1"/>
  <c r="AK391" i="1"/>
  <c r="AO391" i="1"/>
  <c r="AQ391" i="1" s="1"/>
  <c r="AG391" i="1" l="1"/>
  <c r="AX391" i="1" s="1"/>
  <c r="AN392" i="1"/>
  <c r="AI392" i="1"/>
  <c r="U392" i="1"/>
  <c r="X392" i="1" l="1"/>
  <c r="Z392" i="1" s="1"/>
  <c r="AH392" i="1"/>
  <c r="AJ392" i="1" s="1"/>
  <c r="V392" i="1"/>
  <c r="CC392" i="1" l="1"/>
  <c r="AE392" i="1"/>
  <c r="AG392" i="1" s="1"/>
  <c r="AX392" i="1" s="1"/>
  <c r="AO392" i="1"/>
  <c r="AQ392" i="1" s="1"/>
  <c r="AK392" i="1" l="1"/>
  <c r="AW391" i="1"/>
  <c r="AY392" i="1"/>
  <c r="AZ392" i="1" s="1"/>
  <c r="U393" i="1"/>
  <c r="AI393" i="1"/>
  <c r="AN393" i="1"/>
  <c r="X393" i="1" l="1"/>
  <c r="Z393" i="1" s="1"/>
  <c r="AH393" i="1"/>
  <c r="AJ393" i="1" s="1"/>
  <c r="V393" i="1"/>
  <c r="AO393" i="1"/>
  <c r="AQ393" i="1" s="1"/>
  <c r="CC393" i="1" l="1"/>
  <c r="AE393" i="1"/>
  <c r="AY393" i="1" s="1"/>
  <c r="AZ393" i="1" s="1"/>
  <c r="AW392" i="1" l="1"/>
  <c r="AK393" i="1"/>
  <c r="AG393" i="1"/>
  <c r="AX393" i="1" s="1"/>
  <c r="AN394" i="1"/>
  <c r="U394" i="1"/>
  <c r="AI394" i="1"/>
  <c r="X394" i="1" l="1"/>
  <c r="Z394" i="1" s="1"/>
  <c r="AH394" i="1"/>
  <c r="AO394" i="1" s="1"/>
  <c r="AQ394" i="1" s="1"/>
  <c r="V394" i="1"/>
  <c r="AJ394" i="1" l="1"/>
  <c r="CC394" i="1" s="1"/>
  <c r="AE394" i="1"/>
  <c r="AY394" i="1" s="1"/>
  <c r="AZ394" i="1" s="1"/>
  <c r="AK394" i="1" l="1"/>
  <c r="AW393" i="1"/>
  <c r="AG394" i="1"/>
  <c r="AX394" i="1" s="1"/>
  <c r="AN395" i="1"/>
  <c r="AI395" i="1"/>
  <c r="U395" i="1"/>
  <c r="X395" i="1" l="1"/>
  <c r="Z395" i="1" s="1"/>
  <c r="V395" i="1"/>
  <c r="AH395" i="1"/>
  <c r="AO395" i="1" s="1"/>
  <c r="AQ395" i="1" s="1"/>
  <c r="AJ395" i="1" l="1"/>
  <c r="CC395" i="1" s="1"/>
  <c r="AE395" i="1"/>
  <c r="AY395" i="1" s="1"/>
  <c r="AZ395" i="1" s="1"/>
  <c r="AG395" i="1" l="1"/>
  <c r="AX395" i="1" s="1"/>
  <c r="AN396" i="1"/>
  <c r="AI396" i="1"/>
  <c r="U396" i="1"/>
  <c r="AK395" i="1"/>
  <c r="AW394" i="1"/>
  <c r="X396" i="1" l="1"/>
  <c r="Z396" i="1" s="1"/>
  <c r="V396" i="1"/>
  <c r="AH396" i="1"/>
  <c r="AO396" i="1" s="1"/>
  <c r="AQ396" i="1" s="1"/>
  <c r="AJ396" i="1" l="1"/>
  <c r="CC396" i="1" s="1"/>
  <c r="AE396" i="1"/>
  <c r="AG396" i="1" s="1"/>
  <c r="AX396" i="1" s="1"/>
  <c r="AY396" i="1" l="1"/>
  <c r="AZ396" i="1" s="1"/>
  <c r="U397" i="1"/>
  <c r="AN397" i="1"/>
  <c r="AI397" i="1"/>
  <c r="AW395" i="1"/>
  <c r="AK396" i="1"/>
  <c r="X397" i="1" l="1"/>
  <c r="Z397" i="1" s="1"/>
  <c r="V397" i="1"/>
  <c r="AH397" i="1"/>
  <c r="AO397" i="1" s="1"/>
  <c r="AQ397" i="1" s="1"/>
  <c r="AJ397" i="1" l="1"/>
  <c r="CC397" i="1" s="1"/>
  <c r="AE397" i="1"/>
  <c r="AY397" i="1" s="1"/>
  <c r="AZ397" i="1" s="1"/>
  <c r="AG397" i="1" l="1"/>
  <c r="AX397" i="1" s="1"/>
  <c r="AK397" i="1"/>
  <c r="AW396" i="1"/>
  <c r="U398" i="1"/>
  <c r="AI398" i="1"/>
  <c r="AN398" i="1"/>
  <c r="X398" i="1" l="1"/>
  <c r="Z398" i="1" s="1"/>
  <c r="AH398" i="1"/>
  <c r="AJ398" i="1" s="1"/>
  <c r="V398" i="1"/>
  <c r="AO398" i="1"/>
  <c r="AQ398" i="1" s="1"/>
  <c r="CC398" i="1" l="1"/>
  <c r="AE398" i="1"/>
  <c r="AY398" i="1" s="1"/>
  <c r="AZ398" i="1" s="1"/>
  <c r="AW397" i="1" l="1"/>
  <c r="AK398" i="1"/>
  <c r="AG398" i="1"/>
  <c r="AX398" i="1" s="1"/>
  <c r="AI399" i="1"/>
  <c r="AN399" i="1"/>
  <c r="U399" i="1"/>
  <c r="X399" i="1" l="1"/>
  <c r="Z399" i="1" s="1"/>
  <c r="V399" i="1"/>
  <c r="AH399" i="1"/>
  <c r="AJ399" i="1" s="1"/>
  <c r="CC399" i="1" l="1"/>
  <c r="AE399" i="1"/>
  <c r="AG399" i="1" s="1"/>
  <c r="AX399" i="1" s="1"/>
  <c r="AW398" i="1"/>
  <c r="AK399" i="1"/>
  <c r="AO399" i="1"/>
  <c r="AQ399" i="1" s="1"/>
  <c r="AY399" i="1" l="1"/>
  <c r="AZ399" i="1" s="1"/>
  <c r="AI400" i="1"/>
  <c r="U400" i="1"/>
  <c r="AN400" i="1"/>
  <c r="X400" i="1" l="1"/>
  <c r="Z400" i="1" s="1"/>
  <c r="AH400" i="1"/>
  <c r="AJ400" i="1" s="1"/>
  <c r="V400" i="1"/>
  <c r="AO400" i="1"/>
  <c r="AQ400" i="1" s="1"/>
  <c r="CC400" i="1" l="1"/>
  <c r="AE400" i="1"/>
  <c r="AG400" i="1" s="1"/>
  <c r="AX400" i="1" s="1"/>
  <c r="AK400" i="1" l="1"/>
  <c r="AW399" i="1"/>
  <c r="AY400" i="1"/>
  <c r="AZ400" i="1" s="1"/>
  <c r="U401" i="1"/>
  <c r="AI401" i="1"/>
  <c r="AN401" i="1"/>
  <c r="X401" i="1" l="1"/>
  <c r="Z401" i="1" s="1"/>
  <c r="AH401" i="1"/>
  <c r="AO401" i="1" s="1"/>
  <c r="AQ401" i="1" s="1"/>
  <c r="V401" i="1"/>
  <c r="AJ401" i="1" l="1"/>
  <c r="CC401" i="1" s="1"/>
  <c r="AE401" i="1"/>
  <c r="AG401" i="1" s="1"/>
  <c r="AX401" i="1" s="1"/>
  <c r="AY401" i="1" l="1"/>
  <c r="AZ401" i="1" s="1"/>
  <c r="AW400" i="1"/>
  <c r="AK401" i="1"/>
  <c r="U402" i="1"/>
  <c r="AN402" i="1"/>
  <c r="AI402" i="1"/>
  <c r="X402" i="1" l="1"/>
  <c r="Z402" i="1" s="1"/>
  <c r="AH402" i="1"/>
  <c r="AJ402" i="1" s="1"/>
  <c r="V402" i="1"/>
  <c r="AO402" i="1"/>
  <c r="AQ402" i="1" s="1"/>
  <c r="CC402" i="1" l="1"/>
  <c r="AE402" i="1"/>
  <c r="AG402" i="1" s="1"/>
  <c r="AX402" i="1" s="1"/>
  <c r="AK402" i="1" l="1"/>
  <c r="AW401" i="1"/>
  <c r="AY402" i="1"/>
  <c r="AZ402" i="1" s="1"/>
  <c r="U403" i="1"/>
  <c r="AI403" i="1"/>
  <c r="AN403" i="1"/>
  <c r="X403" i="1" l="1"/>
  <c r="Z403" i="1" s="1"/>
  <c r="AH403" i="1"/>
  <c r="AO403" i="1" s="1"/>
  <c r="AQ403" i="1" s="1"/>
  <c r="V403" i="1"/>
  <c r="AJ403" i="1" l="1"/>
  <c r="CC403" i="1" s="1"/>
  <c r="AE403" i="1"/>
  <c r="AY403" i="1" s="1"/>
  <c r="AZ403" i="1" s="1"/>
  <c r="AG403" i="1" l="1"/>
  <c r="AX403" i="1" s="1"/>
  <c r="AK403" i="1"/>
  <c r="AW402" i="1"/>
  <c r="AN404" i="1"/>
  <c r="AI404" i="1"/>
  <c r="U404" i="1"/>
  <c r="X404" i="1" l="1"/>
  <c r="Z404" i="1" s="1"/>
  <c r="V404" i="1"/>
  <c r="AH404" i="1"/>
  <c r="AJ404" i="1" s="1"/>
  <c r="CC404" i="1" l="1"/>
  <c r="AE404" i="1"/>
  <c r="AG404" i="1" s="1"/>
  <c r="AX404" i="1" s="1"/>
  <c r="AW403" i="1"/>
  <c r="AK404" i="1"/>
  <c r="AO404" i="1"/>
  <c r="AQ404" i="1" s="1"/>
  <c r="AY404" i="1" l="1"/>
  <c r="AZ404" i="1" s="1"/>
  <c r="U405" i="1"/>
  <c r="AN405" i="1"/>
  <c r="AI405" i="1"/>
  <c r="X405" i="1" l="1"/>
  <c r="Z405" i="1" s="1"/>
  <c r="AH405" i="1"/>
  <c r="AJ405" i="1" s="1"/>
  <c r="V405" i="1"/>
  <c r="AO405" i="1"/>
  <c r="AQ405" i="1" s="1"/>
  <c r="CC405" i="1" l="1"/>
  <c r="AE405" i="1"/>
  <c r="AY405" i="1" s="1"/>
  <c r="AZ405" i="1" s="1"/>
  <c r="AK405" i="1" l="1"/>
  <c r="AW404" i="1"/>
  <c r="AG405" i="1"/>
  <c r="AX405" i="1" s="1"/>
  <c r="AN406" i="1"/>
  <c r="U406" i="1"/>
  <c r="AI406" i="1"/>
  <c r="X406" i="1" l="1"/>
  <c r="Z406" i="1" s="1"/>
  <c r="AH406" i="1"/>
  <c r="AO406" i="1" s="1"/>
  <c r="AQ406" i="1" s="1"/>
  <c r="V406" i="1"/>
  <c r="AJ406" i="1" l="1"/>
  <c r="AE406" i="1"/>
  <c r="AY406" i="1" s="1"/>
  <c r="AZ406" i="1" s="1"/>
  <c r="AG406" i="1" l="1"/>
  <c r="AX406" i="1" s="1"/>
  <c r="AW405" i="1"/>
  <c r="CC406" i="1"/>
  <c r="AK406" i="1"/>
  <c r="AN407" i="1"/>
  <c r="U407" i="1"/>
  <c r="AI407" i="1"/>
  <c r="X407" i="1" l="1"/>
  <c r="Z407" i="1" s="1"/>
  <c r="V407" i="1"/>
  <c r="AH407" i="1"/>
  <c r="AJ407" i="1" s="1"/>
  <c r="CC407" i="1" l="1"/>
  <c r="AE407" i="1"/>
  <c r="AY407" i="1" s="1"/>
  <c r="AZ407" i="1" s="1"/>
  <c r="AW406" i="1"/>
  <c r="AK407" i="1"/>
  <c r="AO407" i="1"/>
  <c r="AQ407" i="1" s="1"/>
  <c r="AG407" i="1" l="1"/>
  <c r="AX407" i="1" s="1"/>
  <c r="AN408" i="1"/>
  <c r="U408" i="1"/>
  <c r="AI408" i="1"/>
  <c r="X408" i="1" l="1"/>
  <c r="Z408" i="1" s="1"/>
  <c r="AH408" i="1"/>
  <c r="AO408" i="1" s="1"/>
  <c r="AQ408" i="1" s="1"/>
  <c r="V408" i="1"/>
  <c r="AJ408" i="1" l="1"/>
  <c r="CC408" i="1" s="1"/>
  <c r="AE408" i="1"/>
  <c r="AY408" i="1" s="1"/>
  <c r="AZ408" i="1" s="1"/>
  <c r="AW407" i="1" l="1"/>
  <c r="AK408" i="1"/>
  <c r="AG408" i="1"/>
  <c r="AX408" i="1" s="1"/>
  <c r="U409" i="1"/>
  <c r="AN409" i="1"/>
  <c r="AI409" i="1"/>
  <c r="X409" i="1" l="1"/>
  <c r="Z409" i="1" s="1"/>
  <c r="V409" i="1"/>
  <c r="AH409" i="1"/>
  <c r="AO409" i="1" s="1"/>
  <c r="AQ409" i="1" s="1"/>
  <c r="AJ409" i="1" l="1"/>
  <c r="AE409" i="1"/>
  <c r="AY409" i="1" s="1"/>
  <c r="AZ409" i="1" s="1"/>
  <c r="AG409" i="1" l="1"/>
  <c r="AX409" i="1" s="1"/>
  <c r="AW408" i="1"/>
  <c r="CC409" i="1"/>
  <c r="AK409" i="1"/>
  <c r="U410" i="1"/>
  <c r="AI410" i="1"/>
  <c r="AN410" i="1"/>
  <c r="X410" i="1" l="1"/>
  <c r="Z410" i="1" s="1"/>
  <c r="AH410" i="1"/>
  <c r="AO410" i="1" s="1"/>
  <c r="AQ410" i="1" s="1"/>
  <c r="V410" i="1"/>
  <c r="AJ410" i="1" l="1"/>
  <c r="CC410" i="1" s="1"/>
  <c r="AE410" i="1"/>
  <c r="AY410" i="1" s="1"/>
  <c r="AZ410" i="1" s="1"/>
  <c r="AG410" i="1" l="1"/>
  <c r="AX410" i="1" s="1"/>
  <c r="AK410" i="1"/>
  <c r="AW409" i="1"/>
  <c r="AN411" i="1"/>
  <c r="U411" i="1"/>
  <c r="AI411" i="1"/>
  <c r="X411" i="1" l="1"/>
  <c r="Z411" i="1" s="1"/>
  <c r="V411" i="1"/>
  <c r="AH411" i="1"/>
  <c r="AO411" i="1" s="1"/>
  <c r="AQ411" i="1" s="1"/>
  <c r="AJ411" i="1" l="1"/>
  <c r="AE411" i="1"/>
  <c r="AG411" i="1" s="1"/>
  <c r="AX411" i="1" s="1"/>
  <c r="AY411" i="1" l="1"/>
  <c r="AZ411" i="1" s="1"/>
  <c r="AK411" i="1"/>
  <c r="CC411" i="1"/>
  <c r="AW410" i="1"/>
  <c r="AI412" i="1"/>
  <c r="U412" i="1"/>
  <c r="AN412" i="1"/>
  <c r="X412" i="1" l="1"/>
  <c r="Z412" i="1" s="1"/>
  <c r="AH412" i="1"/>
  <c r="AO412" i="1" s="1"/>
  <c r="AQ412" i="1" s="1"/>
  <c r="V412" i="1"/>
  <c r="AJ412" i="1" l="1"/>
  <c r="CC412" i="1" s="1"/>
  <c r="AE412" i="1"/>
  <c r="AY412" i="1" s="1"/>
  <c r="AZ412" i="1" s="1"/>
  <c r="AW411" i="1" l="1"/>
  <c r="AK412" i="1"/>
  <c r="AG412" i="1"/>
  <c r="AX412" i="1" s="1"/>
  <c r="U413" i="1"/>
  <c r="AN413" i="1"/>
  <c r="AI413" i="1"/>
  <c r="X413" i="1" l="1"/>
  <c r="Z413" i="1" s="1"/>
  <c r="AH413" i="1"/>
  <c r="AO413" i="1" s="1"/>
  <c r="AQ413" i="1" s="1"/>
  <c r="V413" i="1"/>
  <c r="AJ413" i="1" l="1"/>
  <c r="CC413" i="1" s="1"/>
  <c r="AE413" i="1"/>
  <c r="AG413" i="1" s="1"/>
  <c r="AX413" i="1" s="1"/>
  <c r="AW412" i="1" l="1"/>
  <c r="AK413" i="1"/>
  <c r="AY413" i="1"/>
  <c r="AZ413" i="1" s="1"/>
  <c r="AI414" i="1"/>
  <c r="AN414" i="1"/>
  <c r="U414" i="1"/>
  <c r="X414" i="1" l="1"/>
  <c r="Z414" i="1" s="1"/>
  <c r="V414" i="1"/>
  <c r="AH414" i="1"/>
  <c r="AO414" i="1" s="1"/>
  <c r="AQ414" i="1" s="1"/>
  <c r="AJ414" i="1" l="1"/>
  <c r="CC414" i="1" s="1"/>
  <c r="AE414" i="1"/>
  <c r="AY414" i="1" s="1"/>
  <c r="AZ414" i="1" s="1"/>
  <c r="AG414" i="1" l="1"/>
  <c r="AX414" i="1" s="1"/>
  <c r="AK414" i="1"/>
  <c r="AW413" i="1"/>
  <c r="U415" i="1"/>
  <c r="AN415" i="1"/>
  <c r="AI415" i="1"/>
  <c r="X415" i="1" l="1"/>
  <c r="Z415" i="1" s="1"/>
  <c r="V415" i="1"/>
  <c r="AH415" i="1"/>
  <c r="AJ415" i="1" s="1"/>
  <c r="CC415" i="1" l="1"/>
  <c r="AE415" i="1"/>
  <c r="AY415" i="1" s="1"/>
  <c r="AZ415" i="1" s="1"/>
  <c r="AW414" i="1"/>
  <c r="AK415" i="1"/>
  <c r="AO415" i="1"/>
  <c r="AQ415" i="1" s="1"/>
  <c r="AG415" i="1" l="1"/>
  <c r="AX415" i="1" s="1"/>
  <c r="AN416" i="1"/>
  <c r="AI416" i="1"/>
  <c r="U416" i="1"/>
  <c r="X416" i="1" l="1"/>
  <c r="Z416" i="1" s="1"/>
  <c r="AH416" i="1"/>
  <c r="AJ416" i="1" s="1"/>
  <c r="V416" i="1"/>
  <c r="AO416" i="1"/>
  <c r="AQ416" i="1" s="1"/>
  <c r="CC416" i="1" l="1"/>
  <c r="AE416" i="1"/>
  <c r="AG416" i="1" s="1"/>
  <c r="AX416" i="1" s="1"/>
  <c r="AK416" i="1" l="1"/>
  <c r="AW415" i="1"/>
  <c r="AY416" i="1"/>
  <c r="AZ416" i="1" s="1"/>
  <c r="AI417" i="1"/>
  <c r="U417" i="1"/>
  <c r="AN417" i="1"/>
  <c r="X417" i="1" l="1"/>
  <c r="Z417" i="1" s="1"/>
  <c r="AH417" i="1"/>
  <c r="AO417" i="1" s="1"/>
  <c r="AQ417" i="1" s="1"/>
  <c r="V417" i="1"/>
  <c r="AJ417" i="1" l="1"/>
  <c r="CC417" i="1" s="1"/>
  <c r="AE417" i="1"/>
  <c r="AY417" i="1" s="1"/>
  <c r="AZ417" i="1" s="1"/>
  <c r="AG417" i="1" l="1"/>
  <c r="AX417" i="1" s="1"/>
  <c r="U418" i="1"/>
  <c r="AI418" i="1"/>
  <c r="AN418" i="1"/>
  <c r="AK417" i="1"/>
  <c r="AW416" i="1"/>
  <c r="X418" i="1" l="1"/>
  <c r="Z418" i="1" s="1"/>
  <c r="AH418" i="1"/>
  <c r="AJ418" i="1" s="1"/>
  <c r="V418" i="1"/>
  <c r="AO418" i="1"/>
  <c r="AQ418" i="1" s="1"/>
  <c r="CC418" i="1" l="1"/>
  <c r="AE418" i="1"/>
  <c r="AY418" i="1" s="1"/>
  <c r="AZ418" i="1" s="1"/>
  <c r="AW417" i="1" l="1"/>
  <c r="AK418" i="1"/>
  <c r="AG418" i="1"/>
  <c r="AX418" i="1" s="1"/>
  <c r="U419" i="1"/>
  <c r="AN419" i="1"/>
  <c r="AI419" i="1"/>
  <c r="X419" i="1" l="1"/>
  <c r="Z419" i="1" s="1"/>
  <c r="AH419" i="1"/>
  <c r="AO419" i="1" s="1"/>
  <c r="AQ419" i="1" s="1"/>
  <c r="V419" i="1"/>
  <c r="AJ419" i="1" l="1"/>
  <c r="CC419" i="1" s="1"/>
  <c r="AE419" i="1"/>
  <c r="AY419" i="1" s="1"/>
  <c r="AZ419" i="1" s="1"/>
  <c r="AG419" i="1" l="1"/>
  <c r="AX419" i="1" s="1"/>
  <c r="AN420" i="1"/>
  <c r="U420" i="1"/>
  <c r="AI420" i="1"/>
  <c r="AW418" i="1"/>
  <c r="AK419" i="1"/>
  <c r="X420" i="1" l="1"/>
  <c r="Z420" i="1" s="1"/>
  <c r="AH420" i="1"/>
  <c r="AO420" i="1" s="1"/>
  <c r="AQ420" i="1" s="1"/>
  <c r="V420" i="1"/>
  <c r="AJ420" i="1" l="1"/>
  <c r="CC420" i="1" s="1"/>
  <c r="AE420" i="1"/>
  <c r="AG420" i="1" s="1"/>
  <c r="AX420" i="1" s="1"/>
  <c r="AW419" i="1" l="1"/>
  <c r="AK420" i="1"/>
  <c r="AY420" i="1"/>
  <c r="AZ420" i="1" s="1"/>
  <c r="AI421" i="1"/>
  <c r="U421" i="1"/>
  <c r="AN421" i="1"/>
  <c r="X421" i="1" l="1"/>
  <c r="Z421" i="1" s="1"/>
  <c r="AH421" i="1"/>
  <c r="AO421" i="1" s="1"/>
  <c r="AQ421" i="1" s="1"/>
  <c r="V421" i="1"/>
  <c r="AJ421" i="1" l="1"/>
  <c r="CC421" i="1" s="1"/>
  <c r="AE421" i="1"/>
  <c r="AY421" i="1" s="1"/>
  <c r="AZ421" i="1" s="1"/>
  <c r="AK421" i="1" l="1"/>
  <c r="AW420" i="1"/>
  <c r="AG421" i="1"/>
  <c r="AX421" i="1" s="1"/>
  <c r="AN422" i="1"/>
  <c r="AI422" i="1"/>
  <c r="U422" i="1"/>
  <c r="X422" i="1" l="1"/>
  <c r="Z422" i="1" s="1"/>
  <c r="AH422" i="1"/>
  <c r="AO422" i="1" s="1"/>
  <c r="AQ422" i="1" s="1"/>
  <c r="V422" i="1"/>
  <c r="AJ422" i="1" l="1"/>
  <c r="CC422" i="1" s="1"/>
  <c r="AE422" i="1"/>
  <c r="AG422" i="1" s="1"/>
  <c r="AX422" i="1" s="1"/>
  <c r="AK422" i="1" l="1"/>
  <c r="AW421" i="1"/>
  <c r="AY422" i="1"/>
  <c r="AZ422" i="1" s="1"/>
  <c r="AI423" i="1"/>
  <c r="U423" i="1"/>
  <c r="AN423" i="1"/>
  <c r="X423" i="1" l="1"/>
  <c r="Z423" i="1" s="1"/>
  <c r="AH423" i="1"/>
  <c r="AO423" i="1" s="1"/>
  <c r="AQ423" i="1" s="1"/>
  <c r="V423" i="1"/>
  <c r="AJ423" i="1" l="1"/>
  <c r="CC423" i="1" s="1"/>
  <c r="AE423" i="1"/>
  <c r="AG423" i="1" s="1"/>
  <c r="AX423" i="1" s="1"/>
  <c r="AW422" i="1" l="1"/>
  <c r="AK423" i="1"/>
  <c r="AY423" i="1"/>
  <c r="AZ423" i="1" s="1"/>
  <c r="U424" i="1"/>
  <c r="AI424" i="1"/>
  <c r="AN424" i="1"/>
  <c r="X424" i="1" l="1"/>
  <c r="Z424" i="1" s="1"/>
  <c r="AH424" i="1"/>
  <c r="AO424" i="1" s="1"/>
  <c r="AQ424" i="1" s="1"/>
  <c r="V424" i="1"/>
  <c r="AJ424" i="1" l="1"/>
  <c r="CC424" i="1" s="1"/>
  <c r="AE424" i="1"/>
  <c r="AY424" i="1" s="1"/>
  <c r="AZ424" i="1" s="1"/>
  <c r="AK424" i="1" l="1"/>
  <c r="AW423" i="1"/>
  <c r="AG424" i="1"/>
  <c r="AX424" i="1" s="1"/>
  <c r="AN425" i="1"/>
  <c r="U425" i="1"/>
  <c r="AI425" i="1"/>
  <c r="X425" i="1" l="1"/>
  <c r="Z425" i="1" s="1"/>
  <c r="AH425" i="1"/>
  <c r="AO425" i="1" s="1"/>
  <c r="AQ425" i="1" s="1"/>
  <c r="V425" i="1"/>
  <c r="AJ425" i="1" l="1"/>
  <c r="CC425" i="1" s="1"/>
  <c r="AE425" i="1"/>
  <c r="AY425" i="1" s="1"/>
  <c r="AZ425" i="1" s="1"/>
  <c r="AK425" i="1" l="1"/>
  <c r="AW424" i="1"/>
  <c r="AG425" i="1"/>
  <c r="AX425" i="1" s="1"/>
  <c r="AN426" i="1"/>
  <c r="AI426" i="1"/>
  <c r="U426" i="1"/>
  <c r="X426" i="1" l="1"/>
  <c r="Z426" i="1" s="1"/>
  <c r="AH426" i="1"/>
  <c r="AO426" i="1" s="1"/>
  <c r="AQ426" i="1" s="1"/>
  <c r="V426" i="1"/>
  <c r="AJ426" i="1" l="1"/>
  <c r="CC426" i="1" s="1"/>
  <c r="AE426" i="1"/>
  <c r="AY426" i="1" s="1"/>
  <c r="AZ426" i="1" s="1"/>
  <c r="AG426" i="1" l="1"/>
  <c r="AX426" i="1" s="1"/>
  <c r="AK426" i="1"/>
  <c r="AW425" i="1"/>
  <c r="AN427" i="1"/>
  <c r="U427" i="1"/>
  <c r="AI427" i="1"/>
  <c r="X427" i="1" l="1"/>
  <c r="Z427" i="1" s="1"/>
  <c r="AH427" i="1"/>
  <c r="AO427" i="1" s="1"/>
  <c r="AQ427" i="1" s="1"/>
  <c r="V427" i="1"/>
  <c r="AJ427" i="1" l="1"/>
  <c r="CC427" i="1" s="1"/>
  <c r="AE427" i="1"/>
  <c r="AY427" i="1" s="1"/>
  <c r="AZ427" i="1" s="1"/>
  <c r="AG427" i="1" l="1"/>
  <c r="AX427" i="1" s="1"/>
  <c r="U428" i="1"/>
  <c r="AN428" i="1"/>
  <c r="AI428" i="1"/>
  <c r="AW426" i="1"/>
  <c r="AK427" i="1"/>
  <c r="X428" i="1" l="1"/>
  <c r="Z428" i="1" s="1"/>
  <c r="AH428" i="1"/>
  <c r="AO428" i="1" s="1"/>
  <c r="AQ428" i="1" s="1"/>
  <c r="V428" i="1"/>
  <c r="AJ428" i="1" l="1"/>
  <c r="CC428" i="1" s="1"/>
  <c r="AE428" i="1"/>
  <c r="AG428" i="1" s="1"/>
  <c r="AX428" i="1" s="1"/>
  <c r="AW427" i="1" l="1"/>
  <c r="AK428" i="1"/>
  <c r="AY428" i="1"/>
  <c r="AZ428" i="1" s="1"/>
  <c r="AN429" i="1"/>
  <c r="AI429" i="1"/>
  <c r="U429" i="1"/>
  <c r="X429" i="1" l="1"/>
  <c r="Z429" i="1" s="1"/>
  <c r="AH429" i="1"/>
  <c r="AO429" i="1" s="1"/>
  <c r="AQ429" i="1" s="1"/>
  <c r="V429" i="1"/>
  <c r="AJ429" i="1" l="1"/>
  <c r="CC429" i="1" s="1"/>
  <c r="AE429" i="1"/>
  <c r="AG429" i="1" s="1"/>
  <c r="AX429" i="1" s="1"/>
  <c r="AY429" i="1" l="1"/>
  <c r="AZ429" i="1" s="1"/>
  <c r="AN430" i="1"/>
  <c r="U430" i="1"/>
  <c r="AI430" i="1"/>
  <c r="AW428" i="1"/>
  <c r="AK429" i="1"/>
  <c r="X430" i="1" l="1"/>
  <c r="Z430" i="1" s="1"/>
  <c r="AH430" i="1"/>
  <c r="AO430" i="1" s="1"/>
  <c r="AQ430" i="1" s="1"/>
  <c r="V430" i="1"/>
  <c r="AJ430" i="1" l="1"/>
  <c r="CC430" i="1" s="1"/>
  <c r="AE430" i="1"/>
  <c r="AG430" i="1" s="1"/>
  <c r="AX430" i="1" s="1"/>
  <c r="AY430" i="1" l="1"/>
  <c r="AZ430" i="1" s="1"/>
  <c r="AK430" i="1"/>
  <c r="AW429" i="1"/>
  <c r="AN431" i="1"/>
  <c r="U431" i="1"/>
  <c r="AI431" i="1"/>
  <c r="X431" i="1" l="1"/>
  <c r="Z431" i="1" s="1"/>
  <c r="V431" i="1"/>
  <c r="AH431" i="1"/>
  <c r="AJ431" i="1" s="1"/>
  <c r="CC431" i="1" l="1"/>
  <c r="AE431" i="1"/>
  <c r="AY431" i="1" s="1"/>
  <c r="AZ431" i="1" s="1"/>
  <c r="AO431" i="1"/>
  <c r="AQ431" i="1" s="1"/>
  <c r="AK431" i="1"/>
  <c r="AW430" i="1"/>
  <c r="AG431" i="1" l="1"/>
  <c r="AX431" i="1" s="1"/>
  <c r="AI432" i="1"/>
  <c r="U432" i="1"/>
  <c r="AN432" i="1"/>
  <c r="X432" i="1" l="1"/>
  <c r="Z432" i="1" s="1"/>
  <c r="AH432" i="1"/>
  <c r="AJ432" i="1" s="1"/>
  <c r="V432" i="1"/>
  <c r="AO432" i="1"/>
  <c r="AQ432" i="1" s="1"/>
  <c r="CC432" i="1" l="1"/>
  <c r="AE432" i="1"/>
  <c r="AY432" i="1" s="1"/>
  <c r="AZ432" i="1" s="1"/>
  <c r="AW431" i="1" l="1"/>
  <c r="AK432" i="1"/>
  <c r="AG432" i="1"/>
  <c r="AX432" i="1" s="1"/>
  <c r="AN433" i="1"/>
  <c r="AI433" i="1"/>
  <c r="U433" i="1"/>
  <c r="X433" i="1" l="1"/>
  <c r="Z433" i="1" s="1"/>
  <c r="AH433" i="1"/>
  <c r="AJ433" i="1" s="1"/>
  <c r="V433" i="1"/>
  <c r="AO433" i="1"/>
  <c r="AQ433" i="1" s="1"/>
  <c r="CC433" i="1" l="1"/>
  <c r="AE433" i="1"/>
  <c r="AY433" i="1" s="1"/>
  <c r="AZ433" i="1" s="1"/>
  <c r="AK433" i="1" l="1"/>
  <c r="AW432" i="1"/>
  <c r="AG433" i="1"/>
  <c r="AX433" i="1" s="1"/>
  <c r="U434" i="1"/>
  <c r="AN434" i="1"/>
  <c r="AI434" i="1"/>
  <c r="X434" i="1" l="1"/>
  <c r="Z434" i="1" s="1"/>
  <c r="AH434" i="1"/>
  <c r="AO434" i="1" s="1"/>
  <c r="AQ434" i="1" s="1"/>
  <c r="V434" i="1"/>
  <c r="AJ434" i="1" l="1"/>
  <c r="CC434" i="1" s="1"/>
  <c r="AE434" i="1"/>
  <c r="AY434" i="1" s="1"/>
  <c r="AZ434" i="1" s="1"/>
  <c r="AG434" i="1" l="1"/>
  <c r="AX434" i="1" s="1"/>
  <c r="AK434" i="1"/>
  <c r="AW433" i="1"/>
  <c r="AI435" i="1"/>
  <c r="U435" i="1"/>
  <c r="AN435" i="1"/>
  <c r="X435" i="1" l="1"/>
  <c r="Z435" i="1" s="1"/>
  <c r="AH435" i="1"/>
  <c r="AO435" i="1" s="1"/>
  <c r="AQ435" i="1" s="1"/>
  <c r="V435" i="1"/>
  <c r="AJ435" i="1" l="1"/>
  <c r="CC435" i="1" s="1"/>
  <c r="AE435" i="1"/>
  <c r="AG435" i="1" s="1"/>
  <c r="AX435" i="1" s="1"/>
  <c r="AY435" i="1" l="1"/>
  <c r="AZ435" i="1" s="1"/>
  <c r="AI436" i="1"/>
  <c r="AN436" i="1"/>
  <c r="U436" i="1"/>
  <c r="AW434" i="1"/>
  <c r="AK435" i="1"/>
  <c r="X436" i="1" l="1"/>
  <c r="Z436" i="1" s="1"/>
  <c r="V436" i="1"/>
  <c r="AH436" i="1"/>
  <c r="AO436" i="1" s="1"/>
  <c r="AQ436" i="1" s="1"/>
  <c r="AJ436" i="1" l="1"/>
  <c r="CC436" i="1" s="1"/>
  <c r="AE436" i="1"/>
  <c r="AY436" i="1" s="1"/>
  <c r="AZ436" i="1" s="1"/>
  <c r="AG436" i="1" l="1"/>
  <c r="AX436" i="1" s="1"/>
  <c r="AK436" i="1"/>
  <c r="AW435" i="1"/>
  <c r="AN437" i="1"/>
  <c r="AI437" i="1"/>
  <c r="U437" i="1"/>
  <c r="X437" i="1" l="1"/>
  <c r="Z437" i="1" s="1"/>
  <c r="AH437" i="1"/>
  <c r="AO437" i="1" s="1"/>
  <c r="AQ437" i="1" s="1"/>
  <c r="V437" i="1"/>
  <c r="AJ437" i="1" l="1"/>
  <c r="CC437" i="1" s="1"/>
  <c r="AE437" i="1"/>
  <c r="AY437" i="1" s="1"/>
  <c r="AZ437" i="1" s="1"/>
  <c r="AG437" i="1" l="1"/>
  <c r="AX437" i="1" s="1"/>
  <c r="AI438" i="1"/>
  <c r="AN438" i="1"/>
  <c r="U438" i="1"/>
  <c r="AK437" i="1"/>
  <c r="AW436" i="1"/>
  <c r="X438" i="1" l="1"/>
  <c r="Z438" i="1" s="1"/>
  <c r="AH438" i="1"/>
  <c r="AO438" i="1" s="1"/>
  <c r="AQ438" i="1" s="1"/>
  <c r="V438" i="1"/>
  <c r="AJ438" i="1" l="1"/>
  <c r="CC438" i="1" s="1"/>
  <c r="AE438" i="1"/>
  <c r="AG438" i="1" s="1"/>
  <c r="AX438" i="1" s="1"/>
  <c r="AW437" i="1" l="1"/>
  <c r="AK438" i="1"/>
  <c r="AY438" i="1"/>
  <c r="AZ438" i="1" s="1"/>
  <c r="AN439" i="1"/>
  <c r="U439" i="1"/>
  <c r="AI439" i="1"/>
  <c r="X439" i="1" l="1"/>
  <c r="Z439" i="1" s="1"/>
  <c r="AH439" i="1"/>
  <c r="AO439" i="1" s="1"/>
  <c r="AQ439" i="1" s="1"/>
  <c r="V439" i="1"/>
  <c r="AJ439" i="1" l="1"/>
  <c r="CC439" i="1" s="1"/>
  <c r="AE439" i="1"/>
  <c r="AY439" i="1" s="1"/>
  <c r="AZ439" i="1" s="1"/>
  <c r="AK439" i="1" l="1"/>
  <c r="AW438" i="1"/>
  <c r="AG439" i="1"/>
  <c r="AX439" i="1" s="1"/>
  <c r="AN440" i="1"/>
  <c r="AI440" i="1"/>
  <c r="U440" i="1"/>
  <c r="X440" i="1" l="1"/>
  <c r="Z440" i="1" s="1"/>
  <c r="AH440" i="1"/>
  <c r="AO440" i="1" s="1"/>
  <c r="AQ440" i="1" s="1"/>
  <c r="V440" i="1"/>
  <c r="AJ440" i="1" l="1"/>
  <c r="CC440" i="1" s="1"/>
  <c r="AE440" i="1"/>
  <c r="AG440" i="1" s="1"/>
  <c r="AX440" i="1" s="1"/>
  <c r="AY440" i="1" l="1"/>
  <c r="AZ440" i="1" s="1"/>
  <c r="AN441" i="1"/>
  <c r="AI441" i="1"/>
  <c r="U441" i="1"/>
  <c r="AK440" i="1"/>
  <c r="AW439" i="1"/>
  <c r="X441" i="1" l="1"/>
  <c r="Z441" i="1" s="1"/>
  <c r="AH441" i="1"/>
  <c r="AO441" i="1" s="1"/>
  <c r="AQ441" i="1" s="1"/>
  <c r="V441" i="1"/>
  <c r="AJ441" i="1" l="1"/>
  <c r="CC441" i="1" s="1"/>
  <c r="AE441" i="1"/>
  <c r="AG441" i="1" s="1"/>
  <c r="AX441" i="1" s="1"/>
  <c r="AY441" i="1" l="1"/>
  <c r="AZ441" i="1" s="1"/>
  <c r="AW440" i="1"/>
  <c r="AK441" i="1"/>
  <c r="U442" i="1"/>
  <c r="AN442" i="1"/>
  <c r="AI442" i="1"/>
  <c r="X442" i="1" l="1"/>
  <c r="Z442" i="1" s="1"/>
  <c r="V442" i="1"/>
  <c r="AH442" i="1"/>
  <c r="AO442" i="1" s="1"/>
  <c r="AQ442" i="1" s="1"/>
  <c r="AJ442" i="1" l="1"/>
  <c r="CC442" i="1" s="1"/>
  <c r="AE442" i="1"/>
  <c r="AY442" i="1" s="1"/>
  <c r="AZ442" i="1" s="1"/>
  <c r="AG442" i="1" l="1"/>
  <c r="AX442" i="1" s="1"/>
  <c r="AW441" i="1"/>
  <c r="AK442" i="1"/>
  <c r="AI443" i="1"/>
  <c r="U443" i="1"/>
  <c r="AN443" i="1"/>
  <c r="X443" i="1" l="1"/>
  <c r="Z443" i="1" s="1"/>
  <c r="AH443" i="1"/>
  <c r="AO443" i="1" s="1"/>
  <c r="AQ443" i="1" s="1"/>
  <c r="V443" i="1"/>
  <c r="AJ443" i="1" l="1"/>
  <c r="CC443" i="1" s="1"/>
  <c r="AE443" i="1"/>
  <c r="AG443" i="1" s="1"/>
  <c r="AX443" i="1" s="1"/>
  <c r="AW442" i="1" l="1"/>
  <c r="AK443" i="1"/>
  <c r="AY443" i="1"/>
  <c r="AZ443" i="1" s="1"/>
  <c r="U444" i="1"/>
  <c r="AN444" i="1"/>
  <c r="AI444" i="1"/>
  <c r="X444" i="1" l="1"/>
  <c r="Z444" i="1" s="1"/>
  <c r="AH444" i="1"/>
  <c r="AJ444" i="1" s="1"/>
  <c r="V444" i="1"/>
  <c r="AO444" i="1"/>
  <c r="AQ444" i="1" s="1"/>
  <c r="CC444" i="1" l="1"/>
  <c r="AE444" i="1"/>
  <c r="AG444" i="1" s="1"/>
  <c r="AX444" i="1" s="1"/>
  <c r="AK444" i="1" l="1"/>
  <c r="AW443" i="1"/>
  <c r="AY444" i="1"/>
  <c r="AZ444" i="1" s="1"/>
  <c r="AN445" i="1"/>
  <c r="U445" i="1"/>
  <c r="AI445" i="1"/>
  <c r="X445" i="1" l="1"/>
  <c r="Z445" i="1" s="1"/>
  <c r="AH445" i="1"/>
  <c r="AO445" i="1" s="1"/>
  <c r="AQ445" i="1" s="1"/>
  <c r="V445" i="1"/>
  <c r="AJ445" i="1" l="1"/>
  <c r="CC445" i="1" s="1"/>
  <c r="AE445" i="1"/>
  <c r="AG445" i="1" s="1"/>
  <c r="AX445" i="1" s="1"/>
  <c r="AK445" i="1" l="1"/>
  <c r="AW444" i="1"/>
  <c r="AY445" i="1"/>
  <c r="AZ445" i="1" s="1"/>
  <c r="AI446" i="1"/>
  <c r="U446" i="1"/>
  <c r="AN446" i="1"/>
  <c r="X446" i="1" l="1"/>
  <c r="Z446" i="1" s="1"/>
  <c r="AH446" i="1"/>
  <c r="AJ446" i="1" s="1"/>
  <c r="V446" i="1"/>
  <c r="AO446" i="1"/>
  <c r="AQ446" i="1" s="1"/>
  <c r="CC446" i="1" l="1"/>
  <c r="AE446" i="1"/>
  <c r="AG446" i="1" s="1"/>
  <c r="AX446" i="1" s="1"/>
  <c r="AW445" i="1" l="1"/>
  <c r="AK446" i="1"/>
  <c r="AY446" i="1"/>
  <c r="AZ446" i="1" s="1"/>
  <c r="U447" i="1"/>
  <c r="AN447" i="1"/>
  <c r="AI447" i="1"/>
  <c r="X447" i="1" l="1"/>
  <c r="Z447" i="1" s="1"/>
  <c r="V447" i="1"/>
  <c r="AH447" i="1"/>
  <c r="AO447" i="1" s="1"/>
  <c r="AQ447" i="1" s="1"/>
  <c r="AJ447" i="1" l="1"/>
  <c r="CC447" i="1" s="1"/>
  <c r="AE447" i="1"/>
  <c r="AG447" i="1" s="1"/>
  <c r="AX447" i="1" s="1"/>
  <c r="AY447" i="1" l="1"/>
  <c r="AZ447" i="1" s="1"/>
  <c r="AW446" i="1"/>
  <c r="AK447" i="1"/>
  <c r="U448" i="1"/>
  <c r="AI448" i="1"/>
  <c r="AN448" i="1"/>
  <c r="X448" i="1" l="1"/>
  <c r="Z448" i="1" s="1"/>
  <c r="AH448" i="1"/>
  <c r="AO448" i="1" s="1"/>
  <c r="AQ448" i="1" s="1"/>
  <c r="V448" i="1"/>
  <c r="AJ448" i="1" l="1"/>
  <c r="CC448" i="1" s="1"/>
  <c r="AE448" i="1"/>
  <c r="AY448" i="1" s="1"/>
  <c r="AZ448" i="1" s="1"/>
  <c r="AW447" i="1" l="1"/>
  <c r="AK448" i="1"/>
  <c r="AG448" i="1"/>
  <c r="AX448" i="1" s="1"/>
  <c r="AN449" i="1"/>
  <c r="U449" i="1"/>
  <c r="AI449" i="1"/>
  <c r="X449" i="1" l="1"/>
  <c r="Z449" i="1" s="1"/>
  <c r="AH449" i="1"/>
  <c r="AO449" i="1" s="1"/>
  <c r="AQ449" i="1" s="1"/>
  <c r="V449" i="1"/>
  <c r="AJ449" i="1" l="1"/>
  <c r="CC449" i="1" s="1"/>
  <c r="CB450" i="1"/>
  <c r="AE449" i="1"/>
  <c r="AY449" i="1" s="1"/>
  <c r="AZ449" i="1" s="1"/>
  <c r="AG449" i="1" l="1"/>
  <c r="AX449" i="1" s="1"/>
  <c r="AW448" i="1"/>
  <c r="AK449" i="1"/>
  <c r="AI450" i="1"/>
  <c r="AN450" i="1"/>
  <c r="U450" i="1"/>
  <c r="X450" i="1" l="1"/>
  <c r="Z450" i="1" s="1"/>
  <c r="AH450" i="1"/>
  <c r="AJ450" i="1" s="1"/>
  <c r="V450" i="1"/>
  <c r="AO450" i="1"/>
  <c r="AQ450" i="1" s="1"/>
  <c r="CC450" i="1" l="1"/>
  <c r="AE450" i="1"/>
  <c r="AY450" i="1" s="1"/>
  <c r="AZ450" i="1" s="1"/>
  <c r="AW449" i="1" l="1"/>
  <c r="AK450" i="1"/>
  <c r="AG450" i="1"/>
  <c r="AX450" i="1" s="1"/>
  <c r="AN451" i="1"/>
  <c r="AI451" i="1"/>
  <c r="U451" i="1"/>
  <c r="X451" i="1" l="1"/>
  <c r="Z451" i="1" s="1"/>
  <c r="AH451" i="1"/>
  <c r="AO451" i="1" s="1"/>
  <c r="AQ451" i="1" s="1"/>
  <c r="V451" i="1"/>
  <c r="AJ451" i="1" l="1"/>
  <c r="CC451" i="1" s="1"/>
  <c r="AE451" i="1"/>
  <c r="AY451" i="1" s="1"/>
  <c r="AZ451" i="1" s="1"/>
  <c r="AG451" i="1" l="1"/>
  <c r="AX451" i="1" s="1"/>
  <c r="AI452" i="1"/>
  <c r="AN452" i="1"/>
  <c r="U452" i="1"/>
  <c r="AK451" i="1"/>
  <c r="AW450" i="1"/>
  <c r="X452" i="1" l="1"/>
  <c r="Z452" i="1" s="1"/>
  <c r="AH452" i="1"/>
  <c r="AO452" i="1" s="1"/>
  <c r="AQ452" i="1" s="1"/>
  <c r="V452" i="1"/>
  <c r="AJ452" i="1" l="1"/>
  <c r="CC452" i="1" s="1"/>
  <c r="AE452" i="1"/>
  <c r="AY452" i="1" s="1"/>
  <c r="AZ452" i="1" s="1"/>
  <c r="AK452" i="1" l="1"/>
  <c r="AW451" i="1"/>
  <c r="AG452" i="1"/>
  <c r="AX452" i="1" s="1"/>
  <c r="AI453" i="1"/>
  <c r="U453" i="1"/>
  <c r="AN453" i="1"/>
  <c r="X453" i="1" l="1"/>
  <c r="Z453" i="1" s="1"/>
  <c r="AH453" i="1"/>
  <c r="AO453" i="1" s="1"/>
  <c r="AQ453" i="1" s="1"/>
  <c r="V453" i="1"/>
  <c r="AJ453" i="1" l="1"/>
  <c r="CC453" i="1" s="1"/>
  <c r="AE453" i="1"/>
  <c r="AG453" i="1" s="1"/>
  <c r="AX453" i="1" s="1"/>
  <c r="AW452" i="1" l="1"/>
  <c r="AK453" i="1"/>
  <c r="AY453" i="1"/>
  <c r="AZ453" i="1" s="1"/>
  <c r="U454" i="1"/>
  <c r="AN454" i="1"/>
  <c r="AI454" i="1"/>
  <c r="X454" i="1" l="1"/>
  <c r="Z454" i="1" s="1"/>
  <c r="AH454" i="1"/>
  <c r="AO454" i="1" s="1"/>
  <c r="AQ454" i="1" s="1"/>
  <c r="V454" i="1"/>
  <c r="AJ454" i="1" l="1"/>
  <c r="CC454" i="1" s="1"/>
  <c r="AE454" i="1"/>
  <c r="AY454" i="1" s="1"/>
  <c r="AZ454" i="1" s="1"/>
  <c r="AG454" i="1" l="1"/>
  <c r="AX454" i="1" s="1"/>
  <c r="AK454" i="1"/>
  <c r="AW453" i="1"/>
  <c r="AN455" i="1"/>
  <c r="U455" i="1"/>
  <c r="AI455" i="1"/>
  <c r="X455" i="1" l="1"/>
  <c r="Z455" i="1" s="1"/>
  <c r="AH455" i="1"/>
  <c r="AO455" i="1" s="1"/>
  <c r="AQ455" i="1" s="1"/>
  <c r="V455" i="1"/>
  <c r="AJ455" i="1" l="1"/>
  <c r="CC455" i="1" s="1"/>
  <c r="AE455" i="1"/>
  <c r="AG455" i="1" s="1"/>
  <c r="AX455" i="1" s="1"/>
  <c r="AK455" i="1" l="1"/>
  <c r="AW454" i="1"/>
  <c r="AY455" i="1"/>
  <c r="AZ455" i="1" s="1"/>
  <c r="AI456" i="1"/>
  <c r="U456" i="1"/>
  <c r="AN456" i="1"/>
  <c r="X456" i="1" l="1"/>
  <c r="Z456" i="1" s="1"/>
  <c r="AH456" i="1"/>
  <c r="AJ456" i="1" s="1"/>
  <c r="V456" i="1"/>
  <c r="CC456" i="1" l="1"/>
  <c r="AE456" i="1"/>
  <c r="AY456" i="1" s="1"/>
  <c r="AZ456" i="1" s="1"/>
  <c r="AO456" i="1"/>
  <c r="AQ456" i="1" s="1"/>
  <c r="AW455" i="1" l="1"/>
  <c r="AK456" i="1"/>
  <c r="AG456" i="1"/>
  <c r="AX456" i="1" s="1"/>
  <c r="AI457" i="1"/>
  <c r="U457" i="1"/>
  <c r="AN457" i="1"/>
  <c r="X457" i="1" l="1"/>
  <c r="Z457" i="1" s="1"/>
  <c r="AH457" i="1"/>
  <c r="AO457" i="1" s="1"/>
  <c r="AQ457" i="1" s="1"/>
  <c r="V457" i="1"/>
  <c r="AJ457" i="1" l="1"/>
  <c r="CC457" i="1" s="1"/>
  <c r="AE457" i="1"/>
  <c r="AG457" i="1" s="1"/>
  <c r="AX457" i="1" s="1"/>
  <c r="AK457" i="1" l="1"/>
  <c r="AW456" i="1"/>
  <c r="AY457" i="1"/>
  <c r="AZ457" i="1" s="1"/>
  <c r="AN458" i="1"/>
  <c r="U458" i="1"/>
  <c r="AI458" i="1"/>
  <c r="X458" i="1" l="1"/>
  <c r="Z458" i="1" s="1"/>
  <c r="AH458" i="1"/>
  <c r="AO458" i="1" s="1"/>
  <c r="AQ458" i="1" s="1"/>
  <c r="V458" i="1"/>
  <c r="AJ458" i="1" l="1"/>
  <c r="CC458" i="1" s="1"/>
  <c r="AE458" i="1"/>
  <c r="AY458" i="1" s="1"/>
  <c r="AZ458" i="1" s="1"/>
  <c r="AW457" i="1" l="1"/>
  <c r="AK458" i="1"/>
  <c r="AG458" i="1"/>
  <c r="AX458" i="1" s="1"/>
  <c r="AI459" i="1"/>
  <c r="U459" i="1"/>
  <c r="AN459" i="1"/>
  <c r="X459" i="1" l="1"/>
  <c r="Z459" i="1" s="1"/>
  <c r="AH459" i="1"/>
  <c r="AO459" i="1" s="1"/>
  <c r="AQ459" i="1" s="1"/>
  <c r="V459" i="1"/>
  <c r="AJ459" i="1" l="1"/>
  <c r="CC459" i="1" s="1"/>
  <c r="AE459" i="1"/>
  <c r="AG459" i="1" s="1"/>
  <c r="AX459" i="1" s="1"/>
  <c r="AY459" i="1" l="1"/>
  <c r="AZ459" i="1" s="1"/>
  <c r="AW458" i="1"/>
  <c r="AK459" i="1"/>
  <c r="AN460" i="1"/>
  <c r="U460" i="1"/>
  <c r="AI460" i="1"/>
  <c r="X460" i="1" l="1"/>
  <c r="Z460" i="1" s="1"/>
  <c r="V460" i="1"/>
  <c r="AH460" i="1"/>
  <c r="AO460" i="1" s="1"/>
  <c r="AQ460" i="1" s="1"/>
  <c r="AJ460" i="1" l="1"/>
  <c r="AE460" i="1"/>
  <c r="AY460" i="1" s="1"/>
  <c r="AZ460" i="1" s="1"/>
  <c r="AG460" i="1" l="1"/>
  <c r="AX460" i="1" s="1"/>
  <c r="AW459" i="1"/>
  <c r="CC460" i="1"/>
  <c r="AK460" i="1"/>
  <c r="AI461" i="1"/>
  <c r="AN461" i="1"/>
  <c r="U461" i="1"/>
  <c r="X461" i="1" l="1"/>
  <c r="Z461" i="1" s="1"/>
  <c r="AH461" i="1"/>
  <c r="AO461" i="1" s="1"/>
  <c r="AQ461" i="1" s="1"/>
  <c r="V461" i="1"/>
  <c r="AJ461" i="1" l="1"/>
  <c r="CC461" i="1" s="1"/>
  <c r="AE461" i="1"/>
  <c r="AY461" i="1" s="1"/>
  <c r="AZ461" i="1" s="1"/>
  <c r="AG461" i="1" l="1"/>
  <c r="AX461" i="1" s="1"/>
  <c r="AK461" i="1"/>
  <c r="AW460" i="1"/>
  <c r="U462" i="1"/>
  <c r="AI462" i="1"/>
  <c r="AN462" i="1"/>
  <c r="X462" i="1" l="1"/>
  <c r="Z462" i="1" s="1"/>
  <c r="AH462" i="1"/>
  <c r="AO462" i="1" s="1"/>
  <c r="AQ462" i="1" s="1"/>
  <c r="V462" i="1"/>
  <c r="AJ462" i="1" l="1"/>
  <c r="CC462" i="1" s="1"/>
  <c r="AE462" i="1"/>
  <c r="AY462" i="1" s="1"/>
  <c r="AZ462" i="1" s="1"/>
  <c r="AG462" i="1" l="1"/>
  <c r="AX462" i="1" s="1"/>
  <c r="AI463" i="1"/>
  <c r="U463" i="1"/>
  <c r="AN463" i="1"/>
  <c r="AW461" i="1"/>
  <c r="AK462" i="1"/>
  <c r="X463" i="1" l="1"/>
  <c r="Z463" i="1" s="1"/>
  <c r="AH463" i="1"/>
  <c r="AO463" i="1" s="1"/>
  <c r="AQ463" i="1" s="1"/>
  <c r="V463" i="1"/>
  <c r="AJ463" i="1" l="1"/>
  <c r="CC463" i="1" s="1"/>
  <c r="AE463" i="1"/>
  <c r="AY463" i="1" s="1"/>
  <c r="AZ463" i="1" s="1"/>
  <c r="AG463" i="1" l="1"/>
  <c r="AX463" i="1" s="1"/>
  <c r="AW462" i="1"/>
  <c r="AK463" i="1"/>
  <c r="U464" i="1"/>
  <c r="AI464" i="1"/>
  <c r="AN464" i="1"/>
  <c r="X464" i="1" l="1"/>
  <c r="Z464" i="1" s="1"/>
  <c r="AH464" i="1"/>
  <c r="AO464" i="1" s="1"/>
  <c r="AQ464" i="1" s="1"/>
  <c r="V464" i="1"/>
  <c r="AJ464" i="1" l="1"/>
  <c r="CC464" i="1" s="1"/>
  <c r="AE464" i="1"/>
  <c r="AY464" i="1" s="1"/>
  <c r="AZ464" i="1" s="1"/>
  <c r="AG464" i="1" l="1"/>
  <c r="AX464" i="1" s="1"/>
  <c r="AI465" i="1"/>
  <c r="U465" i="1"/>
  <c r="AN465" i="1"/>
  <c r="AW463" i="1"/>
  <c r="AK464" i="1"/>
  <c r="X465" i="1" l="1"/>
  <c r="Z465" i="1" s="1"/>
  <c r="V465" i="1"/>
  <c r="AH465" i="1"/>
  <c r="AJ465" i="1" s="1"/>
  <c r="CC465" i="1" l="1"/>
  <c r="AE465" i="1"/>
  <c r="AG465" i="1" s="1"/>
  <c r="AX465" i="1" s="1"/>
  <c r="AK465" i="1"/>
  <c r="AW464" i="1"/>
  <c r="AO465" i="1"/>
  <c r="AQ465" i="1" s="1"/>
  <c r="AY465" i="1" l="1"/>
  <c r="AZ465" i="1" s="1"/>
  <c r="AN466" i="1"/>
  <c r="AI466" i="1"/>
  <c r="U466" i="1"/>
  <c r="X466" i="1" l="1"/>
  <c r="Z466" i="1" s="1"/>
  <c r="AH466" i="1"/>
  <c r="AJ466" i="1" s="1"/>
  <c r="V466" i="1"/>
  <c r="CC466" i="1" l="1"/>
  <c r="AE466" i="1"/>
  <c r="AG466" i="1" s="1"/>
  <c r="AX466" i="1" s="1"/>
  <c r="AO466" i="1"/>
  <c r="AQ466" i="1" s="1"/>
  <c r="AW465" i="1" l="1"/>
  <c r="AK466" i="1"/>
  <c r="AY466" i="1"/>
  <c r="AZ466" i="1" s="1"/>
  <c r="U467" i="1"/>
  <c r="AN467" i="1"/>
  <c r="AI467" i="1"/>
  <c r="X467" i="1" l="1"/>
  <c r="Z467" i="1" s="1"/>
  <c r="V467" i="1"/>
  <c r="AH467" i="1"/>
  <c r="AO467" i="1" s="1"/>
  <c r="AQ467" i="1" s="1"/>
  <c r="AJ467" i="1" l="1"/>
  <c r="CC467" i="1" s="1"/>
  <c r="AE467" i="1"/>
  <c r="AG467" i="1" s="1"/>
  <c r="AX467" i="1" s="1"/>
  <c r="AY467" i="1" l="1"/>
  <c r="AZ467" i="1" s="1"/>
  <c r="AI468" i="1"/>
  <c r="U468" i="1"/>
  <c r="AN468" i="1"/>
  <c r="AW466" i="1"/>
  <c r="AK467" i="1"/>
  <c r="X468" i="1" l="1"/>
  <c r="Z468" i="1" s="1"/>
  <c r="AH468" i="1"/>
  <c r="AO468" i="1" s="1"/>
  <c r="AQ468" i="1" s="1"/>
  <c r="V468" i="1"/>
  <c r="AJ468" i="1" l="1"/>
  <c r="CC468" i="1" s="1"/>
  <c r="AE468" i="1"/>
  <c r="AY468" i="1" s="1"/>
  <c r="AZ468" i="1" s="1"/>
  <c r="AW467" i="1" l="1"/>
  <c r="AK468" i="1"/>
  <c r="AG468" i="1"/>
  <c r="AX468" i="1" s="1"/>
  <c r="AI469" i="1"/>
  <c r="AN469" i="1"/>
  <c r="U469" i="1"/>
  <c r="X469" i="1" l="1"/>
  <c r="Z469" i="1" s="1"/>
  <c r="AH469" i="1"/>
  <c r="AJ469" i="1" s="1"/>
  <c r="V469" i="1"/>
  <c r="AO469" i="1"/>
  <c r="AQ469" i="1" s="1"/>
  <c r="CC469" i="1" l="1"/>
  <c r="AE469" i="1"/>
  <c r="AY469" i="1" s="1"/>
  <c r="AZ469" i="1" s="1"/>
  <c r="AK469" i="1" l="1"/>
  <c r="AW468" i="1"/>
  <c r="AG469" i="1"/>
  <c r="AX469" i="1" s="1"/>
  <c r="U470" i="1"/>
  <c r="AI470" i="1"/>
  <c r="AN470" i="1"/>
  <c r="X470" i="1" l="1"/>
  <c r="Z470" i="1" s="1"/>
  <c r="AH470" i="1"/>
  <c r="AO470" i="1" s="1"/>
  <c r="AQ470" i="1" s="1"/>
  <c r="V470" i="1"/>
  <c r="AJ470" i="1" l="1"/>
  <c r="CC470" i="1" s="1"/>
  <c r="AE470" i="1"/>
  <c r="AY470" i="1" s="1"/>
  <c r="AZ470" i="1" s="1"/>
  <c r="AK470" i="1" l="1"/>
  <c r="AW469" i="1"/>
  <c r="AG470" i="1"/>
  <c r="AX470" i="1" s="1"/>
  <c r="U471" i="1"/>
  <c r="AI471" i="1"/>
  <c r="AN471" i="1"/>
  <c r="X471" i="1" l="1"/>
  <c r="Z471" i="1" s="1"/>
  <c r="V471" i="1"/>
  <c r="AH471" i="1"/>
  <c r="AJ471" i="1" s="1"/>
  <c r="CC471" i="1" l="1"/>
  <c r="AE471" i="1"/>
  <c r="AG471" i="1" s="1"/>
  <c r="AX471" i="1" s="1"/>
  <c r="AK471" i="1"/>
  <c r="AW470" i="1"/>
  <c r="AO471" i="1"/>
  <c r="AQ471" i="1" s="1"/>
  <c r="AY471" i="1" l="1"/>
  <c r="AZ471" i="1" s="1"/>
  <c r="AI472" i="1"/>
  <c r="U472" i="1"/>
  <c r="AN472" i="1"/>
  <c r="X472" i="1" l="1"/>
  <c r="Z472" i="1" s="1"/>
  <c r="AH472" i="1"/>
  <c r="AJ472" i="1" s="1"/>
  <c r="V472" i="1"/>
  <c r="CC472" i="1" l="1"/>
  <c r="AE472" i="1"/>
  <c r="AY472" i="1" s="1"/>
  <c r="AZ472" i="1" s="1"/>
  <c r="AO472" i="1"/>
  <c r="AQ472" i="1" s="1"/>
  <c r="AK472" i="1" l="1"/>
  <c r="AW471" i="1"/>
  <c r="AG472" i="1"/>
  <c r="AX472" i="1" s="1"/>
  <c r="U473" i="1"/>
  <c r="AI473" i="1"/>
  <c r="AN473" i="1"/>
  <c r="X473" i="1" l="1"/>
  <c r="Z473" i="1" s="1"/>
  <c r="AH473" i="1"/>
  <c r="AO473" i="1" s="1"/>
  <c r="AQ473" i="1" s="1"/>
  <c r="V473" i="1"/>
  <c r="AJ473" i="1" l="1"/>
  <c r="CC473" i="1" s="1"/>
  <c r="AE473" i="1"/>
  <c r="AG473" i="1" s="1"/>
  <c r="AX473" i="1" s="1"/>
  <c r="AW472" i="1" l="1"/>
  <c r="AK473" i="1"/>
  <c r="AY473" i="1"/>
  <c r="AZ473" i="1" s="1"/>
  <c r="U474" i="1"/>
  <c r="AN474" i="1"/>
  <c r="AI474" i="1"/>
  <c r="X474" i="1" l="1"/>
  <c r="Z474" i="1" s="1"/>
  <c r="AH474" i="1"/>
  <c r="AJ474" i="1" s="1"/>
  <c r="V474" i="1"/>
  <c r="CC474" i="1" l="1"/>
  <c r="AE474" i="1"/>
  <c r="AG474" i="1" s="1"/>
  <c r="AX474" i="1" s="1"/>
  <c r="AO474" i="1"/>
  <c r="AQ474" i="1" s="1"/>
  <c r="AK474" i="1" l="1"/>
  <c r="AW473" i="1"/>
  <c r="AY474" i="1"/>
  <c r="AZ474" i="1" s="1"/>
  <c r="AN475" i="1"/>
  <c r="AI475" i="1"/>
  <c r="U475" i="1"/>
  <c r="X475" i="1" l="1"/>
  <c r="Z475" i="1" s="1"/>
  <c r="AH475" i="1"/>
  <c r="AO475" i="1" s="1"/>
  <c r="AQ475" i="1" s="1"/>
  <c r="V475" i="1"/>
  <c r="AJ475" i="1" l="1"/>
  <c r="CC475" i="1" s="1"/>
  <c r="AE475" i="1"/>
  <c r="AG475" i="1" s="1"/>
  <c r="AX475" i="1" s="1"/>
  <c r="AY475" i="1" l="1"/>
  <c r="AZ475" i="1" s="1"/>
  <c r="AI476" i="1"/>
  <c r="U476" i="1"/>
  <c r="AN476" i="1"/>
  <c r="AW474" i="1"/>
  <c r="AK475" i="1"/>
  <c r="X476" i="1" l="1"/>
  <c r="Z476" i="1" s="1"/>
  <c r="AH476" i="1"/>
  <c r="AO476" i="1" s="1"/>
  <c r="AQ476" i="1" s="1"/>
  <c r="V476" i="1"/>
  <c r="AJ476" i="1" l="1"/>
  <c r="CC476" i="1" s="1"/>
  <c r="AE476" i="1"/>
  <c r="AG476" i="1" s="1"/>
  <c r="AX476" i="1" s="1"/>
  <c r="AW475" i="1" l="1"/>
  <c r="AK476" i="1"/>
  <c r="AY476" i="1"/>
  <c r="AZ476" i="1" s="1"/>
  <c r="AN477" i="1"/>
  <c r="U477" i="1"/>
  <c r="AI477" i="1"/>
  <c r="X477" i="1" l="1"/>
  <c r="Z477" i="1" s="1"/>
  <c r="V477" i="1"/>
  <c r="AH477" i="1"/>
  <c r="AJ477" i="1" s="1"/>
  <c r="CC477" i="1" l="1"/>
  <c r="AE477" i="1"/>
  <c r="AY477" i="1" s="1"/>
  <c r="AZ477" i="1" s="1"/>
  <c r="AO477" i="1"/>
  <c r="AQ477" i="1" s="1"/>
  <c r="AK477" i="1"/>
  <c r="AW476" i="1"/>
  <c r="AG477" i="1" l="1"/>
  <c r="AX477" i="1" s="1"/>
  <c r="U478" i="1"/>
  <c r="AI478" i="1"/>
  <c r="AN478" i="1"/>
  <c r="X478" i="1" l="1"/>
  <c r="Z478" i="1" s="1"/>
  <c r="AH478" i="1"/>
  <c r="AJ478" i="1" s="1"/>
  <c r="V478" i="1"/>
  <c r="AO478" i="1"/>
  <c r="AQ478" i="1" s="1"/>
  <c r="CC478" i="1" l="1"/>
  <c r="AE478" i="1"/>
  <c r="AY478" i="1" s="1"/>
  <c r="AZ478" i="1" s="1"/>
  <c r="AW477" i="1" l="1"/>
  <c r="AK478" i="1"/>
  <c r="AG478" i="1"/>
  <c r="AX478" i="1" s="1"/>
  <c r="AI479" i="1"/>
  <c r="U479" i="1"/>
  <c r="AN479" i="1"/>
  <c r="X479" i="1" l="1"/>
  <c r="Z479" i="1" s="1"/>
  <c r="AH479" i="1"/>
  <c r="AJ479" i="1" s="1"/>
  <c r="V479" i="1"/>
  <c r="AO479" i="1"/>
  <c r="AQ479" i="1" s="1"/>
  <c r="CC479" i="1" l="1"/>
  <c r="AE479" i="1"/>
  <c r="AG479" i="1" s="1"/>
  <c r="AX479" i="1" s="1"/>
  <c r="AK479" i="1" l="1"/>
  <c r="AW478" i="1"/>
  <c r="AY479" i="1"/>
  <c r="AZ479" i="1" s="1"/>
  <c r="AN480" i="1"/>
  <c r="AI480" i="1"/>
  <c r="U480" i="1"/>
  <c r="X480" i="1" l="1"/>
  <c r="Z480" i="1" s="1"/>
  <c r="AH480" i="1"/>
  <c r="AJ480" i="1" s="1"/>
  <c r="V480" i="1"/>
  <c r="CC480" i="1" l="1"/>
  <c r="AE480" i="1"/>
  <c r="AY480" i="1" s="1"/>
  <c r="AZ480" i="1" s="1"/>
  <c r="AO480" i="1"/>
  <c r="AQ480" i="1" s="1"/>
  <c r="AK480" i="1" l="1"/>
  <c r="AW479" i="1"/>
  <c r="AG480" i="1"/>
  <c r="AX480" i="1" s="1"/>
  <c r="AI481" i="1"/>
  <c r="U481" i="1"/>
  <c r="AN481" i="1"/>
  <c r="X481" i="1" l="1"/>
  <c r="Z481" i="1" s="1"/>
  <c r="AH481" i="1"/>
  <c r="AO481" i="1" s="1"/>
  <c r="AQ481" i="1" s="1"/>
  <c r="V481" i="1"/>
  <c r="AJ481" i="1" l="1"/>
  <c r="CC481" i="1" s="1"/>
  <c r="AE481" i="1"/>
  <c r="AG481" i="1" s="1"/>
  <c r="AX481" i="1" s="1"/>
  <c r="AW480" i="1" l="1"/>
  <c r="AK481" i="1"/>
  <c r="AY481" i="1"/>
  <c r="AZ481" i="1" s="1"/>
  <c r="AI482" i="1"/>
  <c r="U482" i="1"/>
  <c r="AN482" i="1"/>
  <c r="X482" i="1" l="1"/>
  <c r="Z482" i="1" s="1"/>
  <c r="AH482" i="1"/>
  <c r="AO482" i="1" s="1"/>
  <c r="AQ482" i="1" s="1"/>
  <c r="V482" i="1"/>
  <c r="AJ482" i="1" l="1"/>
  <c r="CC482" i="1" s="1"/>
  <c r="AE482" i="1"/>
  <c r="AG482" i="1" s="1"/>
  <c r="AX482" i="1" s="1"/>
  <c r="AW481" i="1" l="1"/>
  <c r="AK482" i="1"/>
  <c r="AY482" i="1"/>
  <c r="AZ482" i="1" s="1"/>
  <c r="AN483" i="1"/>
  <c r="U483" i="1"/>
  <c r="AI483" i="1"/>
  <c r="X483" i="1" l="1"/>
  <c r="Z483" i="1" s="1"/>
  <c r="AH483" i="1"/>
  <c r="AO483" i="1" s="1"/>
  <c r="AQ483" i="1" s="1"/>
  <c r="V483" i="1"/>
  <c r="AJ483" i="1" l="1"/>
  <c r="CC483" i="1" s="1"/>
  <c r="AE483" i="1"/>
  <c r="AG483" i="1" s="1"/>
  <c r="AX483" i="1" s="1"/>
  <c r="AK483" i="1" l="1"/>
  <c r="AW482" i="1"/>
  <c r="AY483" i="1"/>
  <c r="AZ483" i="1" s="1"/>
  <c r="AI484" i="1"/>
  <c r="U484" i="1"/>
  <c r="AN484" i="1"/>
  <c r="X484" i="1" l="1"/>
  <c r="Z484" i="1" s="1"/>
  <c r="V484" i="1"/>
  <c r="AH484" i="1"/>
  <c r="AO484" i="1" s="1"/>
  <c r="AQ484" i="1" s="1"/>
  <c r="AJ484" i="1" l="1"/>
  <c r="CC484" i="1" s="1"/>
  <c r="AE484" i="1"/>
  <c r="AY484" i="1" s="1"/>
  <c r="AZ484" i="1" s="1"/>
  <c r="AG484" i="1" l="1"/>
  <c r="AX484" i="1" s="1"/>
  <c r="AW483" i="1"/>
  <c r="AK484" i="1"/>
  <c r="AI485" i="1"/>
  <c r="U485" i="1"/>
  <c r="AN485" i="1"/>
  <c r="X485" i="1" l="1"/>
  <c r="Z485" i="1" s="1"/>
  <c r="V485" i="1"/>
  <c r="AH485" i="1"/>
  <c r="AJ485" i="1" s="1"/>
  <c r="CC485" i="1" l="1"/>
  <c r="AE485" i="1"/>
  <c r="AY485" i="1" s="1"/>
  <c r="AZ485" i="1" s="1"/>
  <c r="AO485" i="1"/>
  <c r="AQ485" i="1" s="1"/>
  <c r="AK485" i="1"/>
  <c r="AW484" i="1"/>
  <c r="AG485" i="1" l="1"/>
  <c r="AX485" i="1" s="1"/>
  <c r="AN486" i="1"/>
  <c r="AI486" i="1"/>
  <c r="U486" i="1"/>
  <c r="X486" i="1" l="1"/>
  <c r="Z486" i="1" s="1"/>
  <c r="AH486" i="1"/>
  <c r="AO486" i="1" s="1"/>
  <c r="AQ486" i="1" s="1"/>
  <c r="V486" i="1"/>
  <c r="AJ486" i="1" l="1"/>
  <c r="CC486" i="1" s="1"/>
  <c r="AE486" i="1"/>
  <c r="AY486" i="1" s="1"/>
  <c r="AZ486" i="1" s="1"/>
  <c r="AW485" i="1" l="1"/>
  <c r="AK486" i="1"/>
  <c r="AG486" i="1"/>
  <c r="AX486" i="1" s="1"/>
  <c r="AN487" i="1"/>
  <c r="AI487" i="1"/>
  <c r="U487" i="1"/>
  <c r="X487" i="1" l="1"/>
  <c r="Z487" i="1" s="1"/>
  <c r="AH487" i="1"/>
  <c r="AO487" i="1" s="1"/>
  <c r="AQ487" i="1" s="1"/>
  <c r="V487" i="1"/>
  <c r="CB488" i="1" s="1"/>
  <c r="AJ487" i="1" l="1"/>
  <c r="CC487" i="1" s="1"/>
  <c r="AE487" i="1"/>
  <c r="AG487" i="1" s="1"/>
  <c r="AX487" i="1" s="1"/>
  <c r="AY487" i="1" l="1"/>
  <c r="AZ487" i="1" s="1"/>
  <c r="AW486" i="1"/>
  <c r="AK487" i="1"/>
  <c r="AI488" i="1"/>
  <c r="AN488" i="1"/>
  <c r="U488" i="1"/>
  <c r="X488" i="1" l="1"/>
  <c r="Z488" i="1" s="1"/>
  <c r="AH488" i="1"/>
  <c r="AO488" i="1" s="1"/>
  <c r="AQ488" i="1" s="1"/>
  <c r="V488" i="1"/>
  <c r="AJ488" i="1" l="1"/>
  <c r="CC488" i="1" s="1"/>
  <c r="AE488" i="1"/>
  <c r="AG488" i="1" s="1"/>
  <c r="AX488" i="1" s="1"/>
  <c r="AY488" i="1" l="1"/>
  <c r="AZ488" i="1" s="1"/>
  <c r="AN489" i="1"/>
  <c r="U489" i="1"/>
  <c r="AI489" i="1"/>
  <c r="AW487" i="1"/>
  <c r="AK488" i="1"/>
  <c r="X489" i="1" l="1"/>
  <c r="Z489" i="1" s="1"/>
  <c r="AH489" i="1"/>
  <c r="AO489" i="1" s="1"/>
  <c r="AQ489" i="1" s="1"/>
  <c r="V489" i="1"/>
  <c r="AJ489" i="1" l="1"/>
  <c r="CC489" i="1" s="1"/>
  <c r="AE489" i="1"/>
  <c r="AG489" i="1" s="1"/>
  <c r="AX489" i="1" s="1"/>
  <c r="AY489" i="1" l="1"/>
  <c r="AZ489" i="1" s="1"/>
  <c r="U490" i="1"/>
  <c r="AN490" i="1"/>
  <c r="AI490" i="1"/>
  <c r="AW488" i="1"/>
  <c r="AK489" i="1"/>
  <c r="X490" i="1" l="1"/>
  <c r="Z490" i="1" s="1"/>
  <c r="AH490" i="1"/>
  <c r="AO490" i="1" s="1"/>
  <c r="AQ490" i="1" s="1"/>
  <c r="V490" i="1"/>
  <c r="AJ490" i="1" l="1"/>
  <c r="CC490" i="1" s="1"/>
  <c r="AE490" i="1"/>
  <c r="AG490" i="1" s="1"/>
  <c r="AX490" i="1" s="1"/>
  <c r="AK490" i="1" l="1"/>
  <c r="AW489" i="1"/>
  <c r="AY490" i="1"/>
  <c r="AZ490" i="1" s="1"/>
  <c r="AI491" i="1"/>
  <c r="U491" i="1"/>
  <c r="AN491" i="1"/>
  <c r="X491" i="1" l="1"/>
  <c r="Z491" i="1" s="1"/>
  <c r="AH491" i="1"/>
  <c r="AJ491" i="1" s="1"/>
  <c r="V491" i="1"/>
  <c r="AO491" i="1"/>
  <c r="AQ491" i="1" s="1"/>
  <c r="CC491" i="1" l="1"/>
  <c r="AE491" i="1"/>
  <c r="AG491" i="1" s="1"/>
  <c r="AX491" i="1" s="1"/>
  <c r="AW490" i="1" l="1"/>
  <c r="AK491" i="1"/>
  <c r="AY491" i="1"/>
  <c r="AZ491" i="1" s="1"/>
  <c r="AI492" i="1"/>
  <c r="U492" i="1"/>
  <c r="AN492" i="1"/>
  <c r="X492" i="1" l="1"/>
  <c r="Z492" i="1" s="1"/>
  <c r="AH492" i="1"/>
  <c r="AO492" i="1" s="1"/>
  <c r="AQ492" i="1" s="1"/>
  <c r="V492" i="1"/>
  <c r="AJ492" i="1" l="1"/>
  <c r="CC492" i="1" s="1"/>
  <c r="AE492" i="1"/>
  <c r="AG492" i="1" s="1"/>
  <c r="AX492" i="1" s="1"/>
  <c r="AK492" i="1" l="1"/>
  <c r="AW491" i="1"/>
  <c r="AY492" i="1"/>
  <c r="AZ492" i="1" s="1"/>
  <c r="AI493" i="1"/>
  <c r="U493" i="1"/>
  <c r="AN493" i="1"/>
  <c r="X493" i="1" l="1"/>
  <c r="Z493" i="1" s="1"/>
  <c r="AH493" i="1"/>
  <c r="AJ493" i="1" s="1"/>
  <c r="V493" i="1"/>
  <c r="AO493" i="1"/>
  <c r="AQ493" i="1" s="1"/>
  <c r="CC493" i="1" l="1"/>
  <c r="AE493" i="1"/>
  <c r="AG493" i="1" s="1"/>
  <c r="AX493" i="1" s="1"/>
  <c r="AW492" i="1" l="1"/>
  <c r="AK493" i="1"/>
  <c r="AY493" i="1"/>
  <c r="AZ493" i="1" s="1"/>
  <c r="AN494" i="1"/>
  <c r="U494" i="1"/>
  <c r="AI494" i="1"/>
  <c r="X494" i="1" l="1"/>
  <c r="Z494" i="1" s="1"/>
  <c r="AH494" i="1"/>
  <c r="AJ494" i="1" s="1"/>
  <c r="V494" i="1"/>
  <c r="CC494" i="1" l="1"/>
  <c r="AE494" i="1"/>
  <c r="AG494" i="1" s="1"/>
  <c r="AX494" i="1" s="1"/>
  <c r="AO494" i="1"/>
  <c r="AQ494" i="1" s="1"/>
  <c r="AW493" i="1" l="1"/>
  <c r="AK494" i="1"/>
  <c r="AY494" i="1"/>
  <c r="AZ494" i="1" s="1"/>
  <c r="AN495" i="1"/>
  <c r="AI495" i="1"/>
  <c r="U495" i="1"/>
  <c r="X495" i="1" l="1"/>
  <c r="Z495" i="1" s="1"/>
  <c r="AH495" i="1"/>
  <c r="AO495" i="1" s="1"/>
  <c r="AQ495" i="1" s="1"/>
  <c r="V495" i="1"/>
  <c r="AJ495" i="1" l="1"/>
  <c r="CC495" i="1" s="1"/>
  <c r="CB496" i="1"/>
  <c r="AE495" i="1"/>
  <c r="AY495" i="1" s="1"/>
  <c r="AZ495" i="1" s="1"/>
  <c r="AG495" i="1" l="1"/>
  <c r="AX495" i="1" s="1"/>
  <c r="AW494" i="1"/>
  <c r="AK495" i="1"/>
  <c r="AN496" i="1"/>
  <c r="U496" i="1"/>
  <c r="AI496" i="1"/>
  <c r="X496" i="1" l="1"/>
  <c r="Z496" i="1" s="1"/>
  <c r="AH496" i="1"/>
  <c r="AJ496" i="1" s="1"/>
  <c r="V496" i="1"/>
  <c r="CC496" i="1" l="1"/>
  <c r="AE496" i="1"/>
  <c r="AY496" i="1" s="1"/>
  <c r="AZ496" i="1" s="1"/>
  <c r="AO496" i="1"/>
  <c r="AQ496" i="1" s="1"/>
  <c r="AW495" i="1" l="1"/>
  <c r="AK496" i="1"/>
  <c r="AG496" i="1"/>
  <c r="AX496" i="1" s="1"/>
  <c r="U497" i="1"/>
  <c r="AI497" i="1"/>
  <c r="AN497" i="1"/>
  <c r="X497" i="1" l="1"/>
  <c r="Z497" i="1" s="1"/>
  <c r="AH497" i="1"/>
  <c r="AO497" i="1" s="1"/>
  <c r="AQ497" i="1" s="1"/>
  <c r="V497" i="1"/>
  <c r="AJ497" i="1" l="1"/>
  <c r="AE497" i="1"/>
  <c r="AG497" i="1" s="1"/>
  <c r="AX497" i="1" s="1"/>
  <c r="AY497" i="1" l="1"/>
  <c r="AZ497" i="1" s="1"/>
  <c r="AK497" i="1"/>
  <c r="CC497" i="1"/>
  <c r="AW496" i="1"/>
  <c r="AN498" i="1"/>
  <c r="AI498" i="1"/>
  <c r="U498" i="1"/>
  <c r="X498" i="1" l="1"/>
  <c r="Z498" i="1" s="1"/>
  <c r="AH498" i="1"/>
  <c r="AJ498" i="1" s="1"/>
  <c r="V498" i="1"/>
  <c r="CC498" i="1" l="1"/>
  <c r="AE498" i="1"/>
  <c r="AY498" i="1" s="1"/>
  <c r="AZ498" i="1" s="1"/>
  <c r="AO498" i="1"/>
  <c r="AQ498" i="1" s="1"/>
  <c r="AK498" i="1" l="1"/>
  <c r="AW497" i="1"/>
  <c r="AG498" i="1"/>
  <c r="AX498" i="1" s="1"/>
  <c r="AI499" i="1"/>
  <c r="U499" i="1"/>
  <c r="AN499" i="1"/>
  <c r="X499" i="1" l="1"/>
  <c r="Z499" i="1" s="1"/>
  <c r="AH499" i="1"/>
  <c r="AO499" i="1" s="1"/>
  <c r="AQ499" i="1" s="1"/>
  <c r="V499" i="1"/>
  <c r="AJ499" i="1" l="1"/>
  <c r="AE499" i="1"/>
  <c r="AG499" i="1" s="1"/>
  <c r="AX499" i="1" s="1"/>
  <c r="AY499" i="1" l="1"/>
  <c r="AZ499" i="1" s="1"/>
  <c r="AW498" i="1"/>
  <c r="CC499" i="1"/>
  <c r="AK499" i="1"/>
  <c r="AI500" i="1"/>
  <c r="AN500" i="1"/>
  <c r="U500" i="1"/>
  <c r="X500" i="1" l="1"/>
  <c r="Z500" i="1" s="1"/>
  <c r="AH500" i="1"/>
  <c r="AO500" i="1" s="1"/>
  <c r="AQ500" i="1" s="1"/>
  <c r="V500" i="1"/>
  <c r="AJ500" i="1" l="1"/>
  <c r="CC500" i="1" s="1"/>
  <c r="AE500" i="1"/>
  <c r="AY500" i="1" s="1"/>
  <c r="AZ500" i="1" s="1"/>
  <c r="AW499" i="1" l="1"/>
  <c r="AK500" i="1"/>
  <c r="AG500" i="1"/>
  <c r="AX500" i="1" s="1"/>
  <c r="AN501" i="1"/>
  <c r="U501" i="1"/>
  <c r="AI501" i="1"/>
  <c r="X501" i="1" l="1"/>
  <c r="Z501" i="1" s="1"/>
  <c r="AH501" i="1"/>
  <c r="AO501" i="1" s="1"/>
  <c r="AQ501" i="1" s="1"/>
  <c r="V501" i="1"/>
  <c r="AJ501" i="1" l="1"/>
  <c r="CC501" i="1" s="1"/>
  <c r="CB502" i="1"/>
  <c r="AE501" i="1"/>
  <c r="AG501" i="1" s="1"/>
  <c r="AX501" i="1" s="1"/>
  <c r="AW500" i="1" l="1"/>
  <c r="AK501" i="1"/>
  <c r="AY501" i="1"/>
  <c r="AZ501" i="1" s="1"/>
  <c r="AI502" i="1"/>
  <c r="U502" i="1"/>
  <c r="AN502" i="1"/>
  <c r="AA27" i="1"/>
  <c r="AM30" i="1" s="1"/>
  <c r="X502" i="1" l="1"/>
  <c r="Z502" i="1" s="1"/>
  <c r="T19" i="1" a="1"/>
  <c r="T19" i="1" s="1"/>
  <c r="AH502" i="1"/>
  <c r="AO502" i="1" s="1"/>
  <c r="AQ502" i="1" s="1"/>
  <c r="V502" i="1"/>
  <c r="AJ502" i="1" l="1"/>
  <c r="CC502" i="1" s="1"/>
  <c r="AE502" i="1"/>
  <c r="AY502" i="1" l="1"/>
  <c r="AZ502" i="1" s="1"/>
  <c r="AG502" i="1"/>
  <c r="AX502" i="1" s="1"/>
  <c r="AW501" i="1"/>
  <c r="AK502" i="1"/>
  <c r="U503" i="1"/>
  <c r="AI503" i="1"/>
  <c r="AN503" i="1"/>
  <c r="AN504" i="1" l="1"/>
  <c r="AI504" i="1"/>
  <c r="U504" i="1"/>
  <c r="X504" i="1" s="1"/>
  <c r="Z504" i="1" s="1"/>
  <c r="X503" i="1"/>
  <c r="Z503" i="1" s="1"/>
  <c r="AH503" i="1"/>
  <c r="AO503" i="1" s="1"/>
  <c r="AQ503" i="1" s="1"/>
  <c r="V503" i="1"/>
  <c r="AJ503" i="1" l="1"/>
  <c r="AE503" i="1"/>
  <c r="U505" i="1"/>
  <c r="X505" i="1" s="1"/>
  <c r="Z505" i="1" s="1"/>
  <c r="AN505" i="1"/>
  <c r="AI505" i="1"/>
  <c r="AH504" i="1"/>
  <c r="AO504" i="1" s="1"/>
  <c r="AQ504" i="1" s="1"/>
  <c r="V504" i="1"/>
  <c r="AJ504" i="1" l="1"/>
  <c r="AK503" i="1"/>
  <c r="CC503" i="1"/>
  <c r="AE504" i="1"/>
  <c r="AG503" i="1"/>
  <c r="AX503" i="1" s="1"/>
  <c r="AY503" i="1"/>
  <c r="AZ503" i="1" s="1"/>
  <c r="AW502" i="1"/>
  <c r="AI506" i="1"/>
  <c r="U506" i="1"/>
  <c r="X506" i="1" s="1"/>
  <c r="Z506" i="1" s="1"/>
  <c r="AN506" i="1"/>
  <c r="V505" i="1"/>
  <c r="AH505" i="1"/>
  <c r="AO505" i="1" s="1"/>
  <c r="AQ505" i="1" s="1"/>
  <c r="AJ505" i="1" l="1"/>
  <c r="V506" i="1"/>
  <c r="AK504" i="1"/>
  <c r="CC504" i="1"/>
  <c r="AE505" i="1"/>
  <c r="AY504" i="1"/>
  <c r="AZ504" i="1" s="1"/>
  <c r="AG504" i="1"/>
  <c r="AX504" i="1" s="1"/>
  <c r="AW503" i="1"/>
  <c r="AN507" i="1"/>
  <c r="U507" i="1"/>
  <c r="X507" i="1" s="1"/>
  <c r="Z507" i="1" s="1"/>
  <c r="AI507" i="1"/>
  <c r="AH506" i="1"/>
  <c r="AO506" i="1" s="1"/>
  <c r="AQ506" i="1" s="1"/>
  <c r="CC505" i="1"/>
  <c r="AJ506" i="1" l="1"/>
  <c r="CC506" i="1" s="1"/>
  <c r="V507" i="1"/>
  <c r="AE506" i="1"/>
  <c r="AY505" i="1"/>
  <c r="AZ505" i="1" s="1"/>
  <c r="AG505" i="1"/>
  <c r="AX505" i="1" s="1"/>
  <c r="AW504" i="1"/>
  <c r="AK505" i="1"/>
  <c r="AH507" i="1"/>
  <c r="AO507" i="1" s="1"/>
  <c r="AQ507" i="1" s="1"/>
  <c r="U508" i="1"/>
  <c r="X508" i="1" s="1"/>
  <c r="Z508" i="1" s="1"/>
  <c r="AI508" i="1"/>
  <c r="AN508" i="1"/>
  <c r="AJ507" i="1" l="1"/>
  <c r="V508" i="1"/>
  <c r="AE507" i="1"/>
  <c r="AY506" i="1"/>
  <c r="AZ506" i="1" s="1"/>
  <c r="AG506" i="1"/>
  <c r="AX506" i="1" s="1"/>
  <c r="AK506" i="1"/>
  <c r="AW505" i="1"/>
  <c r="AH508" i="1"/>
  <c r="AO508" i="1" s="1"/>
  <c r="AQ508" i="1" s="1"/>
  <c r="AI509" i="1"/>
  <c r="U509" i="1"/>
  <c r="X509" i="1" s="1"/>
  <c r="Z509" i="1" s="1"/>
  <c r="AN509" i="1"/>
  <c r="AJ508" i="1" l="1"/>
  <c r="AK507" i="1"/>
  <c r="CC507" i="1"/>
  <c r="V509" i="1"/>
  <c r="AE508" i="1"/>
  <c r="AG507" i="1"/>
  <c r="AX507" i="1" s="1"/>
  <c r="AY507" i="1"/>
  <c r="AZ507" i="1" s="1"/>
  <c r="AW506" i="1"/>
  <c r="AH509" i="1"/>
  <c r="AJ509" i="1" s="1"/>
  <c r="U510" i="1"/>
  <c r="X510" i="1" s="1"/>
  <c r="Z510" i="1" s="1"/>
  <c r="AN510" i="1"/>
  <c r="AI510" i="1"/>
  <c r="AW507" i="1" l="1"/>
  <c r="CC508" i="1"/>
  <c r="AK508" i="1"/>
  <c r="AE509" i="1"/>
  <c r="AG508" i="1"/>
  <c r="AX508" i="1" s="1"/>
  <c r="AY508" i="1"/>
  <c r="AZ508" i="1" s="1"/>
  <c r="V510" i="1"/>
  <c r="AH510" i="1"/>
  <c r="AO510" i="1" s="1"/>
  <c r="AQ510" i="1" s="1"/>
  <c r="AN511" i="1"/>
  <c r="U511" i="1"/>
  <c r="X511" i="1" s="1"/>
  <c r="Z511" i="1" s="1"/>
  <c r="AI511" i="1"/>
  <c r="CC509" i="1"/>
  <c r="AO509" i="1"/>
  <c r="AQ509" i="1" s="1"/>
  <c r="AJ510" i="1" l="1"/>
  <c r="CC510" i="1" s="1"/>
  <c r="V511" i="1"/>
  <c r="AE510" i="1"/>
  <c r="AY509" i="1"/>
  <c r="AZ509" i="1" s="1"/>
  <c r="AG509" i="1"/>
  <c r="AX509" i="1" s="1"/>
  <c r="AW508" i="1"/>
  <c r="AK509" i="1"/>
  <c r="AH511" i="1"/>
  <c r="AO511" i="1" s="1"/>
  <c r="AQ511" i="1" s="1"/>
  <c r="AI512" i="1"/>
  <c r="AN512" i="1"/>
  <c r="U512" i="1"/>
  <c r="X512" i="1" s="1"/>
  <c r="Z512" i="1" s="1"/>
  <c r="AJ511" i="1" l="1"/>
  <c r="CC511" i="1" s="1"/>
  <c r="AE511" i="1"/>
  <c r="AG510" i="1"/>
  <c r="AX510" i="1" s="1"/>
  <c r="AY510" i="1"/>
  <c r="AZ510" i="1" s="1"/>
  <c r="AW509" i="1"/>
  <c r="AK510" i="1"/>
  <c r="AH512" i="1"/>
  <c r="AJ512" i="1" s="1"/>
  <c r="V512" i="1"/>
  <c r="U513" i="1"/>
  <c r="X513" i="1" s="1"/>
  <c r="Z513" i="1" s="1"/>
  <c r="AN513" i="1"/>
  <c r="AI513" i="1"/>
  <c r="AE512" i="1" l="1"/>
  <c r="AG511" i="1"/>
  <c r="AX511" i="1" s="1"/>
  <c r="AY511" i="1"/>
  <c r="AZ511" i="1" s="1"/>
  <c r="AK511" i="1"/>
  <c r="AW510" i="1"/>
  <c r="V513" i="1"/>
  <c r="AH513" i="1"/>
  <c r="AO513" i="1" s="1"/>
  <c r="AQ513" i="1" s="1"/>
  <c r="AI514" i="1"/>
  <c r="U514" i="1"/>
  <c r="X514" i="1" s="1"/>
  <c r="Z514" i="1" s="1"/>
  <c r="AN514" i="1"/>
  <c r="CC512" i="1"/>
  <c r="AO512" i="1"/>
  <c r="AQ512" i="1" s="1"/>
  <c r="AJ513" i="1" l="1"/>
  <c r="V514" i="1"/>
  <c r="AE513" i="1"/>
  <c r="AG512" i="1"/>
  <c r="AX512" i="1" s="1"/>
  <c r="AY512" i="1"/>
  <c r="AZ512" i="1" s="1"/>
  <c r="AK512" i="1"/>
  <c r="AW511" i="1"/>
  <c r="AH514" i="1"/>
  <c r="AO514" i="1" s="1"/>
  <c r="AQ514" i="1" s="1"/>
  <c r="AI515" i="1"/>
  <c r="U515" i="1"/>
  <c r="X515" i="1" s="1"/>
  <c r="Z515" i="1" s="1"/>
  <c r="AN515" i="1"/>
  <c r="AJ514" i="1" l="1"/>
  <c r="V515" i="1"/>
  <c r="AW512" i="1"/>
  <c r="CC513" i="1"/>
  <c r="AK513" i="1"/>
  <c r="AE514" i="1"/>
  <c r="AG513" i="1"/>
  <c r="AX513" i="1" s="1"/>
  <c r="AY513" i="1"/>
  <c r="AZ513" i="1" s="1"/>
  <c r="AH515" i="1"/>
  <c r="AO515" i="1" s="1"/>
  <c r="AQ515" i="1" s="1"/>
  <c r="U516" i="1"/>
  <c r="X516" i="1" s="1"/>
  <c r="Z516" i="1" s="1"/>
  <c r="AI516" i="1"/>
  <c r="AN516" i="1"/>
  <c r="AJ515" i="1" l="1"/>
  <c r="V516" i="1"/>
  <c r="AW513" i="1"/>
  <c r="CC514" i="1"/>
  <c r="AK514" i="1"/>
  <c r="AE515" i="1"/>
  <c r="AY514" i="1"/>
  <c r="AZ514" i="1" s="1"/>
  <c r="AG514" i="1"/>
  <c r="AX514" i="1" s="1"/>
  <c r="AH516" i="1"/>
  <c r="AO516" i="1" s="1"/>
  <c r="AQ516" i="1" s="1"/>
  <c r="U517" i="1"/>
  <c r="X517" i="1" s="1"/>
  <c r="Z517" i="1" s="1"/>
  <c r="AI517" i="1"/>
  <c r="AN517" i="1"/>
  <c r="CC515" i="1"/>
  <c r="AJ516" i="1" l="1"/>
  <c r="CC516" i="1" s="1"/>
  <c r="V517" i="1"/>
  <c r="AE516" i="1"/>
  <c r="AG515" i="1"/>
  <c r="AX515" i="1" s="1"/>
  <c r="AY515" i="1"/>
  <c r="AZ515" i="1" s="1"/>
  <c r="AK515" i="1"/>
  <c r="AW514" i="1"/>
  <c r="U518" i="1"/>
  <c r="X518" i="1" s="1"/>
  <c r="Z518" i="1" s="1"/>
  <c r="AN518" i="1"/>
  <c r="AI518" i="1"/>
  <c r="AH517" i="1"/>
  <c r="AO517" i="1" s="1"/>
  <c r="AQ517" i="1" s="1"/>
  <c r="AJ517" i="1" l="1"/>
  <c r="AK516" i="1"/>
  <c r="AW515" i="1"/>
  <c r="AE517" i="1"/>
  <c r="AG516" i="1"/>
  <c r="AX516" i="1" s="1"/>
  <c r="AY516" i="1"/>
  <c r="AZ516" i="1" s="1"/>
  <c r="AN519" i="1"/>
  <c r="AI519" i="1"/>
  <c r="U519" i="1"/>
  <c r="X519" i="1" s="1"/>
  <c r="Z519" i="1" s="1"/>
  <c r="AH518" i="1"/>
  <c r="AJ518" i="1" s="1"/>
  <c r="V518" i="1"/>
  <c r="AO518" i="1"/>
  <c r="AQ518" i="1" s="1"/>
  <c r="AK517" i="1" l="1"/>
  <c r="CC517" i="1"/>
  <c r="V519" i="1"/>
  <c r="AE518" i="1"/>
  <c r="AG517" i="1"/>
  <c r="AX517" i="1" s="1"/>
  <c r="AY517" i="1"/>
  <c r="AZ517" i="1" s="1"/>
  <c r="AW516" i="1"/>
  <c r="AH519" i="1"/>
  <c r="AO519" i="1" s="1"/>
  <c r="AQ519" i="1" s="1"/>
  <c r="AI520" i="1"/>
  <c r="U520" i="1"/>
  <c r="X520" i="1" s="1"/>
  <c r="Z520" i="1" s="1"/>
  <c r="AN520" i="1"/>
  <c r="CC518" i="1"/>
  <c r="AJ519" i="1" l="1"/>
  <c r="CC519" i="1" s="1"/>
  <c r="AE519" i="1"/>
  <c r="AG518" i="1"/>
  <c r="AX518" i="1" s="1"/>
  <c r="AY518" i="1"/>
  <c r="AZ518" i="1" s="1"/>
  <c r="AW517" i="1"/>
  <c r="AK518" i="1"/>
  <c r="V520" i="1"/>
  <c r="AH520" i="1"/>
  <c r="AO520" i="1" s="1"/>
  <c r="AQ520" i="1" s="1"/>
  <c r="AI521" i="1"/>
  <c r="AN521" i="1"/>
  <c r="U521" i="1"/>
  <c r="X521" i="1" s="1"/>
  <c r="Z521" i="1" s="1"/>
  <c r="AJ520" i="1" l="1"/>
  <c r="CC520" i="1" s="1"/>
  <c r="AE520" i="1"/>
  <c r="AY519" i="1"/>
  <c r="AZ519" i="1" s="1"/>
  <c r="AG519" i="1"/>
  <c r="AX519" i="1" s="1"/>
  <c r="AW518" i="1"/>
  <c r="AK519" i="1"/>
  <c r="AH521" i="1"/>
  <c r="AO521" i="1" s="1"/>
  <c r="AQ521" i="1" s="1"/>
  <c r="V521" i="1"/>
  <c r="AN522" i="1"/>
  <c r="U522" i="1"/>
  <c r="X522" i="1" s="1"/>
  <c r="Z522" i="1" s="1"/>
  <c r="AI522" i="1"/>
  <c r="AJ521" i="1" l="1"/>
  <c r="CC521" i="1" s="1"/>
  <c r="AE521" i="1"/>
  <c r="AY520" i="1"/>
  <c r="AZ520" i="1" s="1"/>
  <c r="AG520" i="1"/>
  <c r="AX520" i="1" s="1"/>
  <c r="AK520" i="1"/>
  <c r="AW519" i="1"/>
  <c r="AN523" i="1"/>
  <c r="AI523" i="1"/>
  <c r="U523" i="1"/>
  <c r="X523" i="1" s="1"/>
  <c r="Z523" i="1" s="1"/>
  <c r="AH522" i="1"/>
  <c r="AO522" i="1" s="1"/>
  <c r="AQ522" i="1" s="1"/>
  <c r="V522" i="1"/>
  <c r="AW520" i="1" l="1"/>
  <c r="AJ522" i="1"/>
  <c r="AK521" i="1"/>
  <c r="V523" i="1"/>
  <c r="AE522" i="1"/>
  <c r="AG521" i="1"/>
  <c r="AX521" i="1" s="1"/>
  <c r="AY521" i="1"/>
  <c r="AZ521" i="1" s="1"/>
  <c r="AN524" i="1"/>
  <c r="U524" i="1"/>
  <c r="X524" i="1" s="1"/>
  <c r="Z524" i="1" s="1"/>
  <c r="AI524" i="1"/>
  <c r="AH523" i="1"/>
  <c r="AO523" i="1" s="1"/>
  <c r="AQ523" i="1" s="1"/>
  <c r="AJ523" i="1" l="1"/>
  <c r="V524" i="1"/>
  <c r="AK522" i="1"/>
  <c r="CC522" i="1"/>
  <c r="AE523" i="1"/>
  <c r="AG522" i="1"/>
  <c r="AX522" i="1" s="1"/>
  <c r="AY522" i="1"/>
  <c r="AZ522" i="1" s="1"/>
  <c r="AW521" i="1"/>
  <c r="AN525" i="1"/>
  <c r="U525" i="1"/>
  <c r="X525" i="1" s="1"/>
  <c r="Z525" i="1" s="1"/>
  <c r="AI525" i="1"/>
  <c r="AH524" i="1"/>
  <c r="AO524" i="1" s="1"/>
  <c r="AQ524" i="1" s="1"/>
  <c r="AJ524" i="1" l="1"/>
  <c r="AK523" i="1"/>
  <c r="CC523" i="1"/>
  <c r="AE524" i="1"/>
  <c r="AY523" i="1"/>
  <c r="AZ523" i="1" s="1"/>
  <c r="AG523" i="1"/>
  <c r="AX523" i="1" s="1"/>
  <c r="AW522" i="1"/>
  <c r="AN526" i="1"/>
  <c r="AI526" i="1"/>
  <c r="U526" i="1"/>
  <c r="X526" i="1" s="1"/>
  <c r="Z526" i="1" s="1"/>
  <c r="V525" i="1"/>
  <c r="AH525" i="1"/>
  <c r="AO525" i="1" s="1"/>
  <c r="AQ525" i="1" s="1"/>
  <c r="AJ525" i="1" l="1"/>
  <c r="AW523" i="1"/>
  <c r="CC524" i="1"/>
  <c r="AE525" i="1"/>
  <c r="AG524" i="1"/>
  <c r="AX524" i="1" s="1"/>
  <c r="AY524" i="1"/>
  <c r="AZ524" i="1" s="1"/>
  <c r="AK524" i="1"/>
  <c r="U527" i="1"/>
  <c r="X527" i="1" s="1"/>
  <c r="Z527" i="1" s="1"/>
  <c r="AI527" i="1"/>
  <c r="AN527" i="1"/>
  <c r="AH526" i="1"/>
  <c r="AJ526" i="1" s="1"/>
  <c r="V526" i="1"/>
  <c r="CC525" i="1"/>
  <c r="CC526" i="1" l="1"/>
  <c r="AE526" i="1"/>
  <c r="AG525" i="1"/>
  <c r="AX525" i="1" s="1"/>
  <c r="AY525" i="1"/>
  <c r="AZ525" i="1" s="1"/>
  <c r="AO526" i="1"/>
  <c r="AQ526" i="1" s="1"/>
  <c r="AK526" i="1"/>
  <c r="AW525" i="1"/>
  <c r="AI528" i="1"/>
  <c r="U528" i="1"/>
  <c r="X528" i="1" s="1"/>
  <c r="Z528" i="1" s="1"/>
  <c r="AN528" i="1"/>
  <c r="AK525" i="1"/>
  <c r="AW524" i="1"/>
  <c r="V527" i="1"/>
  <c r="AH527" i="1"/>
  <c r="AO527" i="1" s="1"/>
  <c r="AQ527" i="1" s="1"/>
  <c r="AJ527" i="1" l="1"/>
  <c r="CC527" i="1" s="1"/>
  <c r="AE527" i="1"/>
  <c r="AG526" i="1"/>
  <c r="AX526" i="1" s="1"/>
  <c r="AY526" i="1"/>
  <c r="AZ526" i="1" s="1"/>
  <c r="AI529" i="1"/>
  <c r="U529" i="1"/>
  <c r="X529" i="1" s="1"/>
  <c r="Z529" i="1" s="1"/>
  <c r="AN529" i="1"/>
  <c r="AH528" i="1"/>
  <c r="AO528" i="1" s="1"/>
  <c r="AQ528" i="1" s="1"/>
  <c r="V528" i="1"/>
  <c r="AJ528" i="1" l="1"/>
  <c r="CC528" i="1" s="1"/>
  <c r="AE528" i="1"/>
  <c r="AY527" i="1"/>
  <c r="AZ527" i="1" s="1"/>
  <c r="AG527" i="1"/>
  <c r="AX527" i="1" s="1"/>
  <c r="AW526" i="1"/>
  <c r="AK527" i="1"/>
  <c r="AH529" i="1"/>
  <c r="AO529" i="1" s="1"/>
  <c r="AQ529" i="1" s="1"/>
  <c r="V529" i="1"/>
  <c r="AI530" i="1"/>
  <c r="U530" i="1"/>
  <c r="X530" i="1" s="1"/>
  <c r="Z530" i="1" s="1"/>
  <c r="AN530" i="1"/>
  <c r="AJ529" i="1" l="1"/>
  <c r="CC529" i="1" s="1"/>
  <c r="AE529" i="1"/>
  <c r="AY528" i="1"/>
  <c r="AZ528" i="1" s="1"/>
  <c r="AG528" i="1"/>
  <c r="AX528" i="1" s="1"/>
  <c r="AK528" i="1"/>
  <c r="AW527" i="1"/>
  <c r="AW528" i="1"/>
  <c r="AN531" i="1"/>
  <c r="U531" i="1"/>
  <c r="X531" i="1" s="1"/>
  <c r="Z531" i="1" s="1"/>
  <c r="AI531" i="1"/>
  <c r="V530" i="1"/>
  <c r="AH530" i="1"/>
  <c r="AO530" i="1" s="1"/>
  <c r="AQ530" i="1" s="1"/>
  <c r="AJ530" i="1" l="1"/>
  <c r="AK529" i="1"/>
  <c r="CC530" i="1"/>
  <c r="AE530" i="1"/>
  <c r="AG529" i="1"/>
  <c r="AX529" i="1" s="1"/>
  <c r="AY529" i="1"/>
  <c r="AZ529" i="1" s="1"/>
  <c r="AN532" i="1"/>
  <c r="AI532" i="1"/>
  <c r="U532" i="1"/>
  <c r="X532" i="1" s="1"/>
  <c r="Z532" i="1" s="1"/>
  <c r="AH531" i="1"/>
  <c r="AO531" i="1" s="1"/>
  <c r="AQ531" i="1" s="1"/>
  <c r="V531" i="1"/>
  <c r="AJ531" i="1" l="1"/>
  <c r="AW530" i="1" s="1"/>
  <c r="V532" i="1"/>
  <c r="AE531" i="1"/>
  <c r="AG530" i="1"/>
  <c r="AX530" i="1" s="1"/>
  <c r="AY530" i="1"/>
  <c r="AZ530" i="1" s="1"/>
  <c r="AK530" i="1"/>
  <c r="AW529" i="1"/>
  <c r="U533" i="1"/>
  <c r="X533" i="1" s="1"/>
  <c r="Z533" i="1" s="1"/>
  <c r="AI533" i="1"/>
  <c r="AN533" i="1"/>
  <c r="AH532" i="1"/>
  <c r="AO532" i="1" s="1"/>
  <c r="AQ532" i="1" s="1"/>
  <c r="AJ532" i="1" l="1"/>
  <c r="CC532" i="1" s="1"/>
  <c r="AK531" i="1"/>
  <c r="CC531" i="1"/>
  <c r="AE532" i="1"/>
  <c r="AG531" i="1"/>
  <c r="AX531" i="1" s="1"/>
  <c r="AY531" i="1"/>
  <c r="AZ531" i="1" s="1"/>
  <c r="AN534" i="1"/>
  <c r="U534" i="1"/>
  <c r="X534" i="1" s="1"/>
  <c r="Z534" i="1" s="1"/>
  <c r="AI534" i="1"/>
  <c r="AH533" i="1"/>
  <c r="AO533" i="1" s="1"/>
  <c r="AQ533" i="1" s="1"/>
  <c r="V533" i="1"/>
  <c r="AJ533" i="1" l="1"/>
  <c r="CC533" i="1" s="1"/>
  <c r="AE533" i="1"/>
  <c r="AY532" i="1"/>
  <c r="AZ532" i="1" s="1"/>
  <c r="AG532" i="1"/>
  <c r="AX532" i="1" s="1"/>
  <c r="AW531" i="1"/>
  <c r="AK532" i="1"/>
  <c r="AN535" i="1"/>
  <c r="U535" i="1"/>
  <c r="X535" i="1" s="1"/>
  <c r="Z535" i="1" s="1"/>
  <c r="AI535" i="1"/>
  <c r="AH534" i="1"/>
  <c r="AO534" i="1" s="1"/>
  <c r="AQ534" i="1" s="1"/>
  <c r="V534" i="1"/>
  <c r="AJ534" i="1" l="1"/>
  <c r="V535" i="1"/>
  <c r="AE534" i="1"/>
  <c r="AG533" i="1"/>
  <c r="AX533" i="1" s="1"/>
  <c r="AY533" i="1"/>
  <c r="AZ533" i="1" s="1"/>
  <c r="AK533" i="1"/>
  <c r="AW532" i="1"/>
  <c r="U536" i="1"/>
  <c r="X536" i="1" s="1"/>
  <c r="Z536" i="1" s="1"/>
  <c r="AN536" i="1"/>
  <c r="AI536" i="1"/>
  <c r="AH535" i="1"/>
  <c r="AJ535" i="1" s="1"/>
  <c r="AK534" i="1" l="1"/>
  <c r="CC534" i="1"/>
  <c r="AE535" i="1"/>
  <c r="AG534" i="1"/>
  <c r="AX534" i="1" s="1"/>
  <c r="AY534" i="1"/>
  <c r="AZ534" i="1" s="1"/>
  <c r="AW533" i="1"/>
  <c r="AI537" i="1"/>
  <c r="U537" i="1"/>
  <c r="X537" i="1" s="1"/>
  <c r="Z537" i="1" s="1"/>
  <c r="AN537" i="1"/>
  <c r="V536" i="1"/>
  <c r="AH536" i="1"/>
  <c r="AJ536" i="1" s="1"/>
  <c r="AO535" i="1"/>
  <c r="AQ535" i="1" s="1"/>
  <c r="V537" i="1" l="1"/>
  <c r="AW534" i="1"/>
  <c r="CC535" i="1"/>
  <c r="AE536" i="1"/>
  <c r="AG535" i="1"/>
  <c r="AX535" i="1" s="1"/>
  <c r="AY535" i="1"/>
  <c r="AZ535" i="1" s="1"/>
  <c r="AK535" i="1"/>
  <c r="AI538" i="1"/>
  <c r="AN538" i="1"/>
  <c r="U538" i="1"/>
  <c r="X538" i="1" s="1"/>
  <c r="Z538" i="1" s="1"/>
  <c r="AH537" i="1"/>
  <c r="AO537" i="1" s="1"/>
  <c r="AQ537" i="1" s="1"/>
  <c r="AO536" i="1"/>
  <c r="AQ536" i="1" s="1"/>
  <c r="AJ537" i="1" l="1"/>
  <c r="V538" i="1"/>
  <c r="AW535" i="1"/>
  <c r="CC536" i="1"/>
  <c r="AK536" i="1"/>
  <c r="AE537" i="1"/>
  <c r="AG536" i="1"/>
  <c r="AX536" i="1" s="1"/>
  <c r="AY536" i="1"/>
  <c r="AZ536" i="1" s="1"/>
  <c r="AI539" i="1"/>
  <c r="AN539" i="1"/>
  <c r="U539" i="1"/>
  <c r="X539" i="1" s="1"/>
  <c r="Z539" i="1" s="1"/>
  <c r="AH538" i="1"/>
  <c r="AO538" i="1" s="1"/>
  <c r="AQ538" i="1" s="1"/>
  <c r="AJ538" i="1" l="1"/>
  <c r="V539" i="1"/>
  <c r="AK537" i="1"/>
  <c r="CC537" i="1"/>
  <c r="AE538" i="1"/>
  <c r="AY537" i="1"/>
  <c r="AZ537" i="1" s="1"/>
  <c r="AG537" i="1"/>
  <c r="AX537" i="1" s="1"/>
  <c r="AW536" i="1"/>
  <c r="AH539" i="1"/>
  <c r="AO539" i="1" s="1"/>
  <c r="AQ539" i="1" s="1"/>
  <c r="AI540" i="1"/>
  <c r="U540" i="1"/>
  <c r="X540" i="1" s="1"/>
  <c r="Z540" i="1" s="1"/>
  <c r="AN540" i="1"/>
  <c r="CC538" i="1"/>
  <c r="AJ539" i="1" l="1"/>
  <c r="CC539" i="1" s="1"/>
  <c r="AE539" i="1"/>
  <c r="AY538" i="1"/>
  <c r="AZ538" i="1" s="1"/>
  <c r="AG538" i="1"/>
  <c r="AX538" i="1" s="1"/>
  <c r="AW537" i="1"/>
  <c r="AK538" i="1"/>
  <c r="U541" i="1"/>
  <c r="X541" i="1" s="1"/>
  <c r="Z541" i="1" s="1"/>
  <c r="AN541" i="1"/>
  <c r="AI541" i="1"/>
  <c r="AH540" i="1"/>
  <c r="AO540" i="1" s="1"/>
  <c r="AQ540" i="1" s="1"/>
  <c r="V540" i="1"/>
  <c r="AW538" i="1" l="1"/>
  <c r="AJ540" i="1"/>
  <c r="AK539" i="1"/>
  <c r="CC540" i="1"/>
  <c r="AE540" i="1"/>
  <c r="AG539" i="1"/>
  <c r="AX539" i="1" s="1"/>
  <c r="AY539" i="1"/>
  <c r="AZ539" i="1" s="1"/>
  <c r="V541" i="1"/>
  <c r="AH541" i="1"/>
  <c r="AO541" i="1" s="1"/>
  <c r="AQ541" i="1" s="1"/>
  <c r="U542" i="1"/>
  <c r="X542" i="1" s="1"/>
  <c r="Z542" i="1" s="1"/>
  <c r="AI542" i="1"/>
  <c r="AN542" i="1"/>
  <c r="AJ541" i="1" l="1"/>
  <c r="V542" i="1"/>
  <c r="AE541" i="1"/>
  <c r="AY540" i="1"/>
  <c r="AZ540" i="1" s="1"/>
  <c r="AG540" i="1"/>
  <c r="AX540" i="1" s="1"/>
  <c r="AW539" i="1"/>
  <c r="AK540" i="1"/>
  <c r="AH542" i="1"/>
  <c r="AO542" i="1" s="1"/>
  <c r="AQ542" i="1" s="1"/>
  <c r="AN543" i="1"/>
  <c r="AI543" i="1"/>
  <c r="U543" i="1"/>
  <c r="X543" i="1" s="1"/>
  <c r="Z543" i="1" s="1"/>
  <c r="AJ542" i="1" l="1"/>
  <c r="V543" i="1"/>
  <c r="AW540" i="1"/>
  <c r="CC541" i="1"/>
  <c r="AK541" i="1"/>
  <c r="AE542" i="1"/>
  <c r="AG541" i="1"/>
  <c r="AX541" i="1" s="1"/>
  <c r="AY541" i="1"/>
  <c r="AZ541" i="1" s="1"/>
  <c r="AH543" i="1"/>
  <c r="AO543" i="1" s="1"/>
  <c r="AQ543" i="1" s="1"/>
  <c r="AN544" i="1"/>
  <c r="U544" i="1"/>
  <c r="X544" i="1" s="1"/>
  <c r="Z544" i="1" s="1"/>
  <c r="AI544" i="1"/>
  <c r="AJ543" i="1" l="1"/>
  <c r="CC543" i="1" s="1"/>
  <c r="AK542" i="1"/>
  <c r="CC542" i="1"/>
  <c r="AW541" i="1"/>
  <c r="V544" i="1"/>
  <c r="AE543" i="1"/>
  <c r="AY542" i="1"/>
  <c r="AZ542" i="1" s="1"/>
  <c r="AG542" i="1"/>
  <c r="AX542" i="1" s="1"/>
  <c r="U545" i="1"/>
  <c r="X545" i="1" s="1"/>
  <c r="Z545" i="1" s="1"/>
  <c r="AI545" i="1"/>
  <c r="AN545" i="1"/>
  <c r="AH544" i="1"/>
  <c r="AO544" i="1" s="1"/>
  <c r="AQ544" i="1" s="1"/>
  <c r="AJ544" i="1" l="1"/>
  <c r="CC544" i="1" s="1"/>
  <c r="AK543" i="1"/>
  <c r="V545" i="1"/>
  <c r="AW542" i="1"/>
  <c r="AE544" i="1"/>
  <c r="AY543" i="1"/>
  <c r="AZ543" i="1" s="1"/>
  <c r="AG543" i="1"/>
  <c r="AX543" i="1" s="1"/>
  <c r="AH545" i="1"/>
  <c r="AJ545" i="1" s="1"/>
  <c r="AN546" i="1"/>
  <c r="AI546" i="1"/>
  <c r="U546" i="1"/>
  <c r="X546" i="1" s="1"/>
  <c r="Z546" i="1" s="1"/>
  <c r="V546" i="1" l="1"/>
  <c r="AE545" i="1"/>
  <c r="AG544" i="1"/>
  <c r="AX544" i="1" s="1"/>
  <c r="AY544" i="1"/>
  <c r="AZ544" i="1" s="1"/>
  <c r="AW543" i="1"/>
  <c r="AK544" i="1"/>
  <c r="AH546" i="1"/>
  <c r="AO546" i="1" s="1"/>
  <c r="AQ546" i="1" s="1"/>
  <c r="AN547" i="1"/>
  <c r="U547" i="1"/>
  <c r="X547" i="1" s="1"/>
  <c r="Z547" i="1" s="1"/>
  <c r="AI547" i="1"/>
  <c r="CC545" i="1"/>
  <c r="AO545" i="1"/>
  <c r="AQ545" i="1" s="1"/>
  <c r="AJ546" i="1" l="1"/>
  <c r="CC546" i="1" s="1"/>
  <c r="V547" i="1"/>
  <c r="AE546" i="1"/>
  <c r="AG545" i="1"/>
  <c r="AX545" i="1" s="1"/>
  <c r="AY545" i="1"/>
  <c r="AZ545" i="1" s="1"/>
  <c r="AK545" i="1"/>
  <c r="AW544" i="1"/>
  <c r="AH547" i="1"/>
  <c r="AO547" i="1" s="1"/>
  <c r="AQ547" i="1" s="1"/>
  <c r="AN548" i="1"/>
  <c r="U548" i="1"/>
  <c r="X548" i="1" s="1"/>
  <c r="Z548" i="1" s="1"/>
  <c r="AI548" i="1"/>
  <c r="AJ547" i="1" l="1"/>
  <c r="AK546" i="1"/>
  <c r="V548" i="1"/>
  <c r="AW545" i="1"/>
  <c r="AE547" i="1"/>
  <c r="AG546" i="1"/>
  <c r="AX546" i="1" s="1"/>
  <c r="AY546" i="1"/>
  <c r="AZ546" i="1" s="1"/>
  <c r="AN549" i="1"/>
  <c r="U549" i="1"/>
  <c r="X549" i="1" s="1"/>
  <c r="Z549" i="1" s="1"/>
  <c r="AI549" i="1"/>
  <c r="AH548" i="1"/>
  <c r="AO548" i="1" s="1"/>
  <c r="AQ548" i="1" s="1"/>
  <c r="AJ548" i="1" l="1"/>
  <c r="V549" i="1"/>
  <c r="AK547" i="1"/>
  <c r="CC547" i="1"/>
  <c r="AW546" i="1"/>
  <c r="AE548" i="1"/>
  <c r="AG547" i="1"/>
  <c r="AX547" i="1" s="1"/>
  <c r="AY547" i="1"/>
  <c r="AZ547" i="1" s="1"/>
  <c r="AH549" i="1"/>
  <c r="AO549" i="1" s="1"/>
  <c r="AQ549" i="1" s="1"/>
  <c r="AI550" i="1"/>
  <c r="U550" i="1"/>
  <c r="X550" i="1" s="1"/>
  <c r="Z550" i="1" s="1"/>
  <c r="AN550" i="1"/>
  <c r="CC548" i="1"/>
  <c r="AJ549" i="1" l="1"/>
  <c r="V550" i="1"/>
  <c r="AE549" i="1"/>
  <c r="AG548" i="1"/>
  <c r="AX548" i="1" s="1"/>
  <c r="AY548" i="1"/>
  <c r="AZ548" i="1" s="1"/>
  <c r="AW547" i="1"/>
  <c r="AK548" i="1"/>
  <c r="AN551" i="1"/>
  <c r="U551" i="1"/>
  <c r="X551" i="1" s="1"/>
  <c r="Z551" i="1" s="1"/>
  <c r="AI551" i="1"/>
  <c r="AH550" i="1"/>
  <c r="AO550" i="1" s="1"/>
  <c r="AQ550" i="1" s="1"/>
  <c r="AJ550" i="1" l="1"/>
  <c r="AK549" i="1"/>
  <c r="CC549" i="1"/>
  <c r="AW548" i="1"/>
  <c r="AE550" i="1"/>
  <c r="AY549" i="1"/>
  <c r="AZ549" i="1" s="1"/>
  <c r="AG549" i="1"/>
  <c r="AX549" i="1" s="1"/>
  <c r="U552" i="1"/>
  <c r="X552" i="1" s="1"/>
  <c r="Z552" i="1" s="1"/>
  <c r="AI552" i="1"/>
  <c r="AN552" i="1"/>
  <c r="V551" i="1"/>
  <c r="AH551" i="1"/>
  <c r="AJ551" i="1" s="1"/>
  <c r="CC550" i="1"/>
  <c r="V552" i="1" l="1"/>
  <c r="AE551" i="1"/>
  <c r="AY550" i="1"/>
  <c r="AZ550" i="1" s="1"/>
  <c r="AG550" i="1"/>
  <c r="AX550" i="1" s="1"/>
  <c r="AW549" i="1"/>
  <c r="AK550" i="1"/>
  <c r="U553" i="1"/>
  <c r="X553" i="1" s="1"/>
  <c r="Z553" i="1" s="1"/>
  <c r="AN553" i="1"/>
  <c r="AI553" i="1"/>
  <c r="AH552" i="1"/>
  <c r="AJ552" i="1" s="1"/>
  <c r="AO551" i="1"/>
  <c r="AQ551" i="1" s="1"/>
  <c r="AK551" i="1" l="1"/>
  <c r="CC551" i="1"/>
  <c r="AW550" i="1"/>
  <c r="AO552" i="1"/>
  <c r="AQ552" i="1" s="1"/>
  <c r="V553" i="1"/>
  <c r="AE552" i="1"/>
  <c r="AG551" i="1"/>
  <c r="AX551" i="1" s="1"/>
  <c r="AY551" i="1"/>
  <c r="AZ551" i="1" s="1"/>
  <c r="AK552" i="1"/>
  <c r="AN554" i="1"/>
  <c r="AI554" i="1"/>
  <c r="U554" i="1"/>
  <c r="X554" i="1" s="1"/>
  <c r="Z554" i="1" s="1"/>
  <c r="AH553" i="1"/>
  <c r="AO553" i="1" s="1"/>
  <c r="AQ553" i="1" s="1"/>
  <c r="AJ553" i="1" l="1"/>
  <c r="CC553" i="1" s="1"/>
  <c r="AW551" i="1"/>
  <c r="CC552" i="1"/>
  <c r="AE553" i="1"/>
  <c r="AY552" i="1"/>
  <c r="AZ552" i="1" s="1"/>
  <c r="AG552" i="1"/>
  <c r="AX552" i="1" s="1"/>
  <c r="U555" i="1"/>
  <c r="X555" i="1" s="1"/>
  <c r="Z555" i="1" s="1"/>
  <c r="AN555" i="1"/>
  <c r="AI555" i="1"/>
  <c r="V554" i="1"/>
  <c r="AH554" i="1"/>
  <c r="AO554" i="1" s="1"/>
  <c r="AQ554" i="1" s="1"/>
  <c r="AJ554" i="1" l="1"/>
  <c r="CC554" i="1" s="1"/>
  <c r="AE554" i="1"/>
  <c r="AY553" i="1"/>
  <c r="AZ553" i="1" s="1"/>
  <c r="AG553" i="1"/>
  <c r="AX553" i="1" s="1"/>
  <c r="AK553" i="1"/>
  <c r="AW552" i="1"/>
  <c r="AN556" i="1"/>
  <c r="U556" i="1"/>
  <c r="X556" i="1" s="1"/>
  <c r="Z556" i="1" s="1"/>
  <c r="AI556" i="1"/>
  <c r="AH555" i="1"/>
  <c r="AO555" i="1" s="1"/>
  <c r="AQ555" i="1" s="1"/>
  <c r="V555" i="1"/>
  <c r="AJ555" i="1" l="1"/>
  <c r="CC555" i="1" s="1"/>
  <c r="AE555" i="1"/>
  <c r="AY554" i="1"/>
  <c r="AZ554" i="1" s="1"/>
  <c r="AG554" i="1"/>
  <c r="AX554" i="1" s="1"/>
  <c r="AW553" i="1"/>
  <c r="AK554" i="1"/>
  <c r="AH556" i="1"/>
  <c r="AO556" i="1" s="1"/>
  <c r="AQ556" i="1" s="1"/>
  <c r="V556" i="1"/>
  <c r="AI557" i="1"/>
  <c r="AN557" i="1"/>
  <c r="U557" i="1"/>
  <c r="X557" i="1" s="1"/>
  <c r="Z557" i="1" s="1"/>
  <c r="AJ556" i="1" l="1"/>
  <c r="CC556" i="1" s="1"/>
  <c r="V557" i="1"/>
  <c r="AE556" i="1"/>
  <c r="AG555" i="1"/>
  <c r="AX555" i="1" s="1"/>
  <c r="AY555" i="1"/>
  <c r="AZ555" i="1" s="1"/>
  <c r="AK555" i="1"/>
  <c r="AW554" i="1"/>
  <c r="AN558" i="1"/>
  <c r="U558" i="1"/>
  <c r="X558" i="1" s="1"/>
  <c r="Z558" i="1" s="1"/>
  <c r="AI558" i="1"/>
  <c r="AH557" i="1"/>
  <c r="AO557" i="1" s="1"/>
  <c r="AQ557" i="1" s="1"/>
  <c r="AJ557" i="1" l="1"/>
  <c r="CC557" i="1" s="1"/>
  <c r="AW555" i="1"/>
  <c r="AK556" i="1"/>
  <c r="V558" i="1"/>
  <c r="AE557" i="1"/>
  <c r="AG556" i="1"/>
  <c r="AX556" i="1" s="1"/>
  <c r="AY556" i="1"/>
  <c r="AZ556" i="1" s="1"/>
  <c r="U559" i="1"/>
  <c r="X559" i="1" s="1"/>
  <c r="Z559" i="1" s="1"/>
  <c r="AI559" i="1"/>
  <c r="AN559" i="1"/>
  <c r="AH558" i="1"/>
  <c r="AO558" i="1" s="1"/>
  <c r="AQ558" i="1" s="1"/>
  <c r="AJ558" i="1" l="1"/>
  <c r="CC558" i="1" s="1"/>
  <c r="V559" i="1"/>
  <c r="AE558" i="1"/>
  <c r="AY557" i="1"/>
  <c r="AZ557" i="1" s="1"/>
  <c r="AG557" i="1"/>
  <c r="AX557" i="1" s="1"/>
  <c r="AW556" i="1"/>
  <c r="AK557" i="1"/>
  <c r="AI560" i="1"/>
  <c r="U560" i="1"/>
  <c r="X560" i="1" s="1"/>
  <c r="Z560" i="1" s="1"/>
  <c r="AN560" i="1"/>
  <c r="AH559" i="1"/>
  <c r="AO559" i="1" s="1"/>
  <c r="AQ559" i="1" s="1"/>
  <c r="AJ559" i="1" l="1"/>
  <c r="V560" i="1"/>
  <c r="AE559" i="1"/>
  <c r="AY558" i="1"/>
  <c r="AZ558" i="1" s="1"/>
  <c r="AG558" i="1"/>
  <c r="AX558" i="1" s="1"/>
  <c r="AW557" i="1"/>
  <c r="AK558" i="1"/>
  <c r="AN561" i="1"/>
  <c r="AI561" i="1"/>
  <c r="U561" i="1"/>
  <c r="X561" i="1" s="1"/>
  <c r="Z561" i="1" s="1"/>
  <c r="AH560" i="1"/>
  <c r="AO560" i="1" s="1"/>
  <c r="AQ560" i="1" s="1"/>
  <c r="AJ560" i="1" l="1"/>
  <c r="AW559" i="1" s="1"/>
  <c r="AK559" i="1"/>
  <c r="CC559" i="1"/>
  <c r="AE560" i="1"/>
  <c r="AG559" i="1"/>
  <c r="AX559" i="1" s="1"/>
  <c r="AY559" i="1"/>
  <c r="AZ559" i="1" s="1"/>
  <c r="AW558" i="1"/>
  <c r="AI562" i="1"/>
  <c r="AN562" i="1"/>
  <c r="U562" i="1"/>
  <c r="X562" i="1" s="1"/>
  <c r="Z562" i="1" s="1"/>
  <c r="AH561" i="1"/>
  <c r="AO561" i="1" s="1"/>
  <c r="AQ561" i="1" s="1"/>
  <c r="V561" i="1"/>
  <c r="AJ561" i="1" l="1"/>
  <c r="CC561" i="1" s="1"/>
  <c r="AK560" i="1"/>
  <c r="CC560" i="1"/>
  <c r="V562" i="1"/>
  <c r="AE561" i="1"/>
  <c r="AY560" i="1"/>
  <c r="AZ560" i="1" s="1"/>
  <c r="AG560" i="1"/>
  <c r="AX560" i="1" s="1"/>
  <c r="AH562" i="1"/>
  <c r="AO562" i="1" s="1"/>
  <c r="AQ562" i="1" s="1"/>
  <c r="U563" i="1"/>
  <c r="X563" i="1" s="1"/>
  <c r="Z563" i="1" s="1"/>
  <c r="AI563" i="1"/>
  <c r="AN563" i="1"/>
  <c r="AJ562" i="1" l="1"/>
  <c r="CC562" i="1" s="1"/>
  <c r="V563" i="1"/>
  <c r="AE562" i="1"/>
  <c r="AY561" i="1"/>
  <c r="AZ561" i="1" s="1"/>
  <c r="AG561" i="1"/>
  <c r="AX561" i="1" s="1"/>
  <c r="AW560" i="1"/>
  <c r="AK561" i="1"/>
  <c r="U564" i="1"/>
  <c r="X564" i="1" s="1"/>
  <c r="Z564" i="1" s="1"/>
  <c r="AI564" i="1"/>
  <c r="AN564" i="1"/>
  <c r="AH563" i="1"/>
  <c r="AO563" i="1" s="1"/>
  <c r="AQ563" i="1" s="1"/>
  <c r="AJ563" i="1" l="1"/>
  <c r="AK562" i="1"/>
  <c r="AW561" i="1"/>
  <c r="AE563" i="1"/>
  <c r="AG562" i="1"/>
  <c r="AX562" i="1" s="1"/>
  <c r="AY562" i="1"/>
  <c r="AZ562" i="1" s="1"/>
  <c r="AN565" i="1"/>
  <c r="AI565" i="1"/>
  <c r="U565" i="1"/>
  <c r="X565" i="1" s="1"/>
  <c r="Z565" i="1" s="1"/>
  <c r="AH564" i="1"/>
  <c r="AO564" i="1" s="1"/>
  <c r="AQ564" i="1" s="1"/>
  <c r="V564" i="1"/>
  <c r="AJ564" i="1" l="1"/>
  <c r="V565" i="1"/>
  <c r="AW562" i="1"/>
  <c r="CC563" i="1"/>
  <c r="AE564" i="1"/>
  <c r="AG563" i="1"/>
  <c r="AX563" i="1" s="1"/>
  <c r="AY563" i="1"/>
  <c r="AZ563" i="1" s="1"/>
  <c r="AK563" i="1"/>
  <c r="AH565" i="1"/>
  <c r="AJ565" i="1" s="1"/>
  <c r="AN566" i="1"/>
  <c r="AI566" i="1"/>
  <c r="U566" i="1"/>
  <c r="X566" i="1" s="1"/>
  <c r="Z566" i="1" s="1"/>
  <c r="CC564" i="1"/>
  <c r="AO565" i="1" l="1"/>
  <c r="AQ565" i="1" s="1"/>
  <c r="AE565" i="1"/>
  <c r="AY564" i="1"/>
  <c r="AZ564" i="1" s="1"/>
  <c r="AG564" i="1"/>
  <c r="AX564" i="1" s="1"/>
  <c r="U567" i="1"/>
  <c r="X567" i="1" s="1"/>
  <c r="Z567" i="1" s="1"/>
  <c r="AI567" i="1"/>
  <c r="AN567" i="1"/>
  <c r="AH566" i="1"/>
  <c r="AO566" i="1" s="1"/>
  <c r="AQ566" i="1" s="1"/>
  <c r="V566" i="1"/>
  <c r="AK564" i="1"/>
  <c r="AW563" i="1"/>
  <c r="CC565" i="1"/>
  <c r="AJ566" i="1" l="1"/>
  <c r="CC566" i="1" s="1"/>
  <c r="AE566" i="1"/>
  <c r="AG565" i="1"/>
  <c r="AX565" i="1" s="1"/>
  <c r="AY565" i="1"/>
  <c r="AZ565" i="1" s="1"/>
  <c r="AK565" i="1"/>
  <c r="AW564" i="1"/>
  <c r="V567" i="1"/>
  <c r="AH567" i="1"/>
  <c r="AO567" i="1" s="1"/>
  <c r="AQ567" i="1" s="1"/>
  <c r="AI568" i="1"/>
  <c r="AN568" i="1"/>
  <c r="U568" i="1"/>
  <c r="X568" i="1" s="1"/>
  <c r="Z568" i="1" s="1"/>
  <c r="AJ567" i="1" l="1"/>
  <c r="CC567" i="1" s="1"/>
  <c r="V568" i="1"/>
  <c r="AE567" i="1"/>
  <c r="AY566" i="1"/>
  <c r="AZ566" i="1" s="1"/>
  <c r="AG566" i="1"/>
  <c r="AX566" i="1" s="1"/>
  <c r="AK566" i="1"/>
  <c r="AW565" i="1"/>
  <c r="AH568" i="1"/>
  <c r="AO568" i="1" s="1"/>
  <c r="AQ568" i="1" s="1"/>
  <c r="U569" i="1"/>
  <c r="X569" i="1" s="1"/>
  <c r="Z569" i="1" s="1"/>
  <c r="AN569" i="1"/>
  <c r="AI569" i="1"/>
  <c r="AJ568" i="1" l="1"/>
  <c r="CC568" i="1" s="1"/>
  <c r="V569" i="1"/>
  <c r="AE568" i="1"/>
  <c r="AG567" i="1"/>
  <c r="AX567" i="1" s="1"/>
  <c r="AY567" i="1"/>
  <c r="AZ567" i="1" s="1"/>
  <c r="U570" i="1"/>
  <c r="X570" i="1" s="1"/>
  <c r="Z570" i="1" s="1"/>
  <c r="AI570" i="1"/>
  <c r="AN570" i="1"/>
  <c r="AH569" i="1"/>
  <c r="AO569" i="1" s="1"/>
  <c r="AQ569" i="1" s="1"/>
  <c r="AW566" i="1"/>
  <c r="AK567" i="1"/>
  <c r="AJ569" i="1" l="1"/>
  <c r="V570" i="1"/>
  <c r="AE569" i="1"/>
  <c r="AG568" i="1"/>
  <c r="AX568" i="1" s="1"/>
  <c r="AY568" i="1"/>
  <c r="AZ568" i="1" s="1"/>
  <c r="AW567" i="1"/>
  <c r="AK568" i="1"/>
  <c r="AN571" i="1"/>
  <c r="U571" i="1"/>
  <c r="X571" i="1" s="1"/>
  <c r="Z571" i="1" s="1"/>
  <c r="AI571" i="1"/>
  <c r="AH570" i="1"/>
  <c r="AO570" i="1" s="1"/>
  <c r="AQ570" i="1" s="1"/>
  <c r="AJ570" i="1" l="1"/>
  <c r="AK569" i="1"/>
  <c r="CC569" i="1"/>
  <c r="AE570" i="1"/>
  <c r="AG569" i="1"/>
  <c r="AX569" i="1" s="1"/>
  <c r="AY569" i="1"/>
  <c r="AZ569" i="1" s="1"/>
  <c r="AW568" i="1"/>
  <c r="U572" i="1"/>
  <c r="X572" i="1" s="1"/>
  <c r="Z572" i="1" s="1"/>
  <c r="AI572" i="1"/>
  <c r="AN572" i="1"/>
  <c r="V571" i="1"/>
  <c r="AH571" i="1"/>
  <c r="AO571" i="1" s="1"/>
  <c r="AQ571" i="1" s="1"/>
  <c r="CC570" i="1"/>
  <c r="AJ571" i="1" l="1"/>
  <c r="V572" i="1"/>
  <c r="AE571" i="1"/>
  <c r="AG570" i="1"/>
  <c r="AX570" i="1" s="1"/>
  <c r="AY570" i="1"/>
  <c r="AZ570" i="1" s="1"/>
  <c r="AK570" i="1"/>
  <c r="AW569" i="1"/>
  <c r="U573" i="1"/>
  <c r="X573" i="1" s="1"/>
  <c r="Z573" i="1" s="1"/>
  <c r="AI573" i="1"/>
  <c r="AN573" i="1"/>
  <c r="AH572" i="1"/>
  <c r="AJ572" i="1" s="1"/>
  <c r="AW570" i="1" l="1"/>
  <c r="CC571" i="1"/>
  <c r="V573" i="1"/>
  <c r="AE572" i="1"/>
  <c r="AG571" i="1"/>
  <c r="AX571" i="1" s="1"/>
  <c r="AY571" i="1"/>
  <c r="AZ571" i="1" s="1"/>
  <c r="AK571" i="1"/>
  <c r="AI574" i="1"/>
  <c r="U574" i="1"/>
  <c r="X574" i="1" s="1"/>
  <c r="Z574" i="1" s="1"/>
  <c r="AN574" i="1"/>
  <c r="AH573" i="1"/>
  <c r="AO573" i="1" s="1"/>
  <c r="AQ573" i="1" s="1"/>
  <c r="AO572" i="1"/>
  <c r="AQ572" i="1" s="1"/>
  <c r="AJ573" i="1" l="1"/>
  <c r="V574" i="1"/>
  <c r="AK572" i="1"/>
  <c r="CC572" i="1"/>
  <c r="AE573" i="1"/>
  <c r="AG572" i="1"/>
  <c r="AX572" i="1" s="1"/>
  <c r="AY572" i="1"/>
  <c r="AZ572" i="1" s="1"/>
  <c r="AW571" i="1"/>
  <c r="AI575" i="1"/>
  <c r="AN575" i="1"/>
  <c r="U575" i="1"/>
  <c r="X575" i="1" s="1"/>
  <c r="Z575" i="1" s="1"/>
  <c r="AH574" i="1"/>
  <c r="AO574" i="1" s="1"/>
  <c r="AQ574" i="1" s="1"/>
  <c r="CC573" i="1"/>
  <c r="AJ574" i="1" l="1"/>
  <c r="V575" i="1"/>
  <c r="AE574" i="1"/>
  <c r="AG573" i="1"/>
  <c r="AX573" i="1" s="1"/>
  <c r="AY573" i="1"/>
  <c r="AZ573" i="1" s="1"/>
  <c r="AN576" i="1"/>
  <c r="U576" i="1"/>
  <c r="X576" i="1" s="1"/>
  <c r="Z576" i="1" s="1"/>
  <c r="AI576" i="1"/>
  <c r="AK573" i="1"/>
  <c r="AW572" i="1"/>
  <c r="AH575" i="1"/>
  <c r="AO575" i="1" s="1"/>
  <c r="AQ575" i="1" s="1"/>
  <c r="AJ575" i="1" l="1"/>
  <c r="AK574" i="1"/>
  <c r="CC574" i="1"/>
  <c r="AW573" i="1"/>
  <c r="V576" i="1"/>
  <c r="AE575" i="1"/>
  <c r="AY574" i="1"/>
  <c r="AZ574" i="1" s="1"/>
  <c r="AG574" i="1"/>
  <c r="AX574" i="1" s="1"/>
  <c r="AI577" i="1"/>
  <c r="U577" i="1"/>
  <c r="X577" i="1" s="1"/>
  <c r="Z577" i="1" s="1"/>
  <c r="AN577" i="1"/>
  <c r="AH576" i="1"/>
  <c r="AJ576" i="1" s="1"/>
  <c r="CC575" i="1"/>
  <c r="AO576" i="1" l="1"/>
  <c r="AQ576" i="1" s="1"/>
  <c r="CC576" i="1"/>
  <c r="AE576" i="1"/>
  <c r="AY575" i="1"/>
  <c r="AZ575" i="1" s="1"/>
  <c r="AG575" i="1"/>
  <c r="AX575" i="1" s="1"/>
  <c r="AW575" i="1"/>
  <c r="AH577" i="1"/>
  <c r="AO577" i="1" s="1"/>
  <c r="AQ577" i="1" s="1"/>
  <c r="V577" i="1"/>
  <c r="U578" i="1"/>
  <c r="X578" i="1" s="1"/>
  <c r="Z578" i="1" s="1"/>
  <c r="AI578" i="1"/>
  <c r="AN578" i="1"/>
  <c r="AK575" i="1"/>
  <c r="AW574" i="1"/>
  <c r="AJ577" i="1" l="1"/>
  <c r="CC577" i="1" s="1"/>
  <c r="AK576" i="1"/>
  <c r="AE577" i="1"/>
  <c r="AY576" i="1"/>
  <c r="AZ576" i="1" s="1"/>
  <c r="AG576" i="1"/>
  <c r="AX576" i="1" s="1"/>
  <c r="AI579" i="1"/>
  <c r="AN579" i="1"/>
  <c r="U579" i="1"/>
  <c r="X579" i="1" s="1"/>
  <c r="Z579" i="1" s="1"/>
  <c r="V578" i="1"/>
  <c r="AH578" i="1"/>
  <c r="AO578" i="1" s="1"/>
  <c r="AQ578" i="1" s="1"/>
  <c r="AW576" i="1" l="1"/>
  <c r="AJ578" i="1"/>
  <c r="AK577" i="1"/>
  <c r="V579" i="1"/>
  <c r="AE578" i="1"/>
  <c r="AY577" i="1"/>
  <c r="AZ577" i="1" s="1"/>
  <c r="AG577" i="1"/>
  <c r="AX577" i="1" s="1"/>
  <c r="AI580" i="1"/>
  <c r="U580" i="1"/>
  <c r="X580" i="1" s="1"/>
  <c r="Z580" i="1" s="1"/>
  <c r="AN580" i="1"/>
  <c r="AH579" i="1"/>
  <c r="AJ579" i="1" s="1"/>
  <c r="V580" i="1" l="1"/>
  <c r="AW577" i="1"/>
  <c r="CC578" i="1"/>
  <c r="AK578" i="1"/>
  <c r="AE579" i="1"/>
  <c r="AG578" i="1"/>
  <c r="AX578" i="1" s="1"/>
  <c r="AY578" i="1"/>
  <c r="AZ578" i="1" s="1"/>
  <c r="AW578" i="1"/>
  <c r="AN581" i="1"/>
  <c r="AI581" i="1"/>
  <c r="U581" i="1"/>
  <c r="X581" i="1" s="1"/>
  <c r="Z581" i="1" s="1"/>
  <c r="AH580" i="1"/>
  <c r="AO580" i="1" s="1"/>
  <c r="AQ580" i="1" s="1"/>
  <c r="AO579" i="1"/>
  <c r="AQ579" i="1" s="1"/>
  <c r="AJ580" i="1" l="1"/>
  <c r="CC580" i="1" s="1"/>
  <c r="V581" i="1"/>
  <c r="AK579" i="1"/>
  <c r="CC579" i="1"/>
  <c r="AE580" i="1"/>
  <c r="AY579" i="1"/>
  <c r="AZ579" i="1" s="1"/>
  <c r="AG579" i="1"/>
  <c r="AX579" i="1" s="1"/>
  <c r="AH581" i="1"/>
  <c r="AO581" i="1" s="1"/>
  <c r="AQ581" i="1" s="1"/>
  <c r="U582" i="1"/>
  <c r="X582" i="1" s="1"/>
  <c r="Z582" i="1" s="1"/>
  <c r="AN582" i="1"/>
  <c r="AI582" i="1"/>
  <c r="AJ581" i="1" l="1"/>
  <c r="CC581" i="1" s="1"/>
  <c r="V582" i="1"/>
  <c r="AE581" i="1"/>
  <c r="AY580" i="1"/>
  <c r="AZ580" i="1" s="1"/>
  <c r="AG580" i="1"/>
  <c r="AX580" i="1" s="1"/>
  <c r="AW579" i="1"/>
  <c r="AK580" i="1"/>
  <c r="AH582" i="1"/>
  <c r="AO582" i="1" s="1"/>
  <c r="AQ582" i="1" s="1"/>
  <c r="AI583" i="1"/>
  <c r="AN583" i="1"/>
  <c r="U583" i="1"/>
  <c r="X583" i="1" s="1"/>
  <c r="Z583" i="1" s="1"/>
  <c r="AJ582" i="1" l="1"/>
  <c r="CC582" i="1" s="1"/>
  <c r="V583" i="1"/>
  <c r="AW580" i="1"/>
  <c r="AK581" i="1"/>
  <c r="AE582" i="1"/>
  <c r="AY581" i="1"/>
  <c r="AZ581" i="1" s="1"/>
  <c r="AG581" i="1"/>
  <c r="AX581" i="1" s="1"/>
  <c r="AN584" i="1"/>
  <c r="AI584" i="1"/>
  <c r="U584" i="1"/>
  <c r="X584" i="1" s="1"/>
  <c r="Z584" i="1" s="1"/>
  <c r="AH583" i="1"/>
  <c r="AO583" i="1" s="1"/>
  <c r="AQ583" i="1" s="1"/>
  <c r="AJ583" i="1" l="1"/>
  <c r="CC583" i="1" s="1"/>
  <c r="AW581" i="1"/>
  <c r="AK582" i="1"/>
  <c r="V584" i="1"/>
  <c r="AE583" i="1"/>
  <c r="AG582" i="1"/>
  <c r="AX582" i="1" s="1"/>
  <c r="AY582" i="1"/>
  <c r="AZ582" i="1" s="1"/>
  <c r="AH584" i="1"/>
  <c r="AO584" i="1" s="1"/>
  <c r="AQ584" i="1" s="1"/>
  <c r="AI585" i="1"/>
  <c r="AN585" i="1"/>
  <c r="U585" i="1"/>
  <c r="X585" i="1" s="1"/>
  <c r="Z585" i="1" s="1"/>
  <c r="AJ584" i="1" l="1"/>
  <c r="CC584" i="1" s="1"/>
  <c r="V585" i="1"/>
  <c r="AE584" i="1"/>
  <c r="AY583" i="1"/>
  <c r="AZ583" i="1" s="1"/>
  <c r="AG583" i="1"/>
  <c r="AX583" i="1" s="1"/>
  <c r="AN586" i="1"/>
  <c r="U586" i="1"/>
  <c r="X586" i="1" s="1"/>
  <c r="Z586" i="1" s="1"/>
  <c r="AI586" i="1"/>
  <c r="AW582" i="1"/>
  <c r="AK583" i="1"/>
  <c r="AH585" i="1"/>
  <c r="AO585" i="1" s="1"/>
  <c r="AQ585" i="1" s="1"/>
  <c r="AJ585" i="1" l="1"/>
  <c r="CC585" i="1" s="1"/>
  <c r="AW583" i="1"/>
  <c r="AK584" i="1"/>
  <c r="V586" i="1"/>
  <c r="AE585" i="1"/>
  <c r="AY584" i="1"/>
  <c r="AZ584" i="1" s="1"/>
  <c r="AG584" i="1"/>
  <c r="AX584" i="1" s="1"/>
  <c r="AH586" i="1"/>
  <c r="AO586" i="1" s="1"/>
  <c r="AQ586" i="1" s="1"/>
  <c r="U587" i="1"/>
  <c r="X587" i="1" s="1"/>
  <c r="Z587" i="1" s="1"/>
  <c r="AI587" i="1"/>
  <c r="AN587" i="1"/>
  <c r="AJ586" i="1" l="1"/>
  <c r="CC586" i="1" s="1"/>
  <c r="V587" i="1"/>
  <c r="AE586" i="1"/>
  <c r="AY585" i="1"/>
  <c r="AZ585" i="1" s="1"/>
  <c r="AG585" i="1"/>
  <c r="AX585" i="1" s="1"/>
  <c r="AW584" i="1"/>
  <c r="AK585" i="1"/>
  <c r="U588" i="1"/>
  <c r="X588" i="1" s="1"/>
  <c r="Z588" i="1" s="1"/>
  <c r="AN588" i="1"/>
  <c r="AI588" i="1"/>
  <c r="AH587" i="1"/>
  <c r="AO587" i="1" s="1"/>
  <c r="AQ587" i="1" s="1"/>
  <c r="AJ587" i="1" l="1"/>
  <c r="CC587" i="1" s="1"/>
  <c r="V588" i="1"/>
  <c r="AK586" i="1"/>
  <c r="AW585" i="1"/>
  <c r="AE587" i="1"/>
  <c r="AY586" i="1"/>
  <c r="AZ586" i="1" s="1"/>
  <c r="AG586" i="1"/>
  <c r="AX586" i="1" s="1"/>
  <c r="AH588" i="1"/>
  <c r="AO588" i="1" s="1"/>
  <c r="AQ588" i="1" s="1"/>
  <c r="AN589" i="1"/>
  <c r="U589" i="1"/>
  <c r="X589" i="1" s="1"/>
  <c r="Z589" i="1" s="1"/>
  <c r="AI589" i="1"/>
  <c r="AJ588" i="1" l="1"/>
  <c r="V589" i="1"/>
  <c r="AE588" i="1"/>
  <c r="AY587" i="1"/>
  <c r="AZ587" i="1" s="1"/>
  <c r="AG587" i="1"/>
  <c r="AX587" i="1" s="1"/>
  <c r="AW586" i="1"/>
  <c r="AK587" i="1"/>
  <c r="AH589" i="1"/>
  <c r="AO589" i="1" s="1"/>
  <c r="AQ589" i="1" s="1"/>
  <c r="AI590" i="1"/>
  <c r="U590" i="1"/>
  <c r="X590" i="1" s="1"/>
  <c r="Z590" i="1" s="1"/>
  <c r="AN590" i="1"/>
  <c r="AJ589" i="1" l="1"/>
  <c r="V590" i="1"/>
  <c r="AW587" i="1"/>
  <c r="CC588" i="1"/>
  <c r="AK588" i="1"/>
  <c r="AE589" i="1"/>
  <c r="AY588" i="1"/>
  <c r="AZ588" i="1" s="1"/>
  <c r="AG588" i="1"/>
  <c r="AX588" i="1" s="1"/>
  <c r="AH590" i="1"/>
  <c r="AO590" i="1" s="1"/>
  <c r="AQ590" i="1" s="1"/>
  <c r="U591" i="1"/>
  <c r="X591" i="1" s="1"/>
  <c r="Z591" i="1" s="1"/>
  <c r="AI591" i="1"/>
  <c r="AN591" i="1"/>
  <c r="AJ590" i="1" l="1"/>
  <c r="AW589" i="1" s="1"/>
  <c r="AK589" i="1"/>
  <c r="CC589" i="1"/>
  <c r="V591" i="1"/>
  <c r="AE590" i="1"/>
  <c r="AG589" i="1"/>
  <c r="AX589" i="1" s="1"/>
  <c r="AY589" i="1"/>
  <c r="AZ589" i="1" s="1"/>
  <c r="AW588" i="1"/>
  <c r="AH591" i="1"/>
  <c r="AO591" i="1" s="1"/>
  <c r="AQ591" i="1" s="1"/>
  <c r="AN592" i="1"/>
  <c r="U592" i="1"/>
  <c r="X592" i="1" s="1"/>
  <c r="Z592" i="1" s="1"/>
  <c r="AI592" i="1"/>
  <c r="AJ591" i="1" l="1"/>
  <c r="AK590" i="1"/>
  <c r="CC590" i="1"/>
  <c r="V592" i="1"/>
  <c r="AE591" i="1"/>
  <c r="AG590" i="1"/>
  <c r="AX590" i="1" s="1"/>
  <c r="AY590" i="1"/>
  <c r="AZ590" i="1" s="1"/>
  <c r="AH592" i="1"/>
  <c r="AO592" i="1" s="1"/>
  <c r="AQ592" i="1" s="1"/>
  <c r="U593" i="1"/>
  <c r="X593" i="1" s="1"/>
  <c r="Z593" i="1" s="1"/>
  <c r="AI593" i="1"/>
  <c r="AN593" i="1"/>
  <c r="AJ592" i="1" l="1"/>
  <c r="AW590" i="1"/>
  <c r="CC591" i="1"/>
  <c r="V593" i="1"/>
  <c r="AE592" i="1"/>
  <c r="AG591" i="1"/>
  <c r="AX591" i="1" s="1"/>
  <c r="AY591" i="1"/>
  <c r="AZ591" i="1" s="1"/>
  <c r="AK591" i="1"/>
  <c r="AH593" i="1"/>
  <c r="AO593" i="1" s="1"/>
  <c r="AQ593" i="1" s="1"/>
  <c r="AI594" i="1"/>
  <c r="AN594" i="1"/>
  <c r="U594" i="1"/>
  <c r="X594" i="1" s="1"/>
  <c r="Z594" i="1" s="1"/>
  <c r="AJ593" i="1" l="1"/>
  <c r="AK592" i="1"/>
  <c r="CC592" i="1"/>
  <c r="AE593" i="1"/>
  <c r="AY592" i="1"/>
  <c r="AZ592" i="1" s="1"/>
  <c r="AG592" i="1"/>
  <c r="AX592" i="1" s="1"/>
  <c r="AW591" i="1"/>
  <c r="AI595" i="1"/>
  <c r="U595" i="1"/>
  <c r="X595" i="1" s="1"/>
  <c r="Z595" i="1" s="1"/>
  <c r="AN595" i="1"/>
  <c r="V594" i="1"/>
  <c r="AH594" i="1"/>
  <c r="AO594" i="1" s="1"/>
  <c r="AQ594" i="1" s="1"/>
  <c r="AJ594" i="1" l="1"/>
  <c r="AK593" i="1"/>
  <c r="CC593" i="1"/>
  <c r="AE594" i="1"/>
  <c r="AG593" i="1"/>
  <c r="AX593" i="1" s="1"/>
  <c r="AY593" i="1"/>
  <c r="AZ593" i="1" s="1"/>
  <c r="AW592" i="1"/>
  <c r="AN596" i="1"/>
  <c r="AI596" i="1"/>
  <c r="U596" i="1"/>
  <c r="X596" i="1" s="1"/>
  <c r="Z596" i="1" s="1"/>
  <c r="AH595" i="1"/>
  <c r="AO595" i="1" s="1"/>
  <c r="AQ595" i="1" s="1"/>
  <c r="V595" i="1"/>
  <c r="CC594" i="1"/>
  <c r="AJ595" i="1" l="1"/>
  <c r="AE595" i="1"/>
  <c r="AY594" i="1"/>
  <c r="AZ594" i="1" s="1"/>
  <c r="AG594" i="1"/>
  <c r="AX594" i="1" s="1"/>
  <c r="AW593" i="1"/>
  <c r="AK594" i="1"/>
  <c r="AI597" i="1"/>
  <c r="U597" i="1"/>
  <c r="X597" i="1" s="1"/>
  <c r="Z597" i="1" s="1"/>
  <c r="AN597" i="1"/>
  <c r="AH596" i="1"/>
  <c r="AJ596" i="1" s="1"/>
  <c r="V596" i="1"/>
  <c r="AO596" i="1"/>
  <c r="AQ596" i="1" s="1"/>
  <c r="AW594" i="1" l="1"/>
  <c r="CC595" i="1"/>
  <c r="V597" i="1"/>
  <c r="AE596" i="1"/>
  <c r="AY595" i="1"/>
  <c r="AZ595" i="1" s="1"/>
  <c r="AG595" i="1"/>
  <c r="AX595" i="1" s="1"/>
  <c r="AK595" i="1"/>
  <c r="AH597" i="1"/>
  <c r="AO597" i="1" s="1"/>
  <c r="AQ597" i="1" s="1"/>
  <c r="AN598" i="1"/>
  <c r="AI598" i="1"/>
  <c r="U598" i="1"/>
  <c r="X598" i="1" s="1"/>
  <c r="Z598" i="1" s="1"/>
  <c r="CC596" i="1"/>
  <c r="AJ597" i="1" l="1"/>
  <c r="CC597" i="1" s="1"/>
  <c r="V598" i="1"/>
  <c r="AE597" i="1"/>
  <c r="AG596" i="1"/>
  <c r="AX596" i="1" s="1"/>
  <c r="AY596" i="1"/>
  <c r="AZ596" i="1" s="1"/>
  <c r="AW595" i="1"/>
  <c r="AK596" i="1"/>
  <c r="AH598" i="1"/>
  <c r="AO598" i="1" s="1"/>
  <c r="AQ598" i="1" s="1"/>
  <c r="U599" i="1"/>
  <c r="X599" i="1" s="1"/>
  <c r="Z599" i="1" s="1"/>
  <c r="AI599" i="1"/>
  <c r="AN599" i="1"/>
  <c r="AJ598" i="1" l="1"/>
  <c r="CC598" i="1" s="1"/>
  <c r="V599" i="1"/>
  <c r="AE598" i="1"/>
  <c r="AY597" i="1"/>
  <c r="AZ597" i="1" s="1"/>
  <c r="AG597" i="1"/>
  <c r="AX597" i="1" s="1"/>
  <c r="AW596" i="1"/>
  <c r="AK597" i="1"/>
  <c r="AI600" i="1"/>
  <c r="U600" i="1"/>
  <c r="X600" i="1" s="1"/>
  <c r="Z600" i="1" s="1"/>
  <c r="AN600" i="1"/>
  <c r="AH599" i="1"/>
  <c r="AO599" i="1" s="1"/>
  <c r="AQ599" i="1" s="1"/>
  <c r="AJ599" i="1" l="1"/>
  <c r="AK598" i="1"/>
  <c r="AW597" i="1"/>
  <c r="V600" i="1"/>
  <c r="AE599" i="1"/>
  <c r="AY598" i="1"/>
  <c r="AZ598" i="1" s="1"/>
  <c r="AG598" i="1"/>
  <c r="AX598" i="1" s="1"/>
  <c r="AI601" i="1"/>
  <c r="U601" i="1"/>
  <c r="X601" i="1" s="1"/>
  <c r="Z601" i="1" s="1"/>
  <c r="AN601" i="1"/>
  <c r="AH600" i="1"/>
  <c r="AO600" i="1" s="1"/>
  <c r="AQ600" i="1" s="1"/>
  <c r="AJ600" i="1" l="1"/>
  <c r="AK599" i="1"/>
  <c r="CC599" i="1"/>
  <c r="AE600" i="1"/>
  <c r="AY599" i="1"/>
  <c r="AZ599" i="1" s="1"/>
  <c r="AG599" i="1"/>
  <c r="AX599" i="1" s="1"/>
  <c r="AW598" i="1"/>
  <c r="AN602" i="1"/>
  <c r="AI602" i="1"/>
  <c r="U602" i="1"/>
  <c r="X602" i="1" s="1"/>
  <c r="Z602" i="1" s="1"/>
  <c r="V601" i="1"/>
  <c r="AH601" i="1"/>
  <c r="AO601" i="1" s="1"/>
  <c r="AQ601" i="1" s="1"/>
  <c r="AJ601" i="1" l="1"/>
  <c r="AK600" i="1"/>
  <c r="CC600" i="1"/>
  <c r="V602" i="1"/>
  <c r="AE601" i="1"/>
  <c r="AG600" i="1"/>
  <c r="AX600" i="1" s="1"/>
  <c r="AY600" i="1"/>
  <c r="AZ600" i="1" s="1"/>
  <c r="AW599" i="1"/>
  <c r="U603" i="1"/>
  <c r="X603" i="1" s="1"/>
  <c r="Z603" i="1" s="1"/>
  <c r="AN603" i="1"/>
  <c r="AI603" i="1"/>
  <c r="AH602" i="1"/>
  <c r="AO602" i="1" s="1"/>
  <c r="AQ602" i="1" s="1"/>
  <c r="CC601" i="1"/>
  <c r="AJ602" i="1" l="1"/>
  <c r="CC602" i="1" s="1"/>
  <c r="V603" i="1"/>
  <c r="AE602" i="1"/>
  <c r="AG601" i="1"/>
  <c r="AX601" i="1" s="1"/>
  <c r="AY601" i="1"/>
  <c r="AZ601" i="1" s="1"/>
  <c r="AK601" i="1"/>
  <c r="AW600" i="1"/>
  <c r="AN604" i="1"/>
  <c r="U604" i="1"/>
  <c r="X604" i="1" s="1"/>
  <c r="Z604" i="1" s="1"/>
  <c r="AI604" i="1"/>
  <c r="AH603" i="1"/>
  <c r="AO603" i="1" s="1"/>
  <c r="AQ603" i="1" s="1"/>
  <c r="AJ603" i="1" l="1"/>
  <c r="CC603" i="1" s="1"/>
  <c r="V604" i="1"/>
  <c r="AE603" i="1"/>
  <c r="AY602" i="1"/>
  <c r="AZ602" i="1" s="1"/>
  <c r="AG602" i="1"/>
  <c r="AX602" i="1" s="1"/>
  <c r="AW601" i="1"/>
  <c r="AK602" i="1"/>
  <c r="AH604" i="1"/>
  <c r="AO604" i="1" s="1"/>
  <c r="AQ604" i="1" s="1"/>
  <c r="AI605" i="1"/>
  <c r="U605" i="1"/>
  <c r="X605" i="1" s="1"/>
  <c r="Z605" i="1" s="1"/>
  <c r="AN605" i="1"/>
  <c r="AJ604" i="1" l="1"/>
  <c r="CC604" i="1" s="1"/>
  <c r="V605" i="1"/>
  <c r="AE604" i="1"/>
  <c r="AY603" i="1"/>
  <c r="AZ603" i="1" s="1"/>
  <c r="AG603" i="1"/>
  <c r="AX603" i="1" s="1"/>
  <c r="AK603" i="1"/>
  <c r="AW602" i="1"/>
  <c r="U606" i="1"/>
  <c r="X606" i="1" s="1"/>
  <c r="Z606" i="1" s="1"/>
  <c r="AI606" i="1"/>
  <c r="AN606" i="1"/>
  <c r="AH605" i="1"/>
  <c r="AO605" i="1" s="1"/>
  <c r="AQ605" i="1" s="1"/>
  <c r="AJ605" i="1" l="1"/>
  <c r="CC605" i="1" s="1"/>
  <c r="AW603" i="1"/>
  <c r="AK604" i="1"/>
  <c r="V606" i="1"/>
  <c r="AE605" i="1"/>
  <c r="AG604" i="1"/>
  <c r="AX604" i="1" s="1"/>
  <c r="AY604" i="1"/>
  <c r="AZ604" i="1" s="1"/>
  <c r="AH606" i="1"/>
  <c r="AO606" i="1" s="1"/>
  <c r="AQ606" i="1" s="1"/>
  <c r="AI607" i="1"/>
  <c r="U607" i="1"/>
  <c r="X607" i="1" s="1"/>
  <c r="Z607" i="1" s="1"/>
  <c r="AN607" i="1"/>
  <c r="AJ606" i="1" l="1"/>
  <c r="V607" i="1"/>
  <c r="AE606" i="1"/>
  <c r="AY605" i="1"/>
  <c r="AZ605" i="1" s="1"/>
  <c r="AG605" i="1"/>
  <c r="AX605" i="1" s="1"/>
  <c r="AK605" i="1"/>
  <c r="AW604" i="1"/>
  <c r="AN608" i="1"/>
  <c r="AI608" i="1"/>
  <c r="U608" i="1"/>
  <c r="X608" i="1" s="1"/>
  <c r="Z608" i="1" s="1"/>
  <c r="AH607" i="1"/>
  <c r="AO607" i="1" s="1"/>
  <c r="AQ607" i="1" s="1"/>
  <c r="AJ607" i="1" l="1"/>
  <c r="AK606" i="1"/>
  <c r="CC606" i="1"/>
  <c r="AW605" i="1"/>
  <c r="V608" i="1"/>
  <c r="AE607" i="1"/>
  <c r="AY606" i="1"/>
  <c r="AZ606" i="1" s="1"/>
  <c r="AG606" i="1"/>
  <c r="AX606" i="1" s="1"/>
  <c r="U609" i="1"/>
  <c r="X609" i="1" s="1"/>
  <c r="Z609" i="1" s="1"/>
  <c r="AI609" i="1"/>
  <c r="AN609" i="1"/>
  <c r="AH608" i="1"/>
  <c r="AO608" i="1" s="1"/>
  <c r="AQ608" i="1" s="1"/>
  <c r="AJ608" i="1" l="1"/>
  <c r="AW607" i="1" s="1"/>
  <c r="AK607" i="1"/>
  <c r="CC607" i="1"/>
  <c r="AW606" i="1"/>
  <c r="V609" i="1"/>
  <c r="AE608" i="1"/>
  <c r="AY607" i="1"/>
  <c r="AZ607" i="1" s="1"/>
  <c r="AG607" i="1"/>
  <c r="AX607" i="1" s="1"/>
  <c r="AN610" i="1"/>
  <c r="U610" i="1"/>
  <c r="X610" i="1" s="1"/>
  <c r="Z610" i="1" s="1"/>
  <c r="AI610" i="1"/>
  <c r="AH609" i="1"/>
  <c r="AO609" i="1" s="1"/>
  <c r="AQ609" i="1" s="1"/>
  <c r="AJ609" i="1" l="1"/>
  <c r="AK608" i="1"/>
  <c r="CC608" i="1"/>
  <c r="AE609" i="1"/>
  <c r="AG608" i="1"/>
  <c r="AX608" i="1" s="1"/>
  <c r="AY608" i="1"/>
  <c r="AZ608" i="1" s="1"/>
  <c r="AN611" i="1"/>
  <c r="AI611" i="1"/>
  <c r="U611" i="1"/>
  <c r="X611" i="1" s="1"/>
  <c r="Z611" i="1" s="1"/>
  <c r="AH610" i="1"/>
  <c r="AO610" i="1" s="1"/>
  <c r="AQ610" i="1" s="1"/>
  <c r="V610" i="1"/>
  <c r="AJ610" i="1" l="1"/>
  <c r="AK609" i="1"/>
  <c r="CC609" i="1"/>
  <c r="V611" i="1"/>
  <c r="AE610" i="1"/>
  <c r="AY609" i="1"/>
  <c r="AZ609" i="1" s="1"/>
  <c r="AG609" i="1"/>
  <c r="AX609" i="1" s="1"/>
  <c r="AW608" i="1"/>
  <c r="AH611" i="1"/>
  <c r="AO611" i="1" s="1"/>
  <c r="AQ611" i="1" s="1"/>
  <c r="AI612" i="1"/>
  <c r="AN612" i="1"/>
  <c r="U612" i="1"/>
  <c r="X612" i="1" s="1"/>
  <c r="Z612" i="1" s="1"/>
  <c r="CC610" i="1"/>
  <c r="AJ611" i="1" l="1"/>
  <c r="V612" i="1"/>
  <c r="AE611" i="1"/>
  <c r="AG610" i="1"/>
  <c r="AX610" i="1" s="1"/>
  <c r="AY610" i="1"/>
  <c r="AZ610" i="1" s="1"/>
  <c r="AW609" i="1"/>
  <c r="AK610" i="1"/>
  <c r="AH612" i="1"/>
  <c r="AJ612" i="1" s="1"/>
  <c r="U613" i="1"/>
  <c r="X613" i="1" s="1"/>
  <c r="Z613" i="1" s="1"/>
  <c r="AN613" i="1"/>
  <c r="AI613" i="1"/>
  <c r="CC612" i="1" l="1"/>
  <c r="AK611" i="1"/>
  <c r="CC611" i="1"/>
  <c r="AO612" i="1"/>
  <c r="AQ612" i="1" s="1"/>
  <c r="AW610" i="1"/>
  <c r="AE612" i="1"/>
  <c r="AG611" i="1"/>
  <c r="AX611" i="1" s="1"/>
  <c r="AY611" i="1"/>
  <c r="AZ611" i="1" s="1"/>
  <c r="AW611" i="1"/>
  <c r="AK612" i="1"/>
  <c r="AI614" i="1"/>
  <c r="AN614" i="1"/>
  <c r="U614" i="1"/>
  <c r="X614" i="1" s="1"/>
  <c r="Z614" i="1" s="1"/>
  <c r="V613" i="1"/>
  <c r="AH613" i="1"/>
  <c r="AO613" i="1" s="1"/>
  <c r="AQ613" i="1" s="1"/>
  <c r="AJ613" i="1" l="1"/>
  <c r="AE613" i="1"/>
  <c r="AG612" i="1"/>
  <c r="AX612" i="1" s="1"/>
  <c r="AY612" i="1"/>
  <c r="AZ612" i="1" s="1"/>
  <c r="AN615" i="1"/>
  <c r="U615" i="1"/>
  <c r="X615" i="1" s="1"/>
  <c r="Z615" i="1" s="1"/>
  <c r="AI615" i="1"/>
  <c r="AH614" i="1"/>
  <c r="AJ614" i="1" s="1"/>
  <c r="V614" i="1"/>
  <c r="AO614" i="1"/>
  <c r="AQ614" i="1" s="1"/>
  <c r="AW612" i="1" l="1"/>
  <c r="CC613" i="1"/>
  <c r="AE614" i="1"/>
  <c r="AG613" i="1"/>
  <c r="AX613" i="1" s="1"/>
  <c r="AY613" i="1"/>
  <c r="AZ613" i="1" s="1"/>
  <c r="AK613" i="1"/>
  <c r="AH615" i="1"/>
  <c r="AO615" i="1" s="1"/>
  <c r="AQ615" i="1" s="1"/>
  <c r="V615" i="1"/>
  <c r="U616" i="1"/>
  <c r="X616" i="1" s="1"/>
  <c r="Z616" i="1" s="1"/>
  <c r="AN616" i="1"/>
  <c r="AI616" i="1"/>
  <c r="CC614" i="1"/>
  <c r="AJ615" i="1" l="1"/>
  <c r="CC615" i="1" s="1"/>
  <c r="V616" i="1"/>
  <c r="AE615" i="1"/>
  <c r="AY614" i="1"/>
  <c r="AZ614" i="1" s="1"/>
  <c r="AG614" i="1"/>
  <c r="AX614" i="1" s="1"/>
  <c r="AK614" i="1"/>
  <c r="AW613" i="1"/>
  <c r="AN617" i="1"/>
  <c r="AI617" i="1"/>
  <c r="U617" i="1"/>
  <c r="X617" i="1" s="1"/>
  <c r="Z617" i="1" s="1"/>
  <c r="AH616" i="1"/>
  <c r="AO616" i="1" s="1"/>
  <c r="AQ616" i="1" s="1"/>
  <c r="AJ616" i="1" l="1"/>
  <c r="AK615" i="1"/>
  <c r="AW614" i="1"/>
  <c r="V617" i="1"/>
  <c r="AE616" i="1"/>
  <c r="AG615" i="1"/>
  <c r="AX615" i="1" s="1"/>
  <c r="AY615" i="1"/>
  <c r="AZ615" i="1" s="1"/>
  <c r="U618" i="1"/>
  <c r="X618" i="1" s="1"/>
  <c r="Z618" i="1" s="1"/>
  <c r="AN618" i="1"/>
  <c r="AI618" i="1"/>
  <c r="AH617" i="1"/>
  <c r="AO617" i="1" s="1"/>
  <c r="AQ617" i="1" s="1"/>
  <c r="AJ617" i="1" l="1"/>
  <c r="AK616" i="1"/>
  <c r="CC616" i="1"/>
  <c r="AW615" i="1"/>
  <c r="AE617" i="1"/>
  <c r="AY616" i="1"/>
  <c r="AZ616" i="1" s="1"/>
  <c r="AG616" i="1"/>
  <c r="AX616" i="1" s="1"/>
  <c r="V618" i="1"/>
  <c r="AH618" i="1"/>
  <c r="AO618" i="1" s="1"/>
  <c r="AQ618" i="1" s="1"/>
  <c r="AI619" i="1"/>
  <c r="U619" i="1"/>
  <c r="X619" i="1" s="1"/>
  <c r="Z619" i="1" s="1"/>
  <c r="AN619" i="1"/>
  <c r="CC617" i="1"/>
  <c r="AJ618" i="1" l="1"/>
  <c r="CC618" i="1" s="1"/>
  <c r="V619" i="1"/>
  <c r="AE618" i="1"/>
  <c r="AY617" i="1"/>
  <c r="AZ617" i="1" s="1"/>
  <c r="AG617" i="1"/>
  <c r="AX617" i="1" s="1"/>
  <c r="AK617" i="1"/>
  <c r="AW616" i="1"/>
  <c r="AH619" i="1"/>
  <c r="AJ619" i="1" s="1"/>
  <c r="U620" i="1"/>
  <c r="X620" i="1" s="1"/>
  <c r="Z620" i="1" s="1"/>
  <c r="AI620" i="1"/>
  <c r="AN620" i="1"/>
  <c r="AW617" i="1" l="1"/>
  <c r="AK618" i="1"/>
  <c r="AE619" i="1"/>
  <c r="AG618" i="1"/>
  <c r="AX618" i="1" s="1"/>
  <c r="AY618" i="1"/>
  <c r="AZ618" i="1" s="1"/>
  <c r="V620" i="1"/>
  <c r="AH620" i="1"/>
  <c r="AO620" i="1" s="1"/>
  <c r="AQ620" i="1" s="1"/>
  <c r="AI621" i="1"/>
  <c r="AN621" i="1"/>
  <c r="U621" i="1"/>
  <c r="X621" i="1" s="1"/>
  <c r="Z621" i="1" s="1"/>
  <c r="CC619" i="1"/>
  <c r="AO619" i="1"/>
  <c r="AQ619" i="1" s="1"/>
  <c r="AJ620" i="1" l="1"/>
  <c r="CC620" i="1" s="1"/>
  <c r="V621" i="1"/>
  <c r="AE620" i="1"/>
  <c r="AY619" i="1"/>
  <c r="AZ619" i="1" s="1"/>
  <c r="AG619" i="1"/>
  <c r="AX619" i="1" s="1"/>
  <c r="AK619" i="1"/>
  <c r="AW618" i="1"/>
  <c r="AH621" i="1"/>
  <c r="AO621" i="1" s="1"/>
  <c r="AQ621" i="1" s="1"/>
  <c r="AI622" i="1"/>
  <c r="AN622" i="1"/>
  <c r="U622" i="1"/>
  <c r="X622" i="1" s="1"/>
  <c r="Z622" i="1" s="1"/>
  <c r="AJ621" i="1" l="1"/>
  <c r="CC621" i="1" s="1"/>
  <c r="AK620" i="1"/>
  <c r="AW619" i="1"/>
  <c r="V622" i="1"/>
  <c r="AE621" i="1"/>
  <c r="AY620" i="1"/>
  <c r="AZ620" i="1" s="1"/>
  <c r="AG620" i="1"/>
  <c r="AX620" i="1" s="1"/>
  <c r="AI623" i="1"/>
  <c r="U623" i="1"/>
  <c r="X623" i="1" s="1"/>
  <c r="Z623" i="1" s="1"/>
  <c r="AN623" i="1"/>
  <c r="AH622" i="1"/>
  <c r="AO622" i="1" s="1"/>
  <c r="AQ622" i="1" s="1"/>
  <c r="AJ622" i="1" l="1"/>
  <c r="AK621" i="1"/>
  <c r="AW620" i="1"/>
  <c r="AE622" i="1"/>
  <c r="AG621" i="1"/>
  <c r="AX621" i="1" s="1"/>
  <c r="AY621" i="1"/>
  <c r="AZ621" i="1" s="1"/>
  <c r="U624" i="1"/>
  <c r="X624" i="1" s="1"/>
  <c r="Z624" i="1" s="1"/>
  <c r="AN624" i="1"/>
  <c r="AI624" i="1"/>
  <c r="AH623" i="1"/>
  <c r="AO623" i="1" s="1"/>
  <c r="AQ623" i="1" s="1"/>
  <c r="V623" i="1"/>
  <c r="AJ623" i="1" l="1"/>
  <c r="AK622" i="1"/>
  <c r="CC622" i="1"/>
  <c r="V624" i="1"/>
  <c r="AE623" i="1"/>
  <c r="AY622" i="1"/>
  <c r="AZ622" i="1" s="1"/>
  <c r="AG622" i="1"/>
  <c r="AX622" i="1" s="1"/>
  <c r="AW621" i="1"/>
  <c r="AH624" i="1"/>
  <c r="AO624" i="1" s="1"/>
  <c r="AQ624" i="1" s="1"/>
  <c r="AI625" i="1"/>
  <c r="AN625" i="1"/>
  <c r="U625" i="1"/>
  <c r="X625" i="1" s="1"/>
  <c r="Z625" i="1" s="1"/>
  <c r="CC623" i="1"/>
  <c r="AJ624" i="1" l="1"/>
  <c r="V625" i="1"/>
  <c r="AE624" i="1"/>
  <c r="AG623" i="1"/>
  <c r="AX623" i="1" s="1"/>
  <c r="AY623" i="1"/>
  <c r="AZ623" i="1" s="1"/>
  <c r="AW622" i="1"/>
  <c r="AK623" i="1"/>
  <c r="AH625" i="1"/>
  <c r="AO625" i="1" s="1"/>
  <c r="AQ625" i="1" s="1"/>
  <c r="AI626" i="1"/>
  <c r="AN626" i="1"/>
  <c r="U626" i="1"/>
  <c r="X626" i="1" s="1"/>
  <c r="Z626" i="1" s="1"/>
  <c r="AJ625" i="1" l="1"/>
  <c r="AW623" i="1"/>
  <c r="CC624" i="1"/>
  <c r="V626" i="1"/>
  <c r="AE625" i="1"/>
  <c r="AG624" i="1"/>
  <c r="AX624" i="1" s="1"/>
  <c r="AY624" i="1"/>
  <c r="AZ624" i="1" s="1"/>
  <c r="AK624" i="1"/>
  <c r="AH626" i="1"/>
  <c r="AO626" i="1" s="1"/>
  <c r="AQ626" i="1" s="1"/>
  <c r="AN627" i="1"/>
  <c r="AI627" i="1"/>
  <c r="U627" i="1"/>
  <c r="X627" i="1" s="1"/>
  <c r="Z627" i="1" s="1"/>
  <c r="AJ626" i="1" l="1"/>
  <c r="CC626" i="1" s="1"/>
  <c r="AW624" i="1"/>
  <c r="CC625" i="1"/>
  <c r="V627" i="1"/>
  <c r="AE626" i="1"/>
  <c r="AG625" i="1"/>
  <c r="AX625" i="1" s="1"/>
  <c r="AY625" i="1"/>
  <c r="AZ625" i="1" s="1"/>
  <c r="AK625" i="1"/>
  <c r="AI628" i="1"/>
  <c r="U628" i="1"/>
  <c r="X628" i="1" s="1"/>
  <c r="Z628" i="1" s="1"/>
  <c r="AN628" i="1"/>
  <c r="AH627" i="1"/>
  <c r="AO627" i="1" s="1"/>
  <c r="AQ627" i="1" s="1"/>
  <c r="AJ627" i="1" l="1"/>
  <c r="CC627" i="1" s="1"/>
  <c r="AK626" i="1"/>
  <c r="AW625" i="1"/>
  <c r="AE627" i="1"/>
  <c r="AG626" i="1"/>
  <c r="AX626" i="1" s="1"/>
  <c r="AY626" i="1"/>
  <c r="AZ626" i="1" s="1"/>
  <c r="V628" i="1"/>
  <c r="AH628" i="1"/>
  <c r="AO628" i="1" s="1"/>
  <c r="AQ628" i="1" s="1"/>
  <c r="AN629" i="1"/>
  <c r="AI629" i="1"/>
  <c r="U629" i="1"/>
  <c r="X629" i="1" s="1"/>
  <c r="Z629" i="1" s="1"/>
  <c r="AJ628" i="1" l="1"/>
  <c r="CC628" i="1" s="1"/>
  <c r="AE628" i="1"/>
  <c r="AY627" i="1"/>
  <c r="AZ627" i="1" s="1"/>
  <c r="AG627" i="1"/>
  <c r="AX627" i="1" s="1"/>
  <c r="AK627" i="1"/>
  <c r="AW626" i="1"/>
  <c r="V629" i="1"/>
  <c r="AH629" i="1"/>
  <c r="AO629" i="1" s="1"/>
  <c r="AQ629" i="1" s="1"/>
  <c r="U630" i="1"/>
  <c r="X630" i="1" s="1"/>
  <c r="Z630" i="1" s="1"/>
  <c r="AN630" i="1"/>
  <c r="AI630" i="1"/>
  <c r="AJ629" i="1" l="1"/>
  <c r="AE629" i="1"/>
  <c r="AG628" i="1"/>
  <c r="AX628" i="1" s="1"/>
  <c r="AY628" i="1"/>
  <c r="AZ628" i="1" s="1"/>
  <c r="AW627" i="1"/>
  <c r="AK628" i="1"/>
  <c r="V630" i="1"/>
  <c r="AH630" i="1"/>
  <c r="AO630" i="1" s="1"/>
  <c r="AQ630" i="1" s="1"/>
  <c r="U631" i="1"/>
  <c r="X631" i="1" s="1"/>
  <c r="Z631" i="1" s="1"/>
  <c r="AN631" i="1"/>
  <c r="AI631" i="1"/>
  <c r="AJ630" i="1" l="1"/>
  <c r="AK629" i="1"/>
  <c r="CC629" i="1"/>
  <c r="AW628" i="1"/>
  <c r="V631" i="1"/>
  <c r="AE630" i="1"/>
  <c r="AG629" i="1"/>
  <c r="AX629" i="1" s="1"/>
  <c r="AY629" i="1"/>
  <c r="AZ629" i="1" s="1"/>
  <c r="AH631" i="1"/>
  <c r="AO631" i="1" s="1"/>
  <c r="AQ631" i="1" s="1"/>
  <c r="AN632" i="1"/>
  <c r="AI632" i="1"/>
  <c r="U632" i="1"/>
  <c r="X632" i="1" s="1"/>
  <c r="Z632" i="1" s="1"/>
  <c r="AJ631" i="1" l="1"/>
  <c r="AW629" i="1"/>
  <c r="CC630" i="1"/>
  <c r="AK630" i="1"/>
  <c r="AE631" i="1"/>
  <c r="AY630" i="1"/>
  <c r="AZ630" i="1" s="1"/>
  <c r="AG630" i="1"/>
  <c r="AX630" i="1" s="1"/>
  <c r="V632" i="1"/>
  <c r="AH632" i="1"/>
  <c r="AO632" i="1" s="1"/>
  <c r="AQ632" i="1" s="1"/>
  <c r="U633" i="1"/>
  <c r="X633" i="1" s="1"/>
  <c r="Z633" i="1" s="1"/>
  <c r="AN633" i="1"/>
  <c r="AI633" i="1"/>
  <c r="CC631" i="1"/>
  <c r="AJ632" i="1" l="1"/>
  <c r="AG631" i="1"/>
  <c r="AX631" i="1" s="1"/>
  <c r="AY631" i="1"/>
  <c r="AZ631" i="1" s="1"/>
  <c r="AE632" i="1"/>
  <c r="AK631" i="1"/>
  <c r="AW630" i="1"/>
  <c r="AH633" i="1"/>
  <c r="AO633" i="1" s="1"/>
  <c r="AQ633" i="1" s="1"/>
  <c r="V633" i="1"/>
  <c r="AN634" i="1"/>
  <c r="U634" i="1"/>
  <c r="X634" i="1" s="1"/>
  <c r="Z634" i="1" s="1"/>
  <c r="AI634" i="1"/>
  <c r="AJ633" i="1" l="1"/>
  <c r="CC633" i="1" s="1"/>
  <c r="AK632" i="1"/>
  <c r="CC632" i="1"/>
  <c r="AW631" i="1"/>
  <c r="AG632" i="1"/>
  <c r="AX632" i="1" s="1"/>
  <c r="AY632" i="1"/>
  <c r="AZ632" i="1" s="1"/>
  <c r="V634" i="1"/>
  <c r="AE633" i="1"/>
  <c r="AW632" i="1"/>
  <c r="AN635" i="1"/>
  <c r="U635" i="1"/>
  <c r="X635" i="1" s="1"/>
  <c r="Z635" i="1" s="1"/>
  <c r="AI635" i="1"/>
  <c r="AH634" i="1"/>
  <c r="AO634" i="1" s="1"/>
  <c r="AQ634" i="1" s="1"/>
  <c r="AJ634" i="1" l="1"/>
  <c r="CC634" i="1" s="1"/>
  <c r="AK633" i="1"/>
  <c r="AE634" i="1"/>
  <c r="AG633" i="1"/>
  <c r="AX633" i="1" s="1"/>
  <c r="AY633" i="1"/>
  <c r="AZ633" i="1" s="1"/>
  <c r="V635" i="1"/>
  <c r="AH635" i="1"/>
  <c r="AO635" i="1" s="1"/>
  <c r="AQ635" i="1" s="1"/>
  <c r="AI636" i="1"/>
  <c r="U636" i="1"/>
  <c r="X636" i="1" s="1"/>
  <c r="Z636" i="1" s="1"/>
  <c r="AN636" i="1"/>
  <c r="AJ635" i="1" l="1"/>
  <c r="CC635" i="1" s="1"/>
  <c r="AE635" i="1"/>
  <c r="AY634" i="1"/>
  <c r="AZ634" i="1" s="1"/>
  <c r="AG634" i="1"/>
  <c r="AX634" i="1" s="1"/>
  <c r="AK634" i="1"/>
  <c r="AW633" i="1"/>
  <c r="V636" i="1"/>
  <c r="AH636" i="1"/>
  <c r="AO636" i="1" s="1"/>
  <c r="AQ636" i="1" s="1"/>
  <c r="AN637" i="1"/>
  <c r="AI637" i="1"/>
  <c r="U637" i="1"/>
  <c r="X637" i="1" s="1"/>
  <c r="Z637" i="1" s="1"/>
  <c r="AJ636" i="1" l="1"/>
  <c r="V637" i="1"/>
  <c r="AE636" i="1"/>
  <c r="AY635" i="1"/>
  <c r="AZ635" i="1" s="1"/>
  <c r="AG635" i="1"/>
  <c r="AX635" i="1" s="1"/>
  <c r="AH637" i="1"/>
  <c r="AO637" i="1" s="1"/>
  <c r="AQ637" i="1" s="1"/>
  <c r="AK635" i="1"/>
  <c r="AW634" i="1"/>
  <c r="AW635" i="1"/>
  <c r="AN638" i="1"/>
  <c r="U638" i="1"/>
  <c r="X638" i="1" s="1"/>
  <c r="Z638" i="1" s="1"/>
  <c r="AI638" i="1"/>
  <c r="AJ637" i="1" l="1"/>
  <c r="AK636" i="1"/>
  <c r="CC636" i="1"/>
  <c r="AE637" i="1"/>
  <c r="AG636" i="1"/>
  <c r="AX636" i="1" s="1"/>
  <c r="AY636" i="1"/>
  <c r="AZ636" i="1" s="1"/>
  <c r="U639" i="1"/>
  <c r="X639" i="1" s="1"/>
  <c r="Z639" i="1" s="1"/>
  <c r="AN639" i="1"/>
  <c r="AI639" i="1"/>
  <c r="AH638" i="1"/>
  <c r="AJ638" i="1" s="1"/>
  <c r="V638" i="1"/>
  <c r="AO638" i="1"/>
  <c r="AQ638" i="1" s="1"/>
  <c r="CC638" i="1" l="1"/>
  <c r="AK637" i="1"/>
  <c r="CC637" i="1"/>
  <c r="AE638" i="1"/>
  <c r="AY637" i="1"/>
  <c r="AZ637" i="1" s="1"/>
  <c r="AG637" i="1"/>
  <c r="AX637" i="1" s="1"/>
  <c r="AW636" i="1"/>
  <c r="AH639" i="1"/>
  <c r="AO639" i="1" s="1"/>
  <c r="AQ639" i="1" s="1"/>
  <c r="V639" i="1"/>
  <c r="U640" i="1"/>
  <c r="X640" i="1" s="1"/>
  <c r="Z640" i="1" s="1"/>
  <c r="AI640" i="1"/>
  <c r="AN640" i="1"/>
  <c r="AJ639" i="1" l="1"/>
  <c r="CC639" i="1" s="1"/>
  <c r="AK638" i="1"/>
  <c r="AW637" i="1"/>
  <c r="AE639" i="1"/>
  <c r="AG638" i="1"/>
  <c r="AX638" i="1" s="1"/>
  <c r="AY638" i="1"/>
  <c r="AZ638" i="1" s="1"/>
  <c r="AW638" i="1"/>
  <c r="AI641" i="1"/>
  <c r="AN641" i="1"/>
  <c r="U641" i="1"/>
  <c r="X641" i="1" s="1"/>
  <c r="Z641" i="1" s="1"/>
  <c r="AH640" i="1"/>
  <c r="AO640" i="1" s="1"/>
  <c r="AQ640" i="1" s="1"/>
  <c r="V640" i="1"/>
  <c r="AJ640" i="1" l="1"/>
  <c r="AK639" i="1"/>
  <c r="CC640" i="1"/>
  <c r="AE640" i="1"/>
  <c r="AG639" i="1"/>
  <c r="AX639" i="1" s="1"/>
  <c r="AY639" i="1"/>
  <c r="AZ639" i="1" s="1"/>
  <c r="V641" i="1"/>
  <c r="AH641" i="1"/>
  <c r="AO641" i="1" s="1"/>
  <c r="AQ641" i="1" s="1"/>
  <c r="AI642" i="1"/>
  <c r="U642" i="1"/>
  <c r="X642" i="1" s="1"/>
  <c r="Z642" i="1" s="1"/>
  <c r="AN642" i="1"/>
  <c r="AJ641" i="1" l="1"/>
  <c r="CC641" i="1" s="1"/>
  <c r="V642" i="1"/>
  <c r="AE641" i="1"/>
  <c r="AG640" i="1"/>
  <c r="AX640" i="1" s="1"/>
  <c r="AY640" i="1"/>
  <c r="AZ640" i="1" s="1"/>
  <c r="AI643" i="1"/>
  <c r="AN643" i="1"/>
  <c r="U643" i="1"/>
  <c r="X643" i="1" s="1"/>
  <c r="Z643" i="1" s="1"/>
  <c r="AH642" i="1"/>
  <c r="AO642" i="1" s="1"/>
  <c r="AQ642" i="1" s="1"/>
  <c r="AK640" i="1"/>
  <c r="AW639" i="1"/>
  <c r="AJ642" i="1" l="1"/>
  <c r="AE642" i="1"/>
  <c r="AG641" i="1"/>
  <c r="AX641" i="1" s="1"/>
  <c r="AY641" i="1"/>
  <c r="AZ641" i="1" s="1"/>
  <c r="AW640" i="1"/>
  <c r="AK641" i="1"/>
  <c r="AH643" i="1"/>
  <c r="AJ643" i="1" s="1"/>
  <c r="V643" i="1"/>
  <c r="AO643" i="1"/>
  <c r="AQ643" i="1" s="1"/>
  <c r="AN644" i="1"/>
  <c r="AI644" i="1"/>
  <c r="U644" i="1"/>
  <c r="X644" i="1" s="1"/>
  <c r="Z644" i="1" s="1"/>
  <c r="CC642" i="1"/>
  <c r="CC643" i="1" l="1"/>
  <c r="AE643" i="1"/>
  <c r="AY642" i="1"/>
  <c r="AZ642" i="1" s="1"/>
  <c r="AG642" i="1"/>
  <c r="AX642" i="1" s="1"/>
  <c r="AK642" i="1"/>
  <c r="AW641" i="1"/>
  <c r="AK643" i="1"/>
  <c r="AI645" i="1"/>
  <c r="AN645" i="1"/>
  <c r="U645" i="1"/>
  <c r="X645" i="1" s="1"/>
  <c r="Z645" i="1" s="1"/>
  <c r="V644" i="1"/>
  <c r="AH644" i="1"/>
  <c r="AO644" i="1" s="1"/>
  <c r="AQ644" i="1" s="1"/>
  <c r="AJ644" i="1" l="1"/>
  <c r="AW642" i="1"/>
  <c r="AE644" i="1"/>
  <c r="AY643" i="1"/>
  <c r="AZ643" i="1" s="1"/>
  <c r="AG643" i="1"/>
  <c r="AX643" i="1" s="1"/>
  <c r="AI646" i="1"/>
  <c r="AN646" i="1"/>
  <c r="U646" i="1"/>
  <c r="X646" i="1" s="1"/>
  <c r="Z646" i="1" s="1"/>
  <c r="AH645" i="1"/>
  <c r="AJ645" i="1" s="1"/>
  <c r="V645" i="1"/>
  <c r="AO645" i="1"/>
  <c r="AQ645" i="1" s="1"/>
  <c r="CC645" i="1" l="1"/>
  <c r="AK644" i="1"/>
  <c r="CC644" i="1"/>
  <c r="AW643" i="1"/>
  <c r="V646" i="1"/>
  <c r="AE645" i="1"/>
  <c r="AG644" i="1"/>
  <c r="AX644" i="1" s="1"/>
  <c r="AY644" i="1"/>
  <c r="AZ644" i="1" s="1"/>
  <c r="AK645" i="1"/>
  <c r="AW644" i="1"/>
  <c r="AH646" i="1"/>
  <c r="AO646" i="1" s="1"/>
  <c r="AQ646" i="1" s="1"/>
  <c r="U647" i="1"/>
  <c r="X647" i="1" s="1"/>
  <c r="Z647" i="1" s="1"/>
  <c r="AN647" i="1"/>
  <c r="AI647" i="1"/>
  <c r="AJ646" i="1" l="1"/>
  <c r="AK646" i="1" s="1"/>
  <c r="AE646" i="1"/>
  <c r="AY645" i="1"/>
  <c r="AZ645" i="1" s="1"/>
  <c r="AG645" i="1"/>
  <c r="AX645" i="1" s="1"/>
  <c r="U648" i="1"/>
  <c r="X648" i="1" s="1"/>
  <c r="Z648" i="1" s="1"/>
  <c r="AN648" i="1"/>
  <c r="AI648" i="1"/>
  <c r="V647" i="1"/>
  <c r="AH647" i="1"/>
  <c r="AO647" i="1" s="1"/>
  <c r="AQ647" i="1" s="1"/>
  <c r="AJ647" i="1" l="1"/>
  <c r="CC647" i="1" s="1"/>
  <c r="AW645" i="1"/>
  <c r="CC646" i="1"/>
  <c r="AE647" i="1"/>
  <c r="AG646" i="1"/>
  <c r="AX646" i="1" s="1"/>
  <c r="AY646" i="1"/>
  <c r="AZ646" i="1" s="1"/>
  <c r="V648" i="1"/>
  <c r="AH648" i="1"/>
  <c r="AO648" i="1" s="1"/>
  <c r="AQ648" i="1" s="1"/>
  <c r="U649" i="1"/>
  <c r="X649" i="1" s="1"/>
  <c r="Z649" i="1" s="1"/>
  <c r="AN649" i="1"/>
  <c r="AI649" i="1"/>
  <c r="AJ648" i="1" l="1"/>
  <c r="CC648" i="1" s="1"/>
  <c r="V649" i="1"/>
  <c r="AE648" i="1"/>
  <c r="AY647" i="1"/>
  <c r="AZ647" i="1" s="1"/>
  <c r="AG647" i="1"/>
  <c r="AX647" i="1" s="1"/>
  <c r="AK647" i="1"/>
  <c r="AW646" i="1"/>
  <c r="AH649" i="1"/>
  <c r="AJ649" i="1" s="1"/>
  <c r="U650" i="1"/>
  <c r="X650" i="1" s="1"/>
  <c r="Z650" i="1" s="1"/>
  <c r="AI650" i="1"/>
  <c r="AN650" i="1"/>
  <c r="CC649" i="1" l="1"/>
  <c r="V650" i="1"/>
  <c r="AE649" i="1"/>
  <c r="AG648" i="1"/>
  <c r="AX648" i="1" s="1"/>
  <c r="AY648" i="1"/>
  <c r="AZ648" i="1" s="1"/>
  <c r="AK649" i="1"/>
  <c r="AW648" i="1"/>
  <c r="AI651" i="1"/>
  <c r="U651" i="1"/>
  <c r="X651" i="1" s="1"/>
  <c r="Z651" i="1" s="1"/>
  <c r="AN651" i="1"/>
  <c r="AH650" i="1"/>
  <c r="AO650" i="1" s="1"/>
  <c r="AQ650" i="1" s="1"/>
  <c r="AK648" i="1"/>
  <c r="AW647" i="1"/>
  <c r="AO649" i="1"/>
  <c r="AQ649" i="1" s="1"/>
  <c r="AJ650" i="1" l="1"/>
  <c r="V651" i="1"/>
  <c r="AE650" i="1"/>
  <c r="AY649" i="1"/>
  <c r="AZ649" i="1" s="1"/>
  <c r="AG649" i="1"/>
  <c r="AX649" i="1" s="1"/>
  <c r="AI652" i="1"/>
  <c r="AN652" i="1"/>
  <c r="U652" i="1"/>
  <c r="X652" i="1" s="1"/>
  <c r="Z652" i="1" s="1"/>
  <c r="AH651" i="1"/>
  <c r="AO651" i="1" s="1"/>
  <c r="AQ651" i="1" s="1"/>
  <c r="AJ651" i="1" l="1"/>
  <c r="CC651" i="1" s="1"/>
  <c r="AK650" i="1"/>
  <c r="CC650" i="1"/>
  <c r="AW649" i="1"/>
  <c r="AE651" i="1"/>
  <c r="AG650" i="1"/>
  <c r="AX650" i="1" s="1"/>
  <c r="AY650" i="1"/>
  <c r="AZ650" i="1" s="1"/>
  <c r="AN653" i="1"/>
  <c r="AI653" i="1"/>
  <c r="U653" i="1"/>
  <c r="X653" i="1" s="1"/>
  <c r="Z653" i="1" s="1"/>
  <c r="V652" i="1"/>
  <c r="AH652" i="1"/>
  <c r="AO652" i="1" s="1"/>
  <c r="AQ652" i="1" s="1"/>
  <c r="AJ652" i="1" l="1"/>
  <c r="CC652" i="1" s="1"/>
  <c r="AK651" i="1"/>
  <c r="AW650" i="1"/>
  <c r="AE652" i="1"/>
  <c r="AY651" i="1"/>
  <c r="AZ651" i="1" s="1"/>
  <c r="AG651" i="1"/>
  <c r="AX651" i="1" s="1"/>
  <c r="U654" i="1"/>
  <c r="X654" i="1" s="1"/>
  <c r="Z654" i="1" s="1"/>
  <c r="AN654" i="1"/>
  <c r="AI654" i="1"/>
  <c r="V653" i="1"/>
  <c r="AH653" i="1"/>
  <c r="AO653" i="1" s="1"/>
  <c r="AQ653" i="1" s="1"/>
  <c r="AJ653" i="1" l="1"/>
  <c r="CC653" i="1" s="1"/>
  <c r="AE653" i="1"/>
  <c r="AG652" i="1"/>
  <c r="AX652" i="1" s="1"/>
  <c r="AY652" i="1"/>
  <c r="AZ652" i="1" s="1"/>
  <c r="AW651" i="1"/>
  <c r="AK652" i="1"/>
  <c r="AI655" i="1"/>
  <c r="AN655" i="1"/>
  <c r="U655" i="1"/>
  <c r="X655" i="1" s="1"/>
  <c r="Z655" i="1" s="1"/>
  <c r="AH654" i="1"/>
  <c r="AO654" i="1" s="1"/>
  <c r="AQ654" i="1" s="1"/>
  <c r="V654" i="1"/>
  <c r="AJ654" i="1" l="1"/>
  <c r="CC654" i="1" s="1"/>
  <c r="AE654" i="1"/>
  <c r="AY653" i="1"/>
  <c r="AZ653" i="1" s="1"/>
  <c r="AG653" i="1"/>
  <c r="AX653" i="1" s="1"/>
  <c r="AW652" i="1"/>
  <c r="AK653" i="1"/>
  <c r="V655" i="1"/>
  <c r="AH655" i="1"/>
  <c r="AO655" i="1" s="1"/>
  <c r="AQ655" i="1" s="1"/>
  <c r="AI656" i="1"/>
  <c r="U656" i="1"/>
  <c r="X656" i="1" s="1"/>
  <c r="Z656" i="1" s="1"/>
  <c r="AN656" i="1"/>
  <c r="AJ655" i="1" l="1"/>
  <c r="CC655" i="1" s="1"/>
  <c r="AE655" i="1"/>
  <c r="AG654" i="1"/>
  <c r="AX654" i="1" s="1"/>
  <c r="AY654" i="1"/>
  <c r="AZ654" i="1" s="1"/>
  <c r="AW653" i="1"/>
  <c r="AK654" i="1"/>
  <c r="AH656" i="1"/>
  <c r="AO656" i="1" s="1"/>
  <c r="AQ656" i="1" s="1"/>
  <c r="V656" i="1"/>
  <c r="U657" i="1"/>
  <c r="X657" i="1" s="1"/>
  <c r="Z657" i="1" s="1"/>
  <c r="AN657" i="1"/>
  <c r="AI657" i="1"/>
  <c r="AJ656" i="1" l="1"/>
  <c r="CC656" i="1" s="1"/>
  <c r="AE656" i="1"/>
  <c r="AG655" i="1"/>
  <c r="AX655" i="1" s="1"/>
  <c r="AY655" i="1"/>
  <c r="AZ655" i="1" s="1"/>
  <c r="AK655" i="1"/>
  <c r="AW654" i="1"/>
  <c r="AK656" i="1"/>
  <c r="AN658" i="1"/>
  <c r="AI658" i="1"/>
  <c r="U658" i="1"/>
  <c r="X658" i="1" s="1"/>
  <c r="Z658" i="1" s="1"/>
  <c r="V657" i="1"/>
  <c r="AH657" i="1"/>
  <c r="AO657" i="1" s="1"/>
  <c r="AQ657" i="1" s="1"/>
  <c r="AJ657" i="1" l="1"/>
  <c r="CC657" i="1" s="1"/>
  <c r="AW655" i="1"/>
  <c r="AE657" i="1"/>
  <c r="AG656" i="1"/>
  <c r="AX656" i="1" s="1"/>
  <c r="AY656" i="1"/>
  <c r="AZ656" i="1" s="1"/>
  <c r="AI659" i="1"/>
  <c r="U659" i="1"/>
  <c r="X659" i="1" s="1"/>
  <c r="Z659" i="1" s="1"/>
  <c r="AN659" i="1"/>
  <c r="V658" i="1"/>
  <c r="AH658" i="1"/>
  <c r="AO658" i="1" s="1"/>
  <c r="AQ658" i="1" s="1"/>
  <c r="AJ658" i="1" l="1"/>
  <c r="AE658" i="1"/>
  <c r="AG657" i="1"/>
  <c r="AX657" i="1" s="1"/>
  <c r="AY657" i="1"/>
  <c r="AZ657" i="1" s="1"/>
  <c r="AK657" i="1"/>
  <c r="AW656" i="1"/>
  <c r="AN660" i="1"/>
  <c r="AI660" i="1"/>
  <c r="U660" i="1"/>
  <c r="X660" i="1" s="1"/>
  <c r="Z660" i="1" s="1"/>
  <c r="AH659" i="1"/>
  <c r="AO659" i="1" s="1"/>
  <c r="AQ659" i="1" s="1"/>
  <c r="V659" i="1"/>
  <c r="AJ659" i="1" l="1"/>
  <c r="AK658" i="1"/>
  <c r="CC658" i="1"/>
  <c r="V660" i="1"/>
  <c r="AE659" i="1"/>
  <c r="AG658" i="1"/>
  <c r="AX658" i="1" s="1"/>
  <c r="AY658" i="1"/>
  <c r="AZ658" i="1" s="1"/>
  <c r="AW657" i="1"/>
  <c r="AH660" i="1"/>
  <c r="AO660" i="1" s="1"/>
  <c r="AQ660" i="1" s="1"/>
  <c r="AN661" i="1"/>
  <c r="U661" i="1"/>
  <c r="X661" i="1" s="1"/>
  <c r="Z661" i="1" s="1"/>
  <c r="AI661" i="1"/>
  <c r="CC659" i="1"/>
  <c r="AJ660" i="1" l="1"/>
  <c r="CC660" i="1" s="1"/>
  <c r="AE660" i="1"/>
  <c r="AY659" i="1"/>
  <c r="AZ659" i="1" s="1"/>
  <c r="AG659" i="1"/>
  <c r="AX659" i="1" s="1"/>
  <c r="AW658" i="1"/>
  <c r="AK659" i="1"/>
  <c r="AH661" i="1"/>
  <c r="AO661" i="1" s="1"/>
  <c r="AQ661" i="1" s="1"/>
  <c r="V661" i="1"/>
  <c r="AI662" i="1"/>
  <c r="AN662" i="1"/>
  <c r="U662" i="1"/>
  <c r="X662" i="1" s="1"/>
  <c r="Z662" i="1" s="1"/>
  <c r="AJ661" i="1" l="1"/>
  <c r="CC661" i="1" s="1"/>
  <c r="AE661" i="1"/>
  <c r="AY660" i="1"/>
  <c r="AZ660" i="1" s="1"/>
  <c r="AG660" i="1"/>
  <c r="AX660" i="1" s="1"/>
  <c r="AK660" i="1"/>
  <c r="AW659" i="1"/>
  <c r="V662" i="1"/>
  <c r="AH662" i="1"/>
  <c r="AO662" i="1" s="1"/>
  <c r="AQ662" i="1" s="1"/>
  <c r="AI663" i="1"/>
  <c r="AN663" i="1"/>
  <c r="U663" i="1"/>
  <c r="X663" i="1" s="1"/>
  <c r="Z663" i="1" s="1"/>
  <c r="AJ662" i="1" l="1"/>
  <c r="CC662" i="1" s="1"/>
  <c r="AE662" i="1"/>
  <c r="AG661" i="1"/>
  <c r="AX661" i="1" s="1"/>
  <c r="AY661" i="1"/>
  <c r="AZ661" i="1" s="1"/>
  <c r="U664" i="1"/>
  <c r="X664" i="1" s="1"/>
  <c r="Z664" i="1" s="1"/>
  <c r="AI664" i="1"/>
  <c r="AN664" i="1"/>
  <c r="V663" i="1"/>
  <c r="AH663" i="1"/>
  <c r="AO663" i="1" s="1"/>
  <c r="AQ663" i="1" s="1"/>
  <c r="AK661" i="1"/>
  <c r="AW660" i="1"/>
  <c r="AJ663" i="1" l="1"/>
  <c r="CC663" i="1" s="1"/>
  <c r="AE663" i="1"/>
  <c r="AY662" i="1"/>
  <c r="AZ662" i="1" s="1"/>
  <c r="AG662" i="1"/>
  <c r="AX662" i="1" s="1"/>
  <c r="AW661" i="1"/>
  <c r="AK662" i="1"/>
  <c r="AI665" i="1"/>
  <c r="U665" i="1"/>
  <c r="X665" i="1" s="1"/>
  <c r="Z665" i="1" s="1"/>
  <c r="AN665" i="1"/>
  <c r="V664" i="1"/>
  <c r="AH664" i="1"/>
  <c r="AJ664" i="1" s="1"/>
  <c r="AE664" i="1" l="1"/>
  <c r="AG663" i="1"/>
  <c r="AX663" i="1" s="1"/>
  <c r="AY663" i="1"/>
  <c r="AZ663" i="1" s="1"/>
  <c r="AW662" i="1"/>
  <c r="AK663" i="1"/>
  <c r="AI666" i="1"/>
  <c r="AN666" i="1"/>
  <c r="U666" i="1"/>
  <c r="X666" i="1" s="1"/>
  <c r="Z666" i="1" s="1"/>
  <c r="AH665" i="1"/>
  <c r="AO665" i="1" s="1"/>
  <c r="AQ665" i="1" s="1"/>
  <c r="V665" i="1"/>
  <c r="AO664" i="1"/>
  <c r="AQ664" i="1" s="1"/>
  <c r="AJ665" i="1" l="1"/>
  <c r="AK665" i="1" s="1"/>
  <c r="AK664" i="1"/>
  <c r="CC664" i="1"/>
  <c r="AE665" i="1"/>
  <c r="AY664" i="1"/>
  <c r="AZ664" i="1" s="1"/>
  <c r="AG664" i="1"/>
  <c r="AX664" i="1" s="1"/>
  <c r="AW663" i="1"/>
  <c r="AN667" i="1"/>
  <c r="U667" i="1"/>
  <c r="X667" i="1" s="1"/>
  <c r="Z667" i="1" s="1"/>
  <c r="AI667" i="1"/>
  <c r="V666" i="1"/>
  <c r="AH666" i="1"/>
  <c r="AO666" i="1" s="1"/>
  <c r="AQ666" i="1" s="1"/>
  <c r="AJ666" i="1" l="1"/>
  <c r="CC666" i="1" s="1"/>
  <c r="AW664" i="1"/>
  <c r="CC665" i="1"/>
  <c r="V667" i="1"/>
  <c r="AE666" i="1"/>
  <c r="AG665" i="1"/>
  <c r="AX665" i="1" s="1"/>
  <c r="AY665" i="1"/>
  <c r="AZ665" i="1" s="1"/>
  <c r="AI668" i="1"/>
  <c r="U668" i="1"/>
  <c r="X668" i="1" s="1"/>
  <c r="Z668" i="1" s="1"/>
  <c r="AN668" i="1"/>
  <c r="AH667" i="1"/>
  <c r="AO667" i="1" s="1"/>
  <c r="AQ667" i="1" s="1"/>
  <c r="AJ667" i="1" l="1"/>
  <c r="CC667" i="1" s="1"/>
  <c r="AE667" i="1"/>
  <c r="AY666" i="1"/>
  <c r="AZ666" i="1" s="1"/>
  <c r="AG666" i="1"/>
  <c r="AX666" i="1" s="1"/>
  <c r="AW665" i="1"/>
  <c r="AK666" i="1"/>
  <c r="V668" i="1"/>
  <c r="AH668" i="1"/>
  <c r="AO668" i="1" s="1"/>
  <c r="AQ668" i="1" s="1"/>
  <c r="AN669" i="1"/>
  <c r="U669" i="1"/>
  <c r="X669" i="1" s="1"/>
  <c r="Z669" i="1" s="1"/>
  <c r="AI669" i="1"/>
  <c r="AJ668" i="1" l="1"/>
  <c r="CC668" i="1" s="1"/>
  <c r="V669" i="1"/>
  <c r="AE668" i="1"/>
  <c r="AG667" i="1"/>
  <c r="AX667" i="1" s="1"/>
  <c r="AY667" i="1"/>
  <c r="AZ667" i="1" s="1"/>
  <c r="AW666" i="1"/>
  <c r="AK667" i="1"/>
  <c r="AH669" i="1"/>
  <c r="AO669" i="1" s="1"/>
  <c r="AQ669" i="1" s="1"/>
  <c r="AN670" i="1"/>
  <c r="AI670" i="1"/>
  <c r="U670" i="1"/>
  <c r="X670" i="1" s="1"/>
  <c r="Z670" i="1" s="1"/>
  <c r="AJ669" i="1" l="1"/>
  <c r="CC669" i="1" s="1"/>
  <c r="AW667" i="1"/>
  <c r="AK668" i="1"/>
  <c r="AE669" i="1"/>
  <c r="AY668" i="1"/>
  <c r="AZ668" i="1" s="1"/>
  <c r="AG668" i="1"/>
  <c r="AX668" i="1" s="1"/>
  <c r="AI671" i="1"/>
  <c r="U671" i="1"/>
  <c r="X671" i="1" s="1"/>
  <c r="Z671" i="1" s="1"/>
  <c r="AN671" i="1"/>
  <c r="V670" i="1"/>
  <c r="AH670" i="1"/>
  <c r="AO670" i="1" s="1"/>
  <c r="AQ670" i="1" s="1"/>
  <c r="AJ670" i="1" l="1"/>
  <c r="AK669" i="1"/>
  <c r="AW668" i="1"/>
  <c r="AE670" i="1"/>
  <c r="AG669" i="1"/>
  <c r="AX669" i="1" s="1"/>
  <c r="AY669" i="1"/>
  <c r="AZ669" i="1" s="1"/>
  <c r="AI672" i="1"/>
  <c r="U672" i="1"/>
  <c r="X672" i="1" s="1"/>
  <c r="Z672" i="1" s="1"/>
  <c r="AN672" i="1"/>
  <c r="AH671" i="1"/>
  <c r="AO671" i="1" s="1"/>
  <c r="AQ671" i="1" s="1"/>
  <c r="V671" i="1"/>
  <c r="AJ671" i="1" l="1"/>
  <c r="AW669" i="1"/>
  <c r="CC670" i="1"/>
  <c r="AE671" i="1"/>
  <c r="AG670" i="1"/>
  <c r="AX670" i="1" s="1"/>
  <c r="AY670" i="1"/>
  <c r="AZ670" i="1" s="1"/>
  <c r="AK670" i="1"/>
  <c r="AH672" i="1"/>
  <c r="AO672" i="1" s="1"/>
  <c r="AQ672" i="1" s="1"/>
  <c r="V672" i="1"/>
  <c r="AN673" i="1"/>
  <c r="U673" i="1"/>
  <c r="X673" i="1" s="1"/>
  <c r="Z673" i="1" s="1"/>
  <c r="AI673" i="1"/>
  <c r="CC671" i="1"/>
  <c r="AJ672" i="1" l="1"/>
  <c r="CC672" i="1" s="1"/>
  <c r="V673" i="1"/>
  <c r="AE672" i="1"/>
  <c r="AY671" i="1"/>
  <c r="AZ671" i="1" s="1"/>
  <c r="AG671" i="1"/>
  <c r="AX671" i="1" s="1"/>
  <c r="AW670" i="1"/>
  <c r="AK671" i="1"/>
  <c r="AN674" i="1"/>
  <c r="AI674" i="1"/>
  <c r="U674" i="1"/>
  <c r="X674" i="1" s="1"/>
  <c r="Z674" i="1" s="1"/>
  <c r="AH673" i="1"/>
  <c r="AO673" i="1" s="1"/>
  <c r="AQ673" i="1" s="1"/>
  <c r="AJ673" i="1" l="1"/>
  <c r="CC673" i="1" s="1"/>
  <c r="AK672" i="1"/>
  <c r="AW671" i="1"/>
  <c r="AE673" i="1"/>
  <c r="AG672" i="1"/>
  <c r="AX672" i="1" s="1"/>
  <c r="AY672" i="1"/>
  <c r="AZ672" i="1" s="1"/>
  <c r="AN675" i="1"/>
  <c r="AI675" i="1"/>
  <c r="U675" i="1"/>
  <c r="X675" i="1" s="1"/>
  <c r="Z675" i="1" s="1"/>
  <c r="AH674" i="1"/>
  <c r="AO674" i="1" s="1"/>
  <c r="AQ674" i="1" s="1"/>
  <c r="V674" i="1"/>
  <c r="AJ674" i="1" l="1"/>
  <c r="CC674" i="1" s="1"/>
  <c r="AE674" i="1"/>
  <c r="AG673" i="1"/>
  <c r="AX673" i="1" s="1"/>
  <c r="AY673" i="1"/>
  <c r="AZ673" i="1" s="1"/>
  <c r="AK673" i="1"/>
  <c r="AW672" i="1"/>
  <c r="V675" i="1"/>
  <c r="AH675" i="1"/>
  <c r="AO675" i="1" s="1"/>
  <c r="AQ675" i="1" s="1"/>
  <c r="AN676" i="1"/>
  <c r="U676" i="1"/>
  <c r="X676" i="1" s="1"/>
  <c r="Z676" i="1" s="1"/>
  <c r="AI676" i="1"/>
  <c r="AJ675" i="1" l="1"/>
  <c r="AE675" i="1"/>
  <c r="AG674" i="1"/>
  <c r="AX674" i="1" s="1"/>
  <c r="AY674" i="1"/>
  <c r="AZ674" i="1" s="1"/>
  <c r="AW673" i="1"/>
  <c r="AK674" i="1"/>
  <c r="V676" i="1"/>
  <c r="AH676" i="1"/>
  <c r="AO676" i="1" s="1"/>
  <c r="AQ676" i="1" s="1"/>
  <c r="AI677" i="1"/>
  <c r="AN677" i="1"/>
  <c r="U677" i="1"/>
  <c r="X677" i="1" s="1"/>
  <c r="Z677" i="1" s="1"/>
  <c r="AJ676" i="1" l="1"/>
  <c r="AW675" i="1" s="1"/>
  <c r="AK675" i="1"/>
  <c r="CC675" i="1"/>
  <c r="AW674" i="1"/>
  <c r="AE676" i="1"/>
  <c r="AG675" i="1"/>
  <c r="AX675" i="1" s="1"/>
  <c r="AY675" i="1"/>
  <c r="AZ675" i="1" s="1"/>
  <c r="AH677" i="1"/>
  <c r="AO677" i="1" s="1"/>
  <c r="AQ677" i="1" s="1"/>
  <c r="V677" i="1"/>
  <c r="U678" i="1"/>
  <c r="X678" i="1" s="1"/>
  <c r="Z678" i="1" s="1"/>
  <c r="AI678" i="1"/>
  <c r="AN678" i="1"/>
  <c r="AJ677" i="1" l="1"/>
  <c r="CC677" i="1" s="1"/>
  <c r="AK676" i="1"/>
  <c r="CC676" i="1"/>
  <c r="V678" i="1"/>
  <c r="AE677" i="1"/>
  <c r="AG676" i="1"/>
  <c r="AX676" i="1" s="1"/>
  <c r="AY676" i="1"/>
  <c r="AZ676" i="1" s="1"/>
  <c r="AH678" i="1"/>
  <c r="AO678" i="1" s="1"/>
  <c r="AQ678" i="1" s="1"/>
  <c r="AI679" i="1"/>
  <c r="AN679" i="1"/>
  <c r="U679" i="1"/>
  <c r="X679" i="1" s="1"/>
  <c r="Z679" i="1" s="1"/>
  <c r="AJ678" i="1" l="1"/>
  <c r="CC678" i="1" s="1"/>
  <c r="AE678" i="1"/>
  <c r="AG677" i="1"/>
  <c r="AX677" i="1" s="1"/>
  <c r="AY677" i="1"/>
  <c r="AZ677" i="1" s="1"/>
  <c r="AI680" i="1"/>
  <c r="U680" i="1"/>
  <c r="X680" i="1" s="1"/>
  <c r="Z680" i="1" s="1"/>
  <c r="AN680" i="1"/>
  <c r="AH679" i="1"/>
  <c r="AO679" i="1" s="1"/>
  <c r="AQ679" i="1" s="1"/>
  <c r="V679" i="1"/>
  <c r="AK677" i="1"/>
  <c r="AW676" i="1"/>
  <c r="AJ679" i="1" l="1"/>
  <c r="AE679" i="1"/>
  <c r="AG678" i="1"/>
  <c r="AX678" i="1" s="1"/>
  <c r="AY678" i="1"/>
  <c r="AZ678" i="1" s="1"/>
  <c r="AK678" i="1"/>
  <c r="AW677" i="1"/>
  <c r="U681" i="1"/>
  <c r="X681" i="1" s="1"/>
  <c r="Z681" i="1" s="1"/>
  <c r="AI681" i="1"/>
  <c r="AN681" i="1"/>
  <c r="AH680" i="1"/>
  <c r="AJ680" i="1" s="1"/>
  <c r="V680" i="1"/>
  <c r="AO680" i="1"/>
  <c r="AQ680" i="1" s="1"/>
  <c r="CC679" i="1"/>
  <c r="AE680" i="1" l="1"/>
  <c r="AY679" i="1"/>
  <c r="AZ679" i="1" s="1"/>
  <c r="AG679" i="1"/>
  <c r="AX679" i="1" s="1"/>
  <c r="V681" i="1"/>
  <c r="AH681" i="1"/>
  <c r="AO681" i="1" s="1"/>
  <c r="AQ681" i="1" s="1"/>
  <c r="AI682" i="1"/>
  <c r="AN682" i="1"/>
  <c r="U682" i="1"/>
  <c r="X682" i="1" s="1"/>
  <c r="Z682" i="1" s="1"/>
  <c r="AK679" i="1"/>
  <c r="AW678" i="1"/>
  <c r="CC680" i="1"/>
  <c r="AJ681" i="1" l="1"/>
  <c r="CC681" i="1" s="1"/>
  <c r="V682" i="1"/>
  <c r="AE681" i="1"/>
  <c r="AG680" i="1"/>
  <c r="AX680" i="1" s="1"/>
  <c r="AY680" i="1"/>
  <c r="AZ680" i="1" s="1"/>
  <c r="AW679" i="1"/>
  <c r="AK680" i="1"/>
  <c r="AH682" i="1"/>
  <c r="AJ682" i="1" s="1"/>
  <c r="AI683" i="1"/>
  <c r="U683" i="1"/>
  <c r="X683" i="1" s="1"/>
  <c r="Z683" i="1" s="1"/>
  <c r="AN683" i="1"/>
  <c r="AK681" i="1" l="1"/>
  <c r="AO682" i="1"/>
  <c r="AQ682" i="1" s="1"/>
  <c r="AW680" i="1"/>
  <c r="AE682" i="1"/>
  <c r="AY681" i="1"/>
  <c r="AZ681" i="1" s="1"/>
  <c r="AG681" i="1"/>
  <c r="AX681" i="1" s="1"/>
  <c r="U684" i="1"/>
  <c r="X684" i="1" s="1"/>
  <c r="Z684" i="1" s="1"/>
  <c r="AI684" i="1"/>
  <c r="AN684" i="1"/>
  <c r="AH683" i="1"/>
  <c r="AJ683" i="1" s="1"/>
  <c r="V683" i="1"/>
  <c r="AO683" i="1"/>
  <c r="AQ683" i="1" s="1"/>
  <c r="AK682" i="1" l="1"/>
  <c r="CC682" i="1"/>
  <c r="AE683" i="1"/>
  <c r="AY682" i="1"/>
  <c r="AZ682" i="1" s="1"/>
  <c r="AG682" i="1"/>
  <c r="AX682" i="1" s="1"/>
  <c r="AW681" i="1"/>
  <c r="AH684" i="1"/>
  <c r="AJ684" i="1" s="1"/>
  <c r="V684" i="1"/>
  <c r="U685" i="1"/>
  <c r="X685" i="1" s="1"/>
  <c r="Z685" i="1" s="1"/>
  <c r="AN685" i="1"/>
  <c r="AI685" i="1"/>
  <c r="CC683" i="1"/>
  <c r="CC684" i="1" l="1"/>
  <c r="V685" i="1"/>
  <c r="AE684" i="1"/>
  <c r="AY683" i="1"/>
  <c r="AZ683" i="1" s="1"/>
  <c r="AG683" i="1"/>
  <c r="AX683" i="1" s="1"/>
  <c r="U686" i="1"/>
  <c r="X686" i="1" s="1"/>
  <c r="Z686" i="1" s="1"/>
  <c r="AI686" i="1"/>
  <c r="AN686" i="1"/>
  <c r="AW682" i="1"/>
  <c r="AK683" i="1"/>
  <c r="AH685" i="1"/>
  <c r="AO685" i="1" s="1"/>
  <c r="AQ685" i="1" s="1"/>
  <c r="AO684" i="1"/>
  <c r="AQ684" i="1" s="1"/>
  <c r="AJ685" i="1" l="1"/>
  <c r="AW683" i="1"/>
  <c r="AK684" i="1"/>
  <c r="V686" i="1"/>
  <c r="AE685" i="1"/>
  <c r="AG684" i="1"/>
  <c r="AX684" i="1" s="1"/>
  <c r="AY684" i="1"/>
  <c r="AZ684" i="1" s="1"/>
  <c r="AI687" i="1"/>
  <c r="AN687" i="1"/>
  <c r="U687" i="1"/>
  <c r="X687" i="1" s="1"/>
  <c r="Z687" i="1" s="1"/>
  <c r="AH686" i="1"/>
  <c r="AO686" i="1" s="1"/>
  <c r="AQ686" i="1" s="1"/>
  <c r="AJ686" i="1" l="1"/>
  <c r="CC686" i="1" s="1"/>
  <c r="AK685" i="1"/>
  <c r="CC685" i="1"/>
  <c r="AW684" i="1"/>
  <c r="V687" i="1"/>
  <c r="AE686" i="1"/>
  <c r="AY685" i="1"/>
  <c r="AZ685" i="1" s="1"/>
  <c r="AG685" i="1"/>
  <c r="AX685" i="1" s="1"/>
  <c r="AH687" i="1"/>
  <c r="AO687" i="1" s="1"/>
  <c r="AQ687" i="1" s="1"/>
  <c r="AN688" i="1"/>
  <c r="AI688" i="1"/>
  <c r="U688" i="1"/>
  <c r="X688" i="1" s="1"/>
  <c r="Z688" i="1" s="1"/>
  <c r="AJ687" i="1" l="1"/>
  <c r="V688" i="1"/>
  <c r="AE687" i="1"/>
  <c r="AG686" i="1"/>
  <c r="AX686" i="1" s="1"/>
  <c r="AY686" i="1"/>
  <c r="AZ686" i="1" s="1"/>
  <c r="AW685" i="1"/>
  <c r="AK686" i="1"/>
  <c r="AN689" i="1"/>
  <c r="AI689" i="1"/>
  <c r="U689" i="1"/>
  <c r="X689" i="1" s="1"/>
  <c r="Z689" i="1" s="1"/>
  <c r="AH688" i="1"/>
  <c r="AO688" i="1" s="1"/>
  <c r="AQ688" i="1" s="1"/>
  <c r="AJ688" i="1" l="1"/>
  <c r="AW686" i="1"/>
  <c r="CC687" i="1"/>
  <c r="AK687" i="1"/>
  <c r="AE688" i="1"/>
  <c r="AY687" i="1"/>
  <c r="AZ687" i="1" s="1"/>
  <c r="AG687" i="1"/>
  <c r="AX687" i="1" s="1"/>
  <c r="V689" i="1"/>
  <c r="AH689" i="1"/>
  <c r="AO689" i="1" s="1"/>
  <c r="AQ689" i="1" s="1"/>
  <c r="AI690" i="1"/>
  <c r="U690" i="1"/>
  <c r="X690" i="1" s="1"/>
  <c r="Z690" i="1" s="1"/>
  <c r="AN690" i="1"/>
  <c r="CC688" i="1"/>
  <c r="AJ689" i="1" l="1"/>
  <c r="AE689" i="1"/>
  <c r="AY688" i="1"/>
  <c r="AZ688" i="1" s="1"/>
  <c r="AG688" i="1"/>
  <c r="AX688" i="1" s="1"/>
  <c r="AW687" i="1"/>
  <c r="AK688" i="1"/>
  <c r="AH690" i="1"/>
  <c r="AO690" i="1" s="1"/>
  <c r="AQ690" i="1" s="1"/>
  <c r="V690" i="1"/>
  <c r="AI691" i="1"/>
  <c r="U691" i="1"/>
  <c r="X691" i="1" s="1"/>
  <c r="Z691" i="1" s="1"/>
  <c r="AN691" i="1"/>
  <c r="AJ690" i="1" l="1"/>
  <c r="AK689" i="1"/>
  <c r="CC689" i="1"/>
  <c r="AW688" i="1"/>
  <c r="AE690" i="1"/>
  <c r="AG689" i="1"/>
  <c r="AX689" i="1" s="1"/>
  <c r="AY689" i="1"/>
  <c r="AZ689" i="1" s="1"/>
  <c r="U692" i="1"/>
  <c r="X692" i="1" s="1"/>
  <c r="Z692" i="1" s="1"/>
  <c r="AN692" i="1"/>
  <c r="AI692" i="1"/>
  <c r="V691" i="1"/>
  <c r="AH691" i="1"/>
  <c r="AO691" i="1" s="1"/>
  <c r="AQ691" i="1" s="1"/>
  <c r="CC690" i="1"/>
  <c r="AJ691" i="1" l="1"/>
  <c r="CC691" i="1" s="1"/>
  <c r="V692" i="1"/>
  <c r="AE691" i="1"/>
  <c r="AY690" i="1"/>
  <c r="AZ690" i="1" s="1"/>
  <c r="AG690" i="1"/>
  <c r="AX690" i="1" s="1"/>
  <c r="AK690" i="1"/>
  <c r="AW689" i="1"/>
  <c r="AI693" i="1"/>
  <c r="AN693" i="1"/>
  <c r="U693" i="1"/>
  <c r="X693" i="1" s="1"/>
  <c r="Z693" i="1" s="1"/>
  <c r="AH692" i="1"/>
  <c r="AO692" i="1" s="1"/>
  <c r="AQ692" i="1" s="1"/>
  <c r="AJ692" i="1" l="1"/>
  <c r="CC692" i="1" s="1"/>
  <c r="AE692" i="1"/>
  <c r="AY691" i="1"/>
  <c r="AZ691" i="1" s="1"/>
  <c r="AG691" i="1"/>
  <c r="AX691" i="1" s="1"/>
  <c r="AK691" i="1"/>
  <c r="AW690" i="1"/>
  <c r="V693" i="1"/>
  <c r="AH693" i="1"/>
  <c r="AO693" i="1" s="1"/>
  <c r="AQ693" i="1" s="1"/>
  <c r="U694" i="1"/>
  <c r="X694" i="1" s="1"/>
  <c r="Z694" i="1" s="1"/>
  <c r="AI694" i="1"/>
  <c r="AN694" i="1"/>
  <c r="AJ693" i="1" l="1"/>
  <c r="CC693" i="1" s="1"/>
  <c r="V694" i="1"/>
  <c r="AE693" i="1"/>
  <c r="AY692" i="1"/>
  <c r="AZ692" i="1" s="1"/>
  <c r="AG692" i="1"/>
  <c r="AX692" i="1" s="1"/>
  <c r="AH694" i="1"/>
  <c r="AO694" i="1" s="1"/>
  <c r="AQ694" i="1" s="1"/>
  <c r="AN695" i="1"/>
  <c r="AI695" i="1"/>
  <c r="U695" i="1"/>
  <c r="X695" i="1" s="1"/>
  <c r="Z695" i="1" s="1"/>
  <c r="AK692" i="1"/>
  <c r="AW691" i="1"/>
  <c r="AJ694" i="1" l="1"/>
  <c r="CC694" i="1" s="1"/>
  <c r="AE694" i="1"/>
  <c r="AG693" i="1"/>
  <c r="AX693" i="1" s="1"/>
  <c r="AY693" i="1"/>
  <c r="AZ693" i="1" s="1"/>
  <c r="AI696" i="1"/>
  <c r="U696" i="1"/>
  <c r="X696" i="1" s="1"/>
  <c r="Z696" i="1" s="1"/>
  <c r="AN696" i="1"/>
  <c r="V695" i="1"/>
  <c r="AH695" i="1"/>
  <c r="AO695" i="1" s="1"/>
  <c r="AQ695" i="1" s="1"/>
  <c r="AK693" i="1"/>
  <c r="AW692" i="1"/>
  <c r="AJ695" i="1" l="1"/>
  <c r="AE695" i="1"/>
  <c r="AG694" i="1"/>
  <c r="AX694" i="1" s="1"/>
  <c r="AY694" i="1"/>
  <c r="AZ694" i="1" s="1"/>
  <c r="AK694" i="1"/>
  <c r="AW693" i="1"/>
  <c r="U697" i="1"/>
  <c r="X697" i="1" s="1"/>
  <c r="Z697" i="1" s="1"/>
  <c r="AN697" i="1"/>
  <c r="AI697" i="1"/>
  <c r="V696" i="1"/>
  <c r="AH696" i="1"/>
  <c r="AO696" i="1" s="1"/>
  <c r="AQ696" i="1" s="1"/>
  <c r="AJ696" i="1" l="1"/>
  <c r="AK695" i="1"/>
  <c r="CC695" i="1"/>
  <c r="AE696" i="1"/>
  <c r="AY695" i="1"/>
  <c r="AZ695" i="1" s="1"/>
  <c r="AG695" i="1"/>
  <c r="AX695" i="1" s="1"/>
  <c r="AK696" i="1"/>
  <c r="AW694" i="1"/>
  <c r="AN698" i="1"/>
  <c r="U698" i="1"/>
  <c r="X698" i="1" s="1"/>
  <c r="Z698" i="1" s="1"/>
  <c r="AI698" i="1"/>
  <c r="V697" i="1"/>
  <c r="AH697" i="1"/>
  <c r="AJ697" i="1" s="1"/>
  <c r="AW695" i="1" l="1"/>
  <c r="CC696" i="1"/>
  <c r="AE697" i="1"/>
  <c r="AG696" i="1"/>
  <c r="AX696" i="1" s="1"/>
  <c r="AY696" i="1"/>
  <c r="AZ696" i="1" s="1"/>
  <c r="CC697" i="1"/>
  <c r="AO697" i="1"/>
  <c r="AQ697" i="1" s="1"/>
  <c r="V698" i="1"/>
  <c r="AH698" i="1"/>
  <c r="AO698" i="1" s="1"/>
  <c r="AQ698" i="1" s="1"/>
  <c r="AI699" i="1"/>
  <c r="AN699" i="1"/>
  <c r="U699" i="1"/>
  <c r="X699" i="1" s="1"/>
  <c r="Z699" i="1" s="1"/>
  <c r="AW696" i="1"/>
  <c r="AJ698" i="1" l="1"/>
  <c r="AK697" i="1"/>
  <c r="AE698" i="1"/>
  <c r="AY697" i="1"/>
  <c r="AZ697" i="1" s="1"/>
  <c r="AG697" i="1"/>
  <c r="AX697" i="1" s="1"/>
  <c r="V699" i="1"/>
  <c r="AH699" i="1"/>
  <c r="AO699" i="1" s="1"/>
  <c r="AQ699" i="1" s="1"/>
  <c r="AI700" i="1"/>
  <c r="AN700" i="1"/>
  <c r="U700" i="1"/>
  <c r="X700" i="1" s="1"/>
  <c r="Z700" i="1" s="1"/>
  <c r="CC698" i="1"/>
  <c r="AJ699" i="1" l="1"/>
  <c r="CC699" i="1" s="1"/>
  <c r="V700" i="1"/>
  <c r="AE699" i="1"/>
  <c r="AG698" i="1"/>
  <c r="AX698" i="1" s="1"/>
  <c r="AY698" i="1"/>
  <c r="AZ698" i="1" s="1"/>
  <c r="AW697" i="1"/>
  <c r="AK698" i="1"/>
  <c r="AH700" i="1"/>
  <c r="AO700" i="1" s="1"/>
  <c r="AQ700" i="1" s="1"/>
  <c r="U701" i="1"/>
  <c r="X701" i="1" s="1"/>
  <c r="Z701" i="1" s="1"/>
  <c r="AN701" i="1"/>
  <c r="AI701" i="1"/>
  <c r="AJ700" i="1" l="1"/>
  <c r="AW698" i="1"/>
  <c r="AK699" i="1"/>
  <c r="AE700" i="1"/>
  <c r="AY699" i="1"/>
  <c r="AZ699" i="1" s="1"/>
  <c r="AG699" i="1"/>
  <c r="AX699" i="1" s="1"/>
  <c r="U702" i="1"/>
  <c r="X702" i="1" s="1"/>
  <c r="Z702" i="1" s="1"/>
  <c r="AN702" i="1"/>
  <c r="AI702" i="1"/>
  <c r="AH701" i="1"/>
  <c r="AO701" i="1" s="1"/>
  <c r="AQ701" i="1" s="1"/>
  <c r="V701" i="1"/>
  <c r="AJ701" i="1" l="1"/>
  <c r="AW699" i="1"/>
  <c r="CC700" i="1"/>
  <c r="AK700" i="1"/>
  <c r="AE701" i="1"/>
  <c r="AG700" i="1"/>
  <c r="AX700" i="1" s="1"/>
  <c r="AY700" i="1"/>
  <c r="AZ700" i="1" s="1"/>
  <c r="AH702" i="1"/>
  <c r="AJ702" i="1" s="1"/>
  <c r="V702" i="1"/>
  <c r="AO702" i="1"/>
  <c r="AQ702" i="1" s="1"/>
  <c r="AW700" i="1"/>
  <c r="AI703" i="1"/>
  <c r="AN703" i="1"/>
  <c r="U703" i="1"/>
  <c r="X703" i="1" s="1"/>
  <c r="Z703" i="1" s="1"/>
  <c r="AK701" i="1" l="1"/>
  <c r="CC701" i="1"/>
  <c r="V703" i="1"/>
  <c r="AE702" i="1"/>
  <c r="AG701" i="1"/>
  <c r="AX701" i="1" s="1"/>
  <c r="AY701" i="1"/>
  <c r="AZ701" i="1" s="1"/>
  <c r="AN704" i="1"/>
  <c r="AI704" i="1"/>
  <c r="U704" i="1"/>
  <c r="X704" i="1" s="1"/>
  <c r="Z704" i="1" s="1"/>
  <c r="AH703" i="1"/>
  <c r="AO703" i="1" s="1"/>
  <c r="AQ703" i="1" s="1"/>
  <c r="AJ703" i="1" l="1"/>
  <c r="AW701" i="1"/>
  <c r="CC702" i="1"/>
  <c r="AE703" i="1"/>
  <c r="AG702" i="1"/>
  <c r="AX702" i="1" s="1"/>
  <c r="AY702" i="1"/>
  <c r="AZ702" i="1" s="1"/>
  <c r="AK702" i="1"/>
  <c r="U705" i="1"/>
  <c r="X705" i="1" s="1"/>
  <c r="Z705" i="1" s="1"/>
  <c r="AN705" i="1"/>
  <c r="AI705" i="1"/>
  <c r="AH704" i="1"/>
  <c r="AO704" i="1" s="1"/>
  <c r="AQ704" i="1" s="1"/>
  <c r="V704" i="1"/>
  <c r="AJ704" i="1" l="1"/>
  <c r="AK703" i="1"/>
  <c r="CC703" i="1"/>
  <c r="V705" i="1"/>
  <c r="AE704" i="1"/>
  <c r="AG703" i="1"/>
  <c r="AX703" i="1" s="1"/>
  <c r="AY703" i="1"/>
  <c r="AZ703" i="1" s="1"/>
  <c r="AW702" i="1"/>
  <c r="AH705" i="1"/>
  <c r="AO705" i="1" s="1"/>
  <c r="AQ705" i="1" s="1"/>
  <c r="AN706" i="1"/>
  <c r="U706" i="1"/>
  <c r="X706" i="1" s="1"/>
  <c r="Z706" i="1" s="1"/>
  <c r="AI706" i="1"/>
  <c r="CC704" i="1"/>
  <c r="AJ705" i="1" l="1"/>
  <c r="CC705" i="1" s="1"/>
  <c r="AE705" i="1"/>
  <c r="AY704" i="1"/>
  <c r="AZ704" i="1" s="1"/>
  <c r="AG704" i="1"/>
  <c r="AX704" i="1" s="1"/>
  <c r="AK704" i="1"/>
  <c r="AW703" i="1"/>
  <c r="V706" i="1"/>
  <c r="AH706" i="1"/>
  <c r="AO706" i="1" s="1"/>
  <c r="AQ706" i="1" s="1"/>
  <c r="AN707" i="1"/>
  <c r="U707" i="1"/>
  <c r="X707" i="1" s="1"/>
  <c r="Z707" i="1" s="1"/>
  <c r="AI707" i="1"/>
  <c r="AJ706" i="1" l="1"/>
  <c r="CC706" i="1" s="1"/>
  <c r="AE706" i="1"/>
  <c r="AG705" i="1"/>
  <c r="AX705" i="1" s="1"/>
  <c r="AY705" i="1"/>
  <c r="AZ705" i="1" s="1"/>
  <c r="AK705" i="1"/>
  <c r="AW704" i="1"/>
  <c r="V707" i="1"/>
  <c r="AH707" i="1"/>
  <c r="AO707" i="1" s="1"/>
  <c r="AQ707" i="1" s="1"/>
  <c r="U708" i="1"/>
  <c r="X708" i="1" s="1"/>
  <c r="Z708" i="1" s="1"/>
  <c r="AI708" i="1"/>
  <c r="AN708" i="1"/>
  <c r="AJ707" i="1" l="1"/>
  <c r="V708" i="1"/>
  <c r="AE707" i="1"/>
  <c r="AG706" i="1"/>
  <c r="AX706" i="1" s="1"/>
  <c r="AY706" i="1"/>
  <c r="AZ706" i="1" s="1"/>
  <c r="AW705" i="1"/>
  <c r="AK706" i="1"/>
  <c r="AH708" i="1"/>
  <c r="AO708" i="1" s="1"/>
  <c r="AQ708" i="1" s="1"/>
  <c r="AN709" i="1"/>
  <c r="AI709" i="1"/>
  <c r="U709" i="1"/>
  <c r="X709" i="1" s="1"/>
  <c r="Z709" i="1" s="1"/>
  <c r="AJ708" i="1" l="1"/>
  <c r="V709" i="1"/>
  <c r="AW706" i="1"/>
  <c r="CC707" i="1"/>
  <c r="AK707" i="1"/>
  <c r="AE708" i="1"/>
  <c r="AY707" i="1"/>
  <c r="AZ707" i="1" s="1"/>
  <c r="AG707" i="1"/>
  <c r="AX707" i="1" s="1"/>
  <c r="AH709" i="1"/>
  <c r="AO709" i="1" s="1"/>
  <c r="AQ709" i="1" s="1"/>
  <c r="AI710" i="1"/>
  <c r="U710" i="1"/>
  <c r="X710" i="1" s="1"/>
  <c r="Z710" i="1" s="1"/>
  <c r="AN710" i="1"/>
  <c r="AJ709" i="1" l="1"/>
  <c r="CC709" i="1" s="1"/>
  <c r="AW707" i="1"/>
  <c r="CC708" i="1"/>
  <c r="AE709" i="1"/>
  <c r="AG708" i="1"/>
  <c r="AX708" i="1" s="1"/>
  <c r="AY708" i="1"/>
  <c r="AZ708" i="1" s="1"/>
  <c r="AK708" i="1"/>
  <c r="AI711" i="1"/>
  <c r="U711" i="1"/>
  <c r="X711" i="1" s="1"/>
  <c r="Z711" i="1" s="1"/>
  <c r="AN711" i="1"/>
  <c r="AH710" i="1"/>
  <c r="AO710" i="1" s="1"/>
  <c r="AQ710" i="1" s="1"/>
  <c r="V710" i="1"/>
  <c r="AJ710" i="1" l="1"/>
  <c r="CC710" i="1" s="1"/>
  <c r="AW708" i="1"/>
  <c r="AK709" i="1"/>
  <c r="AE710" i="1"/>
  <c r="AG709" i="1"/>
  <c r="AX709" i="1" s="1"/>
  <c r="AY709" i="1"/>
  <c r="AZ709" i="1" s="1"/>
  <c r="V711" i="1"/>
  <c r="AH711" i="1"/>
  <c r="AO711" i="1" s="1"/>
  <c r="AQ711" i="1" s="1"/>
  <c r="AI712" i="1"/>
  <c r="AN712" i="1"/>
  <c r="U712" i="1"/>
  <c r="X712" i="1" s="1"/>
  <c r="Z712" i="1" s="1"/>
  <c r="AJ711" i="1" l="1"/>
  <c r="CC711" i="1" s="1"/>
  <c r="AE711" i="1"/>
  <c r="AY710" i="1"/>
  <c r="AZ710" i="1" s="1"/>
  <c r="AG710" i="1"/>
  <c r="AX710" i="1" s="1"/>
  <c r="AW709" i="1"/>
  <c r="AK710" i="1"/>
  <c r="V712" i="1"/>
  <c r="AH712" i="1"/>
  <c r="AO712" i="1" s="1"/>
  <c r="AQ712" i="1" s="1"/>
  <c r="AN713" i="1"/>
  <c r="AI713" i="1"/>
  <c r="U713" i="1"/>
  <c r="X713" i="1" s="1"/>
  <c r="Z713" i="1" s="1"/>
  <c r="AJ712" i="1" l="1"/>
  <c r="CC712" i="1" s="1"/>
  <c r="V713" i="1"/>
  <c r="AE712" i="1"/>
  <c r="AG711" i="1"/>
  <c r="AX711" i="1" s="1"/>
  <c r="AY711" i="1"/>
  <c r="AZ711" i="1" s="1"/>
  <c r="AK711" i="1"/>
  <c r="AW710" i="1"/>
  <c r="AH713" i="1"/>
  <c r="AO713" i="1" s="1"/>
  <c r="AQ713" i="1" s="1"/>
  <c r="AI714" i="1"/>
  <c r="U714" i="1"/>
  <c r="X714" i="1" s="1"/>
  <c r="Z714" i="1" s="1"/>
  <c r="AN714" i="1"/>
  <c r="AJ713" i="1" l="1"/>
  <c r="AK712" i="1"/>
  <c r="AW711" i="1"/>
  <c r="AE713" i="1"/>
  <c r="AG712" i="1"/>
  <c r="AX712" i="1" s="1"/>
  <c r="AY712" i="1"/>
  <c r="AZ712" i="1" s="1"/>
  <c r="U715" i="1"/>
  <c r="X715" i="1" s="1"/>
  <c r="Z715" i="1" s="1"/>
  <c r="AN715" i="1"/>
  <c r="AI715" i="1"/>
  <c r="AH714" i="1"/>
  <c r="AO714" i="1" s="1"/>
  <c r="AQ714" i="1" s="1"/>
  <c r="V714" i="1"/>
  <c r="AJ714" i="1" l="1"/>
  <c r="AW712" i="1"/>
  <c r="CC713" i="1"/>
  <c r="AK713" i="1"/>
  <c r="V715" i="1"/>
  <c r="AE714" i="1"/>
  <c r="AG713" i="1"/>
  <c r="AX713" i="1" s="1"/>
  <c r="AY713" i="1"/>
  <c r="AZ713" i="1" s="1"/>
  <c r="AH715" i="1"/>
  <c r="AO715" i="1" s="1"/>
  <c r="AQ715" i="1" s="1"/>
  <c r="U716" i="1"/>
  <c r="X716" i="1" s="1"/>
  <c r="Z716" i="1" s="1"/>
  <c r="AI716" i="1"/>
  <c r="AN716" i="1"/>
  <c r="CC714" i="1"/>
  <c r="AJ715" i="1" l="1"/>
  <c r="CC715" i="1" s="1"/>
  <c r="V716" i="1"/>
  <c r="AE715" i="1"/>
  <c r="AG714" i="1"/>
  <c r="AX714" i="1" s="1"/>
  <c r="AY714" i="1"/>
  <c r="AZ714" i="1" s="1"/>
  <c r="AK714" i="1"/>
  <c r="AW713" i="1"/>
  <c r="AH716" i="1"/>
  <c r="AJ716" i="1" s="1"/>
  <c r="AN717" i="1"/>
  <c r="AI717" i="1"/>
  <c r="U717" i="1"/>
  <c r="X717" i="1" s="1"/>
  <c r="Z717" i="1" s="1"/>
  <c r="AO716" i="1" l="1"/>
  <c r="AQ716" i="1" s="1"/>
  <c r="CC716" i="1"/>
  <c r="AE716" i="1"/>
  <c r="AY715" i="1"/>
  <c r="AZ715" i="1" s="1"/>
  <c r="AG715" i="1"/>
  <c r="AX715" i="1" s="1"/>
  <c r="AK715" i="1"/>
  <c r="AW714" i="1"/>
  <c r="AK716" i="1"/>
  <c r="AW715" i="1"/>
  <c r="AN718" i="1"/>
  <c r="AI718" i="1"/>
  <c r="U718" i="1"/>
  <c r="X718" i="1" s="1"/>
  <c r="Z718" i="1" s="1"/>
  <c r="V717" i="1"/>
  <c r="AH717" i="1"/>
  <c r="AO717" i="1" s="1"/>
  <c r="AQ717" i="1" s="1"/>
  <c r="AJ717" i="1" l="1"/>
  <c r="AE717" i="1"/>
  <c r="AG716" i="1"/>
  <c r="AX716" i="1" s="1"/>
  <c r="AY716" i="1"/>
  <c r="AZ716" i="1" s="1"/>
  <c r="U719" i="1"/>
  <c r="X719" i="1" s="1"/>
  <c r="Z719" i="1" s="1"/>
  <c r="AI719" i="1"/>
  <c r="AN719" i="1"/>
  <c r="V718" i="1"/>
  <c r="AH718" i="1"/>
  <c r="AO718" i="1" s="1"/>
  <c r="AQ718" i="1" s="1"/>
  <c r="AJ718" i="1" l="1"/>
  <c r="AK717" i="1"/>
  <c r="CC717" i="1"/>
  <c r="AE718" i="1"/>
  <c r="AG717" i="1"/>
  <c r="AX717" i="1" s="1"/>
  <c r="AY717" i="1"/>
  <c r="AZ717" i="1" s="1"/>
  <c r="AW716" i="1"/>
  <c r="AI720" i="1"/>
  <c r="AN720" i="1"/>
  <c r="U720" i="1"/>
  <c r="X720" i="1" s="1"/>
  <c r="Z720" i="1" s="1"/>
  <c r="AH719" i="1"/>
  <c r="AO719" i="1" s="1"/>
  <c r="AQ719" i="1" s="1"/>
  <c r="V719" i="1"/>
  <c r="CC718" i="1"/>
  <c r="AJ719" i="1" l="1"/>
  <c r="CC719" i="1" s="1"/>
  <c r="AE719" i="1"/>
  <c r="AG718" i="1"/>
  <c r="AX718" i="1" s="1"/>
  <c r="AY718" i="1"/>
  <c r="AZ718" i="1" s="1"/>
  <c r="AK718" i="1"/>
  <c r="AW717" i="1"/>
  <c r="V720" i="1"/>
  <c r="AH720" i="1"/>
  <c r="AO720" i="1" s="1"/>
  <c r="AQ720" i="1" s="1"/>
  <c r="U721" i="1"/>
  <c r="X721" i="1" s="1"/>
  <c r="Z721" i="1" s="1"/>
  <c r="AN721" i="1"/>
  <c r="AI721" i="1"/>
  <c r="AJ720" i="1" l="1"/>
  <c r="CC720" i="1" s="1"/>
  <c r="V721" i="1"/>
  <c r="AE720" i="1"/>
  <c r="AY719" i="1"/>
  <c r="AZ719" i="1" s="1"/>
  <c r="AG719" i="1"/>
  <c r="AX719" i="1" s="1"/>
  <c r="AK719" i="1"/>
  <c r="AW718" i="1"/>
  <c r="AH721" i="1"/>
  <c r="AO721" i="1" s="1"/>
  <c r="AQ721" i="1" s="1"/>
  <c r="AI722" i="1"/>
  <c r="U722" i="1"/>
  <c r="X722" i="1" s="1"/>
  <c r="Z722" i="1" s="1"/>
  <c r="AN722" i="1"/>
  <c r="AJ721" i="1" l="1"/>
  <c r="CC721" i="1" s="1"/>
  <c r="AW719" i="1"/>
  <c r="AK720" i="1"/>
  <c r="AE721" i="1"/>
  <c r="AG720" i="1"/>
  <c r="AX720" i="1" s="1"/>
  <c r="AY720" i="1"/>
  <c r="AZ720" i="1" s="1"/>
  <c r="U723" i="1"/>
  <c r="X723" i="1" s="1"/>
  <c r="Z723" i="1" s="1"/>
  <c r="AI723" i="1"/>
  <c r="AN723" i="1"/>
  <c r="V722" i="1"/>
  <c r="AH722" i="1"/>
  <c r="AO722" i="1" s="1"/>
  <c r="AQ722" i="1" s="1"/>
  <c r="AJ722" i="1" l="1"/>
  <c r="CC722" i="1" s="1"/>
  <c r="AW720" i="1"/>
  <c r="AK721" i="1"/>
  <c r="AE722" i="1"/>
  <c r="AY721" i="1"/>
  <c r="AZ721" i="1" s="1"/>
  <c r="AG721" i="1"/>
  <c r="AX721" i="1" s="1"/>
  <c r="AN724" i="1"/>
  <c r="U724" i="1"/>
  <c r="X724" i="1" s="1"/>
  <c r="Z724" i="1" s="1"/>
  <c r="AI724" i="1"/>
  <c r="V723" i="1"/>
  <c r="AH723" i="1"/>
  <c r="AO723" i="1" s="1"/>
  <c r="AQ723" i="1" s="1"/>
  <c r="AJ723" i="1" l="1"/>
  <c r="CC723" i="1" s="1"/>
  <c r="V724" i="1"/>
  <c r="AE723" i="1"/>
  <c r="AG722" i="1"/>
  <c r="AX722" i="1" s="1"/>
  <c r="AY722" i="1"/>
  <c r="AZ722" i="1" s="1"/>
  <c r="AK722" i="1"/>
  <c r="AW721" i="1"/>
  <c r="U725" i="1"/>
  <c r="X725" i="1" s="1"/>
  <c r="Z725" i="1" s="1"/>
  <c r="AI725" i="1"/>
  <c r="AN725" i="1"/>
  <c r="AH724" i="1"/>
  <c r="AO724" i="1" s="1"/>
  <c r="AQ724" i="1" s="1"/>
  <c r="AJ724" i="1" l="1"/>
  <c r="AE724" i="1"/>
  <c r="AG723" i="1"/>
  <c r="AX723" i="1" s="1"/>
  <c r="AY723" i="1"/>
  <c r="AZ723" i="1" s="1"/>
  <c r="AK723" i="1"/>
  <c r="AW722" i="1"/>
  <c r="AI726" i="1"/>
  <c r="AN726" i="1"/>
  <c r="U726" i="1"/>
  <c r="X726" i="1" s="1"/>
  <c r="Z726" i="1" s="1"/>
  <c r="V725" i="1"/>
  <c r="AH725" i="1"/>
  <c r="AO725" i="1" s="1"/>
  <c r="AQ725" i="1" s="1"/>
  <c r="AJ725" i="1" l="1"/>
  <c r="AK724" i="1"/>
  <c r="CC724" i="1"/>
  <c r="AE725" i="1"/>
  <c r="AY724" i="1"/>
  <c r="AZ724" i="1" s="1"/>
  <c r="AG724" i="1"/>
  <c r="AX724" i="1" s="1"/>
  <c r="AW723" i="1"/>
  <c r="U727" i="1"/>
  <c r="X727" i="1" s="1"/>
  <c r="Z727" i="1" s="1"/>
  <c r="AN727" i="1"/>
  <c r="AI727" i="1"/>
  <c r="AH726" i="1"/>
  <c r="AO726" i="1" s="1"/>
  <c r="AQ726" i="1" s="1"/>
  <c r="V726" i="1"/>
  <c r="AJ726" i="1" l="1"/>
  <c r="AW724" i="1"/>
  <c r="CC725" i="1"/>
  <c r="AE726" i="1"/>
  <c r="AG725" i="1"/>
  <c r="AX725" i="1" s="1"/>
  <c r="AY725" i="1"/>
  <c r="AZ725" i="1" s="1"/>
  <c r="AK725" i="1"/>
  <c r="AN728" i="1"/>
  <c r="AI728" i="1"/>
  <c r="U728" i="1"/>
  <c r="X728" i="1" s="1"/>
  <c r="Z728" i="1" s="1"/>
  <c r="AH727" i="1"/>
  <c r="AO727" i="1" s="1"/>
  <c r="AQ727" i="1" s="1"/>
  <c r="V727" i="1"/>
  <c r="AJ727" i="1" l="1"/>
  <c r="AK726" i="1"/>
  <c r="CC726" i="1"/>
  <c r="V728" i="1"/>
  <c r="AE727" i="1"/>
  <c r="AY726" i="1"/>
  <c r="AZ726" i="1" s="1"/>
  <c r="AG726" i="1"/>
  <c r="AX726" i="1" s="1"/>
  <c r="AW725" i="1"/>
  <c r="AH728" i="1"/>
  <c r="AO728" i="1" s="1"/>
  <c r="AQ728" i="1" s="1"/>
  <c r="AN729" i="1"/>
  <c r="U729" i="1"/>
  <c r="X729" i="1" s="1"/>
  <c r="Z729" i="1" s="1"/>
  <c r="AI729" i="1"/>
  <c r="CC727" i="1"/>
  <c r="AJ728" i="1" l="1"/>
  <c r="CC728" i="1" s="1"/>
  <c r="AE728" i="1"/>
  <c r="AG727" i="1"/>
  <c r="AX727" i="1" s="1"/>
  <c r="AY727" i="1"/>
  <c r="AZ727" i="1" s="1"/>
  <c r="AK727" i="1"/>
  <c r="AW726" i="1"/>
  <c r="AH729" i="1"/>
  <c r="AO729" i="1" s="1"/>
  <c r="AQ729" i="1" s="1"/>
  <c r="V729" i="1"/>
  <c r="U730" i="1"/>
  <c r="X730" i="1" s="1"/>
  <c r="Z730" i="1" s="1"/>
  <c r="AN730" i="1"/>
  <c r="AI730" i="1"/>
  <c r="AJ729" i="1" l="1"/>
  <c r="CC729" i="1" s="1"/>
  <c r="AE729" i="1"/>
  <c r="AG728" i="1"/>
  <c r="AX728" i="1" s="1"/>
  <c r="AY728" i="1"/>
  <c r="AZ728" i="1" s="1"/>
  <c r="AW727" i="1"/>
  <c r="AK728" i="1"/>
  <c r="AH730" i="1"/>
  <c r="AO730" i="1" s="1"/>
  <c r="AQ730" i="1" s="1"/>
  <c r="V730" i="1"/>
  <c r="AI731" i="1"/>
  <c r="U731" i="1"/>
  <c r="X731" i="1" s="1"/>
  <c r="Z731" i="1" s="1"/>
  <c r="AN731" i="1"/>
  <c r="AJ730" i="1" l="1"/>
  <c r="CC730" i="1" s="1"/>
  <c r="V731" i="1"/>
  <c r="AE730" i="1"/>
  <c r="AY729" i="1"/>
  <c r="AZ729" i="1" s="1"/>
  <c r="AG729" i="1"/>
  <c r="AX729" i="1" s="1"/>
  <c r="AK729" i="1"/>
  <c r="AW728" i="1"/>
  <c r="AH731" i="1"/>
  <c r="AO731" i="1" s="1"/>
  <c r="AQ731" i="1" s="1"/>
  <c r="U732" i="1"/>
  <c r="X732" i="1" s="1"/>
  <c r="Z732" i="1" s="1"/>
  <c r="AN732" i="1"/>
  <c r="AI732" i="1"/>
  <c r="AJ731" i="1" l="1"/>
  <c r="CC731" i="1" s="1"/>
  <c r="AE731" i="1"/>
  <c r="AY730" i="1"/>
  <c r="AZ730" i="1" s="1"/>
  <c r="AG730" i="1"/>
  <c r="AX730" i="1" s="1"/>
  <c r="AW729" i="1"/>
  <c r="AK730" i="1"/>
  <c r="AH732" i="1"/>
  <c r="AO732" i="1" s="1"/>
  <c r="AQ732" i="1" s="1"/>
  <c r="V732" i="1"/>
  <c r="U733" i="1"/>
  <c r="X733" i="1" s="1"/>
  <c r="Z733" i="1" s="1"/>
  <c r="AN733" i="1"/>
  <c r="AI733" i="1"/>
  <c r="AJ732" i="1" l="1"/>
  <c r="V733" i="1"/>
  <c r="AE732" i="1"/>
  <c r="AG731" i="1"/>
  <c r="AX731" i="1" s="1"/>
  <c r="AY731" i="1"/>
  <c r="AZ731" i="1" s="1"/>
  <c r="AW730" i="1"/>
  <c r="AK731" i="1"/>
  <c r="AH733" i="1"/>
  <c r="AO733" i="1" s="1"/>
  <c r="AQ733" i="1" s="1"/>
  <c r="U734" i="1"/>
  <c r="X734" i="1" s="1"/>
  <c r="Z734" i="1" s="1"/>
  <c r="AN734" i="1"/>
  <c r="AI734" i="1"/>
  <c r="AJ733" i="1" l="1"/>
  <c r="AK732" i="1"/>
  <c r="CC732" i="1"/>
  <c r="V734" i="1"/>
  <c r="AE733" i="1"/>
  <c r="AG732" i="1"/>
  <c r="AX732" i="1" s="1"/>
  <c r="AY732" i="1"/>
  <c r="AZ732" i="1" s="1"/>
  <c r="AW731" i="1"/>
  <c r="AH734" i="1"/>
  <c r="AO734" i="1" s="1"/>
  <c r="AQ734" i="1" s="1"/>
  <c r="U735" i="1"/>
  <c r="X735" i="1" s="1"/>
  <c r="Z735" i="1" s="1"/>
  <c r="AI735" i="1"/>
  <c r="AN735" i="1"/>
  <c r="CC733" i="1"/>
  <c r="AJ734" i="1" l="1"/>
  <c r="AE734" i="1"/>
  <c r="AG733" i="1"/>
  <c r="AX733" i="1" s="1"/>
  <c r="AY733" i="1"/>
  <c r="AZ733" i="1" s="1"/>
  <c r="AK733" i="1"/>
  <c r="AW732" i="1"/>
  <c r="AH735" i="1"/>
  <c r="AJ735" i="1" s="1"/>
  <c r="V735" i="1"/>
  <c r="AN736" i="1"/>
  <c r="U736" i="1"/>
  <c r="X736" i="1" s="1"/>
  <c r="Z736" i="1" s="1"/>
  <c r="AI736" i="1"/>
  <c r="AK734" i="1" l="1"/>
  <c r="CC734" i="1"/>
  <c r="AW733" i="1"/>
  <c r="AE735" i="1"/>
  <c r="AY734" i="1"/>
  <c r="AZ734" i="1" s="1"/>
  <c r="AG734" i="1"/>
  <c r="AX734" i="1" s="1"/>
  <c r="V736" i="1"/>
  <c r="AH736" i="1"/>
  <c r="AO736" i="1" s="1"/>
  <c r="AQ736" i="1" s="1"/>
  <c r="AI737" i="1"/>
  <c r="AN737" i="1"/>
  <c r="U737" i="1"/>
  <c r="X737" i="1" s="1"/>
  <c r="Z737" i="1" s="1"/>
  <c r="CC735" i="1"/>
  <c r="AO735" i="1"/>
  <c r="AQ735" i="1" s="1"/>
  <c r="AJ736" i="1" l="1"/>
  <c r="CC736" i="1" s="1"/>
  <c r="AE736" i="1"/>
  <c r="AY735" i="1"/>
  <c r="AZ735" i="1" s="1"/>
  <c r="AG735" i="1"/>
  <c r="AX735" i="1" s="1"/>
  <c r="AW734" i="1"/>
  <c r="AK735" i="1"/>
  <c r="AH737" i="1"/>
  <c r="AO737" i="1" s="1"/>
  <c r="AQ737" i="1" s="1"/>
  <c r="V737" i="1"/>
  <c r="AI738" i="1"/>
  <c r="U738" i="1"/>
  <c r="X738" i="1" s="1"/>
  <c r="Z738" i="1" s="1"/>
  <c r="AN738" i="1"/>
  <c r="AJ737" i="1" l="1"/>
  <c r="CC737" i="1" s="1"/>
  <c r="AW735" i="1"/>
  <c r="AK736" i="1"/>
  <c r="AE737" i="1"/>
  <c r="AG736" i="1"/>
  <c r="AX736" i="1" s="1"/>
  <c r="AY736" i="1"/>
  <c r="AZ736" i="1" s="1"/>
  <c r="AW736" i="1"/>
  <c r="AN739" i="1"/>
  <c r="U739" i="1"/>
  <c r="X739" i="1" s="1"/>
  <c r="Z739" i="1" s="1"/>
  <c r="AI739" i="1"/>
  <c r="V738" i="1"/>
  <c r="AH738" i="1"/>
  <c r="AO738" i="1" s="1"/>
  <c r="AQ738" i="1" s="1"/>
  <c r="AJ738" i="1" l="1"/>
  <c r="AK737" i="1"/>
  <c r="V739" i="1"/>
  <c r="AE738" i="1"/>
  <c r="AY737" i="1"/>
  <c r="AZ737" i="1" s="1"/>
  <c r="AG737" i="1"/>
  <c r="AX737" i="1" s="1"/>
  <c r="U740" i="1"/>
  <c r="X740" i="1" s="1"/>
  <c r="Z740" i="1" s="1"/>
  <c r="AN740" i="1"/>
  <c r="AI740" i="1"/>
  <c r="AH739" i="1"/>
  <c r="AO739" i="1" s="1"/>
  <c r="AQ739" i="1" s="1"/>
  <c r="AJ739" i="1" l="1"/>
  <c r="AK738" i="1"/>
  <c r="CC738" i="1"/>
  <c r="V740" i="1"/>
  <c r="AE739" i="1"/>
  <c r="AY738" i="1"/>
  <c r="AZ738" i="1" s="1"/>
  <c r="AG738" i="1"/>
  <c r="AX738" i="1" s="1"/>
  <c r="AW737" i="1"/>
  <c r="AH740" i="1"/>
  <c r="AO740" i="1" s="1"/>
  <c r="AQ740" i="1" s="1"/>
  <c r="U741" i="1"/>
  <c r="X741" i="1" s="1"/>
  <c r="Z741" i="1" s="1"/>
  <c r="AI741" i="1"/>
  <c r="AN741" i="1"/>
  <c r="AJ740" i="1" l="1"/>
  <c r="AK739" i="1"/>
  <c r="CC739" i="1"/>
  <c r="AW738" i="1"/>
  <c r="AE740" i="1"/>
  <c r="AG739" i="1"/>
  <c r="AX739" i="1" s="1"/>
  <c r="AY739" i="1"/>
  <c r="AZ739" i="1" s="1"/>
  <c r="V741" i="1"/>
  <c r="AH741" i="1"/>
  <c r="AO741" i="1" s="1"/>
  <c r="AQ741" i="1" s="1"/>
  <c r="AN742" i="1"/>
  <c r="U742" i="1"/>
  <c r="X742" i="1" s="1"/>
  <c r="Z742" i="1" s="1"/>
  <c r="AI742" i="1"/>
  <c r="CC740" i="1"/>
  <c r="AJ741" i="1" l="1"/>
  <c r="CC741" i="1" s="1"/>
  <c r="AE741" i="1"/>
  <c r="AY740" i="1"/>
  <c r="AZ740" i="1" s="1"/>
  <c r="AG740" i="1"/>
  <c r="AX740" i="1" s="1"/>
  <c r="U743" i="1"/>
  <c r="X743" i="1" s="1"/>
  <c r="Z743" i="1" s="1"/>
  <c r="AI743" i="1"/>
  <c r="AN743" i="1"/>
  <c r="V742" i="1"/>
  <c r="AH742" i="1"/>
  <c r="AO742" i="1" s="1"/>
  <c r="AQ742" i="1" s="1"/>
  <c r="AK740" i="1"/>
  <c r="AW739" i="1"/>
  <c r="AJ742" i="1" l="1"/>
  <c r="CC742" i="1" s="1"/>
  <c r="AE742" i="1"/>
  <c r="AG741" i="1"/>
  <c r="AX741" i="1" s="1"/>
  <c r="AY741" i="1"/>
  <c r="AZ741" i="1" s="1"/>
  <c r="AW740" i="1"/>
  <c r="AK741" i="1"/>
  <c r="AI744" i="1"/>
  <c r="U744" i="1"/>
  <c r="X744" i="1" s="1"/>
  <c r="Z744" i="1" s="1"/>
  <c r="AN744" i="1"/>
  <c r="V743" i="1"/>
  <c r="AH743" i="1"/>
  <c r="AO743" i="1" s="1"/>
  <c r="AQ743" i="1" s="1"/>
  <c r="AJ743" i="1" l="1"/>
  <c r="V744" i="1"/>
  <c r="AE743" i="1"/>
  <c r="AY742" i="1"/>
  <c r="AZ742" i="1" s="1"/>
  <c r="AG742" i="1"/>
  <c r="AX742" i="1" s="1"/>
  <c r="AN745" i="1"/>
  <c r="AI745" i="1"/>
  <c r="U745" i="1"/>
  <c r="X745" i="1" s="1"/>
  <c r="Z745" i="1" s="1"/>
  <c r="AK742" i="1"/>
  <c r="AW741" i="1"/>
  <c r="AH744" i="1"/>
  <c r="AO744" i="1" s="1"/>
  <c r="AQ744" i="1" s="1"/>
  <c r="AJ744" i="1" l="1"/>
  <c r="AK743" i="1"/>
  <c r="CC743" i="1"/>
  <c r="AE744" i="1"/>
  <c r="AY743" i="1"/>
  <c r="AZ743" i="1" s="1"/>
  <c r="AG743" i="1"/>
  <c r="AX743" i="1" s="1"/>
  <c r="AW742" i="1"/>
  <c r="AN746" i="1"/>
  <c r="U746" i="1"/>
  <c r="X746" i="1" s="1"/>
  <c r="Z746" i="1" s="1"/>
  <c r="AI746" i="1"/>
  <c r="V745" i="1"/>
  <c r="AH745" i="1"/>
  <c r="AO745" i="1" s="1"/>
  <c r="AQ745" i="1" s="1"/>
  <c r="CC744" i="1"/>
  <c r="AJ745" i="1" l="1"/>
  <c r="CC745" i="1" s="1"/>
  <c r="AE745" i="1"/>
  <c r="AY744" i="1"/>
  <c r="AZ744" i="1" s="1"/>
  <c r="AG744" i="1"/>
  <c r="AX744" i="1" s="1"/>
  <c r="U747" i="1"/>
  <c r="X747" i="1" s="1"/>
  <c r="Z747" i="1" s="1"/>
  <c r="AI747" i="1"/>
  <c r="AN747" i="1"/>
  <c r="AK744" i="1"/>
  <c r="AW743" i="1"/>
  <c r="AH746" i="1"/>
  <c r="AO746" i="1" s="1"/>
  <c r="AQ746" i="1" s="1"/>
  <c r="V746" i="1"/>
  <c r="AW744" i="1" l="1"/>
  <c r="AJ746" i="1"/>
  <c r="CC746" i="1" s="1"/>
  <c r="AK745" i="1"/>
  <c r="AE746" i="1"/>
  <c r="AY745" i="1"/>
  <c r="AZ745" i="1" s="1"/>
  <c r="AG745" i="1"/>
  <c r="AX745" i="1" s="1"/>
  <c r="V747" i="1"/>
  <c r="AH747" i="1"/>
  <c r="AO747" i="1" s="1"/>
  <c r="AQ747" i="1" s="1"/>
  <c r="AI748" i="1"/>
  <c r="U748" i="1"/>
  <c r="X748" i="1" s="1"/>
  <c r="Z748" i="1" s="1"/>
  <c r="AN748" i="1"/>
  <c r="AJ747" i="1" l="1"/>
  <c r="CC747" i="1" s="1"/>
  <c r="V748" i="1"/>
  <c r="AE747" i="1"/>
  <c r="AY746" i="1"/>
  <c r="AZ746" i="1" s="1"/>
  <c r="AG746" i="1"/>
  <c r="AX746" i="1" s="1"/>
  <c r="AW745" i="1"/>
  <c r="AK746" i="1"/>
  <c r="AH748" i="1"/>
  <c r="AO748" i="1" s="1"/>
  <c r="AQ748" i="1" s="1"/>
  <c r="U749" i="1"/>
  <c r="X749" i="1" s="1"/>
  <c r="Z749" i="1" s="1"/>
  <c r="AI749" i="1"/>
  <c r="AN749" i="1"/>
  <c r="AJ748" i="1" l="1"/>
  <c r="CC748" i="1" s="1"/>
  <c r="AW746" i="1"/>
  <c r="AK747" i="1"/>
  <c r="AE748" i="1"/>
  <c r="AG747" i="1"/>
  <c r="AX747" i="1" s="1"/>
  <c r="AY747" i="1"/>
  <c r="AZ747" i="1" s="1"/>
  <c r="AN750" i="1"/>
  <c r="AI750" i="1"/>
  <c r="U750" i="1"/>
  <c r="X750" i="1" s="1"/>
  <c r="Z750" i="1" s="1"/>
  <c r="V749" i="1"/>
  <c r="AH749" i="1"/>
  <c r="AO749" i="1" s="1"/>
  <c r="AQ749" i="1" s="1"/>
  <c r="AJ749" i="1" l="1"/>
  <c r="CC749" i="1" s="1"/>
  <c r="AK748" i="1"/>
  <c r="AW747" i="1"/>
  <c r="V750" i="1"/>
  <c r="AE749" i="1"/>
  <c r="AG748" i="1"/>
  <c r="AX748" i="1" s="1"/>
  <c r="AY748" i="1"/>
  <c r="AZ748" i="1" s="1"/>
  <c r="AI751" i="1"/>
  <c r="AN751" i="1"/>
  <c r="U751" i="1"/>
  <c r="X751" i="1" s="1"/>
  <c r="Z751" i="1" s="1"/>
  <c r="AH750" i="1"/>
  <c r="AO750" i="1" s="1"/>
  <c r="AQ750" i="1" s="1"/>
  <c r="AJ750" i="1" l="1"/>
  <c r="CC750" i="1" s="1"/>
  <c r="V751" i="1"/>
  <c r="AE750" i="1"/>
  <c r="AG749" i="1"/>
  <c r="AX749" i="1" s="1"/>
  <c r="AY749" i="1"/>
  <c r="AZ749" i="1" s="1"/>
  <c r="AK749" i="1"/>
  <c r="AW748" i="1"/>
  <c r="AH751" i="1"/>
  <c r="AJ751" i="1" s="1"/>
  <c r="AN752" i="1"/>
  <c r="AI752" i="1"/>
  <c r="U752" i="1"/>
  <c r="X752" i="1" s="1"/>
  <c r="Z752" i="1" s="1"/>
  <c r="AO751" i="1" l="1"/>
  <c r="AQ751" i="1" s="1"/>
  <c r="CC751" i="1"/>
  <c r="V752" i="1"/>
  <c r="AE751" i="1"/>
  <c r="AY750" i="1"/>
  <c r="AZ750" i="1" s="1"/>
  <c r="AG750" i="1"/>
  <c r="AX750" i="1" s="1"/>
  <c r="AK751" i="1"/>
  <c r="AW750" i="1"/>
  <c r="AN753" i="1"/>
  <c r="AI753" i="1"/>
  <c r="U753" i="1"/>
  <c r="X753" i="1" s="1"/>
  <c r="Z753" i="1" s="1"/>
  <c r="AK750" i="1"/>
  <c r="AW749" i="1"/>
  <c r="AH752" i="1"/>
  <c r="AO752" i="1" s="1"/>
  <c r="AQ752" i="1" s="1"/>
  <c r="AJ752" i="1" l="1"/>
  <c r="CC752" i="1" s="1"/>
  <c r="AE752" i="1"/>
  <c r="AY751" i="1"/>
  <c r="AZ751" i="1" s="1"/>
  <c r="AG751" i="1"/>
  <c r="AX751" i="1" s="1"/>
  <c r="V753" i="1"/>
  <c r="AH753" i="1"/>
  <c r="AO753" i="1" s="1"/>
  <c r="AQ753" i="1" s="1"/>
  <c r="AN754" i="1"/>
  <c r="U754" i="1"/>
  <c r="X754" i="1" s="1"/>
  <c r="Z754" i="1" s="1"/>
  <c r="AI754" i="1"/>
  <c r="AJ753" i="1" l="1"/>
  <c r="AE753" i="1"/>
  <c r="AY752" i="1"/>
  <c r="AZ752" i="1" s="1"/>
  <c r="AG752" i="1"/>
  <c r="AX752" i="1" s="1"/>
  <c r="AW751" i="1"/>
  <c r="AK752" i="1"/>
  <c r="V754" i="1"/>
  <c r="AH754" i="1"/>
  <c r="AO754" i="1" s="1"/>
  <c r="AQ754" i="1" s="1"/>
  <c r="AN755" i="1"/>
  <c r="AI755" i="1"/>
  <c r="U755" i="1"/>
  <c r="X755" i="1" s="1"/>
  <c r="Z755" i="1" s="1"/>
  <c r="AJ754" i="1" l="1"/>
  <c r="AW752" i="1"/>
  <c r="CC753" i="1"/>
  <c r="AK753" i="1"/>
  <c r="AE754" i="1"/>
  <c r="AY753" i="1"/>
  <c r="AZ753" i="1" s="1"/>
  <c r="AG753" i="1"/>
  <c r="AX753" i="1" s="1"/>
  <c r="AH755" i="1"/>
  <c r="AJ755" i="1" s="1"/>
  <c r="V755" i="1"/>
  <c r="AO755" i="1"/>
  <c r="AQ755" i="1" s="1"/>
  <c r="AI756" i="1"/>
  <c r="AN756" i="1"/>
  <c r="U756" i="1"/>
  <c r="X756" i="1" s="1"/>
  <c r="Z756" i="1" s="1"/>
  <c r="AW753" i="1" l="1"/>
  <c r="CC754" i="1"/>
  <c r="AE755" i="1"/>
  <c r="AY754" i="1"/>
  <c r="AZ754" i="1" s="1"/>
  <c r="AG754" i="1"/>
  <c r="AX754" i="1" s="1"/>
  <c r="AK754" i="1"/>
  <c r="U757" i="1"/>
  <c r="X757" i="1" s="1"/>
  <c r="Z757" i="1" s="1"/>
  <c r="AI757" i="1"/>
  <c r="AN757" i="1"/>
  <c r="V756" i="1"/>
  <c r="AH756" i="1"/>
  <c r="AO756" i="1" s="1"/>
  <c r="AQ756" i="1" s="1"/>
  <c r="AJ756" i="1" l="1"/>
  <c r="AK755" i="1"/>
  <c r="CC755" i="1"/>
  <c r="AE756" i="1"/>
  <c r="AY755" i="1"/>
  <c r="AZ755" i="1" s="1"/>
  <c r="AG755" i="1"/>
  <c r="AX755" i="1" s="1"/>
  <c r="AW754" i="1"/>
  <c r="V757" i="1"/>
  <c r="AH757" i="1"/>
  <c r="AO757" i="1" s="1"/>
  <c r="AQ757" i="1" s="1"/>
  <c r="AI758" i="1"/>
  <c r="AN758" i="1"/>
  <c r="U758" i="1"/>
  <c r="X758" i="1" s="1"/>
  <c r="Z758" i="1" s="1"/>
  <c r="AJ757" i="1" l="1"/>
  <c r="AK757" i="1" s="1"/>
  <c r="AK756" i="1"/>
  <c r="CC756" i="1"/>
  <c r="AE757" i="1"/>
  <c r="AG756" i="1"/>
  <c r="AX756" i="1" s="1"/>
  <c r="AY756" i="1"/>
  <c r="AZ756" i="1" s="1"/>
  <c r="AW755" i="1"/>
  <c r="AH758" i="1"/>
  <c r="AO758" i="1" s="1"/>
  <c r="AQ758" i="1" s="1"/>
  <c r="V758" i="1"/>
  <c r="U759" i="1"/>
  <c r="X759" i="1" s="1"/>
  <c r="Z759" i="1" s="1"/>
  <c r="AI759" i="1"/>
  <c r="AN759" i="1"/>
  <c r="AJ758" i="1" l="1"/>
  <c r="CC758" i="1" s="1"/>
  <c r="AW756" i="1"/>
  <c r="CC757" i="1"/>
  <c r="V759" i="1"/>
  <c r="AE758" i="1"/>
  <c r="AG757" i="1"/>
  <c r="AX757" i="1" s="1"/>
  <c r="AY757" i="1"/>
  <c r="AZ757" i="1" s="1"/>
  <c r="AH759" i="1"/>
  <c r="AO759" i="1" s="1"/>
  <c r="AQ759" i="1" s="1"/>
  <c r="U760" i="1"/>
  <c r="X760" i="1" s="1"/>
  <c r="Z760" i="1" s="1"/>
  <c r="AI760" i="1"/>
  <c r="AN760" i="1"/>
  <c r="AJ759" i="1" l="1"/>
  <c r="CC759" i="1" s="1"/>
  <c r="AE759" i="1"/>
  <c r="AY758" i="1"/>
  <c r="AZ758" i="1" s="1"/>
  <c r="AG758" i="1"/>
  <c r="AX758" i="1" s="1"/>
  <c r="AK758" i="1"/>
  <c r="AW757" i="1"/>
  <c r="V760" i="1"/>
  <c r="AH760" i="1"/>
  <c r="AO760" i="1" s="1"/>
  <c r="AQ760" i="1" s="1"/>
  <c r="AN761" i="1"/>
  <c r="U761" i="1"/>
  <c r="X761" i="1" s="1"/>
  <c r="Z761" i="1" s="1"/>
  <c r="AI761" i="1"/>
  <c r="AJ760" i="1" l="1"/>
  <c r="CC760" i="1" s="1"/>
  <c r="V761" i="1"/>
  <c r="AE760" i="1"/>
  <c r="AG759" i="1"/>
  <c r="AX759" i="1" s="1"/>
  <c r="AY759" i="1"/>
  <c r="AZ759" i="1" s="1"/>
  <c r="AK759" i="1"/>
  <c r="AW758" i="1"/>
  <c r="AH761" i="1"/>
  <c r="AO761" i="1" s="1"/>
  <c r="AQ761" i="1" s="1"/>
  <c r="AN762" i="1"/>
  <c r="AI762" i="1"/>
  <c r="U762" i="1"/>
  <c r="X762" i="1" s="1"/>
  <c r="Z762" i="1" s="1"/>
  <c r="AJ761" i="1" l="1"/>
  <c r="CC761" i="1" s="1"/>
  <c r="AW759" i="1"/>
  <c r="AK760" i="1"/>
  <c r="AE761" i="1"/>
  <c r="AG760" i="1"/>
  <c r="AX760" i="1" s="1"/>
  <c r="AY760" i="1"/>
  <c r="AZ760" i="1" s="1"/>
  <c r="AN763" i="1"/>
  <c r="U763" i="1"/>
  <c r="X763" i="1" s="1"/>
  <c r="Z763" i="1" s="1"/>
  <c r="AI763" i="1"/>
  <c r="AH762" i="1"/>
  <c r="AO762" i="1" s="1"/>
  <c r="AQ762" i="1" s="1"/>
  <c r="V762" i="1"/>
  <c r="AJ762" i="1" l="1"/>
  <c r="CC762" i="1" s="1"/>
  <c r="AE762" i="1"/>
  <c r="AG761" i="1"/>
  <c r="AX761" i="1" s="1"/>
  <c r="AY761" i="1"/>
  <c r="AZ761" i="1" s="1"/>
  <c r="V763" i="1"/>
  <c r="AH763" i="1"/>
  <c r="AJ763" i="1" s="1"/>
  <c r="AK761" i="1"/>
  <c r="AW760" i="1"/>
  <c r="AI764" i="1"/>
  <c r="AN764" i="1"/>
  <c r="U764" i="1"/>
  <c r="X764" i="1" s="1"/>
  <c r="Z764" i="1" s="1"/>
  <c r="CC763" i="1" l="1"/>
  <c r="AE763" i="1"/>
  <c r="AY762" i="1"/>
  <c r="AZ762" i="1" s="1"/>
  <c r="AG762" i="1"/>
  <c r="AX762" i="1" s="1"/>
  <c r="AO763" i="1"/>
  <c r="AQ763" i="1" s="1"/>
  <c r="AK762" i="1"/>
  <c r="AW761" i="1"/>
  <c r="AW762" i="1"/>
  <c r="AK763" i="1"/>
  <c r="AI765" i="1"/>
  <c r="AN765" i="1"/>
  <c r="U765" i="1"/>
  <c r="X765" i="1" s="1"/>
  <c r="Z765" i="1" s="1"/>
  <c r="AH764" i="1"/>
  <c r="AO764" i="1" s="1"/>
  <c r="AQ764" i="1" s="1"/>
  <c r="V764" i="1"/>
  <c r="AJ764" i="1" l="1"/>
  <c r="CC764" i="1" s="1"/>
  <c r="V765" i="1"/>
  <c r="AE764" i="1"/>
  <c r="AY763" i="1"/>
  <c r="AZ763" i="1" s="1"/>
  <c r="AG763" i="1"/>
  <c r="AX763" i="1" s="1"/>
  <c r="AH765" i="1"/>
  <c r="AO765" i="1" s="1"/>
  <c r="AQ765" i="1" s="1"/>
  <c r="AI766" i="1"/>
  <c r="AN766" i="1"/>
  <c r="U766" i="1"/>
  <c r="X766" i="1" s="1"/>
  <c r="Z766" i="1" s="1"/>
  <c r="AJ765" i="1" l="1"/>
  <c r="AE765" i="1"/>
  <c r="AG764" i="1"/>
  <c r="AX764" i="1" s="1"/>
  <c r="AY764" i="1"/>
  <c r="AZ764" i="1" s="1"/>
  <c r="AN767" i="1"/>
  <c r="U767" i="1"/>
  <c r="X767" i="1" s="1"/>
  <c r="Z767" i="1" s="1"/>
  <c r="AI767" i="1"/>
  <c r="AH766" i="1"/>
  <c r="AJ766" i="1" s="1"/>
  <c r="V766" i="1"/>
  <c r="AO766" i="1"/>
  <c r="AQ766" i="1" s="1"/>
  <c r="AW763" i="1"/>
  <c r="AK764" i="1"/>
  <c r="CC765" i="1"/>
  <c r="AE766" i="1" l="1"/>
  <c r="AY765" i="1"/>
  <c r="AZ765" i="1" s="1"/>
  <c r="AG765" i="1"/>
  <c r="AX765" i="1" s="1"/>
  <c r="AK765" i="1"/>
  <c r="AW764" i="1"/>
  <c r="V767" i="1"/>
  <c r="AH767" i="1"/>
  <c r="AJ767" i="1" s="1"/>
  <c r="AN768" i="1"/>
  <c r="AI768" i="1"/>
  <c r="U768" i="1"/>
  <c r="X768" i="1" s="1"/>
  <c r="Z768" i="1" s="1"/>
  <c r="CC767" i="1" l="1"/>
  <c r="AK766" i="1"/>
  <c r="CC766" i="1"/>
  <c r="AE767" i="1"/>
  <c r="AY766" i="1"/>
  <c r="AZ766" i="1" s="1"/>
  <c r="AG766" i="1"/>
  <c r="AX766" i="1" s="1"/>
  <c r="AO767" i="1"/>
  <c r="AQ767" i="1" s="1"/>
  <c r="AW765" i="1"/>
  <c r="AI769" i="1"/>
  <c r="AN769" i="1"/>
  <c r="U769" i="1"/>
  <c r="X769" i="1" s="1"/>
  <c r="Z769" i="1" s="1"/>
  <c r="AK767" i="1"/>
  <c r="AW766" i="1"/>
  <c r="V768" i="1"/>
  <c r="AH768" i="1"/>
  <c r="AO768" i="1" s="1"/>
  <c r="AQ768" i="1" s="1"/>
  <c r="AJ768" i="1" l="1"/>
  <c r="V769" i="1"/>
  <c r="AE768" i="1"/>
  <c r="AY767" i="1"/>
  <c r="AZ767" i="1" s="1"/>
  <c r="AG767" i="1"/>
  <c r="AX767" i="1" s="1"/>
  <c r="AH769" i="1"/>
  <c r="AO769" i="1" s="1"/>
  <c r="AQ769" i="1" s="1"/>
  <c r="AN770" i="1"/>
  <c r="U770" i="1"/>
  <c r="X770" i="1" s="1"/>
  <c r="Z770" i="1" s="1"/>
  <c r="AI770" i="1"/>
  <c r="AJ769" i="1" l="1"/>
  <c r="CC769" i="1" s="1"/>
  <c r="AW767" i="1"/>
  <c r="CC768" i="1"/>
  <c r="AE769" i="1"/>
  <c r="AY768" i="1"/>
  <c r="AZ768" i="1" s="1"/>
  <c r="AG768" i="1"/>
  <c r="AX768" i="1" s="1"/>
  <c r="AK768" i="1"/>
  <c r="U771" i="1"/>
  <c r="X771" i="1" s="1"/>
  <c r="Z771" i="1" s="1"/>
  <c r="AN771" i="1"/>
  <c r="AI771" i="1"/>
  <c r="AW768" i="1"/>
  <c r="V770" i="1"/>
  <c r="AH770" i="1"/>
  <c r="AO770" i="1" s="1"/>
  <c r="AQ770" i="1" s="1"/>
  <c r="AJ770" i="1" l="1"/>
  <c r="V771" i="1"/>
  <c r="AK769" i="1"/>
  <c r="AE770" i="1"/>
  <c r="AG769" i="1"/>
  <c r="AX769" i="1" s="1"/>
  <c r="AY769" i="1"/>
  <c r="AZ769" i="1" s="1"/>
  <c r="AH771" i="1"/>
  <c r="AO771" i="1" s="1"/>
  <c r="AQ771" i="1" s="1"/>
  <c r="U772" i="1"/>
  <c r="X772" i="1" s="1"/>
  <c r="Z772" i="1" s="1"/>
  <c r="AI772" i="1"/>
  <c r="AN772" i="1"/>
  <c r="AJ771" i="1" l="1"/>
  <c r="V772" i="1"/>
  <c r="AW769" i="1"/>
  <c r="CC770" i="1"/>
  <c r="AE771" i="1"/>
  <c r="AY770" i="1"/>
  <c r="AZ770" i="1" s="1"/>
  <c r="AG770" i="1"/>
  <c r="AX770" i="1" s="1"/>
  <c r="AK770" i="1"/>
  <c r="AI773" i="1"/>
  <c r="U773" i="1"/>
  <c r="X773" i="1" s="1"/>
  <c r="Z773" i="1" s="1"/>
  <c r="AN773" i="1"/>
  <c r="AH772" i="1"/>
  <c r="AO772" i="1" s="1"/>
  <c r="AQ772" i="1" s="1"/>
  <c r="CC771" i="1"/>
  <c r="AJ772" i="1" l="1"/>
  <c r="CC772" i="1" s="1"/>
  <c r="AE772" i="1"/>
  <c r="AG771" i="1"/>
  <c r="AX771" i="1" s="1"/>
  <c r="AY771" i="1"/>
  <c r="AZ771" i="1" s="1"/>
  <c r="AK771" i="1"/>
  <c r="AW770" i="1"/>
  <c r="V773" i="1"/>
  <c r="AH773" i="1"/>
  <c r="AO773" i="1" s="1"/>
  <c r="AQ773" i="1" s="1"/>
  <c r="AI774" i="1"/>
  <c r="AN774" i="1"/>
  <c r="U774" i="1"/>
  <c r="X774" i="1" s="1"/>
  <c r="Z774" i="1" s="1"/>
  <c r="AJ773" i="1" l="1"/>
  <c r="AK772" i="1"/>
  <c r="AW771" i="1"/>
  <c r="AE773" i="1"/>
  <c r="AG772" i="1"/>
  <c r="AX772" i="1" s="1"/>
  <c r="AY772" i="1"/>
  <c r="AZ772" i="1" s="1"/>
  <c r="AI775" i="1"/>
  <c r="AN775" i="1"/>
  <c r="U775" i="1"/>
  <c r="X775" i="1" s="1"/>
  <c r="Z775" i="1" s="1"/>
  <c r="V774" i="1"/>
  <c r="AH774" i="1"/>
  <c r="AO774" i="1" s="1"/>
  <c r="AQ774" i="1" s="1"/>
  <c r="AJ774" i="1" l="1"/>
  <c r="AK774" i="1" s="1"/>
  <c r="AW772" i="1"/>
  <c r="CC773" i="1"/>
  <c r="AK773" i="1"/>
  <c r="AE774" i="1"/>
  <c r="AG773" i="1"/>
  <c r="AX773" i="1" s="1"/>
  <c r="AY773" i="1"/>
  <c r="AZ773" i="1" s="1"/>
  <c r="AH775" i="1"/>
  <c r="AO775" i="1" s="1"/>
  <c r="AQ775" i="1" s="1"/>
  <c r="V775" i="1"/>
  <c r="AI776" i="1"/>
  <c r="AN776" i="1"/>
  <c r="U776" i="1"/>
  <c r="X776" i="1" s="1"/>
  <c r="Z776" i="1" s="1"/>
  <c r="AJ775" i="1" l="1"/>
  <c r="AW773" i="1"/>
  <c r="CC774" i="1"/>
  <c r="V776" i="1"/>
  <c r="AE775" i="1"/>
  <c r="AG774" i="1"/>
  <c r="AX774" i="1" s="1"/>
  <c r="AY774" i="1"/>
  <c r="AZ774" i="1" s="1"/>
  <c r="AI777" i="1"/>
  <c r="AN777" i="1"/>
  <c r="U777" i="1"/>
  <c r="X777" i="1" s="1"/>
  <c r="Z777" i="1" s="1"/>
  <c r="AH776" i="1"/>
  <c r="AO776" i="1" s="1"/>
  <c r="AQ776" i="1" s="1"/>
  <c r="AJ776" i="1" l="1"/>
  <c r="V777" i="1"/>
  <c r="AW774" i="1"/>
  <c r="CC775" i="1"/>
  <c r="AK775" i="1"/>
  <c r="AE776" i="1"/>
  <c r="AY775" i="1"/>
  <c r="AZ775" i="1" s="1"/>
  <c r="AG775" i="1"/>
  <c r="AX775" i="1" s="1"/>
  <c r="AH777" i="1"/>
  <c r="AO777" i="1" s="1"/>
  <c r="AQ777" i="1" s="1"/>
  <c r="AI778" i="1"/>
  <c r="U778" i="1"/>
  <c r="X778" i="1" s="1"/>
  <c r="Z778" i="1" s="1"/>
  <c r="AN778" i="1"/>
  <c r="CC776" i="1"/>
  <c r="AJ777" i="1" l="1"/>
  <c r="AE777" i="1"/>
  <c r="AG776" i="1"/>
  <c r="AX776" i="1" s="1"/>
  <c r="AY776" i="1"/>
  <c r="AZ776" i="1" s="1"/>
  <c r="AI779" i="1"/>
  <c r="U779" i="1"/>
  <c r="X779" i="1" s="1"/>
  <c r="Z779" i="1" s="1"/>
  <c r="AN779" i="1"/>
  <c r="AK776" i="1"/>
  <c r="AW775" i="1"/>
  <c r="V778" i="1"/>
  <c r="AH778" i="1"/>
  <c r="AO778" i="1" s="1"/>
  <c r="AQ778" i="1" s="1"/>
  <c r="AJ778" i="1" l="1"/>
  <c r="AK777" i="1"/>
  <c r="CC777" i="1"/>
  <c r="AW776" i="1"/>
  <c r="AE778" i="1"/>
  <c r="AG777" i="1"/>
  <c r="AX777" i="1" s="1"/>
  <c r="AY777" i="1"/>
  <c r="AZ777" i="1" s="1"/>
  <c r="AH779" i="1"/>
  <c r="AJ779" i="1" s="1"/>
  <c r="V779" i="1"/>
  <c r="AO779" i="1"/>
  <c r="AQ779" i="1" s="1"/>
  <c r="AI780" i="1"/>
  <c r="AN780" i="1"/>
  <c r="U780" i="1"/>
  <c r="X780" i="1" s="1"/>
  <c r="Z780" i="1" s="1"/>
  <c r="AW777" i="1" l="1"/>
  <c r="CC778" i="1"/>
  <c r="AE779" i="1"/>
  <c r="AG778" i="1"/>
  <c r="AX778" i="1" s="1"/>
  <c r="AY778" i="1"/>
  <c r="AZ778" i="1" s="1"/>
  <c r="AK778" i="1"/>
  <c r="AN781" i="1"/>
  <c r="U781" i="1"/>
  <c r="X781" i="1" s="1"/>
  <c r="Z781" i="1" s="1"/>
  <c r="AI781" i="1"/>
  <c r="V780" i="1"/>
  <c r="AH780" i="1"/>
  <c r="AO780" i="1" s="1"/>
  <c r="AQ780" i="1" s="1"/>
  <c r="CC779" i="1"/>
  <c r="AJ780" i="1" l="1"/>
  <c r="V781" i="1"/>
  <c r="AE780" i="1"/>
  <c r="AG779" i="1"/>
  <c r="AX779" i="1" s="1"/>
  <c r="AY779" i="1"/>
  <c r="AZ779" i="1" s="1"/>
  <c r="AH781" i="1"/>
  <c r="AO781" i="1" s="1"/>
  <c r="AQ781" i="1" s="1"/>
  <c r="AW778" i="1"/>
  <c r="AK779" i="1"/>
  <c r="AI782" i="1"/>
  <c r="U782" i="1"/>
  <c r="X782" i="1" s="1"/>
  <c r="Z782" i="1" s="1"/>
  <c r="AN782" i="1"/>
  <c r="AJ781" i="1" l="1"/>
  <c r="AW779" i="1"/>
  <c r="CC780" i="1"/>
  <c r="AK780" i="1"/>
  <c r="V782" i="1"/>
  <c r="AE781" i="1"/>
  <c r="AG780" i="1"/>
  <c r="AX780" i="1" s="1"/>
  <c r="AY780" i="1"/>
  <c r="AZ780" i="1" s="1"/>
  <c r="AI783" i="1"/>
  <c r="U783" i="1"/>
  <c r="X783" i="1" s="1"/>
  <c r="Z783" i="1" s="1"/>
  <c r="AN783" i="1"/>
  <c r="AH782" i="1"/>
  <c r="AO782" i="1" s="1"/>
  <c r="AQ782" i="1" s="1"/>
  <c r="CC781" i="1"/>
  <c r="AJ782" i="1" l="1"/>
  <c r="CC782" i="1" s="1"/>
  <c r="V783" i="1"/>
  <c r="AE782" i="1"/>
  <c r="AG781" i="1"/>
  <c r="AX781" i="1" s="1"/>
  <c r="AY781" i="1"/>
  <c r="AZ781" i="1" s="1"/>
  <c r="AH783" i="1"/>
  <c r="AO783" i="1" s="1"/>
  <c r="AQ783" i="1" s="1"/>
  <c r="AW780" i="1"/>
  <c r="AK781" i="1"/>
  <c r="AN784" i="1"/>
  <c r="AI784" i="1"/>
  <c r="U784" i="1"/>
  <c r="X784" i="1" s="1"/>
  <c r="Z784" i="1" s="1"/>
  <c r="AJ783" i="1" l="1"/>
  <c r="AE783" i="1"/>
  <c r="AG782" i="1"/>
  <c r="AX782" i="1" s="1"/>
  <c r="AY782" i="1"/>
  <c r="AZ782" i="1" s="1"/>
  <c r="AW781" i="1"/>
  <c r="AK782" i="1"/>
  <c r="U785" i="1"/>
  <c r="X785" i="1" s="1"/>
  <c r="Z785" i="1" s="1"/>
  <c r="AN785" i="1"/>
  <c r="AI785" i="1"/>
  <c r="V784" i="1"/>
  <c r="AH784" i="1"/>
  <c r="AO784" i="1" s="1"/>
  <c r="AQ784" i="1" s="1"/>
  <c r="AJ784" i="1" l="1"/>
  <c r="AW782" i="1"/>
  <c r="CC783" i="1"/>
  <c r="AK783" i="1"/>
  <c r="V785" i="1"/>
  <c r="AE784" i="1"/>
  <c r="AG783" i="1"/>
  <c r="AX783" i="1" s="1"/>
  <c r="AY783" i="1"/>
  <c r="AZ783" i="1" s="1"/>
  <c r="AH785" i="1"/>
  <c r="AO785" i="1" s="1"/>
  <c r="AQ785" i="1" s="1"/>
  <c r="AI786" i="1"/>
  <c r="U786" i="1"/>
  <c r="X786" i="1" s="1"/>
  <c r="Z786" i="1" s="1"/>
  <c r="AN786" i="1"/>
  <c r="AJ785" i="1" l="1"/>
  <c r="AK784" i="1"/>
  <c r="CC784" i="1"/>
  <c r="AW783" i="1"/>
  <c r="V786" i="1"/>
  <c r="AE785" i="1"/>
  <c r="AY784" i="1"/>
  <c r="AZ784" i="1" s="1"/>
  <c r="AG784" i="1"/>
  <c r="AX784" i="1" s="1"/>
  <c r="U787" i="1"/>
  <c r="X787" i="1" s="1"/>
  <c r="Z787" i="1" s="1"/>
  <c r="AN787" i="1"/>
  <c r="AI787" i="1"/>
  <c r="AH786" i="1"/>
  <c r="AO786" i="1" s="1"/>
  <c r="AQ786" i="1" s="1"/>
  <c r="AJ786" i="1" l="1"/>
  <c r="AK785" i="1"/>
  <c r="CC785" i="1"/>
  <c r="AW784" i="1"/>
  <c r="AE786" i="1"/>
  <c r="AY785" i="1"/>
  <c r="AZ785" i="1" s="1"/>
  <c r="AG785" i="1"/>
  <c r="AX785" i="1" s="1"/>
  <c r="V787" i="1"/>
  <c r="AH787" i="1"/>
  <c r="AJ787" i="1" s="1"/>
  <c r="AI788" i="1"/>
  <c r="U788" i="1"/>
  <c r="X788" i="1" s="1"/>
  <c r="Z788" i="1" s="1"/>
  <c r="AN788" i="1"/>
  <c r="CC786" i="1"/>
  <c r="CC787" i="1" l="1"/>
  <c r="V788" i="1"/>
  <c r="AE787" i="1"/>
  <c r="AG786" i="1"/>
  <c r="AX786" i="1" s="1"/>
  <c r="AY786" i="1"/>
  <c r="AZ786" i="1" s="1"/>
  <c r="AN789" i="1"/>
  <c r="AI789" i="1"/>
  <c r="U789" i="1"/>
  <c r="X789" i="1" s="1"/>
  <c r="Z789" i="1" s="1"/>
  <c r="AW786" i="1"/>
  <c r="AW785" i="1"/>
  <c r="AK786" i="1"/>
  <c r="AH788" i="1"/>
  <c r="AO788" i="1" s="1"/>
  <c r="AQ788" i="1" s="1"/>
  <c r="AO787" i="1"/>
  <c r="AQ787" i="1" s="1"/>
  <c r="AJ788" i="1" l="1"/>
  <c r="V789" i="1"/>
  <c r="AK787" i="1"/>
  <c r="AE788" i="1"/>
  <c r="AG787" i="1"/>
  <c r="AX787" i="1" s="1"/>
  <c r="AY787" i="1"/>
  <c r="AZ787" i="1" s="1"/>
  <c r="AH789" i="1"/>
  <c r="AO789" i="1" s="1"/>
  <c r="AQ789" i="1" s="1"/>
  <c r="AI790" i="1"/>
  <c r="U790" i="1"/>
  <c r="X790" i="1" s="1"/>
  <c r="Z790" i="1" s="1"/>
  <c r="AN790" i="1"/>
  <c r="CC788" i="1"/>
  <c r="AJ789" i="1" l="1"/>
  <c r="CC789" i="1" s="1"/>
  <c r="V790" i="1"/>
  <c r="AE789" i="1"/>
  <c r="AY788" i="1"/>
  <c r="AZ788" i="1" s="1"/>
  <c r="AG788" i="1"/>
  <c r="AX788" i="1" s="1"/>
  <c r="AK788" i="1"/>
  <c r="AW787" i="1"/>
  <c r="AH790" i="1"/>
  <c r="AO790" i="1" s="1"/>
  <c r="AQ790" i="1" s="1"/>
  <c r="AI791" i="1"/>
  <c r="AN791" i="1"/>
  <c r="U791" i="1"/>
  <c r="X791" i="1" s="1"/>
  <c r="Z791" i="1" s="1"/>
  <c r="AJ790" i="1" l="1"/>
  <c r="CC790" i="1" s="1"/>
  <c r="AE790" i="1"/>
  <c r="AG789" i="1"/>
  <c r="AX789" i="1" s="1"/>
  <c r="AY789" i="1"/>
  <c r="AZ789" i="1" s="1"/>
  <c r="AN792" i="1"/>
  <c r="AI792" i="1"/>
  <c r="U792" i="1"/>
  <c r="X792" i="1" s="1"/>
  <c r="Z792" i="1" s="1"/>
  <c r="AK789" i="1"/>
  <c r="AW788" i="1"/>
  <c r="V791" i="1"/>
  <c r="AH791" i="1"/>
  <c r="AO791" i="1" s="1"/>
  <c r="AQ791" i="1" s="1"/>
  <c r="AJ791" i="1" l="1"/>
  <c r="V792" i="1"/>
  <c r="AE791" i="1"/>
  <c r="AG790" i="1"/>
  <c r="AX790" i="1" s="1"/>
  <c r="AY790" i="1"/>
  <c r="AZ790" i="1" s="1"/>
  <c r="AH792" i="1"/>
  <c r="AJ792" i="1" s="1"/>
  <c r="AW789" i="1"/>
  <c r="AK790" i="1"/>
  <c r="AI793" i="1"/>
  <c r="AN793" i="1"/>
  <c r="U793" i="1"/>
  <c r="X793" i="1" s="1"/>
  <c r="Z793" i="1" s="1"/>
  <c r="AK791" i="1" l="1"/>
  <c r="CC791" i="1"/>
  <c r="AE792" i="1"/>
  <c r="AY791" i="1"/>
  <c r="AZ791" i="1" s="1"/>
  <c r="AG791" i="1"/>
  <c r="AX791" i="1" s="1"/>
  <c r="AW790" i="1"/>
  <c r="AN794" i="1"/>
  <c r="U794" i="1"/>
  <c r="X794" i="1" s="1"/>
  <c r="Z794" i="1" s="1"/>
  <c r="AI794" i="1"/>
  <c r="V793" i="1"/>
  <c r="AH793" i="1"/>
  <c r="AO793" i="1" s="1"/>
  <c r="AQ793" i="1" s="1"/>
  <c r="AO792" i="1"/>
  <c r="AQ792" i="1" s="1"/>
  <c r="AJ793" i="1" l="1"/>
  <c r="AK792" i="1"/>
  <c r="CC792" i="1"/>
  <c r="AE793" i="1"/>
  <c r="AG792" i="1"/>
  <c r="AX792" i="1" s="1"/>
  <c r="AY792" i="1"/>
  <c r="AZ792" i="1" s="1"/>
  <c r="AW791" i="1"/>
  <c r="AH794" i="1"/>
  <c r="AO794" i="1" s="1"/>
  <c r="AQ794" i="1" s="1"/>
  <c r="V794" i="1"/>
  <c r="U795" i="1"/>
  <c r="X795" i="1" s="1"/>
  <c r="Z795" i="1" s="1"/>
  <c r="AN795" i="1"/>
  <c r="AI795" i="1"/>
  <c r="CC793" i="1"/>
  <c r="AJ794" i="1" l="1"/>
  <c r="CC794" i="1" s="1"/>
  <c r="AE794" i="1"/>
  <c r="AY793" i="1"/>
  <c r="AZ793" i="1" s="1"/>
  <c r="AG793" i="1"/>
  <c r="AX793" i="1" s="1"/>
  <c r="AI796" i="1"/>
  <c r="U796" i="1"/>
  <c r="X796" i="1" s="1"/>
  <c r="Z796" i="1" s="1"/>
  <c r="AN796" i="1"/>
  <c r="V795" i="1"/>
  <c r="AH795" i="1"/>
  <c r="AO795" i="1" s="1"/>
  <c r="AQ795" i="1" s="1"/>
  <c r="AW792" i="1"/>
  <c r="AK793" i="1"/>
  <c r="AJ795" i="1" l="1"/>
  <c r="CC795" i="1" s="1"/>
  <c r="V796" i="1"/>
  <c r="AE795" i="1"/>
  <c r="AG794" i="1"/>
  <c r="AX794" i="1" s="1"/>
  <c r="AY794" i="1"/>
  <c r="AZ794" i="1" s="1"/>
  <c r="AH796" i="1"/>
  <c r="AO796" i="1" s="1"/>
  <c r="AQ796" i="1" s="1"/>
  <c r="AK794" i="1"/>
  <c r="AW793" i="1"/>
  <c r="U797" i="1"/>
  <c r="X797" i="1" s="1"/>
  <c r="Z797" i="1" s="1"/>
  <c r="AI797" i="1"/>
  <c r="AN797" i="1"/>
  <c r="AJ796" i="1" l="1"/>
  <c r="CC796" i="1" s="1"/>
  <c r="V797" i="1"/>
  <c r="AE796" i="1"/>
  <c r="AG795" i="1"/>
  <c r="AX795" i="1" s="1"/>
  <c r="AY795" i="1"/>
  <c r="AZ795" i="1" s="1"/>
  <c r="U798" i="1"/>
  <c r="X798" i="1" s="1"/>
  <c r="Z798" i="1" s="1"/>
  <c r="AN798" i="1"/>
  <c r="AI798" i="1"/>
  <c r="AH797" i="1"/>
  <c r="AO797" i="1" s="1"/>
  <c r="AQ797" i="1" s="1"/>
  <c r="AW794" i="1"/>
  <c r="AK795" i="1"/>
  <c r="AJ797" i="1" l="1"/>
  <c r="CC797" i="1" s="1"/>
  <c r="V798" i="1"/>
  <c r="AE797" i="1"/>
  <c r="AG796" i="1"/>
  <c r="AX796" i="1" s="1"/>
  <c r="AY796" i="1"/>
  <c r="AZ796" i="1" s="1"/>
  <c r="AH798" i="1"/>
  <c r="AO798" i="1" s="1"/>
  <c r="AQ798" i="1" s="1"/>
  <c r="AW795" i="1"/>
  <c r="AK796" i="1"/>
  <c r="AN799" i="1"/>
  <c r="U799" i="1"/>
  <c r="X799" i="1" s="1"/>
  <c r="Z799" i="1" s="1"/>
  <c r="AI799" i="1"/>
  <c r="AJ798" i="1" l="1"/>
  <c r="AE798" i="1"/>
  <c r="AY797" i="1"/>
  <c r="AZ797" i="1" s="1"/>
  <c r="AG797" i="1"/>
  <c r="AX797" i="1" s="1"/>
  <c r="U800" i="1"/>
  <c r="X800" i="1" s="1"/>
  <c r="Z800" i="1" s="1"/>
  <c r="AN800" i="1"/>
  <c r="AI800" i="1"/>
  <c r="AH799" i="1"/>
  <c r="AJ799" i="1" s="1"/>
  <c r="V799" i="1"/>
  <c r="AO799" i="1"/>
  <c r="AQ799" i="1" s="1"/>
  <c r="AW796" i="1"/>
  <c r="AK797" i="1"/>
  <c r="CC798" i="1"/>
  <c r="CC799" i="1" l="1"/>
  <c r="AE799" i="1"/>
  <c r="AY798" i="1"/>
  <c r="AZ798" i="1" s="1"/>
  <c r="AG798" i="1"/>
  <c r="AX798" i="1" s="1"/>
  <c r="AK799" i="1"/>
  <c r="AW798" i="1"/>
  <c r="AK798" i="1"/>
  <c r="AW797" i="1"/>
  <c r="AH800" i="1"/>
  <c r="AO800" i="1" s="1"/>
  <c r="AQ800" i="1" s="1"/>
  <c r="V800" i="1"/>
  <c r="U801" i="1"/>
  <c r="X801" i="1" s="1"/>
  <c r="Z801" i="1" s="1"/>
  <c r="AI801" i="1"/>
  <c r="AN801" i="1"/>
  <c r="AJ800" i="1" l="1"/>
  <c r="CC800" i="1" s="1"/>
  <c r="V801" i="1"/>
  <c r="AE800" i="1"/>
  <c r="AG799" i="1"/>
  <c r="AX799" i="1" s="1"/>
  <c r="AY799" i="1"/>
  <c r="AZ799" i="1" s="1"/>
  <c r="U802" i="1"/>
  <c r="X802" i="1" s="1"/>
  <c r="Z802" i="1" s="1"/>
  <c r="AN802" i="1"/>
  <c r="AI802" i="1"/>
  <c r="AH801" i="1"/>
  <c r="AO801" i="1" s="1"/>
  <c r="AQ801" i="1" s="1"/>
  <c r="AJ801" i="1" l="1"/>
  <c r="V802" i="1"/>
  <c r="AE801" i="1"/>
  <c r="AY800" i="1"/>
  <c r="AZ800" i="1" s="1"/>
  <c r="AG800" i="1"/>
  <c r="AX800" i="1" s="1"/>
  <c r="AK800" i="1"/>
  <c r="AW799" i="1"/>
  <c r="AH802" i="1"/>
  <c r="AO802" i="1" s="1"/>
  <c r="AQ802" i="1" s="1"/>
  <c r="U803" i="1"/>
  <c r="X803" i="1" s="1"/>
  <c r="Z803" i="1" s="1"/>
  <c r="AN803" i="1"/>
  <c r="AI803" i="1"/>
  <c r="AJ802" i="1" l="1"/>
  <c r="AK801" i="1"/>
  <c r="CC801" i="1"/>
  <c r="AW800" i="1"/>
  <c r="V803" i="1"/>
  <c r="AE802" i="1"/>
  <c r="AY801" i="1"/>
  <c r="AZ801" i="1" s="1"/>
  <c r="AG801" i="1"/>
  <c r="AX801" i="1" s="1"/>
  <c r="AI804" i="1"/>
  <c r="AN804" i="1"/>
  <c r="U804" i="1"/>
  <c r="X804" i="1" s="1"/>
  <c r="Z804" i="1" s="1"/>
  <c r="AH803" i="1"/>
  <c r="AO803" i="1" s="1"/>
  <c r="AQ803" i="1" s="1"/>
  <c r="CC802" i="1"/>
  <c r="AJ803" i="1" l="1"/>
  <c r="CC803" i="1" s="1"/>
  <c r="AE803" i="1"/>
  <c r="AG802" i="1"/>
  <c r="AX802" i="1" s="1"/>
  <c r="AY802" i="1"/>
  <c r="AZ802" i="1" s="1"/>
  <c r="AK802" i="1"/>
  <c r="AW801" i="1"/>
  <c r="V804" i="1"/>
  <c r="AH804" i="1"/>
  <c r="AO804" i="1" s="1"/>
  <c r="AQ804" i="1" s="1"/>
  <c r="U805" i="1"/>
  <c r="X805" i="1" s="1"/>
  <c r="Z805" i="1" s="1"/>
  <c r="AI805" i="1"/>
  <c r="AN805" i="1"/>
  <c r="AJ804" i="1" l="1"/>
  <c r="CC804" i="1" s="1"/>
  <c r="AW802" i="1"/>
  <c r="AK803" i="1"/>
  <c r="AE804" i="1"/>
  <c r="AY803" i="1"/>
  <c r="AZ803" i="1" s="1"/>
  <c r="AG803" i="1"/>
  <c r="AX803" i="1" s="1"/>
  <c r="AN806" i="1"/>
  <c r="U806" i="1"/>
  <c r="X806" i="1" s="1"/>
  <c r="Z806" i="1" s="1"/>
  <c r="AI806" i="1"/>
  <c r="V805" i="1"/>
  <c r="AH805" i="1"/>
  <c r="AO805" i="1" s="1"/>
  <c r="AQ805" i="1" s="1"/>
  <c r="AJ805" i="1" l="1"/>
  <c r="CC805" i="1" s="1"/>
  <c r="V806" i="1"/>
  <c r="AE805" i="1"/>
  <c r="AY804" i="1"/>
  <c r="AZ804" i="1" s="1"/>
  <c r="AG804" i="1"/>
  <c r="AX804" i="1" s="1"/>
  <c r="AH806" i="1"/>
  <c r="AJ806" i="1" s="1"/>
  <c r="AW803" i="1"/>
  <c r="AK804" i="1"/>
  <c r="AI807" i="1"/>
  <c r="AN807" i="1"/>
  <c r="U807" i="1"/>
  <c r="X807" i="1" s="1"/>
  <c r="Z807" i="1" s="1"/>
  <c r="CC806" i="1" l="1"/>
  <c r="AO806" i="1"/>
  <c r="AQ806" i="1" s="1"/>
  <c r="AE806" i="1"/>
  <c r="AG805" i="1"/>
  <c r="AX805" i="1" s="1"/>
  <c r="AY805" i="1"/>
  <c r="AZ805" i="1" s="1"/>
  <c r="AW804" i="1"/>
  <c r="AK805" i="1"/>
  <c r="AK806" i="1"/>
  <c r="AW805" i="1"/>
  <c r="V807" i="1"/>
  <c r="AH807" i="1"/>
  <c r="AO807" i="1" s="1"/>
  <c r="AQ807" i="1" s="1"/>
  <c r="AI808" i="1"/>
  <c r="AN808" i="1"/>
  <c r="U808" i="1"/>
  <c r="X808" i="1" s="1"/>
  <c r="Z808" i="1" s="1"/>
  <c r="AJ807" i="1" l="1"/>
  <c r="CC807" i="1" s="1"/>
  <c r="AE807" i="1"/>
  <c r="AG806" i="1"/>
  <c r="AX806" i="1" s="1"/>
  <c r="AY806" i="1"/>
  <c r="AZ806" i="1" s="1"/>
  <c r="U809" i="1"/>
  <c r="X809" i="1" s="1"/>
  <c r="Z809" i="1" s="1"/>
  <c r="AN809" i="1"/>
  <c r="AI809" i="1"/>
  <c r="V808" i="1"/>
  <c r="AH808" i="1"/>
  <c r="AO808" i="1" s="1"/>
  <c r="AQ808" i="1" s="1"/>
  <c r="AJ808" i="1" l="1"/>
  <c r="CC808" i="1" s="1"/>
  <c r="AE808" i="1"/>
  <c r="AG807" i="1"/>
  <c r="AX807" i="1" s="1"/>
  <c r="AY807" i="1"/>
  <c r="AZ807" i="1" s="1"/>
  <c r="V809" i="1"/>
  <c r="AH809" i="1"/>
  <c r="AO809" i="1" s="1"/>
  <c r="AQ809" i="1" s="1"/>
  <c r="AW806" i="1"/>
  <c r="AK807" i="1"/>
  <c r="AN810" i="1"/>
  <c r="U810" i="1"/>
  <c r="X810" i="1" s="1"/>
  <c r="Z810" i="1" s="1"/>
  <c r="AI810" i="1"/>
  <c r="AJ809" i="1" l="1"/>
  <c r="CC809" i="1" s="1"/>
  <c r="AE809" i="1"/>
  <c r="AY808" i="1"/>
  <c r="AZ808" i="1" s="1"/>
  <c r="AG808" i="1"/>
  <c r="AX808" i="1" s="1"/>
  <c r="AN811" i="1"/>
  <c r="U811" i="1"/>
  <c r="X811" i="1" s="1"/>
  <c r="Z811" i="1" s="1"/>
  <c r="AI811" i="1"/>
  <c r="AW807" i="1"/>
  <c r="AK808" i="1"/>
  <c r="V810" i="1"/>
  <c r="AH810" i="1"/>
  <c r="AO810" i="1" s="1"/>
  <c r="AQ810" i="1" s="1"/>
  <c r="AJ810" i="1" l="1"/>
  <c r="AE810" i="1"/>
  <c r="AY809" i="1"/>
  <c r="AZ809" i="1" s="1"/>
  <c r="AG809" i="1"/>
  <c r="AX809" i="1" s="1"/>
  <c r="AH811" i="1"/>
  <c r="AO811" i="1" s="1"/>
  <c r="AQ811" i="1" s="1"/>
  <c r="V811" i="1"/>
  <c r="AW808" i="1"/>
  <c r="AK809" i="1"/>
  <c r="AN812" i="1"/>
  <c r="AI812" i="1"/>
  <c r="U812" i="1"/>
  <c r="X812" i="1" s="1"/>
  <c r="Z812" i="1" s="1"/>
  <c r="AJ811" i="1" l="1"/>
  <c r="AW809" i="1"/>
  <c r="CC810" i="1"/>
  <c r="AE811" i="1"/>
  <c r="AG810" i="1"/>
  <c r="AX810" i="1" s="1"/>
  <c r="AY810" i="1"/>
  <c r="AZ810" i="1" s="1"/>
  <c r="AK810" i="1"/>
  <c r="AI813" i="1"/>
  <c r="AN813" i="1"/>
  <c r="U813" i="1"/>
  <c r="X813" i="1" s="1"/>
  <c r="Z813" i="1" s="1"/>
  <c r="V812" i="1"/>
  <c r="AH812" i="1"/>
  <c r="AO812" i="1" s="1"/>
  <c r="AQ812" i="1" s="1"/>
  <c r="CC811" i="1"/>
  <c r="AJ812" i="1" l="1"/>
  <c r="CC812" i="1" s="1"/>
  <c r="V813" i="1"/>
  <c r="AE812" i="1"/>
  <c r="AY811" i="1"/>
  <c r="AZ811" i="1" s="1"/>
  <c r="AG811" i="1"/>
  <c r="AX811" i="1" s="1"/>
  <c r="AH813" i="1"/>
  <c r="AO813" i="1" s="1"/>
  <c r="AQ813" i="1" s="1"/>
  <c r="AK811" i="1"/>
  <c r="AW810" i="1"/>
  <c r="AI814" i="1"/>
  <c r="AN814" i="1"/>
  <c r="U814" i="1"/>
  <c r="X814" i="1" s="1"/>
  <c r="Z814" i="1" s="1"/>
  <c r="AJ813" i="1" l="1"/>
  <c r="CC813" i="1" s="1"/>
  <c r="AE813" i="1"/>
  <c r="AG812" i="1"/>
  <c r="AX812" i="1" s="1"/>
  <c r="AY812" i="1"/>
  <c r="AZ812" i="1" s="1"/>
  <c r="AN815" i="1"/>
  <c r="U815" i="1"/>
  <c r="X815" i="1" s="1"/>
  <c r="Z815" i="1" s="1"/>
  <c r="AI815" i="1"/>
  <c r="AH814" i="1"/>
  <c r="AO814" i="1" s="1"/>
  <c r="AQ814" i="1" s="1"/>
  <c r="V814" i="1"/>
  <c r="AK812" i="1"/>
  <c r="AW811" i="1"/>
  <c r="AJ814" i="1" l="1"/>
  <c r="CC814" i="1" s="1"/>
  <c r="AE814" i="1"/>
  <c r="AY813" i="1"/>
  <c r="AZ813" i="1" s="1"/>
  <c r="AG813" i="1"/>
  <c r="AX813" i="1" s="1"/>
  <c r="AW812" i="1"/>
  <c r="AK813" i="1"/>
  <c r="AH815" i="1"/>
  <c r="AO815" i="1" s="1"/>
  <c r="AQ815" i="1" s="1"/>
  <c r="V815" i="1"/>
  <c r="AN816" i="1"/>
  <c r="U816" i="1"/>
  <c r="X816" i="1" s="1"/>
  <c r="Z816" i="1" s="1"/>
  <c r="AI816" i="1"/>
  <c r="AW813" i="1" l="1"/>
  <c r="AJ815" i="1"/>
  <c r="CC815" i="1" s="1"/>
  <c r="AK814" i="1"/>
  <c r="AE815" i="1"/>
  <c r="AY814" i="1"/>
  <c r="AZ814" i="1" s="1"/>
  <c r="AG814" i="1"/>
  <c r="AX814" i="1" s="1"/>
  <c r="AI817" i="1"/>
  <c r="U817" i="1"/>
  <c r="X817" i="1" s="1"/>
  <c r="Z817" i="1" s="1"/>
  <c r="AN817" i="1"/>
  <c r="V816" i="1"/>
  <c r="AH816" i="1"/>
  <c r="AJ816" i="1" s="1"/>
  <c r="CC816" i="1" l="1"/>
  <c r="AE816" i="1"/>
  <c r="AG815" i="1"/>
  <c r="AX815" i="1" s="1"/>
  <c r="AY815" i="1"/>
  <c r="AZ815" i="1" s="1"/>
  <c r="AW815" i="1"/>
  <c r="AK816" i="1"/>
  <c r="AK815" i="1"/>
  <c r="AW814" i="1"/>
  <c r="AH817" i="1"/>
  <c r="AO817" i="1" s="1"/>
  <c r="AQ817" i="1" s="1"/>
  <c r="V817" i="1"/>
  <c r="AN818" i="1"/>
  <c r="U818" i="1"/>
  <c r="X818" i="1" s="1"/>
  <c r="Z818" i="1" s="1"/>
  <c r="AI818" i="1"/>
  <c r="AO816" i="1"/>
  <c r="AQ816" i="1" s="1"/>
  <c r="AJ817" i="1" l="1"/>
  <c r="AE817" i="1"/>
  <c r="AY816" i="1"/>
  <c r="AZ816" i="1" s="1"/>
  <c r="AG816" i="1"/>
  <c r="AX816" i="1" s="1"/>
  <c r="U819" i="1"/>
  <c r="X819" i="1" s="1"/>
  <c r="Z819" i="1" s="1"/>
  <c r="AN819" i="1"/>
  <c r="AI819" i="1"/>
  <c r="V818" i="1"/>
  <c r="AH818" i="1"/>
  <c r="AO818" i="1" s="1"/>
  <c r="AQ818" i="1" s="1"/>
  <c r="AJ818" i="1" l="1"/>
  <c r="AK817" i="1"/>
  <c r="CC817" i="1"/>
  <c r="AW816" i="1"/>
  <c r="V819" i="1"/>
  <c r="AE818" i="1"/>
  <c r="AG817" i="1"/>
  <c r="AX817" i="1" s="1"/>
  <c r="AY817" i="1"/>
  <c r="AZ817" i="1" s="1"/>
  <c r="AH819" i="1"/>
  <c r="AO819" i="1" s="1"/>
  <c r="AQ819" i="1" s="1"/>
  <c r="AI820" i="1"/>
  <c r="U820" i="1"/>
  <c r="X820" i="1" s="1"/>
  <c r="Z820" i="1" s="1"/>
  <c r="AN820" i="1"/>
  <c r="CC818" i="1"/>
  <c r="AJ819" i="1" l="1"/>
  <c r="V820" i="1"/>
  <c r="AE819" i="1"/>
  <c r="AY818" i="1"/>
  <c r="AZ818" i="1" s="1"/>
  <c r="AG818" i="1"/>
  <c r="AX818" i="1" s="1"/>
  <c r="AW817" i="1"/>
  <c r="AK818" i="1"/>
  <c r="AH820" i="1"/>
  <c r="AO820" i="1" s="1"/>
  <c r="AQ820" i="1" s="1"/>
  <c r="U821" i="1"/>
  <c r="X821" i="1" s="1"/>
  <c r="Z821" i="1" s="1"/>
  <c r="AI821" i="1"/>
  <c r="AN821" i="1"/>
  <c r="AJ820" i="1" l="1"/>
  <c r="AW818" i="1"/>
  <c r="CC819" i="1"/>
  <c r="AE820" i="1"/>
  <c r="AY819" i="1"/>
  <c r="AZ819" i="1" s="1"/>
  <c r="AG819" i="1"/>
  <c r="AX819" i="1" s="1"/>
  <c r="AK819" i="1"/>
  <c r="AN822" i="1"/>
  <c r="U822" i="1"/>
  <c r="X822" i="1" s="1"/>
  <c r="Z822" i="1" s="1"/>
  <c r="AI822" i="1"/>
  <c r="AH821" i="1"/>
  <c r="AO821" i="1" s="1"/>
  <c r="AQ821" i="1" s="1"/>
  <c r="V821" i="1"/>
  <c r="CC820" i="1"/>
  <c r="AJ821" i="1" l="1"/>
  <c r="CC821" i="1" s="1"/>
  <c r="V822" i="1"/>
  <c r="AE821" i="1"/>
  <c r="AY820" i="1"/>
  <c r="AZ820" i="1" s="1"/>
  <c r="AG820" i="1"/>
  <c r="AX820" i="1" s="1"/>
  <c r="AK820" i="1"/>
  <c r="AW819" i="1"/>
  <c r="AH822" i="1"/>
  <c r="AO822" i="1" s="1"/>
  <c r="AQ822" i="1" s="1"/>
  <c r="U823" i="1"/>
  <c r="X823" i="1" s="1"/>
  <c r="Z823" i="1" s="1"/>
  <c r="AN823" i="1"/>
  <c r="AI823" i="1"/>
  <c r="AJ822" i="1" l="1"/>
  <c r="CC822" i="1" s="1"/>
  <c r="AK821" i="1"/>
  <c r="AW820" i="1"/>
  <c r="AE822" i="1"/>
  <c r="AG821" i="1"/>
  <c r="AX821" i="1" s="1"/>
  <c r="AY821" i="1"/>
  <c r="AZ821" i="1" s="1"/>
  <c r="AI824" i="1"/>
  <c r="U824" i="1"/>
  <c r="X824" i="1" s="1"/>
  <c r="Z824" i="1" s="1"/>
  <c r="AN824" i="1"/>
  <c r="V823" i="1"/>
  <c r="AH823" i="1"/>
  <c r="AO823" i="1" s="1"/>
  <c r="AQ823" i="1" s="1"/>
  <c r="AJ823" i="1" l="1"/>
  <c r="AE823" i="1"/>
  <c r="AG822" i="1"/>
  <c r="AX822" i="1" s="1"/>
  <c r="AY822" i="1"/>
  <c r="AZ822" i="1" s="1"/>
  <c r="AH824" i="1"/>
  <c r="AJ824" i="1" s="1"/>
  <c r="V824" i="1"/>
  <c r="AO824" i="1"/>
  <c r="AQ824" i="1" s="1"/>
  <c r="AW821" i="1"/>
  <c r="AK822" i="1"/>
  <c r="AI825" i="1"/>
  <c r="U825" i="1"/>
  <c r="X825" i="1" s="1"/>
  <c r="Z825" i="1" s="1"/>
  <c r="AN825" i="1"/>
  <c r="AW822" i="1" l="1"/>
  <c r="CC823" i="1"/>
  <c r="AE824" i="1"/>
  <c r="AY823" i="1"/>
  <c r="AZ823" i="1" s="1"/>
  <c r="AG823" i="1"/>
  <c r="AX823" i="1" s="1"/>
  <c r="AK823" i="1"/>
  <c r="AN826" i="1"/>
  <c r="AI826" i="1"/>
  <c r="U826" i="1"/>
  <c r="X826" i="1" s="1"/>
  <c r="Z826" i="1" s="1"/>
  <c r="V825" i="1"/>
  <c r="AH825" i="1"/>
  <c r="AJ825" i="1" s="1"/>
  <c r="CC824" i="1"/>
  <c r="V826" i="1" l="1"/>
  <c r="AE825" i="1"/>
  <c r="AY824" i="1"/>
  <c r="AZ824" i="1" s="1"/>
  <c r="AG824" i="1"/>
  <c r="AX824" i="1" s="1"/>
  <c r="AW823" i="1"/>
  <c r="AK824" i="1"/>
  <c r="AH826" i="1"/>
  <c r="AO826" i="1" s="1"/>
  <c r="AQ826" i="1" s="1"/>
  <c r="AN827" i="1"/>
  <c r="U827" i="1"/>
  <c r="X827" i="1" s="1"/>
  <c r="Z827" i="1" s="1"/>
  <c r="AI827" i="1"/>
  <c r="AO825" i="1"/>
  <c r="AQ825" i="1" s="1"/>
  <c r="AJ826" i="1" l="1"/>
  <c r="AK825" i="1"/>
  <c r="CC825" i="1"/>
  <c r="AE826" i="1"/>
  <c r="AG825" i="1"/>
  <c r="AX825" i="1" s="1"/>
  <c r="AY825" i="1"/>
  <c r="AZ825" i="1" s="1"/>
  <c r="AW824" i="1"/>
  <c r="V827" i="1"/>
  <c r="AH827" i="1"/>
  <c r="AO827" i="1" s="1"/>
  <c r="AQ827" i="1" s="1"/>
  <c r="AN828" i="1"/>
  <c r="U828" i="1"/>
  <c r="X828" i="1" s="1"/>
  <c r="Z828" i="1" s="1"/>
  <c r="AI828" i="1"/>
  <c r="AJ827" i="1" l="1"/>
  <c r="CC827" i="1" s="1"/>
  <c r="AW825" i="1"/>
  <c r="CC826" i="1"/>
  <c r="AE827" i="1"/>
  <c r="AG826" i="1"/>
  <c r="AX826" i="1" s="1"/>
  <c r="AY826" i="1"/>
  <c r="AZ826" i="1" s="1"/>
  <c r="AK826" i="1"/>
  <c r="AI829" i="1"/>
  <c r="U829" i="1"/>
  <c r="X829" i="1" s="1"/>
  <c r="Z829" i="1" s="1"/>
  <c r="AN829" i="1"/>
  <c r="AH828" i="1"/>
  <c r="AO828" i="1" s="1"/>
  <c r="AQ828" i="1" s="1"/>
  <c r="V828" i="1"/>
  <c r="AJ828" i="1" l="1"/>
  <c r="AE828" i="1"/>
  <c r="AY827" i="1"/>
  <c r="AZ827" i="1" s="1"/>
  <c r="AG827" i="1"/>
  <c r="AX827" i="1" s="1"/>
  <c r="AW826" i="1"/>
  <c r="AK827" i="1"/>
  <c r="AH829" i="1"/>
  <c r="AO829" i="1" s="1"/>
  <c r="AQ829" i="1" s="1"/>
  <c r="V829" i="1"/>
  <c r="AI830" i="1"/>
  <c r="U830" i="1"/>
  <c r="X830" i="1" s="1"/>
  <c r="Z830" i="1" s="1"/>
  <c r="AN830" i="1"/>
  <c r="AJ829" i="1" l="1"/>
  <c r="AW827" i="1"/>
  <c r="CC828" i="1"/>
  <c r="V830" i="1"/>
  <c r="AE829" i="1"/>
  <c r="AG828" i="1"/>
  <c r="AX828" i="1" s="1"/>
  <c r="AY828" i="1"/>
  <c r="AZ828" i="1" s="1"/>
  <c r="AK828" i="1"/>
  <c r="U831" i="1"/>
  <c r="X831" i="1" s="1"/>
  <c r="Z831" i="1" s="1"/>
  <c r="AI831" i="1"/>
  <c r="AN831" i="1"/>
  <c r="AH830" i="1"/>
  <c r="AO830" i="1" s="1"/>
  <c r="AQ830" i="1" s="1"/>
  <c r="AJ830" i="1" l="1"/>
  <c r="AK829" i="1"/>
  <c r="CC829" i="1"/>
  <c r="AW828" i="1"/>
  <c r="AE830" i="1"/>
  <c r="AG829" i="1"/>
  <c r="AX829" i="1" s="1"/>
  <c r="AY829" i="1"/>
  <c r="AZ829" i="1" s="1"/>
  <c r="AH831" i="1"/>
  <c r="AJ831" i="1" s="1"/>
  <c r="V831" i="1"/>
  <c r="AO831" i="1"/>
  <c r="AQ831" i="1" s="1"/>
  <c r="U832" i="1"/>
  <c r="X832" i="1" s="1"/>
  <c r="Z832" i="1" s="1"/>
  <c r="AI832" i="1"/>
  <c r="AN832" i="1"/>
  <c r="AW829" i="1" l="1"/>
  <c r="CC830" i="1"/>
  <c r="AE831" i="1"/>
  <c r="AG830" i="1"/>
  <c r="AX830" i="1" s="1"/>
  <c r="AY830" i="1"/>
  <c r="AZ830" i="1" s="1"/>
  <c r="AK830" i="1"/>
  <c r="AI833" i="1"/>
  <c r="AN833" i="1"/>
  <c r="U833" i="1"/>
  <c r="X833" i="1" s="1"/>
  <c r="Z833" i="1" s="1"/>
  <c r="V832" i="1"/>
  <c r="AH832" i="1"/>
  <c r="AO832" i="1" s="1"/>
  <c r="AQ832" i="1" s="1"/>
  <c r="AJ832" i="1" l="1"/>
  <c r="AW830" i="1"/>
  <c r="CC831" i="1"/>
  <c r="AE832" i="1"/>
  <c r="AG831" i="1"/>
  <c r="AX831" i="1" s="1"/>
  <c r="AY831" i="1"/>
  <c r="AZ831" i="1" s="1"/>
  <c r="AK831" i="1"/>
  <c r="AH833" i="1"/>
  <c r="AO833" i="1" s="1"/>
  <c r="AQ833" i="1" s="1"/>
  <c r="V833" i="1"/>
  <c r="AN834" i="1"/>
  <c r="U834" i="1"/>
  <c r="X834" i="1" s="1"/>
  <c r="Z834" i="1" s="1"/>
  <c r="AI834" i="1"/>
  <c r="CC832" i="1"/>
  <c r="AJ833" i="1" l="1"/>
  <c r="AE833" i="1"/>
  <c r="AY832" i="1"/>
  <c r="AZ832" i="1" s="1"/>
  <c r="AG832" i="1"/>
  <c r="AX832" i="1" s="1"/>
  <c r="AN835" i="1"/>
  <c r="U835" i="1"/>
  <c r="X835" i="1" s="1"/>
  <c r="Z835" i="1" s="1"/>
  <c r="AI835" i="1"/>
  <c r="AH834" i="1"/>
  <c r="AO834" i="1" s="1"/>
  <c r="AQ834" i="1" s="1"/>
  <c r="V834" i="1"/>
  <c r="AK832" i="1"/>
  <c r="AW831" i="1"/>
  <c r="AJ834" i="1" l="1"/>
  <c r="AK833" i="1"/>
  <c r="CC833" i="1"/>
  <c r="AE834" i="1"/>
  <c r="AG833" i="1"/>
  <c r="AX833" i="1" s="1"/>
  <c r="AY833" i="1"/>
  <c r="AZ833" i="1" s="1"/>
  <c r="AW832" i="1"/>
  <c r="AH835" i="1"/>
  <c r="AO835" i="1" s="1"/>
  <c r="AQ835" i="1" s="1"/>
  <c r="V835" i="1"/>
  <c r="AI836" i="1"/>
  <c r="U836" i="1"/>
  <c r="X836" i="1" s="1"/>
  <c r="Z836" i="1" s="1"/>
  <c r="AN836" i="1"/>
  <c r="CC834" i="1"/>
  <c r="AJ835" i="1" l="1"/>
  <c r="CC835" i="1" s="1"/>
  <c r="AE835" i="1"/>
  <c r="AY834" i="1"/>
  <c r="AZ834" i="1" s="1"/>
  <c r="AG834" i="1"/>
  <c r="AX834" i="1" s="1"/>
  <c r="AN837" i="1"/>
  <c r="AI837" i="1"/>
  <c r="U837" i="1"/>
  <c r="X837" i="1" s="1"/>
  <c r="Z837" i="1" s="1"/>
  <c r="AH836" i="1"/>
  <c r="AO836" i="1" s="1"/>
  <c r="AQ836" i="1" s="1"/>
  <c r="V836" i="1"/>
  <c r="AK834" i="1"/>
  <c r="AW833" i="1"/>
  <c r="AJ836" i="1" l="1"/>
  <c r="AE836" i="1"/>
  <c r="AY835" i="1"/>
  <c r="AZ835" i="1" s="1"/>
  <c r="AG835" i="1"/>
  <c r="AX835" i="1" s="1"/>
  <c r="AK835" i="1"/>
  <c r="AW834" i="1"/>
  <c r="AH837" i="1"/>
  <c r="AJ837" i="1" s="1"/>
  <c r="V837" i="1"/>
  <c r="AO837" i="1"/>
  <c r="AQ837" i="1" s="1"/>
  <c r="AI838" i="1"/>
  <c r="AN838" i="1"/>
  <c r="U838" i="1"/>
  <c r="X838" i="1" s="1"/>
  <c r="Z838" i="1" s="1"/>
  <c r="AW835" i="1" l="1"/>
  <c r="CC836" i="1"/>
  <c r="V838" i="1"/>
  <c r="AE837" i="1"/>
  <c r="AG836" i="1"/>
  <c r="AX836" i="1" s="1"/>
  <c r="AY836" i="1"/>
  <c r="AZ836" i="1" s="1"/>
  <c r="AK836" i="1"/>
  <c r="U839" i="1"/>
  <c r="X839" i="1" s="1"/>
  <c r="Z839" i="1" s="1"/>
  <c r="AN839" i="1"/>
  <c r="AI839" i="1"/>
  <c r="AH838" i="1"/>
  <c r="AO838" i="1" s="1"/>
  <c r="AQ838" i="1" s="1"/>
  <c r="CC837" i="1"/>
  <c r="AJ838" i="1" l="1"/>
  <c r="CC838" i="1" s="1"/>
  <c r="AE838" i="1"/>
  <c r="AY837" i="1"/>
  <c r="AZ837" i="1" s="1"/>
  <c r="AG837" i="1"/>
  <c r="AX837" i="1" s="1"/>
  <c r="V839" i="1"/>
  <c r="AH839" i="1"/>
  <c r="AO839" i="1" s="1"/>
  <c r="AQ839" i="1" s="1"/>
  <c r="AW836" i="1"/>
  <c r="AK837" i="1"/>
  <c r="AI840" i="1"/>
  <c r="U840" i="1"/>
  <c r="X840" i="1" s="1"/>
  <c r="Z840" i="1" s="1"/>
  <c r="AN840" i="1"/>
  <c r="AJ839" i="1" l="1"/>
  <c r="V840" i="1"/>
  <c r="AE839" i="1"/>
  <c r="AY838" i="1"/>
  <c r="AZ838" i="1" s="1"/>
  <c r="AG838" i="1"/>
  <c r="AX838" i="1" s="1"/>
  <c r="AW837" i="1"/>
  <c r="AK838" i="1"/>
  <c r="AI841" i="1"/>
  <c r="U841" i="1"/>
  <c r="X841" i="1" s="1"/>
  <c r="Z841" i="1" s="1"/>
  <c r="AN841" i="1"/>
  <c r="AH840" i="1"/>
  <c r="AO840" i="1" s="1"/>
  <c r="AQ840" i="1" s="1"/>
  <c r="AJ840" i="1" l="1"/>
  <c r="AW838" i="1"/>
  <c r="CC839" i="1"/>
  <c r="V841" i="1"/>
  <c r="AE840" i="1"/>
  <c r="AY839" i="1"/>
  <c r="AZ839" i="1" s="1"/>
  <c r="AG839" i="1"/>
  <c r="AX839" i="1" s="1"/>
  <c r="AK839" i="1"/>
  <c r="AH841" i="1"/>
  <c r="AJ841" i="1" s="1"/>
  <c r="AN842" i="1"/>
  <c r="U842" i="1"/>
  <c r="X842" i="1" s="1"/>
  <c r="Z842" i="1" s="1"/>
  <c r="AI842" i="1"/>
  <c r="CC840" i="1"/>
  <c r="V842" i="1" l="1"/>
  <c r="AE841" i="1"/>
  <c r="AG840" i="1"/>
  <c r="AX840" i="1" s="1"/>
  <c r="AY840" i="1"/>
  <c r="AZ840" i="1" s="1"/>
  <c r="AN843" i="1"/>
  <c r="AI843" i="1"/>
  <c r="U843" i="1"/>
  <c r="X843" i="1" s="1"/>
  <c r="Z843" i="1" s="1"/>
  <c r="AW839" i="1"/>
  <c r="AK840" i="1"/>
  <c r="AH842" i="1"/>
  <c r="AO842" i="1" s="1"/>
  <c r="AQ842" i="1" s="1"/>
  <c r="AO841" i="1"/>
  <c r="AQ841" i="1" s="1"/>
  <c r="AJ842" i="1" l="1"/>
  <c r="AK842" i="1" s="1"/>
  <c r="AK841" i="1"/>
  <c r="CC841" i="1"/>
  <c r="AW840" i="1"/>
  <c r="AE842" i="1"/>
  <c r="AY841" i="1"/>
  <c r="AZ841" i="1" s="1"/>
  <c r="AG841" i="1"/>
  <c r="AX841" i="1" s="1"/>
  <c r="AH843" i="1"/>
  <c r="AO843" i="1" s="1"/>
  <c r="AQ843" i="1" s="1"/>
  <c r="AI844" i="1"/>
  <c r="AN844" i="1"/>
  <c r="U844" i="1"/>
  <c r="X844" i="1" s="1"/>
  <c r="Z844" i="1" s="1"/>
  <c r="AJ843" i="1" l="1"/>
  <c r="AW841" i="1"/>
  <c r="CC842" i="1"/>
  <c r="AY842" i="1"/>
  <c r="AZ842" i="1" s="1"/>
  <c r="AG842" i="1"/>
  <c r="AX842" i="1" s="1"/>
  <c r="AN845" i="1"/>
  <c r="U845" i="1"/>
  <c r="X845" i="1" s="1"/>
  <c r="Z845" i="1" s="1"/>
  <c r="AI845" i="1"/>
  <c r="V843" i="1"/>
  <c r="AK843" i="1" l="1"/>
  <c r="CC843" i="1"/>
  <c r="V844" i="1"/>
  <c r="AE843" i="1"/>
  <c r="AW842" i="1"/>
  <c r="AH844" i="1"/>
  <c r="AO844" i="1" s="1"/>
  <c r="AQ844" i="1" s="1"/>
  <c r="AI846" i="1"/>
  <c r="AN846" i="1"/>
  <c r="U846" i="1"/>
  <c r="X846" i="1" s="1"/>
  <c r="Z846" i="1" s="1"/>
  <c r="AJ844" i="1" l="1"/>
  <c r="V845" i="1"/>
  <c r="AE844" i="1"/>
  <c r="AG843" i="1"/>
  <c r="AX843" i="1" s="1"/>
  <c r="AY843" i="1"/>
  <c r="AZ843" i="1" s="1"/>
  <c r="AN847" i="1"/>
  <c r="AI847" i="1"/>
  <c r="U847" i="1"/>
  <c r="X847" i="1" s="1"/>
  <c r="Z847" i="1" s="1"/>
  <c r="AH845" i="1"/>
  <c r="AO845" i="1" s="1"/>
  <c r="AQ845" i="1" s="1"/>
  <c r="AJ845" i="1" l="1"/>
  <c r="AW843" i="1"/>
  <c r="CC844" i="1"/>
  <c r="AK844" i="1"/>
  <c r="V846" i="1"/>
  <c r="AE845" i="1"/>
  <c r="AG844" i="1"/>
  <c r="AX844" i="1" s="1"/>
  <c r="AY844" i="1"/>
  <c r="AZ844" i="1" s="1"/>
  <c r="AI848" i="1"/>
  <c r="U848" i="1"/>
  <c r="X848" i="1" s="1"/>
  <c r="Z848" i="1" s="1"/>
  <c r="AN848" i="1"/>
  <c r="AH846" i="1"/>
  <c r="AO846" i="1" s="1"/>
  <c r="AQ846" i="1" s="1"/>
  <c r="AJ846" i="1" l="1"/>
  <c r="AW844" i="1"/>
  <c r="CC845" i="1"/>
  <c r="AK845" i="1"/>
  <c r="AE846" i="1"/>
  <c r="AY845" i="1"/>
  <c r="AZ845" i="1" s="1"/>
  <c r="AG845" i="1"/>
  <c r="AX845" i="1" s="1"/>
  <c r="AI849" i="1"/>
  <c r="U849" i="1"/>
  <c r="X849" i="1" s="1"/>
  <c r="Z849" i="1" s="1"/>
  <c r="AN849" i="1"/>
  <c r="V847" i="1"/>
  <c r="AH847" i="1"/>
  <c r="AO847" i="1" s="1"/>
  <c r="AQ847" i="1" s="1"/>
  <c r="CC846" i="1"/>
  <c r="AJ847" i="1" l="1"/>
  <c r="CC847" i="1" s="1"/>
  <c r="V848" i="1"/>
  <c r="AE847" i="1"/>
  <c r="AY846" i="1"/>
  <c r="AZ846" i="1" s="1"/>
  <c r="AG846" i="1"/>
  <c r="AX846" i="1" s="1"/>
  <c r="AN850" i="1"/>
  <c r="AI850" i="1"/>
  <c r="U850" i="1"/>
  <c r="X850" i="1" s="1"/>
  <c r="Z850" i="1" s="1"/>
  <c r="AK846" i="1"/>
  <c r="AW845" i="1"/>
  <c r="AH848" i="1"/>
  <c r="AO848" i="1" s="1"/>
  <c r="AQ848" i="1" s="1"/>
  <c r="AJ848" i="1" l="1"/>
  <c r="CC848" i="1" s="1"/>
  <c r="AE848" i="1"/>
  <c r="AG847" i="1"/>
  <c r="AX847" i="1" s="1"/>
  <c r="AY847" i="1"/>
  <c r="AZ847" i="1" s="1"/>
  <c r="AW846" i="1"/>
  <c r="AK847" i="1"/>
  <c r="V849" i="1"/>
  <c r="AH849" i="1"/>
  <c r="AJ849" i="1" s="1"/>
  <c r="AN851" i="1"/>
  <c r="AI851" i="1"/>
  <c r="U851" i="1"/>
  <c r="X851" i="1" s="1"/>
  <c r="Z851" i="1" s="1"/>
  <c r="AO849" i="1" l="1"/>
  <c r="AQ849" i="1" s="1"/>
  <c r="V850" i="1"/>
  <c r="AE849" i="1"/>
  <c r="AG848" i="1"/>
  <c r="AX848" i="1" s="1"/>
  <c r="AY848" i="1"/>
  <c r="AZ848" i="1" s="1"/>
  <c r="AW847" i="1"/>
  <c r="AK848" i="1"/>
  <c r="AH850" i="1"/>
  <c r="AJ850" i="1" s="1"/>
  <c r="U852" i="1"/>
  <c r="X852" i="1" s="1"/>
  <c r="Z852" i="1" s="1"/>
  <c r="AN852" i="1"/>
  <c r="AI852" i="1"/>
  <c r="AW848" i="1"/>
  <c r="AO850" i="1" l="1"/>
  <c r="AQ850" i="1" s="1"/>
  <c r="CC850" i="1"/>
  <c r="AK849" i="1"/>
  <c r="CC849" i="1"/>
  <c r="V851" i="1"/>
  <c r="AE850" i="1"/>
  <c r="AY849" i="1"/>
  <c r="AZ849" i="1" s="1"/>
  <c r="AG849" i="1"/>
  <c r="AX849" i="1" s="1"/>
  <c r="U853" i="1"/>
  <c r="X853" i="1" s="1"/>
  <c r="Z853" i="1" s="1"/>
  <c r="AN853" i="1"/>
  <c r="AI853" i="1"/>
  <c r="AH851" i="1"/>
  <c r="AO851" i="1" s="1"/>
  <c r="AQ851" i="1" s="1"/>
  <c r="AW849" i="1"/>
  <c r="AK850" i="1"/>
  <c r="AJ851" i="1" l="1"/>
  <c r="V852" i="1"/>
  <c r="AE851" i="1"/>
  <c r="AG850" i="1"/>
  <c r="AX850" i="1" s="1"/>
  <c r="AY850" i="1"/>
  <c r="AZ850" i="1" s="1"/>
  <c r="AI854" i="1"/>
  <c r="U854" i="1"/>
  <c r="X854" i="1" s="1"/>
  <c r="Z854" i="1" s="1"/>
  <c r="AN854" i="1"/>
  <c r="CC851" i="1"/>
  <c r="AH852" i="1"/>
  <c r="AO852" i="1" s="1"/>
  <c r="AQ852" i="1" s="1"/>
  <c r="AJ852" i="1" l="1"/>
  <c r="CC852" i="1" s="1"/>
  <c r="V853" i="1"/>
  <c r="AE852" i="1"/>
  <c r="AY851" i="1"/>
  <c r="AZ851" i="1" s="1"/>
  <c r="AG851" i="1"/>
  <c r="AX851" i="1" s="1"/>
  <c r="AH853" i="1"/>
  <c r="AO853" i="1" s="1"/>
  <c r="AQ853" i="1" s="1"/>
  <c r="AN855" i="1"/>
  <c r="U855" i="1"/>
  <c r="X855" i="1" s="1"/>
  <c r="Z855" i="1" s="1"/>
  <c r="AI855" i="1"/>
  <c r="AK851" i="1"/>
  <c r="AW850" i="1"/>
  <c r="AJ853" i="1" l="1"/>
  <c r="CC853" i="1" s="1"/>
  <c r="AE853" i="1"/>
  <c r="AY852" i="1"/>
  <c r="AZ852" i="1" s="1"/>
  <c r="AG852" i="1"/>
  <c r="AX852" i="1" s="1"/>
  <c r="V854" i="1"/>
  <c r="AH854" i="1"/>
  <c r="AO854" i="1" s="1"/>
  <c r="AQ854" i="1" s="1"/>
  <c r="U856" i="1"/>
  <c r="X856" i="1" s="1"/>
  <c r="Z856" i="1" s="1"/>
  <c r="AI856" i="1"/>
  <c r="AN856" i="1"/>
  <c r="AW851" i="1"/>
  <c r="AK852" i="1"/>
  <c r="AJ854" i="1" l="1"/>
  <c r="AK854" i="1" s="1"/>
  <c r="V855" i="1"/>
  <c r="AE854" i="1"/>
  <c r="AG853" i="1"/>
  <c r="AX853" i="1" s="1"/>
  <c r="AY853" i="1"/>
  <c r="AZ853" i="1" s="1"/>
  <c r="AK853" i="1"/>
  <c r="AW852" i="1"/>
  <c r="AH855" i="1"/>
  <c r="AO855" i="1" s="1"/>
  <c r="AQ855" i="1" s="1"/>
  <c r="AI857" i="1"/>
  <c r="U857" i="1"/>
  <c r="X857" i="1" s="1"/>
  <c r="Z857" i="1" s="1"/>
  <c r="AN857" i="1"/>
  <c r="AJ855" i="1" l="1"/>
  <c r="AW853" i="1"/>
  <c r="CC854" i="1"/>
  <c r="AE855" i="1"/>
  <c r="AY854" i="1"/>
  <c r="AZ854" i="1" s="1"/>
  <c r="AG854" i="1"/>
  <c r="AX854" i="1" s="1"/>
  <c r="AI858" i="1"/>
  <c r="AN858" i="1"/>
  <c r="U858" i="1"/>
  <c r="X858" i="1" s="1"/>
  <c r="Z858" i="1" s="1"/>
  <c r="V856" i="1"/>
  <c r="AH856" i="1"/>
  <c r="AO856" i="1" s="1"/>
  <c r="AQ856" i="1" s="1"/>
  <c r="AJ856" i="1" l="1"/>
  <c r="AK855" i="1"/>
  <c r="CC855" i="1"/>
  <c r="AW854" i="1"/>
  <c r="V857" i="1"/>
  <c r="AE856" i="1"/>
  <c r="AG855" i="1"/>
  <c r="AX855" i="1" s="1"/>
  <c r="AY855" i="1"/>
  <c r="AZ855" i="1" s="1"/>
  <c r="AN859" i="1"/>
  <c r="AI859" i="1"/>
  <c r="U859" i="1"/>
  <c r="X859" i="1" s="1"/>
  <c r="Z859" i="1" s="1"/>
  <c r="AH857" i="1"/>
  <c r="AO857" i="1" s="1"/>
  <c r="AQ857" i="1" s="1"/>
  <c r="AJ857" i="1" l="1"/>
  <c r="AW855" i="1"/>
  <c r="CC856" i="1"/>
  <c r="AK856" i="1"/>
  <c r="AE857" i="1"/>
  <c r="AG856" i="1"/>
  <c r="AX856" i="1" s="1"/>
  <c r="AY856" i="1"/>
  <c r="AZ856" i="1" s="1"/>
  <c r="V858" i="1"/>
  <c r="AH858" i="1"/>
  <c r="AO858" i="1" s="1"/>
  <c r="AQ858" i="1" s="1"/>
  <c r="AN860" i="1"/>
  <c r="AI860" i="1"/>
  <c r="U860" i="1"/>
  <c r="X860" i="1" s="1"/>
  <c r="Z860" i="1" s="1"/>
  <c r="AW856" i="1"/>
  <c r="AJ858" i="1" l="1"/>
  <c r="CC858" i="1" s="1"/>
  <c r="AK857" i="1"/>
  <c r="CC857" i="1"/>
  <c r="V859" i="1"/>
  <c r="AE858" i="1"/>
  <c r="AY857" i="1"/>
  <c r="AZ857" i="1" s="1"/>
  <c r="AG857" i="1"/>
  <c r="AX857" i="1" s="1"/>
  <c r="AI861" i="1"/>
  <c r="U861" i="1"/>
  <c r="X861" i="1" s="1"/>
  <c r="Z861" i="1" s="1"/>
  <c r="AN861" i="1"/>
  <c r="AH859" i="1"/>
  <c r="AO859" i="1" s="1"/>
  <c r="AQ859" i="1" s="1"/>
  <c r="AJ859" i="1" l="1"/>
  <c r="AW858" i="1" s="1"/>
  <c r="V860" i="1"/>
  <c r="AE859" i="1"/>
  <c r="AG858" i="1"/>
  <c r="AX858" i="1" s="1"/>
  <c r="AY858" i="1"/>
  <c r="AZ858" i="1" s="1"/>
  <c r="AW857" i="1"/>
  <c r="AK858" i="1"/>
  <c r="AH860" i="1"/>
  <c r="AO860" i="1" s="1"/>
  <c r="AQ860" i="1" s="1"/>
  <c r="U862" i="1"/>
  <c r="X862" i="1" s="1"/>
  <c r="Z862" i="1" s="1"/>
  <c r="AI862" i="1"/>
  <c r="AN862" i="1"/>
  <c r="AJ860" i="1" l="1"/>
  <c r="CC860" i="1" s="1"/>
  <c r="AK859" i="1"/>
  <c r="CC859" i="1"/>
  <c r="AE860" i="1"/>
  <c r="AY859" i="1"/>
  <c r="AZ859" i="1" s="1"/>
  <c r="AG859" i="1"/>
  <c r="AX859" i="1" s="1"/>
  <c r="V861" i="1"/>
  <c r="AH861" i="1"/>
  <c r="AO861" i="1" s="1"/>
  <c r="AQ861" i="1" s="1"/>
  <c r="AN863" i="1"/>
  <c r="U863" i="1"/>
  <c r="X863" i="1" s="1"/>
  <c r="Z863" i="1" s="1"/>
  <c r="AI863" i="1"/>
  <c r="AJ861" i="1" l="1"/>
  <c r="AE861" i="1"/>
  <c r="AG860" i="1"/>
  <c r="AX860" i="1" s="1"/>
  <c r="AY860" i="1"/>
  <c r="AZ860" i="1" s="1"/>
  <c r="AW859" i="1"/>
  <c r="AK860" i="1"/>
  <c r="V862" i="1"/>
  <c r="AH862" i="1"/>
  <c r="AO862" i="1" s="1"/>
  <c r="AQ862" i="1" s="1"/>
  <c r="U864" i="1"/>
  <c r="X864" i="1" s="1"/>
  <c r="Z864" i="1" s="1"/>
  <c r="AI864" i="1"/>
  <c r="AN864" i="1"/>
  <c r="AJ862" i="1" l="1"/>
  <c r="AK861" i="1"/>
  <c r="CC861" i="1"/>
  <c r="AW860" i="1"/>
  <c r="AE862" i="1"/>
  <c r="AY861" i="1"/>
  <c r="AZ861" i="1" s="1"/>
  <c r="AG861" i="1"/>
  <c r="AX861" i="1" s="1"/>
  <c r="V863" i="1"/>
  <c r="AH863" i="1"/>
  <c r="AO863" i="1" s="1"/>
  <c r="AQ863" i="1" s="1"/>
  <c r="AN865" i="1"/>
  <c r="AI865" i="1"/>
  <c r="U865" i="1"/>
  <c r="X865" i="1" s="1"/>
  <c r="Z865" i="1" s="1"/>
  <c r="CC862" i="1"/>
  <c r="AJ863" i="1" l="1"/>
  <c r="CC863" i="1" s="1"/>
  <c r="V864" i="1"/>
  <c r="AE863" i="1"/>
  <c r="AY862" i="1"/>
  <c r="AZ862" i="1" s="1"/>
  <c r="AG862" i="1"/>
  <c r="AX862" i="1" s="1"/>
  <c r="AH864" i="1"/>
  <c r="AO864" i="1" s="1"/>
  <c r="AQ864" i="1" s="1"/>
  <c r="AK862" i="1"/>
  <c r="AW861" i="1"/>
  <c r="U866" i="1"/>
  <c r="X866" i="1" s="1"/>
  <c r="Z866" i="1" s="1"/>
  <c r="AN866" i="1"/>
  <c r="AI866" i="1"/>
  <c r="AJ864" i="1" l="1"/>
  <c r="CC864" i="1" s="1"/>
  <c r="V865" i="1"/>
  <c r="AE864" i="1"/>
  <c r="AG863" i="1"/>
  <c r="AX863" i="1" s="1"/>
  <c r="AY863" i="1"/>
  <c r="AZ863" i="1" s="1"/>
  <c r="AW862" i="1"/>
  <c r="AK863" i="1"/>
  <c r="AH865" i="1"/>
  <c r="AO865" i="1" s="1"/>
  <c r="AQ865" i="1" s="1"/>
  <c r="AN867" i="1"/>
  <c r="U867" i="1"/>
  <c r="X867" i="1" s="1"/>
  <c r="Z867" i="1" s="1"/>
  <c r="AI867" i="1"/>
  <c r="AJ865" i="1" l="1"/>
  <c r="AE865" i="1"/>
  <c r="AY864" i="1"/>
  <c r="AZ864" i="1" s="1"/>
  <c r="AG864" i="1"/>
  <c r="AX864" i="1" s="1"/>
  <c r="AK864" i="1"/>
  <c r="AW863" i="1"/>
  <c r="U868" i="1"/>
  <c r="X868" i="1" s="1"/>
  <c r="Z868" i="1" s="1"/>
  <c r="AI868" i="1"/>
  <c r="AN868" i="1"/>
  <c r="AH866" i="1"/>
  <c r="AJ866" i="1" s="1"/>
  <c r="V866" i="1"/>
  <c r="AO866" i="1"/>
  <c r="AQ866" i="1" s="1"/>
  <c r="AK865" i="1" l="1"/>
  <c r="CC865" i="1"/>
  <c r="V867" i="1"/>
  <c r="AE866" i="1"/>
  <c r="AY865" i="1"/>
  <c r="AZ865" i="1" s="1"/>
  <c r="AG865" i="1"/>
  <c r="AX865" i="1" s="1"/>
  <c r="AW864" i="1"/>
  <c r="AW865" i="1"/>
  <c r="AI869" i="1"/>
  <c r="AN869" i="1"/>
  <c r="U869" i="1"/>
  <c r="X869" i="1" s="1"/>
  <c r="Z869" i="1" s="1"/>
  <c r="AH867" i="1"/>
  <c r="AJ867" i="1" s="1"/>
  <c r="AO867" i="1"/>
  <c r="AQ867" i="1" s="1"/>
  <c r="AK866" i="1" l="1"/>
  <c r="CC866" i="1"/>
  <c r="AE867" i="1"/>
  <c r="AG866" i="1"/>
  <c r="AX866" i="1" s="1"/>
  <c r="AY866" i="1"/>
  <c r="AZ866" i="1" s="1"/>
  <c r="V868" i="1"/>
  <c r="AH868" i="1"/>
  <c r="AJ868" i="1" s="1"/>
  <c r="AN870" i="1"/>
  <c r="U870" i="1"/>
  <c r="X870" i="1" s="1"/>
  <c r="Z870" i="1" s="1"/>
  <c r="AI870" i="1"/>
  <c r="CC867" i="1"/>
  <c r="V869" i="1" l="1"/>
  <c r="AE868" i="1"/>
  <c r="AY867" i="1"/>
  <c r="AZ867" i="1" s="1"/>
  <c r="AG867" i="1"/>
  <c r="AX867" i="1" s="1"/>
  <c r="AO868" i="1"/>
  <c r="AQ868" i="1" s="1"/>
  <c r="AH869" i="1"/>
  <c r="AO869" i="1" s="1"/>
  <c r="AQ869" i="1" s="1"/>
  <c r="AW866" i="1"/>
  <c r="AK867" i="1"/>
  <c r="AI871" i="1"/>
  <c r="AN871" i="1"/>
  <c r="U871" i="1"/>
  <c r="X871" i="1" s="1"/>
  <c r="Z871" i="1" s="1"/>
  <c r="AJ869" i="1" l="1"/>
  <c r="AK868" i="1"/>
  <c r="CC868" i="1"/>
  <c r="AW867" i="1"/>
  <c r="V870" i="1"/>
  <c r="AE869" i="1"/>
  <c r="AG868" i="1"/>
  <c r="AX868" i="1" s="1"/>
  <c r="AY868" i="1"/>
  <c r="AZ868" i="1" s="1"/>
  <c r="AH870" i="1"/>
  <c r="AO870" i="1" s="1"/>
  <c r="AQ870" i="1" s="1"/>
  <c r="AI872" i="1"/>
  <c r="U872" i="1"/>
  <c r="X872" i="1" s="1"/>
  <c r="Z872" i="1" s="1"/>
  <c r="AN872" i="1"/>
  <c r="CC869" i="1"/>
  <c r="AJ870" i="1" l="1"/>
  <c r="V871" i="1"/>
  <c r="AE870" i="1"/>
  <c r="AY869" i="1"/>
  <c r="AZ869" i="1" s="1"/>
  <c r="AG869" i="1"/>
  <c r="AX869" i="1" s="1"/>
  <c r="AW868" i="1"/>
  <c r="AK869" i="1"/>
  <c r="AI873" i="1"/>
  <c r="AN873" i="1"/>
  <c r="U873" i="1"/>
  <c r="X873" i="1" s="1"/>
  <c r="Z873" i="1" s="1"/>
  <c r="AH871" i="1"/>
  <c r="AO871" i="1" s="1"/>
  <c r="AQ871" i="1" s="1"/>
  <c r="AJ871" i="1" l="1"/>
  <c r="AW870" i="1" s="1"/>
  <c r="AW869" i="1"/>
  <c r="CC870" i="1"/>
  <c r="AK870" i="1"/>
  <c r="AE871" i="1"/>
  <c r="AY870" i="1"/>
  <c r="AZ870" i="1" s="1"/>
  <c r="AG870" i="1"/>
  <c r="AX870" i="1" s="1"/>
  <c r="AH872" i="1"/>
  <c r="AJ872" i="1" s="1"/>
  <c r="V872" i="1"/>
  <c r="AO872" i="1"/>
  <c r="AQ872" i="1" s="1"/>
  <c r="AI874" i="1"/>
  <c r="U874" i="1"/>
  <c r="X874" i="1" s="1"/>
  <c r="Z874" i="1" s="1"/>
  <c r="AN874" i="1"/>
  <c r="AK871" i="1" l="1"/>
  <c r="CC871" i="1"/>
  <c r="V873" i="1"/>
  <c r="AE872" i="1"/>
  <c r="AY871" i="1"/>
  <c r="AZ871" i="1" s="1"/>
  <c r="AG871" i="1"/>
  <c r="AX871" i="1" s="1"/>
  <c r="AI875" i="1"/>
  <c r="AN875" i="1"/>
  <c r="U875" i="1"/>
  <c r="X875" i="1" s="1"/>
  <c r="Z875" i="1" s="1"/>
  <c r="AH873" i="1"/>
  <c r="AO873" i="1" s="1"/>
  <c r="AQ873" i="1" s="1"/>
  <c r="AJ873" i="1" l="1"/>
  <c r="AW871" i="1"/>
  <c r="CC872" i="1"/>
  <c r="AK872" i="1"/>
  <c r="AE873" i="1"/>
  <c r="AY872" i="1"/>
  <c r="AZ872" i="1" s="1"/>
  <c r="AG872" i="1"/>
  <c r="AX872" i="1" s="1"/>
  <c r="U876" i="1"/>
  <c r="X876" i="1" s="1"/>
  <c r="Z876" i="1" s="1"/>
  <c r="AI876" i="1"/>
  <c r="AN876" i="1"/>
  <c r="CC873" i="1"/>
  <c r="AH874" i="1"/>
  <c r="AO874" i="1" s="1"/>
  <c r="AQ874" i="1" s="1"/>
  <c r="V874" i="1"/>
  <c r="AJ874" i="1" l="1"/>
  <c r="AK874" i="1" s="1"/>
  <c r="AE874" i="1"/>
  <c r="AG873" i="1"/>
  <c r="AX873" i="1" s="1"/>
  <c r="AY873" i="1"/>
  <c r="AZ873" i="1" s="1"/>
  <c r="V875" i="1"/>
  <c r="AH875" i="1"/>
  <c r="AO875" i="1" s="1"/>
  <c r="AQ875" i="1" s="1"/>
  <c r="AN877" i="1"/>
  <c r="U877" i="1"/>
  <c r="X877" i="1" s="1"/>
  <c r="Z877" i="1" s="1"/>
  <c r="AI877" i="1"/>
  <c r="AK873" i="1"/>
  <c r="AW872" i="1"/>
  <c r="AJ875" i="1" l="1"/>
  <c r="AW873" i="1"/>
  <c r="CC874" i="1"/>
  <c r="V876" i="1"/>
  <c r="AE875" i="1"/>
  <c r="AY874" i="1"/>
  <c r="AZ874" i="1" s="1"/>
  <c r="AG874" i="1"/>
  <c r="AX874" i="1" s="1"/>
  <c r="AH876" i="1"/>
  <c r="AO876" i="1" s="1"/>
  <c r="AQ876" i="1" s="1"/>
  <c r="AI878" i="1"/>
  <c r="AN878" i="1"/>
  <c r="U878" i="1"/>
  <c r="X878" i="1" s="1"/>
  <c r="Z878" i="1" s="1"/>
  <c r="AJ876" i="1" l="1"/>
  <c r="AW874" i="1"/>
  <c r="CC875" i="1"/>
  <c r="AE876" i="1"/>
  <c r="AY875" i="1"/>
  <c r="AZ875" i="1" s="1"/>
  <c r="AG875" i="1"/>
  <c r="AX875" i="1" s="1"/>
  <c r="AK875" i="1"/>
  <c r="V877" i="1"/>
  <c r="AH877" i="1"/>
  <c r="AO877" i="1" s="1"/>
  <c r="AQ877" i="1" s="1"/>
  <c r="AN879" i="1"/>
  <c r="AI879" i="1"/>
  <c r="U879" i="1"/>
  <c r="X879" i="1" s="1"/>
  <c r="Z879" i="1" s="1"/>
  <c r="AJ877" i="1" l="1"/>
  <c r="AK877" i="1" s="1"/>
  <c r="AK876" i="1"/>
  <c r="CC876" i="1"/>
  <c r="AE877" i="1"/>
  <c r="AY876" i="1"/>
  <c r="AZ876" i="1" s="1"/>
  <c r="AG876" i="1"/>
  <c r="AX876" i="1" s="1"/>
  <c r="AW875" i="1"/>
  <c r="AH878" i="1"/>
  <c r="AO878" i="1" s="1"/>
  <c r="AQ878" i="1" s="1"/>
  <c r="V878" i="1"/>
  <c r="U880" i="1"/>
  <c r="X880" i="1" s="1"/>
  <c r="Z880" i="1" s="1"/>
  <c r="AI880" i="1"/>
  <c r="AN880" i="1"/>
  <c r="AJ878" i="1" l="1"/>
  <c r="CC878" i="1" s="1"/>
  <c r="AW876" i="1"/>
  <c r="CC877" i="1"/>
  <c r="V879" i="1"/>
  <c r="AE878" i="1"/>
  <c r="AY877" i="1"/>
  <c r="AZ877" i="1" s="1"/>
  <c r="AG877" i="1"/>
  <c r="AX877" i="1" s="1"/>
  <c r="AH879" i="1"/>
  <c r="AO879" i="1" s="1"/>
  <c r="AQ879" i="1" s="1"/>
  <c r="U881" i="1"/>
  <c r="X881" i="1" s="1"/>
  <c r="Z881" i="1" s="1"/>
  <c r="AI881" i="1"/>
  <c r="AN881" i="1"/>
  <c r="AJ879" i="1" l="1"/>
  <c r="CC879" i="1" s="1"/>
  <c r="V880" i="1"/>
  <c r="AE879" i="1"/>
  <c r="AG878" i="1"/>
  <c r="AX878" i="1" s="1"/>
  <c r="AY878" i="1"/>
  <c r="AZ878" i="1" s="1"/>
  <c r="AH880" i="1"/>
  <c r="AO880" i="1" s="1"/>
  <c r="AQ880" i="1" s="1"/>
  <c r="AK878" i="1"/>
  <c r="AW877" i="1"/>
  <c r="AI882" i="1"/>
  <c r="AN882" i="1"/>
  <c r="U882" i="1"/>
  <c r="X882" i="1" s="1"/>
  <c r="Z882" i="1" s="1"/>
  <c r="AJ880" i="1" l="1"/>
  <c r="AE880" i="1"/>
  <c r="AY879" i="1"/>
  <c r="AZ879" i="1" s="1"/>
  <c r="AG879" i="1"/>
  <c r="AX879" i="1" s="1"/>
  <c r="AW878" i="1"/>
  <c r="AK879" i="1"/>
  <c r="AH881" i="1"/>
  <c r="AO881" i="1" s="1"/>
  <c r="AQ881" i="1" s="1"/>
  <c r="V881" i="1"/>
  <c r="AN883" i="1"/>
  <c r="AI883" i="1"/>
  <c r="U883" i="1"/>
  <c r="X883" i="1" s="1"/>
  <c r="Z883" i="1" s="1"/>
  <c r="AJ881" i="1" l="1"/>
  <c r="CC881" i="1" s="1"/>
  <c r="V882" i="1"/>
  <c r="AK880" i="1"/>
  <c r="CC880" i="1"/>
  <c r="AE881" i="1"/>
  <c r="AY880" i="1"/>
  <c r="AZ880" i="1" s="1"/>
  <c r="AG880" i="1"/>
  <c r="AX880" i="1" s="1"/>
  <c r="AW879" i="1"/>
  <c r="AK881" i="1"/>
  <c r="U884" i="1"/>
  <c r="X884" i="1" s="1"/>
  <c r="Z884" i="1" s="1"/>
  <c r="AI884" i="1"/>
  <c r="AN884" i="1"/>
  <c r="AH882" i="1"/>
  <c r="AO882" i="1" s="1"/>
  <c r="AQ882" i="1" s="1"/>
  <c r="AJ882" i="1" l="1"/>
  <c r="AW880" i="1"/>
  <c r="AE882" i="1"/>
  <c r="AG881" i="1"/>
  <c r="AX881" i="1" s="1"/>
  <c r="AY881" i="1"/>
  <c r="AZ881" i="1" s="1"/>
  <c r="AI885" i="1"/>
  <c r="AN885" i="1"/>
  <c r="U885" i="1"/>
  <c r="X885" i="1" s="1"/>
  <c r="Z885" i="1" s="1"/>
  <c r="CC882" i="1"/>
  <c r="AH883" i="1"/>
  <c r="AJ883" i="1" s="1"/>
  <c r="V883" i="1"/>
  <c r="AO883" i="1"/>
  <c r="AQ883" i="1" s="1"/>
  <c r="V884" i="1" l="1"/>
  <c r="AE883" i="1"/>
  <c r="AG882" i="1"/>
  <c r="AX882" i="1" s="1"/>
  <c r="AY882" i="1"/>
  <c r="AZ882" i="1" s="1"/>
  <c r="U886" i="1"/>
  <c r="X886" i="1" s="1"/>
  <c r="Z886" i="1" s="1"/>
  <c r="AN886" i="1"/>
  <c r="AI886" i="1"/>
  <c r="AH884" i="1"/>
  <c r="AO884" i="1" s="1"/>
  <c r="AQ884" i="1" s="1"/>
  <c r="AW881" i="1"/>
  <c r="AK882" i="1"/>
  <c r="AJ884" i="1" l="1"/>
  <c r="AK883" i="1"/>
  <c r="CC883" i="1"/>
  <c r="AW882" i="1"/>
  <c r="V885" i="1"/>
  <c r="AE884" i="1"/>
  <c r="AY883" i="1"/>
  <c r="AZ883" i="1" s="1"/>
  <c r="AG883" i="1"/>
  <c r="AX883" i="1" s="1"/>
  <c r="AH885" i="1"/>
  <c r="AO885" i="1" s="1"/>
  <c r="AQ885" i="1" s="1"/>
  <c r="AI887" i="1"/>
  <c r="AN887" i="1"/>
  <c r="U887" i="1"/>
  <c r="X887" i="1" s="1"/>
  <c r="Z887" i="1" s="1"/>
  <c r="CC884" i="1"/>
  <c r="AJ885" i="1" l="1"/>
  <c r="CC885" i="1" s="1"/>
  <c r="AE885" i="1"/>
  <c r="AG884" i="1"/>
  <c r="AX884" i="1" s="1"/>
  <c r="AY884" i="1"/>
  <c r="AZ884" i="1" s="1"/>
  <c r="V886" i="1"/>
  <c r="AH886" i="1"/>
  <c r="AO886" i="1" s="1"/>
  <c r="AQ886" i="1" s="1"/>
  <c r="AN888" i="1"/>
  <c r="AI888" i="1"/>
  <c r="U888" i="1"/>
  <c r="X888" i="1" s="1"/>
  <c r="Z888" i="1" s="1"/>
  <c r="AK884" i="1"/>
  <c r="AW883" i="1"/>
  <c r="AJ886" i="1" l="1"/>
  <c r="AE886" i="1"/>
  <c r="AY885" i="1"/>
  <c r="AZ885" i="1" s="1"/>
  <c r="AG885" i="1"/>
  <c r="AX885" i="1" s="1"/>
  <c r="AK885" i="1"/>
  <c r="AW884" i="1"/>
  <c r="V887" i="1"/>
  <c r="AH887" i="1"/>
  <c r="AO887" i="1" s="1"/>
  <c r="AQ887" i="1" s="1"/>
  <c r="U889" i="1"/>
  <c r="X889" i="1" s="1"/>
  <c r="Z889" i="1" s="1"/>
  <c r="AI889" i="1"/>
  <c r="AN889" i="1"/>
  <c r="AJ887" i="1" l="1"/>
  <c r="AK886" i="1"/>
  <c r="CC886" i="1"/>
  <c r="AW885" i="1"/>
  <c r="AE887" i="1"/>
  <c r="AY886" i="1"/>
  <c r="AZ886" i="1" s="1"/>
  <c r="AG886" i="1"/>
  <c r="AX886" i="1" s="1"/>
  <c r="V888" i="1"/>
  <c r="AH888" i="1"/>
  <c r="AO888" i="1" s="1"/>
  <c r="AQ888" i="1" s="1"/>
  <c r="U890" i="1"/>
  <c r="X890" i="1" s="1"/>
  <c r="Z890" i="1" s="1"/>
  <c r="AN890" i="1"/>
  <c r="AI890" i="1"/>
  <c r="AJ888" i="1" l="1"/>
  <c r="AK887" i="1"/>
  <c r="CC887" i="1"/>
  <c r="AW886" i="1"/>
  <c r="V889" i="1"/>
  <c r="AE888" i="1"/>
  <c r="AY887" i="1"/>
  <c r="AZ887" i="1" s="1"/>
  <c r="AG887" i="1"/>
  <c r="AX887" i="1" s="1"/>
  <c r="AH889" i="1"/>
  <c r="AJ889" i="1" s="1"/>
  <c r="AI891" i="1"/>
  <c r="AN891" i="1"/>
  <c r="U891" i="1"/>
  <c r="X891" i="1" s="1"/>
  <c r="Z891" i="1" s="1"/>
  <c r="CC888" i="1"/>
  <c r="CC889" i="1" l="1"/>
  <c r="AO889" i="1"/>
  <c r="AQ889" i="1" s="1"/>
  <c r="AE889" i="1"/>
  <c r="AY888" i="1"/>
  <c r="AZ888" i="1" s="1"/>
  <c r="AG888" i="1"/>
  <c r="AX888" i="1" s="1"/>
  <c r="AK888" i="1"/>
  <c r="AW887" i="1"/>
  <c r="U892" i="1"/>
  <c r="X892" i="1" s="1"/>
  <c r="Z892" i="1" s="1"/>
  <c r="AN892" i="1"/>
  <c r="AI892" i="1"/>
  <c r="V890" i="1"/>
  <c r="AH890" i="1"/>
  <c r="AO890" i="1" s="1"/>
  <c r="AQ890" i="1" s="1"/>
  <c r="AJ890" i="1" l="1"/>
  <c r="AW888" i="1"/>
  <c r="AK889" i="1"/>
  <c r="V891" i="1"/>
  <c r="AE890" i="1"/>
  <c r="AG889" i="1"/>
  <c r="AX889" i="1" s="1"/>
  <c r="AY889" i="1"/>
  <c r="AZ889" i="1" s="1"/>
  <c r="AN893" i="1"/>
  <c r="AI893" i="1"/>
  <c r="U893" i="1"/>
  <c r="X893" i="1" s="1"/>
  <c r="Z893" i="1" s="1"/>
  <c r="CC890" i="1"/>
  <c r="AH891" i="1"/>
  <c r="AO891" i="1" s="1"/>
  <c r="AQ891" i="1" s="1"/>
  <c r="AJ891" i="1" l="1"/>
  <c r="V892" i="1"/>
  <c r="AE891" i="1"/>
  <c r="AG890" i="1"/>
  <c r="AX890" i="1" s="1"/>
  <c r="AY890" i="1"/>
  <c r="AZ890" i="1" s="1"/>
  <c r="AH892" i="1"/>
  <c r="AO892" i="1" s="1"/>
  <c r="AQ892" i="1" s="1"/>
  <c r="AI894" i="1"/>
  <c r="AN894" i="1"/>
  <c r="U894" i="1"/>
  <c r="X894" i="1" s="1"/>
  <c r="Z894" i="1" s="1"/>
  <c r="AW889" i="1"/>
  <c r="AK890" i="1"/>
  <c r="AJ892" i="1" l="1"/>
  <c r="AK892" i="1" s="1"/>
  <c r="AW890" i="1"/>
  <c r="CC891" i="1"/>
  <c r="AK891" i="1"/>
  <c r="V893" i="1"/>
  <c r="AE892" i="1"/>
  <c r="AG891" i="1"/>
  <c r="AX891" i="1" s="1"/>
  <c r="AY891" i="1"/>
  <c r="AZ891" i="1" s="1"/>
  <c r="U895" i="1"/>
  <c r="X895" i="1" s="1"/>
  <c r="Z895" i="1" s="1"/>
  <c r="AN895" i="1"/>
  <c r="AI895" i="1"/>
  <c r="AH893" i="1"/>
  <c r="AO893" i="1" s="1"/>
  <c r="AQ893" i="1" s="1"/>
  <c r="AJ893" i="1" l="1"/>
  <c r="AK893" i="1" s="1"/>
  <c r="AW891" i="1"/>
  <c r="CC892" i="1"/>
  <c r="AE893" i="1"/>
  <c r="AG892" i="1"/>
  <c r="AX892" i="1" s="1"/>
  <c r="AY892" i="1"/>
  <c r="AZ892" i="1" s="1"/>
  <c r="V894" i="1"/>
  <c r="AH894" i="1"/>
  <c r="AO894" i="1" s="1"/>
  <c r="AQ894" i="1" s="1"/>
  <c r="AI896" i="1"/>
  <c r="U896" i="1"/>
  <c r="X896" i="1" s="1"/>
  <c r="Z896" i="1" s="1"/>
  <c r="AN896" i="1"/>
  <c r="AJ894" i="1" l="1"/>
  <c r="AW892" i="1"/>
  <c r="CC893" i="1"/>
  <c r="V895" i="1"/>
  <c r="AE894" i="1"/>
  <c r="AG893" i="1"/>
  <c r="AX893" i="1" s="1"/>
  <c r="AY893" i="1"/>
  <c r="AZ893" i="1" s="1"/>
  <c r="AH895" i="1"/>
  <c r="AO895" i="1" s="1"/>
  <c r="AQ895" i="1" s="1"/>
  <c r="U897" i="1"/>
  <c r="X897" i="1" s="1"/>
  <c r="Z897" i="1" s="1"/>
  <c r="AI897" i="1"/>
  <c r="AN897" i="1"/>
  <c r="AJ895" i="1" l="1"/>
  <c r="AW893" i="1"/>
  <c r="CC894" i="1"/>
  <c r="AK894" i="1"/>
  <c r="V896" i="1"/>
  <c r="AE895" i="1"/>
  <c r="AG894" i="1"/>
  <c r="AX894" i="1" s="1"/>
  <c r="AY894" i="1"/>
  <c r="AZ894" i="1" s="1"/>
  <c r="AH896" i="1"/>
  <c r="AO896" i="1" s="1"/>
  <c r="AQ896" i="1" s="1"/>
  <c r="U898" i="1"/>
  <c r="X898" i="1" s="1"/>
  <c r="Z898" i="1" s="1"/>
  <c r="AI898" i="1"/>
  <c r="AN898" i="1"/>
  <c r="CC895" i="1"/>
  <c r="AJ896" i="1" l="1"/>
  <c r="CC896" i="1" s="1"/>
  <c r="V897" i="1"/>
  <c r="AE896" i="1"/>
  <c r="AY895" i="1"/>
  <c r="AZ895" i="1" s="1"/>
  <c r="AG895" i="1"/>
  <c r="AX895" i="1" s="1"/>
  <c r="AH897" i="1"/>
  <c r="AO897" i="1" s="1"/>
  <c r="AQ897" i="1" s="1"/>
  <c r="AW894" i="1"/>
  <c r="AK895" i="1"/>
  <c r="AI899" i="1"/>
  <c r="U899" i="1"/>
  <c r="X899" i="1" s="1"/>
  <c r="Z899" i="1" s="1"/>
  <c r="AN899" i="1"/>
  <c r="AJ897" i="1" l="1"/>
  <c r="CC897" i="1" s="1"/>
  <c r="V898" i="1"/>
  <c r="AE897" i="1"/>
  <c r="AG896" i="1"/>
  <c r="AX896" i="1" s="1"/>
  <c r="AY896" i="1"/>
  <c r="AZ896" i="1" s="1"/>
  <c r="AW895" i="1"/>
  <c r="AK896" i="1"/>
  <c r="AH898" i="1"/>
  <c r="AO898" i="1" s="1"/>
  <c r="AQ898" i="1" s="1"/>
  <c r="AN900" i="1"/>
  <c r="AI900" i="1"/>
  <c r="U900" i="1"/>
  <c r="X900" i="1" s="1"/>
  <c r="Z900" i="1" s="1"/>
  <c r="AJ898" i="1" l="1"/>
  <c r="CC898" i="1" s="1"/>
  <c r="V899" i="1"/>
  <c r="AE898" i="1"/>
  <c r="AG897" i="1"/>
  <c r="AX897" i="1" s="1"/>
  <c r="AY897" i="1"/>
  <c r="AZ897" i="1" s="1"/>
  <c r="AI901" i="1"/>
  <c r="AN901" i="1"/>
  <c r="U901" i="1"/>
  <c r="X901" i="1" s="1"/>
  <c r="Z901" i="1" s="1"/>
  <c r="AH899" i="1"/>
  <c r="AO899" i="1" s="1"/>
  <c r="AQ899" i="1" s="1"/>
  <c r="AK897" i="1"/>
  <c r="AW896" i="1"/>
  <c r="AJ899" i="1" l="1"/>
  <c r="V900" i="1"/>
  <c r="AE899" i="1"/>
  <c r="AY898" i="1"/>
  <c r="AZ898" i="1" s="1"/>
  <c r="AG898" i="1"/>
  <c r="AX898" i="1" s="1"/>
  <c r="AW897" i="1"/>
  <c r="AK898" i="1"/>
  <c r="AN902" i="1"/>
  <c r="AI902" i="1"/>
  <c r="U902" i="1"/>
  <c r="X902" i="1" s="1"/>
  <c r="Z902" i="1" s="1"/>
  <c r="CC899" i="1"/>
  <c r="AH900" i="1"/>
  <c r="AO900" i="1" s="1"/>
  <c r="AQ900" i="1" s="1"/>
  <c r="AJ900" i="1" l="1"/>
  <c r="CC900" i="1" s="1"/>
  <c r="V901" i="1"/>
  <c r="AE900" i="1"/>
  <c r="AY899" i="1"/>
  <c r="AZ899" i="1" s="1"/>
  <c r="AG899" i="1"/>
  <c r="AX899" i="1" s="1"/>
  <c r="U903" i="1"/>
  <c r="X903" i="1" s="1"/>
  <c r="Z903" i="1" s="1"/>
  <c r="AN903" i="1"/>
  <c r="AI903" i="1"/>
  <c r="AH901" i="1"/>
  <c r="AO901" i="1" s="1"/>
  <c r="AQ901" i="1" s="1"/>
  <c r="AK899" i="1"/>
  <c r="AW898" i="1"/>
  <c r="AJ901" i="1" l="1"/>
  <c r="AK901" i="1" s="1"/>
  <c r="AE901" i="1"/>
  <c r="AG900" i="1"/>
  <c r="AX900" i="1" s="1"/>
  <c r="AY900" i="1"/>
  <c r="AZ900" i="1" s="1"/>
  <c r="AK900" i="1"/>
  <c r="AW899" i="1"/>
  <c r="V902" i="1"/>
  <c r="AH902" i="1"/>
  <c r="AO902" i="1" s="1"/>
  <c r="AQ902" i="1" s="1"/>
  <c r="AN904" i="1"/>
  <c r="AI904" i="1"/>
  <c r="U904" i="1"/>
  <c r="X904" i="1" s="1"/>
  <c r="Z904" i="1" s="1"/>
  <c r="AJ902" i="1" l="1"/>
  <c r="CC902" i="1" s="1"/>
  <c r="AW900" i="1"/>
  <c r="CC901" i="1"/>
  <c r="V903" i="1"/>
  <c r="AE902" i="1"/>
  <c r="AY901" i="1"/>
  <c r="AZ901" i="1" s="1"/>
  <c r="AG901" i="1"/>
  <c r="AX901" i="1" s="1"/>
  <c r="AH903" i="1"/>
  <c r="AO903" i="1" s="1"/>
  <c r="AQ903" i="1" s="1"/>
  <c r="AN905" i="1"/>
  <c r="U905" i="1"/>
  <c r="X905" i="1" s="1"/>
  <c r="Z905" i="1" s="1"/>
  <c r="AI905" i="1"/>
  <c r="AJ903" i="1" l="1"/>
  <c r="CC903" i="1" s="1"/>
  <c r="V904" i="1"/>
  <c r="AE903" i="1"/>
  <c r="AG902" i="1"/>
  <c r="AX902" i="1" s="1"/>
  <c r="AY902" i="1"/>
  <c r="AZ902" i="1" s="1"/>
  <c r="AH904" i="1"/>
  <c r="AO904" i="1" s="1"/>
  <c r="AQ904" i="1" s="1"/>
  <c r="AW901" i="1"/>
  <c r="AK902" i="1"/>
  <c r="AN906" i="1"/>
  <c r="AI906" i="1"/>
  <c r="U906" i="1"/>
  <c r="X906" i="1" s="1"/>
  <c r="Z906" i="1" s="1"/>
  <c r="AJ904" i="1" l="1"/>
  <c r="AK904" i="1" s="1"/>
  <c r="V905" i="1"/>
  <c r="AE904" i="1"/>
  <c r="AG903" i="1"/>
  <c r="AX903" i="1" s="1"/>
  <c r="AY903" i="1"/>
  <c r="AZ903" i="1" s="1"/>
  <c r="AK903" i="1"/>
  <c r="AW902" i="1"/>
  <c r="AI907" i="1"/>
  <c r="AN907" i="1"/>
  <c r="U907" i="1"/>
  <c r="X907" i="1" s="1"/>
  <c r="Z907" i="1" s="1"/>
  <c r="AH905" i="1"/>
  <c r="AO905" i="1" s="1"/>
  <c r="AQ905" i="1" s="1"/>
  <c r="AJ905" i="1" l="1"/>
  <c r="CC905" i="1" s="1"/>
  <c r="AW903" i="1"/>
  <c r="CC904" i="1"/>
  <c r="V906" i="1"/>
  <c r="AE905" i="1"/>
  <c r="AY904" i="1"/>
  <c r="AZ904" i="1" s="1"/>
  <c r="AG904" i="1"/>
  <c r="AX904" i="1" s="1"/>
  <c r="U908" i="1"/>
  <c r="X908" i="1" s="1"/>
  <c r="Z908" i="1" s="1"/>
  <c r="AI908" i="1"/>
  <c r="AN908" i="1"/>
  <c r="AH906" i="1"/>
  <c r="AO906" i="1" s="1"/>
  <c r="AQ906" i="1" s="1"/>
  <c r="AJ906" i="1" l="1"/>
  <c r="V907" i="1"/>
  <c r="AE906" i="1"/>
  <c r="AY905" i="1"/>
  <c r="AZ905" i="1" s="1"/>
  <c r="AG905" i="1"/>
  <c r="AX905" i="1" s="1"/>
  <c r="AI909" i="1"/>
  <c r="AN909" i="1"/>
  <c r="U909" i="1"/>
  <c r="X909" i="1" s="1"/>
  <c r="Z909" i="1" s="1"/>
  <c r="AH907" i="1"/>
  <c r="AO907" i="1" s="1"/>
  <c r="AQ907" i="1" s="1"/>
  <c r="AW904" i="1"/>
  <c r="AK905" i="1"/>
  <c r="AJ907" i="1" l="1"/>
  <c r="AW905" i="1"/>
  <c r="CC906" i="1"/>
  <c r="AK906" i="1"/>
  <c r="V908" i="1"/>
  <c r="AE907" i="1"/>
  <c r="AG906" i="1"/>
  <c r="AX906" i="1" s="1"/>
  <c r="AY906" i="1"/>
  <c r="AZ906" i="1" s="1"/>
  <c r="AN910" i="1"/>
  <c r="U910" i="1"/>
  <c r="X910" i="1" s="1"/>
  <c r="Z910" i="1" s="1"/>
  <c r="AI910" i="1"/>
  <c r="AH908" i="1"/>
  <c r="AO908" i="1" s="1"/>
  <c r="AQ908" i="1" s="1"/>
  <c r="AJ908" i="1" l="1"/>
  <c r="AW906" i="1"/>
  <c r="CC907" i="1"/>
  <c r="AK907" i="1"/>
  <c r="V909" i="1"/>
  <c r="AE908" i="1"/>
  <c r="AG907" i="1"/>
  <c r="AX907" i="1" s="1"/>
  <c r="AY907" i="1"/>
  <c r="AZ907" i="1" s="1"/>
  <c r="CC908" i="1"/>
  <c r="AH909" i="1"/>
  <c r="AO909" i="1" s="1"/>
  <c r="AQ909" i="1" s="1"/>
  <c r="U911" i="1"/>
  <c r="X911" i="1" s="1"/>
  <c r="Z911" i="1" s="1"/>
  <c r="AI911" i="1"/>
  <c r="AN911" i="1"/>
  <c r="AJ909" i="1" l="1"/>
  <c r="CC909" i="1" s="1"/>
  <c r="V910" i="1"/>
  <c r="AE909" i="1"/>
  <c r="AY908" i="1"/>
  <c r="AZ908" i="1" s="1"/>
  <c r="AG908" i="1"/>
  <c r="AX908" i="1" s="1"/>
  <c r="AW907" i="1"/>
  <c r="AK908" i="1"/>
  <c r="AN912" i="1"/>
  <c r="U912" i="1"/>
  <c r="X912" i="1" s="1"/>
  <c r="Z912" i="1" s="1"/>
  <c r="AI912" i="1"/>
  <c r="AH910" i="1"/>
  <c r="AO910" i="1" s="1"/>
  <c r="AQ910" i="1" s="1"/>
  <c r="AJ910" i="1" l="1"/>
  <c r="AE910" i="1"/>
  <c r="AG909" i="1"/>
  <c r="AX909" i="1" s="1"/>
  <c r="AY909" i="1"/>
  <c r="AZ909" i="1" s="1"/>
  <c r="AH911" i="1"/>
  <c r="AO911" i="1" s="1"/>
  <c r="AQ911" i="1" s="1"/>
  <c r="V911" i="1"/>
  <c r="AI913" i="1"/>
  <c r="AN913" i="1"/>
  <c r="U913" i="1"/>
  <c r="X913" i="1" s="1"/>
  <c r="Z913" i="1" s="1"/>
  <c r="AK909" i="1"/>
  <c r="AW908" i="1"/>
  <c r="AJ911" i="1" l="1"/>
  <c r="AK910" i="1"/>
  <c r="CC910" i="1"/>
  <c r="AW909" i="1"/>
  <c r="V912" i="1"/>
  <c r="AE911" i="1"/>
  <c r="AY910" i="1"/>
  <c r="AZ910" i="1" s="1"/>
  <c r="AG910" i="1"/>
  <c r="AX910" i="1" s="1"/>
  <c r="AW910" i="1"/>
  <c r="U914" i="1"/>
  <c r="X914" i="1" s="1"/>
  <c r="Z914" i="1" s="1"/>
  <c r="AI914" i="1"/>
  <c r="AN914" i="1"/>
  <c r="AH912" i="1"/>
  <c r="AO912" i="1" s="1"/>
  <c r="AQ912" i="1" s="1"/>
  <c r="AJ912" i="1" l="1"/>
  <c r="AK911" i="1"/>
  <c r="CC911" i="1"/>
  <c r="V913" i="1"/>
  <c r="AE912" i="1"/>
  <c r="AG911" i="1"/>
  <c r="AX911" i="1" s="1"/>
  <c r="AY911" i="1"/>
  <c r="AZ911" i="1" s="1"/>
  <c r="U915" i="1"/>
  <c r="X915" i="1" s="1"/>
  <c r="Z915" i="1" s="1"/>
  <c r="AI915" i="1"/>
  <c r="AN915" i="1"/>
  <c r="AH913" i="1"/>
  <c r="AO913" i="1" s="1"/>
  <c r="AQ913" i="1" s="1"/>
  <c r="AJ913" i="1" l="1"/>
  <c r="AW912" i="1" s="1"/>
  <c r="AK912" i="1"/>
  <c r="CC912" i="1"/>
  <c r="AW911" i="1"/>
  <c r="V914" i="1"/>
  <c r="AE913" i="1"/>
  <c r="AY912" i="1"/>
  <c r="AZ912" i="1" s="1"/>
  <c r="AG912" i="1"/>
  <c r="AX912" i="1" s="1"/>
  <c r="AI916" i="1"/>
  <c r="U916" i="1"/>
  <c r="X916" i="1" s="1"/>
  <c r="Z916" i="1" s="1"/>
  <c r="AN916" i="1"/>
  <c r="AH914" i="1"/>
  <c r="AO914" i="1" s="1"/>
  <c r="AQ914" i="1" s="1"/>
  <c r="AJ914" i="1" l="1"/>
  <c r="CC914" i="1" s="1"/>
  <c r="AK913" i="1"/>
  <c r="CC913" i="1"/>
  <c r="V915" i="1"/>
  <c r="AE914" i="1"/>
  <c r="AG913" i="1"/>
  <c r="AX913" i="1" s="1"/>
  <c r="AY913" i="1"/>
  <c r="AZ913" i="1" s="1"/>
  <c r="U917" i="1"/>
  <c r="X917" i="1" s="1"/>
  <c r="Z917" i="1" s="1"/>
  <c r="AI917" i="1"/>
  <c r="AN917" i="1"/>
  <c r="AH915" i="1"/>
  <c r="AO915" i="1" s="1"/>
  <c r="AQ915" i="1" s="1"/>
  <c r="AJ915" i="1" l="1"/>
  <c r="CC915" i="1" s="1"/>
  <c r="V916" i="1"/>
  <c r="AE915" i="1"/>
  <c r="AY914" i="1"/>
  <c r="AZ914" i="1" s="1"/>
  <c r="AG914" i="1"/>
  <c r="AX914" i="1" s="1"/>
  <c r="AN918" i="1"/>
  <c r="U918" i="1"/>
  <c r="X918" i="1" s="1"/>
  <c r="Z918" i="1" s="1"/>
  <c r="AI918" i="1"/>
  <c r="AH916" i="1"/>
  <c r="AO916" i="1" s="1"/>
  <c r="AQ916" i="1" s="1"/>
  <c r="AW913" i="1"/>
  <c r="AK914" i="1"/>
  <c r="AJ916" i="1" l="1"/>
  <c r="CC916" i="1" s="1"/>
  <c r="V917" i="1"/>
  <c r="AE916" i="1"/>
  <c r="AG915" i="1"/>
  <c r="AX915" i="1" s="1"/>
  <c r="AY915" i="1"/>
  <c r="AZ915" i="1" s="1"/>
  <c r="AW914" i="1"/>
  <c r="AK915" i="1"/>
  <c r="AI919" i="1"/>
  <c r="U919" i="1"/>
  <c r="X919" i="1" s="1"/>
  <c r="Z919" i="1" s="1"/>
  <c r="AN919" i="1"/>
  <c r="AH917" i="1"/>
  <c r="AO917" i="1" s="1"/>
  <c r="AQ917" i="1" s="1"/>
  <c r="AJ917" i="1" l="1"/>
  <c r="V918" i="1"/>
  <c r="AE917" i="1"/>
  <c r="AY916" i="1"/>
  <c r="AZ916" i="1" s="1"/>
  <c r="AG916" i="1"/>
  <c r="AX916" i="1" s="1"/>
  <c r="AI920" i="1"/>
  <c r="AN920" i="1"/>
  <c r="U920" i="1"/>
  <c r="X920" i="1" s="1"/>
  <c r="Z920" i="1" s="1"/>
  <c r="CC917" i="1"/>
  <c r="AH918" i="1"/>
  <c r="AO918" i="1" s="1"/>
  <c r="AQ918" i="1" s="1"/>
  <c r="AW915" i="1"/>
  <c r="AK916" i="1"/>
  <c r="AJ918" i="1" l="1"/>
  <c r="CC918" i="1" s="1"/>
  <c r="V919" i="1"/>
  <c r="AE918" i="1"/>
  <c r="AY917" i="1"/>
  <c r="AZ917" i="1" s="1"/>
  <c r="AG917" i="1"/>
  <c r="AX917" i="1" s="1"/>
  <c r="U921" i="1"/>
  <c r="X921" i="1" s="1"/>
  <c r="Z921" i="1" s="1"/>
  <c r="AN921" i="1"/>
  <c r="AI921" i="1"/>
  <c r="AH919" i="1"/>
  <c r="AO919" i="1" s="1"/>
  <c r="AQ919" i="1" s="1"/>
  <c r="AW916" i="1"/>
  <c r="AK917" i="1"/>
  <c r="AJ919" i="1" l="1"/>
  <c r="AW917" i="1"/>
  <c r="AK918" i="1"/>
  <c r="V920" i="1"/>
  <c r="AE919" i="1"/>
  <c r="AY918" i="1"/>
  <c r="AZ918" i="1" s="1"/>
  <c r="AG918" i="1"/>
  <c r="AX918" i="1" s="1"/>
  <c r="AI922" i="1"/>
  <c r="AN922" i="1"/>
  <c r="U922" i="1"/>
  <c r="X922" i="1" s="1"/>
  <c r="Z922" i="1" s="1"/>
  <c r="CC919" i="1"/>
  <c r="AH920" i="1"/>
  <c r="AO920" i="1" s="1"/>
  <c r="AQ920" i="1" s="1"/>
  <c r="AJ920" i="1" l="1"/>
  <c r="CC920" i="1" s="1"/>
  <c r="V921" i="1"/>
  <c r="AE920" i="1"/>
  <c r="AG919" i="1"/>
  <c r="AX919" i="1" s="1"/>
  <c r="AY919" i="1"/>
  <c r="AZ919" i="1" s="1"/>
  <c r="AH921" i="1"/>
  <c r="AJ921" i="1" s="1"/>
  <c r="AI923" i="1"/>
  <c r="AN923" i="1"/>
  <c r="U923" i="1"/>
  <c r="X923" i="1" s="1"/>
  <c r="Z923" i="1" s="1"/>
  <c r="AK919" i="1"/>
  <c r="AW918" i="1"/>
  <c r="V922" i="1" l="1"/>
  <c r="AE921" i="1"/>
  <c r="AY920" i="1"/>
  <c r="AZ920" i="1" s="1"/>
  <c r="AG920" i="1"/>
  <c r="AX920" i="1" s="1"/>
  <c r="AH922" i="1"/>
  <c r="AO922" i="1" s="1"/>
  <c r="AQ922" i="1" s="1"/>
  <c r="CC921" i="1"/>
  <c r="AK920" i="1"/>
  <c r="AW919" i="1"/>
  <c r="AI924" i="1"/>
  <c r="AN924" i="1"/>
  <c r="U924" i="1"/>
  <c r="X924" i="1" s="1"/>
  <c r="Z924" i="1" s="1"/>
  <c r="AO921" i="1"/>
  <c r="AQ921" i="1" s="1"/>
  <c r="AJ922" i="1" l="1"/>
  <c r="CC922" i="1" s="1"/>
  <c r="V923" i="1"/>
  <c r="AE922" i="1"/>
  <c r="AG921" i="1"/>
  <c r="AX921" i="1" s="1"/>
  <c r="AY921" i="1"/>
  <c r="AZ921" i="1" s="1"/>
  <c r="U925" i="1"/>
  <c r="X925" i="1" s="1"/>
  <c r="Z925" i="1" s="1"/>
  <c r="AN925" i="1"/>
  <c r="AI925" i="1"/>
  <c r="AH923" i="1"/>
  <c r="AO923" i="1" s="1"/>
  <c r="AQ923" i="1" s="1"/>
  <c r="AK921" i="1"/>
  <c r="AW920" i="1"/>
  <c r="AJ923" i="1" l="1"/>
  <c r="AW922" i="1" s="1"/>
  <c r="V924" i="1"/>
  <c r="AE923" i="1"/>
  <c r="AY922" i="1"/>
  <c r="AZ922" i="1" s="1"/>
  <c r="AG922" i="1"/>
  <c r="AX922" i="1" s="1"/>
  <c r="AK922" i="1"/>
  <c r="AW921" i="1"/>
  <c r="AH924" i="1"/>
  <c r="AO924" i="1" s="1"/>
  <c r="AQ924" i="1" s="1"/>
  <c r="AN926" i="1"/>
  <c r="AI926" i="1"/>
  <c r="U926" i="1"/>
  <c r="X926" i="1" s="1"/>
  <c r="Z926" i="1" s="1"/>
  <c r="AJ924" i="1" l="1"/>
  <c r="AK923" i="1"/>
  <c r="CC923" i="1"/>
  <c r="V925" i="1"/>
  <c r="AE924" i="1"/>
  <c r="AY923" i="1"/>
  <c r="AZ923" i="1" s="1"/>
  <c r="AG923" i="1"/>
  <c r="AX923" i="1" s="1"/>
  <c r="AN927" i="1"/>
  <c r="U927" i="1"/>
  <c r="X927" i="1" s="1"/>
  <c r="Z927" i="1" s="1"/>
  <c r="AI927" i="1"/>
  <c r="AH925" i="1"/>
  <c r="AJ925" i="1" s="1"/>
  <c r="V926" i="1" l="1"/>
  <c r="AK924" i="1"/>
  <c r="CC924" i="1"/>
  <c r="AW923" i="1"/>
  <c r="AE925" i="1"/>
  <c r="AY924" i="1"/>
  <c r="AZ924" i="1" s="1"/>
  <c r="AG924" i="1"/>
  <c r="AX924" i="1" s="1"/>
  <c r="AI928" i="1"/>
  <c r="U928" i="1"/>
  <c r="X928" i="1" s="1"/>
  <c r="Z928" i="1" s="1"/>
  <c r="AN928" i="1"/>
  <c r="AH926" i="1"/>
  <c r="AO926" i="1" s="1"/>
  <c r="AQ926" i="1" s="1"/>
  <c r="AO925" i="1"/>
  <c r="AQ925" i="1" s="1"/>
  <c r="AJ926" i="1" l="1"/>
  <c r="AK925" i="1"/>
  <c r="CC925" i="1"/>
  <c r="V927" i="1"/>
  <c r="AE926" i="1"/>
  <c r="AG925" i="1"/>
  <c r="AX925" i="1" s="1"/>
  <c r="AY925" i="1"/>
  <c r="AZ925" i="1" s="1"/>
  <c r="AW924" i="1"/>
  <c r="AH927" i="1"/>
  <c r="AO927" i="1" s="1"/>
  <c r="AQ927" i="1" s="1"/>
  <c r="AN929" i="1"/>
  <c r="AI929" i="1"/>
  <c r="U929" i="1"/>
  <c r="X929" i="1" s="1"/>
  <c r="Z929" i="1" s="1"/>
  <c r="AJ927" i="1" l="1"/>
  <c r="AW925" i="1"/>
  <c r="CC926" i="1"/>
  <c r="AK926" i="1"/>
  <c r="CC927" i="1"/>
  <c r="V928" i="1"/>
  <c r="AE927" i="1"/>
  <c r="AG926" i="1"/>
  <c r="AX926" i="1" s="1"/>
  <c r="AY926" i="1"/>
  <c r="AZ926" i="1" s="1"/>
  <c r="AI930" i="1"/>
  <c r="AN930" i="1"/>
  <c r="U930" i="1"/>
  <c r="X930" i="1" s="1"/>
  <c r="Z930" i="1" s="1"/>
  <c r="AH928" i="1"/>
  <c r="AO928" i="1" s="1"/>
  <c r="AQ928" i="1" s="1"/>
  <c r="AJ928" i="1" l="1"/>
  <c r="AK927" i="1"/>
  <c r="AW926" i="1"/>
  <c r="V929" i="1"/>
  <c r="AE928" i="1"/>
  <c r="AY927" i="1"/>
  <c r="AZ927" i="1" s="1"/>
  <c r="AG927" i="1"/>
  <c r="AX927" i="1" s="1"/>
  <c r="AI931" i="1"/>
  <c r="AN931" i="1"/>
  <c r="U931" i="1"/>
  <c r="X931" i="1" s="1"/>
  <c r="Z931" i="1" s="1"/>
  <c r="AH929" i="1"/>
  <c r="AO929" i="1" s="1"/>
  <c r="AQ929" i="1" s="1"/>
  <c r="AJ929" i="1" l="1"/>
  <c r="AW927" i="1"/>
  <c r="CC928" i="1"/>
  <c r="AK928" i="1"/>
  <c r="AE929" i="1"/>
  <c r="AG928" i="1"/>
  <c r="AX928" i="1" s="1"/>
  <c r="AY928" i="1"/>
  <c r="AZ928" i="1" s="1"/>
  <c r="AI932" i="1"/>
  <c r="AN932" i="1"/>
  <c r="U932" i="1"/>
  <c r="X932" i="1" s="1"/>
  <c r="Z932" i="1" s="1"/>
  <c r="CC929" i="1"/>
  <c r="AH930" i="1"/>
  <c r="AO930" i="1" s="1"/>
  <c r="AQ930" i="1" s="1"/>
  <c r="V930" i="1"/>
  <c r="AJ930" i="1" l="1"/>
  <c r="CC930" i="1" s="1"/>
  <c r="AE930" i="1"/>
  <c r="AY929" i="1"/>
  <c r="AZ929" i="1" s="1"/>
  <c r="AG929" i="1"/>
  <c r="AX929" i="1" s="1"/>
  <c r="V931" i="1"/>
  <c r="AH931" i="1"/>
  <c r="AO931" i="1" s="1"/>
  <c r="AQ931" i="1" s="1"/>
  <c r="U933" i="1"/>
  <c r="X933" i="1" s="1"/>
  <c r="Z933" i="1" s="1"/>
  <c r="AI933" i="1"/>
  <c r="AN933" i="1"/>
  <c r="AK929" i="1"/>
  <c r="AW928" i="1"/>
  <c r="AJ931" i="1" l="1"/>
  <c r="CC931" i="1" s="1"/>
  <c r="V932" i="1"/>
  <c r="AE931" i="1"/>
  <c r="AG930" i="1"/>
  <c r="AX930" i="1" s="1"/>
  <c r="AY930" i="1"/>
  <c r="AZ930" i="1" s="1"/>
  <c r="AH932" i="1"/>
  <c r="AO932" i="1" s="1"/>
  <c r="AQ932" i="1" s="1"/>
  <c r="AW929" i="1"/>
  <c r="AK930" i="1"/>
  <c r="AN934" i="1"/>
  <c r="AI934" i="1"/>
  <c r="U934" i="1"/>
  <c r="X934" i="1" s="1"/>
  <c r="Z934" i="1" s="1"/>
  <c r="AJ932" i="1" l="1"/>
  <c r="AW931" i="1" s="1"/>
  <c r="AW930" i="1"/>
  <c r="AK931" i="1"/>
  <c r="V933" i="1"/>
  <c r="AE932" i="1"/>
  <c r="AY931" i="1"/>
  <c r="AZ931" i="1" s="1"/>
  <c r="AG931" i="1"/>
  <c r="AX931" i="1" s="1"/>
  <c r="U935" i="1"/>
  <c r="X935" i="1" s="1"/>
  <c r="Z935" i="1" s="1"/>
  <c r="AN935" i="1"/>
  <c r="AI935" i="1"/>
  <c r="AH933" i="1"/>
  <c r="AO933" i="1" s="1"/>
  <c r="AQ933" i="1" s="1"/>
  <c r="AJ933" i="1" l="1"/>
  <c r="CC933" i="1" s="1"/>
  <c r="AK932" i="1"/>
  <c r="CC932" i="1"/>
  <c r="V934" i="1"/>
  <c r="AE933" i="1"/>
  <c r="AG932" i="1"/>
  <c r="AX932" i="1" s="1"/>
  <c r="AY932" i="1"/>
  <c r="AZ932" i="1" s="1"/>
  <c r="AN936" i="1"/>
  <c r="AI936" i="1"/>
  <c r="U936" i="1"/>
  <c r="X936" i="1" s="1"/>
  <c r="Z936" i="1" s="1"/>
  <c r="AH934" i="1"/>
  <c r="AO934" i="1" s="1"/>
  <c r="AQ934" i="1" s="1"/>
  <c r="AJ934" i="1" l="1"/>
  <c r="CC934" i="1" s="1"/>
  <c r="V935" i="1"/>
  <c r="AE934" i="1"/>
  <c r="AG933" i="1"/>
  <c r="AX933" i="1" s="1"/>
  <c r="AY933" i="1"/>
  <c r="AZ933" i="1" s="1"/>
  <c r="U937" i="1"/>
  <c r="X937" i="1" s="1"/>
  <c r="Z937" i="1" s="1"/>
  <c r="AN937" i="1"/>
  <c r="AI937" i="1"/>
  <c r="AK933" i="1"/>
  <c r="AW932" i="1"/>
  <c r="AH935" i="1"/>
  <c r="AO935" i="1" s="1"/>
  <c r="AQ935" i="1" s="1"/>
  <c r="AJ935" i="1" l="1"/>
  <c r="CC935" i="1" s="1"/>
  <c r="V936" i="1"/>
  <c r="AE935" i="1"/>
  <c r="AG934" i="1"/>
  <c r="AX934" i="1" s="1"/>
  <c r="AY934" i="1"/>
  <c r="AZ934" i="1" s="1"/>
  <c r="AW933" i="1"/>
  <c r="AK934" i="1"/>
  <c r="AH936" i="1"/>
  <c r="AJ936" i="1" s="1"/>
  <c r="U938" i="1"/>
  <c r="X938" i="1" s="1"/>
  <c r="Z938" i="1" s="1"/>
  <c r="AN938" i="1"/>
  <c r="AI938" i="1"/>
  <c r="AE936" i="1" l="1"/>
  <c r="AY935" i="1"/>
  <c r="AZ935" i="1" s="1"/>
  <c r="AG935" i="1"/>
  <c r="AX935" i="1" s="1"/>
  <c r="AW934" i="1"/>
  <c r="AK935" i="1"/>
  <c r="V937" i="1"/>
  <c r="AH937" i="1"/>
  <c r="AO937" i="1" s="1"/>
  <c r="AQ937" i="1" s="1"/>
  <c r="CC936" i="1"/>
  <c r="U939" i="1"/>
  <c r="X939" i="1" s="1"/>
  <c r="Z939" i="1" s="1"/>
  <c r="AI939" i="1"/>
  <c r="AN939" i="1"/>
  <c r="AO936" i="1"/>
  <c r="AQ936" i="1" s="1"/>
  <c r="AJ937" i="1" l="1"/>
  <c r="AE937" i="1"/>
  <c r="AY936" i="1"/>
  <c r="AZ936" i="1" s="1"/>
  <c r="AG936" i="1"/>
  <c r="AX936" i="1" s="1"/>
  <c r="V938" i="1"/>
  <c r="AH938" i="1"/>
  <c r="AO938" i="1" s="1"/>
  <c r="AQ938" i="1" s="1"/>
  <c r="U940" i="1"/>
  <c r="X940" i="1" s="1"/>
  <c r="Z940" i="1" s="1"/>
  <c r="AI940" i="1"/>
  <c r="AN940" i="1"/>
  <c r="AK936" i="1"/>
  <c r="AW935" i="1"/>
  <c r="AJ938" i="1" l="1"/>
  <c r="V939" i="1"/>
  <c r="AW936" i="1"/>
  <c r="CC937" i="1"/>
  <c r="AK937" i="1"/>
  <c r="AE938" i="1"/>
  <c r="AY937" i="1"/>
  <c r="AZ937" i="1" s="1"/>
  <c r="AG937" i="1"/>
  <c r="AX937" i="1" s="1"/>
  <c r="U941" i="1"/>
  <c r="X941" i="1" s="1"/>
  <c r="Z941" i="1" s="1"/>
  <c r="AN941" i="1"/>
  <c r="AI941" i="1"/>
  <c r="AH939" i="1"/>
  <c r="AO939" i="1" s="1"/>
  <c r="AQ939" i="1" s="1"/>
  <c r="CC938" i="1"/>
  <c r="AJ939" i="1" l="1"/>
  <c r="AK939" i="1" s="1"/>
  <c r="AE939" i="1"/>
  <c r="AG938" i="1"/>
  <c r="AX938" i="1" s="1"/>
  <c r="AY938" i="1"/>
  <c r="AZ938" i="1" s="1"/>
  <c r="AK938" i="1"/>
  <c r="AW937" i="1"/>
  <c r="V940" i="1"/>
  <c r="AH940" i="1"/>
  <c r="AO940" i="1" s="1"/>
  <c r="AQ940" i="1" s="1"/>
  <c r="AN942" i="1"/>
  <c r="U942" i="1"/>
  <c r="X942" i="1" s="1"/>
  <c r="Z942" i="1" s="1"/>
  <c r="AI942" i="1"/>
  <c r="AJ940" i="1" l="1"/>
  <c r="CC940" i="1" s="1"/>
  <c r="AW938" i="1"/>
  <c r="CC939" i="1"/>
  <c r="V941" i="1"/>
  <c r="AE940" i="1"/>
  <c r="AG939" i="1"/>
  <c r="AX939" i="1" s="1"/>
  <c r="AY939" i="1"/>
  <c r="AZ939" i="1" s="1"/>
  <c r="AH941" i="1"/>
  <c r="AO941" i="1" s="1"/>
  <c r="AQ941" i="1" s="1"/>
  <c r="AN943" i="1"/>
  <c r="AI943" i="1"/>
  <c r="U943" i="1"/>
  <c r="X943" i="1" s="1"/>
  <c r="Z943" i="1" s="1"/>
  <c r="AJ941" i="1" l="1"/>
  <c r="AW940" i="1" s="1"/>
  <c r="V942" i="1"/>
  <c r="AE941" i="1"/>
  <c r="AG940" i="1"/>
  <c r="AX940" i="1" s="1"/>
  <c r="AY940" i="1"/>
  <c r="AZ940" i="1" s="1"/>
  <c r="AK940" i="1"/>
  <c r="AW939" i="1"/>
  <c r="U944" i="1"/>
  <c r="X944" i="1" s="1"/>
  <c r="Z944" i="1" s="1"/>
  <c r="AN944" i="1"/>
  <c r="AI944" i="1"/>
  <c r="AH942" i="1"/>
  <c r="AO942" i="1" s="1"/>
  <c r="AQ942" i="1" s="1"/>
  <c r="AJ942" i="1" l="1"/>
  <c r="AK941" i="1"/>
  <c r="CC941" i="1"/>
  <c r="V943" i="1"/>
  <c r="AE942" i="1"/>
  <c r="AY941" i="1"/>
  <c r="AZ941" i="1" s="1"/>
  <c r="AG941" i="1"/>
  <c r="AX941" i="1" s="1"/>
  <c r="U945" i="1"/>
  <c r="X945" i="1" s="1"/>
  <c r="Z945" i="1" s="1"/>
  <c r="AN945" i="1"/>
  <c r="AI945" i="1"/>
  <c r="AH943" i="1"/>
  <c r="AO943" i="1" s="1"/>
  <c r="AQ943" i="1" s="1"/>
  <c r="AJ943" i="1" l="1"/>
  <c r="AK943" i="1" s="1"/>
  <c r="AW941" i="1"/>
  <c r="CC942" i="1"/>
  <c r="V944" i="1"/>
  <c r="AE943" i="1"/>
  <c r="AG942" i="1"/>
  <c r="AX942" i="1" s="1"/>
  <c r="AY942" i="1"/>
  <c r="AZ942" i="1" s="1"/>
  <c r="AK942" i="1"/>
  <c r="U946" i="1"/>
  <c r="X946" i="1" s="1"/>
  <c r="Z946" i="1" s="1"/>
  <c r="AI946" i="1"/>
  <c r="AN946" i="1"/>
  <c r="AH944" i="1"/>
  <c r="AO944" i="1" s="1"/>
  <c r="AQ944" i="1" s="1"/>
  <c r="AJ944" i="1" l="1"/>
  <c r="AW942" i="1"/>
  <c r="CC943" i="1"/>
  <c r="AE944" i="1"/>
  <c r="AY943" i="1"/>
  <c r="AZ943" i="1" s="1"/>
  <c r="AG943" i="1"/>
  <c r="AX943" i="1" s="1"/>
  <c r="AH945" i="1"/>
  <c r="AO945" i="1" s="1"/>
  <c r="AQ945" i="1" s="1"/>
  <c r="V945" i="1"/>
  <c r="AN947" i="1"/>
  <c r="AI947" i="1"/>
  <c r="U947" i="1"/>
  <c r="X947" i="1" s="1"/>
  <c r="Z947" i="1" s="1"/>
  <c r="AJ945" i="1" l="1"/>
  <c r="CC945" i="1" s="1"/>
  <c r="AK944" i="1"/>
  <c r="CC944" i="1"/>
  <c r="V946" i="1"/>
  <c r="AE945" i="1"/>
  <c r="AY944" i="1"/>
  <c r="AZ944" i="1" s="1"/>
  <c r="AG944" i="1"/>
  <c r="AX944" i="1" s="1"/>
  <c r="AW943" i="1"/>
  <c r="AN948" i="1"/>
  <c r="AI948" i="1"/>
  <c r="U948" i="1"/>
  <c r="X948" i="1" s="1"/>
  <c r="Z948" i="1" s="1"/>
  <c r="AH946" i="1"/>
  <c r="AO946" i="1" s="1"/>
  <c r="AQ946" i="1" s="1"/>
  <c r="AW944" i="1" l="1"/>
  <c r="AJ946" i="1"/>
  <c r="AK945" i="1"/>
  <c r="AE946" i="1"/>
  <c r="AY945" i="1"/>
  <c r="AZ945" i="1" s="1"/>
  <c r="AG945" i="1"/>
  <c r="AX945" i="1" s="1"/>
  <c r="AN949" i="1"/>
  <c r="U949" i="1"/>
  <c r="X949" i="1" s="1"/>
  <c r="Z949" i="1" s="1"/>
  <c r="AI949" i="1"/>
  <c r="CC946" i="1"/>
  <c r="AH947" i="1"/>
  <c r="AO947" i="1" s="1"/>
  <c r="AQ947" i="1" s="1"/>
  <c r="V947" i="1"/>
  <c r="AJ947" i="1" l="1"/>
  <c r="CC947" i="1" s="1"/>
  <c r="AE947" i="1"/>
  <c r="AG946" i="1"/>
  <c r="AX946" i="1" s="1"/>
  <c r="AY946" i="1"/>
  <c r="AZ946" i="1" s="1"/>
  <c r="V948" i="1"/>
  <c r="AH948" i="1"/>
  <c r="AO948" i="1" s="1"/>
  <c r="AQ948" i="1" s="1"/>
  <c r="U950" i="1"/>
  <c r="X950" i="1" s="1"/>
  <c r="Z950" i="1" s="1"/>
  <c r="AI950" i="1"/>
  <c r="AN950" i="1"/>
  <c r="AK946" i="1"/>
  <c r="AW945" i="1"/>
  <c r="AJ948" i="1" l="1"/>
  <c r="CC948" i="1" s="1"/>
  <c r="V949" i="1"/>
  <c r="AE948" i="1"/>
  <c r="AG947" i="1"/>
  <c r="AX947" i="1" s="1"/>
  <c r="AY947" i="1"/>
  <c r="AZ947" i="1" s="1"/>
  <c r="AK947" i="1"/>
  <c r="AW946" i="1"/>
  <c r="U951" i="1"/>
  <c r="X951" i="1" s="1"/>
  <c r="Z951" i="1" s="1"/>
  <c r="AN951" i="1"/>
  <c r="AI951" i="1"/>
  <c r="AW947" i="1"/>
  <c r="AH949" i="1"/>
  <c r="AO949" i="1" s="1"/>
  <c r="AQ949" i="1" s="1"/>
  <c r="AJ949" i="1" l="1"/>
  <c r="CC949" i="1" s="1"/>
  <c r="AK948" i="1"/>
  <c r="V950" i="1"/>
  <c r="AE949" i="1"/>
  <c r="AG948" i="1"/>
  <c r="AX948" i="1" s="1"/>
  <c r="AY948" i="1"/>
  <c r="AZ948" i="1" s="1"/>
  <c r="AH950" i="1"/>
  <c r="AO950" i="1" s="1"/>
  <c r="AQ950" i="1" s="1"/>
  <c r="U952" i="1"/>
  <c r="X952" i="1" s="1"/>
  <c r="Z952" i="1" s="1"/>
  <c r="AN952" i="1"/>
  <c r="AI952" i="1"/>
  <c r="AJ950" i="1" l="1"/>
  <c r="CC950" i="1" s="1"/>
  <c r="AK949" i="1"/>
  <c r="AW948" i="1"/>
  <c r="V951" i="1"/>
  <c r="AE950" i="1"/>
  <c r="AG949" i="1"/>
  <c r="AX949" i="1" s="1"/>
  <c r="AY949" i="1"/>
  <c r="AZ949" i="1" s="1"/>
  <c r="AI953" i="1"/>
  <c r="U953" i="1"/>
  <c r="X953" i="1" s="1"/>
  <c r="Z953" i="1" s="1"/>
  <c r="AN953" i="1"/>
  <c r="AH951" i="1"/>
  <c r="AO951" i="1" s="1"/>
  <c r="AQ951" i="1" s="1"/>
  <c r="AJ951" i="1" l="1"/>
  <c r="CC951" i="1" s="1"/>
  <c r="AE951" i="1"/>
  <c r="AY950" i="1"/>
  <c r="AZ950" i="1" s="1"/>
  <c r="AG950" i="1"/>
  <c r="AX950" i="1" s="1"/>
  <c r="AK950" i="1"/>
  <c r="AW949" i="1"/>
  <c r="U954" i="1"/>
  <c r="X954" i="1" s="1"/>
  <c r="Z954" i="1" s="1"/>
  <c r="AI954" i="1"/>
  <c r="AN954" i="1"/>
  <c r="AH952" i="1"/>
  <c r="AO952" i="1" s="1"/>
  <c r="AQ952" i="1" s="1"/>
  <c r="V952" i="1"/>
  <c r="AJ952" i="1" l="1"/>
  <c r="CC952" i="1" s="1"/>
  <c r="AE952" i="1"/>
  <c r="AG951" i="1"/>
  <c r="AX951" i="1" s="1"/>
  <c r="AY951" i="1"/>
  <c r="AZ951" i="1" s="1"/>
  <c r="V953" i="1"/>
  <c r="AH953" i="1"/>
  <c r="AO953" i="1" s="1"/>
  <c r="AQ953" i="1" s="1"/>
  <c r="AW950" i="1"/>
  <c r="AK951" i="1"/>
  <c r="AN955" i="1"/>
  <c r="U955" i="1"/>
  <c r="X955" i="1" s="1"/>
  <c r="Z955" i="1" s="1"/>
  <c r="AI955" i="1"/>
  <c r="AJ953" i="1" l="1"/>
  <c r="CC953" i="1" s="1"/>
  <c r="AE953" i="1"/>
  <c r="AY952" i="1"/>
  <c r="AZ952" i="1" s="1"/>
  <c r="AG952" i="1"/>
  <c r="AX952" i="1" s="1"/>
  <c r="AW951" i="1"/>
  <c r="AK952" i="1"/>
  <c r="AK953" i="1"/>
  <c r="V954" i="1"/>
  <c r="AH954" i="1"/>
  <c r="AO954" i="1" s="1"/>
  <c r="AQ954" i="1" s="1"/>
  <c r="AI956" i="1"/>
  <c r="AN956" i="1"/>
  <c r="U956" i="1"/>
  <c r="X956" i="1" s="1"/>
  <c r="Z956" i="1" s="1"/>
  <c r="AJ954" i="1" l="1"/>
  <c r="CC954" i="1" s="1"/>
  <c r="AW952" i="1"/>
  <c r="V955" i="1"/>
  <c r="AE954" i="1"/>
  <c r="AG953" i="1"/>
  <c r="AX953" i="1" s="1"/>
  <c r="AY953" i="1"/>
  <c r="AZ953" i="1" s="1"/>
  <c r="AH955" i="1"/>
  <c r="AO955" i="1" s="1"/>
  <c r="AQ955" i="1" s="1"/>
  <c r="AI957" i="1"/>
  <c r="U957" i="1"/>
  <c r="X957" i="1" s="1"/>
  <c r="Z957" i="1" s="1"/>
  <c r="AN957" i="1"/>
  <c r="AJ955" i="1" l="1"/>
  <c r="V956" i="1"/>
  <c r="AE955" i="1"/>
  <c r="AY954" i="1"/>
  <c r="AZ954" i="1" s="1"/>
  <c r="AG954" i="1"/>
  <c r="AX954" i="1" s="1"/>
  <c r="AW953" i="1"/>
  <c r="AK954" i="1"/>
  <c r="AI958" i="1"/>
  <c r="AN958" i="1"/>
  <c r="U958" i="1"/>
  <c r="X958" i="1" s="1"/>
  <c r="Z958" i="1" s="1"/>
  <c r="AH956" i="1"/>
  <c r="AO956" i="1" s="1"/>
  <c r="AQ956" i="1" s="1"/>
  <c r="AJ956" i="1" l="1"/>
  <c r="CC956" i="1" s="1"/>
  <c r="AK955" i="1"/>
  <c r="CC955" i="1"/>
  <c r="AW954" i="1"/>
  <c r="AE956" i="1"/>
  <c r="AG955" i="1"/>
  <c r="AX955" i="1" s="1"/>
  <c r="AY955" i="1"/>
  <c r="AZ955" i="1" s="1"/>
  <c r="U959" i="1"/>
  <c r="X959" i="1" s="1"/>
  <c r="Z959" i="1" s="1"/>
  <c r="AI959" i="1"/>
  <c r="AN959" i="1"/>
  <c r="AH957" i="1"/>
  <c r="AO957" i="1" s="1"/>
  <c r="AQ957" i="1" s="1"/>
  <c r="V957" i="1"/>
  <c r="AJ957" i="1" l="1"/>
  <c r="V958" i="1"/>
  <c r="AE957" i="1"/>
  <c r="AY956" i="1"/>
  <c r="AZ956" i="1" s="1"/>
  <c r="AG956" i="1"/>
  <c r="AX956" i="1" s="1"/>
  <c r="AH958" i="1"/>
  <c r="AJ958" i="1" s="1"/>
  <c r="AK956" i="1"/>
  <c r="AW955" i="1"/>
  <c r="AN960" i="1"/>
  <c r="U960" i="1"/>
  <c r="X960" i="1" s="1"/>
  <c r="Z960" i="1" s="1"/>
  <c r="AI960" i="1"/>
  <c r="AW956" i="1" l="1"/>
  <c r="CC957" i="1"/>
  <c r="V959" i="1"/>
  <c r="AE958" i="1"/>
  <c r="AG957" i="1"/>
  <c r="AX957" i="1" s="1"/>
  <c r="AY957" i="1"/>
  <c r="AZ957" i="1" s="1"/>
  <c r="AK957" i="1"/>
  <c r="AO958" i="1"/>
  <c r="AQ958" i="1" s="1"/>
  <c r="AH959" i="1"/>
  <c r="AJ959" i="1" s="1"/>
  <c r="AN961" i="1"/>
  <c r="AI961" i="1"/>
  <c r="U961" i="1"/>
  <c r="X961" i="1" s="1"/>
  <c r="Z961" i="1" s="1"/>
  <c r="AK958" i="1"/>
  <c r="CC959" i="1" l="1"/>
  <c r="AW957" i="1"/>
  <c r="CC958" i="1"/>
  <c r="V960" i="1"/>
  <c r="AE959" i="1"/>
  <c r="AG958" i="1"/>
  <c r="AX958" i="1" s="1"/>
  <c r="AY958" i="1"/>
  <c r="AZ958" i="1" s="1"/>
  <c r="AO959" i="1"/>
  <c r="AQ959" i="1" s="1"/>
  <c r="AH960" i="1"/>
  <c r="AO960" i="1" s="1"/>
  <c r="AQ960" i="1" s="1"/>
  <c r="AI962" i="1"/>
  <c r="U962" i="1"/>
  <c r="X962" i="1" s="1"/>
  <c r="Z962" i="1" s="1"/>
  <c r="AN962" i="1"/>
  <c r="AW958" i="1"/>
  <c r="AK959" i="1"/>
  <c r="AJ960" i="1" l="1"/>
  <c r="AE960" i="1"/>
  <c r="AY959" i="1"/>
  <c r="AZ959" i="1" s="1"/>
  <c r="AG959" i="1"/>
  <c r="AX959" i="1" s="1"/>
  <c r="AH961" i="1"/>
  <c r="AO961" i="1" s="1"/>
  <c r="AQ961" i="1" s="1"/>
  <c r="V961" i="1"/>
  <c r="U963" i="1"/>
  <c r="X963" i="1" s="1"/>
  <c r="Z963" i="1" s="1"/>
  <c r="AN963" i="1"/>
  <c r="AI963" i="1"/>
  <c r="AJ961" i="1" l="1"/>
  <c r="AW959" i="1"/>
  <c r="CC960" i="1"/>
  <c r="AE961" i="1"/>
  <c r="AG960" i="1"/>
  <c r="AX960" i="1" s="1"/>
  <c r="AY960" i="1"/>
  <c r="AZ960" i="1" s="1"/>
  <c r="AK960" i="1"/>
  <c r="AH962" i="1"/>
  <c r="AO962" i="1" s="1"/>
  <c r="AQ962" i="1" s="1"/>
  <c r="V962" i="1"/>
  <c r="U964" i="1"/>
  <c r="X964" i="1" s="1"/>
  <c r="Z964" i="1" s="1"/>
  <c r="AN964" i="1"/>
  <c r="AI964" i="1"/>
  <c r="CC961" i="1"/>
  <c r="AJ962" i="1" l="1"/>
  <c r="CC962" i="1" s="1"/>
  <c r="V963" i="1"/>
  <c r="AE962" i="1"/>
  <c r="AG961" i="1"/>
  <c r="AX961" i="1" s="1"/>
  <c r="AY961" i="1"/>
  <c r="AZ961" i="1" s="1"/>
  <c r="AW960" i="1"/>
  <c r="AK961" i="1"/>
  <c r="U965" i="1"/>
  <c r="X965" i="1" s="1"/>
  <c r="Z965" i="1" s="1"/>
  <c r="AI965" i="1"/>
  <c r="AN965" i="1"/>
  <c r="AH963" i="1"/>
  <c r="AO963" i="1" s="1"/>
  <c r="AQ963" i="1" s="1"/>
  <c r="AJ963" i="1" l="1"/>
  <c r="CC963" i="1" s="1"/>
  <c r="AW961" i="1"/>
  <c r="AK962" i="1"/>
  <c r="V964" i="1"/>
  <c r="AE963" i="1"/>
  <c r="AG962" i="1"/>
  <c r="AX962" i="1" s="1"/>
  <c r="AY962" i="1"/>
  <c r="AZ962" i="1" s="1"/>
  <c r="AH964" i="1"/>
  <c r="AO964" i="1" s="1"/>
  <c r="AQ964" i="1" s="1"/>
  <c r="U966" i="1"/>
  <c r="X966" i="1" s="1"/>
  <c r="Z966" i="1" s="1"/>
  <c r="AN966" i="1"/>
  <c r="AI966" i="1"/>
  <c r="AJ964" i="1" l="1"/>
  <c r="AK963" i="1"/>
  <c r="AW962" i="1"/>
  <c r="V965" i="1"/>
  <c r="AE964" i="1"/>
  <c r="AG963" i="1"/>
  <c r="AX963" i="1" s="1"/>
  <c r="AY963" i="1"/>
  <c r="AZ963" i="1" s="1"/>
  <c r="AN967" i="1"/>
  <c r="U967" i="1"/>
  <c r="X967" i="1" s="1"/>
  <c r="Z967" i="1" s="1"/>
  <c r="AI967" i="1"/>
  <c r="AH965" i="1"/>
  <c r="AO965" i="1" s="1"/>
  <c r="AQ965" i="1" s="1"/>
  <c r="AJ965" i="1" l="1"/>
  <c r="CC965" i="1" s="1"/>
  <c r="AK964" i="1"/>
  <c r="CC964" i="1"/>
  <c r="AW963" i="1"/>
  <c r="V966" i="1"/>
  <c r="AE965" i="1"/>
  <c r="AG964" i="1"/>
  <c r="AX964" i="1" s="1"/>
  <c r="AY964" i="1"/>
  <c r="AZ964" i="1" s="1"/>
  <c r="AH966" i="1"/>
  <c r="AO966" i="1" s="1"/>
  <c r="AQ966" i="1" s="1"/>
  <c r="U968" i="1"/>
  <c r="X968" i="1" s="1"/>
  <c r="Z968" i="1" s="1"/>
  <c r="AN968" i="1"/>
  <c r="AI968" i="1"/>
  <c r="AK965" i="1"/>
  <c r="AJ966" i="1" l="1"/>
  <c r="AW964" i="1"/>
  <c r="AE966" i="1"/>
  <c r="AG965" i="1"/>
  <c r="AX965" i="1" s="1"/>
  <c r="AY965" i="1"/>
  <c r="AZ965" i="1" s="1"/>
  <c r="AN969" i="1"/>
  <c r="AI969" i="1"/>
  <c r="U969" i="1"/>
  <c r="X969" i="1" s="1"/>
  <c r="Z969" i="1" s="1"/>
  <c r="V967" i="1"/>
  <c r="AH967" i="1"/>
  <c r="AO967" i="1" s="1"/>
  <c r="AQ967" i="1" s="1"/>
  <c r="AJ967" i="1" l="1"/>
  <c r="CC967" i="1" s="1"/>
  <c r="AW965" i="1"/>
  <c r="CC966" i="1"/>
  <c r="AK966" i="1"/>
  <c r="AE967" i="1"/>
  <c r="AG966" i="1"/>
  <c r="AX966" i="1" s="1"/>
  <c r="AY966" i="1"/>
  <c r="AZ966" i="1" s="1"/>
  <c r="AH968" i="1"/>
  <c r="AO968" i="1" s="1"/>
  <c r="AQ968" i="1" s="1"/>
  <c r="V968" i="1"/>
  <c r="AN970" i="1"/>
  <c r="AI970" i="1"/>
  <c r="U970" i="1"/>
  <c r="X970" i="1" s="1"/>
  <c r="Z970" i="1" s="1"/>
  <c r="AJ968" i="1" l="1"/>
  <c r="CC968" i="1" s="1"/>
  <c r="AE968" i="1"/>
  <c r="AY967" i="1"/>
  <c r="AZ967" i="1" s="1"/>
  <c r="AG967" i="1"/>
  <c r="AX967" i="1" s="1"/>
  <c r="AI971" i="1"/>
  <c r="AN971" i="1"/>
  <c r="U971" i="1"/>
  <c r="X971" i="1" s="1"/>
  <c r="Z971" i="1" s="1"/>
  <c r="AK967" i="1"/>
  <c r="AW966" i="1"/>
  <c r="AH969" i="1"/>
  <c r="AJ969" i="1" s="1"/>
  <c r="V969" i="1"/>
  <c r="AE969" i="1" l="1"/>
  <c r="AY968" i="1"/>
  <c r="AZ968" i="1" s="1"/>
  <c r="AG968" i="1"/>
  <c r="AX968" i="1" s="1"/>
  <c r="V970" i="1"/>
  <c r="AH970" i="1"/>
  <c r="AO970" i="1" s="1"/>
  <c r="AQ970" i="1" s="1"/>
  <c r="AK968" i="1"/>
  <c r="AW967" i="1"/>
  <c r="AN972" i="1"/>
  <c r="U972" i="1"/>
  <c r="X972" i="1" s="1"/>
  <c r="Z972" i="1" s="1"/>
  <c r="AI972" i="1"/>
  <c r="AO969" i="1"/>
  <c r="AQ969" i="1" s="1"/>
  <c r="AJ970" i="1" l="1"/>
  <c r="AK969" i="1"/>
  <c r="CC969" i="1"/>
  <c r="AW968" i="1"/>
  <c r="V971" i="1"/>
  <c r="AE970" i="1"/>
  <c r="AY969" i="1"/>
  <c r="AZ969" i="1" s="1"/>
  <c r="AG969" i="1"/>
  <c r="AX969" i="1" s="1"/>
  <c r="AH971" i="1"/>
  <c r="AO971" i="1" s="1"/>
  <c r="AQ971" i="1" s="1"/>
  <c r="AI973" i="1"/>
  <c r="AN973" i="1"/>
  <c r="U973" i="1"/>
  <c r="X973" i="1" s="1"/>
  <c r="Z973" i="1" s="1"/>
  <c r="CC970" i="1"/>
  <c r="AJ971" i="1" l="1"/>
  <c r="V972" i="1"/>
  <c r="AE971" i="1"/>
  <c r="AY970" i="1"/>
  <c r="AZ970" i="1" s="1"/>
  <c r="AG970" i="1"/>
  <c r="AX970" i="1" s="1"/>
  <c r="AI974" i="1"/>
  <c r="AN974" i="1"/>
  <c r="U974" i="1"/>
  <c r="X974" i="1" s="1"/>
  <c r="Z974" i="1" s="1"/>
  <c r="AK970" i="1"/>
  <c r="AW969" i="1"/>
  <c r="AH972" i="1"/>
  <c r="AJ972" i="1" s="1"/>
  <c r="AK971" i="1" l="1"/>
  <c r="CC971" i="1"/>
  <c r="AW970" i="1"/>
  <c r="AE972" i="1"/>
  <c r="AY971" i="1"/>
  <c r="AZ971" i="1" s="1"/>
  <c r="AG971" i="1"/>
  <c r="AX971" i="1" s="1"/>
  <c r="AN975" i="1"/>
  <c r="U975" i="1"/>
  <c r="X975" i="1" s="1"/>
  <c r="Z975" i="1" s="1"/>
  <c r="AI975" i="1"/>
  <c r="AO972" i="1"/>
  <c r="AQ972" i="1" s="1"/>
  <c r="V973" i="1"/>
  <c r="AH973" i="1"/>
  <c r="AO973" i="1" s="1"/>
  <c r="AQ973" i="1" s="1"/>
  <c r="AJ973" i="1" l="1"/>
  <c r="AK972" i="1"/>
  <c r="CC972" i="1"/>
  <c r="V974" i="1"/>
  <c r="AE973" i="1"/>
  <c r="AG972" i="1"/>
  <c r="AX972" i="1" s="1"/>
  <c r="AY972" i="1"/>
  <c r="AZ972" i="1" s="1"/>
  <c r="AW971" i="1"/>
  <c r="AH974" i="1"/>
  <c r="AO974" i="1" s="1"/>
  <c r="AQ974" i="1" s="1"/>
  <c r="AN976" i="1"/>
  <c r="U976" i="1"/>
  <c r="X976" i="1" s="1"/>
  <c r="Z976" i="1" s="1"/>
  <c r="AI976" i="1"/>
  <c r="CC973" i="1"/>
  <c r="AJ974" i="1" l="1"/>
  <c r="AE974" i="1"/>
  <c r="AG973" i="1"/>
  <c r="AX973" i="1" s="1"/>
  <c r="AY973" i="1"/>
  <c r="AZ973" i="1" s="1"/>
  <c r="AW972" i="1"/>
  <c r="AK973" i="1"/>
  <c r="AH975" i="1"/>
  <c r="AO975" i="1" s="1"/>
  <c r="AQ975" i="1" s="1"/>
  <c r="V975" i="1"/>
  <c r="U977" i="1"/>
  <c r="X977" i="1" s="1"/>
  <c r="Z977" i="1" s="1"/>
  <c r="AN977" i="1"/>
  <c r="AI977" i="1"/>
  <c r="AJ975" i="1" l="1"/>
  <c r="CC975" i="1" s="1"/>
  <c r="AW973" i="1"/>
  <c r="CC974" i="1"/>
  <c r="AK974" i="1"/>
  <c r="V976" i="1"/>
  <c r="AE975" i="1"/>
  <c r="AY974" i="1"/>
  <c r="AZ974" i="1" s="1"/>
  <c r="AG974" i="1"/>
  <c r="AX974" i="1" s="1"/>
  <c r="AH976" i="1"/>
  <c r="AO976" i="1" s="1"/>
  <c r="AQ976" i="1" s="1"/>
  <c r="U978" i="1"/>
  <c r="X978" i="1" s="1"/>
  <c r="Z978" i="1" s="1"/>
  <c r="AN978" i="1"/>
  <c r="AI978" i="1"/>
  <c r="AJ976" i="1" l="1"/>
  <c r="CC976" i="1" s="1"/>
  <c r="V977" i="1"/>
  <c r="AE976" i="1"/>
  <c r="AY975" i="1"/>
  <c r="AZ975" i="1" s="1"/>
  <c r="AG975" i="1"/>
  <c r="AX975" i="1" s="1"/>
  <c r="AN979" i="1"/>
  <c r="U979" i="1"/>
  <c r="X979" i="1" s="1"/>
  <c r="Z979" i="1" s="1"/>
  <c r="AI979" i="1"/>
  <c r="AH977" i="1"/>
  <c r="AO977" i="1" s="1"/>
  <c r="AQ977" i="1" s="1"/>
  <c r="AW974" i="1"/>
  <c r="AK975" i="1"/>
  <c r="AJ977" i="1" l="1"/>
  <c r="CC977" i="1" s="1"/>
  <c r="V978" i="1"/>
  <c r="AE977" i="1"/>
  <c r="AG976" i="1"/>
  <c r="AX976" i="1" s="1"/>
  <c r="AY976" i="1"/>
  <c r="AZ976" i="1" s="1"/>
  <c r="AK976" i="1"/>
  <c r="AW975" i="1"/>
  <c r="AH978" i="1"/>
  <c r="AO978" i="1" s="1"/>
  <c r="AQ978" i="1" s="1"/>
  <c r="U980" i="1"/>
  <c r="X980" i="1" s="1"/>
  <c r="Z980" i="1" s="1"/>
  <c r="AI980" i="1"/>
  <c r="AN980" i="1"/>
  <c r="AJ978" i="1" l="1"/>
  <c r="CC978" i="1" s="1"/>
  <c r="AE978" i="1"/>
  <c r="AG977" i="1"/>
  <c r="AX977" i="1" s="1"/>
  <c r="AY977" i="1"/>
  <c r="AZ977" i="1" s="1"/>
  <c r="AI981" i="1"/>
  <c r="AN981" i="1"/>
  <c r="U981" i="1"/>
  <c r="X981" i="1" s="1"/>
  <c r="Z981" i="1" s="1"/>
  <c r="AK977" i="1"/>
  <c r="AW976" i="1"/>
  <c r="V979" i="1"/>
  <c r="AH979" i="1"/>
  <c r="AO979" i="1" s="1"/>
  <c r="AQ979" i="1" s="1"/>
  <c r="AJ979" i="1" l="1"/>
  <c r="CC979" i="1" s="1"/>
  <c r="AE979" i="1"/>
  <c r="AY978" i="1"/>
  <c r="AZ978" i="1" s="1"/>
  <c r="AG978" i="1"/>
  <c r="AX978" i="1" s="1"/>
  <c r="AK978" i="1"/>
  <c r="AW977" i="1"/>
  <c r="U982" i="1"/>
  <c r="X982" i="1" s="1"/>
  <c r="Z982" i="1" s="1"/>
  <c r="AN982" i="1"/>
  <c r="AI982" i="1"/>
  <c r="AH980" i="1"/>
  <c r="AO980" i="1" s="1"/>
  <c r="AQ980" i="1" s="1"/>
  <c r="V980" i="1"/>
  <c r="AJ980" i="1" l="1"/>
  <c r="AE980" i="1"/>
  <c r="AG979" i="1"/>
  <c r="AX979" i="1" s="1"/>
  <c r="AY979" i="1"/>
  <c r="AZ979" i="1" s="1"/>
  <c r="U983" i="1"/>
  <c r="X983" i="1" s="1"/>
  <c r="Z983" i="1" s="1"/>
  <c r="AN983" i="1"/>
  <c r="AI983" i="1"/>
  <c r="V981" i="1"/>
  <c r="AH981" i="1"/>
  <c r="AO981" i="1" s="1"/>
  <c r="AQ981" i="1" s="1"/>
  <c r="AW978" i="1"/>
  <c r="AK979" i="1"/>
  <c r="AJ981" i="1" l="1"/>
  <c r="CC981" i="1" s="1"/>
  <c r="AK980" i="1"/>
  <c r="CC980" i="1"/>
  <c r="AW979" i="1"/>
  <c r="V982" i="1"/>
  <c r="AE981" i="1"/>
  <c r="AG980" i="1"/>
  <c r="AX980" i="1" s="1"/>
  <c r="AY980" i="1"/>
  <c r="AZ980" i="1" s="1"/>
  <c r="U984" i="1"/>
  <c r="X984" i="1" s="1"/>
  <c r="Z984" i="1" s="1"/>
  <c r="AI984" i="1"/>
  <c r="AN984" i="1"/>
  <c r="AH982" i="1"/>
  <c r="AJ982" i="1" s="1"/>
  <c r="AK981" i="1" l="1"/>
  <c r="AW980" i="1"/>
  <c r="AO982" i="1"/>
  <c r="AQ982" i="1" s="1"/>
  <c r="AE982" i="1"/>
  <c r="AY981" i="1"/>
  <c r="AZ981" i="1" s="1"/>
  <c r="AG981" i="1"/>
  <c r="AX981" i="1" s="1"/>
  <c r="AW981" i="1"/>
  <c r="AH983" i="1"/>
  <c r="AO983" i="1" s="1"/>
  <c r="AQ983" i="1" s="1"/>
  <c r="V983" i="1"/>
  <c r="AI985" i="1"/>
  <c r="AN985" i="1"/>
  <c r="U985" i="1"/>
  <c r="X985" i="1" s="1"/>
  <c r="Z985" i="1" s="1"/>
  <c r="AJ983" i="1" l="1"/>
  <c r="CC983" i="1" s="1"/>
  <c r="AK982" i="1"/>
  <c r="CC982" i="1"/>
  <c r="V984" i="1"/>
  <c r="AE983" i="1"/>
  <c r="AG982" i="1"/>
  <c r="AX982" i="1" s="1"/>
  <c r="AY982" i="1"/>
  <c r="AZ982" i="1" s="1"/>
  <c r="AN986" i="1"/>
  <c r="AI986" i="1"/>
  <c r="U986" i="1"/>
  <c r="X986" i="1" s="1"/>
  <c r="Z986" i="1" s="1"/>
  <c r="AH984" i="1"/>
  <c r="AO984" i="1" s="1"/>
  <c r="AQ984" i="1" s="1"/>
  <c r="AJ984" i="1" l="1"/>
  <c r="AK984" i="1" s="1"/>
  <c r="AW982" i="1"/>
  <c r="AK983" i="1"/>
  <c r="AE984" i="1"/>
  <c r="AY983" i="1"/>
  <c r="AZ983" i="1" s="1"/>
  <c r="AG983" i="1"/>
  <c r="AX983" i="1" s="1"/>
  <c r="AH985" i="1"/>
  <c r="AO985" i="1" s="1"/>
  <c r="AQ985" i="1" s="1"/>
  <c r="V985" i="1"/>
  <c r="AI987" i="1"/>
  <c r="AN987" i="1"/>
  <c r="U987" i="1"/>
  <c r="X987" i="1" s="1"/>
  <c r="Z987" i="1" s="1"/>
  <c r="AJ985" i="1" l="1"/>
  <c r="CC985" i="1" s="1"/>
  <c r="AW983" i="1"/>
  <c r="CC984" i="1"/>
  <c r="AE985" i="1"/>
  <c r="AG984" i="1"/>
  <c r="AX984" i="1" s="1"/>
  <c r="AY984" i="1"/>
  <c r="AZ984" i="1" s="1"/>
  <c r="AN988" i="1"/>
  <c r="AI988" i="1"/>
  <c r="U988" i="1"/>
  <c r="X988" i="1" s="1"/>
  <c r="Z988" i="1" s="1"/>
  <c r="V986" i="1"/>
  <c r="AH986" i="1"/>
  <c r="AO986" i="1" s="1"/>
  <c r="AQ986" i="1" s="1"/>
  <c r="AJ986" i="1" l="1"/>
  <c r="CC986" i="1" s="1"/>
  <c r="AW984" i="1"/>
  <c r="AK985" i="1"/>
  <c r="V987" i="1"/>
  <c r="AE986" i="1"/>
  <c r="AY985" i="1"/>
  <c r="AZ985" i="1" s="1"/>
  <c r="AG985" i="1"/>
  <c r="AX985" i="1" s="1"/>
  <c r="AN989" i="1"/>
  <c r="U989" i="1"/>
  <c r="X989" i="1" s="1"/>
  <c r="Z989" i="1" s="1"/>
  <c r="AI989" i="1"/>
  <c r="AH987" i="1"/>
  <c r="AO987" i="1" s="1"/>
  <c r="AQ987" i="1" s="1"/>
  <c r="AJ987" i="1" l="1"/>
  <c r="AW986" i="1" s="1"/>
  <c r="V988" i="1"/>
  <c r="AE987" i="1"/>
  <c r="AG986" i="1"/>
  <c r="AX986" i="1" s="1"/>
  <c r="AY986" i="1"/>
  <c r="AZ986" i="1" s="1"/>
  <c r="AH988" i="1"/>
  <c r="AO988" i="1" s="1"/>
  <c r="AQ988" i="1" s="1"/>
  <c r="U990" i="1"/>
  <c r="X990" i="1" s="1"/>
  <c r="Z990" i="1" s="1"/>
  <c r="AI990" i="1"/>
  <c r="AN990" i="1"/>
  <c r="AW985" i="1"/>
  <c r="AK986" i="1"/>
  <c r="AJ988" i="1" l="1"/>
  <c r="AK987" i="1"/>
  <c r="CC987" i="1"/>
  <c r="V989" i="1"/>
  <c r="AE988" i="1"/>
  <c r="AG987" i="1"/>
  <c r="AX987" i="1" s="1"/>
  <c r="AY987" i="1"/>
  <c r="AZ987" i="1" s="1"/>
  <c r="AH989" i="1"/>
  <c r="AO989" i="1" s="1"/>
  <c r="AQ989" i="1" s="1"/>
  <c r="U991" i="1"/>
  <c r="X991" i="1" s="1"/>
  <c r="Z991" i="1" s="1"/>
  <c r="AN991" i="1"/>
  <c r="AI991" i="1"/>
  <c r="AJ989" i="1" l="1"/>
  <c r="AK988" i="1"/>
  <c r="CC988" i="1"/>
  <c r="AE989" i="1"/>
  <c r="AY988" i="1"/>
  <c r="AZ988" i="1" s="1"/>
  <c r="AG988" i="1"/>
  <c r="AX988" i="1" s="1"/>
  <c r="AW987" i="1"/>
  <c r="V990" i="1"/>
  <c r="AH990" i="1"/>
  <c r="AO990" i="1" s="1"/>
  <c r="AQ990" i="1" s="1"/>
  <c r="U992" i="1"/>
  <c r="X992" i="1" s="1"/>
  <c r="Z992" i="1" s="1"/>
  <c r="AN992" i="1"/>
  <c r="AI992" i="1"/>
  <c r="AJ990" i="1" l="1"/>
  <c r="AW988" i="1"/>
  <c r="CC989" i="1"/>
  <c r="V991" i="1"/>
  <c r="AE990" i="1"/>
  <c r="AY989" i="1"/>
  <c r="AZ989" i="1" s="1"/>
  <c r="AG989" i="1"/>
  <c r="AX989" i="1" s="1"/>
  <c r="AK989" i="1"/>
  <c r="AK990" i="1"/>
  <c r="AH991" i="1"/>
  <c r="AJ991" i="1" s="1"/>
  <c r="U993" i="1"/>
  <c r="X993" i="1" s="1"/>
  <c r="Z993" i="1" s="1"/>
  <c r="AI993" i="1"/>
  <c r="AN993" i="1"/>
  <c r="AO991" i="1" l="1"/>
  <c r="AQ991" i="1" s="1"/>
  <c r="AW989" i="1"/>
  <c r="CC990" i="1"/>
  <c r="AE991" i="1"/>
  <c r="AG990" i="1"/>
  <c r="AX990" i="1" s="1"/>
  <c r="AY990" i="1"/>
  <c r="AZ990" i="1" s="1"/>
  <c r="U994" i="1"/>
  <c r="X994" i="1" s="1"/>
  <c r="Z994" i="1" s="1"/>
  <c r="AI994" i="1"/>
  <c r="AN994" i="1"/>
  <c r="AH992" i="1"/>
  <c r="AO992" i="1" s="1"/>
  <c r="AQ992" i="1" s="1"/>
  <c r="AJ992" i="1" l="1"/>
  <c r="AK991" i="1"/>
  <c r="CC991" i="1"/>
  <c r="AG991" i="1"/>
  <c r="AX991" i="1" s="1"/>
  <c r="AY991" i="1"/>
  <c r="AZ991" i="1" s="1"/>
  <c r="AW990" i="1"/>
  <c r="CC992" i="1"/>
  <c r="V992" i="1"/>
  <c r="AK992" i="1"/>
  <c r="AN995" i="1"/>
  <c r="U995" i="1"/>
  <c r="X995" i="1" s="1"/>
  <c r="Z995" i="1" s="1"/>
  <c r="AI995" i="1"/>
  <c r="AE992" i="1" l="1"/>
  <c r="AY992" i="1" s="1"/>
  <c r="AZ992" i="1" s="1"/>
  <c r="AW991" i="1"/>
  <c r="AH993" i="1"/>
  <c r="AO993" i="1" s="1"/>
  <c r="AQ993" i="1" s="1"/>
  <c r="V993" i="1"/>
  <c r="U996" i="1"/>
  <c r="X996" i="1" s="1"/>
  <c r="Z996" i="1" s="1"/>
  <c r="AN996" i="1"/>
  <c r="AI996" i="1"/>
  <c r="AJ993" i="1" l="1"/>
  <c r="AH994" i="1"/>
  <c r="AO994" i="1" s="1"/>
  <c r="AQ994" i="1" s="1"/>
  <c r="AW992" i="1"/>
  <c r="AG992" i="1"/>
  <c r="AX992" i="1" s="1"/>
  <c r="V994" i="1"/>
  <c r="AE993" i="1"/>
  <c r="AI997" i="1"/>
  <c r="U997" i="1"/>
  <c r="X997" i="1" s="1"/>
  <c r="Z997" i="1" s="1"/>
  <c r="AN997" i="1"/>
  <c r="AJ994" i="1" l="1"/>
  <c r="AW993" i="1" s="1"/>
  <c r="AK993" i="1"/>
  <c r="CC993" i="1"/>
  <c r="V995" i="1"/>
  <c r="AE994" i="1"/>
  <c r="AG993" i="1"/>
  <c r="AX993" i="1" s="1"/>
  <c r="AY993" i="1"/>
  <c r="AZ993" i="1" s="1"/>
  <c r="AH995" i="1"/>
  <c r="AO995" i="1" s="1"/>
  <c r="AQ995" i="1" s="1"/>
  <c r="AI998" i="1"/>
  <c r="AN998" i="1"/>
  <c r="U998" i="1"/>
  <c r="X998" i="1" s="1"/>
  <c r="Z998" i="1" s="1"/>
  <c r="AJ995" i="1" l="1"/>
  <c r="V996" i="1"/>
  <c r="AK994" i="1"/>
  <c r="CC994" i="1"/>
  <c r="AW994" i="1"/>
  <c r="AE995" i="1"/>
  <c r="AY994" i="1"/>
  <c r="AZ994" i="1" s="1"/>
  <c r="AG994" i="1"/>
  <c r="AX994" i="1" s="1"/>
  <c r="AH996" i="1"/>
  <c r="AO996" i="1" s="1"/>
  <c r="AQ996" i="1" s="1"/>
  <c r="AI999" i="1"/>
  <c r="AN999" i="1"/>
  <c r="U999" i="1"/>
  <c r="X999" i="1" s="1"/>
  <c r="Z999" i="1" s="1"/>
  <c r="AJ996" i="1" l="1"/>
  <c r="CC996" i="1" s="1"/>
  <c r="AH997" i="1"/>
  <c r="AJ997" i="1" s="1"/>
  <c r="AK995" i="1"/>
  <c r="CC995" i="1"/>
  <c r="V997" i="1"/>
  <c r="AE996" i="1"/>
  <c r="AY995" i="1"/>
  <c r="AZ995" i="1" s="1"/>
  <c r="AG995" i="1"/>
  <c r="AX995" i="1" s="1"/>
  <c r="AW995" i="1"/>
  <c r="AN1000" i="1"/>
  <c r="U1000" i="1"/>
  <c r="X1000" i="1" s="1"/>
  <c r="Z1000" i="1" s="1"/>
  <c r="AI1000" i="1"/>
  <c r="AW996" i="1" l="1"/>
  <c r="AK996" i="1"/>
  <c r="AO997" i="1"/>
  <c r="AQ997" i="1" s="1"/>
  <c r="AH998" i="1"/>
  <c r="AK997" i="1"/>
  <c r="CC997" i="1"/>
  <c r="V998" i="1"/>
  <c r="AE997" i="1"/>
  <c r="AG996" i="1"/>
  <c r="AX996" i="1" s="1"/>
  <c r="AY996" i="1"/>
  <c r="AZ996" i="1" s="1"/>
  <c r="U1001" i="1"/>
  <c r="X1001" i="1" s="1"/>
  <c r="Z1001" i="1" s="1"/>
  <c r="AN1001" i="1"/>
  <c r="AI1001" i="1"/>
  <c r="AO998" i="1"/>
  <c r="AQ998" i="1" s="1"/>
  <c r="AJ998" i="1" l="1"/>
  <c r="AK998" i="1" s="1"/>
  <c r="AH999" i="1"/>
  <c r="AO999" i="1" s="1"/>
  <c r="AQ999" i="1" s="1"/>
  <c r="AW997" i="1"/>
  <c r="V999" i="1"/>
  <c r="AE998" i="1"/>
  <c r="AG997" i="1"/>
  <c r="AX997" i="1" s="1"/>
  <c r="AY997" i="1"/>
  <c r="AZ997" i="1" s="1"/>
  <c r="AN1002" i="1"/>
  <c r="AI1002" i="1"/>
  <c r="U1002" i="1"/>
  <c r="X1002" i="1" s="1"/>
  <c r="Z1002" i="1" s="1"/>
  <c r="CC998" i="1" l="1"/>
  <c r="AJ999" i="1"/>
  <c r="CC999" i="1" s="1"/>
  <c r="AE999" i="1"/>
  <c r="V1000" i="1"/>
  <c r="AH1000" i="1"/>
  <c r="AO1000" i="1" s="1"/>
  <c r="AQ1000" i="1" s="1"/>
  <c r="AG998" i="1"/>
  <c r="AX998" i="1" s="1"/>
  <c r="AY998" i="1"/>
  <c r="AZ998" i="1" s="1"/>
  <c r="AN1003" i="1"/>
  <c r="AI1003" i="1"/>
  <c r="U1003" i="1"/>
  <c r="X1003" i="1" s="1"/>
  <c r="Z1003" i="1" s="1"/>
  <c r="AW998" i="1" l="1"/>
  <c r="AJ1000" i="1"/>
  <c r="AK999" i="1"/>
  <c r="CC1000" i="1"/>
  <c r="AH1001" i="1"/>
  <c r="AO1001" i="1" s="1"/>
  <c r="AQ1001" i="1" s="1"/>
  <c r="AE1000" i="1"/>
  <c r="AG999" i="1"/>
  <c r="AX999" i="1" s="1"/>
  <c r="AY999" i="1"/>
  <c r="AZ999" i="1" s="1"/>
  <c r="U1004" i="1"/>
  <c r="X1004" i="1" s="1"/>
  <c r="Z1004" i="1" s="1"/>
  <c r="AI1004" i="1"/>
  <c r="AN1004" i="1"/>
  <c r="AJ1001" i="1" l="1"/>
  <c r="AW999" i="1"/>
  <c r="CC1001" i="1"/>
  <c r="AK1000" i="1"/>
  <c r="V1001" i="1"/>
  <c r="AG1000" i="1"/>
  <c r="AX1000" i="1" s="1"/>
  <c r="AY1000" i="1"/>
  <c r="AZ1000" i="1" s="1"/>
  <c r="AN1005" i="1"/>
  <c r="U1005" i="1"/>
  <c r="X1005" i="1" s="1"/>
  <c r="Z1005" i="1" s="1"/>
  <c r="AI1005" i="1"/>
  <c r="AE1001" i="1" l="1"/>
  <c r="V1002" i="1"/>
  <c r="AH1002" i="1"/>
  <c r="AO1002" i="1" s="1"/>
  <c r="AQ1002" i="1" s="1"/>
  <c r="AW1000" i="1"/>
  <c r="AK1001" i="1"/>
  <c r="AI1006" i="1"/>
  <c r="U1006" i="1"/>
  <c r="X1006" i="1" s="1"/>
  <c r="Z1006" i="1" s="1"/>
  <c r="AN1006" i="1"/>
  <c r="AJ1002" i="1" l="1"/>
  <c r="CC1002" i="1" s="1"/>
  <c r="V1003" i="1"/>
  <c r="AE1002" i="1"/>
  <c r="AH1003" i="1"/>
  <c r="AJ1003" i="1" s="1"/>
  <c r="AY1001" i="1"/>
  <c r="AZ1001" i="1" s="1"/>
  <c r="AG1001" i="1"/>
  <c r="AX1001" i="1" s="1"/>
  <c r="AI1007" i="1"/>
  <c r="AN1007" i="1"/>
  <c r="U1007" i="1"/>
  <c r="X1007" i="1" s="1"/>
  <c r="Z1007" i="1" s="1"/>
  <c r="AK1002" i="1" l="1"/>
  <c r="AW1001" i="1"/>
  <c r="V1004" i="1"/>
  <c r="AE1003" i="1"/>
  <c r="AH1004" i="1"/>
  <c r="AO1004" i="1" s="1"/>
  <c r="AQ1004" i="1" s="1"/>
  <c r="AO1003" i="1"/>
  <c r="AQ1003" i="1" s="1"/>
  <c r="CC1003" i="1"/>
  <c r="AG1002" i="1"/>
  <c r="AX1002" i="1" s="1"/>
  <c r="AY1002" i="1"/>
  <c r="AZ1002" i="1" s="1"/>
  <c r="AI1008" i="1"/>
  <c r="AN1008" i="1"/>
  <c r="U1008" i="1"/>
  <c r="X1008" i="1" s="1"/>
  <c r="Z1008" i="1" s="1"/>
  <c r="AJ1004" i="1" l="1"/>
  <c r="V1005" i="1"/>
  <c r="AE1004" i="1"/>
  <c r="AH1005" i="1"/>
  <c r="AO1005" i="1" s="1"/>
  <c r="AQ1005" i="1" s="1"/>
  <c r="AW1002" i="1"/>
  <c r="AK1003" i="1"/>
  <c r="AG1003" i="1"/>
  <c r="AX1003" i="1" s="1"/>
  <c r="AY1003" i="1"/>
  <c r="AZ1003" i="1" s="1"/>
  <c r="AN1009" i="1"/>
  <c r="U1009" i="1"/>
  <c r="X1009" i="1" s="1"/>
  <c r="Z1009" i="1" s="1"/>
  <c r="AI1009" i="1"/>
  <c r="AJ1005" i="1" l="1"/>
  <c r="AK1005" i="1" s="1"/>
  <c r="V1006" i="1"/>
  <c r="AK1004" i="1"/>
  <c r="CC1004" i="1"/>
  <c r="AW1003" i="1"/>
  <c r="AE1005" i="1"/>
  <c r="AH1006" i="1"/>
  <c r="AO1006" i="1" s="1"/>
  <c r="AQ1006" i="1" s="1"/>
  <c r="AY1004" i="1"/>
  <c r="AZ1004" i="1" s="1"/>
  <c r="AG1004" i="1"/>
  <c r="AX1004" i="1" s="1"/>
  <c r="AI1010" i="1"/>
  <c r="AN1010" i="1"/>
  <c r="U1010" i="1"/>
  <c r="X1010" i="1" s="1"/>
  <c r="Z1010" i="1" s="1"/>
  <c r="AJ1006" i="1" l="1"/>
  <c r="AW1004" i="1"/>
  <c r="CC1005" i="1"/>
  <c r="AE1006" i="1"/>
  <c r="V1007" i="1"/>
  <c r="AH1007" i="1"/>
  <c r="AO1007" i="1" s="1"/>
  <c r="AQ1007" i="1" s="1"/>
  <c r="AG1005" i="1"/>
  <c r="AX1005" i="1" s="1"/>
  <c r="AY1005" i="1"/>
  <c r="AZ1005" i="1" s="1"/>
  <c r="AN1011" i="1"/>
  <c r="AI1011" i="1"/>
  <c r="U1011" i="1"/>
  <c r="X1011" i="1" s="1"/>
  <c r="Z1011" i="1" s="1"/>
  <c r="AJ1007" i="1" l="1"/>
  <c r="AK1007" i="1" s="1"/>
  <c r="AW1005" i="1"/>
  <c r="CC1006" i="1"/>
  <c r="AK1006" i="1"/>
  <c r="AE1007" i="1"/>
  <c r="V1008" i="1"/>
  <c r="AH1008" i="1"/>
  <c r="AO1008" i="1" s="1"/>
  <c r="AQ1008" i="1" s="1"/>
  <c r="AY1006" i="1"/>
  <c r="AZ1006" i="1" s="1"/>
  <c r="AG1006" i="1"/>
  <c r="AX1006" i="1" s="1"/>
  <c r="AN1012" i="1"/>
  <c r="AI1012" i="1"/>
  <c r="U1012" i="1"/>
  <c r="X1012" i="1" s="1"/>
  <c r="Z1012" i="1" s="1"/>
  <c r="AJ1008" i="1" l="1"/>
  <c r="AW1006" i="1"/>
  <c r="CC1007" i="1"/>
  <c r="V1009" i="1"/>
  <c r="AE1008" i="1"/>
  <c r="AH1009" i="1"/>
  <c r="AO1009" i="1" s="1"/>
  <c r="AQ1009" i="1" s="1"/>
  <c r="AG1007" i="1"/>
  <c r="AX1007" i="1" s="1"/>
  <c r="AY1007" i="1"/>
  <c r="AZ1007" i="1" s="1"/>
  <c r="U1013" i="1"/>
  <c r="X1013" i="1" s="1"/>
  <c r="Z1013" i="1" s="1"/>
  <c r="AI1013" i="1"/>
  <c r="AN1013" i="1"/>
  <c r="AJ1009" i="1" l="1"/>
  <c r="CC1009" i="1" s="1"/>
  <c r="AW1007" i="1"/>
  <c r="CC1008" i="1"/>
  <c r="AK1008" i="1"/>
  <c r="AE1009" i="1"/>
  <c r="V1010" i="1"/>
  <c r="AH1010" i="1"/>
  <c r="AJ1010" i="1" s="1"/>
  <c r="AY1008" i="1"/>
  <c r="AZ1008" i="1" s="1"/>
  <c r="AG1008" i="1"/>
  <c r="AX1008" i="1" s="1"/>
  <c r="U1014" i="1"/>
  <c r="X1014" i="1" s="1"/>
  <c r="Z1014" i="1" s="1"/>
  <c r="AI1014" i="1"/>
  <c r="AN1014" i="1"/>
  <c r="AK1009" i="1" l="1"/>
  <c r="AW1008" i="1"/>
  <c r="AE1010" i="1"/>
  <c r="V1011" i="1"/>
  <c r="AH1011" i="1"/>
  <c r="AO1011" i="1" s="1"/>
  <c r="AQ1011" i="1" s="1"/>
  <c r="AO1010" i="1"/>
  <c r="AQ1010" i="1" s="1"/>
  <c r="CC1010" i="1"/>
  <c r="AY1009" i="1"/>
  <c r="AZ1009" i="1" s="1"/>
  <c r="AG1009" i="1"/>
  <c r="AX1009" i="1" s="1"/>
  <c r="AN1015" i="1"/>
  <c r="U1015" i="1"/>
  <c r="X1015" i="1" s="1"/>
  <c r="Z1015" i="1" s="1"/>
  <c r="AI1015" i="1"/>
  <c r="AJ1011" i="1" l="1"/>
  <c r="AK1010" i="1"/>
  <c r="AW1009" i="1"/>
  <c r="AE1011" i="1"/>
  <c r="V1012" i="1"/>
  <c r="AH1012" i="1"/>
  <c r="AO1012" i="1" s="1"/>
  <c r="AQ1012" i="1" s="1"/>
  <c r="AY1010" i="1"/>
  <c r="AZ1010" i="1" s="1"/>
  <c r="AG1010" i="1"/>
  <c r="AX1010" i="1" s="1"/>
  <c r="CC1011" i="1"/>
  <c r="U1016" i="1"/>
  <c r="X1016" i="1" s="1"/>
  <c r="Z1016" i="1" s="1"/>
  <c r="AI1016" i="1"/>
  <c r="AN1016" i="1"/>
  <c r="AJ1012" i="1" l="1"/>
  <c r="V1013" i="1"/>
  <c r="AE1012" i="1"/>
  <c r="AH1013" i="1"/>
  <c r="AO1013" i="1" s="1"/>
  <c r="AQ1013" i="1" s="1"/>
  <c r="AK1011" i="1"/>
  <c r="AW1010" i="1"/>
  <c r="AG1011" i="1"/>
  <c r="AX1011" i="1" s="1"/>
  <c r="AY1011" i="1"/>
  <c r="AZ1011" i="1" s="1"/>
  <c r="CC1012" i="1"/>
  <c r="AN1017" i="1"/>
  <c r="AI1017" i="1"/>
  <c r="U1017" i="1"/>
  <c r="X1017" i="1" s="1"/>
  <c r="Z1017" i="1" s="1"/>
  <c r="AJ1013" i="1" l="1"/>
  <c r="V1014" i="1"/>
  <c r="AE1013" i="1"/>
  <c r="AH1014" i="1"/>
  <c r="AO1014" i="1" s="1"/>
  <c r="AQ1014" i="1" s="1"/>
  <c r="AW1011" i="1"/>
  <c r="AK1012" i="1"/>
  <c r="AG1012" i="1"/>
  <c r="AX1012" i="1" s="1"/>
  <c r="AY1012" i="1"/>
  <c r="AZ1012" i="1" s="1"/>
  <c r="CC1013" i="1"/>
  <c r="U1018" i="1"/>
  <c r="X1018" i="1" s="1"/>
  <c r="Z1018" i="1" s="1"/>
  <c r="AN1018" i="1"/>
  <c r="AI1018" i="1"/>
  <c r="AJ1014" i="1" l="1"/>
  <c r="CC1014" i="1" s="1"/>
  <c r="V1015" i="1"/>
  <c r="AK1014" i="1"/>
  <c r="AE1014" i="1"/>
  <c r="AH1015" i="1"/>
  <c r="AO1015" i="1" s="1"/>
  <c r="AQ1015" i="1" s="1"/>
  <c r="AW1012" i="1"/>
  <c r="AK1013" i="1"/>
  <c r="AY1013" i="1"/>
  <c r="AZ1013" i="1" s="1"/>
  <c r="AG1013" i="1"/>
  <c r="AX1013" i="1" s="1"/>
  <c r="U1019" i="1"/>
  <c r="X1019" i="1" s="1"/>
  <c r="Z1019" i="1" s="1"/>
  <c r="AN1019" i="1"/>
  <c r="AI1019" i="1"/>
  <c r="AJ1015" i="1" l="1"/>
  <c r="CC1015" i="1" s="1"/>
  <c r="AW1013" i="1"/>
  <c r="V1016" i="1"/>
  <c r="AE1015" i="1"/>
  <c r="AH1016" i="1"/>
  <c r="AJ1016" i="1" s="1"/>
  <c r="AG1014" i="1"/>
  <c r="AX1014" i="1" s="1"/>
  <c r="AY1014" i="1"/>
  <c r="AZ1014" i="1" s="1"/>
  <c r="U1020" i="1"/>
  <c r="X1020" i="1" s="1"/>
  <c r="Z1020" i="1" s="1"/>
  <c r="AN1020" i="1"/>
  <c r="AI1020" i="1"/>
  <c r="AW1014" i="1" l="1"/>
  <c r="AK1015" i="1"/>
  <c r="V1017" i="1"/>
  <c r="AE1016" i="1"/>
  <c r="AH1017" i="1"/>
  <c r="AJ1017" i="1" s="1"/>
  <c r="AO1016" i="1"/>
  <c r="AQ1016" i="1" s="1"/>
  <c r="CC1016" i="1"/>
  <c r="AG1015" i="1"/>
  <c r="AX1015" i="1" s="1"/>
  <c r="AY1015" i="1"/>
  <c r="AZ1015" i="1" s="1"/>
  <c r="AN1021" i="1"/>
  <c r="U1021" i="1"/>
  <c r="X1021" i="1" s="1"/>
  <c r="Z1021" i="1" s="1"/>
  <c r="AI1021" i="1"/>
  <c r="AE1017" i="1" l="1"/>
  <c r="V1018" i="1"/>
  <c r="AH1018" i="1"/>
  <c r="AO1018" i="1" s="1"/>
  <c r="AQ1018" i="1" s="1"/>
  <c r="AO1017" i="1"/>
  <c r="AQ1017" i="1" s="1"/>
  <c r="CC1017" i="1"/>
  <c r="AK1016" i="1"/>
  <c r="AW1015" i="1"/>
  <c r="AG1016" i="1"/>
  <c r="AX1016" i="1" s="1"/>
  <c r="AY1016" i="1"/>
  <c r="AZ1016" i="1" s="1"/>
  <c r="AN1022" i="1"/>
  <c r="U1022" i="1"/>
  <c r="X1022" i="1" s="1"/>
  <c r="Z1022" i="1" s="1"/>
  <c r="AI1022" i="1"/>
  <c r="AJ1018" i="1" l="1"/>
  <c r="AW1017" i="1" s="1"/>
  <c r="V1019" i="1"/>
  <c r="AK1017" i="1"/>
  <c r="AW1016" i="1"/>
  <c r="AE1018" i="1"/>
  <c r="AH1019" i="1"/>
  <c r="AJ1019" i="1" s="1"/>
  <c r="AY1017" i="1"/>
  <c r="AZ1017" i="1" s="1"/>
  <c r="AG1017" i="1"/>
  <c r="AX1017" i="1" s="1"/>
  <c r="U1023" i="1"/>
  <c r="X1023" i="1" s="1"/>
  <c r="Z1023" i="1" s="1"/>
  <c r="AN1023" i="1"/>
  <c r="AI1023" i="1"/>
  <c r="CC1018" i="1" l="1"/>
  <c r="AK1018" i="1"/>
  <c r="V1020" i="1"/>
  <c r="AE1019" i="1"/>
  <c r="AH1020" i="1"/>
  <c r="AO1020" i="1" s="1"/>
  <c r="AQ1020" i="1" s="1"/>
  <c r="AO1019" i="1"/>
  <c r="AQ1019" i="1" s="1"/>
  <c r="CC1019" i="1"/>
  <c r="AY1018" i="1"/>
  <c r="AZ1018" i="1" s="1"/>
  <c r="AG1018" i="1"/>
  <c r="AX1018" i="1" s="1"/>
  <c r="U1024" i="1"/>
  <c r="X1024" i="1" s="1"/>
  <c r="Z1024" i="1" s="1"/>
  <c r="AN1024" i="1"/>
  <c r="AI1024" i="1"/>
  <c r="AJ1020" i="1" l="1"/>
  <c r="CC1020" i="1" s="1"/>
  <c r="AK1019" i="1"/>
  <c r="AW1018" i="1"/>
  <c r="AE1020" i="1"/>
  <c r="V1021" i="1"/>
  <c r="AH1021" i="1"/>
  <c r="AJ1021" i="1" s="1"/>
  <c r="AG1019" i="1"/>
  <c r="AX1019" i="1" s="1"/>
  <c r="AY1019" i="1"/>
  <c r="AZ1019" i="1" s="1"/>
  <c r="AI1025" i="1"/>
  <c r="U1025" i="1"/>
  <c r="X1025" i="1" s="1"/>
  <c r="Z1025" i="1" s="1"/>
  <c r="AN1025" i="1"/>
  <c r="AK1020" i="1" l="1"/>
  <c r="AW1019" i="1"/>
  <c r="V1022" i="1"/>
  <c r="AE1021" i="1"/>
  <c r="AH1022" i="1"/>
  <c r="AO1022" i="1" s="1"/>
  <c r="AQ1022" i="1" s="1"/>
  <c r="AY1020" i="1"/>
  <c r="AZ1020" i="1" s="1"/>
  <c r="AG1020" i="1"/>
  <c r="AX1020" i="1" s="1"/>
  <c r="AO1021" i="1"/>
  <c r="AQ1021" i="1" s="1"/>
  <c r="U1026" i="1"/>
  <c r="X1026" i="1" s="1"/>
  <c r="Z1026" i="1" s="1"/>
  <c r="AI1026" i="1"/>
  <c r="AN1026" i="1"/>
  <c r="AJ1022" i="1" l="1"/>
  <c r="AK1022" i="1" s="1"/>
  <c r="V1023" i="1"/>
  <c r="AK1021" i="1"/>
  <c r="CC1021" i="1"/>
  <c r="AW1020" i="1"/>
  <c r="AE1022" i="1"/>
  <c r="AH1023" i="1"/>
  <c r="AO1023" i="1" s="1"/>
  <c r="AQ1023" i="1" s="1"/>
  <c r="AY1021" i="1"/>
  <c r="AZ1021" i="1" s="1"/>
  <c r="AG1021" i="1"/>
  <c r="AX1021" i="1" s="1"/>
  <c r="AN1027" i="1"/>
  <c r="U1027" i="1"/>
  <c r="X1027" i="1" s="1"/>
  <c r="Z1027" i="1" s="1"/>
  <c r="AI1027" i="1"/>
  <c r="AJ1023" i="1" l="1"/>
  <c r="AW1022" i="1" s="1"/>
  <c r="AW1021" i="1"/>
  <c r="CC1022" i="1"/>
  <c r="V1024" i="1"/>
  <c r="AE1023" i="1"/>
  <c r="AH1024" i="1"/>
  <c r="AO1024" i="1" s="1"/>
  <c r="AQ1024" i="1" s="1"/>
  <c r="AY1022" i="1"/>
  <c r="AZ1022" i="1" s="1"/>
  <c r="AG1022" i="1"/>
  <c r="AX1022" i="1" s="1"/>
  <c r="AN1028" i="1"/>
  <c r="AI1028" i="1"/>
  <c r="U1028" i="1"/>
  <c r="X1028" i="1" s="1"/>
  <c r="Z1028" i="1" s="1"/>
  <c r="AJ1024" i="1" l="1"/>
  <c r="V1025" i="1"/>
  <c r="AK1023" i="1"/>
  <c r="CC1023" i="1"/>
  <c r="AE1024" i="1"/>
  <c r="AH1025" i="1"/>
  <c r="AO1025" i="1" s="1"/>
  <c r="AQ1025" i="1" s="1"/>
  <c r="AY1023" i="1"/>
  <c r="AZ1023" i="1" s="1"/>
  <c r="AG1023" i="1"/>
  <c r="AX1023" i="1" s="1"/>
  <c r="AN1029" i="1"/>
  <c r="U1029" i="1"/>
  <c r="X1029" i="1" s="1"/>
  <c r="Z1029" i="1" s="1"/>
  <c r="AI1029" i="1"/>
  <c r="AJ1025" i="1" l="1"/>
  <c r="V1026" i="1"/>
  <c r="AW1023" i="1"/>
  <c r="CC1024" i="1"/>
  <c r="CC1025" i="1"/>
  <c r="AK1024" i="1"/>
  <c r="AE1025" i="1"/>
  <c r="AH1026" i="1"/>
  <c r="AO1026" i="1" s="1"/>
  <c r="AQ1026" i="1" s="1"/>
  <c r="AK1025" i="1"/>
  <c r="AY1024" i="1"/>
  <c r="AZ1024" i="1" s="1"/>
  <c r="AG1024" i="1"/>
  <c r="AX1024" i="1" s="1"/>
  <c r="AI1030" i="1"/>
  <c r="U1030" i="1"/>
  <c r="X1030" i="1" s="1"/>
  <c r="Z1030" i="1" s="1"/>
  <c r="AN1030" i="1"/>
  <c r="AJ1026" i="1" l="1"/>
  <c r="CC1026" i="1" s="1"/>
  <c r="V1027" i="1"/>
  <c r="AW1024" i="1"/>
  <c r="AE1026" i="1"/>
  <c r="AH1027" i="1"/>
  <c r="AO1027" i="1" s="1"/>
  <c r="AQ1027" i="1" s="1"/>
  <c r="AG1025" i="1"/>
  <c r="AX1025" i="1" s="1"/>
  <c r="AY1025" i="1"/>
  <c r="AZ1025" i="1" s="1"/>
  <c r="AI1031" i="1"/>
  <c r="U1031" i="1"/>
  <c r="X1031" i="1" s="1"/>
  <c r="Z1031" i="1" s="1"/>
  <c r="AN1031" i="1"/>
  <c r="AJ1027" i="1" l="1"/>
  <c r="AW1025" i="1"/>
  <c r="AK1026" i="1"/>
  <c r="AE1027" i="1"/>
  <c r="V1028" i="1"/>
  <c r="AH1028" i="1"/>
  <c r="AO1028" i="1" s="1"/>
  <c r="AQ1028" i="1" s="1"/>
  <c r="AY1026" i="1"/>
  <c r="AZ1026" i="1" s="1"/>
  <c r="AG1026" i="1"/>
  <c r="AX1026" i="1" s="1"/>
  <c r="AN1032" i="1"/>
  <c r="AI1032" i="1"/>
  <c r="U1032" i="1"/>
  <c r="X1032" i="1" s="1"/>
  <c r="Z1032" i="1" s="1"/>
  <c r="AJ1028" i="1" l="1"/>
  <c r="CC1028" i="1" s="1"/>
  <c r="AK1027" i="1"/>
  <c r="CC1027" i="1"/>
  <c r="AW1026" i="1"/>
  <c r="V1029" i="1"/>
  <c r="AE1028" i="1"/>
  <c r="AH1029" i="1"/>
  <c r="AJ1029" i="1" s="1"/>
  <c r="AG1027" i="1"/>
  <c r="AX1027" i="1" s="1"/>
  <c r="AY1027" i="1"/>
  <c r="AZ1027" i="1" s="1"/>
  <c r="AN1033" i="1"/>
  <c r="U1033" i="1"/>
  <c r="X1033" i="1" s="1"/>
  <c r="Z1033" i="1" s="1"/>
  <c r="AI1033" i="1"/>
  <c r="AW1027" i="1" l="1"/>
  <c r="AK1028" i="1"/>
  <c r="AE1029" i="1"/>
  <c r="V1030" i="1"/>
  <c r="AH1030" i="1"/>
  <c r="AO1030" i="1" s="1"/>
  <c r="AQ1030" i="1" s="1"/>
  <c r="AO1029" i="1"/>
  <c r="AQ1029" i="1" s="1"/>
  <c r="CC1029" i="1"/>
  <c r="AG1028" i="1"/>
  <c r="AX1028" i="1" s="1"/>
  <c r="AY1028" i="1"/>
  <c r="AZ1028" i="1" s="1"/>
  <c r="AI1034" i="1"/>
  <c r="AN1034" i="1"/>
  <c r="U1034" i="1"/>
  <c r="X1034" i="1" s="1"/>
  <c r="Z1034" i="1" s="1"/>
  <c r="AJ1030" i="1" l="1"/>
  <c r="AW1029" i="1" s="1"/>
  <c r="V1031" i="1"/>
  <c r="AK1029" i="1"/>
  <c r="AW1028" i="1"/>
  <c r="AE1030" i="1"/>
  <c r="AH1031" i="1"/>
  <c r="AJ1031" i="1" s="1"/>
  <c r="AY1029" i="1"/>
  <c r="AZ1029" i="1" s="1"/>
  <c r="AG1029" i="1"/>
  <c r="AX1029" i="1" s="1"/>
  <c r="AN1035" i="1"/>
  <c r="U1035" i="1"/>
  <c r="X1035" i="1" s="1"/>
  <c r="Z1035" i="1" s="1"/>
  <c r="AI1035" i="1"/>
  <c r="CC1030" i="1" l="1"/>
  <c r="AK1030" i="1"/>
  <c r="V1032" i="1"/>
  <c r="AE1031" i="1"/>
  <c r="AH1032" i="1"/>
  <c r="AO1032" i="1" s="1"/>
  <c r="AQ1032" i="1" s="1"/>
  <c r="AO1031" i="1"/>
  <c r="AQ1031" i="1" s="1"/>
  <c r="CC1031" i="1"/>
  <c r="AY1030" i="1"/>
  <c r="AZ1030" i="1" s="1"/>
  <c r="AG1030" i="1"/>
  <c r="AX1030" i="1" s="1"/>
  <c r="AI1036" i="1"/>
  <c r="U1036" i="1"/>
  <c r="X1036" i="1" s="1"/>
  <c r="Z1036" i="1" s="1"/>
  <c r="AN1036" i="1"/>
  <c r="AJ1032" i="1" l="1"/>
  <c r="CC1032" i="1" s="1"/>
  <c r="AE1032" i="1"/>
  <c r="V1033" i="1"/>
  <c r="AH1033" i="1"/>
  <c r="AO1033" i="1" s="1"/>
  <c r="AQ1033" i="1" s="1"/>
  <c r="AW1030" i="1"/>
  <c r="AK1031" i="1"/>
  <c r="AY1031" i="1"/>
  <c r="AZ1031" i="1" s="1"/>
  <c r="AG1031" i="1"/>
  <c r="AX1031" i="1" s="1"/>
  <c r="U1037" i="1"/>
  <c r="X1037" i="1" s="1"/>
  <c r="Z1037" i="1" s="1"/>
  <c r="AI1037" i="1"/>
  <c r="AN1037" i="1"/>
  <c r="AJ1033" i="1" l="1"/>
  <c r="CC1033" i="1" s="1"/>
  <c r="AW1031" i="1"/>
  <c r="AK1032" i="1"/>
  <c r="AE1033" i="1"/>
  <c r="V1034" i="1"/>
  <c r="AH1034" i="1"/>
  <c r="AJ1034" i="1" s="1"/>
  <c r="AY1032" i="1"/>
  <c r="AZ1032" i="1" s="1"/>
  <c r="AG1032" i="1"/>
  <c r="AX1032" i="1" s="1"/>
  <c r="U1038" i="1"/>
  <c r="X1038" i="1" s="1"/>
  <c r="Z1038" i="1" s="1"/>
  <c r="AI1038" i="1"/>
  <c r="AN1038" i="1"/>
  <c r="AK1033" i="1" l="1"/>
  <c r="AW1032" i="1"/>
  <c r="V1035" i="1"/>
  <c r="AE1034" i="1"/>
  <c r="AH1035" i="1"/>
  <c r="AO1035" i="1" s="1"/>
  <c r="AQ1035" i="1" s="1"/>
  <c r="AO1034" i="1"/>
  <c r="AQ1034" i="1" s="1"/>
  <c r="CC1034" i="1"/>
  <c r="AY1033" i="1"/>
  <c r="AZ1033" i="1" s="1"/>
  <c r="AG1033" i="1"/>
  <c r="AX1033" i="1" s="1"/>
  <c r="AI1039" i="1"/>
  <c r="U1039" i="1"/>
  <c r="X1039" i="1" s="1"/>
  <c r="Z1039" i="1" s="1"/>
  <c r="AN1039" i="1"/>
  <c r="AJ1035" i="1" l="1"/>
  <c r="CC1035" i="1" s="1"/>
  <c r="V1036" i="1"/>
  <c r="AE1035" i="1"/>
  <c r="AH1036" i="1"/>
  <c r="AO1036" i="1" s="1"/>
  <c r="AQ1036" i="1" s="1"/>
  <c r="AW1033" i="1"/>
  <c r="AK1034" i="1"/>
  <c r="AG1034" i="1"/>
  <c r="AX1034" i="1" s="1"/>
  <c r="AY1034" i="1"/>
  <c r="AZ1034" i="1" s="1"/>
  <c r="AN1040" i="1"/>
  <c r="AI1040" i="1"/>
  <c r="U1040" i="1"/>
  <c r="X1040" i="1" s="1"/>
  <c r="Z1040" i="1" s="1"/>
  <c r="AJ1036" i="1" l="1"/>
  <c r="V1037" i="1"/>
  <c r="AE1036" i="1"/>
  <c r="AH1037" i="1"/>
  <c r="AJ1037" i="1" s="1"/>
  <c r="AK1035" i="1"/>
  <c r="AW1034" i="1"/>
  <c r="AY1035" i="1"/>
  <c r="AZ1035" i="1" s="1"/>
  <c r="AG1035" i="1"/>
  <c r="AX1035" i="1" s="1"/>
  <c r="CC1036" i="1"/>
  <c r="AN1041" i="1"/>
  <c r="AI1041" i="1"/>
  <c r="U1041" i="1"/>
  <c r="X1041" i="1" s="1"/>
  <c r="Z1041" i="1" s="1"/>
  <c r="CC1037" i="1" l="1"/>
  <c r="V1038" i="1"/>
  <c r="AE1037" i="1"/>
  <c r="AH1038" i="1"/>
  <c r="AO1038" i="1" s="1"/>
  <c r="AQ1038" i="1" s="1"/>
  <c r="AW1036" i="1"/>
  <c r="AK1037" i="1"/>
  <c r="AK1036" i="1"/>
  <c r="AW1035" i="1"/>
  <c r="AY1036" i="1"/>
  <c r="AZ1036" i="1" s="1"/>
  <c r="AG1036" i="1"/>
  <c r="AX1036" i="1" s="1"/>
  <c r="AO1037" i="1"/>
  <c r="AQ1037" i="1" s="1"/>
  <c r="AI1042" i="1"/>
  <c r="AN1042" i="1"/>
  <c r="U1042" i="1"/>
  <c r="X1042" i="1" s="1"/>
  <c r="Z1042" i="1" s="1"/>
  <c r="AJ1038" i="1" l="1"/>
  <c r="AW1037" i="1" s="1"/>
  <c r="V1039" i="1"/>
  <c r="AE1038" i="1"/>
  <c r="AH1039" i="1"/>
  <c r="AO1039" i="1" s="1"/>
  <c r="AQ1039" i="1" s="1"/>
  <c r="AG1037" i="1"/>
  <c r="AX1037" i="1" s="1"/>
  <c r="AY1037" i="1"/>
  <c r="AZ1037" i="1" s="1"/>
  <c r="AI1043" i="1"/>
  <c r="AN1043" i="1"/>
  <c r="U1043" i="1"/>
  <c r="X1043" i="1" s="1"/>
  <c r="Z1043" i="1" s="1"/>
  <c r="AJ1039" i="1" l="1"/>
  <c r="CC1039" i="1" s="1"/>
  <c r="AK1038" i="1"/>
  <c r="CC1038" i="1"/>
  <c r="AE1039" i="1"/>
  <c r="V1040" i="1"/>
  <c r="AH1040" i="1"/>
  <c r="AO1040" i="1" s="1"/>
  <c r="AQ1040" i="1" s="1"/>
  <c r="AG1038" i="1"/>
  <c r="AX1038" i="1" s="1"/>
  <c r="AY1038" i="1"/>
  <c r="AZ1038" i="1" s="1"/>
  <c r="AN1044" i="1"/>
  <c r="U1044" i="1"/>
  <c r="X1044" i="1" s="1"/>
  <c r="Z1044" i="1" s="1"/>
  <c r="AI1044" i="1"/>
  <c r="AJ1040" i="1" l="1"/>
  <c r="V1041" i="1"/>
  <c r="AK1039" i="1"/>
  <c r="AW1038" i="1"/>
  <c r="AE1040" i="1"/>
  <c r="AH1041" i="1"/>
  <c r="AO1041" i="1" s="1"/>
  <c r="AQ1041" i="1" s="1"/>
  <c r="AG1039" i="1"/>
  <c r="AX1039" i="1" s="1"/>
  <c r="AY1039" i="1"/>
  <c r="AZ1039" i="1" s="1"/>
  <c r="U1045" i="1"/>
  <c r="X1045" i="1" s="1"/>
  <c r="Z1045" i="1" s="1"/>
  <c r="AN1045" i="1"/>
  <c r="AI1045" i="1"/>
  <c r="AJ1041" i="1" l="1"/>
  <c r="CC1041" i="1" s="1"/>
  <c r="V1042" i="1"/>
  <c r="AW1039" i="1"/>
  <c r="CC1040" i="1"/>
  <c r="AK1040" i="1"/>
  <c r="AE1041" i="1"/>
  <c r="AH1042" i="1"/>
  <c r="AO1042" i="1" s="1"/>
  <c r="AQ1042" i="1" s="1"/>
  <c r="AY1040" i="1"/>
  <c r="AZ1040" i="1" s="1"/>
  <c r="AG1040" i="1"/>
  <c r="AX1040" i="1" s="1"/>
  <c r="AI1046" i="1"/>
  <c r="AN1046" i="1"/>
  <c r="U1046" i="1"/>
  <c r="X1046" i="1" s="1"/>
  <c r="Z1046" i="1" s="1"/>
  <c r="AJ1042" i="1" l="1"/>
  <c r="AE1042" i="1"/>
  <c r="V1043" i="1"/>
  <c r="AH1043" i="1"/>
  <c r="AO1043" i="1" s="1"/>
  <c r="AQ1043" i="1" s="1"/>
  <c r="AK1041" i="1"/>
  <c r="AW1040" i="1"/>
  <c r="AY1041" i="1"/>
  <c r="AZ1041" i="1" s="1"/>
  <c r="AG1041" i="1"/>
  <c r="AX1041" i="1" s="1"/>
  <c r="CC1042" i="1"/>
  <c r="AN1047" i="1"/>
  <c r="AI1047" i="1"/>
  <c r="U1047" i="1"/>
  <c r="X1047" i="1" s="1"/>
  <c r="Z1047" i="1" s="1"/>
  <c r="AJ1043" i="1" l="1"/>
  <c r="CC1043" i="1" s="1"/>
  <c r="V1044" i="1"/>
  <c r="AE1043" i="1"/>
  <c r="AH1044" i="1"/>
  <c r="AJ1044" i="1" s="1"/>
  <c r="AW1041" i="1"/>
  <c r="AK1042" i="1"/>
  <c r="AG1042" i="1"/>
  <c r="AX1042" i="1" s="1"/>
  <c r="AY1042" i="1"/>
  <c r="AZ1042" i="1" s="1"/>
  <c r="AN1048" i="1"/>
  <c r="U1048" i="1"/>
  <c r="X1048" i="1" s="1"/>
  <c r="Z1048" i="1" s="1"/>
  <c r="AI1048" i="1"/>
  <c r="AW1042" i="1" l="1"/>
  <c r="AK1043" i="1"/>
  <c r="V1045" i="1"/>
  <c r="AE1044" i="1"/>
  <c r="AH1045" i="1"/>
  <c r="AO1045" i="1" s="1"/>
  <c r="AQ1045" i="1" s="1"/>
  <c r="AO1044" i="1"/>
  <c r="AQ1044" i="1" s="1"/>
  <c r="CC1044" i="1"/>
  <c r="AG1043" i="1"/>
  <c r="AX1043" i="1" s="1"/>
  <c r="AY1043" i="1"/>
  <c r="AZ1043" i="1" s="1"/>
  <c r="AI1049" i="1"/>
  <c r="U1049" i="1"/>
  <c r="X1049" i="1" s="1"/>
  <c r="Z1049" i="1" s="1"/>
  <c r="AN1049" i="1"/>
  <c r="AJ1045" i="1" l="1"/>
  <c r="AW1044" i="1" s="1"/>
  <c r="V1046" i="1"/>
  <c r="AK1044" i="1"/>
  <c r="AW1043" i="1"/>
  <c r="AE1045" i="1"/>
  <c r="AH1046" i="1"/>
  <c r="AO1046" i="1" s="1"/>
  <c r="AQ1046" i="1" s="1"/>
  <c r="AY1044" i="1"/>
  <c r="AZ1044" i="1" s="1"/>
  <c r="AG1044" i="1"/>
  <c r="AX1044" i="1" s="1"/>
  <c r="AN1050" i="1"/>
  <c r="U1050" i="1"/>
  <c r="X1050" i="1" s="1"/>
  <c r="Z1050" i="1" s="1"/>
  <c r="AI1050" i="1"/>
  <c r="CC1045" i="1" l="1"/>
  <c r="AJ1046" i="1"/>
  <c r="CC1046" i="1" s="1"/>
  <c r="AK1045" i="1"/>
  <c r="V1047" i="1"/>
  <c r="AE1046" i="1"/>
  <c r="AH1047" i="1"/>
  <c r="AJ1047" i="1" s="1"/>
  <c r="AY1045" i="1"/>
  <c r="AZ1045" i="1" s="1"/>
  <c r="AG1045" i="1"/>
  <c r="AX1045" i="1" s="1"/>
  <c r="AI1051" i="1"/>
  <c r="AN1051" i="1"/>
  <c r="U1051" i="1"/>
  <c r="X1051" i="1" s="1"/>
  <c r="Z1051" i="1" s="1"/>
  <c r="AE1047" i="1" l="1"/>
  <c r="V1048" i="1"/>
  <c r="AH1048" i="1"/>
  <c r="AO1048" i="1" s="1"/>
  <c r="AQ1048" i="1" s="1"/>
  <c r="AK1046" i="1"/>
  <c r="AW1045" i="1"/>
  <c r="AO1047" i="1"/>
  <c r="AQ1047" i="1" s="1"/>
  <c r="CC1047" i="1"/>
  <c r="AY1046" i="1"/>
  <c r="AZ1046" i="1" s="1"/>
  <c r="AG1046" i="1"/>
  <c r="AX1046" i="1" s="1"/>
  <c r="U1052" i="1"/>
  <c r="X1052" i="1" s="1"/>
  <c r="Z1052" i="1" s="1"/>
  <c r="AI1052" i="1"/>
  <c r="AN1052" i="1"/>
  <c r="AJ1048" i="1" l="1"/>
  <c r="V1049" i="1"/>
  <c r="AK1048" i="1"/>
  <c r="AW1046" i="1"/>
  <c r="AK1047" i="1"/>
  <c r="AE1048" i="1"/>
  <c r="AH1049" i="1"/>
  <c r="AJ1049" i="1" s="1"/>
  <c r="AG1047" i="1"/>
  <c r="AX1047" i="1" s="1"/>
  <c r="AY1047" i="1"/>
  <c r="AZ1047" i="1" s="1"/>
  <c r="AI1053" i="1"/>
  <c r="U1053" i="1"/>
  <c r="X1053" i="1" s="1"/>
  <c r="Z1053" i="1" s="1"/>
  <c r="AN1053" i="1"/>
  <c r="CC1048" i="1" l="1"/>
  <c r="AW1047" i="1"/>
  <c r="AO1049" i="1"/>
  <c r="AQ1049" i="1" s="1"/>
  <c r="CC1049" i="1"/>
  <c r="V1050" i="1"/>
  <c r="AE1049" i="1"/>
  <c r="AH1050" i="1"/>
  <c r="AO1050" i="1" s="1"/>
  <c r="AQ1050" i="1" s="1"/>
  <c r="AG1048" i="1"/>
  <c r="AX1048" i="1" s="1"/>
  <c r="AY1048" i="1"/>
  <c r="AZ1048" i="1" s="1"/>
  <c r="U1054" i="1"/>
  <c r="X1054" i="1" s="1"/>
  <c r="Z1054" i="1" s="1"/>
  <c r="AI1054" i="1"/>
  <c r="AN1054" i="1"/>
  <c r="AJ1050" i="1" l="1"/>
  <c r="AE1050" i="1"/>
  <c r="V1051" i="1"/>
  <c r="AH1051" i="1"/>
  <c r="AJ1051" i="1" s="1"/>
  <c r="AY1049" i="1"/>
  <c r="AZ1049" i="1" s="1"/>
  <c r="AG1049" i="1"/>
  <c r="AX1049" i="1" s="1"/>
  <c r="AW1048" i="1"/>
  <c r="AK1049" i="1"/>
  <c r="CC1050" i="1"/>
  <c r="AI1055" i="1"/>
  <c r="U1055" i="1"/>
  <c r="X1055" i="1" s="1"/>
  <c r="Z1055" i="1" s="1"/>
  <c r="AN1055" i="1"/>
  <c r="V1052" i="1" l="1"/>
  <c r="AW1049" i="1"/>
  <c r="AK1050" i="1"/>
  <c r="AE1051" i="1"/>
  <c r="AH1052" i="1"/>
  <c r="AJ1052" i="1" s="1"/>
  <c r="CC1051" i="1"/>
  <c r="AO1051" i="1"/>
  <c r="AQ1051" i="1" s="1"/>
  <c r="AY1050" i="1"/>
  <c r="AZ1050" i="1" s="1"/>
  <c r="AG1050" i="1"/>
  <c r="AX1050" i="1" s="1"/>
  <c r="AI1056" i="1"/>
  <c r="AN1056" i="1"/>
  <c r="U1056" i="1"/>
  <c r="X1056" i="1" s="1"/>
  <c r="Z1056" i="1" s="1"/>
  <c r="V1053" i="1" l="1"/>
  <c r="AK1051" i="1"/>
  <c r="AW1050" i="1"/>
  <c r="AE1052" i="1"/>
  <c r="AH1053" i="1"/>
  <c r="AJ1053" i="1" s="1"/>
  <c r="AO1052" i="1"/>
  <c r="AQ1052" i="1" s="1"/>
  <c r="CC1052" i="1"/>
  <c r="AY1051" i="1"/>
  <c r="AZ1051" i="1" s="1"/>
  <c r="AG1051" i="1"/>
  <c r="AX1051" i="1" s="1"/>
  <c r="AI1057" i="1"/>
  <c r="U1057" i="1"/>
  <c r="X1057" i="1" s="1"/>
  <c r="Z1057" i="1" s="1"/>
  <c r="AN1057" i="1"/>
  <c r="V1054" i="1" l="1"/>
  <c r="AE1053" i="1"/>
  <c r="AH1054" i="1"/>
  <c r="AJ1054" i="1" s="1"/>
  <c r="AW1051" i="1"/>
  <c r="AK1052" i="1"/>
  <c r="AO1053" i="1"/>
  <c r="AQ1053" i="1" s="1"/>
  <c r="CC1053" i="1"/>
  <c r="AG1052" i="1"/>
  <c r="AX1052" i="1" s="1"/>
  <c r="AY1052" i="1"/>
  <c r="AZ1052" i="1" s="1"/>
  <c r="AI1058" i="1"/>
  <c r="AN1058" i="1"/>
  <c r="U1058" i="1"/>
  <c r="X1058" i="1" s="1"/>
  <c r="Z1058" i="1" s="1"/>
  <c r="V1055" i="1" l="1"/>
  <c r="AE1054" i="1"/>
  <c r="AH1055" i="1"/>
  <c r="AJ1055" i="1" s="1"/>
  <c r="AK1053" i="1"/>
  <c r="AW1052" i="1"/>
  <c r="AO1054" i="1"/>
  <c r="AQ1054" i="1" s="1"/>
  <c r="CC1054" i="1"/>
  <c r="AY1053" i="1"/>
  <c r="AZ1053" i="1" s="1"/>
  <c r="AG1053" i="1"/>
  <c r="AX1053" i="1" s="1"/>
  <c r="AN1059" i="1"/>
  <c r="U1059" i="1"/>
  <c r="X1059" i="1" s="1"/>
  <c r="Z1059" i="1" s="1"/>
  <c r="AI1059" i="1"/>
  <c r="V1056" i="1" l="1"/>
  <c r="AE1055" i="1"/>
  <c r="AH1056" i="1"/>
  <c r="AO1056" i="1" s="1"/>
  <c r="AQ1056" i="1" s="1"/>
  <c r="AO1055" i="1"/>
  <c r="AQ1055" i="1" s="1"/>
  <c r="CC1055" i="1"/>
  <c r="AK1054" i="1"/>
  <c r="AW1053" i="1"/>
  <c r="AY1054" i="1"/>
  <c r="AZ1054" i="1" s="1"/>
  <c r="AG1054" i="1"/>
  <c r="AX1054" i="1" s="1"/>
  <c r="U1060" i="1"/>
  <c r="X1060" i="1" s="1"/>
  <c r="Z1060" i="1" s="1"/>
  <c r="AI1060" i="1"/>
  <c r="AN1060" i="1"/>
  <c r="AJ1056" i="1" l="1"/>
  <c r="CC1056" i="1" s="1"/>
  <c r="V1057" i="1"/>
  <c r="AE1056" i="1"/>
  <c r="AH1057" i="1"/>
  <c r="AO1057" i="1" s="1"/>
  <c r="AQ1057" i="1" s="1"/>
  <c r="AK1055" i="1"/>
  <c r="AW1054" i="1"/>
  <c r="AG1055" i="1"/>
  <c r="AX1055" i="1" s="1"/>
  <c r="AY1055" i="1"/>
  <c r="AZ1055" i="1" s="1"/>
  <c r="U1061" i="1"/>
  <c r="X1061" i="1" s="1"/>
  <c r="Z1061" i="1" s="1"/>
  <c r="AN1061" i="1"/>
  <c r="AI1061" i="1"/>
  <c r="AJ1057" i="1" l="1"/>
  <c r="V1058" i="1"/>
  <c r="AK1056" i="1"/>
  <c r="AW1055" i="1"/>
  <c r="AE1057" i="1"/>
  <c r="AH1058" i="1"/>
  <c r="AO1058" i="1" s="1"/>
  <c r="AQ1058" i="1" s="1"/>
  <c r="AY1056" i="1"/>
  <c r="AZ1056" i="1" s="1"/>
  <c r="AG1056" i="1"/>
  <c r="AX1056" i="1" s="1"/>
  <c r="CC1057" i="1"/>
  <c r="AI1062" i="1"/>
  <c r="U1062" i="1"/>
  <c r="X1062" i="1" s="1"/>
  <c r="Z1062" i="1" s="1"/>
  <c r="AN1062" i="1"/>
  <c r="AJ1058" i="1" l="1"/>
  <c r="CC1058" i="1" s="1"/>
  <c r="AE1058" i="1"/>
  <c r="V1059" i="1"/>
  <c r="AH1059" i="1"/>
  <c r="AO1059" i="1" s="1"/>
  <c r="AQ1059" i="1" s="1"/>
  <c r="AW1056" i="1"/>
  <c r="AK1057" i="1"/>
  <c r="AY1057" i="1"/>
  <c r="AZ1057" i="1" s="1"/>
  <c r="AG1057" i="1"/>
  <c r="AX1057" i="1" s="1"/>
  <c r="AI1063" i="1"/>
  <c r="AN1063" i="1"/>
  <c r="U1063" i="1"/>
  <c r="X1063" i="1" s="1"/>
  <c r="Z1063" i="1" s="1"/>
  <c r="AJ1059" i="1" l="1"/>
  <c r="CC1059" i="1" s="1"/>
  <c r="AW1057" i="1"/>
  <c r="AK1058" i="1"/>
  <c r="AE1059" i="1"/>
  <c r="V1060" i="1"/>
  <c r="AH1060" i="1"/>
  <c r="AJ1060" i="1" s="1"/>
  <c r="AG1058" i="1"/>
  <c r="AX1058" i="1" s="1"/>
  <c r="AY1058" i="1"/>
  <c r="AZ1058" i="1" s="1"/>
  <c r="AI1064" i="1"/>
  <c r="AN1064" i="1"/>
  <c r="U1064" i="1"/>
  <c r="X1064" i="1" s="1"/>
  <c r="Z1064" i="1" s="1"/>
  <c r="AW1058" i="1" l="1"/>
  <c r="AK1059" i="1"/>
  <c r="AE1060" i="1"/>
  <c r="V1061" i="1"/>
  <c r="AH1061" i="1"/>
  <c r="AO1061" i="1" s="1"/>
  <c r="AQ1061" i="1" s="1"/>
  <c r="CC1060" i="1"/>
  <c r="AO1060" i="1"/>
  <c r="AQ1060" i="1" s="1"/>
  <c r="AG1059" i="1"/>
  <c r="AX1059" i="1" s="1"/>
  <c r="AY1059" i="1"/>
  <c r="AZ1059" i="1" s="1"/>
  <c r="AN1065" i="1"/>
  <c r="U1065" i="1"/>
  <c r="X1065" i="1" s="1"/>
  <c r="Z1065" i="1" s="1"/>
  <c r="AI1065" i="1"/>
  <c r="AJ1061" i="1" l="1"/>
  <c r="CC1061" i="1" s="1"/>
  <c r="V1062" i="1"/>
  <c r="AE1061" i="1"/>
  <c r="AH1062" i="1"/>
  <c r="AO1062" i="1" s="1"/>
  <c r="AQ1062" i="1" s="1"/>
  <c r="AW1059" i="1"/>
  <c r="AK1060" i="1"/>
  <c r="AY1060" i="1"/>
  <c r="AZ1060" i="1" s="1"/>
  <c r="AG1060" i="1"/>
  <c r="AX1060" i="1" s="1"/>
  <c r="AI1066" i="1"/>
  <c r="U1066" i="1"/>
  <c r="X1066" i="1" s="1"/>
  <c r="Z1066" i="1" s="1"/>
  <c r="AN1066" i="1"/>
  <c r="AJ1062" i="1" l="1"/>
  <c r="CC1062" i="1" s="1"/>
  <c r="AK1061" i="1"/>
  <c r="AW1060" i="1"/>
  <c r="V1063" i="1"/>
  <c r="AE1062" i="1"/>
  <c r="AH1063" i="1"/>
  <c r="AO1063" i="1" s="1"/>
  <c r="AQ1063" i="1" s="1"/>
  <c r="AY1061" i="1"/>
  <c r="AZ1061" i="1" s="1"/>
  <c r="AG1061" i="1"/>
  <c r="AX1061" i="1" s="1"/>
  <c r="AN1067" i="1"/>
  <c r="AI1067" i="1"/>
  <c r="U1067" i="1"/>
  <c r="X1067" i="1" s="1"/>
  <c r="Z1067" i="1" s="1"/>
  <c r="AJ1063" i="1" l="1"/>
  <c r="V1064" i="1"/>
  <c r="AE1063" i="1"/>
  <c r="AH1064" i="1"/>
  <c r="AO1064" i="1" s="1"/>
  <c r="AQ1064" i="1" s="1"/>
  <c r="AK1062" i="1"/>
  <c r="AW1061" i="1"/>
  <c r="AY1062" i="1"/>
  <c r="AZ1062" i="1" s="1"/>
  <c r="AG1062" i="1"/>
  <c r="AX1062" i="1" s="1"/>
  <c r="CC1063" i="1"/>
  <c r="AI1068" i="1"/>
  <c r="AN1068" i="1"/>
  <c r="U1068" i="1"/>
  <c r="X1068" i="1" s="1"/>
  <c r="Z1068" i="1" s="1"/>
  <c r="AJ1064" i="1" l="1"/>
  <c r="AW1063" i="1" s="1"/>
  <c r="V1065" i="1"/>
  <c r="AE1064" i="1"/>
  <c r="AH1065" i="1"/>
  <c r="AO1065" i="1" s="1"/>
  <c r="AQ1065" i="1" s="1"/>
  <c r="AW1062" i="1"/>
  <c r="AK1063" i="1"/>
  <c r="AY1063" i="1"/>
  <c r="AZ1063" i="1" s="1"/>
  <c r="AG1063" i="1"/>
  <c r="AX1063" i="1" s="1"/>
  <c r="AI1069" i="1"/>
  <c r="AN1069" i="1"/>
  <c r="U1069" i="1"/>
  <c r="X1069" i="1" s="1"/>
  <c r="Z1069" i="1" s="1"/>
  <c r="AJ1065" i="1" l="1"/>
  <c r="V1066" i="1"/>
  <c r="AK1064" i="1"/>
  <c r="CC1064" i="1"/>
  <c r="AE1065" i="1"/>
  <c r="AH1066" i="1"/>
  <c r="AJ1066" i="1" s="1"/>
  <c r="AG1064" i="1"/>
  <c r="AX1064" i="1" s="1"/>
  <c r="AY1064" i="1"/>
  <c r="AZ1064" i="1" s="1"/>
  <c r="AN1070" i="1"/>
  <c r="AI1070" i="1"/>
  <c r="U1070" i="1"/>
  <c r="X1070" i="1" s="1"/>
  <c r="Z1070" i="1" s="1"/>
  <c r="CC1066" i="1" l="1"/>
  <c r="AW1064" i="1"/>
  <c r="CC1065" i="1"/>
  <c r="AK1065" i="1"/>
  <c r="AO1066" i="1"/>
  <c r="AQ1066" i="1" s="1"/>
  <c r="AE1066" i="1"/>
  <c r="V1067" i="1"/>
  <c r="AH1067" i="1"/>
  <c r="AJ1067" i="1" s="1"/>
  <c r="AG1065" i="1"/>
  <c r="AX1065" i="1" s="1"/>
  <c r="AY1065" i="1"/>
  <c r="AZ1065" i="1" s="1"/>
  <c r="U1071" i="1"/>
  <c r="X1071" i="1" s="1"/>
  <c r="Z1071" i="1" s="1"/>
  <c r="AN1071" i="1"/>
  <c r="AI1071" i="1"/>
  <c r="AK1066" i="1" l="1"/>
  <c r="AW1065" i="1"/>
  <c r="AE1067" i="1"/>
  <c r="V1068" i="1"/>
  <c r="AH1068" i="1"/>
  <c r="AJ1068" i="1" s="1"/>
  <c r="AO1067" i="1"/>
  <c r="AQ1067" i="1" s="1"/>
  <c r="CC1067" i="1"/>
  <c r="AY1066" i="1"/>
  <c r="AZ1066" i="1" s="1"/>
  <c r="AG1066" i="1"/>
  <c r="AX1066" i="1" s="1"/>
  <c r="U1072" i="1"/>
  <c r="X1072" i="1" s="1"/>
  <c r="Z1072" i="1" s="1"/>
  <c r="AI1072" i="1"/>
  <c r="AN1072" i="1"/>
  <c r="V1069" i="1" l="1"/>
  <c r="AE1068" i="1"/>
  <c r="AH1069" i="1"/>
  <c r="AJ1069" i="1" s="1"/>
  <c r="AW1066" i="1"/>
  <c r="AK1067" i="1"/>
  <c r="CC1068" i="1"/>
  <c r="AO1068" i="1"/>
  <c r="AQ1068" i="1" s="1"/>
  <c r="AY1067" i="1"/>
  <c r="AZ1067" i="1" s="1"/>
  <c r="AG1067" i="1"/>
  <c r="AX1067" i="1" s="1"/>
  <c r="AI1073" i="1"/>
  <c r="U1073" i="1"/>
  <c r="X1073" i="1" s="1"/>
  <c r="Z1073" i="1" s="1"/>
  <c r="AN1073" i="1"/>
  <c r="AE1069" i="1" l="1"/>
  <c r="V1070" i="1"/>
  <c r="AH1070" i="1"/>
  <c r="AO1070" i="1" s="1"/>
  <c r="AQ1070" i="1" s="1"/>
  <c r="AK1068" i="1"/>
  <c r="AW1067" i="1"/>
  <c r="AO1069" i="1"/>
  <c r="AQ1069" i="1" s="1"/>
  <c r="CC1069" i="1"/>
  <c r="AY1068" i="1"/>
  <c r="AZ1068" i="1" s="1"/>
  <c r="AG1068" i="1"/>
  <c r="AX1068" i="1" s="1"/>
  <c r="U1074" i="1"/>
  <c r="X1074" i="1" s="1"/>
  <c r="Z1074" i="1" s="1"/>
  <c r="AI1074" i="1"/>
  <c r="AN1074" i="1"/>
  <c r="AJ1070" i="1" l="1"/>
  <c r="V1071" i="1"/>
  <c r="AE1070" i="1"/>
  <c r="AH1071" i="1"/>
  <c r="AJ1071" i="1" s="1"/>
  <c r="AK1069" i="1"/>
  <c r="AW1068" i="1"/>
  <c r="AG1069" i="1"/>
  <c r="AX1069" i="1" s="1"/>
  <c r="AY1069" i="1"/>
  <c r="AZ1069" i="1" s="1"/>
  <c r="CC1070" i="1"/>
  <c r="AN1075" i="1"/>
  <c r="U1075" i="1"/>
  <c r="X1075" i="1" s="1"/>
  <c r="Z1075" i="1" s="1"/>
  <c r="AI1075" i="1"/>
  <c r="V1072" i="1" l="1"/>
  <c r="AW1069" i="1"/>
  <c r="AK1070" i="1"/>
  <c r="AE1071" i="1"/>
  <c r="AH1072" i="1"/>
  <c r="AJ1072" i="1" s="1"/>
  <c r="AO1071" i="1"/>
  <c r="AQ1071" i="1" s="1"/>
  <c r="CC1071" i="1"/>
  <c r="AY1070" i="1"/>
  <c r="AZ1070" i="1" s="1"/>
  <c r="AG1070" i="1"/>
  <c r="AX1070" i="1" s="1"/>
  <c r="U1076" i="1"/>
  <c r="X1076" i="1" s="1"/>
  <c r="Z1076" i="1" s="1"/>
  <c r="AN1076" i="1"/>
  <c r="AI1076" i="1"/>
  <c r="V1073" i="1" l="1"/>
  <c r="AE1072" i="1"/>
  <c r="AH1073" i="1"/>
  <c r="AJ1073" i="1" s="1"/>
  <c r="AW1070" i="1"/>
  <c r="AK1071" i="1"/>
  <c r="AO1072" i="1"/>
  <c r="AQ1072" i="1" s="1"/>
  <c r="CC1072" i="1"/>
  <c r="AY1071" i="1"/>
  <c r="AZ1071" i="1" s="1"/>
  <c r="AG1071" i="1"/>
  <c r="AX1071" i="1" s="1"/>
  <c r="AI1077" i="1"/>
  <c r="AN1077" i="1"/>
  <c r="U1077" i="1"/>
  <c r="X1077" i="1" s="1"/>
  <c r="Z1077" i="1" s="1"/>
  <c r="CC1073" i="1" l="1"/>
  <c r="AO1073" i="1"/>
  <c r="AQ1073" i="1" s="1"/>
  <c r="AK1073" i="1"/>
  <c r="AW1072" i="1"/>
  <c r="AE1073" i="1"/>
  <c r="V1074" i="1"/>
  <c r="AH1074" i="1"/>
  <c r="AO1074" i="1" s="1"/>
  <c r="AQ1074" i="1" s="1"/>
  <c r="AW1071" i="1"/>
  <c r="AK1072" i="1"/>
  <c r="AG1072" i="1"/>
  <c r="AX1072" i="1" s="1"/>
  <c r="AY1072" i="1"/>
  <c r="AZ1072" i="1" s="1"/>
  <c r="U1078" i="1"/>
  <c r="X1078" i="1" s="1"/>
  <c r="Z1078" i="1" s="1"/>
  <c r="AI1078" i="1"/>
  <c r="AN1078" i="1"/>
  <c r="AJ1074" i="1" l="1"/>
  <c r="AE1074" i="1"/>
  <c r="V1075" i="1"/>
  <c r="AH1075" i="1"/>
  <c r="AJ1075" i="1" s="1"/>
  <c r="AY1073" i="1"/>
  <c r="AZ1073" i="1" s="1"/>
  <c r="AG1073" i="1"/>
  <c r="AX1073" i="1" s="1"/>
  <c r="AI1079" i="1"/>
  <c r="AN1079" i="1"/>
  <c r="U1079" i="1"/>
  <c r="X1079" i="1" s="1"/>
  <c r="Z1079" i="1" s="1"/>
  <c r="AW1073" i="1" l="1"/>
  <c r="CC1074" i="1"/>
  <c r="AK1074" i="1"/>
  <c r="AE1075" i="1"/>
  <c r="V1076" i="1"/>
  <c r="AH1076" i="1"/>
  <c r="AO1076" i="1" s="1"/>
  <c r="AQ1076" i="1" s="1"/>
  <c r="AO1075" i="1"/>
  <c r="AQ1075" i="1" s="1"/>
  <c r="CC1075" i="1"/>
  <c r="AY1074" i="1"/>
  <c r="AZ1074" i="1" s="1"/>
  <c r="AG1074" i="1"/>
  <c r="AX1074" i="1" s="1"/>
  <c r="AN1080" i="1"/>
  <c r="AI1080" i="1"/>
  <c r="U1080" i="1"/>
  <c r="X1080" i="1" s="1"/>
  <c r="Z1080" i="1" s="1"/>
  <c r="AJ1076" i="1" l="1"/>
  <c r="AK1075" i="1"/>
  <c r="AW1074" i="1"/>
  <c r="V1077" i="1"/>
  <c r="AE1076" i="1"/>
  <c r="AH1077" i="1"/>
  <c r="AJ1077" i="1" s="1"/>
  <c r="AG1075" i="1"/>
  <c r="AX1075" i="1" s="1"/>
  <c r="AY1075" i="1"/>
  <c r="AZ1075" i="1" s="1"/>
  <c r="U1081" i="1"/>
  <c r="X1081" i="1" s="1"/>
  <c r="Z1081" i="1" s="1"/>
  <c r="AN1081" i="1"/>
  <c r="AI1081" i="1"/>
  <c r="AK1076" i="1" l="1"/>
  <c r="CC1076" i="1"/>
  <c r="AW1075" i="1"/>
  <c r="AE1077" i="1"/>
  <c r="V1078" i="1"/>
  <c r="AH1078" i="1"/>
  <c r="AO1078" i="1" s="1"/>
  <c r="AQ1078" i="1" s="1"/>
  <c r="CC1077" i="1"/>
  <c r="AO1077" i="1"/>
  <c r="AQ1077" i="1" s="1"/>
  <c r="AY1076" i="1"/>
  <c r="AZ1076" i="1" s="1"/>
  <c r="AG1076" i="1"/>
  <c r="AX1076" i="1" s="1"/>
  <c r="AN1082" i="1"/>
  <c r="U1082" i="1"/>
  <c r="X1082" i="1" s="1"/>
  <c r="Z1082" i="1" s="1"/>
  <c r="AI1082" i="1"/>
  <c r="AJ1078" i="1" l="1"/>
  <c r="CC1078" i="1" s="1"/>
  <c r="V1079" i="1"/>
  <c r="AE1078" i="1"/>
  <c r="AH1079" i="1"/>
  <c r="AJ1079" i="1" s="1"/>
  <c r="AK1077" i="1"/>
  <c r="AW1076" i="1"/>
  <c r="AG1077" i="1"/>
  <c r="AX1077" i="1" s="1"/>
  <c r="AY1077" i="1"/>
  <c r="AZ1077" i="1" s="1"/>
  <c r="AN1083" i="1"/>
  <c r="AI1083" i="1"/>
  <c r="U1083" i="1"/>
  <c r="X1083" i="1" s="1"/>
  <c r="Z1083" i="1" s="1"/>
  <c r="AK1078" i="1" l="1"/>
  <c r="AW1077" i="1"/>
  <c r="V1080" i="1"/>
  <c r="AE1079" i="1"/>
  <c r="AH1080" i="1"/>
  <c r="AO1080" i="1" s="1"/>
  <c r="AQ1080" i="1" s="1"/>
  <c r="AO1079" i="1"/>
  <c r="AQ1079" i="1" s="1"/>
  <c r="CC1079" i="1"/>
  <c r="AY1078" i="1"/>
  <c r="AZ1078" i="1" s="1"/>
  <c r="AG1078" i="1"/>
  <c r="AX1078" i="1" s="1"/>
  <c r="AN1084" i="1"/>
  <c r="AI1084" i="1"/>
  <c r="U1084" i="1"/>
  <c r="X1084" i="1" s="1"/>
  <c r="Z1084" i="1" s="1"/>
  <c r="AJ1080" i="1" l="1"/>
  <c r="AK1080" i="1" s="1"/>
  <c r="AE1080" i="1"/>
  <c r="V1081" i="1"/>
  <c r="AH1081" i="1"/>
  <c r="AO1081" i="1" s="1"/>
  <c r="AQ1081" i="1" s="1"/>
  <c r="AK1079" i="1"/>
  <c r="AW1078" i="1"/>
  <c r="AY1079" i="1"/>
  <c r="AZ1079" i="1" s="1"/>
  <c r="AG1079" i="1"/>
  <c r="AX1079" i="1" s="1"/>
  <c r="AI1085" i="1"/>
  <c r="U1085" i="1"/>
  <c r="X1085" i="1" s="1"/>
  <c r="Z1085" i="1" s="1"/>
  <c r="AN1085" i="1"/>
  <c r="AJ1081" i="1" l="1"/>
  <c r="CC1081" i="1" s="1"/>
  <c r="AW1079" i="1"/>
  <c r="CC1080" i="1"/>
  <c r="AE1081" i="1"/>
  <c r="V1082" i="1"/>
  <c r="AH1082" i="1"/>
  <c r="AJ1082" i="1" s="1"/>
  <c r="AG1080" i="1"/>
  <c r="AX1080" i="1" s="1"/>
  <c r="AY1080" i="1"/>
  <c r="AZ1080" i="1" s="1"/>
  <c r="AN1086" i="1"/>
  <c r="AI1086" i="1"/>
  <c r="U1086" i="1"/>
  <c r="X1086" i="1" s="1"/>
  <c r="Z1086" i="1" s="1"/>
  <c r="CC1082" i="1" l="1"/>
  <c r="AW1080" i="1"/>
  <c r="AK1081" i="1"/>
  <c r="AO1082" i="1"/>
  <c r="AQ1082" i="1" s="1"/>
  <c r="AE1082" i="1"/>
  <c r="V1083" i="1"/>
  <c r="AH1083" i="1"/>
  <c r="AJ1083" i="1" s="1"/>
  <c r="AG1081" i="1"/>
  <c r="AX1081" i="1" s="1"/>
  <c r="AY1081" i="1"/>
  <c r="AZ1081" i="1" s="1"/>
  <c r="U1087" i="1"/>
  <c r="X1087" i="1" s="1"/>
  <c r="Z1087" i="1" s="1"/>
  <c r="AI1087" i="1"/>
  <c r="AN1087" i="1"/>
  <c r="AW1081" i="1" l="1"/>
  <c r="AK1082" i="1"/>
  <c r="V1084" i="1"/>
  <c r="AE1083" i="1"/>
  <c r="AH1084" i="1"/>
  <c r="AJ1084" i="1" s="1"/>
  <c r="CC1083" i="1"/>
  <c r="AO1083" i="1"/>
  <c r="AQ1083" i="1" s="1"/>
  <c r="AG1082" i="1"/>
  <c r="AX1082" i="1" s="1"/>
  <c r="AY1082" i="1"/>
  <c r="AZ1082" i="1" s="1"/>
  <c r="AI1088" i="1"/>
  <c r="U1088" i="1"/>
  <c r="X1088" i="1" s="1"/>
  <c r="Z1088" i="1" s="1"/>
  <c r="AN1088" i="1"/>
  <c r="V1085" i="1" l="1"/>
  <c r="AE1084" i="1"/>
  <c r="AH1085" i="1"/>
  <c r="AO1085" i="1" s="1"/>
  <c r="AQ1085" i="1" s="1"/>
  <c r="AW1082" i="1"/>
  <c r="AK1083" i="1"/>
  <c r="AO1084" i="1"/>
  <c r="AQ1084" i="1" s="1"/>
  <c r="CC1084" i="1"/>
  <c r="AG1083" i="1"/>
  <c r="AX1083" i="1" s="1"/>
  <c r="AY1083" i="1"/>
  <c r="AZ1083" i="1" s="1"/>
  <c r="AN1089" i="1"/>
  <c r="U1089" i="1"/>
  <c r="X1089" i="1" s="1"/>
  <c r="Z1089" i="1" s="1"/>
  <c r="AI1089" i="1"/>
  <c r="AJ1085" i="1" l="1"/>
  <c r="AE1085" i="1"/>
  <c r="AH1086" i="1"/>
  <c r="AO1086" i="1" s="1"/>
  <c r="AQ1086" i="1" s="1"/>
  <c r="V1086" i="1"/>
  <c r="AK1084" i="1"/>
  <c r="AW1083" i="1"/>
  <c r="AY1084" i="1"/>
  <c r="AZ1084" i="1" s="1"/>
  <c r="AG1084" i="1"/>
  <c r="AX1084" i="1" s="1"/>
  <c r="AN1090" i="1"/>
  <c r="U1090" i="1"/>
  <c r="X1090" i="1" s="1"/>
  <c r="Z1090" i="1" s="1"/>
  <c r="AI1090" i="1"/>
  <c r="AJ1086" i="1" l="1"/>
  <c r="CC1086" i="1" s="1"/>
  <c r="AW1084" i="1"/>
  <c r="CC1085" i="1"/>
  <c r="AK1085" i="1"/>
  <c r="V1087" i="1"/>
  <c r="AE1086" i="1"/>
  <c r="AH1087" i="1"/>
  <c r="AJ1087" i="1" s="1"/>
  <c r="AG1085" i="1"/>
  <c r="AX1085" i="1" s="1"/>
  <c r="AY1085" i="1"/>
  <c r="AZ1085" i="1" s="1"/>
  <c r="U1091" i="1"/>
  <c r="X1091" i="1" s="1"/>
  <c r="Z1091" i="1" s="1"/>
  <c r="AI1091" i="1"/>
  <c r="AN1091" i="1"/>
  <c r="V1088" i="1" l="1"/>
  <c r="AE1087" i="1"/>
  <c r="AH1088" i="1"/>
  <c r="AO1088" i="1" s="1"/>
  <c r="AQ1088" i="1" s="1"/>
  <c r="AO1087" i="1"/>
  <c r="AQ1087" i="1" s="1"/>
  <c r="CC1087" i="1"/>
  <c r="AW1085" i="1"/>
  <c r="AK1086" i="1"/>
  <c r="AY1086" i="1"/>
  <c r="AZ1086" i="1" s="1"/>
  <c r="AG1086" i="1"/>
  <c r="AX1086" i="1" s="1"/>
  <c r="AI1092" i="1"/>
  <c r="U1092" i="1"/>
  <c r="X1092" i="1" s="1"/>
  <c r="Z1092" i="1" s="1"/>
  <c r="AN1092" i="1"/>
  <c r="AJ1088" i="1" l="1"/>
  <c r="CC1088" i="1" s="1"/>
  <c r="V1089" i="1"/>
  <c r="AE1088" i="1"/>
  <c r="AH1089" i="1"/>
  <c r="AO1089" i="1" s="1"/>
  <c r="AQ1089" i="1" s="1"/>
  <c r="AK1087" i="1"/>
  <c r="AW1086" i="1"/>
  <c r="AG1087" i="1"/>
  <c r="AX1087" i="1" s="1"/>
  <c r="AY1087" i="1"/>
  <c r="AZ1087" i="1" s="1"/>
  <c r="U1093" i="1"/>
  <c r="X1093" i="1" s="1"/>
  <c r="Z1093" i="1" s="1"/>
  <c r="AN1093" i="1"/>
  <c r="AI1093" i="1"/>
  <c r="AJ1089" i="1" l="1"/>
  <c r="AW1087" i="1"/>
  <c r="AK1088" i="1"/>
  <c r="V1090" i="1"/>
  <c r="AE1089" i="1"/>
  <c r="AH1090" i="1"/>
  <c r="AO1090" i="1" s="1"/>
  <c r="AQ1090" i="1" s="1"/>
  <c r="AG1088" i="1"/>
  <c r="AX1088" i="1" s="1"/>
  <c r="AY1088" i="1"/>
  <c r="AZ1088" i="1" s="1"/>
  <c r="AW1088" i="1"/>
  <c r="U1094" i="1"/>
  <c r="X1094" i="1" s="1"/>
  <c r="Z1094" i="1" s="1"/>
  <c r="AN1094" i="1"/>
  <c r="AI1094" i="1"/>
  <c r="AJ1090" i="1" l="1"/>
  <c r="V1091" i="1"/>
  <c r="AK1089" i="1"/>
  <c r="CC1089" i="1"/>
  <c r="AE1090" i="1"/>
  <c r="AH1091" i="1"/>
  <c r="AO1091" i="1" s="1"/>
  <c r="AQ1091" i="1" s="1"/>
  <c r="AW1089" i="1"/>
  <c r="AG1089" i="1"/>
  <c r="AX1089" i="1" s="1"/>
  <c r="AY1089" i="1"/>
  <c r="AZ1089" i="1" s="1"/>
  <c r="U1095" i="1"/>
  <c r="X1095" i="1" s="1"/>
  <c r="Z1095" i="1" s="1"/>
  <c r="AN1095" i="1"/>
  <c r="AI1095" i="1"/>
  <c r="AJ1091" i="1" l="1"/>
  <c r="AK1090" i="1"/>
  <c r="CC1090" i="1"/>
  <c r="AE1091" i="1"/>
  <c r="V1092" i="1"/>
  <c r="AH1092" i="1"/>
  <c r="AO1092" i="1" s="1"/>
  <c r="AQ1092" i="1" s="1"/>
  <c r="AY1090" i="1"/>
  <c r="AZ1090" i="1" s="1"/>
  <c r="AG1090" i="1"/>
  <c r="AX1090" i="1" s="1"/>
  <c r="AI1096" i="1"/>
  <c r="AN1096" i="1"/>
  <c r="U1096" i="1"/>
  <c r="X1096" i="1" s="1"/>
  <c r="Z1096" i="1" s="1"/>
  <c r="AJ1092" i="1" l="1"/>
  <c r="AW1090" i="1"/>
  <c r="CC1091" i="1"/>
  <c r="AK1091" i="1"/>
  <c r="AE1092" i="1"/>
  <c r="V1093" i="1"/>
  <c r="AH1093" i="1"/>
  <c r="AJ1093" i="1" s="1"/>
  <c r="AY1091" i="1"/>
  <c r="AZ1091" i="1" s="1"/>
  <c r="AG1091" i="1"/>
  <c r="AX1091" i="1" s="1"/>
  <c r="AI1097" i="1"/>
  <c r="U1097" i="1"/>
  <c r="X1097" i="1" s="1"/>
  <c r="Z1097" i="1" s="1"/>
  <c r="AN1097" i="1"/>
  <c r="AK1092" i="1" l="1"/>
  <c r="CC1092" i="1"/>
  <c r="AW1091" i="1"/>
  <c r="V1094" i="1"/>
  <c r="AE1093" i="1"/>
  <c r="AH1094" i="1"/>
  <c r="AO1094" i="1" s="1"/>
  <c r="AQ1094" i="1" s="1"/>
  <c r="AO1093" i="1"/>
  <c r="AQ1093" i="1" s="1"/>
  <c r="CC1093" i="1"/>
  <c r="AY1092" i="1"/>
  <c r="AZ1092" i="1" s="1"/>
  <c r="AG1092" i="1"/>
  <c r="AX1092" i="1" s="1"/>
  <c r="AN1098" i="1"/>
  <c r="U1098" i="1"/>
  <c r="X1098" i="1" s="1"/>
  <c r="Z1098" i="1" s="1"/>
  <c r="AI1098" i="1"/>
  <c r="AJ1094" i="1" l="1"/>
  <c r="AE1094" i="1"/>
  <c r="V1095" i="1"/>
  <c r="AH1095" i="1"/>
  <c r="AO1095" i="1" s="1"/>
  <c r="AQ1095" i="1" s="1"/>
  <c r="AK1093" i="1"/>
  <c r="AW1092" i="1"/>
  <c r="AY1093" i="1"/>
  <c r="AZ1093" i="1" s="1"/>
  <c r="AG1093" i="1"/>
  <c r="AX1093" i="1" s="1"/>
  <c r="CC1094" i="1"/>
  <c r="U1099" i="1"/>
  <c r="X1099" i="1" s="1"/>
  <c r="Z1099" i="1" s="1"/>
  <c r="AN1099" i="1"/>
  <c r="AI1099" i="1"/>
  <c r="AJ1095" i="1" l="1"/>
  <c r="CC1095" i="1" s="1"/>
  <c r="AE1095" i="1"/>
  <c r="V1096" i="1"/>
  <c r="AH1096" i="1"/>
  <c r="AO1096" i="1" s="1"/>
  <c r="AQ1096" i="1" s="1"/>
  <c r="AW1093" i="1"/>
  <c r="AK1094" i="1"/>
  <c r="AY1094" i="1"/>
  <c r="AZ1094" i="1" s="1"/>
  <c r="AG1094" i="1"/>
  <c r="AX1094" i="1" s="1"/>
  <c r="AN1100" i="1"/>
  <c r="U1100" i="1"/>
  <c r="X1100" i="1" s="1"/>
  <c r="Z1100" i="1" s="1"/>
  <c r="AI1100" i="1"/>
  <c r="AJ1096" i="1" l="1"/>
  <c r="CC1096" i="1" s="1"/>
  <c r="AK1095" i="1"/>
  <c r="AW1094" i="1"/>
  <c r="AE1096" i="1"/>
  <c r="V1097" i="1"/>
  <c r="AH1097" i="1"/>
  <c r="AJ1097" i="1" s="1"/>
  <c r="AY1095" i="1"/>
  <c r="AZ1095" i="1" s="1"/>
  <c r="AG1095" i="1"/>
  <c r="AX1095" i="1" s="1"/>
  <c r="AI1101" i="1"/>
  <c r="U1101" i="1"/>
  <c r="X1101" i="1" s="1"/>
  <c r="Z1101" i="1" s="1"/>
  <c r="AN1101" i="1"/>
  <c r="AW1095" i="1" l="1"/>
  <c r="AK1096" i="1"/>
  <c r="AE1097" i="1"/>
  <c r="V1098" i="1"/>
  <c r="AH1098" i="1"/>
  <c r="AJ1098" i="1" s="1"/>
  <c r="AO1097" i="1"/>
  <c r="AQ1097" i="1" s="1"/>
  <c r="CC1097" i="1"/>
  <c r="AG1096" i="1"/>
  <c r="AX1096" i="1" s="1"/>
  <c r="AY1096" i="1"/>
  <c r="AZ1096" i="1" s="1"/>
  <c r="AN1102" i="1"/>
  <c r="U1102" i="1"/>
  <c r="X1102" i="1" s="1"/>
  <c r="Z1102" i="1" s="1"/>
  <c r="AI1102" i="1"/>
  <c r="AE1098" i="1" l="1"/>
  <c r="V1099" i="1"/>
  <c r="AH1099" i="1"/>
  <c r="AJ1099" i="1" s="1"/>
  <c r="AW1096" i="1"/>
  <c r="AK1097" i="1"/>
  <c r="AO1098" i="1"/>
  <c r="AQ1098" i="1" s="1"/>
  <c r="CC1098" i="1"/>
  <c r="AY1097" i="1"/>
  <c r="AZ1097" i="1" s="1"/>
  <c r="AG1097" i="1"/>
  <c r="AX1097" i="1" s="1"/>
  <c r="AI1103" i="1"/>
  <c r="AN1103" i="1"/>
  <c r="U1103" i="1"/>
  <c r="X1103" i="1" s="1"/>
  <c r="Z1103" i="1" s="1"/>
  <c r="V1100" i="1" l="1"/>
  <c r="AE1099" i="1"/>
  <c r="AH1100" i="1"/>
  <c r="AJ1100" i="1" s="1"/>
  <c r="AW1097" i="1"/>
  <c r="AK1098" i="1"/>
  <c r="AO1099" i="1"/>
  <c r="AQ1099" i="1" s="1"/>
  <c r="CC1099" i="1"/>
  <c r="AY1098" i="1"/>
  <c r="AZ1098" i="1" s="1"/>
  <c r="AG1098" i="1"/>
  <c r="AX1098" i="1" s="1"/>
  <c r="U1104" i="1"/>
  <c r="X1104" i="1" s="1"/>
  <c r="Z1104" i="1" s="1"/>
  <c r="AN1104" i="1"/>
  <c r="AI1104" i="1"/>
  <c r="CC1100" i="1" l="1"/>
  <c r="AW1098" i="1"/>
  <c r="AK1099" i="1"/>
  <c r="V1101" i="1"/>
  <c r="AE1100" i="1"/>
  <c r="AH1101" i="1"/>
  <c r="AO1101" i="1" s="1"/>
  <c r="AQ1101" i="1" s="1"/>
  <c r="AK1100" i="1"/>
  <c r="AW1099" i="1"/>
  <c r="AY1099" i="1"/>
  <c r="AZ1099" i="1" s="1"/>
  <c r="AG1099" i="1"/>
  <c r="AX1099" i="1" s="1"/>
  <c r="AO1100" i="1"/>
  <c r="AQ1100" i="1" s="1"/>
  <c r="AI1105" i="1"/>
  <c r="U1105" i="1"/>
  <c r="X1105" i="1" s="1"/>
  <c r="Z1105" i="1" s="1"/>
  <c r="AN1105" i="1"/>
  <c r="AJ1101" i="1" l="1"/>
  <c r="AE1101" i="1"/>
  <c r="V1102" i="1"/>
  <c r="AH1102" i="1"/>
  <c r="AJ1102" i="1" s="1"/>
  <c r="AG1100" i="1"/>
  <c r="AX1100" i="1" s="1"/>
  <c r="AY1100" i="1"/>
  <c r="AZ1100" i="1" s="1"/>
  <c r="CC1101" i="1"/>
  <c r="U1106" i="1"/>
  <c r="X1106" i="1" s="1"/>
  <c r="Z1106" i="1" s="1"/>
  <c r="AI1106" i="1"/>
  <c r="AN1106" i="1"/>
  <c r="V1103" i="1" l="1"/>
  <c r="AE1102" i="1"/>
  <c r="AH1103" i="1"/>
  <c r="AO1103" i="1" s="1"/>
  <c r="AQ1103" i="1" s="1"/>
  <c r="AK1101" i="1"/>
  <c r="AW1100" i="1"/>
  <c r="AO1102" i="1"/>
  <c r="AQ1102" i="1" s="1"/>
  <c r="CC1102" i="1"/>
  <c r="AY1101" i="1"/>
  <c r="AZ1101" i="1" s="1"/>
  <c r="AG1101" i="1"/>
  <c r="AX1101" i="1" s="1"/>
  <c r="AI1107" i="1"/>
  <c r="AN1107" i="1"/>
  <c r="U1107" i="1"/>
  <c r="X1107" i="1" s="1"/>
  <c r="Z1107" i="1" s="1"/>
  <c r="AJ1103" i="1" l="1"/>
  <c r="AW1101" i="1"/>
  <c r="AK1102" i="1"/>
  <c r="V1104" i="1"/>
  <c r="AE1103" i="1"/>
  <c r="AH1104" i="1"/>
  <c r="AO1104" i="1" s="1"/>
  <c r="AQ1104" i="1" s="1"/>
  <c r="AY1102" i="1"/>
  <c r="AZ1102" i="1" s="1"/>
  <c r="AG1102" i="1"/>
  <c r="AX1102" i="1" s="1"/>
  <c r="CC1103" i="1"/>
  <c r="AI1108" i="1"/>
  <c r="U1108" i="1"/>
  <c r="X1108" i="1" s="1"/>
  <c r="Z1108" i="1" s="1"/>
  <c r="AN1108" i="1"/>
  <c r="AJ1104" i="1" l="1"/>
  <c r="AW1102" i="1"/>
  <c r="AK1103" i="1"/>
  <c r="V1105" i="1"/>
  <c r="AE1104" i="1"/>
  <c r="AH1105" i="1"/>
  <c r="AJ1105" i="1" s="1"/>
  <c r="AY1103" i="1"/>
  <c r="AZ1103" i="1" s="1"/>
  <c r="AG1103" i="1"/>
  <c r="AX1103" i="1" s="1"/>
  <c r="AN1109" i="1"/>
  <c r="AI1109" i="1"/>
  <c r="U1109" i="1"/>
  <c r="X1109" i="1" s="1"/>
  <c r="Z1109" i="1" s="1"/>
  <c r="AK1104" i="1" l="1"/>
  <c r="CC1104" i="1"/>
  <c r="AW1103" i="1"/>
  <c r="AE1105" i="1"/>
  <c r="V1106" i="1"/>
  <c r="AH1106" i="1"/>
  <c r="AO1106" i="1" s="1"/>
  <c r="AQ1106" i="1" s="1"/>
  <c r="AO1105" i="1"/>
  <c r="AQ1105" i="1" s="1"/>
  <c r="CC1105" i="1"/>
  <c r="AG1104" i="1"/>
  <c r="AX1104" i="1" s="1"/>
  <c r="AY1104" i="1"/>
  <c r="AZ1104" i="1" s="1"/>
  <c r="U1110" i="1"/>
  <c r="X1110" i="1" s="1"/>
  <c r="Z1110" i="1" s="1"/>
  <c r="AN1110" i="1"/>
  <c r="AI1110" i="1"/>
  <c r="AJ1106" i="1" l="1"/>
  <c r="CC1106" i="1" s="1"/>
  <c r="V1107" i="1"/>
  <c r="AW1104" i="1"/>
  <c r="AK1105" i="1"/>
  <c r="AE1106" i="1"/>
  <c r="AH1107" i="1"/>
  <c r="AJ1107" i="1" s="1"/>
  <c r="AY1105" i="1"/>
  <c r="AZ1105" i="1" s="1"/>
  <c r="AG1105" i="1"/>
  <c r="AX1105" i="1" s="1"/>
  <c r="AN1111" i="1"/>
  <c r="AI1111" i="1"/>
  <c r="U1111" i="1"/>
  <c r="X1111" i="1" s="1"/>
  <c r="Z1111" i="1" s="1"/>
  <c r="AK1106" i="1" l="1"/>
  <c r="AW1105" i="1"/>
  <c r="AE1107" i="1"/>
  <c r="V1108" i="1"/>
  <c r="AH1108" i="1"/>
  <c r="AO1108" i="1" s="1"/>
  <c r="AQ1108" i="1" s="1"/>
  <c r="AO1107" i="1"/>
  <c r="AQ1107" i="1" s="1"/>
  <c r="CC1107" i="1"/>
  <c r="AG1106" i="1"/>
  <c r="AX1106" i="1" s="1"/>
  <c r="AY1106" i="1"/>
  <c r="AZ1106" i="1" s="1"/>
  <c r="AN1112" i="1"/>
  <c r="U1112" i="1"/>
  <c r="X1112" i="1" s="1"/>
  <c r="Z1112" i="1" s="1"/>
  <c r="AI1112" i="1"/>
  <c r="AJ1108" i="1" l="1"/>
  <c r="AW1106" i="1"/>
  <c r="AK1107" i="1"/>
  <c r="V1109" i="1"/>
  <c r="AE1108" i="1"/>
  <c r="AH1109" i="1"/>
  <c r="AO1109" i="1" s="1"/>
  <c r="AQ1109" i="1" s="1"/>
  <c r="AY1107" i="1"/>
  <c r="AZ1107" i="1" s="1"/>
  <c r="AG1107" i="1"/>
  <c r="AX1107" i="1" s="1"/>
  <c r="CC1108" i="1"/>
  <c r="U1113" i="1"/>
  <c r="X1113" i="1" s="1"/>
  <c r="Z1113" i="1" s="1"/>
  <c r="AN1113" i="1"/>
  <c r="AI1113" i="1"/>
  <c r="AJ1109" i="1" l="1"/>
  <c r="AK1108" i="1"/>
  <c r="AW1107" i="1"/>
  <c r="AE1109" i="1"/>
  <c r="V1110" i="1"/>
  <c r="AH1110" i="1"/>
  <c r="AJ1110" i="1" s="1"/>
  <c r="AY1108" i="1"/>
  <c r="AZ1108" i="1" s="1"/>
  <c r="AG1108" i="1"/>
  <c r="AX1108" i="1" s="1"/>
  <c r="AI1114" i="1"/>
  <c r="AN1114" i="1"/>
  <c r="U1114" i="1"/>
  <c r="X1114" i="1" s="1"/>
  <c r="Z1114" i="1" s="1"/>
  <c r="AW1108" i="1" l="1"/>
  <c r="CC1109" i="1"/>
  <c r="AK1109" i="1"/>
  <c r="AE1110" i="1"/>
  <c r="V1111" i="1"/>
  <c r="AH1111" i="1"/>
  <c r="AO1111" i="1" s="1"/>
  <c r="AQ1111" i="1" s="1"/>
  <c r="AY1109" i="1"/>
  <c r="AZ1109" i="1" s="1"/>
  <c r="AG1109" i="1"/>
  <c r="AX1109" i="1" s="1"/>
  <c r="AO1110" i="1"/>
  <c r="AQ1110" i="1" s="1"/>
  <c r="AN1115" i="1"/>
  <c r="U1115" i="1"/>
  <c r="X1115" i="1" s="1"/>
  <c r="Z1115" i="1" s="1"/>
  <c r="AI1115" i="1"/>
  <c r="AJ1111" i="1" l="1"/>
  <c r="CC1111" i="1" s="1"/>
  <c r="AW1109" i="1"/>
  <c r="CC1110" i="1"/>
  <c r="AK1110" i="1"/>
  <c r="AE1111" i="1"/>
  <c r="V1112" i="1"/>
  <c r="AH1112" i="1"/>
  <c r="AJ1112" i="1" s="1"/>
  <c r="AY1110" i="1"/>
  <c r="AZ1110" i="1" s="1"/>
  <c r="AG1110" i="1"/>
  <c r="AX1110" i="1" s="1"/>
  <c r="AI1116" i="1"/>
  <c r="AN1116" i="1"/>
  <c r="U1116" i="1"/>
  <c r="X1116" i="1" s="1"/>
  <c r="Z1116" i="1" s="1"/>
  <c r="AK1111" i="1" l="1"/>
  <c r="AW1110" i="1"/>
  <c r="AE1112" i="1"/>
  <c r="V1113" i="1"/>
  <c r="AH1113" i="1"/>
  <c r="AO1113" i="1" s="1"/>
  <c r="AQ1113" i="1" s="1"/>
  <c r="AO1112" i="1"/>
  <c r="AQ1112" i="1" s="1"/>
  <c r="CC1112" i="1"/>
  <c r="AG1111" i="1"/>
  <c r="AX1111" i="1" s="1"/>
  <c r="AY1111" i="1"/>
  <c r="AZ1111" i="1" s="1"/>
  <c r="AN1117" i="1"/>
  <c r="AI1117" i="1"/>
  <c r="U1117" i="1"/>
  <c r="X1117" i="1" s="1"/>
  <c r="Z1117" i="1" s="1"/>
  <c r="AJ1113" i="1" l="1"/>
  <c r="AE1113" i="1"/>
  <c r="V1114" i="1"/>
  <c r="AH1114" i="1"/>
  <c r="AJ1114" i="1" s="1"/>
  <c r="AK1112" i="1"/>
  <c r="AW1111" i="1"/>
  <c r="AY1112" i="1"/>
  <c r="AZ1112" i="1" s="1"/>
  <c r="AG1112" i="1"/>
  <c r="AX1112" i="1" s="1"/>
  <c r="AN1118" i="1"/>
  <c r="AI1118" i="1"/>
  <c r="U1118" i="1"/>
  <c r="X1118" i="1" s="1"/>
  <c r="Z1118" i="1" s="1"/>
  <c r="AW1112" i="1" l="1"/>
  <c r="CC1113" i="1"/>
  <c r="AK1113" i="1"/>
  <c r="AE1114" i="1"/>
  <c r="V1115" i="1"/>
  <c r="AH1115" i="1"/>
  <c r="AO1115" i="1" s="1"/>
  <c r="AQ1115" i="1" s="1"/>
  <c r="AO1114" i="1"/>
  <c r="AQ1114" i="1" s="1"/>
  <c r="CC1114" i="1"/>
  <c r="AY1113" i="1"/>
  <c r="AZ1113" i="1" s="1"/>
  <c r="AG1113" i="1"/>
  <c r="AX1113" i="1" s="1"/>
  <c r="U1119" i="1"/>
  <c r="X1119" i="1" s="1"/>
  <c r="Z1119" i="1" s="1"/>
  <c r="AN1119" i="1"/>
  <c r="AI1119" i="1"/>
  <c r="AJ1115" i="1" l="1"/>
  <c r="V1116" i="1"/>
  <c r="AE1115" i="1"/>
  <c r="AH1116" i="1"/>
  <c r="AJ1116" i="1" s="1"/>
  <c r="AK1114" i="1"/>
  <c r="AW1113" i="1"/>
  <c r="AG1114" i="1"/>
  <c r="AX1114" i="1" s="1"/>
  <c r="AY1114" i="1"/>
  <c r="AZ1114" i="1" s="1"/>
  <c r="CC1115" i="1"/>
  <c r="AN1120" i="1"/>
  <c r="U1120" i="1"/>
  <c r="X1120" i="1" s="1"/>
  <c r="Z1120" i="1" s="1"/>
  <c r="AI1120" i="1"/>
  <c r="V1117" i="1" l="1"/>
  <c r="AE1116" i="1"/>
  <c r="AH1117" i="1"/>
  <c r="AO1117" i="1" s="1"/>
  <c r="AQ1117" i="1" s="1"/>
  <c r="AW1114" i="1"/>
  <c r="AK1115" i="1"/>
  <c r="AO1116" i="1"/>
  <c r="AQ1116" i="1" s="1"/>
  <c r="CC1116" i="1"/>
  <c r="AY1115" i="1"/>
  <c r="AZ1115" i="1" s="1"/>
  <c r="AG1115" i="1"/>
  <c r="AX1115" i="1" s="1"/>
  <c r="AI1121" i="1"/>
  <c r="U1121" i="1"/>
  <c r="X1121" i="1" s="1"/>
  <c r="Z1121" i="1" s="1"/>
  <c r="AN1121" i="1"/>
  <c r="AJ1117" i="1" l="1"/>
  <c r="AE1117" i="1"/>
  <c r="V1118" i="1"/>
  <c r="AH1118" i="1"/>
  <c r="AJ1118" i="1" s="1"/>
  <c r="AK1116" i="1"/>
  <c r="AW1115" i="1"/>
  <c r="AY1116" i="1"/>
  <c r="AZ1116" i="1" s="1"/>
  <c r="AG1116" i="1"/>
  <c r="AX1116" i="1" s="1"/>
  <c r="CC1117" i="1"/>
  <c r="AI1122" i="1"/>
  <c r="AN1122" i="1"/>
  <c r="U1122" i="1"/>
  <c r="X1122" i="1" s="1"/>
  <c r="Z1122" i="1" s="1"/>
  <c r="AW1117" i="1" l="1"/>
  <c r="AO1118" i="1"/>
  <c r="AQ1118" i="1" s="1"/>
  <c r="V1119" i="1"/>
  <c r="AE1118" i="1"/>
  <c r="AH1119" i="1"/>
  <c r="AO1119" i="1" s="1"/>
  <c r="AQ1119" i="1" s="1"/>
  <c r="AW1116" i="1"/>
  <c r="AK1117" i="1"/>
  <c r="AY1117" i="1"/>
  <c r="AZ1117" i="1" s="1"/>
  <c r="AG1117" i="1"/>
  <c r="AX1117" i="1" s="1"/>
  <c r="AN1123" i="1"/>
  <c r="U1123" i="1"/>
  <c r="X1123" i="1" s="1"/>
  <c r="Z1123" i="1" s="1"/>
  <c r="AI1123" i="1"/>
  <c r="AJ1119" i="1" l="1"/>
  <c r="AK1118" i="1"/>
  <c r="CC1118" i="1"/>
  <c r="V1120" i="1"/>
  <c r="AE1119" i="1"/>
  <c r="AH1120" i="1"/>
  <c r="AO1120" i="1" s="1"/>
  <c r="AQ1120" i="1" s="1"/>
  <c r="AY1118" i="1"/>
  <c r="AZ1118" i="1" s="1"/>
  <c r="AG1118" i="1"/>
  <c r="AX1118" i="1" s="1"/>
  <c r="CC1119" i="1"/>
  <c r="AN1124" i="1"/>
  <c r="U1124" i="1"/>
  <c r="X1124" i="1" s="1"/>
  <c r="Z1124" i="1" s="1"/>
  <c r="AI1124" i="1"/>
  <c r="AJ1120" i="1" l="1"/>
  <c r="AE1120" i="1"/>
  <c r="V1121" i="1"/>
  <c r="AH1121" i="1"/>
  <c r="AO1121" i="1" s="1"/>
  <c r="AQ1121" i="1" s="1"/>
  <c r="AK1119" i="1"/>
  <c r="AW1118" i="1"/>
  <c r="AY1119" i="1"/>
  <c r="AZ1119" i="1" s="1"/>
  <c r="AG1119" i="1"/>
  <c r="AX1119" i="1" s="1"/>
  <c r="AI1125" i="1"/>
  <c r="AN1125" i="1"/>
  <c r="U1125" i="1"/>
  <c r="X1125" i="1" s="1"/>
  <c r="Z1125" i="1" s="1"/>
  <c r="AJ1121" i="1" l="1"/>
  <c r="AK1120" i="1"/>
  <c r="CC1120" i="1"/>
  <c r="AW1119" i="1"/>
  <c r="AE1121" i="1"/>
  <c r="V1122" i="1"/>
  <c r="AH1122" i="1"/>
  <c r="AO1122" i="1" s="1"/>
  <c r="AQ1122" i="1" s="1"/>
  <c r="AG1120" i="1"/>
  <c r="AX1120" i="1" s="1"/>
  <c r="AY1120" i="1"/>
  <c r="AZ1120" i="1" s="1"/>
  <c r="AN1126" i="1"/>
  <c r="AI1126" i="1"/>
  <c r="U1126" i="1"/>
  <c r="X1126" i="1" s="1"/>
  <c r="Z1126" i="1" s="1"/>
  <c r="AJ1122" i="1" l="1"/>
  <c r="CC1122" i="1" s="1"/>
  <c r="AK1121" i="1"/>
  <c r="CC1121" i="1"/>
  <c r="AW1120" i="1"/>
  <c r="AE1122" i="1"/>
  <c r="V1123" i="1"/>
  <c r="AH1123" i="1"/>
  <c r="AJ1123" i="1" s="1"/>
  <c r="AY1121" i="1"/>
  <c r="AZ1121" i="1" s="1"/>
  <c r="AG1121" i="1"/>
  <c r="AX1121" i="1" s="1"/>
  <c r="U1127" i="1"/>
  <c r="X1127" i="1" s="1"/>
  <c r="Z1127" i="1" s="1"/>
  <c r="AI1127" i="1"/>
  <c r="AN1127" i="1"/>
  <c r="AW1121" i="1" l="1"/>
  <c r="AK1122" i="1"/>
  <c r="V1124" i="1"/>
  <c r="AE1123" i="1"/>
  <c r="AH1124" i="1"/>
  <c r="AJ1124" i="1" s="1"/>
  <c r="AO1123" i="1"/>
  <c r="AQ1123" i="1" s="1"/>
  <c r="CC1123" i="1"/>
  <c r="AY1122" i="1"/>
  <c r="AZ1122" i="1" s="1"/>
  <c r="AG1122" i="1"/>
  <c r="AX1122" i="1" s="1"/>
  <c r="U1128" i="1"/>
  <c r="X1128" i="1" s="1"/>
  <c r="Z1128" i="1" s="1"/>
  <c r="AI1128" i="1"/>
  <c r="AN1128" i="1"/>
  <c r="AO1124" i="1" l="1"/>
  <c r="AQ1124" i="1" s="1"/>
  <c r="CC1124" i="1"/>
  <c r="AW1122" i="1"/>
  <c r="AK1123" i="1"/>
  <c r="V1125" i="1"/>
  <c r="AE1124" i="1"/>
  <c r="AH1125" i="1"/>
  <c r="AJ1125" i="1" s="1"/>
  <c r="AG1123" i="1"/>
  <c r="AX1123" i="1" s="1"/>
  <c r="AY1123" i="1"/>
  <c r="AZ1123" i="1" s="1"/>
  <c r="AI1129" i="1"/>
  <c r="AN1129" i="1"/>
  <c r="U1129" i="1"/>
  <c r="X1129" i="1" s="1"/>
  <c r="Z1129" i="1" s="1"/>
  <c r="AE1125" i="1" l="1"/>
  <c r="V1126" i="1"/>
  <c r="AH1126" i="1"/>
  <c r="AO1126" i="1" s="1"/>
  <c r="AQ1126" i="1" s="1"/>
  <c r="AO1125" i="1"/>
  <c r="AQ1125" i="1" s="1"/>
  <c r="CC1125" i="1"/>
  <c r="AG1124" i="1"/>
  <c r="AX1124" i="1" s="1"/>
  <c r="AY1124" i="1"/>
  <c r="AZ1124" i="1" s="1"/>
  <c r="AK1124" i="1"/>
  <c r="AW1123" i="1"/>
  <c r="AN1130" i="1"/>
  <c r="AI1130" i="1"/>
  <c r="U1130" i="1"/>
  <c r="X1130" i="1" s="1"/>
  <c r="Z1130" i="1" s="1"/>
  <c r="AJ1126" i="1" l="1"/>
  <c r="CC1126" i="1" s="1"/>
  <c r="AW1124" i="1"/>
  <c r="AK1125" i="1"/>
  <c r="V1127" i="1"/>
  <c r="AE1126" i="1"/>
  <c r="AH1127" i="1"/>
  <c r="AJ1127" i="1" s="1"/>
  <c r="AY1125" i="1"/>
  <c r="AZ1125" i="1" s="1"/>
  <c r="AG1125" i="1"/>
  <c r="AX1125" i="1" s="1"/>
  <c r="AI1131" i="1"/>
  <c r="U1131" i="1"/>
  <c r="X1131" i="1" s="1"/>
  <c r="Z1131" i="1" s="1"/>
  <c r="AN1131" i="1"/>
  <c r="AW1125" i="1" l="1"/>
  <c r="AK1126" i="1"/>
  <c r="AO1127" i="1"/>
  <c r="AQ1127" i="1" s="1"/>
  <c r="CC1127" i="1"/>
  <c r="V1128" i="1"/>
  <c r="AE1127" i="1"/>
  <c r="AH1128" i="1"/>
  <c r="AJ1128" i="1" s="1"/>
  <c r="AY1126" i="1"/>
  <c r="AZ1126" i="1" s="1"/>
  <c r="AG1126" i="1"/>
  <c r="AX1126" i="1" s="1"/>
  <c r="AI1132" i="1"/>
  <c r="U1132" i="1"/>
  <c r="X1132" i="1" s="1"/>
  <c r="Z1132" i="1" s="1"/>
  <c r="AN1132" i="1"/>
  <c r="AE1128" i="1" l="1"/>
  <c r="V1129" i="1"/>
  <c r="AH1129" i="1"/>
  <c r="AO1129" i="1" s="1"/>
  <c r="AQ1129" i="1" s="1"/>
  <c r="AO1128" i="1"/>
  <c r="AQ1128" i="1" s="1"/>
  <c r="CC1128" i="1"/>
  <c r="AY1127" i="1"/>
  <c r="AZ1127" i="1" s="1"/>
  <c r="AG1127" i="1"/>
  <c r="AX1127" i="1" s="1"/>
  <c r="AK1127" i="1"/>
  <c r="AW1126" i="1"/>
  <c r="AN1133" i="1"/>
  <c r="AI1133" i="1"/>
  <c r="U1133" i="1"/>
  <c r="X1133" i="1" s="1"/>
  <c r="Z1133" i="1" s="1"/>
  <c r="AJ1129" i="1" l="1"/>
  <c r="CC1129" i="1" s="1"/>
  <c r="AK1128" i="1"/>
  <c r="AW1127" i="1"/>
  <c r="AE1129" i="1"/>
  <c r="V1130" i="1"/>
  <c r="AH1130" i="1"/>
  <c r="AO1130" i="1" s="1"/>
  <c r="AQ1130" i="1" s="1"/>
  <c r="AG1128" i="1"/>
  <c r="AX1128" i="1" s="1"/>
  <c r="AY1128" i="1"/>
  <c r="AZ1128" i="1" s="1"/>
  <c r="AI1134" i="1"/>
  <c r="U1134" i="1"/>
  <c r="X1134" i="1" s="1"/>
  <c r="Z1134" i="1" s="1"/>
  <c r="AN1134" i="1"/>
  <c r="AJ1130" i="1" l="1"/>
  <c r="AK1129" i="1"/>
  <c r="AW1128" i="1"/>
  <c r="V1131" i="1"/>
  <c r="AE1130" i="1"/>
  <c r="AH1131" i="1"/>
  <c r="AJ1131" i="1" s="1"/>
  <c r="AY1129" i="1"/>
  <c r="AZ1129" i="1" s="1"/>
  <c r="AG1129" i="1"/>
  <c r="AX1129" i="1" s="1"/>
  <c r="U1135" i="1"/>
  <c r="X1135" i="1" s="1"/>
  <c r="Z1135" i="1" s="1"/>
  <c r="AN1135" i="1"/>
  <c r="AI1135" i="1"/>
  <c r="AK1130" i="1" l="1"/>
  <c r="CC1130" i="1"/>
  <c r="AW1129" i="1"/>
  <c r="AE1131" i="1"/>
  <c r="V1132" i="1"/>
  <c r="AH1132" i="1"/>
  <c r="AO1132" i="1" s="1"/>
  <c r="AQ1132" i="1" s="1"/>
  <c r="CC1131" i="1"/>
  <c r="AO1131" i="1"/>
  <c r="AQ1131" i="1" s="1"/>
  <c r="AG1130" i="1"/>
  <c r="AX1130" i="1" s="1"/>
  <c r="AY1130" i="1"/>
  <c r="AZ1130" i="1" s="1"/>
  <c r="AN1136" i="1"/>
  <c r="U1136" i="1"/>
  <c r="X1136" i="1" s="1"/>
  <c r="Z1136" i="1" s="1"/>
  <c r="AI1136" i="1"/>
  <c r="AJ1132" i="1" l="1"/>
  <c r="CC1132" i="1" s="1"/>
  <c r="AE1132" i="1"/>
  <c r="V1133" i="1"/>
  <c r="AH1133" i="1"/>
  <c r="AO1133" i="1" s="1"/>
  <c r="AQ1133" i="1" s="1"/>
  <c r="AK1131" i="1"/>
  <c r="AW1130" i="1"/>
  <c r="AY1131" i="1"/>
  <c r="AZ1131" i="1" s="1"/>
  <c r="AG1131" i="1"/>
  <c r="AX1131" i="1" s="1"/>
  <c r="AI1137" i="1"/>
  <c r="U1137" i="1"/>
  <c r="X1137" i="1" s="1"/>
  <c r="Z1137" i="1" s="1"/>
  <c r="AN1137" i="1"/>
  <c r="AJ1133" i="1" l="1"/>
  <c r="AK1132" i="1"/>
  <c r="AW1131" i="1"/>
  <c r="AE1133" i="1"/>
  <c r="V1134" i="1"/>
  <c r="AH1134" i="1"/>
  <c r="AJ1134" i="1" s="1"/>
  <c r="AY1132" i="1"/>
  <c r="AZ1132" i="1" s="1"/>
  <c r="AG1132" i="1"/>
  <c r="AX1132" i="1" s="1"/>
  <c r="AI1138" i="1"/>
  <c r="AN1138" i="1"/>
  <c r="U1138" i="1"/>
  <c r="X1138" i="1" s="1"/>
  <c r="Z1138" i="1" s="1"/>
  <c r="AW1132" i="1" l="1"/>
  <c r="CC1133" i="1"/>
  <c r="AK1133" i="1"/>
  <c r="AE1134" i="1"/>
  <c r="V1135" i="1"/>
  <c r="AH1135" i="1"/>
  <c r="AJ1135" i="1" s="1"/>
  <c r="AO1134" i="1"/>
  <c r="AQ1134" i="1" s="1"/>
  <c r="CC1134" i="1"/>
  <c r="AG1133" i="1"/>
  <c r="AX1133" i="1" s="1"/>
  <c r="AY1133" i="1"/>
  <c r="AZ1133" i="1" s="1"/>
  <c r="AI1139" i="1"/>
  <c r="U1139" i="1"/>
  <c r="X1139" i="1" s="1"/>
  <c r="Z1139" i="1" s="1"/>
  <c r="AN1139" i="1"/>
  <c r="V1136" i="1" l="1"/>
  <c r="AE1135" i="1"/>
  <c r="AH1136" i="1"/>
  <c r="AJ1136" i="1" s="1"/>
  <c r="AW1133" i="1"/>
  <c r="AK1134" i="1"/>
  <c r="AO1135" i="1"/>
  <c r="AQ1135" i="1" s="1"/>
  <c r="CC1135" i="1"/>
  <c r="AY1134" i="1"/>
  <c r="AZ1134" i="1" s="1"/>
  <c r="AG1134" i="1"/>
  <c r="AX1134" i="1" s="1"/>
  <c r="AN1140" i="1"/>
  <c r="AI1140" i="1"/>
  <c r="U1140" i="1"/>
  <c r="X1140" i="1" s="1"/>
  <c r="Z1140" i="1" s="1"/>
  <c r="CC1136" i="1" l="1"/>
  <c r="AK1136" i="1"/>
  <c r="AW1135" i="1"/>
  <c r="AO1136" i="1"/>
  <c r="AQ1136" i="1" s="1"/>
  <c r="AK1135" i="1"/>
  <c r="AW1134" i="1"/>
  <c r="AE1136" i="1"/>
  <c r="V1137" i="1"/>
  <c r="AH1137" i="1"/>
  <c r="AO1137" i="1" s="1"/>
  <c r="AQ1137" i="1" s="1"/>
  <c r="AY1135" i="1"/>
  <c r="AZ1135" i="1" s="1"/>
  <c r="AG1135" i="1"/>
  <c r="AX1135" i="1" s="1"/>
  <c r="AN1141" i="1"/>
  <c r="U1141" i="1"/>
  <c r="X1141" i="1" s="1"/>
  <c r="Z1141" i="1" s="1"/>
  <c r="AI1141" i="1"/>
  <c r="AJ1137" i="1" l="1"/>
  <c r="V1138" i="1"/>
  <c r="AY1136" i="1"/>
  <c r="AZ1136" i="1" s="1"/>
  <c r="AG1136" i="1"/>
  <c r="AX1136" i="1" s="1"/>
  <c r="AE1137" i="1"/>
  <c r="AH1138" i="1"/>
  <c r="AJ1138" i="1" s="1"/>
  <c r="U1142" i="1"/>
  <c r="X1142" i="1" s="1"/>
  <c r="Z1142" i="1" s="1"/>
  <c r="AN1142" i="1"/>
  <c r="AI1142" i="1"/>
  <c r="AW1136" i="1" l="1"/>
  <c r="CC1137" i="1"/>
  <c r="AK1137" i="1"/>
  <c r="V1139" i="1"/>
  <c r="AE1138" i="1"/>
  <c r="AH1139" i="1"/>
  <c r="AJ1139" i="1" s="1"/>
  <c r="AO1138" i="1"/>
  <c r="AQ1138" i="1" s="1"/>
  <c r="CC1138" i="1"/>
  <c r="AG1137" i="1"/>
  <c r="AX1137" i="1" s="1"/>
  <c r="AY1137" i="1"/>
  <c r="AZ1137" i="1" s="1"/>
  <c r="AI1143" i="1"/>
  <c r="AN1143" i="1"/>
  <c r="U1143" i="1"/>
  <c r="X1143" i="1" s="1"/>
  <c r="Z1143" i="1" s="1"/>
  <c r="V1140" i="1" l="1"/>
  <c r="AE1139" i="1"/>
  <c r="AH1140" i="1"/>
  <c r="AO1140" i="1" s="1"/>
  <c r="AQ1140" i="1" s="1"/>
  <c r="AO1139" i="1"/>
  <c r="AQ1139" i="1" s="1"/>
  <c r="CC1139" i="1"/>
  <c r="AW1137" i="1"/>
  <c r="AK1138" i="1"/>
  <c r="AY1138" i="1"/>
  <c r="AZ1138" i="1" s="1"/>
  <c r="AG1138" i="1"/>
  <c r="AX1138" i="1" s="1"/>
  <c r="U1144" i="1"/>
  <c r="X1144" i="1" s="1"/>
  <c r="Z1144" i="1" s="1"/>
  <c r="AI1144" i="1"/>
  <c r="AN1144" i="1"/>
  <c r="AJ1140" i="1" l="1"/>
  <c r="AE1140" i="1"/>
  <c r="V1141" i="1"/>
  <c r="AH1141" i="1"/>
  <c r="AO1141" i="1" s="1"/>
  <c r="AQ1141" i="1" s="1"/>
  <c r="AK1139" i="1"/>
  <c r="AW1138" i="1"/>
  <c r="AG1139" i="1"/>
  <c r="AX1139" i="1" s="1"/>
  <c r="AY1139" i="1"/>
  <c r="AZ1139" i="1" s="1"/>
  <c r="CC1140" i="1"/>
  <c r="AI1145" i="1"/>
  <c r="U1145" i="1"/>
  <c r="X1145" i="1" s="1"/>
  <c r="Z1145" i="1" s="1"/>
  <c r="AN1145" i="1"/>
  <c r="AJ1141" i="1" l="1"/>
  <c r="V1142" i="1"/>
  <c r="AE1141" i="1"/>
  <c r="AH1142" i="1"/>
  <c r="AO1142" i="1" s="1"/>
  <c r="AQ1142" i="1" s="1"/>
  <c r="AK1140" i="1"/>
  <c r="AW1139" i="1"/>
  <c r="AG1140" i="1"/>
  <c r="AX1140" i="1" s="1"/>
  <c r="AY1140" i="1"/>
  <c r="AZ1140" i="1" s="1"/>
  <c r="CC1141" i="1"/>
  <c r="AN1146" i="1"/>
  <c r="U1146" i="1"/>
  <c r="X1146" i="1" s="1"/>
  <c r="Z1146" i="1" s="1"/>
  <c r="AI1146" i="1"/>
  <c r="AJ1142" i="1" l="1"/>
  <c r="AE1142" i="1"/>
  <c r="V1143" i="1"/>
  <c r="AH1143" i="1"/>
  <c r="AO1143" i="1" s="1"/>
  <c r="AQ1143" i="1" s="1"/>
  <c r="AK1141" i="1"/>
  <c r="AW1140" i="1"/>
  <c r="AG1141" i="1"/>
  <c r="AX1141" i="1" s="1"/>
  <c r="AY1141" i="1"/>
  <c r="AZ1141" i="1" s="1"/>
  <c r="CC1142" i="1"/>
  <c r="U1147" i="1"/>
  <c r="X1147" i="1" s="1"/>
  <c r="Z1147" i="1" s="1"/>
  <c r="AN1147" i="1"/>
  <c r="AI1147" i="1"/>
  <c r="AJ1143" i="1" l="1"/>
  <c r="CC1143" i="1" s="1"/>
  <c r="V1144" i="1"/>
  <c r="AE1143" i="1"/>
  <c r="AH1144" i="1"/>
  <c r="AJ1144" i="1" s="1"/>
  <c r="AW1141" i="1"/>
  <c r="AK1142" i="1"/>
  <c r="AG1142" i="1"/>
  <c r="AX1142" i="1" s="1"/>
  <c r="AY1142" i="1"/>
  <c r="AZ1142" i="1" s="1"/>
  <c r="AI1148" i="1"/>
  <c r="AN1148" i="1"/>
  <c r="U1148" i="1"/>
  <c r="X1148" i="1" s="1"/>
  <c r="Z1148" i="1" s="1"/>
  <c r="CC1144" i="1" l="1"/>
  <c r="V1145" i="1"/>
  <c r="AK1143" i="1"/>
  <c r="AW1142" i="1"/>
  <c r="AO1144" i="1"/>
  <c r="AQ1144" i="1" s="1"/>
  <c r="AE1144" i="1"/>
  <c r="AH1145" i="1"/>
  <c r="AO1145" i="1" s="1"/>
  <c r="AQ1145" i="1" s="1"/>
  <c r="AY1143" i="1"/>
  <c r="AZ1143" i="1" s="1"/>
  <c r="AG1143" i="1"/>
  <c r="AX1143" i="1" s="1"/>
  <c r="AI1149" i="1"/>
  <c r="AN1149" i="1"/>
  <c r="U1149" i="1"/>
  <c r="X1149" i="1" s="1"/>
  <c r="Z1149" i="1" s="1"/>
  <c r="AJ1145" i="1" l="1"/>
  <c r="CC1145" i="1" s="1"/>
  <c r="AW1143" i="1"/>
  <c r="AK1144" i="1"/>
  <c r="V1146" i="1"/>
  <c r="AE1145" i="1"/>
  <c r="AH1146" i="1"/>
  <c r="AO1146" i="1" s="1"/>
  <c r="AQ1146" i="1" s="1"/>
  <c r="AY1144" i="1"/>
  <c r="AZ1144" i="1" s="1"/>
  <c r="AG1144" i="1"/>
  <c r="AX1144" i="1" s="1"/>
  <c r="AI1150" i="1"/>
  <c r="U1150" i="1"/>
  <c r="X1150" i="1" s="1"/>
  <c r="Z1150" i="1" s="1"/>
  <c r="AN1150" i="1"/>
  <c r="AJ1146" i="1" l="1"/>
  <c r="V1147" i="1"/>
  <c r="AE1146" i="1"/>
  <c r="AH1147" i="1"/>
  <c r="AO1147" i="1" s="1"/>
  <c r="AQ1147" i="1" s="1"/>
  <c r="AW1144" i="1"/>
  <c r="AK1145" i="1"/>
  <c r="AG1145" i="1"/>
  <c r="AX1145" i="1" s="1"/>
  <c r="AY1145" i="1"/>
  <c r="AZ1145" i="1" s="1"/>
  <c r="AI1151" i="1"/>
  <c r="AN1151" i="1"/>
  <c r="U1151" i="1"/>
  <c r="X1151" i="1" s="1"/>
  <c r="Z1151" i="1" s="1"/>
  <c r="AJ1147" i="1" l="1"/>
  <c r="CC1147" i="1" s="1"/>
  <c r="AK1146" i="1"/>
  <c r="CC1146" i="1"/>
  <c r="AW1145" i="1"/>
  <c r="AE1147" i="1"/>
  <c r="V1148" i="1"/>
  <c r="AH1148" i="1"/>
  <c r="AO1148" i="1" s="1"/>
  <c r="AQ1148" i="1" s="1"/>
  <c r="AG1146" i="1"/>
  <c r="AX1146" i="1" s="1"/>
  <c r="AY1146" i="1"/>
  <c r="AZ1146" i="1" s="1"/>
  <c r="U1152" i="1"/>
  <c r="X1152" i="1" s="1"/>
  <c r="Z1152" i="1" s="1"/>
  <c r="AN1152" i="1"/>
  <c r="AI1152" i="1"/>
  <c r="AJ1148" i="1" l="1"/>
  <c r="V1149" i="1"/>
  <c r="AE1148" i="1"/>
  <c r="AH1149" i="1"/>
  <c r="AJ1149" i="1" s="1"/>
  <c r="AK1147" i="1"/>
  <c r="AW1146" i="1"/>
  <c r="AG1147" i="1"/>
  <c r="AX1147" i="1" s="1"/>
  <c r="AY1147" i="1"/>
  <c r="AZ1147" i="1" s="1"/>
  <c r="CC1148" i="1"/>
  <c r="AI1153" i="1"/>
  <c r="AN1153" i="1"/>
  <c r="U1153" i="1"/>
  <c r="X1153" i="1" s="1"/>
  <c r="Z1153" i="1" s="1"/>
  <c r="V1150" i="1" l="1"/>
  <c r="AE1149" i="1"/>
  <c r="AH1150" i="1"/>
  <c r="AJ1150" i="1" s="1"/>
  <c r="AK1148" i="1"/>
  <c r="AW1147" i="1"/>
  <c r="AO1149" i="1"/>
  <c r="AQ1149" i="1" s="1"/>
  <c r="CC1149" i="1"/>
  <c r="AG1148" i="1"/>
  <c r="AX1148" i="1" s="1"/>
  <c r="AY1148" i="1"/>
  <c r="AZ1148" i="1" s="1"/>
  <c r="AI1154" i="1"/>
  <c r="AN1154" i="1"/>
  <c r="U1154" i="1"/>
  <c r="X1154" i="1" s="1"/>
  <c r="Z1154" i="1" s="1"/>
  <c r="CC1150" i="1" l="1"/>
  <c r="V1151" i="1"/>
  <c r="AK1149" i="1"/>
  <c r="AW1148" i="1"/>
  <c r="AE1150" i="1"/>
  <c r="AH1151" i="1"/>
  <c r="AJ1151" i="1" s="1"/>
  <c r="AK1150" i="1"/>
  <c r="AW1149" i="1"/>
  <c r="AG1149" i="1"/>
  <c r="AX1149" i="1" s="1"/>
  <c r="AY1149" i="1"/>
  <c r="AZ1149" i="1" s="1"/>
  <c r="AO1150" i="1"/>
  <c r="AQ1150" i="1" s="1"/>
  <c r="U1155" i="1"/>
  <c r="X1155" i="1" s="1"/>
  <c r="Z1155" i="1" s="1"/>
  <c r="AN1155" i="1"/>
  <c r="AI1155" i="1"/>
  <c r="V1152" i="1" l="1"/>
  <c r="AE1151" i="1"/>
  <c r="AH1152" i="1"/>
  <c r="AO1152" i="1" s="1"/>
  <c r="AQ1152" i="1" s="1"/>
  <c r="AO1151" i="1"/>
  <c r="AQ1151" i="1" s="1"/>
  <c r="CC1151" i="1"/>
  <c r="AY1150" i="1"/>
  <c r="AZ1150" i="1" s="1"/>
  <c r="AG1150" i="1"/>
  <c r="AX1150" i="1" s="1"/>
  <c r="AN1156" i="1"/>
  <c r="U1156" i="1"/>
  <c r="X1156" i="1" s="1"/>
  <c r="Z1156" i="1" s="1"/>
  <c r="AI1156" i="1"/>
  <c r="AJ1152" i="1" l="1"/>
  <c r="V1153" i="1"/>
  <c r="AE1152" i="1"/>
  <c r="AH1153" i="1"/>
  <c r="AO1153" i="1" s="1"/>
  <c r="AQ1153" i="1" s="1"/>
  <c r="AK1151" i="1"/>
  <c r="AW1150" i="1"/>
  <c r="AY1151" i="1"/>
  <c r="AZ1151" i="1" s="1"/>
  <c r="AG1151" i="1"/>
  <c r="AX1151" i="1" s="1"/>
  <c r="AK1152" i="1"/>
  <c r="AI1157" i="1"/>
  <c r="U1157" i="1"/>
  <c r="X1157" i="1" s="1"/>
  <c r="Z1157" i="1" s="1"/>
  <c r="AN1157" i="1"/>
  <c r="AJ1153" i="1" l="1"/>
  <c r="V1154" i="1"/>
  <c r="AW1151" i="1"/>
  <c r="CC1152" i="1"/>
  <c r="AE1153" i="1"/>
  <c r="AH1154" i="1"/>
  <c r="AJ1154" i="1" s="1"/>
  <c r="AG1152" i="1"/>
  <c r="AX1152" i="1" s="1"/>
  <c r="AY1152" i="1"/>
  <c r="AZ1152" i="1" s="1"/>
  <c r="U1158" i="1"/>
  <c r="X1158" i="1" s="1"/>
  <c r="Z1158" i="1" s="1"/>
  <c r="AI1158" i="1"/>
  <c r="AN1158" i="1"/>
  <c r="AK1153" i="1" l="1"/>
  <c r="CC1153" i="1"/>
  <c r="AW1152" i="1"/>
  <c r="AO1154" i="1"/>
  <c r="AQ1154" i="1" s="1"/>
  <c r="V1155" i="1"/>
  <c r="AE1154" i="1"/>
  <c r="AH1155" i="1"/>
  <c r="AJ1155" i="1" s="1"/>
  <c r="AG1153" i="1"/>
  <c r="AX1153" i="1" s="1"/>
  <c r="AY1153" i="1"/>
  <c r="AZ1153" i="1" s="1"/>
  <c r="AN1159" i="1"/>
  <c r="U1159" i="1"/>
  <c r="X1159" i="1" s="1"/>
  <c r="Z1159" i="1" s="1"/>
  <c r="AI1159" i="1"/>
  <c r="V1156" i="1" l="1"/>
  <c r="AK1154" i="1"/>
  <c r="CC1154" i="1"/>
  <c r="AW1153" i="1"/>
  <c r="AE1155" i="1"/>
  <c r="AH1156" i="1"/>
  <c r="AJ1156" i="1" s="1"/>
  <c r="AO1155" i="1"/>
  <c r="AQ1155" i="1" s="1"/>
  <c r="CC1155" i="1"/>
  <c r="AY1154" i="1"/>
  <c r="AZ1154" i="1" s="1"/>
  <c r="AG1154" i="1"/>
  <c r="AX1154" i="1" s="1"/>
  <c r="AI1160" i="1"/>
  <c r="U1160" i="1"/>
  <c r="X1160" i="1" s="1"/>
  <c r="Z1160" i="1" s="1"/>
  <c r="AN1160" i="1"/>
  <c r="CC1156" i="1" l="1"/>
  <c r="V1157" i="1"/>
  <c r="AO1156" i="1"/>
  <c r="AQ1156" i="1" s="1"/>
  <c r="AW1155" i="1"/>
  <c r="AK1156" i="1"/>
  <c r="AE1156" i="1"/>
  <c r="AH1157" i="1"/>
  <c r="AO1157" i="1" s="1"/>
  <c r="AQ1157" i="1" s="1"/>
  <c r="AW1154" i="1"/>
  <c r="AK1155" i="1"/>
  <c r="AG1155" i="1"/>
  <c r="AX1155" i="1" s="1"/>
  <c r="AY1155" i="1"/>
  <c r="AZ1155" i="1" s="1"/>
  <c r="AI1161" i="1"/>
  <c r="AN1161" i="1"/>
  <c r="U1161" i="1"/>
  <c r="X1161" i="1" s="1"/>
  <c r="Z1161" i="1" s="1"/>
  <c r="AJ1157" i="1" l="1"/>
  <c r="CC1157" i="1" s="1"/>
  <c r="V1158" i="1"/>
  <c r="AE1157" i="1"/>
  <c r="AH1158" i="1"/>
  <c r="AO1158" i="1" s="1"/>
  <c r="AQ1158" i="1" s="1"/>
  <c r="AY1156" i="1"/>
  <c r="AZ1156" i="1" s="1"/>
  <c r="AG1156" i="1"/>
  <c r="AX1156" i="1" s="1"/>
  <c r="AN1162" i="1"/>
  <c r="U1162" i="1"/>
  <c r="X1162" i="1" s="1"/>
  <c r="Z1162" i="1" s="1"/>
  <c r="AI1162" i="1"/>
  <c r="AJ1158" i="1" l="1"/>
  <c r="AW1156" i="1"/>
  <c r="AK1157" i="1"/>
  <c r="V1159" i="1"/>
  <c r="AE1158" i="1"/>
  <c r="AH1159" i="1"/>
  <c r="AJ1159" i="1" s="1"/>
  <c r="AG1157" i="1"/>
  <c r="AX1157" i="1" s="1"/>
  <c r="AY1157" i="1"/>
  <c r="AZ1157" i="1" s="1"/>
  <c r="CC1158" i="1"/>
  <c r="AN1163" i="1"/>
  <c r="U1163" i="1"/>
  <c r="X1163" i="1" s="1"/>
  <c r="Z1163" i="1" s="1"/>
  <c r="AI1163" i="1"/>
  <c r="V1160" i="1" l="1"/>
  <c r="AE1159" i="1"/>
  <c r="AH1160" i="1"/>
  <c r="AJ1160" i="1" s="1"/>
  <c r="AK1158" i="1"/>
  <c r="AW1157" i="1"/>
  <c r="CC1159" i="1"/>
  <c r="AO1159" i="1"/>
  <c r="AQ1159" i="1" s="1"/>
  <c r="AY1158" i="1"/>
  <c r="AZ1158" i="1" s="1"/>
  <c r="AG1158" i="1"/>
  <c r="AX1158" i="1" s="1"/>
  <c r="AI1164" i="1"/>
  <c r="AN1164" i="1"/>
  <c r="U1164" i="1"/>
  <c r="X1164" i="1" s="1"/>
  <c r="Z1164" i="1" s="1"/>
  <c r="V1161" i="1" l="1"/>
  <c r="AK1159" i="1"/>
  <c r="AW1158" i="1"/>
  <c r="AE1160" i="1"/>
  <c r="AH1161" i="1"/>
  <c r="AJ1161" i="1" s="1"/>
  <c r="AY1159" i="1"/>
  <c r="AZ1159" i="1" s="1"/>
  <c r="AG1159" i="1"/>
  <c r="AX1159" i="1" s="1"/>
  <c r="AO1160" i="1"/>
  <c r="AQ1160" i="1" s="1"/>
  <c r="AN1165" i="1"/>
  <c r="U1165" i="1"/>
  <c r="X1165" i="1" s="1"/>
  <c r="Z1165" i="1" s="1"/>
  <c r="AI1165" i="1"/>
  <c r="AW1159" i="1" l="1"/>
  <c r="CC1160" i="1"/>
  <c r="AK1160" i="1"/>
  <c r="AE1161" i="1"/>
  <c r="V1162" i="1"/>
  <c r="AH1162" i="1"/>
  <c r="AJ1162" i="1" s="1"/>
  <c r="AO1161" i="1"/>
  <c r="AQ1161" i="1" s="1"/>
  <c r="CC1161" i="1"/>
  <c r="AY1160" i="1"/>
  <c r="AZ1160" i="1" s="1"/>
  <c r="AG1160" i="1"/>
  <c r="AX1160" i="1" s="1"/>
  <c r="AN1166" i="1"/>
  <c r="U1166" i="1"/>
  <c r="X1166" i="1" s="1"/>
  <c r="Z1166" i="1" s="1"/>
  <c r="AI1166" i="1"/>
  <c r="V1163" i="1" l="1"/>
  <c r="AE1162" i="1"/>
  <c r="AH1163" i="1"/>
  <c r="AO1163" i="1" s="1"/>
  <c r="AQ1163" i="1" s="1"/>
  <c r="AK1161" i="1"/>
  <c r="AW1160" i="1"/>
  <c r="CC1162" i="1"/>
  <c r="AO1162" i="1"/>
  <c r="AQ1162" i="1" s="1"/>
  <c r="AY1161" i="1"/>
  <c r="AZ1161" i="1" s="1"/>
  <c r="AG1161" i="1"/>
  <c r="AX1161" i="1" s="1"/>
  <c r="AN1167" i="1"/>
  <c r="AI1167" i="1"/>
  <c r="U1167" i="1"/>
  <c r="X1167" i="1" s="1"/>
  <c r="Z1167" i="1" s="1"/>
  <c r="AJ1163" i="1" l="1"/>
  <c r="CC1163" i="1" s="1"/>
  <c r="V1164" i="1"/>
  <c r="AE1163" i="1"/>
  <c r="AH1164" i="1"/>
  <c r="AO1164" i="1" s="1"/>
  <c r="AQ1164" i="1" s="1"/>
  <c r="AW1161" i="1"/>
  <c r="AK1162" i="1"/>
  <c r="AG1162" i="1"/>
  <c r="AX1162" i="1" s="1"/>
  <c r="AY1162" i="1"/>
  <c r="AZ1162" i="1" s="1"/>
  <c r="AI1168" i="1"/>
  <c r="U1168" i="1"/>
  <c r="X1168" i="1" s="1"/>
  <c r="Z1168" i="1" s="1"/>
  <c r="AN1168" i="1"/>
  <c r="AJ1164" i="1" l="1"/>
  <c r="V1165" i="1"/>
  <c r="AE1164" i="1"/>
  <c r="AH1165" i="1"/>
  <c r="AO1165" i="1" s="1"/>
  <c r="AQ1165" i="1" s="1"/>
  <c r="AK1163" i="1"/>
  <c r="AW1162" i="1"/>
  <c r="AY1163" i="1"/>
  <c r="AZ1163" i="1" s="1"/>
  <c r="AG1163" i="1"/>
  <c r="AX1163" i="1" s="1"/>
  <c r="CC1164" i="1"/>
  <c r="AI1169" i="1"/>
  <c r="AN1169" i="1"/>
  <c r="U1169" i="1"/>
  <c r="X1169" i="1" s="1"/>
  <c r="Z1169" i="1" s="1"/>
  <c r="AJ1165" i="1" l="1"/>
  <c r="V1166" i="1"/>
  <c r="AE1165" i="1"/>
  <c r="AH1166" i="1"/>
  <c r="AO1166" i="1" s="1"/>
  <c r="AQ1166" i="1" s="1"/>
  <c r="AW1163" i="1"/>
  <c r="AK1164" i="1"/>
  <c r="AY1164" i="1"/>
  <c r="AZ1164" i="1" s="1"/>
  <c r="AG1164" i="1"/>
  <c r="AX1164" i="1" s="1"/>
  <c r="U1170" i="1"/>
  <c r="X1170" i="1" s="1"/>
  <c r="Z1170" i="1" s="1"/>
  <c r="AN1170" i="1"/>
  <c r="AI1170" i="1"/>
  <c r="AJ1166" i="1" l="1"/>
  <c r="CC1166" i="1" s="1"/>
  <c r="V1167" i="1"/>
  <c r="AW1164" i="1"/>
  <c r="CC1165" i="1"/>
  <c r="AK1165" i="1"/>
  <c r="AE1166" i="1"/>
  <c r="AH1167" i="1"/>
  <c r="AJ1167" i="1" s="1"/>
  <c r="AG1165" i="1"/>
  <c r="AX1165" i="1" s="1"/>
  <c r="AY1165" i="1"/>
  <c r="AZ1165" i="1" s="1"/>
  <c r="AN1171" i="1"/>
  <c r="AI1171" i="1"/>
  <c r="U1171" i="1"/>
  <c r="X1171" i="1" s="1"/>
  <c r="Z1171" i="1" s="1"/>
  <c r="AK1166" i="1" l="1"/>
  <c r="AW1165" i="1"/>
  <c r="V1168" i="1"/>
  <c r="AE1167" i="1"/>
  <c r="AH1168" i="1"/>
  <c r="AO1168" i="1" s="1"/>
  <c r="AQ1168" i="1" s="1"/>
  <c r="CC1167" i="1"/>
  <c r="AO1167" i="1"/>
  <c r="AQ1167" i="1" s="1"/>
  <c r="AY1166" i="1"/>
  <c r="AZ1166" i="1" s="1"/>
  <c r="AG1166" i="1"/>
  <c r="AX1166" i="1" s="1"/>
  <c r="U1172" i="1"/>
  <c r="X1172" i="1" s="1"/>
  <c r="Z1172" i="1" s="1"/>
  <c r="AN1172" i="1"/>
  <c r="AI1172" i="1"/>
  <c r="AJ1168" i="1" l="1"/>
  <c r="CC1168" i="1" s="1"/>
  <c r="V1169" i="1"/>
  <c r="AE1168" i="1"/>
  <c r="AH1169" i="1"/>
  <c r="AO1169" i="1" s="1"/>
  <c r="AQ1169" i="1" s="1"/>
  <c r="AW1166" i="1"/>
  <c r="AK1167" i="1"/>
  <c r="AG1167" i="1"/>
  <c r="AX1167" i="1" s="1"/>
  <c r="AY1167" i="1"/>
  <c r="AZ1167" i="1" s="1"/>
  <c r="AI1173" i="1"/>
  <c r="U1173" i="1"/>
  <c r="X1173" i="1" s="1"/>
  <c r="Z1173" i="1" s="1"/>
  <c r="AN1173" i="1"/>
  <c r="AJ1169" i="1" l="1"/>
  <c r="AW1168" i="1" s="1"/>
  <c r="V1170" i="1"/>
  <c r="AE1169" i="1"/>
  <c r="AH1170" i="1"/>
  <c r="AO1170" i="1" s="1"/>
  <c r="AQ1170" i="1" s="1"/>
  <c r="AK1168" i="1"/>
  <c r="AW1167" i="1"/>
  <c r="AY1168" i="1"/>
  <c r="AZ1168" i="1" s="1"/>
  <c r="AG1168" i="1"/>
  <c r="AX1168" i="1" s="1"/>
  <c r="AN1174" i="1"/>
  <c r="U1174" i="1"/>
  <c r="X1174" i="1" s="1"/>
  <c r="Z1174" i="1" s="1"/>
  <c r="AI1174" i="1"/>
  <c r="AJ1170" i="1" l="1"/>
  <c r="AW1169" i="1" s="1"/>
  <c r="AK1169" i="1"/>
  <c r="CC1169" i="1"/>
  <c r="V1171" i="1"/>
  <c r="AE1170" i="1"/>
  <c r="AH1171" i="1"/>
  <c r="AO1171" i="1" s="1"/>
  <c r="AQ1171" i="1" s="1"/>
  <c r="AG1169" i="1"/>
  <c r="AX1169" i="1" s="1"/>
  <c r="AY1169" i="1"/>
  <c r="AZ1169" i="1" s="1"/>
  <c r="U1175" i="1"/>
  <c r="X1175" i="1" s="1"/>
  <c r="Z1175" i="1" s="1"/>
  <c r="AI1175" i="1"/>
  <c r="AN1175" i="1"/>
  <c r="AJ1171" i="1" l="1"/>
  <c r="CC1171" i="1" s="1"/>
  <c r="AK1170" i="1"/>
  <c r="CC1170" i="1"/>
  <c r="V1172" i="1"/>
  <c r="AE1171" i="1"/>
  <c r="AH1172" i="1"/>
  <c r="AO1172" i="1" s="1"/>
  <c r="AQ1172" i="1" s="1"/>
  <c r="AY1170" i="1"/>
  <c r="AZ1170" i="1" s="1"/>
  <c r="AG1170" i="1"/>
  <c r="AX1170" i="1" s="1"/>
  <c r="U1176" i="1"/>
  <c r="X1176" i="1" s="1"/>
  <c r="Z1176" i="1" s="1"/>
  <c r="AI1176" i="1"/>
  <c r="AN1176" i="1"/>
  <c r="AJ1172" i="1" l="1"/>
  <c r="CC1172" i="1" s="1"/>
  <c r="AE1172" i="1"/>
  <c r="V1173" i="1"/>
  <c r="AH1173" i="1"/>
  <c r="AO1173" i="1" s="1"/>
  <c r="AQ1173" i="1" s="1"/>
  <c r="AW1170" i="1"/>
  <c r="AK1171" i="1"/>
  <c r="AY1171" i="1"/>
  <c r="AZ1171" i="1" s="1"/>
  <c r="AG1171" i="1"/>
  <c r="AX1171" i="1" s="1"/>
  <c r="U1177" i="1"/>
  <c r="X1177" i="1" s="1"/>
  <c r="Z1177" i="1" s="1"/>
  <c r="AN1177" i="1"/>
  <c r="AI1177" i="1"/>
  <c r="AJ1173" i="1" l="1"/>
  <c r="CC1173" i="1" s="1"/>
  <c r="AG1172" i="1"/>
  <c r="AX1172" i="1" s="1"/>
  <c r="AY1172" i="1"/>
  <c r="AZ1172" i="1" s="1"/>
  <c r="AK1172" i="1"/>
  <c r="AW1171" i="1"/>
  <c r="AE1173" i="1"/>
  <c r="V1174" i="1"/>
  <c r="AH1174" i="1"/>
  <c r="AJ1174" i="1" s="1"/>
  <c r="U1178" i="1"/>
  <c r="X1178" i="1" s="1"/>
  <c r="Z1178" i="1" s="1"/>
  <c r="AN1178" i="1"/>
  <c r="AI1178" i="1"/>
  <c r="AO1174" i="1" l="1"/>
  <c r="AQ1174" i="1" s="1"/>
  <c r="CC1174" i="1"/>
  <c r="AY1173" i="1"/>
  <c r="AZ1173" i="1" s="1"/>
  <c r="AG1173" i="1"/>
  <c r="AX1173" i="1" s="1"/>
  <c r="AK1173" i="1"/>
  <c r="AW1172" i="1"/>
  <c r="AE1174" i="1"/>
  <c r="V1175" i="1"/>
  <c r="AH1175" i="1"/>
  <c r="AJ1175" i="1" s="1"/>
  <c r="U1179" i="1"/>
  <c r="X1179" i="1" s="1"/>
  <c r="Z1179" i="1" s="1"/>
  <c r="AI1179" i="1"/>
  <c r="AN1179" i="1"/>
  <c r="V1176" i="1" l="1"/>
  <c r="AE1175" i="1"/>
  <c r="AH1176" i="1"/>
  <c r="AJ1176" i="1" s="1"/>
  <c r="AO1175" i="1"/>
  <c r="AQ1175" i="1" s="1"/>
  <c r="CC1175" i="1"/>
  <c r="AY1174" i="1"/>
  <c r="AZ1174" i="1" s="1"/>
  <c r="AG1174" i="1"/>
  <c r="AX1174" i="1" s="1"/>
  <c r="AW1173" i="1"/>
  <c r="AK1174" i="1"/>
  <c r="AN1180" i="1"/>
  <c r="U1180" i="1"/>
  <c r="X1180" i="1" s="1"/>
  <c r="Z1180" i="1" s="1"/>
  <c r="AI1180" i="1"/>
  <c r="V1177" i="1" l="1"/>
  <c r="AE1176" i="1"/>
  <c r="AH1177" i="1"/>
  <c r="AO1177" i="1" s="1"/>
  <c r="AQ1177" i="1" s="1"/>
  <c r="AO1176" i="1"/>
  <c r="AQ1176" i="1" s="1"/>
  <c r="CC1176" i="1"/>
  <c r="AW1174" i="1"/>
  <c r="AK1175" i="1"/>
  <c r="AY1175" i="1"/>
  <c r="AZ1175" i="1" s="1"/>
  <c r="AG1175" i="1"/>
  <c r="AX1175" i="1" s="1"/>
  <c r="AN1181" i="1"/>
  <c r="AI1181" i="1"/>
  <c r="U1181" i="1"/>
  <c r="X1181" i="1" s="1"/>
  <c r="Z1181" i="1" s="1"/>
  <c r="AJ1177" i="1" l="1"/>
  <c r="CC1177" i="1" s="1"/>
  <c r="AE1177" i="1"/>
  <c r="V1178" i="1"/>
  <c r="AH1178" i="1"/>
  <c r="AO1178" i="1" s="1"/>
  <c r="AQ1178" i="1" s="1"/>
  <c r="AK1176" i="1"/>
  <c r="AW1175" i="1"/>
  <c r="AG1176" i="1"/>
  <c r="AX1176" i="1" s="1"/>
  <c r="AY1176" i="1"/>
  <c r="AZ1176" i="1" s="1"/>
  <c r="AI1182" i="1"/>
  <c r="U1182" i="1"/>
  <c r="X1182" i="1" s="1"/>
  <c r="Z1182" i="1" s="1"/>
  <c r="AN1182" i="1"/>
  <c r="AJ1178" i="1" l="1"/>
  <c r="CC1178" i="1" s="1"/>
  <c r="AW1176" i="1"/>
  <c r="AK1177" i="1"/>
  <c r="V1179" i="1"/>
  <c r="AE1178" i="1"/>
  <c r="AH1179" i="1"/>
  <c r="AJ1179" i="1" s="1"/>
  <c r="AY1177" i="1"/>
  <c r="AZ1177" i="1" s="1"/>
  <c r="AG1177" i="1"/>
  <c r="AX1177" i="1" s="1"/>
  <c r="AI1183" i="1"/>
  <c r="U1183" i="1"/>
  <c r="X1183" i="1" s="1"/>
  <c r="Z1183" i="1" s="1"/>
  <c r="AN1183" i="1"/>
  <c r="CC1179" i="1" l="1"/>
  <c r="AW1177" i="1"/>
  <c r="AK1178" i="1"/>
  <c r="V1180" i="1"/>
  <c r="AE1179" i="1"/>
  <c r="AH1180" i="1"/>
  <c r="AO1180" i="1" s="1"/>
  <c r="AQ1180" i="1" s="1"/>
  <c r="AG1178" i="1"/>
  <c r="AX1178" i="1" s="1"/>
  <c r="AY1178" i="1"/>
  <c r="AZ1178" i="1" s="1"/>
  <c r="AO1179" i="1"/>
  <c r="AQ1179" i="1" s="1"/>
  <c r="AN1184" i="1"/>
  <c r="AI1184" i="1"/>
  <c r="U1184" i="1"/>
  <c r="X1184" i="1" s="1"/>
  <c r="Z1184" i="1" s="1"/>
  <c r="AJ1180" i="1" l="1"/>
  <c r="CC1180" i="1" s="1"/>
  <c r="AK1179" i="1"/>
  <c r="AW1178" i="1"/>
  <c r="AE1180" i="1"/>
  <c r="V1181" i="1"/>
  <c r="AH1181" i="1"/>
  <c r="AO1181" i="1" s="1"/>
  <c r="AQ1181" i="1" s="1"/>
  <c r="AG1179" i="1"/>
  <c r="AX1179" i="1" s="1"/>
  <c r="AY1179" i="1"/>
  <c r="AZ1179" i="1" s="1"/>
  <c r="U1185" i="1"/>
  <c r="X1185" i="1" s="1"/>
  <c r="Z1185" i="1" s="1"/>
  <c r="AN1185" i="1"/>
  <c r="AI1185" i="1"/>
  <c r="AJ1181" i="1" l="1"/>
  <c r="AK1180" i="1"/>
  <c r="AW1179" i="1"/>
  <c r="V1182" i="1"/>
  <c r="AE1181" i="1"/>
  <c r="AH1182" i="1"/>
  <c r="AO1182" i="1" s="1"/>
  <c r="AQ1182" i="1" s="1"/>
  <c r="AY1180" i="1"/>
  <c r="AZ1180" i="1" s="1"/>
  <c r="AG1180" i="1"/>
  <c r="AX1180" i="1" s="1"/>
  <c r="AN1186" i="1"/>
  <c r="AI1186" i="1"/>
  <c r="U1186" i="1"/>
  <c r="X1186" i="1" s="1"/>
  <c r="Z1186" i="1" s="1"/>
  <c r="AJ1182" i="1" l="1"/>
  <c r="AW1181" i="1" s="1"/>
  <c r="AW1180" i="1"/>
  <c r="CC1181" i="1"/>
  <c r="AK1181" i="1"/>
  <c r="AE1182" i="1"/>
  <c r="V1183" i="1"/>
  <c r="AH1183" i="1"/>
  <c r="AJ1183" i="1" s="1"/>
  <c r="AG1181" i="1"/>
  <c r="AX1181" i="1" s="1"/>
  <c r="AY1181" i="1"/>
  <c r="AZ1181" i="1" s="1"/>
  <c r="U1187" i="1"/>
  <c r="X1187" i="1" s="1"/>
  <c r="Z1187" i="1" s="1"/>
  <c r="AN1187" i="1"/>
  <c r="AI1187" i="1"/>
  <c r="AK1182" i="1" l="1"/>
  <c r="CC1182" i="1"/>
  <c r="V1184" i="1"/>
  <c r="AE1183" i="1"/>
  <c r="AH1184" i="1"/>
  <c r="AJ1184" i="1" s="1"/>
  <c r="AO1183" i="1"/>
  <c r="AQ1183" i="1" s="1"/>
  <c r="CC1183" i="1"/>
  <c r="AG1182" i="1"/>
  <c r="AX1182" i="1" s="1"/>
  <c r="AY1182" i="1"/>
  <c r="AZ1182" i="1" s="1"/>
  <c r="AN1188" i="1"/>
  <c r="U1188" i="1"/>
  <c r="X1188" i="1" s="1"/>
  <c r="Z1188" i="1" s="1"/>
  <c r="AI1188" i="1"/>
  <c r="V1185" i="1" l="1"/>
  <c r="AE1184" i="1"/>
  <c r="AH1185" i="1"/>
  <c r="AO1185" i="1" s="1"/>
  <c r="AQ1185" i="1" s="1"/>
  <c r="AO1184" i="1"/>
  <c r="AQ1184" i="1" s="1"/>
  <c r="CC1184" i="1"/>
  <c r="AW1182" i="1"/>
  <c r="AK1183" i="1"/>
  <c r="AY1183" i="1"/>
  <c r="AZ1183" i="1" s="1"/>
  <c r="AG1183" i="1"/>
  <c r="AX1183" i="1" s="1"/>
  <c r="AN1189" i="1"/>
  <c r="AI1189" i="1"/>
  <c r="U1189" i="1"/>
  <c r="X1189" i="1" s="1"/>
  <c r="Z1189" i="1" s="1"/>
  <c r="AJ1185" i="1" l="1"/>
  <c r="CC1185" i="1" s="1"/>
  <c r="V1186" i="1"/>
  <c r="AK1184" i="1"/>
  <c r="AW1183" i="1"/>
  <c r="AE1185" i="1"/>
  <c r="AH1186" i="1"/>
  <c r="AO1186" i="1" s="1"/>
  <c r="AQ1186" i="1" s="1"/>
  <c r="AY1184" i="1"/>
  <c r="AZ1184" i="1" s="1"/>
  <c r="AG1184" i="1"/>
  <c r="AX1184" i="1" s="1"/>
  <c r="U1190" i="1"/>
  <c r="X1190" i="1" s="1"/>
  <c r="Z1190" i="1" s="1"/>
  <c r="AI1190" i="1"/>
  <c r="AN1190" i="1"/>
  <c r="AW1184" i="1" l="1"/>
  <c r="AJ1186" i="1"/>
  <c r="CC1186" i="1" s="1"/>
  <c r="AK1185" i="1"/>
  <c r="V1187" i="1"/>
  <c r="AE1186" i="1"/>
  <c r="AH1187" i="1"/>
  <c r="AO1187" i="1" s="1"/>
  <c r="AQ1187" i="1" s="1"/>
  <c r="AG1185" i="1"/>
  <c r="AX1185" i="1" s="1"/>
  <c r="AY1185" i="1"/>
  <c r="AZ1185" i="1" s="1"/>
  <c r="U1191" i="1"/>
  <c r="X1191" i="1" s="1"/>
  <c r="Z1191" i="1" s="1"/>
  <c r="AN1191" i="1"/>
  <c r="AI1191" i="1"/>
  <c r="AJ1187" i="1" l="1"/>
  <c r="CC1187" i="1" s="1"/>
  <c r="V1188" i="1"/>
  <c r="AE1187" i="1"/>
  <c r="AH1188" i="1"/>
  <c r="AJ1188" i="1" s="1"/>
  <c r="AW1185" i="1"/>
  <c r="AK1186" i="1"/>
  <c r="AY1186" i="1"/>
  <c r="AZ1186" i="1" s="1"/>
  <c r="AG1186" i="1"/>
  <c r="AX1186" i="1" s="1"/>
  <c r="U1192" i="1"/>
  <c r="X1192" i="1" s="1"/>
  <c r="Z1192" i="1" s="1"/>
  <c r="AN1192" i="1"/>
  <c r="AI1192" i="1"/>
  <c r="AK1187" i="1" l="1"/>
  <c r="CC1188" i="1"/>
  <c r="V1189" i="1"/>
  <c r="AW1186" i="1"/>
  <c r="AO1188" i="1"/>
  <c r="AQ1188" i="1" s="1"/>
  <c r="AE1188" i="1"/>
  <c r="AH1189" i="1"/>
  <c r="AJ1189" i="1" s="1"/>
  <c r="AK1188" i="1"/>
  <c r="AY1187" i="1"/>
  <c r="AZ1187" i="1" s="1"/>
  <c r="AG1187" i="1"/>
  <c r="AX1187" i="1" s="1"/>
  <c r="AI1193" i="1"/>
  <c r="AN1193" i="1"/>
  <c r="U1193" i="1"/>
  <c r="X1193" i="1" s="1"/>
  <c r="Z1193" i="1" s="1"/>
  <c r="AW1187" i="1" l="1"/>
  <c r="CC1189" i="1"/>
  <c r="V1190" i="1"/>
  <c r="AE1189" i="1"/>
  <c r="AH1190" i="1"/>
  <c r="AJ1190" i="1" s="1"/>
  <c r="AG1188" i="1"/>
  <c r="AX1188" i="1" s="1"/>
  <c r="AY1188" i="1"/>
  <c r="AZ1188" i="1" s="1"/>
  <c r="AO1189" i="1"/>
  <c r="AQ1189" i="1" s="1"/>
  <c r="AN1194" i="1"/>
  <c r="U1194" i="1"/>
  <c r="X1194" i="1" s="1"/>
  <c r="Z1194" i="1" s="1"/>
  <c r="AI1194" i="1"/>
  <c r="AO1190" i="1" l="1"/>
  <c r="AQ1190" i="1" s="1"/>
  <c r="AK1189" i="1"/>
  <c r="AW1188" i="1"/>
  <c r="CC1190" i="1"/>
  <c r="AK1190" i="1"/>
  <c r="AW1189" i="1"/>
  <c r="V1191" i="1"/>
  <c r="AE1190" i="1"/>
  <c r="AH1191" i="1"/>
  <c r="AO1191" i="1" s="1"/>
  <c r="AQ1191" i="1" s="1"/>
  <c r="AG1189" i="1"/>
  <c r="AX1189" i="1" s="1"/>
  <c r="AY1189" i="1"/>
  <c r="AZ1189" i="1" s="1"/>
  <c r="AI1195" i="1"/>
  <c r="AN1195" i="1"/>
  <c r="U1195" i="1"/>
  <c r="X1195" i="1" s="1"/>
  <c r="Z1195" i="1" s="1"/>
  <c r="AJ1191" i="1" l="1"/>
  <c r="CC1191" i="1" s="1"/>
  <c r="V1192" i="1"/>
  <c r="AE1191" i="1"/>
  <c r="AH1192" i="1"/>
  <c r="AJ1192" i="1" s="1"/>
  <c r="AY1190" i="1"/>
  <c r="AZ1190" i="1" s="1"/>
  <c r="AG1190" i="1"/>
  <c r="AX1190" i="1" s="1"/>
  <c r="AI1196" i="1"/>
  <c r="AN1196" i="1"/>
  <c r="U1196" i="1"/>
  <c r="X1196" i="1" s="1"/>
  <c r="Z1196" i="1" s="1"/>
  <c r="CC1192" i="1" l="1"/>
  <c r="AE1192" i="1"/>
  <c r="V1193" i="1"/>
  <c r="AH1193" i="1"/>
  <c r="AO1193" i="1" s="1"/>
  <c r="AQ1193" i="1" s="1"/>
  <c r="AK1192" i="1"/>
  <c r="AW1191" i="1"/>
  <c r="AK1191" i="1"/>
  <c r="AW1190" i="1"/>
  <c r="AY1191" i="1"/>
  <c r="AZ1191" i="1" s="1"/>
  <c r="AG1191" i="1"/>
  <c r="AX1191" i="1" s="1"/>
  <c r="AO1192" i="1"/>
  <c r="AQ1192" i="1" s="1"/>
  <c r="AN1197" i="1"/>
  <c r="AI1197" i="1"/>
  <c r="U1197" i="1"/>
  <c r="X1197" i="1" s="1"/>
  <c r="Z1197" i="1" s="1"/>
  <c r="AJ1193" i="1" l="1"/>
  <c r="CC1193" i="1" s="1"/>
  <c r="V1194" i="1"/>
  <c r="AE1193" i="1"/>
  <c r="AH1194" i="1"/>
  <c r="AJ1194" i="1" s="1"/>
  <c r="AY1192" i="1"/>
  <c r="AZ1192" i="1" s="1"/>
  <c r="AG1192" i="1"/>
  <c r="AX1192" i="1" s="1"/>
  <c r="AN1198" i="1"/>
  <c r="U1198" i="1"/>
  <c r="X1198" i="1" s="1"/>
  <c r="Z1198" i="1" s="1"/>
  <c r="AI1198" i="1"/>
  <c r="AW1192" i="1" l="1"/>
  <c r="AK1193" i="1"/>
  <c r="V1195" i="1"/>
  <c r="AE1194" i="1"/>
  <c r="AH1195" i="1"/>
  <c r="AJ1195" i="1" s="1"/>
  <c r="AO1194" i="1"/>
  <c r="AQ1194" i="1" s="1"/>
  <c r="CC1194" i="1"/>
  <c r="AY1193" i="1"/>
  <c r="AZ1193" i="1" s="1"/>
  <c r="AG1193" i="1"/>
  <c r="AX1193" i="1" s="1"/>
  <c r="AI1199" i="1"/>
  <c r="AN1199" i="1"/>
  <c r="U1199" i="1"/>
  <c r="X1199" i="1" s="1"/>
  <c r="Z1199" i="1" s="1"/>
  <c r="AO1195" i="1" l="1"/>
  <c r="AQ1195" i="1" s="1"/>
  <c r="CC1195" i="1"/>
  <c r="AK1194" i="1"/>
  <c r="AW1193" i="1"/>
  <c r="AE1195" i="1"/>
  <c r="V1196" i="1"/>
  <c r="AH1196" i="1"/>
  <c r="AO1196" i="1" s="1"/>
  <c r="AQ1196" i="1" s="1"/>
  <c r="AG1194" i="1"/>
  <c r="AX1194" i="1" s="1"/>
  <c r="AY1194" i="1"/>
  <c r="AZ1194" i="1" s="1"/>
  <c r="AI1200" i="1"/>
  <c r="U1200" i="1"/>
  <c r="X1200" i="1" s="1"/>
  <c r="Z1200" i="1" s="1"/>
  <c r="AN1200" i="1"/>
  <c r="AJ1196" i="1" l="1"/>
  <c r="V1197" i="1"/>
  <c r="AE1196" i="1"/>
  <c r="AH1197" i="1"/>
  <c r="AO1197" i="1" s="1"/>
  <c r="AQ1197" i="1" s="1"/>
  <c r="AG1195" i="1"/>
  <c r="AX1195" i="1" s="1"/>
  <c r="AY1195" i="1"/>
  <c r="AZ1195" i="1" s="1"/>
  <c r="AK1195" i="1"/>
  <c r="AW1194" i="1"/>
  <c r="CC1196" i="1"/>
  <c r="AN1201" i="1"/>
  <c r="AI1201" i="1"/>
  <c r="U1201" i="1"/>
  <c r="X1201" i="1" s="1"/>
  <c r="Z1201" i="1" s="1"/>
  <c r="AJ1197" i="1" l="1"/>
  <c r="AW1196" i="1" s="1"/>
  <c r="AE1197" i="1"/>
  <c r="V1198" i="1"/>
  <c r="AH1198" i="1"/>
  <c r="AO1198" i="1" s="1"/>
  <c r="AQ1198" i="1" s="1"/>
  <c r="AW1195" i="1"/>
  <c r="AK1196" i="1"/>
  <c r="AY1196" i="1"/>
  <c r="AZ1196" i="1" s="1"/>
  <c r="AG1196" i="1"/>
  <c r="AX1196" i="1" s="1"/>
  <c r="AN1202" i="1"/>
  <c r="AI1202" i="1"/>
  <c r="U1202" i="1"/>
  <c r="X1202" i="1" s="1"/>
  <c r="Z1202" i="1" s="1"/>
  <c r="AJ1198" i="1" l="1"/>
  <c r="AK1197" i="1"/>
  <c r="CC1197" i="1"/>
  <c r="AE1198" i="1"/>
  <c r="V1199" i="1"/>
  <c r="AH1199" i="1"/>
  <c r="AO1199" i="1" s="1"/>
  <c r="AQ1199" i="1" s="1"/>
  <c r="AG1197" i="1"/>
  <c r="AX1197" i="1" s="1"/>
  <c r="AY1197" i="1"/>
  <c r="AZ1197" i="1" s="1"/>
  <c r="CC1198" i="1"/>
  <c r="AI1203" i="1"/>
  <c r="U1203" i="1"/>
  <c r="X1203" i="1" s="1"/>
  <c r="Z1203" i="1" s="1"/>
  <c r="AN1203" i="1"/>
  <c r="AJ1199" i="1" l="1"/>
  <c r="CC1199" i="1" s="1"/>
  <c r="V1200" i="1"/>
  <c r="AE1199" i="1"/>
  <c r="AH1200" i="1"/>
  <c r="AJ1200" i="1" s="1"/>
  <c r="AK1198" i="1"/>
  <c r="AW1197" i="1"/>
  <c r="AY1198" i="1"/>
  <c r="AZ1198" i="1" s="1"/>
  <c r="AG1198" i="1"/>
  <c r="AX1198" i="1" s="1"/>
  <c r="U1204" i="1"/>
  <c r="X1204" i="1" s="1"/>
  <c r="Z1204" i="1" s="1"/>
  <c r="AI1204" i="1"/>
  <c r="AN1204" i="1"/>
  <c r="AK1199" i="1" l="1"/>
  <c r="AW1198" i="1"/>
  <c r="AE1200" i="1"/>
  <c r="V1201" i="1"/>
  <c r="AH1201" i="1"/>
  <c r="AO1201" i="1" s="1"/>
  <c r="AQ1201" i="1" s="1"/>
  <c r="AO1200" i="1"/>
  <c r="AQ1200" i="1" s="1"/>
  <c r="CC1200" i="1"/>
  <c r="AG1199" i="1"/>
  <c r="AX1199" i="1" s="1"/>
  <c r="AY1199" i="1"/>
  <c r="AZ1199" i="1" s="1"/>
  <c r="U1205" i="1"/>
  <c r="X1205" i="1" s="1"/>
  <c r="Z1205" i="1" s="1"/>
  <c r="AI1205" i="1"/>
  <c r="AN1205" i="1"/>
  <c r="AJ1201" i="1" l="1"/>
  <c r="CC1201" i="1" s="1"/>
  <c r="AW1199" i="1"/>
  <c r="AK1200" i="1"/>
  <c r="AE1201" i="1"/>
  <c r="V1202" i="1"/>
  <c r="AH1202" i="1"/>
  <c r="AJ1202" i="1" s="1"/>
  <c r="AG1200" i="1"/>
  <c r="AX1200" i="1" s="1"/>
  <c r="AY1200" i="1"/>
  <c r="AZ1200" i="1" s="1"/>
  <c r="AN1206" i="1"/>
  <c r="U1206" i="1"/>
  <c r="X1206" i="1" s="1"/>
  <c r="Z1206" i="1" s="1"/>
  <c r="AI1206" i="1"/>
  <c r="AW1200" i="1" l="1"/>
  <c r="AK1201" i="1"/>
  <c r="AE1202" i="1"/>
  <c r="V1203" i="1"/>
  <c r="AH1203" i="1"/>
  <c r="AO1203" i="1" s="1"/>
  <c r="AQ1203" i="1" s="1"/>
  <c r="AO1202" i="1"/>
  <c r="AQ1202" i="1" s="1"/>
  <c r="CC1202" i="1"/>
  <c r="AY1201" i="1"/>
  <c r="AZ1201" i="1" s="1"/>
  <c r="AG1201" i="1"/>
  <c r="AX1201" i="1" s="1"/>
  <c r="AI1207" i="1"/>
  <c r="AN1207" i="1"/>
  <c r="U1207" i="1"/>
  <c r="X1207" i="1" s="1"/>
  <c r="Z1207" i="1" s="1"/>
  <c r="AJ1203" i="1" l="1"/>
  <c r="CC1203" i="1" s="1"/>
  <c r="AW1201" i="1"/>
  <c r="AK1202" i="1"/>
  <c r="AE1203" i="1"/>
  <c r="AH1204" i="1"/>
  <c r="AO1204" i="1" s="1"/>
  <c r="AQ1204" i="1" s="1"/>
  <c r="V1204" i="1"/>
  <c r="AG1202" i="1"/>
  <c r="AX1202" i="1" s="1"/>
  <c r="AY1202" i="1"/>
  <c r="AZ1202" i="1" s="1"/>
  <c r="AI1208" i="1"/>
  <c r="AN1208" i="1"/>
  <c r="U1208" i="1"/>
  <c r="X1208" i="1" s="1"/>
  <c r="Z1208" i="1" s="1"/>
  <c r="AJ1204" i="1" l="1"/>
  <c r="CC1204" i="1" s="1"/>
  <c r="AK1203" i="1"/>
  <c r="AW1202" i="1"/>
  <c r="V1205" i="1"/>
  <c r="AE1204" i="1"/>
  <c r="AH1205" i="1"/>
  <c r="AJ1205" i="1" s="1"/>
  <c r="AG1203" i="1"/>
  <c r="AX1203" i="1" s="1"/>
  <c r="AY1203" i="1"/>
  <c r="AZ1203" i="1" s="1"/>
  <c r="AI1209" i="1"/>
  <c r="AN1209" i="1"/>
  <c r="U1209" i="1"/>
  <c r="X1209" i="1" s="1"/>
  <c r="Z1209" i="1" s="1"/>
  <c r="AW1203" i="1" l="1"/>
  <c r="AK1204" i="1"/>
  <c r="V1206" i="1"/>
  <c r="AE1205" i="1"/>
  <c r="AH1206" i="1"/>
  <c r="AO1206" i="1" s="1"/>
  <c r="AQ1206" i="1" s="1"/>
  <c r="AO1205" i="1"/>
  <c r="AQ1205" i="1" s="1"/>
  <c r="CC1205" i="1"/>
  <c r="AG1204" i="1"/>
  <c r="AX1204" i="1" s="1"/>
  <c r="AY1204" i="1"/>
  <c r="AZ1204" i="1" s="1"/>
  <c r="AI1210" i="1"/>
  <c r="U1210" i="1"/>
  <c r="X1210" i="1" s="1"/>
  <c r="Z1210" i="1" s="1"/>
  <c r="AN1210" i="1"/>
  <c r="AJ1206" i="1" l="1"/>
  <c r="AK1206" i="1" s="1"/>
  <c r="V1207" i="1"/>
  <c r="AE1206" i="1"/>
  <c r="AH1207" i="1"/>
  <c r="AO1207" i="1" s="1"/>
  <c r="AQ1207" i="1" s="1"/>
  <c r="AW1204" i="1"/>
  <c r="AK1205" i="1"/>
  <c r="AY1205" i="1"/>
  <c r="AZ1205" i="1" s="1"/>
  <c r="AG1205" i="1"/>
  <c r="AX1205" i="1" s="1"/>
  <c r="AN1211" i="1"/>
  <c r="U1211" i="1"/>
  <c r="X1211" i="1" s="1"/>
  <c r="Z1211" i="1" s="1"/>
  <c r="AI1211" i="1"/>
  <c r="AJ1207" i="1" l="1"/>
  <c r="CC1207" i="1" s="1"/>
  <c r="AW1205" i="1"/>
  <c r="CC1206" i="1"/>
  <c r="AE1207" i="1"/>
  <c r="V1208" i="1"/>
  <c r="AH1208" i="1"/>
  <c r="AJ1208" i="1" s="1"/>
  <c r="AY1206" i="1"/>
  <c r="AZ1206" i="1" s="1"/>
  <c r="AG1206" i="1"/>
  <c r="AX1206" i="1" s="1"/>
  <c r="AI1212" i="1"/>
  <c r="AN1212" i="1"/>
  <c r="U1212" i="1"/>
  <c r="X1212" i="1" s="1"/>
  <c r="Z1212" i="1" s="1"/>
  <c r="CC1208" i="1" l="1"/>
  <c r="AW1206" i="1"/>
  <c r="AK1207" i="1"/>
  <c r="AO1208" i="1"/>
  <c r="AQ1208" i="1" s="1"/>
  <c r="AE1208" i="1"/>
  <c r="AH1209" i="1"/>
  <c r="AJ1209" i="1" s="1"/>
  <c r="V1209" i="1"/>
  <c r="AY1207" i="1"/>
  <c r="AZ1207" i="1" s="1"/>
  <c r="AG1207" i="1"/>
  <c r="AX1207" i="1" s="1"/>
  <c r="U1213" i="1"/>
  <c r="X1213" i="1" s="1"/>
  <c r="Z1213" i="1" s="1"/>
  <c r="AI1213" i="1"/>
  <c r="AN1213" i="1"/>
  <c r="AK1208" i="1" l="1"/>
  <c r="AW1207" i="1"/>
  <c r="CC1209" i="1"/>
  <c r="V1210" i="1"/>
  <c r="AE1209" i="1"/>
  <c r="AH1210" i="1"/>
  <c r="AJ1210" i="1" s="1"/>
  <c r="AK1209" i="1"/>
  <c r="AW1208" i="1"/>
  <c r="AY1208" i="1"/>
  <c r="AZ1208" i="1" s="1"/>
  <c r="AG1208" i="1"/>
  <c r="AX1208" i="1" s="1"/>
  <c r="AO1209" i="1"/>
  <c r="AQ1209" i="1" s="1"/>
  <c r="U1214" i="1"/>
  <c r="X1214" i="1" s="1"/>
  <c r="Z1214" i="1" s="1"/>
  <c r="AN1214" i="1"/>
  <c r="AI1214" i="1"/>
  <c r="CC1210" i="1" l="1"/>
  <c r="V1211" i="1"/>
  <c r="AE1210" i="1"/>
  <c r="AH1211" i="1"/>
  <c r="AJ1211" i="1" s="1"/>
  <c r="AK1210" i="1"/>
  <c r="AW1209" i="1"/>
  <c r="AY1209" i="1"/>
  <c r="AZ1209" i="1" s="1"/>
  <c r="AG1209" i="1"/>
  <c r="AX1209" i="1" s="1"/>
  <c r="AO1210" i="1"/>
  <c r="AQ1210" i="1" s="1"/>
  <c r="AN1215" i="1"/>
  <c r="U1215" i="1"/>
  <c r="X1215" i="1" s="1"/>
  <c r="Z1215" i="1" s="1"/>
  <c r="AI1215" i="1"/>
  <c r="V1212" i="1" l="1"/>
  <c r="AE1211" i="1"/>
  <c r="AH1212" i="1"/>
  <c r="AO1212" i="1" s="1"/>
  <c r="AQ1212" i="1" s="1"/>
  <c r="AO1211" i="1"/>
  <c r="AQ1211" i="1" s="1"/>
  <c r="CC1211" i="1"/>
  <c r="AY1210" i="1"/>
  <c r="AZ1210" i="1" s="1"/>
  <c r="AG1210" i="1"/>
  <c r="AX1210" i="1" s="1"/>
  <c r="AI1216" i="1"/>
  <c r="U1216" i="1"/>
  <c r="X1216" i="1" s="1"/>
  <c r="Z1216" i="1" s="1"/>
  <c r="AN1216" i="1"/>
  <c r="AJ1212" i="1" l="1"/>
  <c r="CC1212" i="1" s="1"/>
  <c r="V1213" i="1"/>
  <c r="AE1212" i="1"/>
  <c r="AH1213" i="1"/>
  <c r="AJ1213" i="1" s="1"/>
  <c r="AW1210" i="1"/>
  <c r="AK1211" i="1"/>
  <c r="AG1211" i="1"/>
  <c r="AX1211" i="1" s="1"/>
  <c r="AY1211" i="1"/>
  <c r="AZ1211" i="1" s="1"/>
  <c r="AN1217" i="1"/>
  <c r="AI1217" i="1"/>
  <c r="U1217" i="1"/>
  <c r="X1217" i="1" s="1"/>
  <c r="Z1217" i="1" s="1"/>
  <c r="CC1213" i="1" l="1"/>
  <c r="AO1213" i="1"/>
  <c r="AQ1213" i="1" s="1"/>
  <c r="AE1213" i="1"/>
  <c r="V1214" i="1"/>
  <c r="AH1214" i="1"/>
  <c r="AO1214" i="1" s="1"/>
  <c r="AQ1214" i="1" s="1"/>
  <c r="AW1212" i="1"/>
  <c r="AK1213" i="1"/>
  <c r="AK1212" i="1"/>
  <c r="AW1211" i="1"/>
  <c r="AG1212" i="1"/>
  <c r="AX1212" i="1" s="1"/>
  <c r="AY1212" i="1"/>
  <c r="AZ1212" i="1" s="1"/>
  <c r="U1218" i="1"/>
  <c r="X1218" i="1" s="1"/>
  <c r="Z1218" i="1" s="1"/>
  <c r="AN1218" i="1"/>
  <c r="AI1218" i="1"/>
  <c r="AJ1214" i="1" l="1"/>
  <c r="V1215" i="1"/>
  <c r="AE1214" i="1"/>
  <c r="AH1215" i="1"/>
  <c r="AJ1215" i="1" s="1"/>
  <c r="AG1213" i="1"/>
  <c r="AX1213" i="1" s="1"/>
  <c r="AY1213" i="1"/>
  <c r="AZ1213" i="1" s="1"/>
  <c r="AI1219" i="1"/>
  <c r="AN1219" i="1"/>
  <c r="U1219" i="1"/>
  <c r="X1219" i="1" s="1"/>
  <c r="Z1219" i="1" s="1"/>
  <c r="AK1214" i="1" l="1"/>
  <c r="CC1214" i="1"/>
  <c r="AW1213" i="1"/>
  <c r="AE1215" i="1"/>
  <c r="V1216" i="1"/>
  <c r="AH1216" i="1"/>
  <c r="AO1216" i="1" s="1"/>
  <c r="AQ1216" i="1" s="1"/>
  <c r="AO1215" i="1"/>
  <c r="AQ1215" i="1" s="1"/>
  <c r="CC1215" i="1"/>
  <c r="AG1214" i="1"/>
  <c r="AX1214" i="1" s="1"/>
  <c r="AY1214" i="1"/>
  <c r="AZ1214" i="1" s="1"/>
  <c r="AI1220" i="1"/>
  <c r="U1220" i="1"/>
  <c r="X1220" i="1" s="1"/>
  <c r="Z1220" i="1" s="1"/>
  <c r="AN1220" i="1"/>
  <c r="AJ1216" i="1" l="1"/>
  <c r="CC1216" i="1" s="1"/>
  <c r="AK1215" i="1"/>
  <c r="AW1214" i="1"/>
  <c r="AE1216" i="1"/>
  <c r="V1217" i="1"/>
  <c r="AH1217" i="1"/>
  <c r="AJ1217" i="1" s="1"/>
  <c r="AG1215" i="1"/>
  <c r="AX1215" i="1" s="1"/>
  <c r="AY1215" i="1"/>
  <c r="AZ1215" i="1" s="1"/>
  <c r="U1221" i="1"/>
  <c r="X1221" i="1" s="1"/>
  <c r="Z1221" i="1" s="1"/>
  <c r="AN1221" i="1"/>
  <c r="AI1221" i="1"/>
  <c r="AK1216" i="1" l="1"/>
  <c r="AW1215" i="1"/>
  <c r="V1218" i="1"/>
  <c r="AE1217" i="1"/>
  <c r="AH1218" i="1"/>
  <c r="AJ1218" i="1" s="1"/>
  <c r="AO1217" i="1"/>
  <c r="AQ1217" i="1" s="1"/>
  <c r="CC1217" i="1"/>
  <c r="AY1216" i="1"/>
  <c r="AZ1216" i="1" s="1"/>
  <c r="AG1216" i="1"/>
  <c r="AX1216" i="1" s="1"/>
  <c r="AN1222" i="1"/>
  <c r="AI1222" i="1"/>
  <c r="U1222" i="1"/>
  <c r="X1222" i="1" s="1"/>
  <c r="Z1222" i="1" s="1"/>
  <c r="V1219" i="1" l="1"/>
  <c r="AE1218" i="1"/>
  <c r="AH1219" i="1"/>
  <c r="AO1219" i="1" s="1"/>
  <c r="AQ1219" i="1" s="1"/>
  <c r="AO1218" i="1"/>
  <c r="AQ1218" i="1" s="1"/>
  <c r="CC1218" i="1"/>
  <c r="AW1216" i="1"/>
  <c r="AK1217" i="1"/>
  <c r="AY1217" i="1"/>
  <c r="AZ1217" i="1" s="1"/>
  <c r="AG1217" i="1"/>
  <c r="AX1217" i="1" s="1"/>
  <c r="U1223" i="1"/>
  <c r="X1223" i="1" s="1"/>
  <c r="Z1223" i="1" s="1"/>
  <c r="AN1223" i="1"/>
  <c r="AI1223" i="1"/>
  <c r="AJ1219" i="1" l="1"/>
  <c r="AW1217" i="1"/>
  <c r="AK1218" i="1"/>
  <c r="AE1219" i="1"/>
  <c r="AH1220" i="1"/>
  <c r="AO1220" i="1" s="1"/>
  <c r="AQ1220" i="1" s="1"/>
  <c r="V1220" i="1"/>
  <c r="AY1218" i="1"/>
  <c r="AZ1218" i="1" s="1"/>
  <c r="AG1218" i="1"/>
  <c r="AX1218" i="1" s="1"/>
  <c r="CC1219" i="1"/>
  <c r="U1224" i="1"/>
  <c r="X1224" i="1" s="1"/>
  <c r="Z1224" i="1" s="1"/>
  <c r="AN1224" i="1"/>
  <c r="AI1224" i="1"/>
  <c r="AJ1220" i="1" l="1"/>
  <c r="CC1220" i="1" s="1"/>
  <c r="V1221" i="1"/>
  <c r="AE1220" i="1"/>
  <c r="AH1221" i="1"/>
  <c r="AJ1221" i="1" s="1"/>
  <c r="AW1218" i="1"/>
  <c r="AK1219" i="1"/>
  <c r="AY1219" i="1"/>
  <c r="AZ1219" i="1" s="1"/>
  <c r="AG1219" i="1"/>
  <c r="AX1219" i="1" s="1"/>
  <c r="U1225" i="1"/>
  <c r="X1225" i="1" s="1"/>
  <c r="Z1225" i="1" s="1"/>
  <c r="AN1225" i="1"/>
  <c r="AI1225" i="1"/>
  <c r="AW1219" i="1" l="1"/>
  <c r="AK1220" i="1"/>
  <c r="AE1221" i="1"/>
  <c r="AH1222" i="1"/>
  <c r="AO1222" i="1" s="1"/>
  <c r="AQ1222" i="1" s="1"/>
  <c r="V1222" i="1"/>
  <c r="CC1221" i="1"/>
  <c r="AO1221" i="1"/>
  <c r="AQ1221" i="1" s="1"/>
  <c r="AG1220" i="1"/>
  <c r="AX1220" i="1" s="1"/>
  <c r="AY1220" i="1"/>
  <c r="AZ1220" i="1" s="1"/>
  <c r="AI1226" i="1"/>
  <c r="U1226" i="1"/>
  <c r="X1226" i="1" s="1"/>
  <c r="Z1226" i="1" s="1"/>
  <c r="AN1226" i="1"/>
  <c r="AJ1222" i="1" l="1"/>
  <c r="CC1222" i="1" s="1"/>
  <c r="AW1220" i="1"/>
  <c r="AK1221" i="1"/>
  <c r="V1223" i="1"/>
  <c r="AE1222" i="1"/>
  <c r="AH1223" i="1"/>
  <c r="AJ1223" i="1" s="1"/>
  <c r="AY1221" i="1"/>
  <c r="AZ1221" i="1" s="1"/>
  <c r="AG1221" i="1"/>
  <c r="AX1221" i="1" s="1"/>
  <c r="U1227" i="1"/>
  <c r="X1227" i="1" s="1"/>
  <c r="Z1227" i="1" s="1"/>
  <c r="AN1227" i="1"/>
  <c r="AI1227" i="1"/>
  <c r="AK1222" i="1" l="1"/>
  <c r="AW1221" i="1"/>
  <c r="V1224" i="1"/>
  <c r="AE1223" i="1"/>
  <c r="AH1224" i="1"/>
  <c r="AO1224" i="1" s="1"/>
  <c r="AQ1224" i="1" s="1"/>
  <c r="CC1223" i="1"/>
  <c r="AO1223" i="1"/>
  <c r="AQ1223" i="1" s="1"/>
  <c r="AY1222" i="1"/>
  <c r="AZ1222" i="1" s="1"/>
  <c r="AG1222" i="1"/>
  <c r="AX1222" i="1" s="1"/>
  <c r="AI1228" i="1"/>
  <c r="U1228" i="1"/>
  <c r="X1228" i="1" s="1"/>
  <c r="Z1228" i="1" s="1"/>
  <c r="AN1228" i="1"/>
  <c r="AJ1224" i="1" l="1"/>
  <c r="V1225" i="1"/>
  <c r="AE1224" i="1"/>
  <c r="AH1225" i="1"/>
  <c r="AJ1225" i="1" s="1"/>
  <c r="AK1223" i="1"/>
  <c r="AW1222" i="1"/>
  <c r="AY1223" i="1"/>
  <c r="AZ1223" i="1" s="1"/>
  <c r="AG1223" i="1"/>
  <c r="AX1223" i="1" s="1"/>
  <c r="AI1229" i="1"/>
  <c r="U1229" i="1"/>
  <c r="X1229" i="1" s="1"/>
  <c r="Z1229" i="1" s="1"/>
  <c r="AN1229" i="1"/>
  <c r="CC1225" i="1" l="1"/>
  <c r="AK1224" i="1"/>
  <c r="CC1224" i="1"/>
  <c r="AW1223" i="1"/>
  <c r="V1226" i="1"/>
  <c r="AE1225" i="1"/>
  <c r="AH1226" i="1"/>
  <c r="AJ1226" i="1" s="1"/>
  <c r="AK1225" i="1"/>
  <c r="AW1224" i="1"/>
  <c r="AY1224" i="1"/>
  <c r="AZ1224" i="1" s="1"/>
  <c r="AG1224" i="1"/>
  <c r="AX1224" i="1" s="1"/>
  <c r="AO1225" i="1"/>
  <c r="AQ1225" i="1" s="1"/>
  <c r="AI1230" i="1"/>
  <c r="AN1230" i="1"/>
  <c r="U1230" i="1"/>
  <c r="X1230" i="1" s="1"/>
  <c r="Z1230" i="1" s="1"/>
  <c r="CC1226" i="1" l="1"/>
  <c r="AO1226" i="1"/>
  <c r="AQ1226" i="1" s="1"/>
  <c r="AE1226" i="1"/>
  <c r="V1227" i="1"/>
  <c r="AH1227" i="1"/>
  <c r="AO1227" i="1" s="1"/>
  <c r="AQ1227" i="1" s="1"/>
  <c r="AY1225" i="1"/>
  <c r="AZ1225" i="1" s="1"/>
  <c r="AG1225" i="1"/>
  <c r="AX1225" i="1" s="1"/>
  <c r="AN1231" i="1"/>
  <c r="U1231" i="1"/>
  <c r="X1231" i="1" s="1"/>
  <c r="Z1231" i="1" s="1"/>
  <c r="AI1231" i="1"/>
  <c r="AJ1227" i="1" l="1"/>
  <c r="CC1227" i="1" s="1"/>
  <c r="AW1225" i="1"/>
  <c r="AK1226" i="1"/>
  <c r="AE1227" i="1"/>
  <c r="V1228" i="1"/>
  <c r="AH1228" i="1"/>
  <c r="AJ1228" i="1" s="1"/>
  <c r="AG1226" i="1"/>
  <c r="AX1226" i="1" s="1"/>
  <c r="AY1226" i="1"/>
  <c r="AZ1226" i="1" s="1"/>
  <c r="U1232" i="1"/>
  <c r="X1232" i="1" s="1"/>
  <c r="Z1232" i="1" s="1"/>
  <c r="AI1232" i="1"/>
  <c r="AN1232" i="1"/>
  <c r="AK1227" i="1" l="1"/>
  <c r="AW1226" i="1"/>
  <c r="AE1228" i="1"/>
  <c r="V1229" i="1"/>
  <c r="AH1229" i="1"/>
  <c r="AJ1229" i="1" s="1"/>
  <c r="AO1228" i="1"/>
  <c r="AQ1228" i="1" s="1"/>
  <c r="CC1228" i="1"/>
  <c r="AG1227" i="1"/>
  <c r="AX1227" i="1" s="1"/>
  <c r="AY1227" i="1"/>
  <c r="AZ1227" i="1" s="1"/>
  <c r="AI1233" i="1"/>
  <c r="U1233" i="1"/>
  <c r="X1233" i="1" s="1"/>
  <c r="Z1233" i="1" s="1"/>
  <c r="AN1233" i="1"/>
  <c r="AE1229" i="1" l="1"/>
  <c r="V1230" i="1"/>
  <c r="AH1230" i="1"/>
  <c r="AJ1230" i="1" s="1"/>
  <c r="AK1228" i="1"/>
  <c r="AW1227" i="1"/>
  <c r="AO1229" i="1"/>
  <c r="AQ1229" i="1" s="1"/>
  <c r="CC1229" i="1"/>
  <c r="AG1228" i="1"/>
  <c r="AX1228" i="1" s="1"/>
  <c r="AY1228" i="1"/>
  <c r="AZ1228" i="1" s="1"/>
  <c r="AI1234" i="1"/>
  <c r="AN1234" i="1"/>
  <c r="U1234" i="1"/>
  <c r="X1234" i="1" s="1"/>
  <c r="Z1234" i="1" s="1"/>
  <c r="V1231" i="1" l="1"/>
  <c r="AE1230" i="1"/>
  <c r="AH1231" i="1"/>
  <c r="AJ1231" i="1" s="1"/>
  <c r="AK1229" i="1"/>
  <c r="AW1228" i="1"/>
  <c r="CC1230" i="1"/>
  <c r="AO1230" i="1"/>
  <c r="AQ1230" i="1" s="1"/>
  <c r="AY1229" i="1"/>
  <c r="AZ1229" i="1" s="1"/>
  <c r="AG1229" i="1"/>
  <c r="AX1229" i="1" s="1"/>
  <c r="AI1235" i="1"/>
  <c r="AN1235" i="1"/>
  <c r="U1235" i="1"/>
  <c r="X1235" i="1" s="1"/>
  <c r="Z1235" i="1" s="1"/>
  <c r="V1232" i="1" l="1"/>
  <c r="AE1231" i="1"/>
  <c r="AH1232" i="1"/>
  <c r="AO1232" i="1" s="1"/>
  <c r="AQ1232" i="1" s="1"/>
  <c r="AW1229" i="1"/>
  <c r="AK1230" i="1"/>
  <c r="AO1231" i="1"/>
  <c r="AQ1231" i="1" s="1"/>
  <c r="CC1231" i="1"/>
  <c r="AY1230" i="1"/>
  <c r="AZ1230" i="1" s="1"/>
  <c r="AG1230" i="1"/>
  <c r="AX1230" i="1" s="1"/>
  <c r="AN1236" i="1"/>
  <c r="U1236" i="1"/>
  <c r="X1236" i="1" s="1"/>
  <c r="Z1236" i="1" s="1"/>
  <c r="AI1236" i="1"/>
  <c r="AJ1232" i="1" l="1"/>
  <c r="CC1232" i="1" s="1"/>
  <c r="AE1232" i="1"/>
  <c r="V1233" i="1"/>
  <c r="AH1233" i="1"/>
  <c r="AO1233" i="1" s="1"/>
  <c r="AQ1233" i="1" s="1"/>
  <c r="AK1231" i="1"/>
  <c r="AW1230" i="1"/>
  <c r="AG1231" i="1"/>
  <c r="AX1231" i="1" s="1"/>
  <c r="AY1231" i="1"/>
  <c r="AZ1231" i="1" s="1"/>
  <c r="AI1237" i="1"/>
  <c r="U1237" i="1"/>
  <c r="X1237" i="1" s="1"/>
  <c r="Z1237" i="1" s="1"/>
  <c r="AN1237" i="1"/>
  <c r="AJ1233" i="1" l="1"/>
  <c r="AW1231" i="1"/>
  <c r="AK1232" i="1"/>
  <c r="AE1233" i="1"/>
  <c r="V1234" i="1"/>
  <c r="AH1234" i="1"/>
  <c r="AJ1234" i="1" s="1"/>
  <c r="AG1232" i="1"/>
  <c r="AX1232" i="1" s="1"/>
  <c r="AY1232" i="1"/>
  <c r="AZ1232" i="1" s="1"/>
  <c r="AN1238" i="1"/>
  <c r="AI1238" i="1"/>
  <c r="U1238" i="1"/>
  <c r="X1238" i="1" s="1"/>
  <c r="Z1238" i="1" s="1"/>
  <c r="AW1232" i="1" l="1"/>
  <c r="CC1233" i="1"/>
  <c r="AK1233" i="1"/>
  <c r="AE1234" i="1"/>
  <c r="V1235" i="1"/>
  <c r="AH1235" i="1"/>
  <c r="AO1235" i="1" s="1"/>
  <c r="AQ1235" i="1" s="1"/>
  <c r="AO1234" i="1"/>
  <c r="AQ1234" i="1" s="1"/>
  <c r="CC1234" i="1"/>
  <c r="AG1233" i="1"/>
  <c r="AX1233" i="1" s="1"/>
  <c r="AY1233" i="1"/>
  <c r="AZ1233" i="1" s="1"/>
  <c r="AN1239" i="1"/>
  <c r="U1239" i="1"/>
  <c r="X1239" i="1" s="1"/>
  <c r="Z1239" i="1" s="1"/>
  <c r="AI1239" i="1"/>
  <c r="AJ1235" i="1" l="1"/>
  <c r="AW1233" i="1"/>
  <c r="AK1234" i="1"/>
  <c r="V1236" i="1"/>
  <c r="AE1235" i="1"/>
  <c r="AH1236" i="1"/>
  <c r="AJ1236" i="1" s="1"/>
  <c r="AY1234" i="1"/>
  <c r="AZ1234" i="1" s="1"/>
  <c r="AG1234" i="1"/>
  <c r="AX1234" i="1" s="1"/>
  <c r="U1240" i="1"/>
  <c r="X1240" i="1" s="1"/>
  <c r="Z1240" i="1" s="1"/>
  <c r="AI1240" i="1"/>
  <c r="AN1240" i="1"/>
  <c r="CC1236" i="1" l="1"/>
  <c r="AK1235" i="1"/>
  <c r="CC1235" i="1"/>
  <c r="AW1234" i="1"/>
  <c r="AW1235" i="1"/>
  <c r="AK1236" i="1"/>
  <c r="AE1236" i="1"/>
  <c r="V1237" i="1"/>
  <c r="AH1237" i="1"/>
  <c r="AJ1237" i="1" s="1"/>
  <c r="AY1235" i="1"/>
  <c r="AZ1235" i="1" s="1"/>
  <c r="AG1235" i="1"/>
  <c r="AX1235" i="1" s="1"/>
  <c r="AO1236" i="1"/>
  <c r="AQ1236" i="1" s="1"/>
  <c r="AI1241" i="1"/>
  <c r="AN1241" i="1"/>
  <c r="U1241" i="1"/>
  <c r="X1241" i="1" s="1"/>
  <c r="Z1241" i="1" s="1"/>
  <c r="V1238" i="1" l="1"/>
  <c r="CC1237" i="1"/>
  <c r="AO1237" i="1"/>
  <c r="AQ1237" i="1" s="1"/>
  <c r="AE1237" i="1"/>
  <c r="AH1238" i="1"/>
  <c r="AJ1238" i="1" s="1"/>
  <c r="AY1236" i="1"/>
  <c r="AZ1236" i="1" s="1"/>
  <c r="AG1236" i="1"/>
  <c r="AX1236" i="1" s="1"/>
  <c r="U1242" i="1"/>
  <c r="X1242" i="1" s="1"/>
  <c r="Z1242" i="1" s="1"/>
  <c r="AI1242" i="1"/>
  <c r="AN1242" i="1"/>
  <c r="AK1237" i="1" l="1"/>
  <c r="AW1236" i="1"/>
  <c r="V1239" i="1"/>
  <c r="AE1238" i="1"/>
  <c r="AH1239" i="1"/>
  <c r="AJ1239" i="1" s="1"/>
  <c r="AO1238" i="1"/>
  <c r="AQ1238" i="1" s="1"/>
  <c r="CC1238" i="1"/>
  <c r="AG1237" i="1"/>
  <c r="AX1237" i="1" s="1"/>
  <c r="AY1237" i="1"/>
  <c r="AZ1237" i="1" s="1"/>
  <c r="AN1243" i="1"/>
  <c r="AI1243" i="1"/>
  <c r="U1243" i="1"/>
  <c r="X1243" i="1" s="1"/>
  <c r="Z1243" i="1" s="1"/>
  <c r="CC1239" i="1" l="1"/>
  <c r="AW1237" i="1"/>
  <c r="AK1238" i="1"/>
  <c r="AE1239" i="1"/>
  <c r="V1240" i="1"/>
  <c r="AH1240" i="1"/>
  <c r="AO1240" i="1" s="1"/>
  <c r="AQ1240" i="1" s="1"/>
  <c r="AK1239" i="1"/>
  <c r="AW1238" i="1"/>
  <c r="AG1238" i="1"/>
  <c r="AX1238" i="1" s="1"/>
  <c r="AY1238" i="1"/>
  <c r="AZ1238" i="1" s="1"/>
  <c r="AO1239" i="1"/>
  <c r="AQ1239" i="1" s="1"/>
  <c r="AN1244" i="1"/>
  <c r="AI1244" i="1"/>
  <c r="U1244" i="1"/>
  <c r="X1244" i="1" s="1"/>
  <c r="Z1244" i="1" s="1"/>
  <c r="AJ1240" i="1" l="1"/>
  <c r="AE1240" i="1"/>
  <c r="V1241" i="1"/>
  <c r="AH1241" i="1"/>
  <c r="AO1241" i="1" s="1"/>
  <c r="AQ1241" i="1" s="1"/>
  <c r="AY1239" i="1"/>
  <c r="AZ1239" i="1" s="1"/>
  <c r="AG1239" i="1"/>
  <c r="AX1239" i="1" s="1"/>
  <c r="AN1245" i="1"/>
  <c r="AI1245" i="1"/>
  <c r="U1245" i="1"/>
  <c r="X1245" i="1" s="1"/>
  <c r="Z1245" i="1" s="1"/>
  <c r="AJ1241" i="1" l="1"/>
  <c r="CC1241" i="1" s="1"/>
  <c r="AK1240" i="1"/>
  <c r="CC1240" i="1"/>
  <c r="AW1239" i="1"/>
  <c r="AE1241" i="1"/>
  <c r="V1242" i="1"/>
  <c r="AH1242" i="1"/>
  <c r="AO1242" i="1" s="1"/>
  <c r="AQ1242" i="1" s="1"/>
  <c r="AY1240" i="1"/>
  <c r="AZ1240" i="1" s="1"/>
  <c r="AG1240" i="1"/>
  <c r="AX1240" i="1" s="1"/>
  <c r="U1246" i="1"/>
  <c r="X1246" i="1" s="1"/>
  <c r="Z1246" i="1" s="1"/>
  <c r="AN1246" i="1"/>
  <c r="AI1246" i="1"/>
  <c r="AJ1242" i="1" l="1"/>
  <c r="CC1242" i="1" s="1"/>
  <c r="AE1242" i="1"/>
  <c r="V1243" i="1"/>
  <c r="AH1243" i="1"/>
  <c r="AO1243" i="1" s="1"/>
  <c r="AQ1243" i="1" s="1"/>
  <c r="AW1240" i="1"/>
  <c r="AK1241" i="1"/>
  <c r="AG1241" i="1"/>
  <c r="AX1241" i="1" s="1"/>
  <c r="AY1241" i="1"/>
  <c r="AZ1241" i="1" s="1"/>
  <c r="AI1247" i="1"/>
  <c r="AN1247" i="1"/>
  <c r="U1247" i="1"/>
  <c r="X1247" i="1" s="1"/>
  <c r="Z1247" i="1" s="1"/>
  <c r="AJ1243" i="1" l="1"/>
  <c r="AK1242" i="1"/>
  <c r="AW1241" i="1"/>
  <c r="AE1243" i="1"/>
  <c r="V1244" i="1"/>
  <c r="AH1244" i="1"/>
  <c r="AJ1244" i="1" s="1"/>
  <c r="AG1242" i="1"/>
  <c r="AX1242" i="1" s="1"/>
  <c r="AY1242" i="1"/>
  <c r="AZ1242" i="1" s="1"/>
  <c r="AI1248" i="1"/>
  <c r="AN1248" i="1"/>
  <c r="U1248" i="1"/>
  <c r="X1248" i="1" s="1"/>
  <c r="Z1248" i="1" s="1"/>
  <c r="AW1242" i="1" l="1"/>
  <c r="CC1243" i="1"/>
  <c r="AK1243" i="1"/>
  <c r="V1245" i="1"/>
  <c r="AE1244" i="1"/>
  <c r="AH1245" i="1"/>
  <c r="AJ1245" i="1" s="1"/>
  <c r="AO1244" i="1"/>
  <c r="AQ1244" i="1" s="1"/>
  <c r="CC1244" i="1"/>
  <c r="AG1243" i="1"/>
  <c r="AX1243" i="1" s="1"/>
  <c r="AY1243" i="1"/>
  <c r="AZ1243" i="1" s="1"/>
  <c r="AN1249" i="1"/>
  <c r="AI1249" i="1"/>
  <c r="U1249" i="1"/>
  <c r="X1249" i="1" s="1"/>
  <c r="Z1249" i="1" s="1"/>
  <c r="CC1245" i="1" l="1"/>
  <c r="AK1244" i="1"/>
  <c r="AW1243" i="1"/>
  <c r="AE1245" i="1"/>
  <c r="V1246" i="1"/>
  <c r="AH1246" i="1"/>
  <c r="AO1246" i="1" s="1"/>
  <c r="AQ1246" i="1" s="1"/>
  <c r="AY1244" i="1"/>
  <c r="AZ1244" i="1" s="1"/>
  <c r="AG1244" i="1"/>
  <c r="AX1244" i="1" s="1"/>
  <c r="AO1245" i="1"/>
  <c r="AQ1245" i="1" s="1"/>
  <c r="U1250" i="1"/>
  <c r="X1250" i="1" s="1"/>
  <c r="Z1250" i="1" s="1"/>
  <c r="AI1250" i="1"/>
  <c r="AN1250" i="1"/>
  <c r="AJ1246" i="1" l="1"/>
  <c r="AK1245" i="1"/>
  <c r="AW1244" i="1"/>
  <c r="V1247" i="1"/>
  <c r="AE1246" i="1"/>
  <c r="AH1247" i="1"/>
  <c r="AJ1247" i="1" s="1"/>
  <c r="AG1245" i="1"/>
  <c r="AX1245" i="1" s="1"/>
  <c r="AY1245" i="1"/>
  <c r="AZ1245" i="1" s="1"/>
  <c r="AI1251" i="1"/>
  <c r="AN1251" i="1"/>
  <c r="U1251" i="1"/>
  <c r="X1251" i="1" s="1"/>
  <c r="Z1251" i="1" s="1"/>
  <c r="AW1245" i="1" l="1"/>
  <c r="CC1246" i="1"/>
  <c r="AK1246" i="1"/>
  <c r="AO1247" i="1"/>
  <c r="AQ1247" i="1" s="1"/>
  <c r="CC1247" i="1"/>
  <c r="AE1247" i="1"/>
  <c r="V1248" i="1"/>
  <c r="AH1248" i="1"/>
  <c r="AJ1248" i="1" s="1"/>
  <c r="AY1246" i="1"/>
  <c r="AZ1246" i="1" s="1"/>
  <c r="AG1246" i="1"/>
  <c r="AX1246" i="1" s="1"/>
  <c r="U1252" i="1"/>
  <c r="X1252" i="1" s="1"/>
  <c r="Z1252" i="1" s="1"/>
  <c r="AI1252" i="1"/>
  <c r="AN1252" i="1"/>
  <c r="V1249" i="1" l="1"/>
  <c r="AE1248" i="1"/>
  <c r="AH1249" i="1"/>
  <c r="AO1249" i="1" s="1"/>
  <c r="AQ1249" i="1" s="1"/>
  <c r="AO1248" i="1"/>
  <c r="AQ1248" i="1" s="1"/>
  <c r="CC1248" i="1"/>
  <c r="AG1247" i="1"/>
  <c r="AX1247" i="1" s="1"/>
  <c r="AY1247" i="1"/>
  <c r="AZ1247" i="1" s="1"/>
  <c r="AW1246" i="1"/>
  <c r="AK1247" i="1"/>
  <c r="AN1253" i="1"/>
  <c r="AI1253" i="1"/>
  <c r="U1253" i="1"/>
  <c r="X1253" i="1" s="1"/>
  <c r="Z1253" i="1" s="1"/>
  <c r="AJ1249" i="1" l="1"/>
  <c r="AK1248" i="1"/>
  <c r="AW1247" i="1"/>
  <c r="AE1249" i="1"/>
  <c r="V1250" i="1"/>
  <c r="AH1250" i="1"/>
  <c r="AJ1250" i="1" s="1"/>
  <c r="AY1248" i="1"/>
  <c r="AZ1248" i="1" s="1"/>
  <c r="AG1248" i="1"/>
  <c r="AX1248" i="1" s="1"/>
  <c r="CC1249" i="1"/>
  <c r="AN1254" i="1"/>
  <c r="AI1254" i="1"/>
  <c r="U1254" i="1"/>
  <c r="X1254" i="1" s="1"/>
  <c r="Z1254" i="1" s="1"/>
  <c r="AK1249" i="1" l="1"/>
  <c r="AW1248" i="1"/>
  <c r="AE1250" i="1"/>
  <c r="V1251" i="1"/>
  <c r="AH1251" i="1"/>
  <c r="AJ1251" i="1" s="1"/>
  <c r="AO1250" i="1"/>
  <c r="AQ1250" i="1" s="1"/>
  <c r="CC1250" i="1"/>
  <c r="AY1249" i="1"/>
  <c r="AZ1249" i="1" s="1"/>
  <c r="AG1249" i="1"/>
  <c r="AX1249" i="1" s="1"/>
  <c r="U1255" i="1"/>
  <c r="X1255" i="1" s="1"/>
  <c r="Z1255" i="1" s="1"/>
  <c r="AN1255" i="1"/>
  <c r="AI1255" i="1"/>
  <c r="CC1251" i="1" l="1"/>
  <c r="V1252" i="1"/>
  <c r="AO1251" i="1"/>
  <c r="AQ1251" i="1" s="1"/>
  <c r="AK1250" i="1"/>
  <c r="AW1249" i="1"/>
  <c r="AE1251" i="1"/>
  <c r="AH1252" i="1"/>
  <c r="AJ1252" i="1" s="1"/>
  <c r="AK1251" i="1"/>
  <c r="AW1250" i="1"/>
  <c r="AY1250" i="1"/>
  <c r="AZ1250" i="1" s="1"/>
  <c r="AG1250" i="1"/>
  <c r="AX1250" i="1" s="1"/>
  <c r="AN1256" i="1"/>
  <c r="AI1256" i="1"/>
  <c r="U1256" i="1"/>
  <c r="X1256" i="1" s="1"/>
  <c r="Z1256" i="1" s="1"/>
  <c r="AW1251" i="1" l="1"/>
  <c r="CC1252" i="1"/>
  <c r="AK1252" i="1"/>
  <c r="AE1252" i="1"/>
  <c r="V1253" i="1"/>
  <c r="AH1253" i="1"/>
  <c r="AO1253" i="1" s="1"/>
  <c r="AQ1253" i="1" s="1"/>
  <c r="AY1251" i="1"/>
  <c r="AZ1251" i="1" s="1"/>
  <c r="AG1251" i="1"/>
  <c r="AX1251" i="1" s="1"/>
  <c r="AO1252" i="1"/>
  <c r="AQ1252" i="1" s="1"/>
  <c r="AN1257" i="1"/>
  <c r="AI1257" i="1"/>
  <c r="U1257" i="1"/>
  <c r="X1257" i="1" s="1"/>
  <c r="Z1257" i="1" s="1"/>
  <c r="AJ1253" i="1" l="1"/>
  <c r="AE1253" i="1"/>
  <c r="V1254" i="1"/>
  <c r="AH1254" i="1"/>
  <c r="AO1254" i="1" s="1"/>
  <c r="AQ1254" i="1" s="1"/>
  <c r="AY1252" i="1"/>
  <c r="AZ1252" i="1" s="1"/>
  <c r="AG1252" i="1"/>
  <c r="AX1252" i="1" s="1"/>
  <c r="AN1258" i="1"/>
  <c r="U1258" i="1"/>
  <c r="X1258" i="1" s="1"/>
  <c r="Z1258" i="1" s="1"/>
  <c r="AI1258" i="1"/>
  <c r="AJ1254" i="1" l="1"/>
  <c r="CC1254" i="1" s="1"/>
  <c r="AK1253" i="1"/>
  <c r="CC1253" i="1"/>
  <c r="AW1252" i="1"/>
  <c r="AE1254" i="1"/>
  <c r="V1255" i="1"/>
  <c r="AH1255" i="1"/>
  <c r="AO1255" i="1" s="1"/>
  <c r="AQ1255" i="1" s="1"/>
  <c r="AY1253" i="1"/>
  <c r="AZ1253" i="1" s="1"/>
  <c r="AG1253" i="1"/>
  <c r="AX1253" i="1" s="1"/>
  <c r="AN1259" i="1"/>
  <c r="U1259" i="1"/>
  <c r="X1259" i="1" s="1"/>
  <c r="Z1259" i="1" s="1"/>
  <c r="AI1259" i="1"/>
  <c r="AJ1255" i="1" l="1"/>
  <c r="AK1255" i="1" s="1"/>
  <c r="AW1253" i="1"/>
  <c r="AK1254" i="1"/>
  <c r="AE1255" i="1"/>
  <c r="V1256" i="1"/>
  <c r="AH1256" i="1"/>
  <c r="AJ1256" i="1" s="1"/>
  <c r="AG1254" i="1"/>
  <c r="AX1254" i="1" s="1"/>
  <c r="AY1254" i="1"/>
  <c r="AZ1254" i="1" s="1"/>
  <c r="AN1260" i="1"/>
  <c r="U1260" i="1"/>
  <c r="X1260" i="1" s="1"/>
  <c r="Z1260" i="1" s="1"/>
  <c r="AI1260" i="1"/>
  <c r="CC1255" i="1" l="1"/>
  <c r="AW1254" i="1"/>
  <c r="V1257" i="1"/>
  <c r="AE1256" i="1"/>
  <c r="AH1257" i="1"/>
  <c r="AJ1257" i="1" s="1"/>
  <c r="CC1256" i="1"/>
  <c r="AO1256" i="1"/>
  <c r="AQ1256" i="1" s="1"/>
  <c r="AG1255" i="1"/>
  <c r="AX1255" i="1" s="1"/>
  <c r="AY1255" i="1"/>
  <c r="AZ1255" i="1" s="1"/>
  <c r="U1261" i="1"/>
  <c r="X1261" i="1" s="1"/>
  <c r="Z1261" i="1" s="1"/>
  <c r="AN1261" i="1"/>
  <c r="AI1261" i="1"/>
  <c r="AW1256" i="1" l="1"/>
  <c r="AK1257" i="1"/>
  <c r="CC1257" i="1"/>
  <c r="AE1257" i="1"/>
  <c r="V1258" i="1"/>
  <c r="AH1258" i="1"/>
  <c r="AJ1258" i="1" s="1"/>
  <c r="AK1256" i="1"/>
  <c r="AW1255" i="1"/>
  <c r="AG1256" i="1"/>
  <c r="AX1256" i="1" s="1"/>
  <c r="AY1256" i="1"/>
  <c r="AZ1256" i="1" s="1"/>
  <c r="AO1257" i="1"/>
  <c r="AQ1257" i="1" s="1"/>
  <c r="U1262" i="1"/>
  <c r="X1262" i="1" s="1"/>
  <c r="Z1262" i="1" s="1"/>
  <c r="AN1262" i="1"/>
  <c r="AI1262" i="1"/>
  <c r="V1259" i="1" l="1"/>
  <c r="AE1258" i="1"/>
  <c r="AH1259" i="1"/>
  <c r="AJ1259" i="1" s="1"/>
  <c r="AO1258" i="1"/>
  <c r="AQ1258" i="1" s="1"/>
  <c r="CC1258" i="1"/>
  <c r="AG1257" i="1"/>
  <c r="AX1257" i="1" s="1"/>
  <c r="AY1257" i="1"/>
  <c r="AZ1257" i="1" s="1"/>
  <c r="AI1263" i="1"/>
  <c r="AN1263" i="1"/>
  <c r="U1263" i="1"/>
  <c r="X1263" i="1" s="1"/>
  <c r="Z1263" i="1" s="1"/>
  <c r="V1260" i="1" l="1"/>
  <c r="AE1259" i="1"/>
  <c r="AH1260" i="1"/>
  <c r="AO1260" i="1" s="1"/>
  <c r="AQ1260" i="1" s="1"/>
  <c r="AO1259" i="1"/>
  <c r="AQ1259" i="1" s="1"/>
  <c r="CC1259" i="1"/>
  <c r="AK1258" i="1"/>
  <c r="AW1257" i="1"/>
  <c r="AG1258" i="1"/>
  <c r="AX1258" i="1" s="1"/>
  <c r="AY1258" i="1"/>
  <c r="AZ1258" i="1" s="1"/>
  <c r="AN1264" i="1"/>
  <c r="U1264" i="1"/>
  <c r="X1264" i="1" s="1"/>
  <c r="Z1264" i="1" s="1"/>
  <c r="AI1264" i="1"/>
  <c r="AJ1260" i="1" l="1"/>
  <c r="AW1259" i="1" s="1"/>
  <c r="V1261" i="1"/>
  <c r="AE1260" i="1"/>
  <c r="AH1261" i="1"/>
  <c r="AO1261" i="1" s="1"/>
  <c r="AQ1261" i="1" s="1"/>
  <c r="AW1258" i="1"/>
  <c r="AK1259" i="1"/>
  <c r="AY1259" i="1"/>
  <c r="AZ1259" i="1" s="1"/>
  <c r="AG1259" i="1"/>
  <c r="AX1259" i="1" s="1"/>
  <c r="AI1265" i="1"/>
  <c r="U1265" i="1"/>
  <c r="X1265" i="1" s="1"/>
  <c r="Z1265" i="1" s="1"/>
  <c r="AN1265" i="1"/>
  <c r="AJ1261" i="1" l="1"/>
  <c r="AK1260" i="1"/>
  <c r="CC1260" i="1"/>
  <c r="AE1261" i="1"/>
  <c r="V1262" i="1"/>
  <c r="AH1262" i="1"/>
  <c r="AO1262" i="1" s="1"/>
  <c r="AQ1262" i="1" s="1"/>
  <c r="AY1260" i="1"/>
  <c r="AZ1260" i="1" s="1"/>
  <c r="AG1260" i="1"/>
  <c r="AX1260" i="1" s="1"/>
  <c r="U1266" i="1"/>
  <c r="X1266" i="1" s="1"/>
  <c r="Z1266" i="1" s="1"/>
  <c r="AN1266" i="1"/>
  <c r="AI1266" i="1"/>
  <c r="AJ1262" i="1" l="1"/>
  <c r="CC1262" i="1" s="1"/>
  <c r="AK1261" i="1"/>
  <c r="CC1261" i="1"/>
  <c r="AW1260" i="1"/>
  <c r="V1263" i="1"/>
  <c r="AE1262" i="1"/>
  <c r="AH1263" i="1"/>
  <c r="AJ1263" i="1" s="1"/>
  <c r="AY1261" i="1"/>
  <c r="AZ1261" i="1" s="1"/>
  <c r="AG1261" i="1"/>
  <c r="AX1261" i="1" s="1"/>
  <c r="U1267" i="1"/>
  <c r="X1267" i="1" s="1"/>
  <c r="Z1267" i="1" s="1"/>
  <c r="AI1267" i="1"/>
  <c r="AN1267" i="1"/>
  <c r="V1264" i="1" l="1"/>
  <c r="AK1262" i="1"/>
  <c r="AW1261" i="1"/>
  <c r="AE1263" i="1"/>
  <c r="AH1264" i="1"/>
  <c r="AO1264" i="1" s="1"/>
  <c r="AQ1264" i="1" s="1"/>
  <c r="CC1263" i="1"/>
  <c r="AO1263" i="1"/>
  <c r="AQ1263" i="1" s="1"/>
  <c r="AY1262" i="1"/>
  <c r="AZ1262" i="1" s="1"/>
  <c r="AG1262" i="1"/>
  <c r="AX1262" i="1" s="1"/>
  <c r="AN1268" i="1"/>
  <c r="AI1268" i="1"/>
  <c r="U1268" i="1"/>
  <c r="X1268" i="1" s="1"/>
  <c r="Z1268" i="1" s="1"/>
  <c r="AJ1264" i="1" l="1"/>
  <c r="V1265" i="1"/>
  <c r="AE1264" i="1"/>
  <c r="AH1265" i="1"/>
  <c r="AJ1265" i="1" s="1"/>
  <c r="AK1263" i="1"/>
  <c r="AW1262" i="1"/>
  <c r="AY1263" i="1"/>
  <c r="AZ1263" i="1" s="1"/>
  <c r="AG1263" i="1"/>
  <c r="AX1263" i="1" s="1"/>
  <c r="AN1269" i="1"/>
  <c r="U1269" i="1"/>
  <c r="X1269" i="1" s="1"/>
  <c r="Z1269" i="1" s="1"/>
  <c r="AI1269" i="1"/>
  <c r="AW1263" i="1" l="1"/>
  <c r="CC1264" i="1"/>
  <c r="AK1264" i="1"/>
  <c r="AE1265" i="1"/>
  <c r="V1266" i="1"/>
  <c r="AH1266" i="1"/>
  <c r="AJ1266" i="1" s="1"/>
  <c r="AO1265" i="1"/>
  <c r="AQ1265" i="1" s="1"/>
  <c r="CC1265" i="1"/>
  <c r="AY1264" i="1"/>
  <c r="AZ1264" i="1" s="1"/>
  <c r="AG1264" i="1"/>
  <c r="AX1264" i="1" s="1"/>
  <c r="AN1270" i="1"/>
  <c r="U1270" i="1"/>
  <c r="X1270" i="1" s="1"/>
  <c r="Z1270" i="1" s="1"/>
  <c r="AI1270" i="1"/>
  <c r="V1267" i="1" l="1"/>
  <c r="AE1266" i="1"/>
  <c r="AH1267" i="1"/>
  <c r="AJ1267" i="1" s="1"/>
  <c r="AK1265" i="1"/>
  <c r="AW1264" i="1"/>
  <c r="AO1266" i="1"/>
  <c r="AQ1266" i="1" s="1"/>
  <c r="CC1266" i="1"/>
  <c r="AY1265" i="1"/>
  <c r="AZ1265" i="1" s="1"/>
  <c r="AG1265" i="1"/>
  <c r="AX1265" i="1" s="1"/>
  <c r="AN1271" i="1"/>
  <c r="U1271" i="1"/>
  <c r="X1271" i="1" s="1"/>
  <c r="Z1271" i="1" s="1"/>
  <c r="AI1271" i="1"/>
  <c r="AK1267" i="1" l="1"/>
  <c r="CC1267" i="1"/>
  <c r="AW1266" i="1"/>
  <c r="AK1266" i="1"/>
  <c r="AW1265" i="1"/>
  <c r="V1268" i="1"/>
  <c r="AE1267" i="1"/>
  <c r="AH1268" i="1"/>
  <c r="AO1268" i="1" s="1"/>
  <c r="AQ1268" i="1" s="1"/>
  <c r="AG1266" i="1"/>
  <c r="AX1266" i="1" s="1"/>
  <c r="AY1266" i="1"/>
  <c r="AZ1266" i="1" s="1"/>
  <c r="AO1267" i="1"/>
  <c r="AQ1267" i="1" s="1"/>
  <c r="U1272" i="1"/>
  <c r="X1272" i="1" s="1"/>
  <c r="Z1272" i="1" s="1"/>
  <c r="AN1272" i="1"/>
  <c r="AI1272" i="1"/>
  <c r="AJ1268" i="1" l="1"/>
  <c r="CC1268" i="1" s="1"/>
  <c r="AE1268" i="1"/>
  <c r="V1269" i="1"/>
  <c r="AH1269" i="1"/>
  <c r="AO1269" i="1" s="1"/>
  <c r="AQ1269" i="1" s="1"/>
  <c r="AY1267" i="1"/>
  <c r="AZ1267" i="1" s="1"/>
  <c r="AG1267" i="1"/>
  <c r="AX1267" i="1" s="1"/>
  <c r="AI1273" i="1"/>
  <c r="AN1273" i="1"/>
  <c r="U1273" i="1"/>
  <c r="X1273" i="1" s="1"/>
  <c r="Z1273" i="1" s="1"/>
  <c r="AJ1269" i="1" l="1"/>
  <c r="AW1267" i="1"/>
  <c r="AK1268" i="1"/>
  <c r="AE1269" i="1"/>
  <c r="V1270" i="1"/>
  <c r="AH1270" i="1"/>
  <c r="AO1270" i="1" s="1"/>
  <c r="AQ1270" i="1" s="1"/>
  <c r="AG1268" i="1"/>
  <c r="AX1268" i="1" s="1"/>
  <c r="AY1268" i="1"/>
  <c r="AZ1268" i="1" s="1"/>
  <c r="AI1274" i="1"/>
  <c r="AN1274" i="1"/>
  <c r="U1274" i="1"/>
  <c r="X1274" i="1" s="1"/>
  <c r="Z1274" i="1" s="1"/>
  <c r="AJ1270" i="1" l="1"/>
  <c r="CC1270" i="1" s="1"/>
  <c r="V1271" i="1"/>
  <c r="AK1269" i="1"/>
  <c r="CC1269" i="1"/>
  <c r="AW1268" i="1"/>
  <c r="AE1270" i="1"/>
  <c r="AH1271" i="1"/>
  <c r="AJ1271" i="1" s="1"/>
  <c r="AG1269" i="1"/>
  <c r="AX1269" i="1" s="1"/>
  <c r="AY1269" i="1"/>
  <c r="AZ1269" i="1" s="1"/>
  <c r="U1275" i="1"/>
  <c r="X1275" i="1" s="1"/>
  <c r="Z1275" i="1" s="1"/>
  <c r="AI1275" i="1"/>
  <c r="AN1275" i="1"/>
  <c r="V1272" i="1" l="1"/>
  <c r="AE1271" i="1"/>
  <c r="AH1272" i="1"/>
  <c r="AJ1272" i="1" s="1"/>
  <c r="AW1269" i="1"/>
  <c r="AK1270" i="1"/>
  <c r="AO1271" i="1"/>
  <c r="AQ1271" i="1" s="1"/>
  <c r="CC1271" i="1"/>
  <c r="AY1270" i="1"/>
  <c r="AZ1270" i="1" s="1"/>
  <c r="AG1270" i="1"/>
  <c r="AX1270" i="1" s="1"/>
  <c r="AI1276" i="1"/>
  <c r="U1276" i="1"/>
  <c r="X1276" i="1" s="1"/>
  <c r="Z1276" i="1" s="1"/>
  <c r="AN1276" i="1"/>
  <c r="CC1272" i="1" l="1"/>
  <c r="AO1272" i="1"/>
  <c r="AQ1272" i="1" s="1"/>
  <c r="AW1271" i="1"/>
  <c r="AK1272" i="1"/>
  <c r="V1273" i="1"/>
  <c r="AE1272" i="1"/>
  <c r="AH1273" i="1"/>
  <c r="AO1273" i="1" s="1"/>
  <c r="AQ1273" i="1" s="1"/>
  <c r="AK1271" i="1"/>
  <c r="AW1270" i="1"/>
  <c r="AG1271" i="1"/>
  <c r="AX1271" i="1" s="1"/>
  <c r="AY1271" i="1"/>
  <c r="AZ1271" i="1" s="1"/>
  <c r="AN1277" i="1"/>
  <c r="AI1277" i="1"/>
  <c r="U1277" i="1"/>
  <c r="X1277" i="1" s="1"/>
  <c r="Z1277" i="1" s="1"/>
  <c r="AJ1273" i="1" l="1"/>
  <c r="V1274" i="1"/>
  <c r="AE1273" i="1"/>
  <c r="AH1274" i="1"/>
  <c r="AJ1274" i="1" s="1"/>
  <c r="AG1272" i="1"/>
  <c r="AX1272" i="1" s="1"/>
  <c r="AY1272" i="1"/>
  <c r="AZ1272" i="1" s="1"/>
  <c r="AN1278" i="1"/>
  <c r="U1278" i="1"/>
  <c r="X1278" i="1" s="1"/>
  <c r="Z1278" i="1" s="1"/>
  <c r="AI1278" i="1"/>
  <c r="AK1273" i="1" l="1"/>
  <c r="CC1273" i="1"/>
  <c r="AW1272" i="1"/>
  <c r="AE1274" i="1"/>
  <c r="V1275" i="1"/>
  <c r="AH1275" i="1"/>
  <c r="AO1275" i="1" s="1"/>
  <c r="AQ1275" i="1" s="1"/>
  <c r="AO1274" i="1"/>
  <c r="AQ1274" i="1" s="1"/>
  <c r="CC1274" i="1"/>
  <c r="AY1273" i="1"/>
  <c r="AZ1273" i="1" s="1"/>
  <c r="AG1273" i="1"/>
  <c r="AX1273" i="1" s="1"/>
  <c r="AN1279" i="1"/>
  <c r="AI1279" i="1"/>
  <c r="U1279" i="1"/>
  <c r="X1279" i="1" s="1"/>
  <c r="Z1279" i="1" s="1"/>
  <c r="AJ1275" i="1" l="1"/>
  <c r="CC1275" i="1" s="1"/>
  <c r="V1276" i="1"/>
  <c r="AW1273" i="1"/>
  <c r="AK1274" i="1"/>
  <c r="AE1275" i="1"/>
  <c r="AH1276" i="1"/>
  <c r="AO1276" i="1" s="1"/>
  <c r="AQ1276" i="1" s="1"/>
  <c r="AY1274" i="1"/>
  <c r="AZ1274" i="1" s="1"/>
  <c r="AG1274" i="1"/>
  <c r="AX1274" i="1" s="1"/>
  <c r="U1280" i="1"/>
  <c r="X1280" i="1" s="1"/>
  <c r="Z1280" i="1" s="1"/>
  <c r="AI1280" i="1"/>
  <c r="AN1280" i="1"/>
  <c r="AJ1276" i="1" l="1"/>
  <c r="V1277" i="1"/>
  <c r="AW1274" i="1"/>
  <c r="AK1275" i="1"/>
  <c r="AE1276" i="1"/>
  <c r="AH1277" i="1"/>
  <c r="AJ1277" i="1" s="1"/>
  <c r="AY1275" i="1"/>
  <c r="AZ1275" i="1" s="1"/>
  <c r="AG1275" i="1"/>
  <c r="AX1275" i="1" s="1"/>
  <c r="CC1276" i="1"/>
  <c r="U1281" i="1"/>
  <c r="X1281" i="1" s="1"/>
  <c r="Z1281" i="1" s="1"/>
  <c r="AN1281" i="1"/>
  <c r="AI1281" i="1"/>
  <c r="V1278" i="1" l="1"/>
  <c r="AK1276" i="1"/>
  <c r="AW1275" i="1"/>
  <c r="AE1277" i="1"/>
  <c r="AH1278" i="1"/>
  <c r="AJ1278" i="1" s="1"/>
  <c r="AO1277" i="1"/>
  <c r="AQ1277" i="1" s="1"/>
  <c r="CC1277" i="1"/>
  <c r="AY1276" i="1"/>
  <c r="AZ1276" i="1" s="1"/>
  <c r="AG1276" i="1"/>
  <c r="AX1276" i="1" s="1"/>
  <c r="AI1282" i="1"/>
  <c r="U1282" i="1"/>
  <c r="X1282" i="1" s="1"/>
  <c r="Z1282" i="1" s="1"/>
  <c r="AN1282" i="1"/>
  <c r="V1279" i="1" l="1"/>
  <c r="AE1278" i="1"/>
  <c r="AH1279" i="1"/>
  <c r="AJ1279" i="1" s="1"/>
  <c r="AK1277" i="1"/>
  <c r="AW1276" i="1"/>
  <c r="AO1278" i="1"/>
  <c r="AQ1278" i="1" s="1"/>
  <c r="CC1278" i="1"/>
  <c r="AG1277" i="1"/>
  <c r="AX1277" i="1" s="1"/>
  <c r="AY1277" i="1"/>
  <c r="AZ1277" i="1" s="1"/>
  <c r="AI1283" i="1"/>
  <c r="AN1283" i="1"/>
  <c r="U1283" i="1"/>
  <c r="X1283" i="1" s="1"/>
  <c r="Z1283" i="1" s="1"/>
  <c r="V1280" i="1" l="1"/>
  <c r="AE1279" i="1"/>
  <c r="AH1280" i="1"/>
  <c r="AJ1280" i="1" s="1"/>
  <c r="AK1278" i="1"/>
  <c r="AW1277" i="1"/>
  <c r="CC1279" i="1"/>
  <c r="AO1279" i="1"/>
  <c r="AQ1279" i="1" s="1"/>
  <c r="AY1278" i="1"/>
  <c r="AZ1278" i="1" s="1"/>
  <c r="AG1278" i="1"/>
  <c r="AX1278" i="1" s="1"/>
  <c r="U1284" i="1"/>
  <c r="X1284" i="1" s="1"/>
  <c r="Z1284" i="1" s="1"/>
  <c r="AN1284" i="1"/>
  <c r="AI1284" i="1"/>
  <c r="V1281" i="1" l="1"/>
  <c r="AK1279" i="1"/>
  <c r="AW1278" i="1"/>
  <c r="AE1280" i="1"/>
  <c r="AH1281" i="1"/>
  <c r="AJ1281" i="1" s="1"/>
  <c r="AO1280" i="1"/>
  <c r="AQ1280" i="1" s="1"/>
  <c r="CC1280" i="1"/>
  <c r="AY1279" i="1"/>
  <c r="AZ1279" i="1" s="1"/>
  <c r="AG1279" i="1"/>
  <c r="AX1279" i="1" s="1"/>
  <c r="AI1285" i="1"/>
  <c r="AN1285" i="1"/>
  <c r="U1285" i="1"/>
  <c r="X1285" i="1" s="1"/>
  <c r="Z1285" i="1" s="1"/>
  <c r="V1282" i="1" l="1"/>
  <c r="AE1281" i="1"/>
  <c r="AH1282" i="1"/>
  <c r="AJ1282" i="1" s="1"/>
  <c r="AK1280" i="1"/>
  <c r="AW1279" i="1"/>
  <c r="AO1281" i="1"/>
  <c r="AQ1281" i="1" s="1"/>
  <c r="CC1281" i="1"/>
  <c r="AY1280" i="1"/>
  <c r="AZ1280" i="1" s="1"/>
  <c r="AG1280" i="1"/>
  <c r="AX1280" i="1" s="1"/>
  <c r="AI1286" i="1"/>
  <c r="U1286" i="1"/>
  <c r="X1286" i="1" s="1"/>
  <c r="Z1286" i="1" s="1"/>
  <c r="AN1286" i="1"/>
  <c r="V1283" i="1" l="1"/>
  <c r="AE1282" i="1"/>
  <c r="AH1283" i="1"/>
  <c r="AJ1283" i="1" s="1"/>
  <c r="AW1280" i="1"/>
  <c r="AK1281" i="1"/>
  <c r="AO1282" i="1"/>
  <c r="AQ1282" i="1" s="1"/>
  <c r="CC1282" i="1"/>
  <c r="AY1281" i="1"/>
  <c r="AZ1281" i="1" s="1"/>
  <c r="AG1281" i="1"/>
  <c r="AX1281" i="1" s="1"/>
  <c r="AI1287" i="1"/>
  <c r="U1287" i="1"/>
  <c r="X1287" i="1" s="1"/>
  <c r="Z1287" i="1" s="1"/>
  <c r="AN1287" i="1"/>
  <c r="AE1283" i="1" l="1"/>
  <c r="V1284" i="1"/>
  <c r="AH1284" i="1"/>
  <c r="AO1284" i="1" s="1"/>
  <c r="AQ1284" i="1" s="1"/>
  <c r="AO1283" i="1"/>
  <c r="AQ1283" i="1" s="1"/>
  <c r="CC1283" i="1"/>
  <c r="AK1282" i="1"/>
  <c r="AW1281" i="1"/>
  <c r="AY1282" i="1"/>
  <c r="AZ1282" i="1" s="1"/>
  <c r="AG1282" i="1"/>
  <c r="AX1282" i="1" s="1"/>
  <c r="AI1288" i="1"/>
  <c r="U1288" i="1"/>
  <c r="X1288" i="1" s="1"/>
  <c r="Z1288" i="1" s="1"/>
  <c r="AN1288" i="1"/>
  <c r="AJ1284" i="1" l="1"/>
  <c r="AK1283" i="1"/>
  <c r="AW1282" i="1"/>
  <c r="V1285" i="1"/>
  <c r="AE1284" i="1"/>
  <c r="AH1285" i="1"/>
  <c r="AJ1285" i="1" s="1"/>
  <c r="AY1283" i="1"/>
  <c r="AZ1283" i="1" s="1"/>
  <c r="AG1283" i="1"/>
  <c r="AX1283" i="1" s="1"/>
  <c r="AI1289" i="1"/>
  <c r="AN1289" i="1"/>
  <c r="U1289" i="1"/>
  <c r="X1289" i="1" s="1"/>
  <c r="Z1289" i="1" s="1"/>
  <c r="AW1283" i="1" l="1"/>
  <c r="CC1284" i="1"/>
  <c r="AK1284" i="1"/>
  <c r="AE1285" i="1"/>
  <c r="V1286" i="1"/>
  <c r="AH1286" i="1"/>
  <c r="AO1286" i="1" s="1"/>
  <c r="AQ1286" i="1" s="1"/>
  <c r="CC1285" i="1"/>
  <c r="AO1285" i="1"/>
  <c r="AQ1285" i="1" s="1"/>
  <c r="AY1284" i="1"/>
  <c r="AZ1284" i="1" s="1"/>
  <c r="AG1284" i="1"/>
  <c r="AX1284" i="1" s="1"/>
  <c r="AN1290" i="1"/>
  <c r="U1290" i="1"/>
  <c r="X1290" i="1" s="1"/>
  <c r="Z1290" i="1" s="1"/>
  <c r="AI1290" i="1"/>
  <c r="AJ1286" i="1" l="1"/>
  <c r="CC1286" i="1" s="1"/>
  <c r="AE1286" i="1"/>
  <c r="V1287" i="1"/>
  <c r="AH1287" i="1"/>
  <c r="AJ1287" i="1" s="1"/>
  <c r="AW1284" i="1"/>
  <c r="AK1285" i="1"/>
  <c r="AG1285" i="1"/>
  <c r="AX1285" i="1" s="1"/>
  <c r="AY1285" i="1"/>
  <c r="AZ1285" i="1" s="1"/>
  <c r="AN1291" i="1"/>
  <c r="U1291" i="1"/>
  <c r="X1291" i="1" s="1"/>
  <c r="Z1291" i="1" s="1"/>
  <c r="AI1291" i="1"/>
  <c r="AK1286" i="1" l="1"/>
  <c r="AW1285" i="1"/>
  <c r="V1288" i="1"/>
  <c r="AE1287" i="1"/>
  <c r="AH1288" i="1"/>
  <c r="AO1288" i="1" s="1"/>
  <c r="AQ1288" i="1" s="1"/>
  <c r="CC1287" i="1"/>
  <c r="AO1287" i="1"/>
  <c r="AQ1287" i="1" s="1"/>
  <c r="AG1286" i="1"/>
  <c r="AX1286" i="1" s="1"/>
  <c r="AY1286" i="1"/>
  <c r="AZ1286" i="1" s="1"/>
  <c r="AN1292" i="1"/>
  <c r="U1292" i="1"/>
  <c r="X1292" i="1" s="1"/>
  <c r="Z1292" i="1" s="1"/>
  <c r="AI1292" i="1"/>
  <c r="AJ1288" i="1" l="1"/>
  <c r="CC1288" i="1" s="1"/>
  <c r="V1289" i="1"/>
  <c r="AE1288" i="1"/>
  <c r="AH1289" i="1"/>
  <c r="AO1289" i="1" s="1"/>
  <c r="AQ1289" i="1" s="1"/>
  <c r="AW1286" i="1"/>
  <c r="AK1287" i="1"/>
  <c r="AY1287" i="1"/>
  <c r="AZ1287" i="1" s="1"/>
  <c r="AG1287" i="1"/>
  <c r="AX1287" i="1" s="1"/>
  <c r="U1293" i="1"/>
  <c r="X1293" i="1" s="1"/>
  <c r="Z1293" i="1" s="1"/>
  <c r="AN1293" i="1"/>
  <c r="AI1293" i="1"/>
  <c r="AJ1289" i="1" l="1"/>
  <c r="AW1287" i="1"/>
  <c r="V1290" i="1"/>
  <c r="AK1288" i="1"/>
  <c r="CC1289" i="1"/>
  <c r="AE1289" i="1"/>
  <c r="AH1290" i="1"/>
  <c r="AO1290" i="1" s="1"/>
  <c r="AQ1290" i="1" s="1"/>
  <c r="AG1288" i="1"/>
  <c r="AX1288" i="1" s="1"/>
  <c r="AY1288" i="1"/>
  <c r="AZ1288" i="1" s="1"/>
  <c r="AI1294" i="1"/>
  <c r="U1294" i="1"/>
  <c r="X1294" i="1" s="1"/>
  <c r="Z1294" i="1" s="1"/>
  <c r="AN1294" i="1"/>
  <c r="AJ1290" i="1" l="1"/>
  <c r="V1291" i="1"/>
  <c r="AK1289" i="1"/>
  <c r="AW1288" i="1"/>
  <c r="AE1290" i="1"/>
  <c r="AH1291" i="1"/>
  <c r="AJ1291" i="1" s="1"/>
  <c r="AY1289" i="1"/>
  <c r="AZ1289" i="1" s="1"/>
  <c r="AG1289" i="1"/>
  <c r="AX1289" i="1" s="1"/>
  <c r="U1295" i="1"/>
  <c r="X1295" i="1" s="1"/>
  <c r="Z1295" i="1" s="1"/>
  <c r="AI1295" i="1"/>
  <c r="AN1295" i="1"/>
  <c r="V1292" i="1" l="1"/>
  <c r="AK1290" i="1"/>
  <c r="CC1290" i="1"/>
  <c r="AW1289" i="1"/>
  <c r="AE1291" i="1"/>
  <c r="AH1292" i="1"/>
  <c r="AO1292" i="1" s="1"/>
  <c r="AQ1292" i="1" s="1"/>
  <c r="AO1291" i="1"/>
  <c r="AQ1291" i="1" s="1"/>
  <c r="CC1291" i="1"/>
  <c r="AG1290" i="1"/>
  <c r="AX1290" i="1" s="1"/>
  <c r="AY1290" i="1"/>
  <c r="AZ1290" i="1" s="1"/>
  <c r="AN1296" i="1"/>
  <c r="U1296" i="1"/>
  <c r="X1296" i="1" s="1"/>
  <c r="Z1296" i="1" s="1"/>
  <c r="AI1296" i="1"/>
  <c r="AJ1292" i="1" l="1"/>
  <c r="CC1292" i="1" s="1"/>
  <c r="AK1291" i="1"/>
  <c r="AW1290" i="1"/>
  <c r="V1293" i="1"/>
  <c r="AE1292" i="1"/>
  <c r="AH1293" i="1"/>
  <c r="AO1293" i="1" s="1"/>
  <c r="AQ1293" i="1" s="1"/>
  <c r="AG1291" i="1"/>
  <c r="AX1291" i="1" s="1"/>
  <c r="AY1291" i="1"/>
  <c r="AZ1291" i="1" s="1"/>
  <c r="AI1297" i="1"/>
  <c r="AN1297" i="1"/>
  <c r="U1297" i="1"/>
  <c r="X1297" i="1" s="1"/>
  <c r="Z1297" i="1" s="1"/>
  <c r="AJ1293" i="1" l="1"/>
  <c r="AE1293" i="1"/>
  <c r="V1294" i="1"/>
  <c r="AH1294" i="1"/>
  <c r="AO1294" i="1" s="1"/>
  <c r="AQ1294" i="1" s="1"/>
  <c r="AW1291" i="1"/>
  <c r="AK1292" i="1"/>
  <c r="AG1292" i="1"/>
  <c r="AX1292" i="1" s="1"/>
  <c r="AY1292" i="1"/>
  <c r="AZ1292" i="1" s="1"/>
  <c r="CC1293" i="1"/>
  <c r="AN1298" i="1"/>
  <c r="AI1298" i="1"/>
  <c r="U1298" i="1"/>
  <c r="X1298" i="1" s="1"/>
  <c r="Z1298" i="1" s="1"/>
  <c r="AJ1294" i="1" l="1"/>
  <c r="V1295" i="1"/>
  <c r="AE1294" i="1"/>
  <c r="AH1295" i="1"/>
  <c r="AJ1295" i="1" s="1"/>
  <c r="AW1292" i="1"/>
  <c r="AK1293" i="1"/>
  <c r="AG1293" i="1"/>
  <c r="AX1293" i="1" s="1"/>
  <c r="AY1293" i="1"/>
  <c r="AZ1293" i="1" s="1"/>
  <c r="CC1294" i="1"/>
  <c r="U1299" i="1"/>
  <c r="X1299" i="1" s="1"/>
  <c r="Z1299" i="1" s="1"/>
  <c r="AN1299" i="1"/>
  <c r="AI1299" i="1"/>
  <c r="CC1295" i="1" l="1"/>
  <c r="AO1295" i="1"/>
  <c r="AQ1295" i="1" s="1"/>
  <c r="V1296" i="1"/>
  <c r="AE1295" i="1"/>
  <c r="AH1296" i="1"/>
  <c r="AJ1296" i="1" s="1"/>
  <c r="AK1294" i="1"/>
  <c r="AW1293" i="1"/>
  <c r="AG1294" i="1"/>
  <c r="AX1294" i="1" s="1"/>
  <c r="AY1294" i="1"/>
  <c r="AZ1294" i="1" s="1"/>
  <c r="AI1300" i="1"/>
  <c r="AN1300" i="1"/>
  <c r="U1300" i="1"/>
  <c r="X1300" i="1" s="1"/>
  <c r="Z1300" i="1" s="1"/>
  <c r="AW1294" i="1" l="1"/>
  <c r="AK1295" i="1"/>
  <c r="V1297" i="1"/>
  <c r="AE1296" i="1"/>
  <c r="AH1297" i="1"/>
  <c r="AO1297" i="1" s="1"/>
  <c r="AQ1297" i="1" s="1"/>
  <c r="AO1296" i="1"/>
  <c r="AQ1296" i="1" s="1"/>
  <c r="CC1296" i="1"/>
  <c r="AY1295" i="1"/>
  <c r="AZ1295" i="1" s="1"/>
  <c r="AG1295" i="1"/>
  <c r="AX1295" i="1" s="1"/>
  <c r="AI1301" i="1"/>
  <c r="AN1301" i="1"/>
  <c r="U1301" i="1"/>
  <c r="X1301" i="1" s="1"/>
  <c r="Z1301" i="1" s="1"/>
  <c r="AJ1297" i="1" l="1"/>
  <c r="AK1297" i="1" s="1"/>
  <c r="AE1297" i="1"/>
  <c r="V1298" i="1"/>
  <c r="AH1298" i="1"/>
  <c r="AO1298" i="1" s="1"/>
  <c r="AQ1298" i="1" s="1"/>
  <c r="AK1296" i="1"/>
  <c r="AW1295" i="1"/>
  <c r="AG1296" i="1"/>
  <c r="AX1296" i="1" s="1"/>
  <c r="AY1296" i="1"/>
  <c r="AZ1296" i="1" s="1"/>
  <c r="U1302" i="1"/>
  <c r="X1302" i="1" s="1"/>
  <c r="Z1302" i="1" s="1"/>
  <c r="AI1302" i="1"/>
  <c r="AN1302" i="1"/>
  <c r="AJ1298" i="1" l="1"/>
  <c r="AW1296" i="1"/>
  <c r="CC1297" i="1"/>
  <c r="AE1298" i="1"/>
  <c r="V1299" i="1"/>
  <c r="AH1299" i="1"/>
  <c r="AJ1299" i="1" s="1"/>
  <c r="AG1297" i="1"/>
  <c r="AX1297" i="1" s="1"/>
  <c r="AY1297" i="1"/>
  <c r="AZ1297" i="1" s="1"/>
  <c r="U1303" i="1"/>
  <c r="X1303" i="1" s="1"/>
  <c r="Z1303" i="1" s="1"/>
  <c r="AI1303" i="1"/>
  <c r="AN1303" i="1"/>
  <c r="AW1297" i="1" l="1"/>
  <c r="CC1298" i="1"/>
  <c r="AK1298" i="1"/>
  <c r="AE1299" i="1"/>
  <c r="V1300" i="1"/>
  <c r="AH1300" i="1"/>
  <c r="AO1300" i="1" s="1"/>
  <c r="AQ1300" i="1" s="1"/>
  <c r="AO1299" i="1"/>
  <c r="AQ1299" i="1" s="1"/>
  <c r="CC1299" i="1"/>
  <c r="AG1298" i="1"/>
  <c r="AX1298" i="1" s="1"/>
  <c r="AY1298" i="1"/>
  <c r="AZ1298" i="1" s="1"/>
  <c r="AI1304" i="1"/>
  <c r="AN1304" i="1"/>
  <c r="U1304" i="1"/>
  <c r="X1304" i="1" s="1"/>
  <c r="Z1304" i="1" s="1"/>
  <c r="AJ1300" i="1" l="1"/>
  <c r="AK1299" i="1"/>
  <c r="AW1298" i="1"/>
  <c r="AE1300" i="1"/>
  <c r="V1301" i="1"/>
  <c r="AH1301" i="1"/>
  <c r="AJ1301" i="1" s="1"/>
  <c r="AG1299" i="1"/>
  <c r="AX1299" i="1" s="1"/>
  <c r="AY1299" i="1"/>
  <c r="AZ1299" i="1" s="1"/>
  <c r="CC1300" i="1"/>
  <c r="AN1305" i="1"/>
  <c r="AI1305" i="1"/>
  <c r="U1305" i="1"/>
  <c r="X1305" i="1" s="1"/>
  <c r="Z1305" i="1" s="1"/>
  <c r="V1302" i="1" l="1"/>
  <c r="AE1301" i="1"/>
  <c r="AH1302" i="1"/>
  <c r="AJ1302" i="1" s="1"/>
  <c r="AW1299" i="1"/>
  <c r="AK1300" i="1"/>
  <c r="AO1301" i="1"/>
  <c r="AQ1301" i="1" s="1"/>
  <c r="CC1301" i="1"/>
  <c r="AG1300" i="1"/>
  <c r="AX1300" i="1" s="1"/>
  <c r="AY1300" i="1"/>
  <c r="AZ1300" i="1" s="1"/>
  <c r="AN1306" i="1"/>
  <c r="U1306" i="1"/>
  <c r="X1306" i="1" s="1"/>
  <c r="Z1306" i="1" s="1"/>
  <c r="AI1306" i="1"/>
  <c r="V1303" i="1" l="1"/>
  <c r="AE1302" i="1"/>
  <c r="AH1303" i="1"/>
  <c r="AJ1303" i="1" s="1"/>
  <c r="AW1300" i="1"/>
  <c r="AK1301" i="1"/>
  <c r="AO1302" i="1"/>
  <c r="AQ1302" i="1" s="1"/>
  <c r="CC1302" i="1"/>
  <c r="AY1301" i="1"/>
  <c r="AZ1301" i="1" s="1"/>
  <c r="AG1301" i="1"/>
  <c r="AX1301" i="1" s="1"/>
  <c r="AI1307" i="1"/>
  <c r="AN1307" i="1"/>
  <c r="U1307" i="1"/>
  <c r="X1307" i="1" s="1"/>
  <c r="Z1307" i="1" s="1"/>
  <c r="AE1303" i="1" l="1"/>
  <c r="V1304" i="1"/>
  <c r="AH1304" i="1"/>
  <c r="AO1304" i="1" s="1"/>
  <c r="AQ1304" i="1" s="1"/>
  <c r="AO1303" i="1"/>
  <c r="AQ1303" i="1" s="1"/>
  <c r="CC1303" i="1"/>
  <c r="AW1301" i="1"/>
  <c r="AK1302" i="1"/>
  <c r="AY1302" i="1"/>
  <c r="AZ1302" i="1" s="1"/>
  <c r="AG1302" i="1"/>
  <c r="AX1302" i="1" s="1"/>
  <c r="U1308" i="1"/>
  <c r="X1308" i="1" s="1"/>
  <c r="Z1308" i="1" s="1"/>
  <c r="AN1308" i="1"/>
  <c r="AI1308" i="1"/>
  <c r="AJ1304" i="1" l="1"/>
  <c r="CC1304" i="1" s="1"/>
  <c r="AK1303" i="1"/>
  <c r="AW1302" i="1"/>
  <c r="V1305" i="1"/>
  <c r="AE1304" i="1"/>
  <c r="AH1305" i="1"/>
  <c r="AJ1305" i="1" s="1"/>
  <c r="AG1303" i="1"/>
  <c r="AX1303" i="1" s="1"/>
  <c r="AY1303" i="1"/>
  <c r="AZ1303" i="1" s="1"/>
  <c r="AN1309" i="1"/>
  <c r="U1309" i="1"/>
  <c r="X1309" i="1" s="1"/>
  <c r="Z1309" i="1" s="1"/>
  <c r="AI1309" i="1"/>
  <c r="AK1304" i="1" l="1"/>
  <c r="AW1303" i="1"/>
  <c r="AE1305" i="1"/>
  <c r="V1306" i="1"/>
  <c r="AH1306" i="1"/>
  <c r="AO1306" i="1" s="1"/>
  <c r="AQ1306" i="1" s="1"/>
  <c r="AO1305" i="1"/>
  <c r="AQ1305" i="1" s="1"/>
  <c r="CC1305" i="1"/>
  <c r="AY1304" i="1"/>
  <c r="AZ1304" i="1" s="1"/>
  <c r="AG1304" i="1"/>
  <c r="AX1304" i="1" s="1"/>
  <c r="AN1310" i="1"/>
  <c r="AI1310" i="1"/>
  <c r="U1310" i="1"/>
  <c r="X1310" i="1" s="1"/>
  <c r="Z1310" i="1" s="1"/>
  <c r="AJ1306" i="1" l="1"/>
  <c r="CC1306" i="1" s="1"/>
  <c r="V1307" i="1"/>
  <c r="AK1305" i="1"/>
  <c r="AW1304" i="1"/>
  <c r="AK1306" i="1"/>
  <c r="AE1306" i="1"/>
  <c r="AH1307" i="1"/>
  <c r="AJ1307" i="1" s="1"/>
  <c r="AG1305" i="1"/>
  <c r="AX1305" i="1" s="1"/>
  <c r="AY1305" i="1"/>
  <c r="AZ1305" i="1" s="1"/>
  <c r="AI1311" i="1"/>
  <c r="AN1311" i="1"/>
  <c r="U1311" i="1"/>
  <c r="X1311" i="1" s="1"/>
  <c r="Z1311" i="1" s="1"/>
  <c r="AW1305" i="1" l="1"/>
  <c r="V1308" i="1"/>
  <c r="AE1307" i="1"/>
  <c r="AH1308" i="1"/>
  <c r="AO1308" i="1" s="1"/>
  <c r="AQ1308" i="1" s="1"/>
  <c r="CC1307" i="1"/>
  <c r="AO1307" i="1"/>
  <c r="AQ1307" i="1" s="1"/>
  <c r="AG1306" i="1"/>
  <c r="AX1306" i="1" s="1"/>
  <c r="AY1306" i="1"/>
  <c r="AZ1306" i="1" s="1"/>
  <c r="U1312" i="1"/>
  <c r="X1312" i="1" s="1"/>
  <c r="Z1312" i="1" s="1"/>
  <c r="AN1312" i="1"/>
  <c r="AI1312" i="1"/>
  <c r="AJ1308" i="1" l="1"/>
  <c r="V1309" i="1"/>
  <c r="AE1308" i="1"/>
  <c r="AH1309" i="1"/>
  <c r="AJ1309" i="1" s="1"/>
  <c r="AK1307" i="1"/>
  <c r="AW1306" i="1"/>
  <c r="AG1307" i="1"/>
  <c r="AX1307" i="1" s="1"/>
  <c r="AY1307" i="1"/>
  <c r="AZ1307" i="1" s="1"/>
  <c r="CC1308" i="1"/>
  <c r="AN1313" i="1"/>
  <c r="AI1313" i="1"/>
  <c r="U1313" i="1"/>
  <c r="X1313" i="1" s="1"/>
  <c r="Z1313" i="1" s="1"/>
  <c r="V1310" i="1" l="1"/>
  <c r="AE1309" i="1"/>
  <c r="AH1310" i="1"/>
  <c r="AO1310" i="1" s="1"/>
  <c r="AQ1310" i="1" s="1"/>
  <c r="AK1308" i="1"/>
  <c r="AW1307" i="1"/>
  <c r="AO1309" i="1"/>
  <c r="AQ1309" i="1" s="1"/>
  <c r="CC1309" i="1"/>
  <c r="AG1308" i="1"/>
  <c r="AX1308" i="1" s="1"/>
  <c r="AY1308" i="1"/>
  <c r="AZ1308" i="1" s="1"/>
  <c r="U1314" i="1"/>
  <c r="X1314" i="1" s="1"/>
  <c r="Z1314" i="1" s="1"/>
  <c r="AN1314" i="1"/>
  <c r="AI1314" i="1"/>
  <c r="AJ1310" i="1" l="1"/>
  <c r="V1311" i="1"/>
  <c r="AK1309" i="1"/>
  <c r="AW1308" i="1"/>
  <c r="AE1310" i="1"/>
  <c r="AH1311" i="1"/>
  <c r="AJ1311" i="1" s="1"/>
  <c r="AG1309" i="1"/>
  <c r="AX1309" i="1" s="1"/>
  <c r="AY1309" i="1"/>
  <c r="AZ1309" i="1" s="1"/>
  <c r="CC1310" i="1"/>
  <c r="U1315" i="1"/>
  <c r="X1315" i="1" s="1"/>
  <c r="Z1315" i="1" s="1"/>
  <c r="AI1315" i="1"/>
  <c r="AN1315" i="1"/>
  <c r="AW1309" i="1" l="1"/>
  <c r="AK1310" i="1"/>
  <c r="V1312" i="1"/>
  <c r="AE1311" i="1"/>
  <c r="AH1312" i="1"/>
  <c r="AO1312" i="1" s="1"/>
  <c r="AQ1312" i="1" s="1"/>
  <c r="AO1311" i="1"/>
  <c r="AQ1311" i="1" s="1"/>
  <c r="CC1311" i="1"/>
  <c r="AG1310" i="1"/>
  <c r="AX1310" i="1" s="1"/>
  <c r="AY1310" i="1"/>
  <c r="AZ1310" i="1" s="1"/>
  <c r="U1316" i="1"/>
  <c r="X1316" i="1" s="1"/>
  <c r="Z1316" i="1" s="1"/>
  <c r="AI1316" i="1"/>
  <c r="AN1316" i="1"/>
  <c r="AJ1312" i="1" l="1"/>
  <c r="CC1312" i="1" s="1"/>
  <c r="V1313" i="1"/>
  <c r="AE1312" i="1"/>
  <c r="AH1313" i="1"/>
  <c r="AO1313" i="1" s="1"/>
  <c r="AQ1313" i="1" s="1"/>
  <c r="AK1311" i="1"/>
  <c r="AW1310" i="1"/>
  <c r="AG1311" i="1"/>
  <c r="AX1311" i="1" s="1"/>
  <c r="AY1311" i="1"/>
  <c r="AZ1311" i="1" s="1"/>
  <c r="AI1317" i="1"/>
  <c r="AN1317" i="1"/>
  <c r="U1317" i="1"/>
  <c r="X1317" i="1" s="1"/>
  <c r="Z1317" i="1" s="1"/>
  <c r="AJ1313" i="1" l="1"/>
  <c r="AW1312" i="1" s="1"/>
  <c r="AK1312" i="1"/>
  <c r="AW1311" i="1"/>
  <c r="V1314" i="1"/>
  <c r="AE1313" i="1"/>
  <c r="AH1314" i="1"/>
  <c r="AJ1314" i="1" s="1"/>
  <c r="AY1312" i="1"/>
  <c r="AZ1312" i="1" s="1"/>
  <c r="AG1312" i="1"/>
  <c r="AX1312" i="1" s="1"/>
  <c r="U1318" i="1"/>
  <c r="X1318" i="1" s="1"/>
  <c r="Z1318" i="1" s="1"/>
  <c r="AN1318" i="1"/>
  <c r="AI1318" i="1"/>
  <c r="CC1314" i="1" l="1"/>
  <c r="CC1313" i="1"/>
  <c r="AK1313" i="1"/>
  <c r="AE1314" i="1"/>
  <c r="V1315" i="1"/>
  <c r="AH1315" i="1"/>
  <c r="AJ1315" i="1" s="1"/>
  <c r="AY1313" i="1"/>
  <c r="AZ1313" i="1" s="1"/>
  <c r="AG1313" i="1"/>
  <c r="AX1313" i="1" s="1"/>
  <c r="AO1314" i="1"/>
  <c r="AQ1314" i="1" s="1"/>
  <c r="AN1319" i="1"/>
  <c r="AI1319" i="1"/>
  <c r="U1319" i="1"/>
  <c r="X1319" i="1" s="1"/>
  <c r="Z1319" i="1" s="1"/>
  <c r="AW1313" i="1" l="1"/>
  <c r="AK1314" i="1"/>
  <c r="V1316" i="1"/>
  <c r="AE1315" i="1"/>
  <c r="AH1316" i="1"/>
  <c r="AJ1316" i="1" s="1"/>
  <c r="AO1315" i="1"/>
  <c r="AQ1315" i="1" s="1"/>
  <c r="CC1315" i="1"/>
  <c r="AY1314" i="1"/>
  <c r="AZ1314" i="1" s="1"/>
  <c r="AG1314" i="1"/>
  <c r="AX1314" i="1" s="1"/>
  <c r="AI1320" i="1"/>
  <c r="AN1320" i="1"/>
  <c r="U1320" i="1"/>
  <c r="X1320" i="1" s="1"/>
  <c r="Z1320" i="1" s="1"/>
  <c r="V1317" i="1" l="1"/>
  <c r="AE1316" i="1"/>
  <c r="AH1317" i="1"/>
  <c r="AO1317" i="1" s="1"/>
  <c r="AQ1317" i="1" s="1"/>
  <c r="AO1316" i="1"/>
  <c r="AQ1316" i="1" s="1"/>
  <c r="CC1316" i="1"/>
  <c r="AK1315" i="1"/>
  <c r="AW1314" i="1"/>
  <c r="AY1315" i="1"/>
  <c r="AZ1315" i="1" s="1"/>
  <c r="AG1315" i="1"/>
  <c r="AX1315" i="1" s="1"/>
  <c r="AN1321" i="1"/>
  <c r="U1321" i="1"/>
  <c r="X1321" i="1" s="1"/>
  <c r="Z1321" i="1" s="1"/>
  <c r="AI1321" i="1"/>
  <c r="AJ1317" i="1" l="1"/>
  <c r="CC1317" i="1" s="1"/>
  <c r="AE1317" i="1"/>
  <c r="V1318" i="1"/>
  <c r="AH1318" i="1"/>
  <c r="AO1318" i="1" s="1"/>
  <c r="AQ1318" i="1" s="1"/>
  <c r="AK1316" i="1"/>
  <c r="AW1315" i="1"/>
  <c r="AY1316" i="1"/>
  <c r="AZ1316" i="1" s="1"/>
  <c r="AG1316" i="1"/>
  <c r="AX1316" i="1" s="1"/>
  <c r="AI1322" i="1"/>
  <c r="U1322" i="1"/>
  <c r="X1322" i="1" s="1"/>
  <c r="Z1322" i="1" s="1"/>
  <c r="AN1322" i="1"/>
  <c r="AJ1318" i="1" l="1"/>
  <c r="AK1317" i="1"/>
  <c r="AW1316" i="1"/>
  <c r="V1319" i="1"/>
  <c r="AE1318" i="1"/>
  <c r="AH1319" i="1"/>
  <c r="AJ1319" i="1" s="1"/>
  <c r="AG1317" i="1"/>
  <c r="AX1317" i="1" s="1"/>
  <c r="AY1317" i="1"/>
  <c r="AZ1317" i="1" s="1"/>
  <c r="AI1323" i="1"/>
  <c r="AN1323" i="1"/>
  <c r="U1323" i="1"/>
  <c r="X1323" i="1" s="1"/>
  <c r="Z1323" i="1" s="1"/>
  <c r="AK1318" i="1" l="1"/>
  <c r="CC1318" i="1"/>
  <c r="AW1317" i="1"/>
  <c r="AE1319" i="1"/>
  <c r="V1320" i="1"/>
  <c r="AH1320" i="1"/>
  <c r="AO1320" i="1" s="1"/>
  <c r="AQ1320" i="1" s="1"/>
  <c r="AO1319" i="1"/>
  <c r="AQ1319" i="1" s="1"/>
  <c r="CC1319" i="1"/>
  <c r="AY1318" i="1"/>
  <c r="AZ1318" i="1" s="1"/>
  <c r="AG1318" i="1"/>
  <c r="AX1318" i="1" s="1"/>
  <c r="AI1324" i="1"/>
  <c r="U1324" i="1"/>
  <c r="X1324" i="1" s="1"/>
  <c r="Z1324" i="1" s="1"/>
  <c r="AN1324" i="1"/>
  <c r="AJ1320" i="1" l="1"/>
  <c r="CC1320" i="1" s="1"/>
  <c r="AK1319" i="1"/>
  <c r="AW1318" i="1"/>
  <c r="V1321" i="1"/>
  <c r="AE1320" i="1"/>
  <c r="AH1321" i="1"/>
  <c r="AJ1321" i="1" s="1"/>
  <c r="AG1319" i="1"/>
  <c r="AX1319" i="1" s="1"/>
  <c r="AY1319" i="1"/>
  <c r="AZ1319" i="1" s="1"/>
  <c r="AI1325" i="1"/>
  <c r="U1325" i="1"/>
  <c r="X1325" i="1" s="1"/>
  <c r="Z1325" i="1" s="1"/>
  <c r="AN1325" i="1"/>
  <c r="AE1321" i="1" l="1"/>
  <c r="V1322" i="1"/>
  <c r="AH1322" i="1"/>
  <c r="AJ1322" i="1" s="1"/>
  <c r="AK1320" i="1"/>
  <c r="AW1319" i="1"/>
  <c r="AO1321" i="1"/>
  <c r="AQ1321" i="1" s="1"/>
  <c r="CC1321" i="1"/>
  <c r="AY1320" i="1"/>
  <c r="AZ1320" i="1" s="1"/>
  <c r="AG1320" i="1"/>
  <c r="AX1320" i="1" s="1"/>
  <c r="AI1326" i="1"/>
  <c r="AN1326" i="1"/>
  <c r="U1326" i="1"/>
  <c r="X1326" i="1" s="1"/>
  <c r="Z1326" i="1" s="1"/>
  <c r="AK1322" i="1" l="1"/>
  <c r="AO1322" i="1"/>
  <c r="AQ1322" i="1" s="1"/>
  <c r="V1323" i="1"/>
  <c r="AW1321" i="1"/>
  <c r="CC1322" i="1"/>
  <c r="AE1322" i="1"/>
  <c r="AH1323" i="1"/>
  <c r="AJ1323" i="1" s="1"/>
  <c r="AK1321" i="1"/>
  <c r="AW1320" i="1"/>
  <c r="AG1321" i="1"/>
  <c r="AX1321" i="1" s="1"/>
  <c r="AY1321" i="1"/>
  <c r="AZ1321" i="1" s="1"/>
  <c r="AN1327" i="1"/>
  <c r="AI1327" i="1"/>
  <c r="U1327" i="1"/>
  <c r="X1327" i="1" s="1"/>
  <c r="Z1327" i="1" s="1"/>
  <c r="AO1323" i="1" l="1"/>
  <c r="AQ1323" i="1" s="1"/>
  <c r="CC1323" i="1"/>
  <c r="V1324" i="1"/>
  <c r="AE1323" i="1"/>
  <c r="AH1324" i="1"/>
  <c r="AJ1324" i="1" s="1"/>
  <c r="AW1322" i="1"/>
  <c r="AK1323" i="1"/>
  <c r="AG1322" i="1"/>
  <c r="AX1322" i="1" s="1"/>
  <c r="AY1322" i="1"/>
  <c r="AZ1322" i="1" s="1"/>
  <c r="AN1328" i="1"/>
  <c r="AI1328" i="1"/>
  <c r="U1328" i="1"/>
  <c r="X1328" i="1" s="1"/>
  <c r="Z1328" i="1" s="1"/>
  <c r="AE1324" i="1" l="1"/>
  <c r="V1325" i="1"/>
  <c r="AH1325" i="1"/>
  <c r="AJ1325" i="1" s="1"/>
  <c r="AO1324" i="1"/>
  <c r="AQ1324" i="1" s="1"/>
  <c r="CC1324" i="1"/>
  <c r="AY1323" i="1"/>
  <c r="AZ1323" i="1" s="1"/>
  <c r="AG1323" i="1"/>
  <c r="AX1323" i="1" s="1"/>
  <c r="AI1329" i="1"/>
  <c r="AN1329" i="1"/>
  <c r="U1329" i="1"/>
  <c r="X1329" i="1" s="1"/>
  <c r="Z1329" i="1" s="1"/>
  <c r="AE1325" i="1" l="1"/>
  <c r="V1326" i="1"/>
  <c r="AH1326" i="1"/>
  <c r="AJ1326" i="1" s="1"/>
  <c r="AK1324" i="1"/>
  <c r="AW1323" i="1"/>
  <c r="AO1325" i="1"/>
  <c r="AQ1325" i="1" s="1"/>
  <c r="CC1325" i="1"/>
  <c r="AY1324" i="1"/>
  <c r="AZ1324" i="1" s="1"/>
  <c r="AG1324" i="1"/>
  <c r="AX1324" i="1" s="1"/>
  <c r="U1330" i="1"/>
  <c r="X1330" i="1" s="1"/>
  <c r="Z1330" i="1" s="1"/>
  <c r="AI1330" i="1"/>
  <c r="AN1330" i="1"/>
  <c r="V1327" i="1" l="1"/>
  <c r="AE1326" i="1"/>
  <c r="AH1327" i="1"/>
  <c r="AJ1327" i="1" s="1"/>
  <c r="AW1324" i="1"/>
  <c r="AK1325" i="1"/>
  <c r="AO1326" i="1"/>
  <c r="AQ1326" i="1" s="1"/>
  <c r="CC1326" i="1"/>
  <c r="AG1325" i="1"/>
  <c r="AX1325" i="1" s="1"/>
  <c r="AY1325" i="1"/>
  <c r="AZ1325" i="1" s="1"/>
  <c r="AI1331" i="1"/>
  <c r="AN1331" i="1"/>
  <c r="U1331" i="1"/>
  <c r="X1331" i="1" s="1"/>
  <c r="Z1331" i="1" s="1"/>
  <c r="AE1327" i="1" l="1"/>
  <c r="V1328" i="1"/>
  <c r="AH1328" i="1"/>
  <c r="AO1328" i="1" s="1"/>
  <c r="AQ1328" i="1" s="1"/>
  <c r="AO1327" i="1"/>
  <c r="AQ1327" i="1" s="1"/>
  <c r="CC1327" i="1"/>
  <c r="AK1326" i="1"/>
  <c r="AW1325" i="1"/>
  <c r="AY1326" i="1"/>
  <c r="AZ1326" i="1" s="1"/>
  <c r="AG1326" i="1"/>
  <c r="AX1326" i="1" s="1"/>
  <c r="AN1332" i="1"/>
  <c r="U1332" i="1"/>
  <c r="X1332" i="1" s="1"/>
  <c r="Z1332" i="1" s="1"/>
  <c r="AI1332" i="1"/>
  <c r="AJ1328" i="1" l="1"/>
  <c r="AK1328" i="1" s="1"/>
  <c r="AK1327" i="1"/>
  <c r="AW1326" i="1"/>
  <c r="V1329" i="1"/>
  <c r="AE1328" i="1"/>
  <c r="AH1329" i="1"/>
  <c r="AO1329" i="1" s="1"/>
  <c r="AQ1329" i="1" s="1"/>
  <c r="AG1327" i="1"/>
  <c r="AX1327" i="1" s="1"/>
  <c r="AY1327" i="1"/>
  <c r="AZ1327" i="1" s="1"/>
  <c r="AI1333" i="1"/>
  <c r="AN1333" i="1"/>
  <c r="U1333" i="1"/>
  <c r="X1333" i="1" s="1"/>
  <c r="Z1333" i="1" s="1"/>
  <c r="AJ1329" i="1" l="1"/>
  <c r="CC1328" i="1"/>
  <c r="AW1327" i="1"/>
  <c r="AE1329" i="1"/>
  <c r="V1330" i="1"/>
  <c r="AH1330" i="1"/>
  <c r="AJ1330" i="1" s="1"/>
  <c r="AY1328" i="1"/>
  <c r="AZ1328" i="1" s="1"/>
  <c r="AG1328" i="1"/>
  <c r="AX1328" i="1" s="1"/>
  <c r="CC1329" i="1"/>
  <c r="AI1334" i="1"/>
  <c r="AN1334" i="1"/>
  <c r="U1334" i="1"/>
  <c r="X1334" i="1" s="1"/>
  <c r="Z1334" i="1" s="1"/>
  <c r="V1331" i="1" l="1"/>
  <c r="AW1328" i="1"/>
  <c r="AK1329" i="1"/>
  <c r="AE1330" i="1"/>
  <c r="AH1331" i="1"/>
  <c r="AO1331" i="1" s="1"/>
  <c r="AQ1331" i="1" s="1"/>
  <c r="AO1330" i="1"/>
  <c r="AQ1330" i="1" s="1"/>
  <c r="CC1330" i="1"/>
  <c r="AY1329" i="1"/>
  <c r="AZ1329" i="1" s="1"/>
  <c r="AG1329" i="1"/>
  <c r="AX1329" i="1" s="1"/>
  <c r="AN1335" i="1"/>
  <c r="AI1335" i="1"/>
  <c r="U1335" i="1"/>
  <c r="X1335" i="1" s="1"/>
  <c r="Z1335" i="1" s="1"/>
  <c r="AJ1331" i="1" l="1"/>
  <c r="CC1331" i="1" s="1"/>
  <c r="AW1329" i="1"/>
  <c r="AK1330" i="1"/>
  <c r="V1332" i="1"/>
  <c r="AE1331" i="1"/>
  <c r="AH1332" i="1"/>
  <c r="AJ1332" i="1" s="1"/>
  <c r="AG1330" i="1"/>
  <c r="AX1330" i="1" s="1"/>
  <c r="AY1330" i="1"/>
  <c r="AZ1330" i="1" s="1"/>
  <c r="U1336" i="1"/>
  <c r="X1336" i="1" s="1"/>
  <c r="Z1336" i="1" s="1"/>
  <c r="AI1336" i="1"/>
  <c r="AN1336" i="1"/>
  <c r="AW1330" i="1" l="1"/>
  <c r="AK1331" i="1"/>
  <c r="AO1332" i="1"/>
  <c r="AQ1332" i="1" s="1"/>
  <c r="CC1332" i="1"/>
  <c r="AE1332" i="1"/>
  <c r="V1333" i="1"/>
  <c r="AH1333" i="1"/>
  <c r="AJ1333" i="1" s="1"/>
  <c r="AY1331" i="1"/>
  <c r="AZ1331" i="1" s="1"/>
  <c r="AG1331" i="1"/>
  <c r="AX1331" i="1" s="1"/>
  <c r="AI1337" i="1"/>
  <c r="U1337" i="1"/>
  <c r="X1337" i="1" s="1"/>
  <c r="Z1337" i="1" s="1"/>
  <c r="AN1337" i="1"/>
  <c r="AE1333" i="1" l="1"/>
  <c r="V1334" i="1"/>
  <c r="AH1334" i="1"/>
  <c r="AJ1334" i="1" s="1"/>
  <c r="AO1333" i="1"/>
  <c r="AQ1333" i="1" s="1"/>
  <c r="CC1333" i="1"/>
  <c r="AY1332" i="1"/>
  <c r="AZ1332" i="1" s="1"/>
  <c r="AG1332" i="1"/>
  <c r="AX1332" i="1" s="1"/>
  <c r="AW1331" i="1"/>
  <c r="AK1332" i="1"/>
  <c r="U1338" i="1"/>
  <c r="X1338" i="1" s="1"/>
  <c r="Z1338" i="1" s="1"/>
  <c r="AN1338" i="1"/>
  <c r="AI1338" i="1"/>
  <c r="AE1334" i="1" l="1"/>
  <c r="V1335" i="1"/>
  <c r="AH1335" i="1"/>
  <c r="AJ1335" i="1" s="1"/>
  <c r="AW1332" i="1"/>
  <c r="AK1333" i="1"/>
  <c r="AO1334" i="1"/>
  <c r="AQ1334" i="1" s="1"/>
  <c r="CC1334" i="1"/>
  <c r="AY1333" i="1"/>
  <c r="AZ1333" i="1" s="1"/>
  <c r="AG1333" i="1"/>
  <c r="AX1333" i="1" s="1"/>
  <c r="U1339" i="1"/>
  <c r="X1339" i="1" s="1"/>
  <c r="Z1339" i="1" s="1"/>
  <c r="AI1339" i="1"/>
  <c r="AN1339" i="1"/>
  <c r="V1336" i="1" l="1"/>
  <c r="AE1335" i="1"/>
  <c r="AH1336" i="1"/>
  <c r="AJ1336" i="1" s="1"/>
  <c r="AK1334" i="1"/>
  <c r="AW1333" i="1"/>
  <c r="AO1335" i="1"/>
  <c r="AQ1335" i="1" s="1"/>
  <c r="CC1335" i="1"/>
  <c r="AG1334" i="1"/>
  <c r="AX1334" i="1" s="1"/>
  <c r="AY1334" i="1"/>
  <c r="AZ1334" i="1" s="1"/>
  <c r="AI1340" i="1"/>
  <c r="AN1340" i="1"/>
  <c r="U1340" i="1"/>
  <c r="X1340" i="1" s="1"/>
  <c r="Z1340" i="1" s="1"/>
  <c r="AE1336" i="1" l="1"/>
  <c r="V1337" i="1"/>
  <c r="AH1337" i="1"/>
  <c r="AJ1337" i="1" s="1"/>
  <c r="AK1335" i="1"/>
  <c r="AW1334" i="1"/>
  <c r="AO1336" i="1"/>
  <c r="AQ1336" i="1" s="1"/>
  <c r="CC1336" i="1"/>
  <c r="AY1335" i="1"/>
  <c r="AZ1335" i="1" s="1"/>
  <c r="AG1335" i="1"/>
  <c r="AX1335" i="1" s="1"/>
  <c r="U1341" i="1"/>
  <c r="X1341" i="1" s="1"/>
  <c r="Z1341" i="1" s="1"/>
  <c r="AN1341" i="1"/>
  <c r="AI1341" i="1"/>
  <c r="AE1337" i="1" l="1"/>
  <c r="V1338" i="1"/>
  <c r="AH1338" i="1"/>
  <c r="AJ1338" i="1" s="1"/>
  <c r="AK1336" i="1"/>
  <c r="AW1335" i="1"/>
  <c r="CC1337" i="1"/>
  <c r="AO1337" i="1"/>
  <c r="AQ1337" i="1" s="1"/>
  <c r="AY1336" i="1"/>
  <c r="AZ1336" i="1" s="1"/>
  <c r="AG1336" i="1"/>
  <c r="AX1336" i="1" s="1"/>
  <c r="AN1342" i="1"/>
  <c r="AI1342" i="1"/>
  <c r="U1342" i="1"/>
  <c r="X1342" i="1" s="1"/>
  <c r="Z1342" i="1" s="1"/>
  <c r="AW1336" i="1" l="1"/>
  <c r="AK1337" i="1"/>
  <c r="AE1338" i="1"/>
  <c r="V1339" i="1"/>
  <c r="AH1339" i="1"/>
  <c r="AJ1339" i="1" s="1"/>
  <c r="AO1338" i="1"/>
  <c r="AQ1338" i="1" s="1"/>
  <c r="CC1338" i="1"/>
  <c r="AY1337" i="1"/>
  <c r="AZ1337" i="1" s="1"/>
  <c r="AG1337" i="1"/>
  <c r="AX1337" i="1" s="1"/>
  <c r="AI1343" i="1"/>
  <c r="AN1343" i="1"/>
  <c r="U1343" i="1"/>
  <c r="X1343" i="1" s="1"/>
  <c r="Z1343" i="1" s="1"/>
  <c r="V1340" i="1" l="1"/>
  <c r="AE1339" i="1"/>
  <c r="AH1340" i="1"/>
  <c r="AJ1340" i="1" s="1"/>
  <c r="AW1337" i="1"/>
  <c r="AK1338" i="1"/>
  <c r="AO1339" i="1"/>
  <c r="AQ1339" i="1" s="1"/>
  <c r="CC1339" i="1"/>
  <c r="AG1338" i="1"/>
  <c r="AX1338" i="1" s="1"/>
  <c r="AY1338" i="1"/>
  <c r="AZ1338" i="1" s="1"/>
  <c r="AI1344" i="1"/>
  <c r="U1344" i="1"/>
  <c r="X1344" i="1" s="1"/>
  <c r="Z1344" i="1" s="1"/>
  <c r="AN1344" i="1"/>
  <c r="V1341" i="1" l="1"/>
  <c r="AE1340" i="1"/>
  <c r="AH1341" i="1"/>
  <c r="AO1341" i="1" s="1"/>
  <c r="AQ1341" i="1" s="1"/>
  <c r="AO1340" i="1"/>
  <c r="AQ1340" i="1" s="1"/>
  <c r="CC1340" i="1"/>
  <c r="AK1339" i="1"/>
  <c r="AW1338" i="1"/>
  <c r="AG1339" i="1"/>
  <c r="AX1339" i="1" s="1"/>
  <c r="AY1339" i="1"/>
  <c r="AZ1339" i="1" s="1"/>
  <c r="AI1345" i="1"/>
  <c r="AN1345" i="1"/>
  <c r="U1345" i="1"/>
  <c r="X1345" i="1" s="1"/>
  <c r="Z1345" i="1" s="1"/>
  <c r="AJ1341" i="1" l="1"/>
  <c r="CC1341" i="1" s="1"/>
  <c r="AE1341" i="1"/>
  <c r="V1342" i="1"/>
  <c r="AH1342" i="1"/>
  <c r="AO1342" i="1" s="1"/>
  <c r="AQ1342" i="1" s="1"/>
  <c r="AK1340" i="1"/>
  <c r="AW1339" i="1"/>
  <c r="AG1340" i="1"/>
  <c r="AX1340" i="1" s="1"/>
  <c r="AY1340" i="1"/>
  <c r="AZ1340" i="1" s="1"/>
  <c r="AN1346" i="1"/>
  <c r="AI1346" i="1"/>
  <c r="U1346" i="1"/>
  <c r="X1346" i="1" s="1"/>
  <c r="Z1346" i="1" s="1"/>
  <c r="AJ1342" i="1" l="1"/>
  <c r="AW1340" i="1"/>
  <c r="AK1341" i="1"/>
  <c r="V1343" i="1"/>
  <c r="AE1342" i="1"/>
  <c r="AH1343" i="1"/>
  <c r="AJ1343" i="1" s="1"/>
  <c r="AG1341" i="1"/>
  <c r="AX1341" i="1" s="1"/>
  <c r="AY1341" i="1"/>
  <c r="AZ1341" i="1" s="1"/>
  <c r="AI1347" i="1"/>
  <c r="U1347" i="1"/>
  <c r="X1347" i="1" s="1"/>
  <c r="Z1347" i="1" s="1"/>
  <c r="AN1347" i="1"/>
  <c r="AK1342" i="1" l="1"/>
  <c r="CC1342" i="1"/>
  <c r="AW1341" i="1"/>
  <c r="AE1343" i="1"/>
  <c r="AH1344" i="1"/>
  <c r="AO1344" i="1" s="1"/>
  <c r="AQ1344" i="1" s="1"/>
  <c r="V1344" i="1"/>
  <c r="AO1343" i="1"/>
  <c r="AQ1343" i="1" s="1"/>
  <c r="CC1343" i="1"/>
  <c r="AY1342" i="1"/>
  <c r="AZ1342" i="1" s="1"/>
  <c r="AG1342" i="1"/>
  <c r="AX1342" i="1" s="1"/>
  <c r="AN1348" i="1"/>
  <c r="U1348" i="1"/>
  <c r="X1348" i="1" s="1"/>
  <c r="Z1348" i="1" s="1"/>
  <c r="AI1348" i="1"/>
  <c r="AJ1344" i="1" l="1"/>
  <c r="V1345" i="1"/>
  <c r="AE1344" i="1"/>
  <c r="AH1345" i="1"/>
  <c r="AJ1345" i="1" s="1"/>
  <c r="AK1343" i="1"/>
  <c r="AW1342" i="1"/>
  <c r="AY1343" i="1"/>
  <c r="AZ1343" i="1" s="1"/>
  <c r="AG1343" i="1"/>
  <c r="AX1343" i="1" s="1"/>
  <c r="CC1344" i="1"/>
  <c r="AI1349" i="1"/>
  <c r="U1349" i="1"/>
  <c r="X1349" i="1" s="1"/>
  <c r="Z1349" i="1" s="1"/>
  <c r="AN1349" i="1"/>
  <c r="V1346" i="1" l="1"/>
  <c r="AE1345" i="1"/>
  <c r="AH1346" i="1"/>
  <c r="AO1346" i="1" s="1"/>
  <c r="AQ1346" i="1" s="1"/>
  <c r="AK1344" i="1"/>
  <c r="AW1343" i="1"/>
  <c r="AO1345" i="1"/>
  <c r="AQ1345" i="1" s="1"/>
  <c r="CC1345" i="1"/>
  <c r="AY1344" i="1"/>
  <c r="AZ1344" i="1" s="1"/>
  <c r="AG1344" i="1"/>
  <c r="AX1344" i="1" s="1"/>
  <c r="AN1350" i="1"/>
  <c r="AI1350" i="1"/>
  <c r="U1350" i="1"/>
  <c r="X1350" i="1" s="1"/>
  <c r="Z1350" i="1" s="1"/>
  <c r="AJ1346" i="1" l="1"/>
  <c r="CC1346" i="1" s="1"/>
  <c r="AK1345" i="1"/>
  <c r="AW1344" i="1"/>
  <c r="V1347" i="1"/>
  <c r="AE1346" i="1"/>
  <c r="AH1347" i="1"/>
  <c r="AJ1347" i="1" s="1"/>
  <c r="AY1345" i="1"/>
  <c r="AZ1345" i="1" s="1"/>
  <c r="AG1345" i="1"/>
  <c r="AX1345" i="1" s="1"/>
  <c r="AN1351" i="1"/>
  <c r="U1351" i="1"/>
  <c r="X1351" i="1" s="1"/>
  <c r="Z1351" i="1" s="1"/>
  <c r="AI1351" i="1"/>
  <c r="AE1347" i="1" l="1"/>
  <c r="V1348" i="1"/>
  <c r="AH1348" i="1"/>
  <c r="AO1348" i="1" s="1"/>
  <c r="AQ1348" i="1" s="1"/>
  <c r="AK1346" i="1"/>
  <c r="AW1345" i="1"/>
  <c r="AO1347" i="1"/>
  <c r="AQ1347" i="1" s="1"/>
  <c r="CC1347" i="1"/>
  <c r="AY1346" i="1"/>
  <c r="AZ1346" i="1" s="1"/>
  <c r="AG1346" i="1"/>
  <c r="AX1346" i="1" s="1"/>
  <c r="U1352" i="1"/>
  <c r="X1352" i="1" s="1"/>
  <c r="Z1352" i="1" s="1"/>
  <c r="AN1352" i="1"/>
  <c r="AI1352" i="1"/>
  <c r="AJ1348" i="1" l="1"/>
  <c r="CC1348" i="1" s="1"/>
  <c r="V1349" i="1"/>
  <c r="AK1347" i="1"/>
  <c r="AW1346" i="1"/>
  <c r="AE1348" i="1"/>
  <c r="AH1349" i="1"/>
  <c r="AO1349" i="1" s="1"/>
  <c r="AQ1349" i="1" s="1"/>
  <c r="AG1347" i="1"/>
  <c r="AX1347" i="1" s="1"/>
  <c r="AY1347" i="1"/>
  <c r="AZ1347" i="1" s="1"/>
  <c r="AN1353" i="1"/>
  <c r="AI1353" i="1"/>
  <c r="U1353" i="1"/>
  <c r="X1353" i="1" s="1"/>
  <c r="Z1353" i="1" s="1"/>
  <c r="AW1347" i="1" l="1"/>
  <c r="AJ1349" i="1"/>
  <c r="CC1349" i="1" s="1"/>
  <c r="AK1348" i="1"/>
  <c r="AE1349" i="1"/>
  <c r="V1350" i="1"/>
  <c r="AH1350" i="1"/>
  <c r="AO1350" i="1" s="1"/>
  <c r="AQ1350" i="1" s="1"/>
  <c r="AY1348" i="1"/>
  <c r="AZ1348" i="1" s="1"/>
  <c r="AG1348" i="1"/>
  <c r="AX1348" i="1" s="1"/>
  <c r="U1354" i="1"/>
  <c r="X1354" i="1" s="1"/>
  <c r="Z1354" i="1" s="1"/>
  <c r="AN1354" i="1"/>
  <c r="AI1354" i="1"/>
  <c r="AJ1350" i="1" l="1"/>
  <c r="AK1350" i="1" s="1"/>
  <c r="V1351" i="1"/>
  <c r="AE1350" i="1"/>
  <c r="AH1351" i="1"/>
  <c r="AJ1351" i="1" s="1"/>
  <c r="AK1349" i="1"/>
  <c r="AW1348" i="1"/>
  <c r="AG1349" i="1"/>
  <c r="AX1349" i="1" s="1"/>
  <c r="AY1349" i="1"/>
  <c r="AZ1349" i="1" s="1"/>
  <c r="AN1355" i="1"/>
  <c r="U1355" i="1"/>
  <c r="X1355" i="1" s="1"/>
  <c r="Z1355" i="1" s="1"/>
  <c r="AI1355" i="1"/>
  <c r="AW1349" i="1" l="1"/>
  <c r="CC1350" i="1"/>
  <c r="V1352" i="1"/>
  <c r="AE1351" i="1"/>
  <c r="AH1352" i="1"/>
  <c r="AO1352" i="1" s="1"/>
  <c r="AQ1352" i="1" s="1"/>
  <c r="AO1351" i="1"/>
  <c r="AQ1351" i="1" s="1"/>
  <c r="CC1351" i="1"/>
  <c r="AY1350" i="1"/>
  <c r="AZ1350" i="1" s="1"/>
  <c r="AG1350" i="1"/>
  <c r="AX1350" i="1" s="1"/>
  <c r="AI1356" i="1"/>
  <c r="U1356" i="1"/>
  <c r="X1356" i="1" s="1"/>
  <c r="Z1356" i="1" s="1"/>
  <c r="AN1356" i="1"/>
  <c r="AJ1352" i="1" l="1"/>
  <c r="CC1352" i="1" s="1"/>
  <c r="AW1350" i="1"/>
  <c r="AK1351" i="1"/>
  <c r="AE1352" i="1"/>
  <c r="V1353" i="1"/>
  <c r="AH1353" i="1"/>
  <c r="AJ1353" i="1" s="1"/>
  <c r="AG1351" i="1"/>
  <c r="AX1351" i="1" s="1"/>
  <c r="AY1351" i="1"/>
  <c r="AZ1351" i="1" s="1"/>
  <c r="AI1357" i="1"/>
  <c r="AN1357" i="1"/>
  <c r="U1357" i="1"/>
  <c r="X1357" i="1" s="1"/>
  <c r="Z1357" i="1" s="1"/>
  <c r="CC1353" i="1" l="1"/>
  <c r="AO1353" i="1"/>
  <c r="AQ1353" i="1" s="1"/>
  <c r="AE1353" i="1"/>
  <c r="V1354" i="1"/>
  <c r="AH1354" i="1"/>
  <c r="AO1354" i="1" s="1"/>
  <c r="AQ1354" i="1" s="1"/>
  <c r="AW1351" i="1"/>
  <c r="AK1352" i="1"/>
  <c r="AW1352" i="1"/>
  <c r="AK1353" i="1"/>
  <c r="AY1352" i="1"/>
  <c r="AZ1352" i="1" s="1"/>
  <c r="AG1352" i="1"/>
  <c r="AX1352" i="1" s="1"/>
  <c r="AN1358" i="1"/>
  <c r="U1358" i="1"/>
  <c r="X1358" i="1" s="1"/>
  <c r="Z1358" i="1" s="1"/>
  <c r="AI1358" i="1"/>
  <c r="AJ1354" i="1" l="1"/>
  <c r="AE1354" i="1"/>
  <c r="V1355" i="1"/>
  <c r="AH1355" i="1"/>
  <c r="AO1355" i="1" s="1"/>
  <c r="AQ1355" i="1" s="1"/>
  <c r="AY1353" i="1"/>
  <c r="AZ1353" i="1" s="1"/>
  <c r="AG1353" i="1"/>
  <c r="AX1353" i="1" s="1"/>
  <c r="U1359" i="1"/>
  <c r="X1359" i="1" s="1"/>
  <c r="Z1359" i="1" s="1"/>
  <c r="AI1359" i="1"/>
  <c r="AN1359" i="1"/>
  <c r="AJ1355" i="1" l="1"/>
  <c r="AK1355" i="1" s="1"/>
  <c r="AW1353" i="1"/>
  <c r="CC1354" i="1"/>
  <c r="AK1354" i="1"/>
  <c r="AE1355" i="1"/>
  <c r="V1356" i="1"/>
  <c r="AH1356" i="1"/>
  <c r="AJ1356" i="1" s="1"/>
  <c r="AY1354" i="1"/>
  <c r="AZ1354" i="1" s="1"/>
  <c r="AG1354" i="1"/>
  <c r="AX1354" i="1" s="1"/>
  <c r="U1360" i="1"/>
  <c r="X1360" i="1" s="1"/>
  <c r="Z1360" i="1" s="1"/>
  <c r="AN1360" i="1"/>
  <c r="AI1360" i="1"/>
  <c r="AW1354" i="1" l="1"/>
  <c r="CC1355" i="1"/>
  <c r="AE1356" i="1"/>
  <c r="V1357" i="1"/>
  <c r="AH1357" i="1"/>
  <c r="AO1357" i="1" s="1"/>
  <c r="AQ1357" i="1" s="1"/>
  <c r="AO1356" i="1"/>
  <c r="AQ1356" i="1" s="1"/>
  <c r="CC1356" i="1"/>
  <c r="AG1355" i="1"/>
  <c r="AX1355" i="1" s="1"/>
  <c r="AY1355" i="1"/>
  <c r="AZ1355" i="1" s="1"/>
  <c r="U1361" i="1"/>
  <c r="X1361" i="1" s="1"/>
  <c r="Z1361" i="1" s="1"/>
  <c r="AI1361" i="1"/>
  <c r="AN1361" i="1"/>
  <c r="AJ1357" i="1" l="1"/>
  <c r="CC1357" i="1" s="1"/>
  <c r="AW1355" i="1"/>
  <c r="AK1356" i="1"/>
  <c r="AE1357" i="1"/>
  <c r="V1358" i="1"/>
  <c r="AH1358" i="1"/>
  <c r="AJ1358" i="1" s="1"/>
  <c r="AY1356" i="1"/>
  <c r="AZ1356" i="1" s="1"/>
  <c r="AG1356" i="1"/>
  <c r="AX1356" i="1" s="1"/>
  <c r="U1362" i="1"/>
  <c r="X1362" i="1" s="1"/>
  <c r="Z1362" i="1" s="1"/>
  <c r="AN1362" i="1"/>
  <c r="AI1362" i="1"/>
  <c r="AW1356" i="1" l="1"/>
  <c r="AK1357" i="1"/>
  <c r="V1359" i="1"/>
  <c r="AE1358" i="1"/>
  <c r="AH1359" i="1"/>
  <c r="AJ1359" i="1" s="1"/>
  <c r="AO1358" i="1"/>
  <c r="AQ1358" i="1" s="1"/>
  <c r="CC1358" i="1"/>
  <c r="AG1357" i="1"/>
  <c r="AX1357" i="1" s="1"/>
  <c r="AY1357" i="1"/>
  <c r="AZ1357" i="1" s="1"/>
  <c r="AN1363" i="1"/>
  <c r="U1363" i="1"/>
  <c r="X1363" i="1" s="1"/>
  <c r="Z1363" i="1" s="1"/>
  <c r="AI1363" i="1"/>
  <c r="V1360" i="1" l="1"/>
  <c r="AO1359" i="1"/>
  <c r="AQ1359" i="1" s="1"/>
  <c r="CC1359" i="1"/>
  <c r="AK1358" i="1"/>
  <c r="AW1357" i="1"/>
  <c r="AE1359" i="1"/>
  <c r="AH1360" i="1"/>
  <c r="AJ1360" i="1" s="1"/>
  <c r="AG1358" i="1"/>
  <c r="AX1358" i="1" s="1"/>
  <c r="AY1358" i="1"/>
  <c r="AZ1358" i="1" s="1"/>
  <c r="AN1364" i="1"/>
  <c r="U1364" i="1"/>
  <c r="X1364" i="1" s="1"/>
  <c r="Z1364" i="1" s="1"/>
  <c r="AI1364" i="1"/>
  <c r="V1361" i="1" l="1"/>
  <c r="AE1360" i="1"/>
  <c r="AH1361" i="1"/>
  <c r="AO1361" i="1" s="1"/>
  <c r="AQ1361" i="1" s="1"/>
  <c r="CC1360" i="1"/>
  <c r="AO1360" i="1"/>
  <c r="AQ1360" i="1" s="1"/>
  <c r="AY1359" i="1"/>
  <c r="AZ1359" i="1" s="1"/>
  <c r="AG1359" i="1"/>
  <c r="AX1359" i="1" s="1"/>
  <c r="AK1359" i="1"/>
  <c r="AW1358" i="1"/>
  <c r="AN1365" i="1"/>
  <c r="U1365" i="1"/>
  <c r="X1365" i="1" s="1"/>
  <c r="Z1365" i="1" s="1"/>
  <c r="AI1365" i="1"/>
  <c r="AJ1361" i="1" l="1"/>
  <c r="AW1360" i="1" s="1"/>
  <c r="AE1361" i="1"/>
  <c r="V1362" i="1"/>
  <c r="AH1362" i="1"/>
  <c r="AO1362" i="1" s="1"/>
  <c r="AQ1362" i="1" s="1"/>
  <c r="AW1359" i="1"/>
  <c r="AK1360" i="1"/>
  <c r="AY1360" i="1"/>
  <c r="AZ1360" i="1" s="1"/>
  <c r="AG1360" i="1"/>
  <c r="AX1360" i="1" s="1"/>
  <c r="U1366" i="1"/>
  <c r="X1366" i="1" s="1"/>
  <c r="Z1366" i="1" s="1"/>
  <c r="AI1366" i="1"/>
  <c r="AN1366" i="1"/>
  <c r="AJ1362" i="1" l="1"/>
  <c r="CC1362" i="1" s="1"/>
  <c r="AK1361" i="1"/>
  <c r="CC1361" i="1"/>
  <c r="V1363" i="1"/>
  <c r="AE1362" i="1"/>
  <c r="AH1363" i="1"/>
  <c r="AJ1363" i="1" s="1"/>
  <c r="AY1361" i="1"/>
  <c r="AZ1361" i="1" s="1"/>
  <c r="AG1361" i="1"/>
  <c r="AX1361" i="1" s="1"/>
  <c r="AN1367" i="1"/>
  <c r="U1367" i="1"/>
  <c r="X1367" i="1" s="1"/>
  <c r="Z1367" i="1" s="1"/>
  <c r="AI1367" i="1"/>
  <c r="AE1363" i="1" l="1"/>
  <c r="V1364" i="1"/>
  <c r="AH1364" i="1"/>
  <c r="AO1364" i="1" s="1"/>
  <c r="AQ1364" i="1" s="1"/>
  <c r="AK1362" i="1"/>
  <c r="AW1361" i="1"/>
  <c r="AO1363" i="1"/>
  <c r="AQ1363" i="1" s="1"/>
  <c r="CC1363" i="1"/>
  <c r="AG1362" i="1"/>
  <c r="AX1362" i="1" s="1"/>
  <c r="AY1362" i="1"/>
  <c r="AZ1362" i="1" s="1"/>
  <c r="AI1368" i="1"/>
  <c r="AN1368" i="1"/>
  <c r="U1368" i="1"/>
  <c r="X1368" i="1" s="1"/>
  <c r="Z1368" i="1" s="1"/>
  <c r="AJ1364" i="1" l="1"/>
  <c r="CC1364" i="1" s="1"/>
  <c r="AW1362" i="1"/>
  <c r="AK1363" i="1"/>
  <c r="AE1364" i="1"/>
  <c r="V1365" i="1"/>
  <c r="AH1365" i="1"/>
  <c r="AO1365" i="1" s="1"/>
  <c r="AQ1365" i="1" s="1"/>
  <c r="AG1363" i="1"/>
  <c r="AX1363" i="1" s="1"/>
  <c r="AY1363" i="1"/>
  <c r="AZ1363" i="1" s="1"/>
  <c r="AI1369" i="1"/>
  <c r="U1369" i="1"/>
  <c r="X1369" i="1" s="1"/>
  <c r="Z1369" i="1" s="1"/>
  <c r="AN1369" i="1"/>
  <c r="AJ1365" i="1" l="1"/>
  <c r="AK1364" i="1"/>
  <c r="AW1363" i="1"/>
  <c r="V1366" i="1"/>
  <c r="AE1365" i="1"/>
  <c r="AH1366" i="1"/>
  <c r="AJ1366" i="1" s="1"/>
  <c r="AG1364" i="1"/>
  <c r="AX1364" i="1" s="1"/>
  <c r="AY1364" i="1"/>
  <c r="AZ1364" i="1" s="1"/>
  <c r="AN1370" i="1"/>
  <c r="U1370" i="1"/>
  <c r="X1370" i="1" s="1"/>
  <c r="Z1370" i="1" s="1"/>
  <c r="AI1370" i="1"/>
  <c r="AK1365" i="1" l="1"/>
  <c r="CC1365" i="1"/>
  <c r="AW1364" i="1"/>
  <c r="AE1366" i="1"/>
  <c r="V1367" i="1"/>
  <c r="AH1367" i="1"/>
  <c r="AO1367" i="1" s="1"/>
  <c r="AQ1367" i="1" s="1"/>
  <c r="AO1366" i="1"/>
  <c r="AQ1366" i="1" s="1"/>
  <c r="CC1366" i="1"/>
  <c r="AY1365" i="1"/>
  <c r="AZ1365" i="1" s="1"/>
  <c r="AG1365" i="1"/>
  <c r="AX1365" i="1" s="1"/>
  <c r="AI1371" i="1"/>
  <c r="AN1371" i="1"/>
  <c r="U1371" i="1"/>
  <c r="X1371" i="1" s="1"/>
  <c r="Z1371" i="1" s="1"/>
  <c r="AJ1367" i="1" l="1"/>
  <c r="AK1366" i="1"/>
  <c r="AW1365" i="1"/>
  <c r="AE1367" i="1"/>
  <c r="V1368" i="1"/>
  <c r="AH1368" i="1"/>
  <c r="AO1368" i="1" s="1"/>
  <c r="AQ1368" i="1" s="1"/>
  <c r="AY1366" i="1"/>
  <c r="AZ1366" i="1" s="1"/>
  <c r="AG1366" i="1"/>
  <c r="AX1366" i="1" s="1"/>
  <c r="U1372" i="1"/>
  <c r="X1372" i="1" s="1"/>
  <c r="Z1372" i="1" s="1"/>
  <c r="AN1372" i="1"/>
  <c r="AI1372" i="1"/>
  <c r="AJ1368" i="1" l="1"/>
  <c r="CC1368" i="1" s="1"/>
  <c r="CC1367" i="1"/>
  <c r="AW1366" i="1"/>
  <c r="AK1367" i="1"/>
  <c r="AE1368" i="1"/>
  <c r="V1369" i="1"/>
  <c r="AH1369" i="1"/>
  <c r="AJ1369" i="1" s="1"/>
  <c r="AY1367" i="1"/>
  <c r="AZ1367" i="1" s="1"/>
  <c r="AG1367" i="1"/>
  <c r="AX1367" i="1" s="1"/>
  <c r="U1373" i="1"/>
  <c r="X1373" i="1" s="1"/>
  <c r="Z1373" i="1" s="1"/>
  <c r="AI1373" i="1"/>
  <c r="AN1373" i="1"/>
  <c r="AK1368" i="1" l="1"/>
  <c r="AW1367" i="1"/>
  <c r="AE1369" i="1"/>
  <c r="V1370" i="1"/>
  <c r="AH1370" i="1"/>
  <c r="AO1370" i="1" s="1"/>
  <c r="AQ1370" i="1" s="1"/>
  <c r="CC1369" i="1"/>
  <c r="AO1369" i="1"/>
  <c r="AQ1369" i="1" s="1"/>
  <c r="AG1368" i="1"/>
  <c r="AX1368" i="1" s="1"/>
  <c r="AY1368" i="1"/>
  <c r="AZ1368" i="1" s="1"/>
  <c r="AN1374" i="1"/>
  <c r="U1374" i="1"/>
  <c r="X1374" i="1" s="1"/>
  <c r="Z1374" i="1" s="1"/>
  <c r="AI1374" i="1"/>
  <c r="AJ1370" i="1" l="1"/>
  <c r="CC1370" i="1" s="1"/>
  <c r="AE1370" i="1"/>
  <c r="V1371" i="1"/>
  <c r="AH1371" i="1"/>
  <c r="AO1371" i="1" s="1"/>
  <c r="AQ1371" i="1" s="1"/>
  <c r="AW1368" i="1"/>
  <c r="AK1369" i="1"/>
  <c r="AY1369" i="1"/>
  <c r="AZ1369" i="1" s="1"/>
  <c r="AG1369" i="1"/>
  <c r="AX1369" i="1" s="1"/>
  <c r="AN1375" i="1"/>
  <c r="AI1375" i="1"/>
  <c r="U1375" i="1"/>
  <c r="X1375" i="1" s="1"/>
  <c r="Z1375" i="1" s="1"/>
  <c r="AJ1371" i="1" l="1"/>
  <c r="AK1370" i="1"/>
  <c r="AW1369" i="1"/>
  <c r="AE1371" i="1"/>
  <c r="V1372" i="1"/>
  <c r="AH1372" i="1"/>
  <c r="AJ1372" i="1" s="1"/>
  <c r="AY1370" i="1"/>
  <c r="AZ1370" i="1" s="1"/>
  <c r="AG1370" i="1"/>
  <c r="AX1370" i="1" s="1"/>
  <c r="CC1371" i="1"/>
  <c r="AI1376" i="1"/>
  <c r="U1376" i="1"/>
  <c r="X1376" i="1" s="1"/>
  <c r="Z1376" i="1" s="1"/>
  <c r="AN1376" i="1"/>
  <c r="AK1371" i="1" l="1"/>
  <c r="AW1370" i="1"/>
  <c r="AE1372" i="1"/>
  <c r="V1373" i="1"/>
  <c r="AH1373" i="1"/>
  <c r="AJ1373" i="1" s="1"/>
  <c r="AO1372" i="1"/>
  <c r="AQ1372" i="1" s="1"/>
  <c r="CC1372" i="1"/>
  <c r="AG1371" i="1"/>
  <c r="AX1371" i="1" s="1"/>
  <c r="AY1371" i="1"/>
  <c r="AZ1371" i="1" s="1"/>
  <c r="AN1377" i="1"/>
  <c r="U1377" i="1"/>
  <c r="X1377" i="1" s="1"/>
  <c r="Z1377" i="1" s="1"/>
  <c r="AI1377" i="1"/>
  <c r="AE1373" i="1" l="1"/>
  <c r="V1374" i="1"/>
  <c r="AH1374" i="1"/>
  <c r="AO1374" i="1" s="1"/>
  <c r="AQ1374" i="1" s="1"/>
  <c r="AW1371" i="1"/>
  <c r="AK1372" i="1"/>
  <c r="AO1373" i="1"/>
  <c r="AQ1373" i="1" s="1"/>
  <c r="CC1373" i="1"/>
  <c r="AY1372" i="1"/>
  <c r="AZ1372" i="1" s="1"/>
  <c r="AG1372" i="1"/>
  <c r="AX1372" i="1" s="1"/>
  <c r="AN1378" i="1"/>
  <c r="AI1378" i="1"/>
  <c r="U1378" i="1"/>
  <c r="X1378" i="1" s="1"/>
  <c r="Z1378" i="1" s="1"/>
  <c r="AJ1374" i="1" l="1"/>
  <c r="CC1374" i="1" s="1"/>
  <c r="V1375" i="1"/>
  <c r="AE1374" i="1"/>
  <c r="AH1375" i="1"/>
  <c r="AJ1375" i="1" s="1"/>
  <c r="AW1372" i="1"/>
  <c r="AK1373" i="1"/>
  <c r="AY1373" i="1"/>
  <c r="AZ1373" i="1" s="1"/>
  <c r="AG1373" i="1"/>
  <c r="AX1373" i="1" s="1"/>
  <c r="AN1379" i="1"/>
  <c r="U1379" i="1"/>
  <c r="X1379" i="1" s="1"/>
  <c r="Z1379" i="1" s="1"/>
  <c r="AI1379" i="1"/>
  <c r="V1376" i="1" l="1"/>
  <c r="AE1375" i="1"/>
  <c r="AH1376" i="1"/>
  <c r="AO1376" i="1" s="1"/>
  <c r="AQ1376" i="1" s="1"/>
  <c r="AK1374" i="1"/>
  <c r="AW1373" i="1"/>
  <c r="AO1375" i="1"/>
  <c r="AQ1375" i="1" s="1"/>
  <c r="CC1375" i="1"/>
  <c r="AY1374" i="1"/>
  <c r="AZ1374" i="1" s="1"/>
  <c r="AG1374" i="1"/>
  <c r="AX1374" i="1" s="1"/>
  <c r="U1380" i="1"/>
  <c r="X1380" i="1" s="1"/>
  <c r="Z1380" i="1" s="1"/>
  <c r="AI1380" i="1"/>
  <c r="AN1380" i="1"/>
  <c r="AJ1376" i="1" l="1"/>
  <c r="CC1376" i="1" s="1"/>
  <c r="AW1374" i="1"/>
  <c r="AK1375" i="1"/>
  <c r="AE1376" i="1"/>
  <c r="V1377" i="1"/>
  <c r="AH1377" i="1"/>
  <c r="AO1377" i="1" s="1"/>
  <c r="AQ1377" i="1" s="1"/>
  <c r="AY1375" i="1"/>
  <c r="AZ1375" i="1" s="1"/>
  <c r="AG1375" i="1"/>
  <c r="AX1375" i="1" s="1"/>
  <c r="AI1381" i="1"/>
  <c r="U1381" i="1"/>
  <c r="X1381" i="1" s="1"/>
  <c r="Z1381" i="1" s="1"/>
  <c r="AN1381" i="1"/>
  <c r="AJ1377" i="1" l="1"/>
  <c r="V1378" i="1"/>
  <c r="AE1377" i="1"/>
  <c r="AH1378" i="1"/>
  <c r="AJ1378" i="1" s="1"/>
  <c r="AK1376" i="1"/>
  <c r="AW1375" i="1"/>
  <c r="AG1376" i="1"/>
  <c r="AX1376" i="1" s="1"/>
  <c r="AY1376" i="1"/>
  <c r="AZ1376" i="1" s="1"/>
  <c r="AI1382" i="1"/>
  <c r="AN1382" i="1"/>
  <c r="U1382" i="1"/>
  <c r="X1382" i="1" s="1"/>
  <c r="Z1382" i="1" s="1"/>
  <c r="AW1376" i="1" l="1"/>
  <c r="CC1377" i="1"/>
  <c r="AK1377" i="1"/>
  <c r="AO1378" i="1"/>
  <c r="AQ1378" i="1" s="1"/>
  <c r="CC1378" i="1"/>
  <c r="AE1378" i="1"/>
  <c r="V1379" i="1"/>
  <c r="AH1379" i="1"/>
  <c r="AO1379" i="1" s="1"/>
  <c r="AQ1379" i="1" s="1"/>
  <c r="AG1377" i="1"/>
  <c r="AX1377" i="1" s="1"/>
  <c r="AY1377" i="1"/>
  <c r="AZ1377" i="1" s="1"/>
  <c r="AN1383" i="1"/>
  <c r="AI1383" i="1"/>
  <c r="U1383" i="1"/>
  <c r="X1383" i="1" s="1"/>
  <c r="Z1383" i="1" s="1"/>
  <c r="AJ1379" i="1" l="1"/>
  <c r="AE1379" i="1"/>
  <c r="V1380" i="1"/>
  <c r="AH1380" i="1"/>
  <c r="AO1380" i="1" s="1"/>
  <c r="AQ1380" i="1" s="1"/>
  <c r="AY1378" i="1"/>
  <c r="AZ1378" i="1" s="1"/>
  <c r="AG1378" i="1"/>
  <c r="AX1378" i="1" s="1"/>
  <c r="AK1378" i="1"/>
  <c r="AW1377" i="1"/>
  <c r="U1384" i="1"/>
  <c r="X1384" i="1" s="1"/>
  <c r="Z1384" i="1" s="1"/>
  <c r="AI1384" i="1"/>
  <c r="AN1384" i="1"/>
  <c r="AJ1380" i="1" l="1"/>
  <c r="V1381" i="1"/>
  <c r="AK1379" i="1"/>
  <c r="CC1379" i="1"/>
  <c r="AW1378" i="1"/>
  <c r="AE1380" i="1"/>
  <c r="AH1381" i="1"/>
  <c r="AJ1381" i="1" s="1"/>
  <c r="AY1379" i="1"/>
  <c r="AZ1379" i="1" s="1"/>
  <c r="AG1379" i="1"/>
  <c r="AX1379" i="1" s="1"/>
  <c r="AI1385" i="1"/>
  <c r="AN1385" i="1"/>
  <c r="U1385" i="1"/>
  <c r="X1385" i="1" s="1"/>
  <c r="Z1385" i="1" s="1"/>
  <c r="AW1379" i="1" l="1"/>
  <c r="CC1380" i="1"/>
  <c r="AK1380" i="1"/>
  <c r="V1382" i="1"/>
  <c r="AE1381" i="1"/>
  <c r="AH1382" i="1"/>
  <c r="AJ1382" i="1" s="1"/>
  <c r="AO1381" i="1"/>
  <c r="AQ1381" i="1" s="1"/>
  <c r="CC1381" i="1"/>
  <c r="AG1380" i="1"/>
  <c r="AX1380" i="1" s="1"/>
  <c r="AY1380" i="1"/>
  <c r="AZ1380" i="1" s="1"/>
  <c r="AN1386" i="1"/>
  <c r="U1386" i="1"/>
  <c r="X1386" i="1" s="1"/>
  <c r="Z1386" i="1" s="1"/>
  <c r="AI1386" i="1"/>
  <c r="V1383" i="1" l="1"/>
  <c r="AE1382" i="1"/>
  <c r="AH1383" i="1"/>
  <c r="AO1383" i="1" s="1"/>
  <c r="AQ1383" i="1" s="1"/>
  <c r="AO1382" i="1"/>
  <c r="AQ1382" i="1" s="1"/>
  <c r="CC1382" i="1"/>
  <c r="AW1380" i="1"/>
  <c r="AK1381" i="1"/>
  <c r="AY1381" i="1"/>
  <c r="AZ1381" i="1" s="1"/>
  <c r="AG1381" i="1"/>
  <c r="AX1381" i="1" s="1"/>
  <c r="U1387" i="1"/>
  <c r="X1387" i="1" s="1"/>
  <c r="Z1387" i="1" s="1"/>
  <c r="AI1387" i="1"/>
  <c r="AN1387" i="1"/>
  <c r="AJ1383" i="1" l="1"/>
  <c r="CC1383" i="1" s="1"/>
  <c r="V1384" i="1"/>
  <c r="AE1383" i="1"/>
  <c r="AH1384" i="1"/>
  <c r="AO1384" i="1" s="1"/>
  <c r="AQ1384" i="1" s="1"/>
  <c r="AW1381" i="1"/>
  <c r="AK1382" i="1"/>
  <c r="AY1382" i="1"/>
  <c r="AZ1382" i="1" s="1"/>
  <c r="AG1382" i="1"/>
  <c r="AX1382" i="1" s="1"/>
  <c r="AN1388" i="1"/>
  <c r="U1388" i="1"/>
  <c r="X1388" i="1" s="1"/>
  <c r="Z1388" i="1" s="1"/>
  <c r="AI1388" i="1"/>
  <c r="AW1382" i="1" l="1"/>
  <c r="AJ1384" i="1"/>
  <c r="AK1383" i="1"/>
  <c r="AK1384" i="1"/>
  <c r="AE1384" i="1"/>
  <c r="V1385" i="1"/>
  <c r="AH1385" i="1"/>
  <c r="AJ1385" i="1" s="1"/>
  <c r="AY1383" i="1"/>
  <c r="AZ1383" i="1" s="1"/>
  <c r="AG1383" i="1"/>
  <c r="AX1383" i="1" s="1"/>
  <c r="AN1389" i="1"/>
  <c r="U1389" i="1"/>
  <c r="X1389" i="1" s="1"/>
  <c r="Z1389" i="1" s="1"/>
  <c r="AI1389" i="1"/>
  <c r="CC1385" i="1" l="1"/>
  <c r="AW1383" i="1"/>
  <c r="CC1384" i="1"/>
  <c r="AK1385" i="1"/>
  <c r="AW1384" i="1"/>
  <c r="V1386" i="1"/>
  <c r="AE1385" i="1"/>
  <c r="AH1386" i="1"/>
  <c r="AJ1386" i="1" s="1"/>
  <c r="AG1384" i="1"/>
  <c r="AX1384" i="1" s="1"/>
  <c r="AY1384" i="1"/>
  <c r="AZ1384" i="1" s="1"/>
  <c r="AO1385" i="1"/>
  <c r="AQ1385" i="1" s="1"/>
  <c r="AI1390" i="1"/>
  <c r="U1390" i="1"/>
  <c r="X1390" i="1" s="1"/>
  <c r="Z1390" i="1" s="1"/>
  <c r="AN1390" i="1"/>
  <c r="V1387" i="1" l="1"/>
  <c r="AE1386" i="1"/>
  <c r="AH1387" i="1"/>
  <c r="AO1387" i="1" s="1"/>
  <c r="AQ1387" i="1" s="1"/>
  <c r="AO1386" i="1"/>
  <c r="AQ1386" i="1" s="1"/>
  <c r="CC1386" i="1"/>
  <c r="AY1385" i="1"/>
  <c r="AZ1385" i="1" s="1"/>
  <c r="AG1385" i="1"/>
  <c r="AX1385" i="1" s="1"/>
  <c r="U1391" i="1"/>
  <c r="X1391" i="1" s="1"/>
  <c r="Z1391" i="1" s="1"/>
  <c r="AI1391" i="1"/>
  <c r="AN1391" i="1"/>
  <c r="AJ1387" i="1" l="1"/>
  <c r="CC1387" i="1" s="1"/>
  <c r="V1388" i="1"/>
  <c r="AE1387" i="1"/>
  <c r="AH1388" i="1"/>
  <c r="AO1388" i="1" s="1"/>
  <c r="AQ1388" i="1" s="1"/>
  <c r="AK1386" i="1"/>
  <c r="AW1385" i="1"/>
  <c r="AY1386" i="1"/>
  <c r="AZ1386" i="1" s="1"/>
  <c r="AG1386" i="1"/>
  <c r="AX1386" i="1" s="1"/>
  <c r="AI1392" i="1"/>
  <c r="U1392" i="1"/>
  <c r="X1392" i="1" s="1"/>
  <c r="Z1392" i="1" s="1"/>
  <c r="AN1392" i="1"/>
  <c r="AJ1388" i="1" l="1"/>
  <c r="AW1386" i="1"/>
  <c r="AK1387" i="1"/>
  <c r="AE1388" i="1"/>
  <c r="V1389" i="1"/>
  <c r="AH1389" i="1"/>
  <c r="AO1389" i="1" s="1"/>
  <c r="AQ1389" i="1" s="1"/>
  <c r="AY1387" i="1"/>
  <c r="AZ1387" i="1" s="1"/>
  <c r="AG1387" i="1"/>
  <c r="AX1387" i="1" s="1"/>
  <c r="AK1388" i="1"/>
  <c r="AI1393" i="1"/>
  <c r="U1393" i="1"/>
  <c r="X1393" i="1" s="1"/>
  <c r="Z1393" i="1" s="1"/>
  <c r="AN1393" i="1"/>
  <c r="AJ1389" i="1" l="1"/>
  <c r="AW1387" i="1"/>
  <c r="CC1388" i="1"/>
  <c r="V1390" i="1"/>
  <c r="AE1389" i="1"/>
  <c r="AH1390" i="1"/>
  <c r="AO1390" i="1" s="1"/>
  <c r="AQ1390" i="1" s="1"/>
  <c r="AG1388" i="1"/>
  <c r="AX1388" i="1" s="1"/>
  <c r="AY1388" i="1"/>
  <c r="AZ1388" i="1" s="1"/>
  <c r="AN1394" i="1"/>
  <c r="U1394" i="1"/>
  <c r="X1394" i="1" s="1"/>
  <c r="Z1394" i="1" s="1"/>
  <c r="AI1394" i="1"/>
  <c r="AJ1390" i="1" l="1"/>
  <c r="CC1390" i="1" s="1"/>
  <c r="CC1389" i="1"/>
  <c r="AK1389" i="1"/>
  <c r="AW1388" i="1"/>
  <c r="AE1390" i="1"/>
  <c r="V1391" i="1"/>
  <c r="AH1391" i="1"/>
  <c r="AO1391" i="1" s="1"/>
  <c r="AQ1391" i="1" s="1"/>
  <c r="AY1389" i="1"/>
  <c r="AZ1389" i="1" s="1"/>
  <c r="AG1389" i="1"/>
  <c r="AX1389" i="1" s="1"/>
  <c r="AN1395" i="1"/>
  <c r="U1395" i="1"/>
  <c r="X1395" i="1" s="1"/>
  <c r="Z1395" i="1" s="1"/>
  <c r="AI1395" i="1"/>
  <c r="AJ1391" i="1" l="1"/>
  <c r="V1392" i="1"/>
  <c r="AE1391" i="1"/>
  <c r="AH1392" i="1"/>
  <c r="AO1392" i="1" s="1"/>
  <c r="AQ1392" i="1" s="1"/>
  <c r="AK1390" i="1"/>
  <c r="AW1389" i="1"/>
  <c r="AY1390" i="1"/>
  <c r="AZ1390" i="1" s="1"/>
  <c r="AG1390" i="1"/>
  <c r="AX1390" i="1" s="1"/>
  <c r="AN1396" i="1"/>
  <c r="U1396" i="1"/>
  <c r="X1396" i="1" s="1"/>
  <c r="Z1396" i="1" s="1"/>
  <c r="AI1396" i="1"/>
  <c r="AJ1392" i="1" l="1"/>
  <c r="CC1391" i="1"/>
  <c r="AK1391" i="1"/>
  <c r="AW1390" i="1"/>
  <c r="CC1392" i="1"/>
  <c r="V1393" i="1"/>
  <c r="AE1392" i="1"/>
  <c r="AH1393" i="1"/>
  <c r="AO1393" i="1" s="1"/>
  <c r="AQ1393" i="1" s="1"/>
  <c r="AY1391" i="1"/>
  <c r="AZ1391" i="1" s="1"/>
  <c r="AG1391" i="1"/>
  <c r="AX1391" i="1" s="1"/>
  <c r="U1397" i="1"/>
  <c r="X1397" i="1" s="1"/>
  <c r="Z1397" i="1" s="1"/>
  <c r="AI1397" i="1"/>
  <c r="AN1397" i="1"/>
  <c r="AJ1393" i="1" l="1"/>
  <c r="V1394" i="1"/>
  <c r="AE1393" i="1"/>
  <c r="AH1394" i="1"/>
  <c r="AO1394" i="1" s="1"/>
  <c r="AQ1394" i="1" s="1"/>
  <c r="AW1391" i="1"/>
  <c r="AK1392" i="1"/>
  <c r="AY1392" i="1"/>
  <c r="AZ1392" i="1" s="1"/>
  <c r="AG1392" i="1"/>
  <c r="AX1392" i="1" s="1"/>
  <c r="AI1398" i="1"/>
  <c r="U1398" i="1"/>
  <c r="X1398" i="1" s="1"/>
  <c r="Z1398" i="1" s="1"/>
  <c r="AN1398" i="1"/>
  <c r="AJ1394" i="1" l="1"/>
  <c r="CC1394" i="1" s="1"/>
  <c r="AK1393" i="1"/>
  <c r="CC1393" i="1"/>
  <c r="AW1392" i="1"/>
  <c r="AE1394" i="1"/>
  <c r="V1395" i="1"/>
  <c r="AH1395" i="1"/>
  <c r="AO1395" i="1" s="1"/>
  <c r="AQ1395" i="1" s="1"/>
  <c r="AY1393" i="1"/>
  <c r="AZ1393" i="1" s="1"/>
  <c r="AG1393" i="1"/>
  <c r="AX1393" i="1" s="1"/>
  <c r="AI1399" i="1"/>
  <c r="AN1399" i="1"/>
  <c r="U1399" i="1"/>
  <c r="X1399" i="1" s="1"/>
  <c r="Z1399" i="1" s="1"/>
  <c r="AJ1395" i="1" l="1"/>
  <c r="CC1395" i="1" s="1"/>
  <c r="AK1394" i="1"/>
  <c r="AW1393" i="1"/>
  <c r="V1396" i="1"/>
  <c r="AE1395" i="1"/>
  <c r="AH1396" i="1"/>
  <c r="AJ1396" i="1" s="1"/>
  <c r="AG1394" i="1"/>
  <c r="AX1394" i="1" s="1"/>
  <c r="AY1394" i="1"/>
  <c r="AZ1394" i="1" s="1"/>
  <c r="U1400" i="1"/>
  <c r="X1400" i="1" s="1"/>
  <c r="Z1400" i="1" s="1"/>
  <c r="AI1400" i="1"/>
  <c r="AN1400" i="1"/>
  <c r="AW1394" i="1" l="1"/>
  <c r="AK1395" i="1"/>
  <c r="AE1396" i="1"/>
  <c r="V1397" i="1"/>
  <c r="AH1397" i="1"/>
  <c r="AO1397" i="1" s="1"/>
  <c r="AQ1397" i="1" s="1"/>
  <c r="CC1396" i="1"/>
  <c r="AO1396" i="1"/>
  <c r="AQ1396" i="1" s="1"/>
  <c r="AY1395" i="1"/>
  <c r="AZ1395" i="1" s="1"/>
  <c r="AG1395" i="1"/>
  <c r="AX1395" i="1" s="1"/>
  <c r="U1401" i="1"/>
  <c r="X1401" i="1" s="1"/>
  <c r="Z1401" i="1" s="1"/>
  <c r="AN1401" i="1"/>
  <c r="AI1401" i="1"/>
  <c r="AJ1397" i="1" l="1"/>
  <c r="V1398" i="1"/>
  <c r="AE1397" i="1"/>
  <c r="AH1398" i="1"/>
  <c r="AJ1398" i="1" s="1"/>
  <c r="AW1395" i="1"/>
  <c r="AK1396" i="1"/>
  <c r="AY1396" i="1"/>
  <c r="AZ1396" i="1" s="1"/>
  <c r="AG1396" i="1"/>
  <c r="AX1396" i="1" s="1"/>
  <c r="U1402" i="1"/>
  <c r="X1402" i="1" s="1"/>
  <c r="Z1402" i="1" s="1"/>
  <c r="AN1402" i="1"/>
  <c r="AI1402" i="1"/>
  <c r="AW1396" i="1" l="1"/>
  <c r="CC1397" i="1"/>
  <c r="AK1397" i="1"/>
  <c r="AO1398" i="1"/>
  <c r="AQ1398" i="1" s="1"/>
  <c r="CC1398" i="1"/>
  <c r="AE1398" i="1"/>
  <c r="V1399" i="1"/>
  <c r="AH1399" i="1"/>
  <c r="AJ1399" i="1" s="1"/>
  <c r="AG1397" i="1"/>
  <c r="AX1397" i="1" s="1"/>
  <c r="AY1397" i="1"/>
  <c r="AZ1397" i="1" s="1"/>
  <c r="AN1403" i="1"/>
  <c r="U1403" i="1"/>
  <c r="X1403" i="1" s="1"/>
  <c r="Z1403" i="1" s="1"/>
  <c r="AI1403" i="1"/>
  <c r="V1400" i="1" l="1"/>
  <c r="AE1399" i="1"/>
  <c r="AH1400" i="1"/>
  <c r="AO1400" i="1" s="1"/>
  <c r="AQ1400" i="1" s="1"/>
  <c r="CC1399" i="1"/>
  <c r="AO1399" i="1"/>
  <c r="AQ1399" i="1" s="1"/>
  <c r="AG1398" i="1"/>
  <c r="AX1398" i="1" s="1"/>
  <c r="AY1398" i="1"/>
  <c r="AZ1398" i="1" s="1"/>
  <c r="AK1398" i="1"/>
  <c r="AW1397" i="1"/>
  <c r="AN1404" i="1"/>
  <c r="AI1404" i="1"/>
  <c r="U1404" i="1"/>
  <c r="X1404" i="1" s="1"/>
  <c r="Z1404" i="1" s="1"/>
  <c r="AJ1400" i="1" l="1"/>
  <c r="CC1400" i="1" s="1"/>
  <c r="V1401" i="1"/>
  <c r="AE1400" i="1"/>
  <c r="AH1401" i="1"/>
  <c r="AJ1401" i="1" s="1"/>
  <c r="AK1399" i="1"/>
  <c r="AW1398" i="1"/>
  <c r="AG1399" i="1"/>
  <c r="AX1399" i="1" s="1"/>
  <c r="AY1399" i="1"/>
  <c r="AZ1399" i="1" s="1"/>
  <c r="AN1405" i="1"/>
  <c r="U1405" i="1"/>
  <c r="X1405" i="1" s="1"/>
  <c r="Z1405" i="1" s="1"/>
  <c r="AI1405" i="1"/>
  <c r="AE1401" i="1" l="1"/>
  <c r="V1402" i="1"/>
  <c r="AH1402" i="1"/>
  <c r="AO1402" i="1" s="1"/>
  <c r="AQ1402" i="1" s="1"/>
  <c r="AW1399" i="1"/>
  <c r="AK1400" i="1"/>
  <c r="AO1401" i="1"/>
  <c r="AQ1401" i="1" s="1"/>
  <c r="CC1401" i="1"/>
  <c r="AG1400" i="1"/>
  <c r="AX1400" i="1" s="1"/>
  <c r="AY1400" i="1"/>
  <c r="AZ1400" i="1" s="1"/>
  <c r="U1406" i="1"/>
  <c r="X1406" i="1" s="1"/>
  <c r="Z1406" i="1" s="1"/>
  <c r="AI1406" i="1"/>
  <c r="AN1406" i="1"/>
  <c r="AJ1402" i="1" l="1"/>
  <c r="AK1402" i="1" s="1"/>
  <c r="AW1400" i="1"/>
  <c r="AK1401" i="1"/>
  <c r="V1403" i="1"/>
  <c r="AE1402" i="1"/>
  <c r="AH1403" i="1"/>
  <c r="AJ1403" i="1" s="1"/>
  <c r="AY1401" i="1"/>
  <c r="AZ1401" i="1" s="1"/>
  <c r="AG1401" i="1"/>
  <c r="AX1401" i="1" s="1"/>
  <c r="U1407" i="1"/>
  <c r="X1407" i="1" s="1"/>
  <c r="Z1407" i="1" s="1"/>
  <c r="AN1407" i="1"/>
  <c r="AI1407" i="1"/>
  <c r="CC1402" i="1" l="1"/>
  <c r="AW1401" i="1"/>
  <c r="AO1403" i="1"/>
  <c r="AQ1403" i="1" s="1"/>
  <c r="CC1403" i="1"/>
  <c r="V1404" i="1"/>
  <c r="AE1403" i="1"/>
  <c r="AH1404" i="1"/>
  <c r="AJ1404" i="1" s="1"/>
  <c r="AY1402" i="1"/>
  <c r="AZ1402" i="1" s="1"/>
  <c r="AG1402" i="1"/>
  <c r="AX1402" i="1" s="1"/>
  <c r="AN1408" i="1"/>
  <c r="U1408" i="1"/>
  <c r="X1408" i="1" s="1"/>
  <c r="Z1408" i="1" s="1"/>
  <c r="AI1408" i="1"/>
  <c r="CC1404" i="1" l="1"/>
  <c r="AO1404" i="1"/>
  <c r="AQ1404" i="1" s="1"/>
  <c r="V1405" i="1"/>
  <c r="AE1404" i="1"/>
  <c r="AH1405" i="1"/>
  <c r="AO1405" i="1" s="1"/>
  <c r="AQ1405" i="1" s="1"/>
  <c r="AW1403" i="1"/>
  <c r="AK1404" i="1"/>
  <c r="AG1403" i="1"/>
  <c r="AX1403" i="1" s="1"/>
  <c r="AY1403" i="1"/>
  <c r="AZ1403" i="1" s="1"/>
  <c r="AW1402" i="1"/>
  <c r="AK1403" i="1"/>
  <c r="U1409" i="1"/>
  <c r="X1409" i="1" s="1"/>
  <c r="Z1409" i="1" s="1"/>
  <c r="AN1409" i="1"/>
  <c r="AI1409" i="1"/>
  <c r="AJ1405" i="1" l="1"/>
  <c r="CC1405" i="1" s="1"/>
  <c r="AE1405" i="1"/>
  <c r="V1406" i="1"/>
  <c r="AH1406" i="1"/>
  <c r="AJ1406" i="1" s="1"/>
  <c r="AY1404" i="1"/>
  <c r="AZ1404" i="1" s="1"/>
  <c r="AG1404" i="1"/>
  <c r="AX1404" i="1" s="1"/>
  <c r="U1410" i="1"/>
  <c r="X1410" i="1" s="1"/>
  <c r="Z1410" i="1" s="1"/>
  <c r="AN1410" i="1"/>
  <c r="AI1410" i="1"/>
  <c r="CC1406" i="1" l="1"/>
  <c r="V1407" i="1"/>
  <c r="AO1406" i="1"/>
  <c r="AQ1406" i="1" s="1"/>
  <c r="AK1405" i="1"/>
  <c r="AW1404" i="1"/>
  <c r="AE1406" i="1"/>
  <c r="AH1407" i="1"/>
  <c r="AJ1407" i="1" s="1"/>
  <c r="AG1405" i="1"/>
  <c r="AX1405" i="1" s="1"/>
  <c r="AY1405" i="1"/>
  <c r="AZ1405" i="1" s="1"/>
  <c r="AN1411" i="1"/>
  <c r="AI1411" i="1"/>
  <c r="U1411" i="1"/>
  <c r="X1411" i="1" s="1"/>
  <c r="Z1411" i="1" s="1"/>
  <c r="AK1406" i="1" l="1"/>
  <c r="AW1405" i="1"/>
  <c r="CC1407" i="1"/>
  <c r="AW1406" i="1"/>
  <c r="AK1407" i="1"/>
  <c r="AO1407" i="1"/>
  <c r="AQ1407" i="1" s="1"/>
  <c r="AE1407" i="1"/>
  <c r="V1408" i="1"/>
  <c r="AH1408" i="1"/>
  <c r="AJ1408" i="1" s="1"/>
  <c r="AG1406" i="1"/>
  <c r="AX1406" i="1" s="1"/>
  <c r="AY1406" i="1"/>
  <c r="AZ1406" i="1" s="1"/>
  <c r="AI1412" i="1"/>
  <c r="AN1412" i="1"/>
  <c r="U1412" i="1"/>
  <c r="X1412" i="1" s="1"/>
  <c r="Z1412" i="1" s="1"/>
  <c r="AE1408" i="1" l="1"/>
  <c r="V1409" i="1"/>
  <c r="AH1409" i="1"/>
  <c r="AJ1409" i="1" s="1"/>
  <c r="AO1408" i="1"/>
  <c r="AQ1408" i="1" s="1"/>
  <c r="CC1408" i="1"/>
  <c r="AG1407" i="1"/>
  <c r="AX1407" i="1" s="1"/>
  <c r="AY1407" i="1"/>
  <c r="AZ1407" i="1" s="1"/>
  <c r="AN1413" i="1"/>
  <c r="AI1413" i="1"/>
  <c r="U1413" i="1"/>
  <c r="X1413" i="1" s="1"/>
  <c r="Z1413" i="1" s="1"/>
  <c r="V1410" i="1" l="1"/>
  <c r="AE1409" i="1"/>
  <c r="AH1410" i="1"/>
  <c r="AO1410" i="1" s="1"/>
  <c r="AQ1410" i="1" s="1"/>
  <c r="AK1408" i="1"/>
  <c r="AW1407" i="1"/>
  <c r="AO1409" i="1"/>
  <c r="AQ1409" i="1" s="1"/>
  <c r="CC1409" i="1"/>
  <c r="AY1408" i="1"/>
  <c r="AZ1408" i="1" s="1"/>
  <c r="AG1408" i="1"/>
  <c r="AX1408" i="1" s="1"/>
  <c r="AI1414" i="1"/>
  <c r="U1414" i="1"/>
  <c r="X1414" i="1" s="1"/>
  <c r="Z1414" i="1" s="1"/>
  <c r="AN1414" i="1"/>
  <c r="AJ1410" i="1" l="1"/>
  <c r="CC1410" i="1" s="1"/>
  <c r="V1411" i="1"/>
  <c r="AE1410" i="1"/>
  <c r="AH1411" i="1"/>
  <c r="AO1411" i="1" s="1"/>
  <c r="AQ1411" i="1" s="1"/>
  <c r="AW1408" i="1"/>
  <c r="AK1409" i="1"/>
  <c r="AY1409" i="1"/>
  <c r="AZ1409" i="1" s="1"/>
  <c r="AG1409" i="1"/>
  <c r="AX1409" i="1" s="1"/>
  <c r="AI1415" i="1"/>
  <c r="U1415" i="1"/>
  <c r="X1415" i="1" s="1"/>
  <c r="Z1415" i="1" s="1"/>
  <c r="AN1415" i="1"/>
  <c r="AJ1411" i="1" l="1"/>
  <c r="AW1409" i="1"/>
  <c r="CC1411" i="1"/>
  <c r="AK1410" i="1"/>
  <c r="AE1411" i="1"/>
  <c r="V1412" i="1"/>
  <c r="AH1412" i="1"/>
  <c r="AO1412" i="1" s="1"/>
  <c r="AQ1412" i="1" s="1"/>
  <c r="AG1410" i="1"/>
  <c r="AX1410" i="1" s="1"/>
  <c r="AY1410" i="1"/>
  <c r="AZ1410" i="1" s="1"/>
  <c r="AI1416" i="1"/>
  <c r="U1416" i="1"/>
  <c r="X1416" i="1" s="1"/>
  <c r="Z1416" i="1" s="1"/>
  <c r="AN1416" i="1"/>
  <c r="AJ1412" i="1" l="1"/>
  <c r="AW1410" i="1"/>
  <c r="AK1411" i="1"/>
  <c r="AE1412" i="1"/>
  <c r="V1413" i="1"/>
  <c r="AH1413" i="1"/>
  <c r="AJ1413" i="1" s="1"/>
  <c r="AY1411" i="1"/>
  <c r="AZ1411" i="1" s="1"/>
  <c r="AG1411" i="1"/>
  <c r="AX1411" i="1" s="1"/>
  <c r="U1417" i="1"/>
  <c r="X1417" i="1" s="1"/>
  <c r="Z1417" i="1" s="1"/>
  <c r="AI1417" i="1"/>
  <c r="AN1417" i="1"/>
  <c r="AK1412" i="1" l="1"/>
  <c r="CC1412" i="1"/>
  <c r="AW1411" i="1"/>
  <c r="V1414" i="1"/>
  <c r="AE1413" i="1"/>
  <c r="AH1414" i="1"/>
  <c r="AJ1414" i="1" s="1"/>
  <c r="AO1413" i="1"/>
  <c r="AQ1413" i="1" s="1"/>
  <c r="CC1413" i="1"/>
  <c r="AG1412" i="1"/>
  <c r="AX1412" i="1" s="1"/>
  <c r="AY1412" i="1"/>
  <c r="AZ1412" i="1" s="1"/>
  <c r="AI1418" i="1"/>
  <c r="U1418" i="1"/>
  <c r="X1418" i="1" s="1"/>
  <c r="Z1418" i="1" s="1"/>
  <c r="AN1418" i="1"/>
  <c r="AK1414" i="1" l="1"/>
  <c r="CC1414" i="1"/>
  <c r="AW1413" i="1"/>
  <c r="AO1414" i="1"/>
  <c r="AQ1414" i="1" s="1"/>
  <c r="AW1412" i="1"/>
  <c r="AK1413" i="1"/>
  <c r="V1415" i="1"/>
  <c r="AE1414" i="1"/>
  <c r="AH1415" i="1"/>
  <c r="AO1415" i="1" s="1"/>
  <c r="AQ1415" i="1" s="1"/>
  <c r="AG1413" i="1"/>
  <c r="AX1413" i="1" s="1"/>
  <c r="AY1413" i="1"/>
  <c r="AZ1413" i="1" s="1"/>
  <c r="AI1419" i="1"/>
  <c r="AN1419" i="1"/>
  <c r="U1419" i="1"/>
  <c r="X1419" i="1" s="1"/>
  <c r="Z1419" i="1" s="1"/>
  <c r="AJ1415" i="1" l="1"/>
  <c r="CC1415" i="1" s="1"/>
  <c r="V1416" i="1"/>
  <c r="AE1415" i="1"/>
  <c r="AH1416" i="1"/>
  <c r="AJ1416" i="1" s="1"/>
  <c r="AY1414" i="1"/>
  <c r="AZ1414" i="1" s="1"/>
  <c r="AG1414" i="1"/>
  <c r="AX1414" i="1" s="1"/>
  <c r="AN1420" i="1"/>
  <c r="AI1420" i="1"/>
  <c r="U1420" i="1"/>
  <c r="X1420" i="1" s="1"/>
  <c r="Z1420" i="1" s="1"/>
  <c r="AK1415" i="1" l="1"/>
  <c r="AW1414" i="1"/>
  <c r="AE1416" i="1"/>
  <c r="V1417" i="1"/>
  <c r="AH1417" i="1"/>
  <c r="AO1417" i="1" s="1"/>
  <c r="AQ1417" i="1" s="1"/>
  <c r="AO1416" i="1"/>
  <c r="AQ1416" i="1" s="1"/>
  <c r="CC1416" i="1"/>
  <c r="AG1415" i="1"/>
  <c r="AX1415" i="1" s="1"/>
  <c r="AY1415" i="1"/>
  <c r="AZ1415" i="1" s="1"/>
  <c r="AI1421" i="1"/>
  <c r="AN1421" i="1"/>
  <c r="U1421" i="1"/>
  <c r="X1421" i="1" s="1"/>
  <c r="Z1421" i="1" s="1"/>
  <c r="AJ1417" i="1" l="1"/>
  <c r="AW1415" i="1"/>
  <c r="AK1416" i="1"/>
  <c r="V1418" i="1"/>
  <c r="AE1417" i="1"/>
  <c r="AH1418" i="1"/>
  <c r="AO1418" i="1" s="1"/>
  <c r="AQ1418" i="1" s="1"/>
  <c r="AG1416" i="1"/>
  <c r="AX1416" i="1" s="1"/>
  <c r="AY1416" i="1"/>
  <c r="AZ1416" i="1" s="1"/>
  <c r="AI1422" i="1"/>
  <c r="U1422" i="1"/>
  <c r="X1422" i="1" s="1"/>
  <c r="Z1422" i="1" s="1"/>
  <c r="AN1422" i="1"/>
  <c r="AJ1418" i="1" l="1"/>
  <c r="CC1418" i="1" s="1"/>
  <c r="AW1416" i="1"/>
  <c r="CC1417" i="1"/>
  <c r="AK1417" i="1"/>
  <c r="AW1417" i="1"/>
  <c r="V1419" i="1"/>
  <c r="AE1418" i="1"/>
  <c r="AH1419" i="1"/>
  <c r="AJ1419" i="1" s="1"/>
  <c r="AY1417" i="1"/>
  <c r="AZ1417" i="1" s="1"/>
  <c r="AG1417" i="1"/>
  <c r="AX1417" i="1" s="1"/>
  <c r="AI1423" i="1"/>
  <c r="AN1423" i="1"/>
  <c r="U1423" i="1"/>
  <c r="X1423" i="1" s="1"/>
  <c r="Z1423" i="1" s="1"/>
  <c r="AK1418" i="1" l="1"/>
  <c r="AE1419" i="1"/>
  <c r="V1420" i="1"/>
  <c r="AH1420" i="1"/>
  <c r="AO1420" i="1" s="1"/>
  <c r="AQ1420" i="1" s="1"/>
  <c r="AO1419" i="1"/>
  <c r="AQ1419" i="1" s="1"/>
  <c r="CC1419" i="1"/>
  <c r="AY1418" i="1"/>
  <c r="AZ1418" i="1" s="1"/>
  <c r="AG1418" i="1"/>
  <c r="AX1418" i="1" s="1"/>
  <c r="AI1424" i="1"/>
  <c r="U1424" i="1"/>
  <c r="X1424" i="1" s="1"/>
  <c r="Z1424" i="1" s="1"/>
  <c r="AN1424" i="1"/>
  <c r="AJ1420" i="1" l="1"/>
  <c r="CC1420" i="1" s="1"/>
  <c r="AK1419" i="1"/>
  <c r="AW1418" i="1"/>
  <c r="V1421" i="1"/>
  <c r="AE1420" i="1"/>
  <c r="AH1421" i="1"/>
  <c r="AJ1421" i="1" s="1"/>
  <c r="AG1419" i="1"/>
  <c r="AX1419" i="1" s="1"/>
  <c r="AY1419" i="1"/>
  <c r="AZ1419" i="1" s="1"/>
  <c r="U1425" i="1"/>
  <c r="X1425" i="1" s="1"/>
  <c r="Z1425" i="1" s="1"/>
  <c r="AI1425" i="1"/>
  <c r="AN1425" i="1"/>
  <c r="AW1419" i="1" l="1"/>
  <c r="AK1420" i="1"/>
  <c r="AE1421" i="1"/>
  <c r="V1422" i="1"/>
  <c r="AH1422" i="1"/>
  <c r="AO1422" i="1" s="1"/>
  <c r="AQ1422" i="1" s="1"/>
  <c r="AO1421" i="1"/>
  <c r="AQ1421" i="1" s="1"/>
  <c r="CC1421" i="1"/>
  <c r="AY1420" i="1"/>
  <c r="AZ1420" i="1" s="1"/>
  <c r="AG1420" i="1"/>
  <c r="AX1420" i="1" s="1"/>
  <c r="AI1426" i="1"/>
  <c r="U1426" i="1"/>
  <c r="X1426" i="1" s="1"/>
  <c r="Z1426" i="1" s="1"/>
  <c r="AN1426" i="1"/>
  <c r="AJ1422" i="1" l="1"/>
  <c r="CC1422" i="1" s="1"/>
  <c r="AE1422" i="1"/>
  <c r="V1423" i="1"/>
  <c r="AH1423" i="1"/>
  <c r="AO1423" i="1" s="1"/>
  <c r="AQ1423" i="1" s="1"/>
  <c r="AW1420" i="1"/>
  <c r="AK1421" i="1"/>
  <c r="AG1421" i="1"/>
  <c r="AX1421" i="1" s="1"/>
  <c r="AY1421" i="1"/>
  <c r="AZ1421" i="1" s="1"/>
  <c r="AN1427" i="1"/>
  <c r="U1427" i="1"/>
  <c r="X1427" i="1" s="1"/>
  <c r="Z1427" i="1" s="1"/>
  <c r="AI1427" i="1"/>
  <c r="AJ1423" i="1" l="1"/>
  <c r="CC1423" i="1" s="1"/>
  <c r="AK1422" i="1"/>
  <c r="AW1421" i="1"/>
  <c r="AG1422" i="1"/>
  <c r="AX1422" i="1" s="1"/>
  <c r="AY1422" i="1"/>
  <c r="AZ1422" i="1" s="1"/>
  <c r="V1424" i="1"/>
  <c r="AE1423" i="1"/>
  <c r="AH1424" i="1"/>
  <c r="AJ1424" i="1" s="1"/>
  <c r="AN1428" i="1"/>
  <c r="AI1428" i="1"/>
  <c r="U1428" i="1"/>
  <c r="X1428" i="1" s="1"/>
  <c r="Z1428" i="1" s="1"/>
  <c r="CC1424" i="1" l="1"/>
  <c r="AO1424" i="1"/>
  <c r="AQ1424" i="1" s="1"/>
  <c r="AW1423" i="1"/>
  <c r="AK1424" i="1"/>
  <c r="AE1424" i="1"/>
  <c r="V1425" i="1"/>
  <c r="AH1425" i="1"/>
  <c r="AO1425" i="1" s="1"/>
  <c r="AQ1425" i="1" s="1"/>
  <c r="AG1423" i="1"/>
  <c r="AX1423" i="1" s="1"/>
  <c r="AY1423" i="1"/>
  <c r="AZ1423" i="1" s="1"/>
  <c r="AW1422" i="1"/>
  <c r="AK1423" i="1"/>
  <c r="AN1429" i="1"/>
  <c r="AI1429" i="1"/>
  <c r="U1429" i="1"/>
  <c r="X1429" i="1" s="1"/>
  <c r="Z1429" i="1" s="1"/>
  <c r="AJ1425" i="1" l="1"/>
  <c r="CC1425" i="1" s="1"/>
  <c r="AG1424" i="1"/>
  <c r="AX1424" i="1" s="1"/>
  <c r="AY1424" i="1"/>
  <c r="AZ1424" i="1" s="1"/>
  <c r="V1426" i="1"/>
  <c r="AE1425" i="1"/>
  <c r="AH1426" i="1"/>
  <c r="AJ1426" i="1" s="1"/>
  <c r="U1430" i="1"/>
  <c r="X1430" i="1" s="1"/>
  <c r="Z1430" i="1" s="1"/>
  <c r="AI1430" i="1"/>
  <c r="AN1430" i="1"/>
  <c r="AE1426" i="1" l="1"/>
  <c r="V1427" i="1"/>
  <c r="AH1427" i="1"/>
  <c r="AO1427" i="1" s="1"/>
  <c r="AQ1427" i="1" s="1"/>
  <c r="AK1425" i="1"/>
  <c r="AW1424" i="1"/>
  <c r="AO1426" i="1"/>
  <c r="AQ1426" i="1" s="1"/>
  <c r="CC1426" i="1"/>
  <c r="AY1425" i="1"/>
  <c r="AZ1425" i="1" s="1"/>
  <c r="AG1425" i="1"/>
  <c r="AX1425" i="1" s="1"/>
  <c r="AN1431" i="1"/>
  <c r="AI1431" i="1"/>
  <c r="U1431" i="1"/>
  <c r="X1431" i="1" s="1"/>
  <c r="Z1431" i="1" s="1"/>
  <c r="AJ1427" i="1" l="1"/>
  <c r="AK1427" i="1" s="1"/>
  <c r="AK1426" i="1"/>
  <c r="AW1425" i="1"/>
  <c r="AE1427" i="1"/>
  <c r="V1428" i="1"/>
  <c r="AH1428" i="1"/>
  <c r="AJ1428" i="1" s="1"/>
  <c r="AG1426" i="1"/>
  <c r="AX1426" i="1" s="1"/>
  <c r="AY1426" i="1"/>
  <c r="AZ1426" i="1" s="1"/>
  <c r="AN1432" i="1"/>
  <c r="U1432" i="1"/>
  <c r="X1432" i="1" s="1"/>
  <c r="Z1432" i="1" s="1"/>
  <c r="AI1432" i="1"/>
  <c r="AW1426" i="1" l="1"/>
  <c r="CC1427" i="1"/>
  <c r="AE1428" i="1"/>
  <c r="V1429" i="1"/>
  <c r="AH1429" i="1"/>
  <c r="AO1429" i="1" s="1"/>
  <c r="AQ1429" i="1" s="1"/>
  <c r="AO1428" i="1"/>
  <c r="AQ1428" i="1" s="1"/>
  <c r="CC1428" i="1"/>
  <c r="AG1427" i="1"/>
  <c r="AX1427" i="1" s="1"/>
  <c r="AY1427" i="1"/>
  <c r="AZ1427" i="1" s="1"/>
  <c r="AN1433" i="1"/>
  <c r="U1433" i="1"/>
  <c r="X1433" i="1" s="1"/>
  <c r="Z1433" i="1" s="1"/>
  <c r="AI1433" i="1"/>
  <c r="AJ1429" i="1" l="1"/>
  <c r="CC1429" i="1" s="1"/>
  <c r="AK1428" i="1"/>
  <c r="AW1427" i="1"/>
  <c r="V1430" i="1"/>
  <c r="AE1429" i="1"/>
  <c r="AH1430" i="1"/>
  <c r="AJ1430" i="1" s="1"/>
  <c r="AY1428" i="1"/>
  <c r="AZ1428" i="1" s="1"/>
  <c r="AG1428" i="1"/>
  <c r="AX1428" i="1" s="1"/>
  <c r="AN1434" i="1"/>
  <c r="U1434" i="1"/>
  <c r="X1434" i="1" s="1"/>
  <c r="Z1434" i="1" s="1"/>
  <c r="AI1434" i="1"/>
  <c r="CC1430" i="1" l="1"/>
  <c r="AW1428" i="1"/>
  <c r="AK1429" i="1"/>
  <c r="AE1430" i="1"/>
  <c r="V1431" i="1"/>
  <c r="AH1431" i="1"/>
  <c r="AO1431" i="1" s="1"/>
  <c r="AQ1431" i="1" s="1"/>
  <c r="AO1430" i="1"/>
  <c r="AQ1430" i="1" s="1"/>
  <c r="AG1429" i="1"/>
  <c r="AX1429" i="1" s="1"/>
  <c r="AY1429" i="1"/>
  <c r="AZ1429" i="1" s="1"/>
  <c r="U1435" i="1"/>
  <c r="X1435" i="1" s="1"/>
  <c r="Z1435" i="1" s="1"/>
  <c r="AN1435" i="1"/>
  <c r="AI1435" i="1"/>
  <c r="AJ1431" i="1" l="1"/>
  <c r="CC1431" i="1" s="1"/>
  <c r="AK1430" i="1"/>
  <c r="AW1429" i="1"/>
  <c r="V1432" i="1"/>
  <c r="AE1431" i="1"/>
  <c r="AH1432" i="1"/>
  <c r="AJ1432" i="1" s="1"/>
  <c r="AY1430" i="1"/>
  <c r="AZ1430" i="1" s="1"/>
  <c r="AG1430" i="1"/>
  <c r="AX1430" i="1" s="1"/>
  <c r="AN1436" i="1"/>
  <c r="U1436" i="1"/>
  <c r="X1436" i="1" s="1"/>
  <c r="Z1436" i="1" s="1"/>
  <c r="AI1436" i="1"/>
  <c r="AK1431" i="1" l="1"/>
  <c r="AW1430" i="1"/>
  <c r="V1433" i="1"/>
  <c r="AE1432" i="1"/>
  <c r="AH1433" i="1"/>
  <c r="AO1433" i="1" s="1"/>
  <c r="AQ1433" i="1" s="1"/>
  <c r="AO1432" i="1"/>
  <c r="AQ1432" i="1" s="1"/>
  <c r="CC1432" i="1"/>
  <c r="AG1431" i="1"/>
  <c r="AX1431" i="1" s="1"/>
  <c r="AY1431" i="1"/>
  <c r="AZ1431" i="1" s="1"/>
  <c r="U1437" i="1"/>
  <c r="X1437" i="1" s="1"/>
  <c r="Z1437" i="1" s="1"/>
  <c r="AI1437" i="1"/>
  <c r="AN1437" i="1"/>
  <c r="AJ1433" i="1" l="1"/>
  <c r="CC1433" i="1" s="1"/>
  <c r="V1434" i="1"/>
  <c r="AE1433" i="1"/>
  <c r="AH1434" i="1"/>
  <c r="AO1434" i="1" s="1"/>
  <c r="AQ1434" i="1" s="1"/>
  <c r="AW1431" i="1"/>
  <c r="AK1432" i="1"/>
  <c r="AY1432" i="1"/>
  <c r="AZ1432" i="1" s="1"/>
  <c r="AG1432" i="1"/>
  <c r="AX1432" i="1" s="1"/>
  <c r="AI1438" i="1"/>
  <c r="U1438" i="1"/>
  <c r="X1438" i="1" s="1"/>
  <c r="Z1438" i="1" s="1"/>
  <c r="AN1438" i="1"/>
  <c r="AJ1434" i="1" l="1"/>
  <c r="AK1434" i="1" s="1"/>
  <c r="V1435" i="1"/>
  <c r="AW1432" i="1"/>
  <c r="AK1433" i="1"/>
  <c r="AE1434" i="1"/>
  <c r="AH1435" i="1"/>
  <c r="AO1435" i="1" s="1"/>
  <c r="AQ1435" i="1" s="1"/>
  <c r="AG1433" i="1"/>
  <c r="AX1433" i="1" s="1"/>
  <c r="AY1433" i="1"/>
  <c r="AZ1433" i="1" s="1"/>
  <c r="U1439" i="1"/>
  <c r="X1439" i="1" s="1"/>
  <c r="Z1439" i="1" s="1"/>
  <c r="AI1439" i="1"/>
  <c r="AN1439" i="1"/>
  <c r="CC1434" i="1" l="1"/>
  <c r="AJ1435" i="1"/>
  <c r="CC1435" i="1" s="1"/>
  <c r="AW1433" i="1"/>
  <c r="V1436" i="1"/>
  <c r="AE1435" i="1"/>
  <c r="AH1436" i="1"/>
  <c r="AO1436" i="1" s="1"/>
  <c r="AQ1436" i="1" s="1"/>
  <c r="AG1434" i="1"/>
  <c r="AX1434" i="1" s="1"/>
  <c r="AY1434" i="1"/>
  <c r="AZ1434" i="1" s="1"/>
  <c r="AN1440" i="1"/>
  <c r="U1440" i="1"/>
  <c r="X1440" i="1" s="1"/>
  <c r="Z1440" i="1" s="1"/>
  <c r="AI1440" i="1"/>
  <c r="AJ1436" i="1" l="1"/>
  <c r="AK1435" i="1"/>
  <c r="AW1434" i="1"/>
  <c r="AE1436" i="1"/>
  <c r="V1437" i="1"/>
  <c r="AH1437" i="1"/>
  <c r="AO1437" i="1" s="1"/>
  <c r="AQ1437" i="1" s="1"/>
  <c r="AG1435" i="1"/>
  <c r="AX1435" i="1" s="1"/>
  <c r="AY1435" i="1"/>
  <c r="AZ1435" i="1" s="1"/>
  <c r="CC1436" i="1"/>
  <c r="AN1441" i="1"/>
  <c r="U1441" i="1"/>
  <c r="X1441" i="1" s="1"/>
  <c r="Z1441" i="1" s="1"/>
  <c r="AI1441" i="1"/>
  <c r="AJ1437" i="1" l="1"/>
  <c r="AE1437" i="1"/>
  <c r="V1438" i="1"/>
  <c r="AH1438" i="1"/>
  <c r="AJ1438" i="1" s="1"/>
  <c r="AW1435" i="1"/>
  <c r="AK1436" i="1"/>
  <c r="AY1436" i="1"/>
  <c r="AZ1436" i="1" s="1"/>
  <c r="AG1436" i="1"/>
  <c r="AX1436" i="1" s="1"/>
  <c r="AI1442" i="1"/>
  <c r="AN1442" i="1"/>
  <c r="U1442" i="1"/>
  <c r="X1442" i="1" s="1"/>
  <c r="Z1442" i="1" s="1"/>
  <c r="AK1437" i="1" l="1"/>
  <c r="CC1437" i="1"/>
  <c r="AW1436" i="1"/>
  <c r="AE1438" i="1"/>
  <c r="V1439" i="1"/>
  <c r="AH1439" i="1"/>
  <c r="AO1439" i="1" s="1"/>
  <c r="AQ1439" i="1" s="1"/>
  <c r="AO1438" i="1"/>
  <c r="AQ1438" i="1" s="1"/>
  <c r="CC1438" i="1"/>
  <c r="AY1437" i="1"/>
  <c r="AZ1437" i="1" s="1"/>
  <c r="AG1437" i="1"/>
  <c r="AX1437" i="1" s="1"/>
  <c r="U1443" i="1"/>
  <c r="X1443" i="1" s="1"/>
  <c r="Z1443" i="1" s="1"/>
  <c r="AN1443" i="1"/>
  <c r="AI1443" i="1"/>
  <c r="AJ1439" i="1" l="1"/>
  <c r="AK1439" i="1" s="1"/>
  <c r="AK1438" i="1"/>
  <c r="AW1437" i="1"/>
  <c r="AE1439" i="1"/>
  <c r="V1440" i="1"/>
  <c r="AH1440" i="1"/>
  <c r="AJ1440" i="1" s="1"/>
  <c r="AY1438" i="1"/>
  <c r="AZ1438" i="1" s="1"/>
  <c r="AG1438" i="1"/>
  <c r="AX1438" i="1" s="1"/>
  <c r="AI1444" i="1"/>
  <c r="AN1444" i="1"/>
  <c r="U1444" i="1"/>
  <c r="X1444" i="1" s="1"/>
  <c r="Z1444" i="1" s="1"/>
  <c r="AW1438" i="1" l="1"/>
  <c r="CC1439" i="1"/>
  <c r="V1441" i="1"/>
  <c r="AE1440" i="1"/>
  <c r="AH1441" i="1"/>
  <c r="AO1441" i="1" s="1"/>
  <c r="AQ1441" i="1" s="1"/>
  <c r="AO1440" i="1"/>
  <c r="AQ1440" i="1" s="1"/>
  <c r="CC1440" i="1"/>
  <c r="AY1439" i="1"/>
  <c r="AZ1439" i="1" s="1"/>
  <c r="AG1439" i="1"/>
  <c r="AX1439" i="1" s="1"/>
  <c r="U1445" i="1"/>
  <c r="X1445" i="1" s="1"/>
  <c r="Z1445" i="1" s="1"/>
  <c r="AI1445" i="1"/>
  <c r="AN1445" i="1"/>
  <c r="AJ1441" i="1" l="1"/>
  <c r="AW1439" i="1"/>
  <c r="AK1440" i="1"/>
  <c r="AE1441" i="1"/>
  <c r="V1442" i="1"/>
  <c r="AH1442" i="1"/>
  <c r="AJ1442" i="1" s="1"/>
  <c r="AG1440" i="1"/>
  <c r="AX1440" i="1" s="1"/>
  <c r="AY1440" i="1"/>
  <c r="AZ1440" i="1" s="1"/>
  <c r="AN1446" i="1"/>
  <c r="U1446" i="1"/>
  <c r="X1446" i="1" s="1"/>
  <c r="Z1446" i="1" s="1"/>
  <c r="AI1446" i="1"/>
  <c r="AW1440" i="1" l="1"/>
  <c r="CC1441" i="1"/>
  <c r="AK1441" i="1"/>
  <c r="AE1442" i="1"/>
  <c r="V1443" i="1"/>
  <c r="AH1443" i="1"/>
  <c r="AJ1443" i="1" s="1"/>
  <c r="CC1442" i="1"/>
  <c r="AO1442" i="1"/>
  <c r="AQ1442" i="1" s="1"/>
  <c r="AY1441" i="1"/>
  <c r="AZ1441" i="1" s="1"/>
  <c r="AG1441" i="1"/>
  <c r="AX1441" i="1" s="1"/>
  <c r="AI1447" i="1"/>
  <c r="U1447" i="1"/>
  <c r="X1447" i="1" s="1"/>
  <c r="Z1447" i="1" s="1"/>
  <c r="AN1447" i="1"/>
  <c r="AW1441" i="1" l="1"/>
  <c r="AK1442" i="1"/>
  <c r="AE1443" i="1"/>
  <c r="V1444" i="1"/>
  <c r="AH1444" i="1"/>
  <c r="AJ1444" i="1" s="1"/>
  <c r="AO1443" i="1"/>
  <c r="AQ1443" i="1" s="1"/>
  <c r="CC1443" i="1"/>
  <c r="AG1442" i="1"/>
  <c r="AX1442" i="1" s="1"/>
  <c r="AY1442" i="1"/>
  <c r="AZ1442" i="1" s="1"/>
  <c r="AN1448" i="1"/>
  <c r="U1448" i="1"/>
  <c r="X1448" i="1" s="1"/>
  <c r="Z1448" i="1" s="1"/>
  <c r="AI1448" i="1"/>
  <c r="V1445" i="1" l="1"/>
  <c r="AE1444" i="1"/>
  <c r="AH1445" i="1"/>
  <c r="AJ1445" i="1" s="1"/>
  <c r="AW1442" i="1"/>
  <c r="AK1443" i="1"/>
  <c r="AO1444" i="1"/>
  <c r="AQ1444" i="1" s="1"/>
  <c r="CC1444" i="1"/>
  <c r="AY1443" i="1"/>
  <c r="AZ1443" i="1" s="1"/>
  <c r="AG1443" i="1"/>
  <c r="AX1443" i="1" s="1"/>
  <c r="U1449" i="1"/>
  <c r="X1449" i="1" s="1"/>
  <c r="Z1449" i="1" s="1"/>
  <c r="AN1449" i="1"/>
  <c r="AI1449" i="1"/>
  <c r="CC1445" i="1" l="1"/>
  <c r="AK1445" i="1"/>
  <c r="AW1444" i="1"/>
  <c r="V1446" i="1"/>
  <c r="AE1445" i="1"/>
  <c r="AH1446" i="1"/>
  <c r="AJ1446" i="1" s="1"/>
  <c r="AW1443" i="1"/>
  <c r="AK1444" i="1"/>
  <c r="AY1444" i="1"/>
  <c r="AZ1444" i="1" s="1"/>
  <c r="AG1444" i="1"/>
  <c r="AX1444" i="1" s="1"/>
  <c r="AO1445" i="1"/>
  <c r="AQ1445" i="1" s="1"/>
  <c r="U1450" i="1"/>
  <c r="X1450" i="1" s="1"/>
  <c r="Z1450" i="1" s="1"/>
  <c r="AI1450" i="1"/>
  <c r="AN1450" i="1"/>
  <c r="AE1446" i="1" l="1"/>
  <c r="V1447" i="1"/>
  <c r="AH1447" i="1"/>
  <c r="AJ1447" i="1" s="1"/>
  <c r="AO1446" i="1"/>
  <c r="AQ1446" i="1" s="1"/>
  <c r="CC1446" i="1"/>
  <c r="AG1445" i="1"/>
  <c r="AX1445" i="1" s="1"/>
  <c r="AY1445" i="1"/>
  <c r="AZ1445" i="1" s="1"/>
  <c r="U1451" i="1"/>
  <c r="X1451" i="1" s="1"/>
  <c r="Z1451" i="1" s="1"/>
  <c r="AN1451" i="1"/>
  <c r="AI1451" i="1"/>
  <c r="CC1447" i="1" l="1"/>
  <c r="AO1447" i="1"/>
  <c r="AQ1447" i="1" s="1"/>
  <c r="AK1446" i="1"/>
  <c r="AW1445" i="1"/>
  <c r="V1448" i="1"/>
  <c r="AE1447" i="1"/>
  <c r="AH1448" i="1"/>
  <c r="AJ1448" i="1" s="1"/>
  <c r="AK1447" i="1"/>
  <c r="AW1446" i="1"/>
  <c r="AY1446" i="1"/>
  <c r="AZ1446" i="1" s="1"/>
  <c r="AG1446" i="1"/>
  <c r="AX1446" i="1" s="1"/>
  <c r="AI1452" i="1"/>
  <c r="U1452" i="1"/>
  <c r="X1452" i="1" s="1"/>
  <c r="Z1452" i="1" s="1"/>
  <c r="AN1452" i="1"/>
  <c r="AK1448" i="1" l="1"/>
  <c r="CC1448" i="1"/>
  <c r="AW1447" i="1"/>
  <c r="V1449" i="1"/>
  <c r="AE1448" i="1"/>
  <c r="AH1449" i="1"/>
  <c r="AO1449" i="1" s="1"/>
  <c r="AQ1449" i="1" s="1"/>
  <c r="AG1447" i="1"/>
  <c r="AX1447" i="1" s="1"/>
  <c r="AY1447" i="1"/>
  <c r="AZ1447" i="1" s="1"/>
  <c r="AO1448" i="1"/>
  <c r="AQ1448" i="1" s="1"/>
  <c r="AN1453" i="1"/>
  <c r="U1453" i="1"/>
  <c r="X1453" i="1" s="1"/>
  <c r="Z1453" i="1" s="1"/>
  <c r="AI1453" i="1"/>
  <c r="AJ1449" i="1" l="1"/>
  <c r="V1450" i="1"/>
  <c r="AE1449" i="1"/>
  <c r="AH1450" i="1"/>
  <c r="AO1450" i="1" s="1"/>
  <c r="AQ1450" i="1" s="1"/>
  <c r="AY1448" i="1"/>
  <c r="AZ1448" i="1" s="1"/>
  <c r="AG1448" i="1"/>
  <c r="AX1448" i="1" s="1"/>
  <c r="U1454" i="1"/>
  <c r="X1454" i="1" s="1"/>
  <c r="Z1454" i="1" s="1"/>
  <c r="AN1454" i="1"/>
  <c r="AI1454" i="1"/>
  <c r="AJ1450" i="1" l="1"/>
  <c r="AK1449" i="1"/>
  <c r="CC1449" i="1"/>
  <c r="AW1448" i="1"/>
  <c r="CC1450" i="1"/>
  <c r="V1451" i="1"/>
  <c r="AE1450" i="1"/>
  <c r="AH1451" i="1"/>
  <c r="AJ1451" i="1" s="1"/>
  <c r="AG1449" i="1"/>
  <c r="AX1449" i="1" s="1"/>
  <c r="AY1449" i="1"/>
  <c r="AZ1449" i="1" s="1"/>
  <c r="AN1455" i="1"/>
  <c r="U1455" i="1"/>
  <c r="X1455" i="1" s="1"/>
  <c r="Z1455" i="1" s="1"/>
  <c r="AI1455" i="1"/>
  <c r="AW1449" i="1" l="1"/>
  <c r="AK1450" i="1"/>
  <c r="V1452" i="1"/>
  <c r="AE1451" i="1"/>
  <c r="AH1452" i="1"/>
  <c r="AO1452" i="1" s="1"/>
  <c r="AQ1452" i="1" s="1"/>
  <c r="AO1451" i="1"/>
  <c r="AQ1451" i="1" s="1"/>
  <c r="CC1451" i="1"/>
  <c r="AG1450" i="1"/>
  <c r="AX1450" i="1" s="1"/>
  <c r="AY1450" i="1"/>
  <c r="AZ1450" i="1" s="1"/>
  <c r="U1456" i="1"/>
  <c r="X1456" i="1" s="1"/>
  <c r="Z1456" i="1" s="1"/>
  <c r="AN1456" i="1"/>
  <c r="AI1456" i="1"/>
  <c r="AJ1452" i="1" l="1"/>
  <c r="CC1452" i="1" s="1"/>
  <c r="AE1452" i="1"/>
  <c r="V1453" i="1"/>
  <c r="AH1453" i="1"/>
  <c r="AJ1453" i="1" s="1"/>
  <c r="AW1450" i="1"/>
  <c r="AK1451" i="1"/>
  <c r="AY1451" i="1"/>
  <c r="AZ1451" i="1" s="1"/>
  <c r="AG1451" i="1"/>
  <c r="AX1451" i="1" s="1"/>
  <c r="AN1457" i="1"/>
  <c r="U1457" i="1"/>
  <c r="X1457" i="1" s="1"/>
  <c r="Z1457" i="1" s="1"/>
  <c r="AI1457" i="1"/>
  <c r="CC1453" i="1" l="1"/>
  <c r="AO1453" i="1"/>
  <c r="AQ1453" i="1" s="1"/>
  <c r="AW1452" i="1"/>
  <c r="AK1452" i="1"/>
  <c r="AW1451" i="1"/>
  <c r="V1454" i="1"/>
  <c r="AE1453" i="1"/>
  <c r="AH1454" i="1"/>
  <c r="AJ1454" i="1" s="1"/>
  <c r="AG1452" i="1"/>
  <c r="AX1452" i="1" s="1"/>
  <c r="AY1452" i="1"/>
  <c r="AZ1452" i="1" s="1"/>
  <c r="U1458" i="1"/>
  <c r="X1458" i="1" s="1"/>
  <c r="Z1458" i="1" s="1"/>
  <c r="AI1458" i="1"/>
  <c r="AN1458" i="1"/>
  <c r="AK1453" i="1" l="1"/>
  <c r="AE1454" i="1"/>
  <c r="V1455" i="1"/>
  <c r="AH1455" i="1"/>
  <c r="AO1455" i="1" s="1"/>
  <c r="AQ1455" i="1" s="1"/>
  <c r="AO1454" i="1"/>
  <c r="AQ1454" i="1" s="1"/>
  <c r="CC1454" i="1"/>
  <c r="AY1453" i="1"/>
  <c r="AZ1453" i="1" s="1"/>
  <c r="AG1453" i="1"/>
  <c r="AX1453" i="1" s="1"/>
  <c r="U1459" i="1"/>
  <c r="X1459" i="1" s="1"/>
  <c r="Z1459" i="1" s="1"/>
  <c r="AI1459" i="1"/>
  <c r="AN1459" i="1"/>
  <c r="AJ1455" i="1" l="1"/>
  <c r="AK1454" i="1"/>
  <c r="AW1453" i="1"/>
  <c r="V1456" i="1"/>
  <c r="AE1455" i="1"/>
  <c r="AH1456" i="1"/>
  <c r="AO1456" i="1" s="1"/>
  <c r="AQ1456" i="1" s="1"/>
  <c r="AG1454" i="1"/>
  <c r="AX1454" i="1" s="1"/>
  <c r="AY1454" i="1"/>
  <c r="AZ1454" i="1" s="1"/>
  <c r="CC1455" i="1"/>
  <c r="AI1460" i="1"/>
  <c r="U1460" i="1"/>
  <c r="X1460" i="1" s="1"/>
  <c r="Z1460" i="1" s="1"/>
  <c r="AN1460" i="1"/>
  <c r="AJ1456" i="1" l="1"/>
  <c r="CC1456" i="1" s="1"/>
  <c r="V1457" i="1"/>
  <c r="AE1456" i="1"/>
  <c r="AH1457" i="1"/>
  <c r="AO1457" i="1" s="1"/>
  <c r="AQ1457" i="1" s="1"/>
  <c r="AW1454" i="1"/>
  <c r="AK1455" i="1"/>
  <c r="AY1455" i="1"/>
  <c r="AZ1455" i="1" s="1"/>
  <c r="AG1455" i="1"/>
  <c r="AX1455" i="1" s="1"/>
  <c r="AI1461" i="1"/>
  <c r="AN1461" i="1"/>
  <c r="U1461" i="1"/>
  <c r="X1461" i="1" s="1"/>
  <c r="Z1461" i="1" s="1"/>
  <c r="AJ1457" i="1" l="1"/>
  <c r="AW1456" i="1" s="1"/>
  <c r="AK1456" i="1"/>
  <c r="V1458" i="1"/>
  <c r="AW1455" i="1"/>
  <c r="AE1457" i="1"/>
  <c r="AH1458" i="1"/>
  <c r="AJ1458" i="1" s="1"/>
  <c r="AY1456" i="1"/>
  <c r="AZ1456" i="1" s="1"/>
  <c r="AG1456" i="1"/>
  <c r="AX1456" i="1" s="1"/>
  <c r="AN1462" i="1"/>
  <c r="AI1462" i="1"/>
  <c r="U1462" i="1"/>
  <c r="X1462" i="1" s="1"/>
  <c r="Z1462" i="1" s="1"/>
  <c r="V1459" i="1" l="1"/>
  <c r="AK1457" i="1"/>
  <c r="CC1457" i="1"/>
  <c r="CC1458" i="1"/>
  <c r="AO1458" i="1"/>
  <c r="AQ1458" i="1" s="1"/>
  <c r="AE1458" i="1"/>
  <c r="AH1459" i="1"/>
  <c r="AJ1459" i="1" s="1"/>
  <c r="AK1458" i="1"/>
  <c r="AG1457" i="1"/>
  <c r="AX1457" i="1" s="1"/>
  <c r="AY1457" i="1"/>
  <c r="AZ1457" i="1" s="1"/>
  <c r="AN1463" i="1"/>
  <c r="U1463" i="1"/>
  <c r="X1463" i="1" s="1"/>
  <c r="Z1463" i="1" s="1"/>
  <c r="AI1463" i="1"/>
  <c r="V1460" i="1" l="1"/>
  <c r="AW1457" i="1"/>
  <c r="AE1459" i="1"/>
  <c r="AH1460" i="1"/>
  <c r="AO1460" i="1" s="1"/>
  <c r="AQ1460" i="1" s="1"/>
  <c r="AO1459" i="1"/>
  <c r="AQ1459" i="1" s="1"/>
  <c r="CC1459" i="1"/>
  <c r="AG1458" i="1"/>
  <c r="AX1458" i="1" s="1"/>
  <c r="AY1458" i="1"/>
  <c r="AZ1458" i="1" s="1"/>
  <c r="AN1464" i="1"/>
  <c r="U1464" i="1"/>
  <c r="X1464" i="1" s="1"/>
  <c r="Z1464" i="1" s="1"/>
  <c r="AI1464" i="1"/>
  <c r="AJ1460" i="1" l="1"/>
  <c r="CC1460" i="1" s="1"/>
  <c r="V1461" i="1"/>
  <c r="AE1460" i="1"/>
  <c r="AH1461" i="1"/>
  <c r="AO1461" i="1" s="1"/>
  <c r="AQ1461" i="1" s="1"/>
  <c r="AW1458" i="1"/>
  <c r="AK1459" i="1"/>
  <c r="AY1459" i="1"/>
  <c r="AZ1459" i="1" s="1"/>
  <c r="AG1459" i="1"/>
  <c r="AX1459" i="1" s="1"/>
  <c r="AN1465" i="1"/>
  <c r="U1465" i="1"/>
  <c r="X1465" i="1" s="1"/>
  <c r="Z1465" i="1" s="1"/>
  <c r="AI1465" i="1"/>
  <c r="AJ1461" i="1" l="1"/>
  <c r="AW1459" i="1"/>
  <c r="CC1461" i="1"/>
  <c r="AK1460" i="1"/>
  <c r="AE1461" i="1"/>
  <c r="V1462" i="1"/>
  <c r="AH1462" i="1"/>
  <c r="AO1462" i="1" s="1"/>
  <c r="AQ1462" i="1" s="1"/>
  <c r="AG1460" i="1"/>
  <c r="AX1460" i="1" s="1"/>
  <c r="AY1460" i="1"/>
  <c r="AZ1460" i="1" s="1"/>
  <c r="AI1466" i="1"/>
  <c r="U1466" i="1"/>
  <c r="X1466" i="1" s="1"/>
  <c r="Z1466" i="1" s="1"/>
  <c r="AN1466" i="1"/>
  <c r="AJ1462" i="1" l="1"/>
  <c r="CC1462" i="1" s="1"/>
  <c r="AK1461" i="1"/>
  <c r="AW1460" i="1"/>
  <c r="V1463" i="1"/>
  <c r="AE1462" i="1"/>
  <c r="AH1463" i="1"/>
  <c r="AJ1463" i="1" s="1"/>
  <c r="AG1461" i="1"/>
  <c r="AX1461" i="1" s="1"/>
  <c r="AY1461" i="1"/>
  <c r="AZ1461" i="1" s="1"/>
  <c r="U1467" i="1"/>
  <c r="X1467" i="1" s="1"/>
  <c r="Z1467" i="1" s="1"/>
  <c r="AI1467" i="1"/>
  <c r="AN1467" i="1"/>
  <c r="AK1462" i="1" l="1"/>
  <c r="AW1461" i="1"/>
  <c r="V1464" i="1"/>
  <c r="AE1463" i="1"/>
  <c r="AH1464" i="1"/>
  <c r="AO1464" i="1" s="1"/>
  <c r="AQ1464" i="1" s="1"/>
  <c r="AO1463" i="1"/>
  <c r="AQ1463" i="1" s="1"/>
  <c r="CC1463" i="1"/>
  <c r="AG1462" i="1"/>
  <c r="AX1462" i="1" s="1"/>
  <c r="AY1462" i="1"/>
  <c r="AZ1462" i="1" s="1"/>
  <c r="U1468" i="1"/>
  <c r="X1468" i="1" s="1"/>
  <c r="Z1468" i="1" s="1"/>
  <c r="AN1468" i="1"/>
  <c r="AI1468" i="1"/>
  <c r="AJ1464" i="1" l="1"/>
  <c r="AW1463" i="1" s="1"/>
  <c r="AE1464" i="1"/>
  <c r="V1465" i="1"/>
  <c r="AH1465" i="1"/>
  <c r="AO1465" i="1" s="1"/>
  <c r="AQ1465" i="1" s="1"/>
  <c r="AW1462" i="1"/>
  <c r="AK1463" i="1"/>
  <c r="AY1463" i="1"/>
  <c r="AZ1463" i="1" s="1"/>
  <c r="AG1463" i="1"/>
  <c r="AX1463" i="1" s="1"/>
  <c r="AN1469" i="1"/>
  <c r="U1469" i="1"/>
  <c r="X1469" i="1" s="1"/>
  <c r="Z1469" i="1" s="1"/>
  <c r="AI1469" i="1"/>
  <c r="AJ1465" i="1" l="1"/>
  <c r="AK1464" i="1"/>
  <c r="CC1464" i="1"/>
  <c r="AE1465" i="1"/>
  <c r="V1466" i="1"/>
  <c r="AH1466" i="1"/>
  <c r="AJ1466" i="1" s="1"/>
  <c r="AY1464" i="1"/>
  <c r="AZ1464" i="1" s="1"/>
  <c r="AG1464" i="1"/>
  <c r="AX1464" i="1" s="1"/>
  <c r="AN1470" i="1"/>
  <c r="U1470" i="1"/>
  <c r="X1470" i="1" s="1"/>
  <c r="Z1470" i="1" s="1"/>
  <c r="AI1470" i="1"/>
  <c r="V1467" i="1" l="1"/>
  <c r="AK1465" i="1"/>
  <c r="CC1465" i="1"/>
  <c r="AW1464" i="1"/>
  <c r="AE1466" i="1"/>
  <c r="AH1467" i="1"/>
  <c r="AJ1467" i="1" s="1"/>
  <c r="CC1466" i="1"/>
  <c r="AO1466" i="1"/>
  <c r="AQ1466" i="1" s="1"/>
  <c r="AY1465" i="1"/>
  <c r="AZ1465" i="1" s="1"/>
  <c r="AG1465" i="1"/>
  <c r="AX1465" i="1" s="1"/>
  <c r="AN1471" i="1"/>
  <c r="AI1471" i="1"/>
  <c r="U1471" i="1"/>
  <c r="X1471" i="1" s="1"/>
  <c r="Z1471" i="1" s="1"/>
  <c r="V1468" i="1" l="1"/>
  <c r="AE1467" i="1"/>
  <c r="AH1468" i="1"/>
  <c r="AO1468" i="1" s="1"/>
  <c r="AQ1468" i="1" s="1"/>
  <c r="AK1466" i="1"/>
  <c r="AW1465" i="1"/>
  <c r="AO1467" i="1"/>
  <c r="AQ1467" i="1" s="1"/>
  <c r="CC1467" i="1"/>
  <c r="AG1466" i="1"/>
  <c r="AX1466" i="1" s="1"/>
  <c r="AY1466" i="1"/>
  <c r="AZ1466" i="1" s="1"/>
  <c r="AI1472" i="1"/>
  <c r="U1472" i="1"/>
  <c r="X1472" i="1" s="1"/>
  <c r="Z1472" i="1" s="1"/>
  <c r="AN1472" i="1"/>
  <c r="AJ1468" i="1" l="1"/>
  <c r="V1469" i="1"/>
  <c r="AE1468" i="1"/>
  <c r="AH1469" i="1"/>
  <c r="AJ1469" i="1" s="1"/>
  <c r="AW1466" i="1"/>
  <c r="AK1467" i="1"/>
  <c r="AG1467" i="1"/>
  <c r="AX1467" i="1" s="1"/>
  <c r="AY1467" i="1"/>
  <c r="AZ1467" i="1" s="1"/>
  <c r="CC1468" i="1"/>
  <c r="AN1473" i="1"/>
  <c r="AI1473" i="1"/>
  <c r="U1473" i="1"/>
  <c r="X1473" i="1" s="1"/>
  <c r="Z1473" i="1" s="1"/>
  <c r="V1470" i="1" l="1"/>
  <c r="AE1469" i="1"/>
  <c r="AH1470" i="1"/>
  <c r="AO1470" i="1" s="1"/>
  <c r="AQ1470" i="1" s="1"/>
  <c r="AW1467" i="1"/>
  <c r="AK1468" i="1"/>
  <c r="AO1469" i="1"/>
  <c r="AQ1469" i="1" s="1"/>
  <c r="CC1469" i="1"/>
  <c r="AY1468" i="1"/>
  <c r="AZ1468" i="1" s="1"/>
  <c r="AG1468" i="1"/>
  <c r="AX1468" i="1" s="1"/>
  <c r="AI1474" i="1"/>
  <c r="U1474" i="1"/>
  <c r="X1474" i="1" s="1"/>
  <c r="Z1474" i="1" s="1"/>
  <c r="AN1474" i="1"/>
  <c r="AJ1470" i="1" l="1"/>
  <c r="AK1470" i="1" s="1"/>
  <c r="AK1469" i="1"/>
  <c r="AW1468" i="1"/>
  <c r="AE1470" i="1"/>
  <c r="V1471" i="1"/>
  <c r="AH1471" i="1"/>
  <c r="AO1471" i="1" s="1"/>
  <c r="AQ1471" i="1" s="1"/>
  <c r="AG1469" i="1"/>
  <c r="AX1469" i="1" s="1"/>
  <c r="AY1469" i="1"/>
  <c r="AZ1469" i="1" s="1"/>
  <c r="U1475" i="1"/>
  <c r="X1475" i="1" s="1"/>
  <c r="Z1475" i="1" s="1"/>
  <c r="AI1475" i="1"/>
  <c r="AN1475" i="1"/>
  <c r="AJ1471" i="1" l="1"/>
  <c r="CC1471" i="1" s="1"/>
  <c r="AW1469" i="1"/>
  <c r="CC1470" i="1"/>
  <c r="V1472" i="1"/>
  <c r="AE1471" i="1"/>
  <c r="AH1472" i="1"/>
  <c r="AJ1472" i="1" s="1"/>
  <c r="AG1470" i="1"/>
  <c r="AX1470" i="1" s="1"/>
  <c r="AY1470" i="1"/>
  <c r="AZ1470" i="1" s="1"/>
  <c r="AN1476" i="1"/>
  <c r="AI1476" i="1"/>
  <c r="U1476" i="1"/>
  <c r="X1476" i="1" s="1"/>
  <c r="Z1476" i="1" s="1"/>
  <c r="AW1470" i="1" l="1"/>
  <c r="AK1471" i="1"/>
  <c r="AE1472" i="1"/>
  <c r="V1473" i="1"/>
  <c r="AH1473" i="1"/>
  <c r="AO1473" i="1" s="1"/>
  <c r="AQ1473" i="1" s="1"/>
  <c r="AO1472" i="1"/>
  <c r="AQ1472" i="1" s="1"/>
  <c r="CC1472" i="1"/>
  <c r="AY1471" i="1"/>
  <c r="AZ1471" i="1" s="1"/>
  <c r="AG1471" i="1"/>
  <c r="AX1471" i="1" s="1"/>
  <c r="AN1477" i="1"/>
  <c r="AI1477" i="1"/>
  <c r="U1477" i="1"/>
  <c r="X1477" i="1" s="1"/>
  <c r="Z1477" i="1" s="1"/>
  <c r="AJ1473" i="1" l="1"/>
  <c r="AW1471" i="1"/>
  <c r="AK1472" i="1"/>
  <c r="AE1473" i="1"/>
  <c r="V1474" i="1"/>
  <c r="AH1474" i="1"/>
  <c r="AJ1474" i="1" s="1"/>
  <c r="AG1472" i="1"/>
  <c r="AX1472" i="1" s="1"/>
  <c r="AY1472" i="1"/>
  <c r="AZ1472" i="1" s="1"/>
  <c r="AI1478" i="1"/>
  <c r="AN1478" i="1"/>
  <c r="U1478" i="1"/>
  <c r="X1478" i="1" s="1"/>
  <c r="Z1478" i="1" s="1"/>
  <c r="AW1472" i="1" l="1"/>
  <c r="CC1473" i="1"/>
  <c r="AK1473" i="1"/>
  <c r="AE1474" i="1"/>
  <c r="V1475" i="1"/>
  <c r="AH1475" i="1"/>
  <c r="AJ1475" i="1" s="1"/>
  <c r="AO1474" i="1"/>
  <c r="AQ1474" i="1" s="1"/>
  <c r="CC1474" i="1"/>
  <c r="AY1473" i="1"/>
  <c r="AZ1473" i="1" s="1"/>
  <c r="AG1473" i="1"/>
  <c r="AX1473" i="1" s="1"/>
  <c r="AI1479" i="1"/>
  <c r="U1479" i="1"/>
  <c r="X1479" i="1" s="1"/>
  <c r="Z1479" i="1" s="1"/>
  <c r="AN1479" i="1"/>
  <c r="V1476" i="1" l="1"/>
  <c r="AE1475" i="1"/>
  <c r="AH1476" i="1"/>
  <c r="AO1476" i="1" s="1"/>
  <c r="AQ1476" i="1" s="1"/>
  <c r="AK1474" i="1"/>
  <c r="AW1473" i="1"/>
  <c r="AO1475" i="1"/>
  <c r="AQ1475" i="1" s="1"/>
  <c r="CC1475" i="1"/>
  <c r="AG1474" i="1"/>
  <c r="AX1474" i="1" s="1"/>
  <c r="AY1474" i="1"/>
  <c r="AZ1474" i="1" s="1"/>
  <c r="AI1480" i="1"/>
  <c r="U1480" i="1"/>
  <c r="X1480" i="1" s="1"/>
  <c r="Z1480" i="1" s="1"/>
  <c r="AN1480" i="1"/>
  <c r="AJ1476" i="1" l="1"/>
  <c r="CC1476" i="1" s="1"/>
  <c r="V1477" i="1"/>
  <c r="AE1476" i="1"/>
  <c r="AH1477" i="1"/>
  <c r="AJ1477" i="1" s="1"/>
  <c r="AW1474" i="1"/>
  <c r="AK1475" i="1"/>
  <c r="AG1475" i="1"/>
  <c r="AX1475" i="1" s="1"/>
  <c r="AY1475" i="1"/>
  <c r="AZ1475" i="1" s="1"/>
  <c r="AN1481" i="1"/>
  <c r="AI1481" i="1"/>
  <c r="U1481" i="1"/>
  <c r="X1481" i="1" s="1"/>
  <c r="Z1481" i="1" s="1"/>
  <c r="AK1476" i="1" l="1"/>
  <c r="AW1475" i="1"/>
  <c r="CC1477" i="1"/>
  <c r="AO1477" i="1"/>
  <c r="AQ1477" i="1" s="1"/>
  <c r="V1478" i="1"/>
  <c r="AE1477" i="1"/>
  <c r="AH1478" i="1"/>
  <c r="AJ1478" i="1" s="1"/>
  <c r="AY1476" i="1"/>
  <c r="AZ1476" i="1" s="1"/>
  <c r="AG1476" i="1"/>
  <c r="AX1476" i="1" s="1"/>
  <c r="AN1482" i="1"/>
  <c r="U1482" i="1"/>
  <c r="X1482" i="1" s="1"/>
  <c r="Z1482" i="1" s="1"/>
  <c r="AI1482" i="1"/>
  <c r="AW1476" i="1" l="1"/>
  <c r="AK1477" i="1"/>
  <c r="AE1478" i="1"/>
  <c r="V1479" i="1"/>
  <c r="AH1479" i="1"/>
  <c r="AO1479" i="1" s="1"/>
  <c r="AQ1479" i="1" s="1"/>
  <c r="AO1478" i="1"/>
  <c r="AQ1478" i="1" s="1"/>
  <c r="CC1478" i="1"/>
  <c r="AY1477" i="1"/>
  <c r="AZ1477" i="1" s="1"/>
  <c r="AG1477" i="1"/>
  <c r="AX1477" i="1" s="1"/>
  <c r="U1483" i="1"/>
  <c r="X1483" i="1" s="1"/>
  <c r="Z1483" i="1" s="1"/>
  <c r="AN1483" i="1"/>
  <c r="AI1483" i="1"/>
  <c r="AJ1479" i="1" l="1"/>
  <c r="CC1479" i="1" s="1"/>
  <c r="AK1478" i="1"/>
  <c r="AW1477" i="1"/>
  <c r="AE1479" i="1"/>
  <c r="V1480" i="1"/>
  <c r="AH1480" i="1"/>
  <c r="AJ1480" i="1" s="1"/>
  <c r="AG1478" i="1"/>
  <c r="AX1478" i="1" s="1"/>
  <c r="AY1478" i="1"/>
  <c r="AZ1478" i="1" s="1"/>
  <c r="AN1484" i="1"/>
  <c r="U1484" i="1"/>
  <c r="X1484" i="1" s="1"/>
  <c r="Z1484" i="1" s="1"/>
  <c r="AI1484" i="1"/>
  <c r="AO1480" i="1" l="1"/>
  <c r="AQ1480" i="1" s="1"/>
  <c r="AW1478" i="1"/>
  <c r="AK1479" i="1"/>
  <c r="V1481" i="1"/>
  <c r="AE1480" i="1"/>
  <c r="AH1481" i="1"/>
  <c r="AJ1481" i="1" s="1"/>
  <c r="AG1479" i="1"/>
  <c r="AX1479" i="1" s="1"/>
  <c r="AY1479" i="1"/>
  <c r="AZ1479" i="1" s="1"/>
  <c r="CC1480" i="1"/>
  <c r="AN1485" i="1"/>
  <c r="AI1485" i="1"/>
  <c r="U1485" i="1"/>
  <c r="X1485" i="1" s="1"/>
  <c r="Z1485" i="1" s="1"/>
  <c r="V1482" i="1" l="1"/>
  <c r="AE1481" i="1"/>
  <c r="AH1482" i="1"/>
  <c r="AO1482" i="1" s="1"/>
  <c r="AQ1482" i="1" s="1"/>
  <c r="AK1480" i="1"/>
  <c r="AW1479" i="1"/>
  <c r="CC1481" i="1"/>
  <c r="AO1481" i="1"/>
  <c r="AQ1481" i="1" s="1"/>
  <c r="AG1480" i="1"/>
  <c r="AX1480" i="1" s="1"/>
  <c r="AY1480" i="1"/>
  <c r="AZ1480" i="1" s="1"/>
  <c r="AN1486" i="1"/>
  <c r="AI1486" i="1"/>
  <c r="U1486" i="1"/>
  <c r="X1486" i="1" s="1"/>
  <c r="Z1486" i="1" s="1"/>
  <c r="AJ1482" i="1" l="1"/>
  <c r="CC1482" i="1" s="1"/>
  <c r="AK1481" i="1"/>
  <c r="AW1480" i="1"/>
  <c r="AE1482" i="1"/>
  <c r="V1483" i="1"/>
  <c r="AH1483" i="1"/>
  <c r="AO1483" i="1" s="1"/>
  <c r="AQ1483" i="1" s="1"/>
  <c r="AG1481" i="1"/>
  <c r="AX1481" i="1" s="1"/>
  <c r="AY1481" i="1"/>
  <c r="AZ1481" i="1" s="1"/>
  <c r="AN1487" i="1"/>
  <c r="AI1487" i="1"/>
  <c r="U1487" i="1"/>
  <c r="X1487" i="1" s="1"/>
  <c r="Z1487" i="1" s="1"/>
  <c r="AJ1483" i="1" l="1"/>
  <c r="AW1481" i="1"/>
  <c r="AK1482" i="1"/>
  <c r="V1484" i="1"/>
  <c r="AE1483" i="1"/>
  <c r="AH1484" i="1"/>
  <c r="AJ1484" i="1" s="1"/>
  <c r="AY1482" i="1"/>
  <c r="AZ1482" i="1" s="1"/>
  <c r="AG1482" i="1"/>
  <c r="AX1482" i="1" s="1"/>
  <c r="CC1483" i="1"/>
  <c r="AI1488" i="1"/>
  <c r="AN1488" i="1"/>
  <c r="U1488" i="1"/>
  <c r="X1488" i="1" s="1"/>
  <c r="Z1488" i="1" s="1"/>
  <c r="AE1484" i="1" l="1"/>
  <c r="V1485" i="1"/>
  <c r="AH1485" i="1"/>
  <c r="AO1485" i="1" s="1"/>
  <c r="AQ1485" i="1" s="1"/>
  <c r="AK1483" i="1"/>
  <c r="AW1482" i="1"/>
  <c r="AO1484" i="1"/>
  <c r="AQ1484" i="1" s="1"/>
  <c r="CC1484" i="1"/>
  <c r="AG1483" i="1"/>
  <c r="AX1483" i="1" s="1"/>
  <c r="AY1483" i="1"/>
  <c r="AZ1483" i="1" s="1"/>
  <c r="U1489" i="1"/>
  <c r="X1489" i="1" s="1"/>
  <c r="Z1489" i="1" s="1"/>
  <c r="AN1489" i="1"/>
  <c r="AI1489" i="1"/>
  <c r="AJ1485" i="1" l="1"/>
  <c r="AK1484" i="1"/>
  <c r="AW1483" i="1"/>
  <c r="AE1485" i="1"/>
  <c r="V1486" i="1"/>
  <c r="AH1486" i="1"/>
  <c r="AJ1486" i="1" s="1"/>
  <c r="AY1484" i="1"/>
  <c r="AZ1484" i="1" s="1"/>
  <c r="AG1484" i="1"/>
  <c r="AX1484" i="1" s="1"/>
  <c r="CC1485" i="1"/>
  <c r="U1490" i="1"/>
  <c r="X1490" i="1" s="1"/>
  <c r="Z1490" i="1" s="1"/>
  <c r="AN1490" i="1"/>
  <c r="AI1490" i="1"/>
  <c r="AE1486" i="1" l="1"/>
  <c r="V1487" i="1"/>
  <c r="AH1487" i="1"/>
  <c r="AO1487" i="1" s="1"/>
  <c r="AQ1487" i="1" s="1"/>
  <c r="AW1484" i="1"/>
  <c r="AK1485" i="1"/>
  <c r="AO1486" i="1"/>
  <c r="AQ1486" i="1" s="1"/>
  <c r="CC1486" i="1"/>
  <c r="AY1485" i="1"/>
  <c r="AZ1485" i="1" s="1"/>
  <c r="AG1485" i="1"/>
  <c r="AX1485" i="1" s="1"/>
  <c r="AN1491" i="1"/>
  <c r="AI1491" i="1"/>
  <c r="U1491" i="1"/>
  <c r="X1491" i="1" s="1"/>
  <c r="Z1491" i="1" s="1"/>
  <c r="AJ1487" i="1" l="1"/>
  <c r="CC1487" i="1" s="1"/>
  <c r="V1488" i="1"/>
  <c r="AE1487" i="1"/>
  <c r="AH1488" i="1"/>
  <c r="AJ1488" i="1" s="1"/>
  <c r="AK1486" i="1"/>
  <c r="AW1485" i="1"/>
  <c r="AG1486" i="1"/>
  <c r="AX1486" i="1" s="1"/>
  <c r="AY1486" i="1"/>
  <c r="AZ1486" i="1" s="1"/>
  <c r="AN1492" i="1"/>
  <c r="AI1492" i="1"/>
  <c r="U1492" i="1"/>
  <c r="X1492" i="1" s="1"/>
  <c r="Z1492" i="1" s="1"/>
  <c r="AK1487" i="1" l="1"/>
  <c r="AW1486" i="1"/>
  <c r="AO1488" i="1"/>
  <c r="AQ1488" i="1" s="1"/>
  <c r="CC1488" i="1"/>
  <c r="AE1488" i="1"/>
  <c r="V1489" i="1"/>
  <c r="AH1489" i="1"/>
  <c r="AJ1489" i="1" s="1"/>
  <c r="AY1487" i="1"/>
  <c r="AZ1487" i="1" s="1"/>
  <c r="AG1487" i="1"/>
  <c r="AX1487" i="1" s="1"/>
  <c r="AI1493" i="1"/>
  <c r="U1493" i="1"/>
  <c r="X1493" i="1" s="1"/>
  <c r="Z1493" i="1" s="1"/>
  <c r="AN1493" i="1"/>
  <c r="AE1489" i="1" l="1"/>
  <c r="V1490" i="1"/>
  <c r="AH1490" i="1"/>
  <c r="AJ1490" i="1" s="1"/>
  <c r="AO1489" i="1"/>
  <c r="AQ1489" i="1" s="1"/>
  <c r="CC1489" i="1"/>
  <c r="AG1488" i="1"/>
  <c r="AX1488" i="1" s="1"/>
  <c r="AY1488" i="1"/>
  <c r="AZ1488" i="1" s="1"/>
  <c r="AW1487" i="1"/>
  <c r="AK1488" i="1"/>
  <c r="U1494" i="1"/>
  <c r="X1494" i="1" s="1"/>
  <c r="Z1494" i="1" s="1"/>
  <c r="AI1494" i="1"/>
  <c r="AN1494" i="1"/>
  <c r="AE1490" i="1" l="1"/>
  <c r="V1491" i="1"/>
  <c r="AH1491" i="1"/>
  <c r="AJ1491" i="1" s="1"/>
  <c r="AW1488" i="1"/>
  <c r="AK1489" i="1"/>
  <c r="AO1490" i="1"/>
  <c r="AQ1490" i="1" s="1"/>
  <c r="CC1490" i="1"/>
  <c r="AY1489" i="1"/>
  <c r="AZ1489" i="1" s="1"/>
  <c r="AG1489" i="1"/>
  <c r="AX1489" i="1" s="1"/>
  <c r="AN1495" i="1"/>
  <c r="U1495" i="1"/>
  <c r="X1495" i="1" s="1"/>
  <c r="Z1495" i="1" s="1"/>
  <c r="AI1495" i="1"/>
  <c r="AE1491" i="1" l="1"/>
  <c r="V1492" i="1"/>
  <c r="AH1492" i="1"/>
  <c r="AO1492" i="1" s="1"/>
  <c r="AQ1492" i="1" s="1"/>
  <c r="AW1489" i="1"/>
  <c r="AK1490" i="1"/>
  <c r="AO1491" i="1"/>
  <c r="AQ1491" i="1" s="1"/>
  <c r="CC1491" i="1"/>
  <c r="AY1490" i="1"/>
  <c r="AZ1490" i="1" s="1"/>
  <c r="AG1490" i="1"/>
  <c r="AX1490" i="1" s="1"/>
  <c r="AN1496" i="1"/>
  <c r="U1496" i="1"/>
  <c r="X1496" i="1" s="1"/>
  <c r="Z1496" i="1" s="1"/>
  <c r="AI1496" i="1"/>
  <c r="AJ1492" i="1" l="1"/>
  <c r="V1493" i="1"/>
  <c r="AE1492" i="1"/>
  <c r="AH1493" i="1"/>
  <c r="AO1493" i="1" s="1"/>
  <c r="AQ1493" i="1" s="1"/>
  <c r="AW1490" i="1"/>
  <c r="AK1491" i="1"/>
  <c r="AY1491" i="1"/>
  <c r="AZ1491" i="1" s="1"/>
  <c r="AG1491" i="1"/>
  <c r="AX1491" i="1" s="1"/>
  <c r="CC1492" i="1"/>
  <c r="U1497" i="1"/>
  <c r="X1497" i="1" s="1"/>
  <c r="Z1497" i="1" s="1"/>
  <c r="AI1497" i="1"/>
  <c r="AN1497" i="1"/>
  <c r="AJ1493" i="1" l="1"/>
  <c r="CC1493" i="1" s="1"/>
  <c r="V1494" i="1"/>
  <c r="AE1493" i="1"/>
  <c r="AH1494" i="1"/>
  <c r="AO1494" i="1" s="1"/>
  <c r="AQ1494" i="1" s="1"/>
  <c r="AW1491" i="1"/>
  <c r="AK1492" i="1"/>
  <c r="AY1492" i="1"/>
  <c r="AZ1492" i="1" s="1"/>
  <c r="AG1492" i="1"/>
  <c r="AX1492" i="1" s="1"/>
  <c r="AN1498" i="1"/>
  <c r="AI1498" i="1"/>
  <c r="U1498" i="1"/>
  <c r="X1498" i="1" s="1"/>
  <c r="Z1498" i="1" s="1"/>
  <c r="AW1492" i="1" l="1"/>
  <c r="AJ1494" i="1"/>
  <c r="CC1494" i="1" s="1"/>
  <c r="AK1493" i="1"/>
  <c r="V1495" i="1"/>
  <c r="AE1494" i="1"/>
  <c r="AH1495" i="1"/>
  <c r="AJ1495" i="1" s="1"/>
  <c r="AG1493" i="1"/>
  <c r="AX1493" i="1" s="1"/>
  <c r="AY1493" i="1"/>
  <c r="AZ1493" i="1" s="1"/>
  <c r="AI1499" i="1"/>
  <c r="AN1499" i="1"/>
  <c r="U1499" i="1"/>
  <c r="X1499" i="1" s="1"/>
  <c r="Z1499" i="1" s="1"/>
  <c r="AK1494" i="1" l="1"/>
  <c r="AW1493" i="1"/>
  <c r="AO1495" i="1"/>
  <c r="AQ1495" i="1" s="1"/>
  <c r="CC1495" i="1"/>
  <c r="V1496" i="1"/>
  <c r="AE1495" i="1"/>
  <c r="AH1496" i="1"/>
  <c r="AO1496" i="1" s="1"/>
  <c r="AQ1496" i="1" s="1"/>
  <c r="AY1494" i="1"/>
  <c r="AZ1494" i="1" s="1"/>
  <c r="AG1494" i="1"/>
  <c r="AX1494" i="1" s="1"/>
  <c r="AI1500" i="1"/>
  <c r="AN1500" i="1"/>
  <c r="U1500" i="1"/>
  <c r="X1500" i="1" s="1"/>
  <c r="Z1500" i="1" s="1"/>
  <c r="AJ1496" i="1" l="1"/>
  <c r="V1497" i="1"/>
  <c r="AE1496" i="1"/>
  <c r="AH1497" i="1"/>
  <c r="AO1497" i="1" s="1"/>
  <c r="AQ1497" i="1" s="1"/>
  <c r="AG1495" i="1"/>
  <c r="AX1495" i="1" s="1"/>
  <c r="AY1495" i="1"/>
  <c r="AZ1495" i="1" s="1"/>
  <c r="AK1495" i="1"/>
  <c r="AW1494" i="1"/>
  <c r="CC1496" i="1"/>
  <c r="AN1501" i="1"/>
  <c r="U1501" i="1"/>
  <c r="X1501" i="1" s="1"/>
  <c r="Z1501" i="1" s="1"/>
  <c r="AI1501" i="1"/>
  <c r="AJ1497" i="1" l="1"/>
  <c r="CC1497" i="1" s="1"/>
  <c r="AE1497" i="1"/>
  <c r="V1498" i="1"/>
  <c r="AH1498" i="1"/>
  <c r="AJ1498" i="1" s="1"/>
  <c r="AW1495" i="1"/>
  <c r="AK1496" i="1"/>
  <c r="AY1496" i="1"/>
  <c r="AZ1496" i="1" s="1"/>
  <c r="AG1496" i="1"/>
  <c r="AX1496" i="1" s="1"/>
  <c r="AI1502" i="1"/>
  <c r="AN1502" i="1"/>
  <c r="U1502" i="1"/>
  <c r="X1502" i="1" s="1"/>
  <c r="Z1502" i="1" s="1"/>
  <c r="AO1498" i="1" l="1"/>
  <c r="AQ1498" i="1" s="1"/>
  <c r="CC1498" i="1"/>
  <c r="AE1498" i="1"/>
  <c r="V1499" i="1"/>
  <c r="AH1499" i="1"/>
  <c r="AJ1499" i="1" s="1"/>
  <c r="AK1497" i="1"/>
  <c r="AW1496" i="1"/>
  <c r="AY1497" i="1"/>
  <c r="AZ1497" i="1" s="1"/>
  <c r="AG1497" i="1"/>
  <c r="AX1497" i="1" s="1"/>
  <c r="AN1503" i="1"/>
  <c r="U1503" i="1"/>
  <c r="X1503" i="1" s="1"/>
  <c r="Z1503" i="1" s="1"/>
  <c r="AI1503" i="1"/>
  <c r="AW1497" i="1" l="1"/>
  <c r="AK1498" i="1"/>
  <c r="AE1499" i="1"/>
  <c r="V1500" i="1"/>
  <c r="AH1500" i="1"/>
  <c r="AJ1500" i="1" s="1"/>
  <c r="AO1499" i="1"/>
  <c r="AQ1499" i="1" s="1"/>
  <c r="CC1499" i="1"/>
  <c r="AG1498" i="1"/>
  <c r="AX1498" i="1" s="1"/>
  <c r="AY1498" i="1"/>
  <c r="AZ1498" i="1" s="1"/>
  <c r="AN1504" i="1"/>
  <c r="U1504" i="1"/>
  <c r="X1504" i="1" s="1"/>
  <c r="Z1504" i="1" s="1"/>
  <c r="AI1504" i="1"/>
  <c r="V1501" i="1" l="1"/>
  <c r="AE1500" i="1"/>
  <c r="AH1501" i="1"/>
  <c r="AO1501" i="1" s="1"/>
  <c r="AQ1501" i="1" s="1"/>
  <c r="AW1498" i="1"/>
  <c r="AK1499" i="1"/>
  <c r="AO1500" i="1"/>
  <c r="AQ1500" i="1" s="1"/>
  <c r="CC1500" i="1"/>
  <c r="AG1499" i="1"/>
  <c r="AX1499" i="1" s="1"/>
  <c r="AY1499" i="1"/>
  <c r="AZ1499" i="1" s="1"/>
  <c r="AN1505" i="1"/>
  <c r="U1505" i="1"/>
  <c r="X1505" i="1" s="1"/>
  <c r="Z1505" i="1" s="1"/>
  <c r="AI1505" i="1"/>
  <c r="AJ1501" i="1" l="1"/>
  <c r="AW1499" i="1"/>
  <c r="AK1500" i="1"/>
  <c r="AE1501" i="1"/>
  <c r="V1502" i="1"/>
  <c r="AH1502" i="1"/>
  <c r="AO1502" i="1" s="1"/>
  <c r="AQ1502" i="1" s="1"/>
  <c r="AY1500" i="1"/>
  <c r="AZ1500" i="1" s="1"/>
  <c r="AG1500" i="1"/>
  <c r="AX1500" i="1" s="1"/>
  <c r="AN1506" i="1"/>
  <c r="AI1506" i="1"/>
  <c r="U1506" i="1"/>
  <c r="X1506" i="1" s="1"/>
  <c r="Z1506" i="1" s="1"/>
  <c r="AJ1502" i="1" l="1"/>
  <c r="CC1502" i="1" s="1"/>
  <c r="AW1500" i="1"/>
  <c r="CC1501" i="1"/>
  <c r="AK1501" i="1"/>
  <c r="V1503" i="1"/>
  <c r="AE1502" i="1"/>
  <c r="AH1503" i="1"/>
  <c r="AJ1503" i="1" s="1"/>
  <c r="AY1501" i="1"/>
  <c r="AZ1501" i="1" s="1"/>
  <c r="AG1501" i="1"/>
  <c r="AX1501" i="1" s="1"/>
  <c r="AN1507" i="1"/>
  <c r="U1507" i="1"/>
  <c r="X1507" i="1" s="1"/>
  <c r="Z1507" i="1" s="1"/>
  <c r="AI1507" i="1"/>
  <c r="V1504" i="1" l="1"/>
  <c r="AE1503" i="1"/>
  <c r="AH1504" i="1"/>
  <c r="AO1504" i="1" s="1"/>
  <c r="AQ1504" i="1" s="1"/>
  <c r="AW1501" i="1"/>
  <c r="AK1502" i="1"/>
  <c r="AO1503" i="1"/>
  <c r="AQ1503" i="1" s="1"/>
  <c r="CC1503" i="1"/>
  <c r="AY1502" i="1"/>
  <c r="AZ1502" i="1" s="1"/>
  <c r="AG1502" i="1"/>
  <c r="AX1502" i="1" s="1"/>
  <c r="U1508" i="1"/>
  <c r="X1508" i="1" s="1"/>
  <c r="Z1508" i="1" s="1"/>
  <c r="AI1508" i="1"/>
  <c r="AN1508" i="1"/>
  <c r="AJ1504" i="1" l="1"/>
  <c r="AW1503" i="1" s="1"/>
  <c r="AK1503" i="1"/>
  <c r="AW1502" i="1"/>
  <c r="AE1504" i="1"/>
  <c r="V1505" i="1"/>
  <c r="AH1505" i="1"/>
  <c r="AJ1505" i="1" s="1"/>
  <c r="AG1503" i="1"/>
  <c r="AX1503" i="1" s="1"/>
  <c r="AY1503" i="1"/>
  <c r="AZ1503" i="1" s="1"/>
  <c r="AN1509" i="1"/>
  <c r="AI1509" i="1"/>
  <c r="U1509" i="1"/>
  <c r="X1509" i="1" s="1"/>
  <c r="Z1509" i="1" s="1"/>
  <c r="AK1504" i="1" l="1"/>
  <c r="CC1504" i="1"/>
  <c r="AE1505" i="1"/>
  <c r="V1506" i="1"/>
  <c r="AH1506" i="1"/>
  <c r="AJ1506" i="1" s="1"/>
  <c r="AO1505" i="1"/>
  <c r="AQ1505" i="1" s="1"/>
  <c r="CC1505" i="1"/>
  <c r="AG1504" i="1"/>
  <c r="AX1504" i="1" s="1"/>
  <c r="AY1504" i="1"/>
  <c r="AZ1504" i="1" s="1"/>
  <c r="U1510" i="1"/>
  <c r="X1510" i="1" s="1"/>
  <c r="Z1510" i="1" s="1"/>
  <c r="AI1510" i="1"/>
  <c r="AN1510" i="1"/>
  <c r="AE1506" i="1" l="1"/>
  <c r="V1507" i="1"/>
  <c r="AH1507" i="1"/>
  <c r="AJ1507" i="1" s="1"/>
  <c r="AW1504" i="1"/>
  <c r="AK1505" i="1"/>
  <c r="AO1506" i="1"/>
  <c r="AQ1506" i="1" s="1"/>
  <c r="CC1506" i="1"/>
  <c r="AY1505" i="1"/>
  <c r="AZ1505" i="1" s="1"/>
  <c r="AG1505" i="1"/>
  <c r="AX1505" i="1" s="1"/>
  <c r="AN1511" i="1"/>
  <c r="AI1511" i="1"/>
  <c r="U1511" i="1"/>
  <c r="X1511" i="1" s="1"/>
  <c r="Z1511" i="1" s="1"/>
  <c r="AW1506" i="1" l="1"/>
  <c r="AK1506" i="1"/>
  <c r="AW1505" i="1"/>
  <c r="AE1507" i="1"/>
  <c r="V1508" i="1"/>
  <c r="AH1508" i="1"/>
  <c r="AO1508" i="1" s="1"/>
  <c r="AQ1508" i="1" s="1"/>
  <c r="AG1506" i="1"/>
  <c r="AX1506" i="1" s="1"/>
  <c r="AY1506" i="1"/>
  <c r="AZ1506" i="1" s="1"/>
  <c r="AO1507" i="1"/>
  <c r="AQ1507" i="1" s="1"/>
  <c r="AN1512" i="1"/>
  <c r="AI1512" i="1"/>
  <c r="U1512" i="1"/>
  <c r="X1512" i="1" s="1"/>
  <c r="Z1512" i="1" s="1"/>
  <c r="AJ1508" i="1" l="1"/>
  <c r="V1509" i="1"/>
  <c r="AK1507" i="1"/>
  <c r="CC1507" i="1"/>
  <c r="AE1508" i="1"/>
  <c r="AH1509" i="1"/>
  <c r="AJ1509" i="1" s="1"/>
  <c r="AY1507" i="1"/>
  <c r="AZ1507" i="1" s="1"/>
  <c r="AG1507" i="1"/>
  <c r="AX1507" i="1" s="1"/>
  <c r="CC1508" i="1"/>
  <c r="AN1513" i="1"/>
  <c r="U1513" i="1"/>
  <c r="X1513" i="1" s="1"/>
  <c r="Z1513" i="1" s="1"/>
  <c r="AI1513" i="1"/>
  <c r="V1510" i="1" l="1"/>
  <c r="AE1509" i="1"/>
  <c r="AH1510" i="1"/>
  <c r="AO1510" i="1" s="1"/>
  <c r="AQ1510" i="1" s="1"/>
  <c r="AK1508" i="1"/>
  <c r="AW1507" i="1"/>
  <c r="CC1509" i="1"/>
  <c r="AO1509" i="1"/>
  <c r="AQ1509" i="1" s="1"/>
  <c r="AY1508" i="1"/>
  <c r="AZ1508" i="1" s="1"/>
  <c r="AG1508" i="1"/>
  <c r="AX1508" i="1" s="1"/>
  <c r="U1514" i="1"/>
  <c r="X1514" i="1" s="1"/>
  <c r="Z1514" i="1" s="1"/>
  <c r="AI1514" i="1"/>
  <c r="AN1514" i="1"/>
  <c r="AJ1510" i="1" l="1"/>
  <c r="AK1509" i="1"/>
  <c r="AW1508" i="1"/>
  <c r="AE1510" i="1"/>
  <c r="V1511" i="1"/>
  <c r="AH1511" i="1"/>
  <c r="AO1511" i="1" s="1"/>
  <c r="AQ1511" i="1" s="1"/>
  <c r="AY1509" i="1"/>
  <c r="AZ1509" i="1" s="1"/>
  <c r="AG1509" i="1"/>
  <c r="AX1509" i="1" s="1"/>
  <c r="AN1515" i="1"/>
  <c r="AI1515" i="1"/>
  <c r="U1515" i="1"/>
  <c r="X1515" i="1" s="1"/>
  <c r="Z1515" i="1" s="1"/>
  <c r="AJ1511" i="1" l="1"/>
  <c r="AK1511" i="1" s="1"/>
  <c r="AW1509" i="1"/>
  <c r="CC1510" i="1"/>
  <c r="AK1510" i="1"/>
  <c r="V1512" i="1"/>
  <c r="AE1511" i="1"/>
  <c r="AH1512" i="1"/>
  <c r="AJ1512" i="1" s="1"/>
  <c r="AY1510" i="1"/>
  <c r="AZ1510" i="1" s="1"/>
  <c r="AG1510" i="1"/>
  <c r="AX1510" i="1" s="1"/>
  <c r="AI1516" i="1"/>
  <c r="U1516" i="1"/>
  <c r="X1516" i="1" s="1"/>
  <c r="Z1516" i="1" s="1"/>
  <c r="AN1516" i="1"/>
  <c r="AW1510" i="1" l="1"/>
  <c r="CC1511" i="1"/>
  <c r="V1513" i="1"/>
  <c r="AE1512" i="1"/>
  <c r="AH1513" i="1"/>
  <c r="AO1513" i="1" s="1"/>
  <c r="AQ1513" i="1" s="1"/>
  <c r="AO1512" i="1"/>
  <c r="AQ1512" i="1" s="1"/>
  <c r="CC1512" i="1"/>
  <c r="AG1511" i="1"/>
  <c r="AX1511" i="1" s="1"/>
  <c r="AY1511" i="1"/>
  <c r="AZ1511" i="1" s="1"/>
  <c r="AN1517" i="1"/>
  <c r="U1517" i="1"/>
  <c r="X1517" i="1" s="1"/>
  <c r="Z1517" i="1" s="1"/>
  <c r="AI1517" i="1"/>
  <c r="AJ1513" i="1" l="1"/>
  <c r="AW1511" i="1"/>
  <c r="AK1512" i="1"/>
  <c r="V1514" i="1"/>
  <c r="AE1513" i="1"/>
  <c r="AH1514" i="1"/>
  <c r="AO1514" i="1" s="1"/>
  <c r="AQ1514" i="1" s="1"/>
  <c r="AY1512" i="1"/>
  <c r="AZ1512" i="1" s="1"/>
  <c r="AG1512" i="1"/>
  <c r="AX1512" i="1" s="1"/>
  <c r="CC1513" i="1"/>
  <c r="U1518" i="1"/>
  <c r="X1518" i="1" s="1"/>
  <c r="Z1518" i="1" s="1"/>
  <c r="AN1518" i="1"/>
  <c r="AI1518" i="1"/>
  <c r="AJ1514" i="1" l="1"/>
  <c r="CC1514" i="1" s="1"/>
  <c r="AW1512" i="1"/>
  <c r="AK1513" i="1"/>
  <c r="V1515" i="1"/>
  <c r="AE1514" i="1"/>
  <c r="AH1515" i="1"/>
  <c r="AJ1515" i="1" s="1"/>
  <c r="AY1513" i="1"/>
  <c r="AZ1513" i="1" s="1"/>
  <c r="AG1513" i="1"/>
  <c r="AX1513" i="1" s="1"/>
  <c r="U1519" i="1"/>
  <c r="X1519" i="1" s="1"/>
  <c r="Z1519" i="1" s="1"/>
  <c r="AN1519" i="1"/>
  <c r="AI1519" i="1"/>
  <c r="AW1513" i="1" l="1"/>
  <c r="AK1514" i="1"/>
  <c r="CC1515" i="1"/>
  <c r="AO1515" i="1"/>
  <c r="AQ1515" i="1" s="1"/>
  <c r="AE1515" i="1"/>
  <c r="V1516" i="1"/>
  <c r="AH1516" i="1"/>
  <c r="AJ1516" i="1" s="1"/>
  <c r="AG1514" i="1"/>
  <c r="AX1514" i="1" s="1"/>
  <c r="AY1514" i="1"/>
  <c r="AZ1514" i="1" s="1"/>
  <c r="U1520" i="1"/>
  <c r="X1520" i="1" s="1"/>
  <c r="Z1520" i="1" s="1"/>
  <c r="AN1520" i="1"/>
  <c r="AI1520" i="1"/>
  <c r="AE1516" i="1" l="1"/>
  <c r="V1517" i="1"/>
  <c r="AH1517" i="1"/>
  <c r="AJ1517" i="1" s="1"/>
  <c r="AK1515" i="1"/>
  <c r="AW1514" i="1"/>
  <c r="AO1516" i="1"/>
  <c r="AQ1516" i="1" s="1"/>
  <c r="CC1516" i="1"/>
  <c r="AY1515" i="1"/>
  <c r="AZ1515" i="1" s="1"/>
  <c r="AG1515" i="1"/>
  <c r="AX1515" i="1" s="1"/>
  <c r="AI1521" i="1"/>
  <c r="U1521" i="1"/>
  <c r="X1521" i="1" s="1"/>
  <c r="Z1521" i="1" s="1"/>
  <c r="AN1521" i="1"/>
  <c r="V1518" i="1" l="1"/>
  <c r="AE1517" i="1"/>
  <c r="AH1518" i="1"/>
  <c r="AO1518" i="1" s="1"/>
  <c r="AQ1518" i="1" s="1"/>
  <c r="AK1516" i="1"/>
  <c r="AW1515" i="1"/>
  <c r="AO1517" i="1"/>
  <c r="AQ1517" i="1" s="1"/>
  <c r="CC1517" i="1"/>
  <c r="AY1516" i="1"/>
  <c r="AZ1516" i="1" s="1"/>
  <c r="AG1516" i="1"/>
  <c r="AX1516" i="1" s="1"/>
  <c r="U1522" i="1"/>
  <c r="X1522" i="1" s="1"/>
  <c r="Z1522" i="1" s="1"/>
  <c r="AN1522" i="1"/>
  <c r="AI1522" i="1"/>
  <c r="AJ1518" i="1" l="1"/>
  <c r="AE1518" i="1"/>
  <c r="V1519" i="1"/>
  <c r="AH1519" i="1"/>
  <c r="AO1519" i="1" s="1"/>
  <c r="AQ1519" i="1" s="1"/>
  <c r="AK1517" i="1"/>
  <c r="AW1516" i="1"/>
  <c r="AW1517" i="1"/>
  <c r="AY1517" i="1"/>
  <c r="AZ1517" i="1" s="1"/>
  <c r="AG1517" i="1"/>
  <c r="AX1517" i="1" s="1"/>
  <c r="AN1523" i="1"/>
  <c r="U1523" i="1"/>
  <c r="X1523" i="1" s="1"/>
  <c r="Z1523" i="1" s="1"/>
  <c r="AI1523" i="1"/>
  <c r="AJ1519" i="1" l="1"/>
  <c r="AK1518" i="1"/>
  <c r="CC1518" i="1"/>
  <c r="AE1519" i="1"/>
  <c r="V1520" i="1"/>
  <c r="AH1520" i="1"/>
  <c r="AO1520" i="1" s="1"/>
  <c r="AQ1520" i="1" s="1"/>
  <c r="AY1518" i="1"/>
  <c r="AZ1518" i="1" s="1"/>
  <c r="AG1518" i="1"/>
  <c r="AX1518" i="1" s="1"/>
  <c r="AN1524" i="1"/>
  <c r="U1524" i="1"/>
  <c r="X1524" i="1" s="1"/>
  <c r="Z1524" i="1" s="1"/>
  <c r="AI1524" i="1"/>
  <c r="AJ1520" i="1" l="1"/>
  <c r="AW1518" i="1"/>
  <c r="CC1519" i="1"/>
  <c r="AK1519" i="1"/>
  <c r="V1521" i="1"/>
  <c r="AE1520" i="1"/>
  <c r="AH1521" i="1"/>
  <c r="AO1521" i="1" s="1"/>
  <c r="AQ1521" i="1" s="1"/>
  <c r="AG1519" i="1"/>
  <c r="AX1519" i="1" s="1"/>
  <c r="AY1519" i="1"/>
  <c r="AZ1519" i="1" s="1"/>
  <c r="AN1525" i="1"/>
  <c r="U1525" i="1"/>
  <c r="X1525" i="1" s="1"/>
  <c r="Z1525" i="1" s="1"/>
  <c r="AI1525" i="1"/>
  <c r="AJ1521" i="1" l="1"/>
  <c r="AW1519" i="1"/>
  <c r="CC1520" i="1"/>
  <c r="AK1520" i="1"/>
  <c r="AK1521" i="1"/>
  <c r="AE1521" i="1"/>
  <c r="V1522" i="1"/>
  <c r="AH1522" i="1"/>
  <c r="AJ1522" i="1" s="1"/>
  <c r="AG1520" i="1"/>
  <c r="AX1520" i="1" s="1"/>
  <c r="AY1520" i="1"/>
  <c r="AZ1520" i="1" s="1"/>
  <c r="AI1526" i="1"/>
  <c r="AN1526" i="1"/>
  <c r="U1526" i="1"/>
  <c r="X1526" i="1" s="1"/>
  <c r="Z1526" i="1" s="1"/>
  <c r="AW1520" i="1" l="1"/>
  <c r="CC1521" i="1"/>
  <c r="V1523" i="1"/>
  <c r="AE1522" i="1"/>
  <c r="AH1523" i="1"/>
  <c r="AO1523" i="1" s="1"/>
  <c r="AQ1523" i="1" s="1"/>
  <c r="AO1522" i="1"/>
  <c r="AQ1522" i="1" s="1"/>
  <c r="CC1522" i="1"/>
  <c r="AG1521" i="1"/>
  <c r="AX1521" i="1" s="1"/>
  <c r="AY1521" i="1"/>
  <c r="AZ1521" i="1" s="1"/>
  <c r="AI1527" i="1"/>
  <c r="U1527" i="1"/>
  <c r="X1527" i="1" s="1"/>
  <c r="Z1527" i="1" s="1"/>
  <c r="AN1527" i="1"/>
  <c r="AJ1523" i="1" l="1"/>
  <c r="AE1523" i="1"/>
  <c r="V1524" i="1"/>
  <c r="AH1524" i="1"/>
  <c r="AO1524" i="1" s="1"/>
  <c r="AQ1524" i="1" s="1"/>
  <c r="AK1522" i="1"/>
  <c r="AW1521" i="1"/>
  <c r="AW1522" i="1"/>
  <c r="AG1522" i="1"/>
  <c r="AX1522" i="1" s="1"/>
  <c r="AY1522" i="1"/>
  <c r="AZ1522" i="1" s="1"/>
  <c r="AN1528" i="1"/>
  <c r="U1528" i="1"/>
  <c r="X1528" i="1" s="1"/>
  <c r="Z1528" i="1" s="1"/>
  <c r="AI1528" i="1"/>
  <c r="AJ1524" i="1" l="1"/>
  <c r="CC1524" i="1" s="1"/>
  <c r="AK1523" i="1"/>
  <c r="CC1523" i="1"/>
  <c r="V1525" i="1"/>
  <c r="AE1524" i="1"/>
  <c r="AH1525" i="1"/>
  <c r="AJ1525" i="1" s="1"/>
  <c r="AY1523" i="1"/>
  <c r="AZ1523" i="1" s="1"/>
  <c r="AG1523" i="1"/>
  <c r="AX1523" i="1" s="1"/>
  <c r="AI1529" i="1"/>
  <c r="AN1529" i="1"/>
  <c r="U1529" i="1"/>
  <c r="X1529" i="1" s="1"/>
  <c r="Z1529" i="1" s="1"/>
  <c r="AW1523" i="1" l="1"/>
  <c r="AK1524" i="1"/>
  <c r="AO1525" i="1"/>
  <c r="AQ1525" i="1" s="1"/>
  <c r="CC1525" i="1"/>
  <c r="AE1525" i="1"/>
  <c r="V1526" i="1"/>
  <c r="AH1526" i="1"/>
  <c r="AO1526" i="1" s="1"/>
  <c r="AQ1526" i="1" s="1"/>
  <c r="AY1524" i="1"/>
  <c r="AZ1524" i="1" s="1"/>
  <c r="AG1524" i="1"/>
  <c r="AX1524" i="1" s="1"/>
  <c r="AN1530" i="1"/>
  <c r="AI1530" i="1"/>
  <c r="U1530" i="1"/>
  <c r="X1530" i="1" s="1"/>
  <c r="Z1530" i="1" s="1"/>
  <c r="AJ1526" i="1" l="1"/>
  <c r="CC1526" i="1" s="1"/>
  <c r="V1527" i="1"/>
  <c r="AE1526" i="1"/>
  <c r="AH1527" i="1"/>
  <c r="AO1527" i="1" s="1"/>
  <c r="AQ1527" i="1" s="1"/>
  <c r="AY1525" i="1"/>
  <c r="AZ1525" i="1" s="1"/>
  <c r="AG1525" i="1"/>
  <c r="AX1525" i="1" s="1"/>
  <c r="AW1524" i="1"/>
  <c r="AK1525" i="1"/>
  <c r="U1531" i="1"/>
  <c r="X1531" i="1" s="1"/>
  <c r="Z1531" i="1" s="1"/>
  <c r="AI1531" i="1"/>
  <c r="AN1531" i="1"/>
  <c r="AJ1527" i="1" l="1"/>
  <c r="AE1527" i="1"/>
  <c r="V1528" i="1"/>
  <c r="AH1528" i="1"/>
  <c r="AO1528" i="1" s="1"/>
  <c r="AQ1528" i="1" s="1"/>
  <c r="AW1525" i="1"/>
  <c r="AK1526" i="1"/>
  <c r="AY1526" i="1"/>
  <c r="AZ1526" i="1" s="1"/>
  <c r="AG1526" i="1"/>
  <c r="AX1526" i="1" s="1"/>
  <c r="CC1527" i="1"/>
  <c r="AI1532" i="1"/>
  <c r="AN1532" i="1"/>
  <c r="U1532" i="1"/>
  <c r="X1532" i="1" s="1"/>
  <c r="Z1532" i="1" s="1"/>
  <c r="AJ1528" i="1" l="1"/>
  <c r="AE1528" i="1"/>
  <c r="V1529" i="1"/>
  <c r="AH1529" i="1"/>
  <c r="AJ1529" i="1" s="1"/>
  <c r="AK1527" i="1"/>
  <c r="AW1526" i="1"/>
  <c r="AG1527" i="1"/>
  <c r="AX1527" i="1" s="1"/>
  <c r="AY1527" i="1"/>
  <c r="AZ1527" i="1" s="1"/>
  <c r="CC1528" i="1"/>
  <c r="AI1533" i="1"/>
  <c r="AN1533" i="1"/>
  <c r="U1533" i="1"/>
  <c r="X1533" i="1" s="1"/>
  <c r="Z1533" i="1" s="1"/>
  <c r="AK1528" i="1" l="1"/>
  <c r="AW1527" i="1"/>
  <c r="V1530" i="1"/>
  <c r="AE1529" i="1"/>
  <c r="AH1530" i="1"/>
  <c r="AO1530" i="1" s="1"/>
  <c r="AQ1530" i="1" s="1"/>
  <c r="AO1529" i="1"/>
  <c r="AQ1529" i="1" s="1"/>
  <c r="CC1529" i="1"/>
  <c r="AY1528" i="1"/>
  <c r="AZ1528" i="1" s="1"/>
  <c r="AG1528" i="1"/>
  <c r="AX1528" i="1" s="1"/>
  <c r="AN1534" i="1"/>
  <c r="U1534" i="1"/>
  <c r="X1534" i="1" s="1"/>
  <c r="Z1534" i="1" s="1"/>
  <c r="AI1534" i="1"/>
  <c r="AJ1530" i="1" l="1"/>
  <c r="AK1529" i="1"/>
  <c r="AW1528" i="1"/>
  <c r="V1531" i="1"/>
  <c r="AE1530" i="1"/>
  <c r="AH1531" i="1"/>
  <c r="AJ1531" i="1" s="1"/>
  <c r="AG1529" i="1"/>
  <c r="AX1529" i="1" s="1"/>
  <c r="AY1529" i="1"/>
  <c r="AZ1529" i="1" s="1"/>
  <c r="CC1530" i="1"/>
  <c r="U1535" i="1"/>
  <c r="X1535" i="1" s="1"/>
  <c r="Z1535" i="1" s="1"/>
  <c r="AN1535" i="1"/>
  <c r="AI1535" i="1"/>
  <c r="V1532" i="1" l="1"/>
  <c r="AE1531" i="1"/>
  <c r="AH1532" i="1"/>
  <c r="AO1532" i="1" s="1"/>
  <c r="AQ1532" i="1" s="1"/>
  <c r="AK1530" i="1"/>
  <c r="AW1529" i="1"/>
  <c r="AO1531" i="1"/>
  <c r="AQ1531" i="1" s="1"/>
  <c r="CC1531" i="1"/>
  <c r="AG1530" i="1"/>
  <c r="AX1530" i="1" s="1"/>
  <c r="AY1530" i="1"/>
  <c r="AZ1530" i="1" s="1"/>
  <c r="U1536" i="1"/>
  <c r="X1536" i="1" s="1"/>
  <c r="Z1536" i="1" s="1"/>
  <c r="AN1536" i="1"/>
  <c r="AI1536" i="1"/>
  <c r="AJ1532" i="1" l="1"/>
  <c r="AW1530" i="1"/>
  <c r="AK1531" i="1"/>
  <c r="V1533" i="1"/>
  <c r="AE1532" i="1"/>
  <c r="AH1533" i="1"/>
  <c r="AJ1533" i="1" s="1"/>
  <c r="AG1531" i="1"/>
  <c r="AX1531" i="1" s="1"/>
  <c r="AY1531" i="1"/>
  <c r="AZ1531" i="1" s="1"/>
  <c r="AI1537" i="1"/>
  <c r="U1537" i="1"/>
  <c r="X1537" i="1" s="1"/>
  <c r="Z1537" i="1" s="1"/>
  <c r="AN1537" i="1"/>
  <c r="AW1531" i="1" l="1"/>
  <c r="CC1532" i="1"/>
  <c r="AK1532" i="1"/>
  <c r="AO1533" i="1"/>
  <c r="AQ1533" i="1" s="1"/>
  <c r="CC1533" i="1"/>
  <c r="V1534" i="1"/>
  <c r="AE1533" i="1"/>
  <c r="AH1534" i="1"/>
  <c r="AJ1534" i="1" s="1"/>
  <c r="AG1532" i="1"/>
  <c r="AX1532" i="1" s="1"/>
  <c r="AY1532" i="1"/>
  <c r="AZ1532" i="1" s="1"/>
  <c r="AI1538" i="1"/>
  <c r="AN1538" i="1"/>
  <c r="U1538" i="1"/>
  <c r="X1538" i="1" s="1"/>
  <c r="Z1538" i="1" s="1"/>
  <c r="AE1534" i="1" l="1"/>
  <c r="V1535" i="1"/>
  <c r="AH1535" i="1"/>
  <c r="AO1535" i="1" s="1"/>
  <c r="AQ1535" i="1" s="1"/>
  <c r="CC1534" i="1"/>
  <c r="AO1534" i="1"/>
  <c r="AQ1534" i="1" s="1"/>
  <c r="AG1533" i="1"/>
  <c r="AX1533" i="1" s="1"/>
  <c r="AY1533" i="1"/>
  <c r="AZ1533" i="1" s="1"/>
  <c r="AK1533" i="1"/>
  <c r="AW1532" i="1"/>
  <c r="AI1539" i="1"/>
  <c r="U1539" i="1"/>
  <c r="X1539" i="1" s="1"/>
  <c r="Z1539" i="1" s="1"/>
  <c r="AN1539" i="1"/>
  <c r="AJ1535" i="1" l="1"/>
  <c r="CC1535" i="1" s="1"/>
  <c r="AE1535" i="1"/>
  <c r="V1536" i="1"/>
  <c r="AH1536" i="1"/>
  <c r="AJ1536" i="1" s="1"/>
  <c r="AW1533" i="1"/>
  <c r="AK1534" i="1"/>
  <c r="AY1534" i="1"/>
  <c r="AZ1534" i="1" s="1"/>
  <c r="AG1534" i="1"/>
  <c r="AX1534" i="1" s="1"/>
  <c r="AN1540" i="1"/>
  <c r="AI1540" i="1"/>
  <c r="U1540" i="1"/>
  <c r="X1540" i="1" s="1"/>
  <c r="Z1540" i="1" s="1"/>
  <c r="AW1534" i="1" l="1"/>
  <c r="AK1535" i="1"/>
  <c r="AE1536" i="1"/>
  <c r="V1537" i="1"/>
  <c r="AH1537" i="1"/>
  <c r="AJ1537" i="1" s="1"/>
  <c r="AO1536" i="1"/>
  <c r="AQ1536" i="1" s="1"/>
  <c r="CC1536" i="1"/>
  <c r="AG1535" i="1"/>
  <c r="AX1535" i="1" s="1"/>
  <c r="AY1535" i="1"/>
  <c r="AZ1535" i="1" s="1"/>
  <c r="AN1541" i="1"/>
  <c r="U1541" i="1"/>
  <c r="X1541" i="1" s="1"/>
  <c r="Z1541" i="1" s="1"/>
  <c r="AI1541" i="1"/>
  <c r="V1538" i="1" l="1"/>
  <c r="AE1537" i="1"/>
  <c r="AH1538" i="1"/>
  <c r="AO1538" i="1" s="1"/>
  <c r="AQ1538" i="1" s="1"/>
  <c r="AK1536" i="1"/>
  <c r="AW1535" i="1"/>
  <c r="AO1537" i="1"/>
  <c r="AQ1537" i="1" s="1"/>
  <c r="CC1537" i="1"/>
  <c r="AG1536" i="1"/>
  <c r="AX1536" i="1" s="1"/>
  <c r="AY1536" i="1"/>
  <c r="AZ1536" i="1" s="1"/>
  <c r="U1542" i="1"/>
  <c r="X1542" i="1" s="1"/>
  <c r="Z1542" i="1" s="1"/>
  <c r="AN1542" i="1"/>
  <c r="AI1542" i="1"/>
  <c r="AJ1538" i="1" l="1"/>
  <c r="AE1538" i="1"/>
  <c r="V1539" i="1"/>
  <c r="AH1539" i="1"/>
  <c r="AO1539" i="1" s="1"/>
  <c r="AQ1539" i="1" s="1"/>
  <c r="AK1537" i="1"/>
  <c r="AW1536" i="1"/>
  <c r="AK1538" i="1"/>
  <c r="AY1537" i="1"/>
  <c r="AZ1537" i="1" s="1"/>
  <c r="AG1537" i="1"/>
  <c r="AX1537" i="1" s="1"/>
  <c r="AN1543" i="1"/>
  <c r="U1543" i="1"/>
  <c r="X1543" i="1" s="1"/>
  <c r="Z1543" i="1" s="1"/>
  <c r="AI1543" i="1"/>
  <c r="AJ1539" i="1" l="1"/>
  <c r="AW1537" i="1"/>
  <c r="CC1538" i="1"/>
  <c r="V1540" i="1"/>
  <c r="AE1539" i="1"/>
  <c r="AH1540" i="1"/>
  <c r="AO1540" i="1" s="1"/>
  <c r="AQ1540" i="1" s="1"/>
  <c r="AG1538" i="1"/>
  <c r="AX1538" i="1" s="1"/>
  <c r="AY1538" i="1"/>
  <c r="AZ1538" i="1" s="1"/>
  <c r="U1544" i="1"/>
  <c r="X1544" i="1" s="1"/>
  <c r="Z1544" i="1" s="1"/>
  <c r="AI1544" i="1"/>
  <c r="AN1544" i="1"/>
  <c r="AJ1540" i="1" l="1"/>
  <c r="CC1540" i="1" s="1"/>
  <c r="V1541" i="1"/>
  <c r="AK1539" i="1"/>
  <c r="CC1539" i="1"/>
  <c r="AW1538" i="1"/>
  <c r="AE1540" i="1"/>
  <c r="AH1541" i="1"/>
  <c r="AJ1541" i="1" s="1"/>
  <c r="AG1539" i="1"/>
  <c r="AX1539" i="1" s="1"/>
  <c r="AY1539" i="1"/>
  <c r="AZ1539" i="1" s="1"/>
  <c r="AI1545" i="1"/>
  <c r="U1545" i="1"/>
  <c r="X1545" i="1" s="1"/>
  <c r="Z1545" i="1" s="1"/>
  <c r="AN1545" i="1"/>
  <c r="AW1539" i="1" l="1"/>
  <c r="AK1540" i="1"/>
  <c r="AE1541" i="1"/>
  <c r="V1542" i="1"/>
  <c r="AH1542" i="1"/>
  <c r="AO1542" i="1" s="1"/>
  <c r="AQ1542" i="1" s="1"/>
  <c r="AO1541" i="1"/>
  <c r="AQ1541" i="1" s="1"/>
  <c r="CC1541" i="1"/>
  <c r="AG1540" i="1"/>
  <c r="AX1540" i="1" s="1"/>
  <c r="AY1540" i="1"/>
  <c r="AZ1540" i="1" s="1"/>
  <c r="AI1546" i="1"/>
  <c r="AN1546" i="1"/>
  <c r="U1546" i="1"/>
  <c r="X1546" i="1" s="1"/>
  <c r="Z1546" i="1" s="1"/>
  <c r="AJ1542" i="1" l="1"/>
  <c r="CC1542" i="1" s="1"/>
  <c r="V1543" i="1"/>
  <c r="AE1542" i="1"/>
  <c r="AH1543" i="1"/>
  <c r="AO1543" i="1" s="1"/>
  <c r="AQ1543" i="1" s="1"/>
  <c r="AW1540" i="1"/>
  <c r="AK1541" i="1"/>
  <c r="AY1541" i="1"/>
  <c r="AZ1541" i="1" s="1"/>
  <c r="AG1541" i="1"/>
  <c r="AX1541" i="1" s="1"/>
  <c r="U1547" i="1"/>
  <c r="X1547" i="1" s="1"/>
  <c r="Z1547" i="1" s="1"/>
  <c r="AN1547" i="1"/>
  <c r="AI1547" i="1"/>
  <c r="AJ1543" i="1" l="1"/>
  <c r="CC1543" i="1" s="1"/>
  <c r="AK1542" i="1"/>
  <c r="AW1541" i="1"/>
  <c r="V1544" i="1"/>
  <c r="AE1543" i="1"/>
  <c r="AH1544" i="1"/>
  <c r="AO1544" i="1" s="1"/>
  <c r="AQ1544" i="1" s="1"/>
  <c r="AY1542" i="1"/>
  <c r="AZ1542" i="1" s="1"/>
  <c r="AG1542" i="1"/>
  <c r="AX1542" i="1" s="1"/>
  <c r="AN1548" i="1"/>
  <c r="AI1548" i="1"/>
  <c r="U1548" i="1"/>
  <c r="X1548" i="1" s="1"/>
  <c r="Z1548" i="1" s="1"/>
  <c r="AJ1544" i="1" l="1"/>
  <c r="AE1544" i="1"/>
  <c r="V1545" i="1"/>
  <c r="AH1545" i="1"/>
  <c r="AO1545" i="1" s="1"/>
  <c r="AQ1545" i="1" s="1"/>
  <c r="AW1542" i="1"/>
  <c r="AK1543" i="1"/>
  <c r="AY1543" i="1"/>
  <c r="AZ1543" i="1" s="1"/>
  <c r="AG1543" i="1"/>
  <c r="AX1543" i="1" s="1"/>
  <c r="U1549" i="1"/>
  <c r="X1549" i="1" s="1"/>
  <c r="Z1549" i="1" s="1"/>
  <c r="AI1549" i="1"/>
  <c r="AN1549" i="1"/>
  <c r="AJ1545" i="1" l="1"/>
  <c r="CC1545" i="1" s="1"/>
  <c r="AW1543" i="1"/>
  <c r="CC1544" i="1"/>
  <c r="AK1544" i="1"/>
  <c r="V1546" i="1"/>
  <c r="AE1545" i="1"/>
  <c r="AH1546" i="1"/>
  <c r="AJ1546" i="1" s="1"/>
  <c r="AY1544" i="1"/>
  <c r="AZ1544" i="1" s="1"/>
  <c r="AG1544" i="1"/>
  <c r="AX1544" i="1" s="1"/>
  <c r="U1550" i="1"/>
  <c r="X1550" i="1" s="1"/>
  <c r="Z1550" i="1" s="1"/>
  <c r="AI1550" i="1"/>
  <c r="AN1550" i="1"/>
  <c r="AW1544" i="1" l="1"/>
  <c r="AK1545" i="1"/>
  <c r="V1547" i="1"/>
  <c r="AE1546" i="1"/>
  <c r="AH1547" i="1"/>
  <c r="AO1547" i="1" s="1"/>
  <c r="AQ1547" i="1" s="1"/>
  <c r="AO1546" i="1"/>
  <c r="AQ1546" i="1" s="1"/>
  <c r="CC1546" i="1"/>
  <c r="AG1545" i="1"/>
  <c r="AX1545" i="1" s="1"/>
  <c r="AY1545" i="1"/>
  <c r="AZ1545" i="1" s="1"/>
  <c r="U1551" i="1"/>
  <c r="X1551" i="1" s="1"/>
  <c r="Z1551" i="1" s="1"/>
  <c r="AI1551" i="1"/>
  <c r="AN1551" i="1"/>
  <c r="AJ1547" i="1" l="1"/>
  <c r="AE1547" i="1"/>
  <c r="V1548" i="1"/>
  <c r="AH1548" i="1"/>
  <c r="AO1548" i="1" s="1"/>
  <c r="AQ1548" i="1" s="1"/>
  <c r="AW1545" i="1"/>
  <c r="AK1546" i="1"/>
  <c r="AY1546" i="1"/>
  <c r="AZ1546" i="1" s="1"/>
  <c r="AG1546" i="1"/>
  <c r="AX1546" i="1" s="1"/>
  <c r="U1552" i="1"/>
  <c r="X1552" i="1" s="1"/>
  <c r="Z1552" i="1" s="1"/>
  <c r="AN1552" i="1"/>
  <c r="AI1552" i="1"/>
  <c r="AJ1548" i="1" l="1"/>
  <c r="AH1549" i="1"/>
  <c r="AJ1549" i="1" s="1"/>
  <c r="AW1546" i="1"/>
  <c r="CC1547" i="1"/>
  <c r="AK1547" i="1"/>
  <c r="V1549" i="1"/>
  <c r="AE1548" i="1"/>
  <c r="AY1547" i="1"/>
  <c r="AZ1547" i="1" s="1"/>
  <c r="AG1547" i="1"/>
  <c r="AX1547" i="1" s="1"/>
  <c r="AO1549" i="1"/>
  <c r="AQ1549" i="1" s="1"/>
  <c r="CC1548" i="1"/>
  <c r="AN1553" i="1"/>
  <c r="U1553" i="1"/>
  <c r="X1553" i="1" s="1"/>
  <c r="Z1553" i="1" s="1"/>
  <c r="AI1553" i="1"/>
  <c r="AH1550" i="1" l="1"/>
  <c r="AO1550" i="1" s="1"/>
  <c r="AQ1550" i="1" s="1"/>
  <c r="V1550" i="1"/>
  <c r="AK1549" i="1"/>
  <c r="CC1549" i="1"/>
  <c r="AW1548" i="1"/>
  <c r="AK1548" i="1"/>
  <c r="AW1547" i="1"/>
  <c r="AE1549" i="1"/>
  <c r="AY1548" i="1"/>
  <c r="AZ1548" i="1" s="1"/>
  <c r="AG1548" i="1"/>
  <c r="AX1548" i="1" s="1"/>
  <c r="AN1554" i="1"/>
  <c r="U1554" i="1"/>
  <c r="X1554" i="1" s="1"/>
  <c r="Z1554" i="1" s="1"/>
  <c r="AI1554" i="1"/>
  <c r="AJ1550" i="1" l="1"/>
  <c r="AW1549" i="1" s="1"/>
  <c r="AH1551" i="1"/>
  <c r="AJ1551" i="1" s="1"/>
  <c r="V1551" i="1"/>
  <c r="AE1550" i="1"/>
  <c r="AY1549" i="1"/>
  <c r="AZ1549" i="1" s="1"/>
  <c r="AG1549" i="1"/>
  <c r="AX1549" i="1" s="1"/>
  <c r="AN1555" i="1"/>
  <c r="AI1555" i="1"/>
  <c r="U1555" i="1"/>
  <c r="X1555" i="1" s="1"/>
  <c r="Z1555" i="1" s="1"/>
  <c r="AO1551" i="1"/>
  <c r="AQ1551" i="1" s="1"/>
  <c r="CC1550" i="1" l="1"/>
  <c r="AK1550" i="1"/>
  <c r="AW1550" i="1"/>
  <c r="CC1551" i="1"/>
  <c r="V1552" i="1"/>
  <c r="AE1551" i="1"/>
  <c r="AH1552" i="1"/>
  <c r="AO1552" i="1" s="1"/>
  <c r="AQ1552" i="1" s="1"/>
  <c r="AG1550" i="1"/>
  <c r="AX1550" i="1" s="1"/>
  <c r="AY1550" i="1"/>
  <c r="AZ1550" i="1" s="1"/>
  <c r="AK1551" i="1"/>
  <c r="U1556" i="1"/>
  <c r="X1556" i="1" s="1"/>
  <c r="Z1556" i="1" s="1"/>
  <c r="AI1556" i="1"/>
  <c r="AN1556" i="1"/>
  <c r="AJ1552" i="1" l="1"/>
  <c r="AE1552" i="1"/>
  <c r="V1553" i="1"/>
  <c r="AH1553" i="1"/>
  <c r="AO1553" i="1" s="1"/>
  <c r="AQ1553" i="1" s="1"/>
  <c r="AY1551" i="1"/>
  <c r="AZ1551" i="1" s="1"/>
  <c r="AG1551" i="1"/>
  <c r="AX1551" i="1" s="1"/>
  <c r="CC1552" i="1"/>
  <c r="AN1557" i="1"/>
  <c r="U1557" i="1"/>
  <c r="X1557" i="1" s="1"/>
  <c r="Z1557" i="1" s="1"/>
  <c r="AI1557" i="1"/>
  <c r="AJ1553" i="1" l="1"/>
  <c r="AK1553" i="1" s="1"/>
  <c r="AH1554" i="1"/>
  <c r="AO1554" i="1" s="1"/>
  <c r="AQ1554" i="1" s="1"/>
  <c r="AW1551" i="1"/>
  <c r="AK1552" i="1"/>
  <c r="V1554" i="1"/>
  <c r="AE1553" i="1"/>
  <c r="AG1552" i="1"/>
  <c r="AX1552" i="1" s="1"/>
  <c r="AY1552" i="1"/>
  <c r="AZ1552" i="1" s="1"/>
  <c r="AN1558" i="1"/>
  <c r="U1558" i="1"/>
  <c r="X1558" i="1" s="1"/>
  <c r="Z1558" i="1" s="1"/>
  <c r="AI1558" i="1"/>
  <c r="CC1553" i="1" l="1"/>
  <c r="AJ1554" i="1"/>
  <c r="AW1552" i="1"/>
  <c r="AH1555" i="1"/>
  <c r="AO1555" i="1" s="1"/>
  <c r="AQ1555" i="1" s="1"/>
  <c r="V1555" i="1"/>
  <c r="AE1554" i="1"/>
  <c r="AY1553" i="1"/>
  <c r="AZ1553" i="1" s="1"/>
  <c r="AG1553" i="1"/>
  <c r="AX1553" i="1" s="1"/>
  <c r="U1559" i="1"/>
  <c r="X1559" i="1" s="1"/>
  <c r="Z1559" i="1" s="1"/>
  <c r="AN1559" i="1"/>
  <c r="AI1559" i="1"/>
  <c r="AJ1555" i="1" l="1"/>
  <c r="CC1555" i="1" s="1"/>
  <c r="AH1556" i="1"/>
  <c r="AO1556" i="1" s="1"/>
  <c r="AQ1556" i="1" s="1"/>
  <c r="AK1554" i="1"/>
  <c r="CC1554" i="1"/>
  <c r="AW1554" i="1"/>
  <c r="AW1553" i="1"/>
  <c r="AE1555" i="1"/>
  <c r="AG1554" i="1"/>
  <c r="AX1554" i="1" s="1"/>
  <c r="AY1554" i="1"/>
  <c r="AZ1554" i="1" s="1"/>
  <c r="U1560" i="1"/>
  <c r="X1560" i="1" s="1"/>
  <c r="Z1560" i="1" s="1"/>
  <c r="AN1560" i="1"/>
  <c r="AI1560" i="1"/>
  <c r="AJ1556" i="1" l="1"/>
  <c r="CC1556" i="1" s="1"/>
  <c r="AK1555" i="1"/>
  <c r="V1556" i="1"/>
  <c r="AG1555" i="1"/>
  <c r="AX1555" i="1" s="1"/>
  <c r="AY1555" i="1"/>
  <c r="AZ1555" i="1" s="1"/>
  <c r="AI1561" i="1"/>
  <c r="AN1561" i="1"/>
  <c r="U1561" i="1"/>
  <c r="X1561" i="1" s="1"/>
  <c r="Z1561" i="1" s="1"/>
  <c r="V1557" i="1" l="1"/>
  <c r="AE1556" i="1"/>
  <c r="AH1557" i="1"/>
  <c r="AJ1557" i="1" s="1"/>
  <c r="AW1555" i="1"/>
  <c r="AK1556" i="1"/>
  <c r="AN1562" i="1"/>
  <c r="U1562" i="1"/>
  <c r="X1562" i="1" s="1"/>
  <c r="Z1562" i="1" s="1"/>
  <c r="AI1562" i="1"/>
  <c r="AE1557" i="1" l="1"/>
  <c r="V1558" i="1"/>
  <c r="AH1558" i="1"/>
  <c r="AO1558" i="1" s="1"/>
  <c r="AQ1558" i="1" s="1"/>
  <c r="AO1557" i="1"/>
  <c r="AQ1557" i="1" s="1"/>
  <c r="CC1557" i="1"/>
  <c r="AY1556" i="1"/>
  <c r="AZ1556" i="1" s="1"/>
  <c r="AG1556" i="1"/>
  <c r="AX1556" i="1" s="1"/>
  <c r="AI1563" i="1"/>
  <c r="AN1563" i="1"/>
  <c r="U1563" i="1"/>
  <c r="X1563" i="1" s="1"/>
  <c r="Z1563" i="1" s="1"/>
  <c r="AJ1558" i="1" l="1"/>
  <c r="AW1557" i="1" s="1"/>
  <c r="AW1556" i="1"/>
  <c r="AK1557" i="1"/>
  <c r="AE1558" i="1"/>
  <c r="V1559" i="1"/>
  <c r="AH1559" i="1"/>
  <c r="AO1559" i="1" s="1"/>
  <c r="AQ1559" i="1" s="1"/>
  <c r="AG1557" i="1"/>
  <c r="AX1557" i="1" s="1"/>
  <c r="AY1557" i="1"/>
  <c r="AZ1557" i="1" s="1"/>
  <c r="AI1564" i="1"/>
  <c r="AN1564" i="1"/>
  <c r="U1564" i="1"/>
  <c r="X1564" i="1" s="1"/>
  <c r="Z1564" i="1" s="1"/>
  <c r="AJ1559" i="1" l="1"/>
  <c r="CC1558" i="1"/>
  <c r="AK1558" i="1"/>
  <c r="AE1559" i="1"/>
  <c r="V1560" i="1"/>
  <c r="AH1560" i="1"/>
  <c r="AO1560" i="1" s="1"/>
  <c r="AQ1560" i="1" s="1"/>
  <c r="AG1558" i="1"/>
  <c r="AX1558" i="1" s="1"/>
  <c r="AY1558" i="1"/>
  <c r="AZ1558" i="1" s="1"/>
  <c r="CC1559" i="1"/>
  <c r="U1565" i="1"/>
  <c r="X1565" i="1" s="1"/>
  <c r="Z1565" i="1" s="1"/>
  <c r="AI1565" i="1"/>
  <c r="AN1565" i="1"/>
  <c r="AJ1560" i="1" l="1"/>
  <c r="CC1560" i="1" s="1"/>
  <c r="V1561" i="1"/>
  <c r="AE1560" i="1"/>
  <c r="AH1561" i="1"/>
  <c r="AJ1561" i="1" s="1"/>
  <c r="AW1558" i="1"/>
  <c r="AK1559" i="1"/>
  <c r="AG1559" i="1"/>
  <c r="AX1559" i="1" s="1"/>
  <c r="AY1559" i="1"/>
  <c r="AZ1559" i="1" s="1"/>
  <c r="U1566" i="1"/>
  <c r="X1566" i="1" s="1"/>
  <c r="Z1566" i="1" s="1"/>
  <c r="AN1566" i="1"/>
  <c r="AI1566" i="1"/>
  <c r="AW1559" i="1" l="1"/>
  <c r="AK1560" i="1"/>
  <c r="AE1561" i="1"/>
  <c r="V1562" i="1"/>
  <c r="AH1562" i="1"/>
  <c r="AO1562" i="1" s="1"/>
  <c r="AQ1562" i="1" s="1"/>
  <c r="AO1561" i="1"/>
  <c r="AQ1561" i="1" s="1"/>
  <c r="CC1561" i="1"/>
  <c r="AY1560" i="1"/>
  <c r="AZ1560" i="1" s="1"/>
  <c r="AG1560" i="1"/>
  <c r="AX1560" i="1" s="1"/>
  <c r="AN1567" i="1"/>
  <c r="U1567" i="1"/>
  <c r="X1567" i="1" s="1"/>
  <c r="Z1567" i="1" s="1"/>
  <c r="AI1567" i="1"/>
  <c r="AJ1562" i="1" l="1"/>
  <c r="CC1562" i="1" s="1"/>
  <c r="AW1560" i="1"/>
  <c r="AK1561" i="1"/>
  <c r="V1563" i="1"/>
  <c r="AE1562" i="1"/>
  <c r="AH1563" i="1"/>
  <c r="AJ1563" i="1" s="1"/>
  <c r="AY1561" i="1"/>
  <c r="AZ1561" i="1" s="1"/>
  <c r="AG1561" i="1"/>
  <c r="AX1561" i="1" s="1"/>
  <c r="AI1568" i="1"/>
  <c r="U1568" i="1"/>
  <c r="X1568" i="1" s="1"/>
  <c r="Z1568" i="1" s="1"/>
  <c r="AN1568" i="1"/>
  <c r="AW1561" i="1" l="1"/>
  <c r="AK1562" i="1"/>
  <c r="V1564" i="1"/>
  <c r="AE1563" i="1"/>
  <c r="AH1564" i="1"/>
  <c r="AO1564" i="1" s="1"/>
  <c r="AQ1564" i="1" s="1"/>
  <c r="AO1563" i="1"/>
  <c r="AQ1563" i="1" s="1"/>
  <c r="CC1563" i="1"/>
  <c r="AY1562" i="1"/>
  <c r="AZ1562" i="1" s="1"/>
  <c r="AG1562" i="1"/>
  <c r="AX1562" i="1" s="1"/>
  <c r="U1569" i="1"/>
  <c r="X1569" i="1" s="1"/>
  <c r="Z1569" i="1" s="1"/>
  <c r="AI1569" i="1"/>
  <c r="AN1569" i="1"/>
  <c r="AJ1564" i="1" l="1"/>
  <c r="AK1564" i="1" s="1"/>
  <c r="V1565" i="1"/>
  <c r="AE1564" i="1"/>
  <c r="AH1565" i="1"/>
  <c r="AO1565" i="1" s="1"/>
  <c r="AQ1565" i="1" s="1"/>
  <c r="AW1562" i="1"/>
  <c r="AK1563" i="1"/>
  <c r="AG1563" i="1"/>
  <c r="AX1563" i="1" s="1"/>
  <c r="AY1563" i="1"/>
  <c r="AZ1563" i="1" s="1"/>
  <c r="AI1570" i="1"/>
  <c r="AN1570" i="1"/>
  <c r="U1570" i="1"/>
  <c r="X1570" i="1" s="1"/>
  <c r="Z1570" i="1" s="1"/>
  <c r="AJ1565" i="1" l="1"/>
  <c r="CC1565" i="1" s="1"/>
  <c r="AW1563" i="1"/>
  <c r="CC1564" i="1"/>
  <c r="V1566" i="1"/>
  <c r="AE1565" i="1"/>
  <c r="AH1566" i="1"/>
  <c r="AO1566" i="1" s="1"/>
  <c r="AQ1566" i="1" s="1"/>
  <c r="AY1564" i="1"/>
  <c r="AZ1564" i="1" s="1"/>
  <c r="AG1564" i="1"/>
  <c r="AX1564" i="1" s="1"/>
  <c r="U1571" i="1"/>
  <c r="X1571" i="1" s="1"/>
  <c r="Z1571" i="1" s="1"/>
  <c r="AI1571" i="1"/>
  <c r="AN1571" i="1"/>
  <c r="AJ1566" i="1" l="1"/>
  <c r="CC1566" i="1" s="1"/>
  <c r="AW1564" i="1"/>
  <c r="AK1565" i="1"/>
  <c r="V1567" i="1"/>
  <c r="AE1566" i="1"/>
  <c r="AH1567" i="1"/>
  <c r="AJ1567" i="1" s="1"/>
  <c r="AY1565" i="1"/>
  <c r="AZ1565" i="1" s="1"/>
  <c r="AG1565" i="1"/>
  <c r="AX1565" i="1" s="1"/>
  <c r="AI1572" i="1"/>
  <c r="AN1572" i="1"/>
  <c r="U1572" i="1"/>
  <c r="X1572" i="1" s="1"/>
  <c r="Z1572" i="1" s="1"/>
  <c r="AK1566" i="1" l="1"/>
  <c r="CC1567" i="1"/>
  <c r="AW1565" i="1"/>
  <c r="AE1567" i="1"/>
  <c r="V1568" i="1"/>
  <c r="AH1568" i="1"/>
  <c r="AO1568" i="1" s="1"/>
  <c r="AQ1568" i="1" s="1"/>
  <c r="AG1566" i="1"/>
  <c r="AX1566" i="1" s="1"/>
  <c r="AY1566" i="1"/>
  <c r="AZ1566" i="1" s="1"/>
  <c r="AO1567" i="1"/>
  <c r="AQ1567" i="1" s="1"/>
  <c r="U1573" i="1"/>
  <c r="X1573" i="1" s="1"/>
  <c r="Z1573" i="1" s="1"/>
  <c r="AN1573" i="1"/>
  <c r="AI1573" i="1"/>
  <c r="AJ1568" i="1" l="1"/>
  <c r="CC1568" i="1" s="1"/>
  <c r="AK1567" i="1"/>
  <c r="AW1566" i="1"/>
  <c r="AE1568" i="1"/>
  <c r="V1569" i="1"/>
  <c r="AH1569" i="1"/>
  <c r="AJ1569" i="1" s="1"/>
  <c r="AY1567" i="1"/>
  <c r="AZ1567" i="1" s="1"/>
  <c r="AG1567" i="1"/>
  <c r="AX1567" i="1" s="1"/>
  <c r="U1574" i="1"/>
  <c r="X1574" i="1" s="1"/>
  <c r="Z1574" i="1" s="1"/>
  <c r="AI1574" i="1"/>
  <c r="AN1574" i="1"/>
  <c r="AK1568" i="1" l="1"/>
  <c r="AW1567" i="1"/>
  <c r="AE1569" i="1"/>
  <c r="V1570" i="1"/>
  <c r="AH1570" i="1"/>
  <c r="AJ1570" i="1" s="1"/>
  <c r="AO1569" i="1"/>
  <c r="AQ1569" i="1" s="1"/>
  <c r="CC1569" i="1"/>
  <c r="AY1568" i="1"/>
  <c r="AZ1568" i="1" s="1"/>
  <c r="AG1568" i="1"/>
  <c r="AX1568" i="1" s="1"/>
  <c r="AI1575" i="1"/>
  <c r="AN1575" i="1"/>
  <c r="U1575" i="1"/>
  <c r="X1575" i="1" s="1"/>
  <c r="Z1575" i="1" s="1"/>
  <c r="AO1570" i="1" l="1"/>
  <c r="AQ1570" i="1" s="1"/>
  <c r="CC1570" i="1"/>
  <c r="V1571" i="1"/>
  <c r="AE1570" i="1"/>
  <c r="AH1571" i="1"/>
  <c r="AJ1571" i="1" s="1"/>
  <c r="AW1568" i="1"/>
  <c r="AK1569" i="1"/>
  <c r="AW1569" i="1"/>
  <c r="AK1570" i="1"/>
  <c r="AY1569" i="1"/>
  <c r="AZ1569" i="1" s="1"/>
  <c r="AG1569" i="1"/>
  <c r="AX1569" i="1" s="1"/>
  <c r="U1576" i="1"/>
  <c r="X1576" i="1" s="1"/>
  <c r="Z1576" i="1" s="1"/>
  <c r="AN1576" i="1"/>
  <c r="AI1576" i="1"/>
  <c r="AE1571" i="1" l="1"/>
  <c r="V1572" i="1"/>
  <c r="AH1572" i="1"/>
  <c r="AJ1572" i="1" s="1"/>
  <c r="AO1571" i="1"/>
  <c r="AQ1571" i="1" s="1"/>
  <c r="CC1571" i="1"/>
  <c r="AG1570" i="1"/>
  <c r="AX1570" i="1" s="1"/>
  <c r="AY1570" i="1"/>
  <c r="AZ1570" i="1" s="1"/>
  <c r="U1577" i="1"/>
  <c r="X1577" i="1" s="1"/>
  <c r="Z1577" i="1" s="1"/>
  <c r="AI1577" i="1"/>
  <c r="AN1577" i="1"/>
  <c r="AE1572" i="1" l="1"/>
  <c r="V1573" i="1"/>
  <c r="AH1573" i="1"/>
  <c r="AJ1573" i="1" s="1"/>
  <c r="AW1570" i="1"/>
  <c r="AK1571" i="1"/>
  <c r="AO1572" i="1"/>
  <c r="AQ1572" i="1" s="1"/>
  <c r="CC1572" i="1"/>
  <c r="AY1571" i="1"/>
  <c r="AZ1571" i="1" s="1"/>
  <c r="AG1571" i="1"/>
  <c r="AX1571" i="1" s="1"/>
  <c r="AI1578" i="1"/>
  <c r="AN1578" i="1"/>
  <c r="U1578" i="1"/>
  <c r="X1578" i="1" s="1"/>
  <c r="Z1578" i="1" s="1"/>
  <c r="AE1573" i="1" l="1"/>
  <c r="V1574" i="1"/>
  <c r="AH1574" i="1"/>
  <c r="AJ1574" i="1" s="1"/>
  <c r="AW1571" i="1"/>
  <c r="AK1572" i="1"/>
  <c r="CC1573" i="1"/>
  <c r="AO1573" i="1"/>
  <c r="AQ1573" i="1" s="1"/>
  <c r="AG1572" i="1"/>
  <c r="AX1572" i="1" s="1"/>
  <c r="AY1572" i="1"/>
  <c r="AZ1572" i="1" s="1"/>
  <c r="U1579" i="1"/>
  <c r="X1579" i="1" s="1"/>
  <c r="Z1579" i="1" s="1"/>
  <c r="AN1579" i="1"/>
  <c r="AI1579" i="1"/>
  <c r="V1575" i="1" l="1"/>
  <c r="AK1573" i="1"/>
  <c r="AW1572" i="1"/>
  <c r="AE1574" i="1"/>
  <c r="AH1575" i="1"/>
  <c r="AJ1575" i="1" s="1"/>
  <c r="CC1574" i="1"/>
  <c r="AO1574" i="1"/>
  <c r="AQ1574" i="1" s="1"/>
  <c r="AY1573" i="1"/>
  <c r="AZ1573" i="1" s="1"/>
  <c r="AG1573" i="1"/>
  <c r="AX1573" i="1" s="1"/>
  <c r="AN1580" i="1"/>
  <c r="AI1580" i="1"/>
  <c r="U1580" i="1"/>
  <c r="X1580" i="1" s="1"/>
  <c r="Z1580" i="1" s="1"/>
  <c r="AK1574" i="1" l="1"/>
  <c r="AW1573" i="1"/>
  <c r="AE1575" i="1"/>
  <c r="V1576" i="1"/>
  <c r="AH1576" i="1"/>
  <c r="AJ1576" i="1" s="1"/>
  <c r="AO1575" i="1"/>
  <c r="AQ1575" i="1" s="1"/>
  <c r="CC1575" i="1"/>
  <c r="AG1574" i="1"/>
  <c r="AX1574" i="1" s="1"/>
  <c r="AY1574" i="1"/>
  <c r="AZ1574" i="1" s="1"/>
  <c r="AN1581" i="1"/>
  <c r="U1581" i="1"/>
  <c r="X1581" i="1" s="1"/>
  <c r="Z1581" i="1" s="1"/>
  <c r="AI1581" i="1"/>
  <c r="V1577" i="1" l="1"/>
  <c r="AE1576" i="1"/>
  <c r="AH1577" i="1"/>
  <c r="AO1577" i="1" s="1"/>
  <c r="AQ1577" i="1" s="1"/>
  <c r="AK1575" i="1"/>
  <c r="AW1574" i="1"/>
  <c r="AO1576" i="1"/>
  <c r="AQ1576" i="1" s="1"/>
  <c r="CC1576" i="1"/>
  <c r="AG1575" i="1"/>
  <c r="AX1575" i="1" s="1"/>
  <c r="AY1575" i="1"/>
  <c r="AZ1575" i="1" s="1"/>
  <c r="AI1582" i="1"/>
  <c r="U1582" i="1"/>
  <c r="X1582" i="1" s="1"/>
  <c r="Z1582" i="1" s="1"/>
  <c r="AN1582" i="1"/>
  <c r="AJ1577" i="1" l="1"/>
  <c r="CC1577" i="1" s="1"/>
  <c r="V1578" i="1"/>
  <c r="AE1577" i="1"/>
  <c r="AH1578" i="1"/>
  <c r="AJ1578" i="1" s="1"/>
  <c r="AW1575" i="1"/>
  <c r="AK1576" i="1"/>
  <c r="AY1576" i="1"/>
  <c r="AZ1576" i="1" s="1"/>
  <c r="AG1576" i="1"/>
  <c r="AX1576" i="1" s="1"/>
  <c r="AI1583" i="1"/>
  <c r="AN1583" i="1"/>
  <c r="U1583" i="1"/>
  <c r="X1583" i="1" s="1"/>
  <c r="Z1583" i="1" s="1"/>
  <c r="AW1577" i="1" l="1"/>
  <c r="CC1578" i="1"/>
  <c r="AK1578" i="1"/>
  <c r="AE1578" i="1"/>
  <c r="V1579" i="1"/>
  <c r="AH1579" i="1"/>
  <c r="AJ1579" i="1" s="1"/>
  <c r="AW1576" i="1"/>
  <c r="AK1577" i="1"/>
  <c r="AY1577" i="1"/>
  <c r="AZ1577" i="1" s="1"/>
  <c r="AG1577" i="1"/>
  <c r="AX1577" i="1" s="1"/>
  <c r="AO1578" i="1"/>
  <c r="AQ1578" i="1" s="1"/>
  <c r="AN1584" i="1"/>
  <c r="U1584" i="1"/>
  <c r="X1584" i="1" s="1"/>
  <c r="Z1584" i="1" s="1"/>
  <c r="AI1584" i="1"/>
  <c r="CC1579" i="1" l="1"/>
  <c r="V1580" i="1"/>
  <c r="AE1579" i="1"/>
  <c r="AH1580" i="1"/>
  <c r="AJ1580" i="1" s="1"/>
  <c r="AY1578" i="1"/>
  <c r="AZ1578" i="1" s="1"/>
  <c r="AG1578" i="1"/>
  <c r="AX1578" i="1" s="1"/>
  <c r="AO1579" i="1"/>
  <c r="AQ1579" i="1" s="1"/>
  <c r="AI1585" i="1"/>
  <c r="U1585" i="1"/>
  <c r="X1585" i="1" s="1"/>
  <c r="Z1585" i="1" s="1"/>
  <c r="AN1585" i="1"/>
  <c r="AK1579" i="1" l="1"/>
  <c r="AW1578" i="1"/>
  <c r="V1581" i="1"/>
  <c r="AE1580" i="1"/>
  <c r="AH1581" i="1"/>
  <c r="AO1581" i="1" s="1"/>
  <c r="AQ1581" i="1" s="1"/>
  <c r="AO1580" i="1"/>
  <c r="AQ1580" i="1" s="1"/>
  <c r="CC1580" i="1"/>
  <c r="AY1579" i="1"/>
  <c r="AZ1579" i="1" s="1"/>
  <c r="AG1579" i="1"/>
  <c r="AX1579" i="1" s="1"/>
  <c r="AI1586" i="1"/>
  <c r="U1586" i="1"/>
  <c r="X1586" i="1" s="1"/>
  <c r="Z1586" i="1" s="1"/>
  <c r="AN1586" i="1"/>
  <c r="AJ1581" i="1" l="1"/>
  <c r="CC1581" i="1" s="1"/>
  <c r="V1582" i="1"/>
  <c r="AE1581" i="1"/>
  <c r="AH1582" i="1"/>
  <c r="AO1582" i="1" s="1"/>
  <c r="AQ1582" i="1" s="1"/>
  <c r="AK1580" i="1"/>
  <c r="AW1579" i="1"/>
  <c r="AY1580" i="1"/>
  <c r="AZ1580" i="1" s="1"/>
  <c r="AG1580" i="1"/>
  <c r="AX1580" i="1" s="1"/>
  <c r="AI1587" i="1"/>
  <c r="AN1587" i="1"/>
  <c r="U1587" i="1"/>
  <c r="X1587" i="1" s="1"/>
  <c r="Z1587" i="1" s="1"/>
  <c r="AJ1582" i="1" l="1"/>
  <c r="CC1582" i="1" s="1"/>
  <c r="AW1580" i="1"/>
  <c r="AK1581" i="1"/>
  <c r="AE1582" i="1"/>
  <c r="AH1583" i="1"/>
  <c r="AJ1583" i="1" s="1"/>
  <c r="V1583" i="1"/>
  <c r="AG1581" i="1"/>
  <c r="AX1581" i="1" s="1"/>
  <c r="AY1581" i="1"/>
  <c r="AZ1581" i="1" s="1"/>
  <c r="AO1583" i="1"/>
  <c r="AQ1583" i="1" s="1"/>
  <c r="U1588" i="1"/>
  <c r="X1588" i="1" s="1"/>
  <c r="Z1588" i="1" s="1"/>
  <c r="AN1588" i="1"/>
  <c r="AI1588" i="1"/>
  <c r="CC1583" i="1" l="1"/>
  <c r="AK1582" i="1"/>
  <c r="AW1581" i="1"/>
  <c r="AE1583" i="1"/>
  <c r="V1584" i="1"/>
  <c r="AH1584" i="1"/>
  <c r="AJ1584" i="1" s="1"/>
  <c r="AY1582" i="1"/>
  <c r="AZ1582" i="1" s="1"/>
  <c r="AG1582" i="1"/>
  <c r="AX1582" i="1" s="1"/>
  <c r="U1589" i="1"/>
  <c r="X1589" i="1" s="1"/>
  <c r="Z1589" i="1" s="1"/>
  <c r="AN1589" i="1"/>
  <c r="AI1589" i="1"/>
  <c r="AW1582" i="1" l="1"/>
  <c r="AK1583" i="1"/>
  <c r="V1585" i="1"/>
  <c r="AE1584" i="1"/>
  <c r="AH1585" i="1"/>
  <c r="AJ1585" i="1" s="1"/>
  <c r="AO1584" i="1"/>
  <c r="AQ1584" i="1" s="1"/>
  <c r="CC1584" i="1"/>
  <c r="AY1583" i="1"/>
  <c r="AZ1583" i="1" s="1"/>
  <c r="AG1583" i="1"/>
  <c r="AX1583" i="1" s="1"/>
  <c r="AN1590" i="1"/>
  <c r="AI1590" i="1"/>
  <c r="U1590" i="1"/>
  <c r="X1590" i="1" s="1"/>
  <c r="Z1590" i="1" s="1"/>
  <c r="V1586" i="1" l="1"/>
  <c r="AE1585" i="1"/>
  <c r="AH1586" i="1"/>
  <c r="AO1586" i="1" s="1"/>
  <c r="AQ1586" i="1" s="1"/>
  <c r="AK1584" i="1"/>
  <c r="AW1583" i="1"/>
  <c r="AO1585" i="1"/>
  <c r="AQ1585" i="1" s="1"/>
  <c r="CC1585" i="1"/>
  <c r="AY1584" i="1"/>
  <c r="AZ1584" i="1" s="1"/>
  <c r="AG1584" i="1"/>
  <c r="AX1584" i="1" s="1"/>
  <c r="AN1591" i="1"/>
  <c r="AI1591" i="1"/>
  <c r="U1591" i="1"/>
  <c r="X1591" i="1" s="1"/>
  <c r="Z1591" i="1" s="1"/>
  <c r="AJ1586" i="1" l="1"/>
  <c r="AW1584" i="1"/>
  <c r="AK1585" i="1"/>
  <c r="AE1586" i="1"/>
  <c r="V1587" i="1"/>
  <c r="AH1587" i="1"/>
  <c r="AJ1587" i="1" s="1"/>
  <c r="AG1585" i="1"/>
  <c r="AX1585" i="1" s="1"/>
  <c r="AY1585" i="1"/>
  <c r="AZ1585" i="1" s="1"/>
  <c r="CC1586" i="1"/>
  <c r="AN1592" i="1"/>
  <c r="AI1592" i="1"/>
  <c r="U1592" i="1"/>
  <c r="X1592" i="1" s="1"/>
  <c r="Z1592" i="1" s="1"/>
  <c r="AW1585" i="1" l="1"/>
  <c r="AK1586" i="1"/>
  <c r="AE1587" i="1"/>
  <c r="AH1588" i="1"/>
  <c r="AO1588" i="1" s="1"/>
  <c r="AQ1588" i="1" s="1"/>
  <c r="V1588" i="1"/>
  <c r="AO1587" i="1"/>
  <c r="AQ1587" i="1" s="1"/>
  <c r="CC1587" i="1"/>
  <c r="AG1586" i="1"/>
  <c r="AX1586" i="1" s="1"/>
  <c r="AY1586" i="1"/>
  <c r="AZ1586" i="1" s="1"/>
  <c r="AI1593" i="1"/>
  <c r="U1593" i="1"/>
  <c r="X1593" i="1" s="1"/>
  <c r="Z1593" i="1" s="1"/>
  <c r="AN1593" i="1"/>
  <c r="AJ1588" i="1" l="1"/>
  <c r="CC1588" i="1" s="1"/>
  <c r="V1589" i="1"/>
  <c r="AE1588" i="1"/>
  <c r="AH1589" i="1"/>
  <c r="AJ1589" i="1" s="1"/>
  <c r="AW1586" i="1"/>
  <c r="AK1587" i="1"/>
  <c r="AG1587" i="1"/>
  <c r="AX1587" i="1" s="1"/>
  <c r="AY1587" i="1"/>
  <c r="AZ1587" i="1" s="1"/>
  <c r="U1594" i="1"/>
  <c r="X1594" i="1" s="1"/>
  <c r="Z1594" i="1" s="1"/>
  <c r="AI1594" i="1"/>
  <c r="AN1594" i="1"/>
  <c r="CC1589" i="1" l="1"/>
  <c r="V1590" i="1"/>
  <c r="AO1589" i="1"/>
  <c r="AQ1589" i="1" s="1"/>
  <c r="AE1589" i="1"/>
  <c r="AH1590" i="1"/>
  <c r="AO1590" i="1" s="1"/>
  <c r="AQ1590" i="1" s="1"/>
  <c r="AK1589" i="1"/>
  <c r="AW1588" i="1"/>
  <c r="AW1587" i="1"/>
  <c r="AK1588" i="1"/>
  <c r="AG1588" i="1"/>
  <c r="AX1588" i="1" s="1"/>
  <c r="AY1588" i="1"/>
  <c r="AZ1588" i="1" s="1"/>
  <c r="AN1595" i="1"/>
  <c r="AI1595" i="1"/>
  <c r="U1595" i="1"/>
  <c r="X1595" i="1" s="1"/>
  <c r="Z1595" i="1" s="1"/>
  <c r="AJ1590" i="1" l="1"/>
  <c r="CC1590" i="1" s="1"/>
  <c r="V1591" i="1"/>
  <c r="AE1590" i="1"/>
  <c r="AH1591" i="1"/>
  <c r="AO1591" i="1" s="1"/>
  <c r="AQ1591" i="1" s="1"/>
  <c r="AW1589" i="1"/>
  <c r="AG1589" i="1"/>
  <c r="AX1589" i="1" s="1"/>
  <c r="AY1589" i="1"/>
  <c r="AZ1589" i="1" s="1"/>
  <c r="U1596" i="1"/>
  <c r="X1596" i="1" s="1"/>
  <c r="Z1596" i="1" s="1"/>
  <c r="AN1596" i="1"/>
  <c r="AI1596" i="1"/>
  <c r="AJ1591" i="1" l="1"/>
  <c r="CC1591" i="1" s="1"/>
  <c r="AK1590" i="1"/>
  <c r="AE1591" i="1"/>
  <c r="V1592" i="1"/>
  <c r="AH1592" i="1"/>
  <c r="AJ1592" i="1" s="1"/>
  <c r="AY1590" i="1"/>
  <c r="AZ1590" i="1" s="1"/>
  <c r="AG1590" i="1"/>
  <c r="AX1590" i="1" s="1"/>
  <c r="U1597" i="1"/>
  <c r="X1597" i="1" s="1"/>
  <c r="Z1597" i="1" s="1"/>
  <c r="AN1597" i="1"/>
  <c r="AI1597" i="1"/>
  <c r="CC1592" i="1" l="1"/>
  <c r="AO1592" i="1"/>
  <c r="AQ1592" i="1" s="1"/>
  <c r="AW1590" i="1"/>
  <c r="AK1591" i="1"/>
  <c r="AE1592" i="1"/>
  <c r="V1593" i="1"/>
  <c r="AH1593" i="1"/>
  <c r="AJ1593" i="1" s="1"/>
  <c r="AG1591" i="1"/>
  <c r="AX1591" i="1" s="1"/>
  <c r="AY1591" i="1"/>
  <c r="AZ1591" i="1" s="1"/>
  <c r="U1598" i="1"/>
  <c r="X1598" i="1" s="1"/>
  <c r="Z1598" i="1" s="1"/>
  <c r="AN1598" i="1"/>
  <c r="AI1598" i="1"/>
  <c r="AK1592" i="1" l="1"/>
  <c r="AW1591" i="1"/>
  <c r="AE1593" i="1"/>
  <c r="V1594" i="1"/>
  <c r="AH1594" i="1"/>
  <c r="AJ1594" i="1" s="1"/>
  <c r="AO1593" i="1"/>
  <c r="AQ1593" i="1" s="1"/>
  <c r="CC1593" i="1"/>
  <c r="AY1592" i="1"/>
  <c r="AZ1592" i="1" s="1"/>
  <c r="AG1592" i="1"/>
  <c r="AX1592" i="1" s="1"/>
  <c r="AI1599" i="1"/>
  <c r="AN1599" i="1"/>
  <c r="U1599" i="1"/>
  <c r="X1599" i="1" s="1"/>
  <c r="Z1599" i="1" s="1"/>
  <c r="AE1594" i="1" l="1"/>
  <c r="V1595" i="1"/>
  <c r="AH1595" i="1"/>
  <c r="AJ1595" i="1" s="1"/>
  <c r="AW1592" i="1"/>
  <c r="AK1593" i="1"/>
  <c r="CC1594" i="1"/>
  <c r="AO1594" i="1"/>
  <c r="AQ1594" i="1" s="1"/>
  <c r="AG1593" i="1"/>
  <c r="AX1593" i="1" s="1"/>
  <c r="AY1593" i="1"/>
  <c r="AZ1593" i="1" s="1"/>
  <c r="U1600" i="1"/>
  <c r="X1600" i="1" s="1"/>
  <c r="Z1600" i="1" s="1"/>
  <c r="AN1600" i="1"/>
  <c r="AI1600" i="1"/>
  <c r="AW1593" i="1" l="1"/>
  <c r="AK1594" i="1"/>
  <c r="AE1595" i="1"/>
  <c r="V1596" i="1"/>
  <c r="AH1596" i="1"/>
  <c r="AJ1596" i="1" s="1"/>
  <c r="AO1595" i="1"/>
  <c r="AQ1595" i="1" s="1"/>
  <c r="CC1595" i="1"/>
  <c r="AG1594" i="1"/>
  <c r="AX1594" i="1" s="1"/>
  <c r="AY1594" i="1"/>
  <c r="AZ1594" i="1" s="1"/>
  <c r="AN1601" i="1"/>
  <c r="U1601" i="1"/>
  <c r="X1601" i="1" s="1"/>
  <c r="Z1601" i="1" s="1"/>
  <c r="AI1601" i="1"/>
  <c r="V1597" i="1" l="1"/>
  <c r="AE1596" i="1"/>
  <c r="AH1597" i="1"/>
  <c r="AO1597" i="1" s="1"/>
  <c r="AQ1597" i="1" s="1"/>
  <c r="AK1595" i="1"/>
  <c r="AW1594" i="1"/>
  <c r="AO1596" i="1"/>
  <c r="AQ1596" i="1" s="1"/>
  <c r="CC1596" i="1"/>
  <c r="AG1595" i="1"/>
  <c r="AX1595" i="1" s="1"/>
  <c r="AY1595" i="1"/>
  <c r="AZ1595" i="1" s="1"/>
  <c r="AI1602" i="1"/>
  <c r="AN1602" i="1"/>
  <c r="U1602" i="1"/>
  <c r="X1602" i="1" s="1"/>
  <c r="Z1602" i="1" s="1"/>
  <c r="AJ1597" i="1" l="1"/>
  <c r="AW1595" i="1"/>
  <c r="AK1596" i="1"/>
  <c r="AE1597" i="1"/>
  <c r="AH1598" i="1"/>
  <c r="AO1598" i="1" s="1"/>
  <c r="AQ1598" i="1" s="1"/>
  <c r="V1598" i="1"/>
  <c r="AG1596" i="1"/>
  <c r="AX1596" i="1" s="1"/>
  <c r="AY1596" i="1"/>
  <c r="AZ1596" i="1" s="1"/>
  <c r="CC1597" i="1"/>
  <c r="AN1603" i="1"/>
  <c r="U1603" i="1"/>
  <c r="X1603" i="1" s="1"/>
  <c r="Z1603" i="1" s="1"/>
  <c r="AI1603" i="1"/>
  <c r="AJ1598" i="1" l="1"/>
  <c r="CC1598" i="1" s="1"/>
  <c r="AK1597" i="1"/>
  <c r="AW1596" i="1"/>
  <c r="AE1598" i="1"/>
  <c r="V1599" i="1"/>
  <c r="AH1599" i="1"/>
  <c r="AJ1599" i="1" s="1"/>
  <c r="AY1597" i="1"/>
  <c r="AZ1597" i="1" s="1"/>
  <c r="AG1597" i="1"/>
  <c r="AX1597" i="1" s="1"/>
  <c r="U1604" i="1"/>
  <c r="X1604" i="1" s="1"/>
  <c r="Z1604" i="1" s="1"/>
  <c r="AN1604" i="1"/>
  <c r="AI1604" i="1"/>
  <c r="AK1598" i="1" l="1"/>
  <c r="AW1597" i="1"/>
  <c r="V1600" i="1"/>
  <c r="AE1599" i="1"/>
  <c r="AH1600" i="1"/>
  <c r="AO1600" i="1" s="1"/>
  <c r="AQ1600" i="1" s="1"/>
  <c r="AO1599" i="1"/>
  <c r="AQ1599" i="1" s="1"/>
  <c r="CC1599" i="1"/>
  <c r="AG1598" i="1"/>
  <c r="AX1598" i="1" s="1"/>
  <c r="AY1598" i="1"/>
  <c r="AZ1598" i="1" s="1"/>
  <c r="AN1605" i="1"/>
  <c r="AI1605" i="1"/>
  <c r="U1605" i="1"/>
  <c r="X1605" i="1" s="1"/>
  <c r="Z1605" i="1" s="1"/>
  <c r="AJ1600" i="1" l="1"/>
  <c r="AW1599" i="1" s="1"/>
  <c r="AE1600" i="1"/>
  <c r="V1601" i="1"/>
  <c r="AH1601" i="1"/>
  <c r="AO1601" i="1" s="1"/>
  <c r="AQ1601" i="1" s="1"/>
  <c r="AW1598" i="1"/>
  <c r="AK1599" i="1"/>
  <c r="AY1599" i="1"/>
  <c r="AZ1599" i="1" s="1"/>
  <c r="AG1599" i="1"/>
  <c r="AX1599" i="1" s="1"/>
  <c r="AI1606" i="1"/>
  <c r="U1606" i="1"/>
  <c r="X1606" i="1" s="1"/>
  <c r="Z1606" i="1" s="1"/>
  <c r="AN1606" i="1"/>
  <c r="AJ1601" i="1" l="1"/>
  <c r="AK1600" i="1"/>
  <c r="CC1600" i="1"/>
  <c r="AE1601" i="1"/>
  <c r="V1602" i="1"/>
  <c r="AH1602" i="1"/>
  <c r="AJ1602" i="1" s="1"/>
  <c r="AG1600" i="1"/>
  <c r="AX1600" i="1" s="1"/>
  <c r="AY1600" i="1"/>
  <c r="AZ1600" i="1" s="1"/>
  <c r="AN1607" i="1"/>
  <c r="AI1607" i="1"/>
  <c r="U1607" i="1"/>
  <c r="X1607" i="1" s="1"/>
  <c r="Z1607" i="1" s="1"/>
  <c r="AK1601" i="1" l="1"/>
  <c r="CC1601" i="1"/>
  <c r="AW1600" i="1"/>
  <c r="AE1602" i="1"/>
  <c r="V1603" i="1"/>
  <c r="AH1603" i="1"/>
  <c r="AO1603" i="1" s="1"/>
  <c r="AQ1603" i="1" s="1"/>
  <c r="AO1602" i="1"/>
  <c r="AQ1602" i="1" s="1"/>
  <c r="CC1602" i="1"/>
  <c r="AY1601" i="1"/>
  <c r="AZ1601" i="1" s="1"/>
  <c r="AG1601" i="1"/>
  <c r="AX1601" i="1" s="1"/>
  <c r="AI1608" i="1"/>
  <c r="U1608" i="1"/>
  <c r="X1608" i="1" s="1"/>
  <c r="Z1608" i="1" s="1"/>
  <c r="AN1608" i="1"/>
  <c r="AJ1603" i="1" l="1"/>
  <c r="CC1603" i="1" s="1"/>
  <c r="AK1602" i="1"/>
  <c r="AW1601" i="1"/>
  <c r="AE1603" i="1"/>
  <c r="V1604" i="1"/>
  <c r="AH1604" i="1"/>
  <c r="AJ1604" i="1" s="1"/>
  <c r="AG1602" i="1"/>
  <c r="AX1602" i="1" s="1"/>
  <c r="AY1602" i="1"/>
  <c r="AZ1602" i="1" s="1"/>
  <c r="AI1609" i="1"/>
  <c r="AN1609" i="1"/>
  <c r="U1609" i="1"/>
  <c r="X1609" i="1" s="1"/>
  <c r="Z1609" i="1" s="1"/>
  <c r="AK1603" i="1" l="1"/>
  <c r="AW1602" i="1"/>
  <c r="V1605" i="1"/>
  <c r="AE1604" i="1"/>
  <c r="AH1605" i="1"/>
  <c r="AJ1605" i="1" s="1"/>
  <c r="AO1604" i="1"/>
  <c r="AQ1604" i="1" s="1"/>
  <c r="CC1604" i="1"/>
  <c r="AG1603" i="1"/>
  <c r="AX1603" i="1" s="1"/>
  <c r="AY1603" i="1"/>
  <c r="AZ1603" i="1" s="1"/>
  <c r="AI1610" i="1"/>
  <c r="U1610" i="1"/>
  <c r="X1610" i="1" s="1"/>
  <c r="Z1610" i="1" s="1"/>
  <c r="AN1610" i="1"/>
  <c r="AE1605" i="1" l="1"/>
  <c r="V1606" i="1"/>
  <c r="AH1606" i="1"/>
  <c r="AJ1606" i="1" s="1"/>
  <c r="AO1605" i="1"/>
  <c r="AQ1605" i="1" s="1"/>
  <c r="CC1605" i="1"/>
  <c r="AW1603" i="1"/>
  <c r="AK1604" i="1"/>
  <c r="AY1604" i="1"/>
  <c r="AZ1604" i="1" s="1"/>
  <c r="AG1604" i="1"/>
  <c r="AX1604" i="1" s="1"/>
  <c r="AN1611" i="1"/>
  <c r="AI1611" i="1"/>
  <c r="U1611" i="1"/>
  <c r="X1611" i="1" s="1"/>
  <c r="Z1611" i="1" s="1"/>
  <c r="AO1606" i="1" l="1"/>
  <c r="AQ1606" i="1" s="1"/>
  <c r="AW1604" i="1"/>
  <c r="AK1605" i="1"/>
  <c r="V1607" i="1"/>
  <c r="AE1606" i="1"/>
  <c r="AH1607" i="1"/>
  <c r="AJ1607" i="1" s="1"/>
  <c r="AY1605" i="1"/>
  <c r="AZ1605" i="1" s="1"/>
  <c r="AG1605" i="1"/>
  <c r="AX1605" i="1" s="1"/>
  <c r="AI1612" i="1"/>
  <c r="AN1612" i="1"/>
  <c r="U1612" i="1"/>
  <c r="X1612" i="1" s="1"/>
  <c r="Z1612" i="1" s="1"/>
  <c r="AW1605" i="1" l="1"/>
  <c r="CC1606" i="1"/>
  <c r="AK1606" i="1"/>
  <c r="AO1607" i="1"/>
  <c r="AQ1607" i="1" s="1"/>
  <c r="CC1607" i="1"/>
  <c r="V1608" i="1"/>
  <c r="AE1607" i="1"/>
  <c r="AH1608" i="1"/>
  <c r="AJ1608" i="1" s="1"/>
  <c r="AY1606" i="1"/>
  <c r="AZ1606" i="1" s="1"/>
  <c r="AG1606" i="1"/>
  <c r="AX1606" i="1" s="1"/>
  <c r="AI1613" i="1"/>
  <c r="U1613" i="1"/>
  <c r="X1613" i="1" s="1"/>
  <c r="Z1613" i="1" s="1"/>
  <c r="AN1613" i="1"/>
  <c r="V1609" i="1" l="1"/>
  <c r="AE1608" i="1"/>
  <c r="AH1609" i="1"/>
  <c r="AO1609" i="1" s="1"/>
  <c r="AQ1609" i="1" s="1"/>
  <c r="AO1608" i="1"/>
  <c r="AQ1608" i="1" s="1"/>
  <c r="CC1608" i="1"/>
  <c r="AY1607" i="1"/>
  <c r="AZ1607" i="1" s="1"/>
  <c r="AG1607" i="1"/>
  <c r="AX1607" i="1" s="1"/>
  <c r="AW1606" i="1"/>
  <c r="AK1607" i="1"/>
  <c r="U1614" i="1"/>
  <c r="X1614" i="1" s="1"/>
  <c r="Z1614" i="1" s="1"/>
  <c r="AI1614" i="1"/>
  <c r="AN1614" i="1"/>
  <c r="AJ1609" i="1" l="1"/>
  <c r="CC1609" i="1" s="1"/>
  <c r="AE1609" i="1"/>
  <c r="V1610" i="1"/>
  <c r="AH1610" i="1"/>
  <c r="AO1610" i="1" s="1"/>
  <c r="AQ1610" i="1" s="1"/>
  <c r="AK1608" i="1"/>
  <c r="AW1607" i="1"/>
  <c r="AY1608" i="1"/>
  <c r="AZ1608" i="1" s="1"/>
  <c r="AG1608" i="1"/>
  <c r="AX1608" i="1" s="1"/>
  <c r="AN1615" i="1"/>
  <c r="AI1615" i="1"/>
  <c r="U1615" i="1"/>
  <c r="X1615" i="1" s="1"/>
  <c r="Z1615" i="1" s="1"/>
  <c r="AJ1610" i="1" l="1"/>
  <c r="AW1608" i="1"/>
  <c r="CC1610" i="1"/>
  <c r="AK1609" i="1"/>
  <c r="V1611" i="1"/>
  <c r="AE1610" i="1"/>
  <c r="AH1611" i="1"/>
  <c r="AO1611" i="1" s="1"/>
  <c r="AQ1611" i="1" s="1"/>
  <c r="AY1609" i="1"/>
  <c r="AZ1609" i="1" s="1"/>
  <c r="AG1609" i="1"/>
  <c r="AX1609" i="1" s="1"/>
  <c r="U1616" i="1"/>
  <c r="X1616" i="1" s="1"/>
  <c r="Z1616" i="1" s="1"/>
  <c r="AI1616" i="1"/>
  <c r="AN1616" i="1"/>
  <c r="AJ1611" i="1" l="1"/>
  <c r="CC1611" i="1" s="1"/>
  <c r="AK1610" i="1"/>
  <c r="AW1609" i="1"/>
  <c r="V1612" i="1"/>
  <c r="AE1611" i="1"/>
  <c r="AH1612" i="1"/>
  <c r="AJ1612" i="1" s="1"/>
  <c r="AY1610" i="1"/>
  <c r="AZ1610" i="1" s="1"/>
  <c r="AG1610" i="1"/>
  <c r="AX1610" i="1" s="1"/>
  <c r="U1617" i="1"/>
  <c r="X1617" i="1" s="1"/>
  <c r="Z1617" i="1" s="1"/>
  <c r="AN1617" i="1"/>
  <c r="AI1617" i="1"/>
  <c r="AE1612" i="1" l="1"/>
  <c r="V1613" i="1"/>
  <c r="AH1613" i="1"/>
  <c r="AJ1613" i="1" s="1"/>
  <c r="AK1611" i="1"/>
  <c r="AW1610" i="1"/>
  <c r="AO1612" i="1"/>
  <c r="AQ1612" i="1" s="1"/>
  <c r="CC1612" i="1"/>
  <c r="AY1611" i="1"/>
  <c r="AZ1611" i="1" s="1"/>
  <c r="AG1611" i="1"/>
  <c r="AX1611" i="1" s="1"/>
  <c r="U1618" i="1"/>
  <c r="X1618" i="1" s="1"/>
  <c r="Z1618" i="1" s="1"/>
  <c r="AI1618" i="1"/>
  <c r="AN1618" i="1"/>
  <c r="CC1613" i="1" l="1"/>
  <c r="AW1611" i="1"/>
  <c r="AK1612" i="1"/>
  <c r="AK1613" i="1"/>
  <c r="AW1612" i="1"/>
  <c r="V1614" i="1"/>
  <c r="AE1613" i="1"/>
  <c r="AH1614" i="1"/>
  <c r="AO1614" i="1" s="1"/>
  <c r="AQ1614" i="1" s="1"/>
  <c r="AY1612" i="1"/>
  <c r="AZ1612" i="1" s="1"/>
  <c r="AG1612" i="1"/>
  <c r="AX1612" i="1" s="1"/>
  <c r="AO1613" i="1"/>
  <c r="AQ1613" i="1" s="1"/>
  <c r="AI1619" i="1"/>
  <c r="U1619" i="1"/>
  <c r="X1619" i="1" s="1"/>
  <c r="Z1619" i="1" s="1"/>
  <c r="AN1619" i="1"/>
  <c r="AJ1614" i="1" l="1"/>
  <c r="CC1614" i="1" s="1"/>
  <c r="V1615" i="1"/>
  <c r="AE1614" i="1"/>
  <c r="AH1615" i="1"/>
  <c r="AO1615" i="1" s="1"/>
  <c r="AQ1615" i="1" s="1"/>
  <c r="AY1613" i="1"/>
  <c r="AZ1613" i="1" s="1"/>
  <c r="AG1613" i="1"/>
  <c r="AX1613" i="1" s="1"/>
  <c r="AI1620" i="1"/>
  <c r="U1620" i="1"/>
  <c r="X1620" i="1" s="1"/>
  <c r="Z1620" i="1" s="1"/>
  <c r="AN1620" i="1"/>
  <c r="AJ1615" i="1" l="1"/>
  <c r="CC1615" i="1" s="1"/>
  <c r="AK1614" i="1"/>
  <c r="AW1613" i="1"/>
  <c r="V1616" i="1"/>
  <c r="AE1615" i="1"/>
  <c r="AH1616" i="1"/>
  <c r="AO1616" i="1" s="1"/>
  <c r="AQ1616" i="1" s="1"/>
  <c r="AY1614" i="1"/>
  <c r="AZ1614" i="1" s="1"/>
  <c r="AG1614" i="1"/>
  <c r="AX1614" i="1" s="1"/>
  <c r="AI1621" i="1"/>
  <c r="U1621" i="1"/>
  <c r="X1621" i="1" s="1"/>
  <c r="Z1621" i="1" s="1"/>
  <c r="AN1621" i="1"/>
  <c r="AJ1616" i="1" l="1"/>
  <c r="CC1616" i="1" s="1"/>
  <c r="AW1614" i="1"/>
  <c r="AK1615" i="1"/>
  <c r="V1617" i="1"/>
  <c r="AE1616" i="1"/>
  <c r="AH1617" i="1"/>
  <c r="AO1617" i="1" s="1"/>
  <c r="AQ1617" i="1" s="1"/>
  <c r="AG1615" i="1"/>
  <c r="AX1615" i="1" s="1"/>
  <c r="AY1615" i="1"/>
  <c r="AZ1615" i="1" s="1"/>
  <c r="AI1622" i="1"/>
  <c r="AN1622" i="1"/>
  <c r="U1622" i="1"/>
  <c r="X1622" i="1" s="1"/>
  <c r="Z1622" i="1" s="1"/>
  <c r="AJ1617" i="1" l="1"/>
  <c r="CC1617" i="1" s="1"/>
  <c r="AK1616" i="1"/>
  <c r="AW1615" i="1"/>
  <c r="V1618" i="1"/>
  <c r="AE1617" i="1"/>
  <c r="AH1618" i="1"/>
  <c r="AO1618" i="1" s="1"/>
  <c r="AQ1618" i="1" s="1"/>
  <c r="AY1616" i="1"/>
  <c r="AZ1616" i="1" s="1"/>
  <c r="AG1616" i="1"/>
  <c r="AX1616" i="1" s="1"/>
  <c r="AN1623" i="1"/>
  <c r="AI1623" i="1"/>
  <c r="U1623" i="1"/>
  <c r="X1623" i="1" s="1"/>
  <c r="Z1623" i="1" s="1"/>
  <c r="AJ1618" i="1" l="1"/>
  <c r="V1619" i="1"/>
  <c r="AE1618" i="1"/>
  <c r="AH1619" i="1"/>
  <c r="AO1619" i="1" s="1"/>
  <c r="AQ1619" i="1" s="1"/>
  <c r="AW1616" i="1"/>
  <c r="AK1617" i="1"/>
  <c r="AY1617" i="1"/>
  <c r="AZ1617" i="1" s="1"/>
  <c r="AG1617" i="1"/>
  <c r="AX1617" i="1" s="1"/>
  <c r="AI1624" i="1"/>
  <c r="AN1624" i="1"/>
  <c r="U1624" i="1"/>
  <c r="X1624" i="1" s="1"/>
  <c r="Z1624" i="1" s="1"/>
  <c r="AJ1619" i="1" l="1"/>
  <c r="AK1618" i="1"/>
  <c r="CC1618" i="1"/>
  <c r="AW1617" i="1"/>
  <c r="AE1619" i="1"/>
  <c r="V1620" i="1"/>
  <c r="AH1620" i="1"/>
  <c r="AJ1620" i="1" s="1"/>
  <c r="AY1618" i="1"/>
  <c r="AZ1618" i="1" s="1"/>
  <c r="AG1618" i="1"/>
  <c r="AX1618" i="1" s="1"/>
  <c r="AN1625" i="1"/>
  <c r="AI1625" i="1"/>
  <c r="U1625" i="1"/>
  <c r="X1625" i="1" s="1"/>
  <c r="Z1625" i="1" s="1"/>
  <c r="AW1618" i="1" l="1"/>
  <c r="CC1619" i="1"/>
  <c r="AK1619" i="1"/>
  <c r="V1621" i="1"/>
  <c r="AE1620" i="1"/>
  <c r="AH1621" i="1"/>
  <c r="AO1621" i="1" s="1"/>
  <c r="AQ1621" i="1" s="1"/>
  <c r="AO1620" i="1"/>
  <c r="AQ1620" i="1" s="1"/>
  <c r="CC1620" i="1"/>
  <c r="AY1619" i="1"/>
  <c r="AZ1619" i="1" s="1"/>
  <c r="AG1619" i="1"/>
  <c r="AX1619" i="1" s="1"/>
  <c r="AN1626" i="1"/>
  <c r="AI1626" i="1"/>
  <c r="U1626" i="1"/>
  <c r="X1626" i="1" s="1"/>
  <c r="Z1626" i="1" s="1"/>
  <c r="AJ1621" i="1" l="1"/>
  <c r="V1622" i="1"/>
  <c r="AW1619" i="1"/>
  <c r="AK1620" i="1"/>
  <c r="AE1621" i="1"/>
  <c r="AH1622" i="1"/>
  <c r="AO1622" i="1" s="1"/>
  <c r="AQ1622" i="1" s="1"/>
  <c r="AY1620" i="1"/>
  <c r="AZ1620" i="1" s="1"/>
  <c r="AG1620" i="1"/>
  <c r="AX1620" i="1" s="1"/>
  <c r="CC1621" i="1"/>
  <c r="AN1627" i="1"/>
  <c r="U1627" i="1"/>
  <c r="X1627" i="1" s="1"/>
  <c r="Z1627" i="1" s="1"/>
  <c r="AI1627" i="1"/>
  <c r="AJ1622" i="1" l="1"/>
  <c r="AE1622" i="1"/>
  <c r="V1623" i="1"/>
  <c r="AH1623" i="1"/>
  <c r="AJ1623" i="1" s="1"/>
  <c r="AW1620" i="1"/>
  <c r="AK1621" i="1"/>
  <c r="AG1621" i="1"/>
  <c r="AX1621" i="1" s="1"/>
  <c r="AY1621" i="1"/>
  <c r="AZ1621" i="1" s="1"/>
  <c r="CC1622" i="1"/>
  <c r="AI1628" i="1"/>
  <c r="U1628" i="1"/>
  <c r="X1628" i="1" s="1"/>
  <c r="Z1628" i="1" s="1"/>
  <c r="AN1628" i="1"/>
  <c r="CC1623" i="1" l="1"/>
  <c r="AW1622" i="1"/>
  <c r="AK1623" i="1"/>
  <c r="AE1623" i="1"/>
  <c r="AH1624" i="1"/>
  <c r="AJ1624" i="1" s="1"/>
  <c r="V1624" i="1"/>
  <c r="AK1622" i="1"/>
  <c r="AW1621" i="1"/>
  <c r="AY1622" i="1"/>
  <c r="AZ1622" i="1" s="1"/>
  <c r="AG1622" i="1"/>
  <c r="AX1622" i="1" s="1"/>
  <c r="AO1623" i="1"/>
  <c r="AQ1623" i="1" s="1"/>
  <c r="AI1629" i="1"/>
  <c r="AN1629" i="1"/>
  <c r="U1629" i="1"/>
  <c r="X1629" i="1" s="1"/>
  <c r="Z1629" i="1" s="1"/>
  <c r="AO1624" i="1" l="1"/>
  <c r="AQ1624" i="1" s="1"/>
  <c r="CC1624" i="1"/>
  <c r="V1625" i="1"/>
  <c r="AE1624" i="1"/>
  <c r="AH1625" i="1"/>
  <c r="AJ1625" i="1" s="1"/>
  <c r="AG1623" i="1"/>
  <c r="AX1623" i="1" s="1"/>
  <c r="AY1623" i="1"/>
  <c r="AZ1623" i="1" s="1"/>
  <c r="AN1630" i="1"/>
  <c r="AI1630" i="1"/>
  <c r="U1630" i="1"/>
  <c r="X1630" i="1" s="1"/>
  <c r="Z1630" i="1" s="1"/>
  <c r="AE1625" i="1" l="1"/>
  <c r="V1626" i="1"/>
  <c r="AH1626" i="1"/>
  <c r="AO1626" i="1" s="1"/>
  <c r="AQ1626" i="1" s="1"/>
  <c r="CC1625" i="1"/>
  <c r="AO1625" i="1"/>
  <c r="AQ1625" i="1" s="1"/>
  <c r="AY1624" i="1"/>
  <c r="AZ1624" i="1" s="1"/>
  <c r="AG1624" i="1"/>
  <c r="AX1624" i="1" s="1"/>
  <c r="AW1623" i="1"/>
  <c r="AK1624" i="1"/>
  <c r="U1631" i="1"/>
  <c r="X1631" i="1" s="1"/>
  <c r="Z1631" i="1" s="1"/>
  <c r="AN1631" i="1"/>
  <c r="AI1631" i="1"/>
  <c r="AJ1626" i="1" l="1"/>
  <c r="CC1626" i="1" s="1"/>
  <c r="AE1626" i="1"/>
  <c r="AH1627" i="1"/>
  <c r="AO1627" i="1" s="1"/>
  <c r="AQ1627" i="1" s="1"/>
  <c r="V1627" i="1"/>
  <c r="AW1624" i="1"/>
  <c r="AK1625" i="1"/>
  <c r="AY1625" i="1"/>
  <c r="AZ1625" i="1" s="1"/>
  <c r="AG1625" i="1"/>
  <c r="AX1625" i="1" s="1"/>
  <c r="AI1632" i="1"/>
  <c r="U1632" i="1"/>
  <c r="X1632" i="1" s="1"/>
  <c r="Z1632" i="1" s="1"/>
  <c r="AN1632" i="1"/>
  <c r="AJ1627" i="1" l="1"/>
  <c r="CC1627" i="1" s="1"/>
  <c r="AW1625" i="1"/>
  <c r="AK1626" i="1"/>
  <c r="V1628" i="1"/>
  <c r="AE1627" i="1"/>
  <c r="AH1628" i="1"/>
  <c r="AO1628" i="1" s="1"/>
  <c r="AQ1628" i="1" s="1"/>
  <c r="AY1626" i="1"/>
  <c r="AZ1626" i="1" s="1"/>
  <c r="AG1626" i="1"/>
  <c r="AX1626" i="1" s="1"/>
  <c r="U1633" i="1"/>
  <c r="X1633" i="1" s="1"/>
  <c r="Z1633" i="1" s="1"/>
  <c r="AN1633" i="1"/>
  <c r="AI1633" i="1"/>
  <c r="AJ1628" i="1" l="1"/>
  <c r="AW1626" i="1"/>
  <c r="AK1627" i="1"/>
  <c r="AE1628" i="1"/>
  <c r="V1629" i="1"/>
  <c r="AH1629" i="1"/>
  <c r="AJ1629" i="1" s="1"/>
  <c r="AY1627" i="1"/>
  <c r="AZ1627" i="1" s="1"/>
  <c r="AG1627" i="1"/>
  <c r="AX1627" i="1" s="1"/>
  <c r="CC1628" i="1"/>
  <c r="U1634" i="1"/>
  <c r="X1634" i="1" s="1"/>
  <c r="Z1634" i="1" s="1"/>
  <c r="AN1634" i="1"/>
  <c r="AI1634" i="1"/>
  <c r="AK1628" i="1" l="1"/>
  <c r="AW1627" i="1"/>
  <c r="V1630" i="1"/>
  <c r="AE1629" i="1"/>
  <c r="AH1630" i="1"/>
  <c r="AO1630" i="1" s="1"/>
  <c r="AQ1630" i="1" s="1"/>
  <c r="AO1629" i="1"/>
  <c r="AQ1629" i="1" s="1"/>
  <c r="CC1629" i="1"/>
  <c r="AY1628" i="1"/>
  <c r="AZ1628" i="1" s="1"/>
  <c r="AG1628" i="1"/>
  <c r="AX1628" i="1" s="1"/>
  <c r="U1635" i="1"/>
  <c r="X1635" i="1" s="1"/>
  <c r="Z1635" i="1" s="1"/>
  <c r="AN1635" i="1"/>
  <c r="AI1635" i="1"/>
  <c r="AJ1630" i="1" l="1"/>
  <c r="AE1630" i="1"/>
  <c r="V1631" i="1"/>
  <c r="AH1631" i="1"/>
  <c r="AJ1631" i="1" s="1"/>
  <c r="AK1629" i="1"/>
  <c r="AW1628" i="1"/>
  <c r="AG1629" i="1"/>
  <c r="AX1629" i="1" s="1"/>
  <c r="AY1629" i="1"/>
  <c r="AZ1629" i="1" s="1"/>
  <c r="CC1630" i="1"/>
  <c r="AN1636" i="1"/>
  <c r="U1636" i="1"/>
  <c r="X1636" i="1" s="1"/>
  <c r="Z1636" i="1" s="1"/>
  <c r="AI1636" i="1"/>
  <c r="V1632" i="1" l="1"/>
  <c r="AW1629" i="1"/>
  <c r="AK1630" i="1"/>
  <c r="AE1631" i="1"/>
  <c r="AH1632" i="1"/>
  <c r="AO1632" i="1" s="1"/>
  <c r="AQ1632" i="1" s="1"/>
  <c r="AO1631" i="1"/>
  <c r="AQ1631" i="1" s="1"/>
  <c r="CC1631" i="1"/>
  <c r="AG1630" i="1"/>
  <c r="AX1630" i="1" s="1"/>
  <c r="AY1630" i="1"/>
  <c r="AZ1630" i="1" s="1"/>
  <c r="U1637" i="1"/>
  <c r="X1637" i="1" s="1"/>
  <c r="Z1637" i="1" s="1"/>
  <c r="AI1637" i="1"/>
  <c r="AN1637" i="1"/>
  <c r="AJ1632" i="1" l="1"/>
  <c r="CC1632" i="1" s="1"/>
  <c r="AK1631" i="1"/>
  <c r="AW1630" i="1"/>
  <c r="V1633" i="1"/>
  <c r="AE1632" i="1"/>
  <c r="AH1633" i="1"/>
  <c r="AJ1633" i="1" s="1"/>
  <c r="AY1631" i="1"/>
  <c r="AZ1631" i="1" s="1"/>
  <c r="AG1631" i="1"/>
  <c r="AX1631" i="1" s="1"/>
  <c r="AN1638" i="1"/>
  <c r="U1638" i="1"/>
  <c r="X1638" i="1" s="1"/>
  <c r="Z1638" i="1" s="1"/>
  <c r="AI1638" i="1"/>
  <c r="AE1633" i="1" l="1"/>
  <c r="V1634" i="1"/>
  <c r="AH1634" i="1"/>
  <c r="AO1634" i="1" s="1"/>
  <c r="AQ1634" i="1" s="1"/>
  <c r="AK1632" i="1"/>
  <c r="AW1631" i="1"/>
  <c r="AO1633" i="1"/>
  <c r="AQ1633" i="1" s="1"/>
  <c r="CC1633" i="1"/>
  <c r="AG1632" i="1"/>
  <c r="AX1632" i="1" s="1"/>
  <c r="AY1632" i="1"/>
  <c r="AZ1632" i="1" s="1"/>
  <c r="AI1639" i="1"/>
  <c r="AN1639" i="1"/>
  <c r="U1639" i="1"/>
  <c r="X1639" i="1" s="1"/>
  <c r="Z1639" i="1" s="1"/>
  <c r="AJ1634" i="1" l="1"/>
  <c r="CC1634" i="1" s="1"/>
  <c r="AW1632" i="1"/>
  <c r="AK1633" i="1"/>
  <c r="AE1634" i="1"/>
  <c r="V1635" i="1"/>
  <c r="AH1635" i="1"/>
  <c r="AJ1635" i="1" s="1"/>
  <c r="AG1633" i="1"/>
  <c r="AX1633" i="1" s="1"/>
  <c r="AY1633" i="1"/>
  <c r="AZ1633" i="1" s="1"/>
  <c r="U1640" i="1"/>
  <c r="X1640" i="1" s="1"/>
  <c r="Z1640" i="1" s="1"/>
  <c r="AN1640" i="1"/>
  <c r="AI1640" i="1"/>
  <c r="AW1633" i="1" l="1"/>
  <c r="AK1634" i="1"/>
  <c r="AE1635" i="1"/>
  <c r="V1636" i="1"/>
  <c r="AH1636" i="1"/>
  <c r="AO1636" i="1" s="1"/>
  <c r="AQ1636" i="1" s="1"/>
  <c r="AO1635" i="1"/>
  <c r="AQ1635" i="1" s="1"/>
  <c r="CC1635" i="1"/>
  <c r="AG1634" i="1"/>
  <c r="AX1634" i="1" s="1"/>
  <c r="AY1634" i="1"/>
  <c r="AZ1634" i="1" s="1"/>
  <c r="U1641" i="1"/>
  <c r="X1641" i="1" s="1"/>
  <c r="Z1641" i="1" s="1"/>
  <c r="AI1641" i="1"/>
  <c r="AN1641" i="1"/>
  <c r="AJ1636" i="1" l="1"/>
  <c r="CC1636" i="1" s="1"/>
  <c r="AK1635" i="1"/>
  <c r="AW1634" i="1"/>
  <c r="V1637" i="1"/>
  <c r="AE1636" i="1"/>
  <c r="AH1637" i="1"/>
  <c r="AJ1637" i="1" s="1"/>
  <c r="AG1635" i="1"/>
  <c r="AX1635" i="1" s="1"/>
  <c r="AY1635" i="1"/>
  <c r="AZ1635" i="1" s="1"/>
  <c r="U1642" i="1"/>
  <c r="X1642" i="1" s="1"/>
  <c r="Z1642" i="1" s="1"/>
  <c r="AN1642" i="1"/>
  <c r="AI1642" i="1"/>
  <c r="AE1637" i="1" l="1"/>
  <c r="V1638" i="1"/>
  <c r="AH1638" i="1"/>
  <c r="AO1638" i="1" s="1"/>
  <c r="AQ1638" i="1" s="1"/>
  <c r="AK1636" i="1"/>
  <c r="AW1635" i="1"/>
  <c r="AO1637" i="1"/>
  <c r="AQ1637" i="1" s="1"/>
  <c r="CC1637" i="1"/>
  <c r="AY1636" i="1"/>
  <c r="AZ1636" i="1" s="1"/>
  <c r="AG1636" i="1"/>
  <c r="AX1636" i="1" s="1"/>
  <c r="U1643" i="1"/>
  <c r="X1643" i="1" s="1"/>
  <c r="Z1643" i="1" s="1"/>
  <c r="AN1643" i="1"/>
  <c r="AI1643" i="1"/>
  <c r="AJ1638" i="1" l="1"/>
  <c r="AK1637" i="1"/>
  <c r="AW1636" i="1"/>
  <c r="V1639" i="1"/>
  <c r="AE1638" i="1"/>
  <c r="AH1639" i="1"/>
  <c r="AJ1639" i="1" s="1"/>
  <c r="AG1637" i="1"/>
  <c r="AX1637" i="1" s="1"/>
  <c r="AY1637" i="1"/>
  <c r="AZ1637" i="1" s="1"/>
  <c r="AI1644" i="1"/>
  <c r="U1644" i="1"/>
  <c r="X1644" i="1" s="1"/>
  <c r="Z1644" i="1" s="1"/>
  <c r="AN1644" i="1"/>
  <c r="AK1638" i="1" l="1"/>
  <c r="CC1638" i="1"/>
  <c r="AW1637" i="1"/>
  <c r="V1640" i="1"/>
  <c r="AE1639" i="1"/>
  <c r="AH1640" i="1"/>
  <c r="AO1640" i="1" s="1"/>
  <c r="AQ1640" i="1" s="1"/>
  <c r="AO1639" i="1"/>
  <c r="AQ1639" i="1" s="1"/>
  <c r="CC1639" i="1"/>
  <c r="AY1638" i="1"/>
  <c r="AZ1638" i="1" s="1"/>
  <c r="AG1638" i="1"/>
  <c r="AX1638" i="1" s="1"/>
  <c r="AN1645" i="1"/>
  <c r="U1645" i="1"/>
  <c r="X1645" i="1" s="1"/>
  <c r="Z1645" i="1" s="1"/>
  <c r="AI1645" i="1"/>
  <c r="AJ1640" i="1" l="1"/>
  <c r="CC1640" i="1" s="1"/>
  <c r="AW1638" i="1"/>
  <c r="AK1639" i="1"/>
  <c r="AE1640" i="1"/>
  <c r="V1641" i="1"/>
  <c r="AH1641" i="1"/>
  <c r="AJ1641" i="1" s="1"/>
  <c r="AY1639" i="1"/>
  <c r="AZ1639" i="1" s="1"/>
  <c r="AG1639" i="1"/>
  <c r="AX1639" i="1" s="1"/>
  <c r="U1646" i="1"/>
  <c r="X1646" i="1" s="1"/>
  <c r="Z1646" i="1" s="1"/>
  <c r="AN1646" i="1"/>
  <c r="AI1646" i="1"/>
  <c r="AK1640" i="1" l="1"/>
  <c r="AW1639" i="1"/>
  <c r="AE1641" i="1"/>
  <c r="V1642" i="1"/>
  <c r="AH1642" i="1"/>
  <c r="AO1642" i="1" s="1"/>
  <c r="AQ1642" i="1" s="1"/>
  <c r="AO1641" i="1"/>
  <c r="AQ1641" i="1" s="1"/>
  <c r="CC1641" i="1"/>
  <c r="AY1640" i="1"/>
  <c r="AZ1640" i="1" s="1"/>
  <c r="AG1640" i="1"/>
  <c r="AX1640" i="1" s="1"/>
  <c r="AN1647" i="1"/>
  <c r="AI1647" i="1"/>
  <c r="U1647" i="1"/>
  <c r="X1647" i="1" s="1"/>
  <c r="Z1647" i="1" s="1"/>
  <c r="AJ1642" i="1" l="1"/>
  <c r="AE1642" i="1"/>
  <c r="V1643" i="1"/>
  <c r="AH1643" i="1"/>
  <c r="AO1643" i="1" s="1"/>
  <c r="AQ1643" i="1" s="1"/>
  <c r="AW1640" i="1"/>
  <c r="AK1641" i="1"/>
  <c r="AY1641" i="1"/>
  <c r="AZ1641" i="1" s="1"/>
  <c r="AG1641" i="1"/>
  <c r="AX1641" i="1" s="1"/>
  <c r="CC1642" i="1"/>
  <c r="AN1648" i="1"/>
  <c r="U1648" i="1"/>
  <c r="X1648" i="1" s="1"/>
  <c r="Z1648" i="1" s="1"/>
  <c r="AI1648" i="1"/>
  <c r="AJ1643" i="1" l="1"/>
  <c r="CC1643" i="1" s="1"/>
  <c r="AE1643" i="1"/>
  <c r="V1644" i="1"/>
  <c r="AH1644" i="1"/>
  <c r="AJ1644" i="1" s="1"/>
  <c r="AK1642" i="1"/>
  <c r="AW1641" i="1"/>
  <c r="AY1642" i="1"/>
  <c r="AZ1642" i="1" s="1"/>
  <c r="AG1642" i="1"/>
  <c r="AX1642" i="1" s="1"/>
  <c r="AN1649" i="1"/>
  <c r="U1649" i="1"/>
  <c r="X1649" i="1" s="1"/>
  <c r="Z1649" i="1" s="1"/>
  <c r="AI1649" i="1"/>
  <c r="AK1643" i="1" l="1"/>
  <c r="AW1642" i="1"/>
  <c r="V1645" i="1"/>
  <c r="AE1644" i="1"/>
  <c r="AH1645" i="1"/>
  <c r="AO1645" i="1" s="1"/>
  <c r="AQ1645" i="1" s="1"/>
  <c r="AO1644" i="1"/>
  <c r="AQ1644" i="1" s="1"/>
  <c r="CC1644" i="1"/>
  <c r="AG1643" i="1"/>
  <c r="AX1643" i="1" s="1"/>
  <c r="AY1643" i="1"/>
  <c r="AZ1643" i="1" s="1"/>
  <c r="AN1650" i="1"/>
  <c r="AI1650" i="1"/>
  <c r="U1650" i="1"/>
  <c r="X1650" i="1" s="1"/>
  <c r="Z1650" i="1" s="1"/>
  <c r="AJ1645" i="1" l="1"/>
  <c r="CC1645" i="1" s="1"/>
  <c r="V1646" i="1"/>
  <c r="AE1645" i="1"/>
  <c r="AH1646" i="1"/>
  <c r="AJ1646" i="1" s="1"/>
  <c r="AW1643" i="1"/>
  <c r="AK1644" i="1"/>
  <c r="AY1644" i="1"/>
  <c r="AZ1644" i="1" s="1"/>
  <c r="AG1644" i="1"/>
  <c r="AX1644" i="1" s="1"/>
  <c r="U1651" i="1"/>
  <c r="X1651" i="1" s="1"/>
  <c r="Z1651" i="1" s="1"/>
  <c r="AI1651" i="1"/>
  <c r="AN1651" i="1"/>
  <c r="V1647" i="1" l="1"/>
  <c r="AE1646" i="1"/>
  <c r="AH1647" i="1"/>
  <c r="AO1647" i="1" s="1"/>
  <c r="AQ1647" i="1" s="1"/>
  <c r="AW1644" i="1"/>
  <c r="AK1645" i="1"/>
  <c r="AO1646" i="1"/>
  <c r="AQ1646" i="1" s="1"/>
  <c r="CC1646" i="1"/>
  <c r="AG1645" i="1"/>
  <c r="AX1645" i="1" s="1"/>
  <c r="AY1645" i="1"/>
  <c r="AZ1645" i="1" s="1"/>
  <c r="U1652" i="1"/>
  <c r="X1652" i="1" s="1"/>
  <c r="Z1652" i="1" s="1"/>
  <c r="AI1652" i="1"/>
  <c r="AN1652" i="1"/>
  <c r="AJ1647" i="1" l="1"/>
  <c r="AW1645" i="1"/>
  <c r="AK1646" i="1"/>
  <c r="AE1647" i="1"/>
  <c r="V1648" i="1"/>
  <c r="AH1648" i="1"/>
  <c r="AO1648" i="1" s="1"/>
  <c r="AQ1648" i="1" s="1"/>
  <c r="AG1646" i="1"/>
  <c r="AX1646" i="1" s="1"/>
  <c r="AY1646" i="1"/>
  <c r="AZ1646" i="1" s="1"/>
  <c r="CC1647" i="1"/>
  <c r="AN1653" i="1"/>
  <c r="U1653" i="1"/>
  <c r="X1653" i="1" s="1"/>
  <c r="Z1653" i="1" s="1"/>
  <c r="AI1653" i="1"/>
  <c r="AJ1648" i="1" l="1"/>
  <c r="CC1648" i="1" s="1"/>
  <c r="V1649" i="1"/>
  <c r="AE1648" i="1"/>
  <c r="AH1649" i="1"/>
  <c r="AO1649" i="1" s="1"/>
  <c r="AQ1649" i="1" s="1"/>
  <c r="AK1647" i="1"/>
  <c r="AW1646" i="1"/>
  <c r="AG1647" i="1"/>
  <c r="AX1647" i="1" s="1"/>
  <c r="AY1647" i="1"/>
  <c r="AZ1647" i="1" s="1"/>
  <c r="AN1654" i="1"/>
  <c r="U1654" i="1"/>
  <c r="X1654" i="1" s="1"/>
  <c r="Z1654" i="1" s="1"/>
  <c r="AI1654" i="1"/>
  <c r="AJ1649" i="1" l="1"/>
  <c r="AK1648" i="1"/>
  <c r="AW1647" i="1"/>
  <c r="V1650" i="1"/>
  <c r="AE1649" i="1"/>
  <c r="AH1650" i="1"/>
  <c r="AO1650" i="1" s="1"/>
  <c r="AQ1650" i="1" s="1"/>
  <c r="AG1648" i="1"/>
  <c r="AX1648" i="1" s="1"/>
  <c r="AY1648" i="1"/>
  <c r="AZ1648" i="1" s="1"/>
  <c r="CC1649" i="1"/>
  <c r="U1655" i="1"/>
  <c r="X1655" i="1" s="1"/>
  <c r="Z1655" i="1" s="1"/>
  <c r="AN1655" i="1"/>
  <c r="AI1655" i="1"/>
  <c r="AJ1650" i="1" l="1"/>
  <c r="CC1650" i="1" s="1"/>
  <c r="V1651" i="1"/>
  <c r="AE1650" i="1"/>
  <c r="AH1651" i="1"/>
  <c r="AO1651" i="1" s="1"/>
  <c r="AQ1651" i="1" s="1"/>
  <c r="AK1649" i="1"/>
  <c r="AW1648" i="1"/>
  <c r="AG1649" i="1"/>
  <c r="AX1649" i="1" s="1"/>
  <c r="AY1649" i="1"/>
  <c r="AZ1649" i="1" s="1"/>
  <c r="U1656" i="1"/>
  <c r="X1656" i="1" s="1"/>
  <c r="Z1656" i="1" s="1"/>
  <c r="AN1656" i="1"/>
  <c r="AI1656" i="1"/>
  <c r="AJ1651" i="1" l="1"/>
  <c r="AE1651" i="1"/>
  <c r="V1652" i="1"/>
  <c r="AH1652" i="1"/>
  <c r="AJ1652" i="1" s="1"/>
  <c r="AK1650" i="1"/>
  <c r="AW1649" i="1"/>
  <c r="AG1650" i="1"/>
  <c r="AX1650" i="1" s="1"/>
  <c r="AY1650" i="1"/>
  <c r="AZ1650" i="1" s="1"/>
  <c r="CC1651" i="1"/>
  <c r="AN1657" i="1"/>
  <c r="AI1657" i="1"/>
  <c r="U1657" i="1"/>
  <c r="X1657" i="1" s="1"/>
  <c r="Z1657" i="1" s="1"/>
  <c r="AW1650" i="1" l="1"/>
  <c r="AK1651" i="1"/>
  <c r="AE1652" i="1"/>
  <c r="V1653" i="1"/>
  <c r="AH1653" i="1"/>
  <c r="AO1653" i="1" s="1"/>
  <c r="AQ1653" i="1" s="1"/>
  <c r="AO1652" i="1"/>
  <c r="AQ1652" i="1" s="1"/>
  <c r="CC1652" i="1"/>
  <c r="AY1651" i="1"/>
  <c r="AZ1651" i="1" s="1"/>
  <c r="AG1651" i="1"/>
  <c r="AX1651" i="1" s="1"/>
  <c r="AI1658" i="1"/>
  <c r="U1658" i="1"/>
  <c r="X1658" i="1" s="1"/>
  <c r="Z1658" i="1" s="1"/>
  <c r="AN1658" i="1"/>
  <c r="AJ1653" i="1" l="1"/>
  <c r="AK1652" i="1"/>
  <c r="AW1651" i="1"/>
  <c r="V1654" i="1"/>
  <c r="AE1653" i="1"/>
  <c r="AH1654" i="1"/>
  <c r="AJ1654" i="1" s="1"/>
  <c r="AG1652" i="1"/>
  <c r="AX1652" i="1" s="1"/>
  <c r="AY1652" i="1"/>
  <c r="AZ1652" i="1" s="1"/>
  <c r="CC1653" i="1"/>
  <c r="AN1659" i="1"/>
  <c r="U1659" i="1"/>
  <c r="X1659" i="1" s="1"/>
  <c r="Z1659" i="1" s="1"/>
  <c r="AI1659" i="1"/>
  <c r="CC1654" i="1" l="1"/>
  <c r="AW1653" i="1"/>
  <c r="AK1654" i="1"/>
  <c r="AE1654" i="1"/>
  <c r="AH1655" i="1"/>
  <c r="AO1655" i="1" s="1"/>
  <c r="AQ1655" i="1" s="1"/>
  <c r="V1655" i="1"/>
  <c r="AW1652" i="1"/>
  <c r="AK1653" i="1"/>
  <c r="AY1653" i="1"/>
  <c r="AZ1653" i="1" s="1"/>
  <c r="AG1653" i="1"/>
  <c r="AX1653" i="1" s="1"/>
  <c r="AO1654" i="1"/>
  <c r="AQ1654" i="1" s="1"/>
  <c r="AN1660" i="1"/>
  <c r="AI1660" i="1"/>
  <c r="U1660" i="1"/>
  <c r="X1660" i="1" s="1"/>
  <c r="Z1660" i="1" s="1"/>
  <c r="AJ1655" i="1" l="1"/>
  <c r="AE1655" i="1"/>
  <c r="V1656" i="1"/>
  <c r="AH1656" i="1"/>
  <c r="AO1656" i="1" s="1"/>
  <c r="AQ1656" i="1" s="1"/>
  <c r="CC1655" i="1"/>
  <c r="AG1654" i="1"/>
  <c r="AX1654" i="1" s="1"/>
  <c r="AY1654" i="1"/>
  <c r="AZ1654" i="1" s="1"/>
  <c r="U1661" i="1"/>
  <c r="X1661" i="1" s="1"/>
  <c r="Z1661" i="1" s="1"/>
  <c r="AN1661" i="1"/>
  <c r="AI1661" i="1"/>
  <c r="AJ1656" i="1" l="1"/>
  <c r="CC1656" i="1" s="1"/>
  <c r="V1657" i="1"/>
  <c r="AE1656" i="1"/>
  <c r="AH1657" i="1"/>
  <c r="AJ1657" i="1" s="1"/>
  <c r="AK1655" i="1"/>
  <c r="AW1654" i="1"/>
  <c r="AG1655" i="1"/>
  <c r="AX1655" i="1" s="1"/>
  <c r="AY1655" i="1"/>
  <c r="AZ1655" i="1" s="1"/>
  <c r="AN1662" i="1"/>
  <c r="AI1662" i="1"/>
  <c r="U1662" i="1"/>
  <c r="X1662" i="1" s="1"/>
  <c r="Z1662" i="1" s="1"/>
  <c r="AK1656" i="1" l="1"/>
  <c r="AW1655" i="1"/>
  <c r="V1658" i="1"/>
  <c r="AE1657" i="1"/>
  <c r="AH1658" i="1"/>
  <c r="AO1658" i="1" s="1"/>
  <c r="AQ1658" i="1" s="1"/>
  <c r="AO1657" i="1"/>
  <c r="AQ1657" i="1" s="1"/>
  <c r="CC1657" i="1"/>
  <c r="AG1656" i="1"/>
  <c r="AX1656" i="1" s="1"/>
  <c r="AY1656" i="1"/>
  <c r="AZ1656" i="1" s="1"/>
  <c r="AN1663" i="1"/>
  <c r="AI1663" i="1"/>
  <c r="U1663" i="1"/>
  <c r="X1663" i="1" s="1"/>
  <c r="Z1663" i="1" s="1"/>
  <c r="AJ1658" i="1" l="1"/>
  <c r="AW1656" i="1"/>
  <c r="AK1657" i="1"/>
  <c r="AE1658" i="1"/>
  <c r="V1659" i="1"/>
  <c r="AH1659" i="1"/>
  <c r="AJ1659" i="1" s="1"/>
  <c r="AY1657" i="1"/>
  <c r="AZ1657" i="1" s="1"/>
  <c r="AG1657" i="1"/>
  <c r="AX1657" i="1" s="1"/>
  <c r="CC1658" i="1"/>
  <c r="AI1664" i="1"/>
  <c r="AN1664" i="1"/>
  <c r="U1664" i="1"/>
  <c r="X1664" i="1" s="1"/>
  <c r="Z1664" i="1" s="1"/>
  <c r="AW1657" i="1" l="1"/>
  <c r="AK1658" i="1"/>
  <c r="AE1659" i="1"/>
  <c r="V1660" i="1"/>
  <c r="AH1660" i="1"/>
  <c r="AO1660" i="1" s="1"/>
  <c r="AQ1660" i="1" s="1"/>
  <c r="AO1659" i="1"/>
  <c r="AQ1659" i="1" s="1"/>
  <c r="CC1659" i="1"/>
  <c r="AY1658" i="1"/>
  <c r="AZ1658" i="1" s="1"/>
  <c r="AG1658" i="1"/>
  <c r="AX1658" i="1" s="1"/>
  <c r="U1665" i="1"/>
  <c r="X1665" i="1" s="1"/>
  <c r="Z1665" i="1" s="1"/>
  <c r="AI1665" i="1"/>
  <c r="AN1665" i="1"/>
  <c r="AJ1660" i="1" l="1"/>
  <c r="CC1660" i="1" s="1"/>
  <c r="V1661" i="1"/>
  <c r="AE1660" i="1"/>
  <c r="AH1661" i="1"/>
  <c r="AO1661" i="1" s="1"/>
  <c r="AQ1661" i="1" s="1"/>
  <c r="AW1658" i="1"/>
  <c r="AK1659" i="1"/>
  <c r="AG1659" i="1"/>
  <c r="AX1659" i="1" s="1"/>
  <c r="AY1659" i="1"/>
  <c r="AZ1659" i="1" s="1"/>
  <c r="AN1666" i="1"/>
  <c r="AI1666" i="1"/>
  <c r="U1666" i="1"/>
  <c r="X1666" i="1" s="1"/>
  <c r="Z1666" i="1" s="1"/>
  <c r="AJ1661" i="1" l="1"/>
  <c r="AE1661" i="1"/>
  <c r="AH1662" i="1"/>
  <c r="AO1662" i="1" s="1"/>
  <c r="AQ1662" i="1" s="1"/>
  <c r="V1662" i="1"/>
  <c r="AK1660" i="1"/>
  <c r="AW1659" i="1"/>
  <c r="AY1660" i="1"/>
  <c r="AZ1660" i="1" s="1"/>
  <c r="AG1660" i="1"/>
  <c r="AX1660" i="1" s="1"/>
  <c r="CC1661" i="1"/>
  <c r="AI1667" i="1"/>
  <c r="AN1667" i="1"/>
  <c r="U1667" i="1"/>
  <c r="X1667" i="1" s="1"/>
  <c r="Z1667" i="1" s="1"/>
  <c r="AJ1662" i="1" l="1"/>
  <c r="CC1662" i="1" s="1"/>
  <c r="V1663" i="1"/>
  <c r="AE1662" i="1"/>
  <c r="AH1663" i="1"/>
  <c r="AO1663" i="1" s="1"/>
  <c r="AQ1663" i="1" s="1"/>
  <c r="AK1661" i="1"/>
  <c r="AW1660" i="1"/>
  <c r="AY1661" i="1"/>
  <c r="AZ1661" i="1" s="1"/>
  <c r="AG1661" i="1"/>
  <c r="AX1661" i="1" s="1"/>
  <c r="AN1668" i="1"/>
  <c r="U1668" i="1"/>
  <c r="X1668" i="1" s="1"/>
  <c r="Z1668" i="1" s="1"/>
  <c r="AI1668" i="1"/>
  <c r="AW1661" i="1" l="1"/>
  <c r="AJ1663" i="1"/>
  <c r="CC1663" i="1" s="1"/>
  <c r="AK1662" i="1"/>
  <c r="V1664" i="1"/>
  <c r="AE1663" i="1"/>
  <c r="AH1664" i="1"/>
  <c r="AJ1664" i="1" s="1"/>
  <c r="AG1662" i="1"/>
  <c r="AX1662" i="1" s="1"/>
  <c r="AY1662" i="1"/>
  <c r="AZ1662" i="1" s="1"/>
  <c r="AN1669" i="1"/>
  <c r="U1669" i="1"/>
  <c r="X1669" i="1" s="1"/>
  <c r="Z1669" i="1" s="1"/>
  <c r="AI1669" i="1"/>
  <c r="CC1664" i="1" l="1"/>
  <c r="AO1664" i="1"/>
  <c r="AQ1664" i="1" s="1"/>
  <c r="V1665" i="1"/>
  <c r="AE1664" i="1"/>
  <c r="AH1665" i="1"/>
  <c r="AJ1665" i="1" s="1"/>
  <c r="AK1664" i="1"/>
  <c r="AW1663" i="1"/>
  <c r="AK1663" i="1"/>
  <c r="AW1662" i="1"/>
  <c r="AY1663" i="1"/>
  <c r="AZ1663" i="1" s="1"/>
  <c r="AG1663" i="1"/>
  <c r="AX1663" i="1" s="1"/>
  <c r="U1670" i="1"/>
  <c r="X1670" i="1" s="1"/>
  <c r="Z1670" i="1" s="1"/>
  <c r="AI1670" i="1"/>
  <c r="AN1670" i="1"/>
  <c r="CC1665" i="1" l="1"/>
  <c r="AO1665" i="1"/>
  <c r="AQ1665" i="1" s="1"/>
  <c r="AK1665" i="1"/>
  <c r="V1666" i="1"/>
  <c r="AE1665" i="1"/>
  <c r="AH1666" i="1"/>
  <c r="AO1666" i="1" s="1"/>
  <c r="AQ1666" i="1" s="1"/>
  <c r="AG1664" i="1"/>
  <c r="AX1664" i="1" s="1"/>
  <c r="AY1664" i="1"/>
  <c r="AZ1664" i="1" s="1"/>
  <c r="AI1671" i="1"/>
  <c r="AN1671" i="1"/>
  <c r="U1671" i="1"/>
  <c r="X1671" i="1" s="1"/>
  <c r="Z1671" i="1" s="1"/>
  <c r="AJ1666" i="1" l="1"/>
  <c r="CC1666" i="1" s="1"/>
  <c r="AW1664" i="1"/>
  <c r="AE1666" i="1"/>
  <c r="V1667" i="1"/>
  <c r="AH1667" i="1"/>
  <c r="AJ1667" i="1" s="1"/>
  <c r="AY1665" i="1"/>
  <c r="AZ1665" i="1" s="1"/>
  <c r="AG1665" i="1"/>
  <c r="AX1665" i="1" s="1"/>
  <c r="AN1672" i="1"/>
  <c r="AI1672" i="1"/>
  <c r="U1672" i="1"/>
  <c r="X1672" i="1" s="1"/>
  <c r="Z1672" i="1" s="1"/>
  <c r="AO1667" i="1" l="1"/>
  <c r="AQ1667" i="1" s="1"/>
  <c r="CC1667" i="1"/>
  <c r="AE1667" i="1"/>
  <c r="V1668" i="1"/>
  <c r="AH1668" i="1"/>
  <c r="AO1668" i="1" s="1"/>
  <c r="AQ1668" i="1" s="1"/>
  <c r="AK1666" i="1"/>
  <c r="AW1665" i="1"/>
  <c r="AK1667" i="1"/>
  <c r="AW1666" i="1"/>
  <c r="AG1666" i="1"/>
  <c r="AX1666" i="1" s="1"/>
  <c r="AY1666" i="1"/>
  <c r="AZ1666" i="1" s="1"/>
  <c r="AI1673" i="1"/>
  <c r="U1673" i="1"/>
  <c r="X1673" i="1" s="1"/>
  <c r="Z1673" i="1" s="1"/>
  <c r="AN1673" i="1"/>
  <c r="AJ1668" i="1" l="1"/>
  <c r="CC1668" i="1" s="1"/>
  <c r="V1669" i="1"/>
  <c r="AE1668" i="1"/>
  <c r="AH1669" i="1"/>
  <c r="AJ1669" i="1" s="1"/>
  <c r="AG1667" i="1"/>
  <c r="AX1667" i="1" s="1"/>
  <c r="AY1667" i="1"/>
  <c r="AZ1667" i="1" s="1"/>
  <c r="AN1674" i="1"/>
  <c r="AI1674" i="1"/>
  <c r="U1674" i="1"/>
  <c r="X1674" i="1" s="1"/>
  <c r="Z1674" i="1" s="1"/>
  <c r="AW1667" i="1" l="1"/>
  <c r="AK1668" i="1"/>
  <c r="AO1669" i="1"/>
  <c r="AQ1669" i="1" s="1"/>
  <c r="CC1669" i="1"/>
  <c r="V1670" i="1"/>
  <c r="AE1669" i="1"/>
  <c r="AH1670" i="1"/>
  <c r="AJ1670" i="1" s="1"/>
  <c r="AG1668" i="1"/>
  <c r="AX1668" i="1" s="1"/>
  <c r="AY1668" i="1"/>
  <c r="AZ1668" i="1" s="1"/>
  <c r="AI1675" i="1"/>
  <c r="U1675" i="1"/>
  <c r="X1675" i="1" s="1"/>
  <c r="Z1675" i="1" s="1"/>
  <c r="AN1675" i="1"/>
  <c r="V1671" i="1" l="1"/>
  <c r="AE1670" i="1"/>
  <c r="AH1671" i="1"/>
  <c r="AO1671" i="1" s="1"/>
  <c r="AQ1671" i="1" s="1"/>
  <c r="AO1670" i="1"/>
  <c r="AQ1670" i="1" s="1"/>
  <c r="CC1670" i="1"/>
  <c r="AG1669" i="1"/>
  <c r="AX1669" i="1" s="1"/>
  <c r="AY1669" i="1"/>
  <c r="AZ1669" i="1" s="1"/>
  <c r="AW1668" i="1"/>
  <c r="AK1669" i="1"/>
  <c r="AI1676" i="1"/>
  <c r="U1676" i="1"/>
  <c r="X1676" i="1" s="1"/>
  <c r="Z1676" i="1" s="1"/>
  <c r="AN1676" i="1"/>
  <c r="AJ1671" i="1" l="1"/>
  <c r="CC1671" i="1" s="1"/>
  <c r="V1672" i="1"/>
  <c r="AE1671" i="1"/>
  <c r="AH1672" i="1"/>
  <c r="AO1672" i="1" s="1"/>
  <c r="AQ1672" i="1" s="1"/>
  <c r="AK1670" i="1"/>
  <c r="AW1669" i="1"/>
  <c r="AK1671" i="1"/>
  <c r="AG1670" i="1"/>
  <c r="AX1670" i="1" s="1"/>
  <c r="AY1670" i="1"/>
  <c r="AZ1670" i="1" s="1"/>
  <c r="AN1677" i="1"/>
  <c r="U1677" i="1"/>
  <c r="X1677" i="1" s="1"/>
  <c r="Z1677" i="1" s="1"/>
  <c r="AI1677" i="1"/>
  <c r="AJ1672" i="1" l="1"/>
  <c r="AW1670" i="1"/>
  <c r="CC1672" i="1"/>
  <c r="V1673" i="1"/>
  <c r="AE1672" i="1"/>
  <c r="AH1673" i="1"/>
  <c r="AJ1673" i="1" s="1"/>
  <c r="AY1671" i="1"/>
  <c r="AZ1671" i="1" s="1"/>
  <c r="AG1671" i="1"/>
  <c r="AX1671" i="1" s="1"/>
  <c r="U1678" i="1"/>
  <c r="X1678" i="1" s="1"/>
  <c r="Z1678" i="1" s="1"/>
  <c r="AN1678" i="1"/>
  <c r="AI1678" i="1"/>
  <c r="CC1673" i="1" l="1"/>
  <c r="AK1672" i="1"/>
  <c r="AW1671" i="1"/>
  <c r="V1674" i="1"/>
  <c r="AE1673" i="1"/>
  <c r="AH1674" i="1"/>
  <c r="AJ1674" i="1" s="1"/>
  <c r="AW1672" i="1"/>
  <c r="AG1672" i="1"/>
  <c r="AX1672" i="1" s="1"/>
  <c r="AY1672" i="1"/>
  <c r="AZ1672" i="1" s="1"/>
  <c r="AO1673" i="1"/>
  <c r="AQ1673" i="1" s="1"/>
  <c r="U1679" i="1"/>
  <c r="X1679" i="1" s="1"/>
  <c r="Z1679" i="1" s="1"/>
  <c r="AN1679" i="1"/>
  <c r="AI1679" i="1"/>
  <c r="AK1673" i="1" l="1"/>
  <c r="V1675" i="1"/>
  <c r="AE1674" i="1"/>
  <c r="AH1675" i="1"/>
  <c r="AO1675" i="1" s="1"/>
  <c r="AQ1675" i="1" s="1"/>
  <c r="AO1674" i="1"/>
  <c r="AQ1674" i="1" s="1"/>
  <c r="CC1674" i="1"/>
  <c r="AY1673" i="1"/>
  <c r="AZ1673" i="1" s="1"/>
  <c r="AG1673" i="1"/>
  <c r="AX1673" i="1" s="1"/>
  <c r="AN1680" i="1"/>
  <c r="U1680" i="1"/>
  <c r="X1680" i="1" s="1"/>
  <c r="Z1680" i="1" s="1"/>
  <c r="AI1680" i="1"/>
  <c r="AJ1675" i="1" l="1"/>
  <c r="CC1675" i="1" s="1"/>
  <c r="AE1675" i="1"/>
  <c r="V1676" i="1"/>
  <c r="AH1676" i="1"/>
  <c r="AO1676" i="1" s="1"/>
  <c r="AQ1676" i="1" s="1"/>
  <c r="AW1673" i="1"/>
  <c r="AK1674" i="1"/>
  <c r="AG1674" i="1"/>
  <c r="AX1674" i="1" s="1"/>
  <c r="AY1674" i="1"/>
  <c r="AZ1674" i="1" s="1"/>
  <c r="AI1681" i="1"/>
  <c r="U1681" i="1"/>
  <c r="X1681" i="1" s="1"/>
  <c r="Z1681" i="1" s="1"/>
  <c r="AN1681" i="1"/>
  <c r="AJ1676" i="1" l="1"/>
  <c r="CC1676" i="1" s="1"/>
  <c r="AW1674" i="1"/>
  <c r="AK1675" i="1"/>
  <c r="AE1676" i="1"/>
  <c r="V1677" i="1"/>
  <c r="AH1677" i="1"/>
  <c r="AJ1677" i="1" s="1"/>
  <c r="AG1675" i="1"/>
  <c r="AX1675" i="1" s="1"/>
  <c r="AY1675" i="1"/>
  <c r="AZ1675" i="1" s="1"/>
  <c r="AN1682" i="1"/>
  <c r="AI1682" i="1"/>
  <c r="U1682" i="1"/>
  <c r="X1682" i="1" s="1"/>
  <c r="Z1682" i="1" s="1"/>
  <c r="V1678" i="1" l="1"/>
  <c r="AK1676" i="1"/>
  <c r="AW1675" i="1"/>
  <c r="AE1677" i="1"/>
  <c r="AH1678" i="1"/>
  <c r="AO1678" i="1" s="1"/>
  <c r="AQ1678" i="1" s="1"/>
  <c r="AO1677" i="1"/>
  <c r="AQ1677" i="1" s="1"/>
  <c r="CC1677" i="1"/>
  <c r="AY1676" i="1"/>
  <c r="AZ1676" i="1" s="1"/>
  <c r="AG1676" i="1"/>
  <c r="AX1676" i="1" s="1"/>
  <c r="U1683" i="1"/>
  <c r="X1683" i="1" s="1"/>
  <c r="Z1683" i="1" s="1"/>
  <c r="AN1683" i="1"/>
  <c r="AI1683" i="1"/>
  <c r="AJ1678" i="1" l="1"/>
  <c r="CC1678" i="1" s="1"/>
  <c r="AK1677" i="1"/>
  <c r="AW1676" i="1"/>
  <c r="V1679" i="1"/>
  <c r="AE1678" i="1"/>
  <c r="AH1679" i="1"/>
  <c r="AJ1679" i="1" s="1"/>
  <c r="AY1677" i="1"/>
  <c r="AZ1677" i="1" s="1"/>
  <c r="AG1677" i="1"/>
  <c r="AX1677" i="1" s="1"/>
  <c r="AN1684" i="1"/>
  <c r="AI1684" i="1"/>
  <c r="U1684" i="1"/>
  <c r="X1684" i="1" s="1"/>
  <c r="Z1684" i="1" s="1"/>
  <c r="V1680" i="1" l="1"/>
  <c r="AE1679" i="1"/>
  <c r="AH1680" i="1"/>
  <c r="AO1680" i="1" s="1"/>
  <c r="AQ1680" i="1" s="1"/>
  <c r="AK1678" i="1"/>
  <c r="AW1677" i="1"/>
  <c r="AO1679" i="1"/>
  <c r="AQ1679" i="1" s="1"/>
  <c r="CC1679" i="1"/>
  <c r="AY1678" i="1"/>
  <c r="AZ1678" i="1" s="1"/>
  <c r="AG1678" i="1"/>
  <c r="AX1678" i="1" s="1"/>
  <c r="AN1685" i="1"/>
  <c r="AI1685" i="1"/>
  <c r="U1685" i="1"/>
  <c r="X1685" i="1" s="1"/>
  <c r="Z1685" i="1" s="1"/>
  <c r="AJ1680" i="1" l="1"/>
  <c r="CC1680" i="1" s="1"/>
  <c r="V1681" i="1"/>
  <c r="AE1680" i="1"/>
  <c r="AH1681" i="1"/>
  <c r="AJ1681" i="1" s="1"/>
  <c r="AW1678" i="1"/>
  <c r="AK1679" i="1"/>
  <c r="AG1679" i="1"/>
  <c r="AX1679" i="1" s="1"/>
  <c r="AY1679" i="1"/>
  <c r="AZ1679" i="1" s="1"/>
  <c r="AN1686" i="1"/>
  <c r="AI1686" i="1"/>
  <c r="U1686" i="1"/>
  <c r="X1686" i="1" s="1"/>
  <c r="Z1686" i="1" s="1"/>
  <c r="CC1681" i="1" l="1"/>
  <c r="AO1681" i="1"/>
  <c r="AQ1681" i="1" s="1"/>
  <c r="AW1679" i="1"/>
  <c r="AK1680" i="1"/>
  <c r="AE1681" i="1"/>
  <c r="V1682" i="1"/>
  <c r="AH1682" i="1"/>
  <c r="AO1682" i="1" s="1"/>
  <c r="AQ1682" i="1" s="1"/>
  <c r="AG1680" i="1"/>
  <c r="AX1680" i="1" s="1"/>
  <c r="AY1680" i="1"/>
  <c r="AZ1680" i="1" s="1"/>
  <c r="U1687" i="1"/>
  <c r="X1687" i="1" s="1"/>
  <c r="Z1687" i="1" s="1"/>
  <c r="AN1687" i="1"/>
  <c r="AI1687" i="1"/>
  <c r="AJ1682" i="1" l="1"/>
  <c r="AK1681" i="1"/>
  <c r="AW1680" i="1"/>
  <c r="V1683" i="1"/>
  <c r="AE1682" i="1"/>
  <c r="AH1683" i="1"/>
  <c r="AJ1683" i="1" s="1"/>
  <c r="AY1681" i="1"/>
  <c r="AZ1681" i="1" s="1"/>
  <c r="AG1681" i="1"/>
  <c r="AX1681" i="1" s="1"/>
  <c r="AN1688" i="1"/>
  <c r="U1688" i="1"/>
  <c r="X1688" i="1" s="1"/>
  <c r="Z1688" i="1" s="1"/>
  <c r="AI1688" i="1"/>
  <c r="V1684" i="1" l="1"/>
  <c r="AW1681" i="1"/>
  <c r="CC1682" i="1"/>
  <c r="AK1682" i="1"/>
  <c r="AO1683" i="1"/>
  <c r="AQ1683" i="1" s="1"/>
  <c r="CC1683" i="1"/>
  <c r="AE1683" i="1"/>
  <c r="AH1684" i="1"/>
  <c r="AJ1684" i="1" s="1"/>
  <c r="AY1682" i="1"/>
  <c r="AZ1682" i="1" s="1"/>
  <c r="AG1682" i="1"/>
  <c r="AX1682" i="1" s="1"/>
  <c r="U1689" i="1"/>
  <c r="X1689" i="1" s="1"/>
  <c r="Z1689" i="1" s="1"/>
  <c r="AN1689" i="1"/>
  <c r="AI1689" i="1"/>
  <c r="AE1684" i="1" l="1"/>
  <c r="V1685" i="1"/>
  <c r="AH1685" i="1"/>
  <c r="AO1685" i="1" s="1"/>
  <c r="AQ1685" i="1" s="1"/>
  <c r="AO1684" i="1"/>
  <c r="AQ1684" i="1" s="1"/>
  <c r="CC1684" i="1"/>
  <c r="AG1683" i="1"/>
  <c r="AX1683" i="1" s="1"/>
  <c r="AY1683" i="1"/>
  <c r="AZ1683" i="1" s="1"/>
  <c r="AK1683" i="1"/>
  <c r="AW1682" i="1"/>
  <c r="U1690" i="1"/>
  <c r="X1690" i="1" s="1"/>
  <c r="Z1690" i="1" s="1"/>
  <c r="AN1690" i="1"/>
  <c r="AI1690" i="1"/>
  <c r="AJ1685" i="1" l="1"/>
  <c r="AK1684" i="1"/>
  <c r="AW1683" i="1"/>
  <c r="AE1685" i="1"/>
  <c r="V1686" i="1"/>
  <c r="AH1686" i="1"/>
  <c r="AO1686" i="1" s="1"/>
  <c r="AQ1686" i="1" s="1"/>
  <c r="AY1684" i="1"/>
  <c r="AZ1684" i="1" s="1"/>
  <c r="AG1684" i="1"/>
  <c r="AX1684" i="1" s="1"/>
  <c r="AI1691" i="1"/>
  <c r="AN1691" i="1"/>
  <c r="U1691" i="1"/>
  <c r="X1691" i="1" s="1"/>
  <c r="Z1691" i="1" s="1"/>
  <c r="AJ1686" i="1" l="1"/>
  <c r="AK1686" i="1" s="1"/>
  <c r="AW1684" i="1"/>
  <c r="CC1685" i="1"/>
  <c r="AK1685" i="1"/>
  <c r="AE1686" i="1"/>
  <c r="V1687" i="1"/>
  <c r="AH1687" i="1"/>
  <c r="AO1687" i="1" s="1"/>
  <c r="AQ1687" i="1" s="1"/>
  <c r="AY1685" i="1"/>
  <c r="AZ1685" i="1" s="1"/>
  <c r="AG1685" i="1"/>
  <c r="AX1685" i="1" s="1"/>
  <c r="AN1692" i="1"/>
  <c r="U1692" i="1"/>
  <c r="X1692" i="1" s="1"/>
  <c r="Z1692" i="1" s="1"/>
  <c r="AI1692" i="1"/>
  <c r="AJ1687" i="1" l="1"/>
  <c r="AW1685" i="1"/>
  <c r="CC1686" i="1"/>
  <c r="AE1687" i="1"/>
  <c r="V1688" i="1"/>
  <c r="AH1688" i="1"/>
  <c r="AJ1688" i="1" s="1"/>
  <c r="AY1686" i="1"/>
  <c r="AZ1686" i="1" s="1"/>
  <c r="AG1686" i="1"/>
  <c r="AX1686" i="1" s="1"/>
  <c r="U1693" i="1"/>
  <c r="X1693" i="1" s="1"/>
  <c r="Z1693" i="1" s="1"/>
  <c r="AI1693" i="1"/>
  <c r="AN1693" i="1"/>
  <c r="AW1686" i="1" l="1"/>
  <c r="CC1687" i="1"/>
  <c r="AK1687" i="1"/>
  <c r="V1689" i="1"/>
  <c r="AE1688" i="1"/>
  <c r="AH1689" i="1"/>
  <c r="AO1689" i="1" s="1"/>
  <c r="AQ1689" i="1" s="1"/>
  <c r="CC1688" i="1"/>
  <c r="AO1688" i="1"/>
  <c r="AQ1688" i="1" s="1"/>
  <c r="AY1687" i="1"/>
  <c r="AZ1687" i="1" s="1"/>
  <c r="AG1687" i="1"/>
  <c r="AX1687" i="1" s="1"/>
  <c r="AI1694" i="1"/>
  <c r="U1694" i="1"/>
  <c r="X1694" i="1" s="1"/>
  <c r="Z1694" i="1" s="1"/>
  <c r="AN1694" i="1"/>
  <c r="AJ1689" i="1" l="1"/>
  <c r="V1690" i="1"/>
  <c r="AE1689" i="1"/>
  <c r="AH1690" i="1"/>
  <c r="AO1690" i="1" s="1"/>
  <c r="AQ1690" i="1" s="1"/>
  <c r="AK1688" i="1"/>
  <c r="AW1687" i="1"/>
  <c r="AY1688" i="1"/>
  <c r="AZ1688" i="1" s="1"/>
  <c r="AG1688" i="1"/>
  <c r="AX1688" i="1" s="1"/>
  <c r="CC1689" i="1"/>
  <c r="U1695" i="1"/>
  <c r="X1695" i="1" s="1"/>
  <c r="Z1695" i="1" s="1"/>
  <c r="AN1695" i="1"/>
  <c r="AI1695" i="1"/>
  <c r="AJ1690" i="1" l="1"/>
  <c r="V1691" i="1"/>
  <c r="AE1690" i="1"/>
  <c r="AH1691" i="1"/>
  <c r="AO1691" i="1" s="1"/>
  <c r="AQ1691" i="1" s="1"/>
  <c r="AK1689" i="1"/>
  <c r="AW1688" i="1"/>
  <c r="AG1689" i="1"/>
  <c r="AX1689" i="1" s="1"/>
  <c r="AY1689" i="1"/>
  <c r="AZ1689" i="1" s="1"/>
  <c r="CC1690" i="1"/>
  <c r="U1696" i="1"/>
  <c r="X1696" i="1" s="1"/>
  <c r="Z1696" i="1" s="1"/>
  <c r="AI1696" i="1"/>
  <c r="AN1696" i="1"/>
  <c r="AJ1691" i="1" l="1"/>
  <c r="CC1691" i="1" s="1"/>
  <c r="V1692" i="1"/>
  <c r="AE1691" i="1"/>
  <c r="AH1692" i="1"/>
  <c r="AO1692" i="1" s="1"/>
  <c r="AQ1692" i="1" s="1"/>
  <c r="AW1689" i="1"/>
  <c r="AK1690" i="1"/>
  <c r="AG1690" i="1"/>
  <c r="AX1690" i="1" s="1"/>
  <c r="AY1690" i="1"/>
  <c r="AZ1690" i="1" s="1"/>
  <c r="AN1697" i="1"/>
  <c r="U1697" i="1"/>
  <c r="X1697" i="1" s="1"/>
  <c r="Z1697" i="1" s="1"/>
  <c r="AI1697" i="1"/>
  <c r="AJ1692" i="1" l="1"/>
  <c r="V1693" i="1"/>
  <c r="AE1692" i="1"/>
  <c r="AH1693" i="1"/>
  <c r="AO1693" i="1" s="1"/>
  <c r="AQ1693" i="1" s="1"/>
  <c r="AK1691" i="1"/>
  <c r="AW1690" i="1"/>
  <c r="AY1691" i="1"/>
  <c r="AZ1691" i="1" s="1"/>
  <c r="AG1691" i="1"/>
  <c r="AX1691" i="1" s="1"/>
  <c r="CC1692" i="1"/>
  <c r="AI1698" i="1"/>
  <c r="AN1698" i="1"/>
  <c r="U1698" i="1"/>
  <c r="X1698" i="1" s="1"/>
  <c r="Z1698" i="1" s="1"/>
  <c r="AJ1693" i="1" l="1"/>
  <c r="AE1693" i="1"/>
  <c r="V1694" i="1"/>
  <c r="AH1694" i="1"/>
  <c r="AO1694" i="1" s="1"/>
  <c r="AQ1694" i="1" s="1"/>
  <c r="AW1691" i="1"/>
  <c r="AK1692" i="1"/>
  <c r="AG1692" i="1"/>
  <c r="AX1692" i="1" s="1"/>
  <c r="AY1692" i="1"/>
  <c r="AZ1692" i="1" s="1"/>
  <c r="CC1693" i="1"/>
  <c r="AI1699" i="1"/>
  <c r="AN1699" i="1"/>
  <c r="U1699" i="1"/>
  <c r="X1699" i="1" s="1"/>
  <c r="Z1699" i="1" s="1"/>
  <c r="AJ1694" i="1" l="1"/>
  <c r="CC1694" i="1" s="1"/>
  <c r="AE1694" i="1"/>
  <c r="V1695" i="1"/>
  <c r="AH1695" i="1"/>
  <c r="AO1695" i="1" s="1"/>
  <c r="AQ1695" i="1" s="1"/>
  <c r="AK1693" i="1"/>
  <c r="AW1692" i="1"/>
  <c r="AG1693" i="1"/>
  <c r="AX1693" i="1" s="1"/>
  <c r="AY1693" i="1"/>
  <c r="AZ1693" i="1" s="1"/>
  <c r="AI1700" i="1"/>
  <c r="U1700" i="1"/>
  <c r="X1700" i="1" s="1"/>
  <c r="Z1700" i="1" s="1"/>
  <c r="AN1700" i="1"/>
  <c r="AJ1695" i="1" l="1"/>
  <c r="AE1695" i="1"/>
  <c r="V1696" i="1"/>
  <c r="AH1696" i="1"/>
  <c r="AO1696" i="1" s="1"/>
  <c r="AQ1696" i="1" s="1"/>
  <c r="AK1694" i="1"/>
  <c r="AW1693" i="1"/>
  <c r="AG1694" i="1"/>
  <c r="AX1694" i="1" s="1"/>
  <c r="AY1694" i="1"/>
  <c r="AZ1694" i="1" s="1"/>
  <c r="CC1695" i="1"/>
  <c r="U1701" i="1"/>
  <c r="X1701" i="1" s="1"/>
  <c r="Z1701" i="1" s="1"/>
  <c r="AN1701" i="1"/>
  <c r="AI1701" i="1"/>
  <c r="AJ1696" i="1" l="1"/>
  <c r="CC1696" i="1" s="1"/>
  <c r="V1697" i="1"/>
  <c r="AE1696" i="1"/>
  <c r="AH1697" i="1"/>
  <c r="AO1697" i="1" s="1"/>
  <c r="AQ1697" i="1" s="1"/>
  <c r="AW1694" i="1"/>
  <c r="AK1695" i="1"/>
  <c r="AY1695" i="1"/>
  <c r="AZ1695" i="1" s="1"/>
  <c r="AG1695" i="1"/>
  <c r="AX1695" i="1" s="1"/>
  <c r="AI1702" i="1"/>
  <c r="AN1702" i="1"/>
  <c r="U1702" i="1"/>
  <c r="X1702" i="1" s="1"/>
  <c r="Z1702" i="1" s="1"/>
  <c r="AJ1697" i="1" l="1"/>
  <c r="AK1696" i="1"/>
  <c r="AW1695" i="1"/>
  <c r="AE1697" i="1"/>
  <c r="V1698" i="1"/>
  <c r="AH1698" i="1"/>
  <c r="AO1698" i="1" s="1"/>
  <c r="AQ1698" i="1" s="1"/>
  <c r="AY1696" i="1"/>
  <c r="AZ1696" i="1" s="1"/>
  <c r="AG1696" i="1"/>
  <c r="AX1696" i="1" s="1"/>
  <c r="CC1697" i="1"/>
  <c r="AI1703" i="1"/>
  <c r="AN1703" i="1"/>
  <c r="U1703" i="1"/>
  <c r="X1703" i="1" s="1"/>
  <c r="Z1703" i="1" s="1"/>
  <c r="AJ1698" i="1" l="1"/>
  <c r="CC1698" i="1" s="1"/>
  <c r="AE1698" i="1"/>
  <c r="V1699" i="1"/>
  <c r="AH1699" i="1"/>
  <c r="AJ1699" i="1" s="1"/>
  <c r="AW1696" i="1"/>
  <c r="AK1697" i="1"/>
  <c r="AG1697" i="1"/>
  <c r="AX1697" i="1" s="1"/>
  <c r="AY1697" i="1"/>
  <c r="AZ1697" i="1" s="1"/>
  <c r="AN1704" i="1"/>
  <c r="U1704" i="1"/>
  <c r="X1704" i="1" s="1"/>
  <c r="Z1704" i="1" s="1"/>
  <c r="AI1704" i="1"/>
  <c r="AK1698" i="1" l="1"/>
  <c r="AW1697" i="1"/>
  <c r="AE1699" i="1"/>
  <c r="V1700" i="1"/>
  <c r="AH1700" i="1"/>
  <c r="AJ1700" i="1" s="1"/>
  <c r="AO1699" i="1"/>
  <c r="AQ1699" i="1" s="1"/>
  <c r="CC1699" i="1"/>
  <c r="AY1698" i="1"/>
  <c r="AZ1698" i="1" s="1"/>
  <c r="AG1698" i="1"/>
  <c r="AX1698" i="1" s="1"/>
  <c r="AI1705" i="1"/>
  <c r="AN1705" i="1"/>
  <c r="U1705" i="1"/>
  <c r="X1705" i="1" s="1"/>
  <c r="Z1705" i="1" s="1"/>
  <c r="V1701" i="1" l="1"/>
  <c r="AE1700" i="1"/>
  <c r="AH1701" i="1"/>
  <c r="AO1701" i="1" s="1"/>
  <c r="AQ1701" i="1" s="1"/>
  <c r="AW1698" i="1"/>
  <c r="AK1699" i="1"/>
  <c r="AO1700" i="1"/>
  <c r="AQ1700" i="1" s="1"/>
  <c r="CC1700" i="1"/>
  <c r="AG1699" i="1"/>
  <c r="AX1699" i="1" s="1"/>
  <c r="AY1699" i="1"/>
  <c r="AZ1699" i="1" s="1"/>
  <c r="AI1706" i="1"/>
  <c r="AN1706" i="1"/>
  <c r="U1706" i="1"/>
  <c r="X1706" i="1" s="1"/>
  <c r="Z1706" i="1" s="1"/>
  <c r="AJ1701" i="1" l="1"/>
  <c r="AK1701" i="1" s="1"/>
  <c r="V1702" i="1"/>
  <c r="AE1701" i="1"/>
  <c r="AH1702" i="1"/>
  <c r="AO1702" i="1" s="1"/>
  <c r="AQ1702" i="1" s="1"/>
  <c r="AK1700" i="1"/>
  <c r="AW1699" i="1"/>
  <c r="AY1700" i="1"/>
  <c r="AZ1700" i="1" s="1"/>
  <c r="AG1700" i="1"/>
  <c r="AX1700" i="1" s="1"/>
  <c r="AN1707" i="1"/>
  <c r="U1707" i="1"/>
  <c r="X1707" i="1" s="1"/>
  <c r="Z1707" i="1" s="1"/>
  <c r="AI1707" i="1"/>
  <c r="AJ1702" i="1" l="1"/>
  <c r="AW1700" i="1"/>
  <c r="CC1701" i="1"/>
  <c r="AE1702" i="1"/>
  <c r="V1703" i="1"/>
  <c r="AH1703" i="1"/>
  <c r="AO1703" i="1" s="1"/>
  <c r="AQ1703" i="1" s="1"/>
  <c r="AY1701" i="1"/>
  <c r="AZ1701" i="1" s="1"/>
  <c r="AG1701" i="1"/>
  <c r="AX1701" i="1" s="1"/>
  <c r="U1708" i="1"/>
  <c r="X1708" i="1" s="1"/>
  <c r="Z1708" i="1" s="1"/>
  <c r="AN1708" i="1"/>
  <c r="AI1708" i="1"/>
  <c r="AJ1703" i="1" l="1"/>
  <c r="AW1701" i="1"/>
  <c r="CC1702" i="1"/>
  <c r="AK1702" i="1"/>
  <c r="V1704" i="1"/>
  <c r="AE1703" i="1"/>
  <c r="AH1704" i="1"/>
  <c r="AJ1704" i="1" s="1"/>
  <c r="AY1702" i="1"/>
  <c r="AZ1702" i="1" s="1"/>
  <c r="AG1702" i="1"/>
  <c r="AX1702" i="1" s="1"/>
  <c r="AI1709" i="1"/>
  <c r="U1709" i="1"/>
  <c r="X1709" i="1" s="1"/>
  <c r="Z1709" i="1" s="1"/>
  <c r="AN1709" i="1"/>
  <c r="AW1702" i="1" l="1"/>
  <c r="CC1703" i="1"/>
  <c r="AK1703" i="1"/>
  <c r="AO1704" i="1"/>
  <c r="AQ1704" i="1" s="1"/>
  <c r="CC1704" i="1"/>
  <c r="AE1704" i="1"/>
  <c r="V1705" i="1"/>
  <c r="AH1705" i="1"/>
  <c r="AO1705" i="1" s="1"/>
  <c r="AQ1705" i="1" s="1"/>
  <c r="AY1703" i="1"/>
  <c r="AZ1703" i="1" s="1"/>
  <c r="AG1703" i="1"/>
  <c r="AX1703" i="1" s="1"/>
  <c r="AN1710" i="1"/>
  <c r="U1710" i="1"/>
  <c r="X1710" i="1" s="1"/>
  <c r="Z1710" i="1" s="1"/>
  <c r="AI1710" i="1"/>
  <c r="AJ1705" i="1" l="1"/>
  <c r="AE1705" i="1"/>
  <c r="V1706" i="1"/>
  <c r="AH1706" i="1"/>
  <c r="AJ1706" i="1" s="1"/>
  <c r="AY1704" i="1"/>
  <c r="AZ1704" i="1" s="1"/>
  <c r="AG1704" i="1"/>
  <c r="AX1704" i="1" s="1"/>
  <c r="AK1704" i="1"/>
  <c r="AW1703" i="1"/>
  <c r="CC1705" i="1"/>
  <c r="AN1711" i="1"/>
  <c r="U1711" i="1"/>
  <c r="X1711" i="1" s="1"/>
  <c r="Z1711" i="1" s="1"/>
  <c r="AI1711" i="1"/>
  <c r="AK1705" i="1" l="1"/>
  <c r="AW1704" i="1"/>
  <c r="V1707" i="1"/>
  <c r="AE1706" i="1"/>
  <c r="AH1707" i="1"/>
  <c r="AJ1707" i="1" s="1"/>
  <c r="AO1706" i="1"/>
  <c r="AQ1706" i="1" s="1"/>
  <c r="CC1706" i="1"/>
  <c r="AY1705" i="1"/>
  <c r="AZ1705" i="1" s="1"/>
  <c r="AG1705" i="1"/>
  <c r="AX1705" i="1" s="1"/>
  <c r="AN1712" i="1"/>
  <c r="U1712" i="1"/>
  <c r="X1712" i="1" s="1"/>
  <c r="Z1712" i="1" s="1"/>
  <c r="AI1712" i="1"/>
  <c r="V1708" i="1" l="1"/>
  <c r="AE1707" i="1"/>
  <c r="AH1708" i="1"/>
  <c r="AO1708" i="1" s="1"/>
  <c r="AQ1708" i="1" s="1"/>
  <c r="AO1707" i="1"/>
  <c r="AQ1707" i="1" s="1"/>
  <c r="CC1707" i="1"/>
  <c r="AW1705" i="1"/>
  <c r="AK1706" i="1"/>
  <c r="AG1706" i="1"/>
  <c r="AX1706" i="1" s="1"/>
  <c r="AY1706" i="1"/>
  <c r="AZ1706" i="1" s="1"/>
  <c r="U1713" i="1"/>
  <c r="X1713" i="1" s="1"/>
  <c r="Z1713" i="1" s="1"/>
  <c r="AI1713" i="1"/>
  <c r="AN1713" i="1"/>
  <c r="AJ1708" i="1" l="1"/>
  <c r="CC1708" i="1" s="1"/>
  <c r="AK1707" i="1"/>
  <c r="AW1706" i="1"/>
  <c r="V1709" i="1"/>
  <c r="AE1708" i="1"/>
  <c r="AH1709" i="1"/>
  <c r="AO1709" i="1" s="1"/>
  <c r="AQ1709" i="1" s="1"/>
  <c r="AG1707" i="1"/>
  <c r="AX1707" i="1" s="1"/>
  <c r="AY1707" i="1"/>
  <c r="AZ1707" i="1" s="1"/>
  <c r="AI1714" i="1"/>
  <c r="AN1714" i="1"/>
  <c r="U1714" i="1"/>
  <c r="X1714" i="1" s="1"/>
  <c r="Z1714" i="1" s="1"/>
  <c r="AJ1709" i="1" l="1"/>
  <c r="AK1709" i="1" s="1"/>
  <c r="V1710" i="1"/>
  <c r="AE1709" i="1"/>
  <c r="AH1710" i="1"/>
  <c r="AJ1710" i="1" s="1"/>
  <c r="AK1708" i="1"/>
  <c r="AW1707" i="1"/>
  <c r="AY1708" i="1"/>
  <c r="AZ1708" i="1" s="1"/>
  <c r="AG1708" i="1"/>
  <c r="AX1708" i="1" s="1"/>
  <c r="AI1715" i="1"/>
  <c r="U1715" i="1"/>
  <c r="X1715" i="1" s="1"/>
  <c r="Z1715" i="1" s="1"/>
  <c r="AN1715" i="1"/>
  <c r="CC1710" i="1" l="1"/>
  <c r="V1711" i="1"/>
  <c r="AW1708" i="1"/>
  <c r="CC1709" i="1"/>
  <c r="AE1710" i="1"/>
  <c r="AH1711" i="1"/>
  <c r="AJ1711" i="1" s="1"/>
  <c r="AK1710" i="1"/>
  <c r="AW1709" i="1"/>
  <c r="AY1709" i="1"/>
  <c r="AZ1709" i="1" s="1"/>
  <c r="AG1709" i="1"/>
  <c r="AX1709" i="1" s="1"/>
  <c r="AO1710" i="1"/>
  <c r="AQ1710" i="1" s="1"/>
  <c r="U1716" i="1"/>
  <c r="X1716" i="1" s="1"/>
  <c r="Z1716" i="1" s="1"/>
  <c r="AI1716" i="1"/>
  <c r="AN1716" i="1"/>
  <c r="AO1711" i="1" l="1"/>
  <c r="AQ1711" i="1" s="1"/>
  <c r="AE1711" i="1"/>
  <c r="V1712" i="1"/>
  <c r="AH1712" i="1"/>
  <c r="AJ1712" i="1" s="1"/>
  <c r="AY1710" i="1"/>
  <c r="AZ1710" i="1" s="1"/>
  <c r="AG1710" i="1"/>
  <c r="AX1710" i="1" s="1"/>
  <c r="AN1717" i="1"/>
  <c r="U1717" i="1"/>
  <c r="X1717" i="1" s="1"/>
  <c r="Z1717" i="1" s="1"/>
  <c r="AI1717" i="1"/>
  <c r="AK1711" i="1" l="1"/>
  <c r="CC1711" i="1"/>
  <c r="AW1710" i="1"/>
  <c r="AE1712" i="1"/>
  <c r="V1713" i="1"/>
  <c r="AH1713" i="1"/>
  <c r="AJ1713" i="1" s="1"/>
  <c r="AO1712" i="1"/>
  <c r="AQ1712" i="1" s="1"/>
  <c r="CC1712" i="1"/>
  <c r="AY1711" i="1"/>
  <c r="AZ1711" i="1" s="1"/>
  <c r="AG1711" i="1"/>
  <c r="AX1711" i="1" s="1"/>
  <c r="U1718" i="1"/>
  <c r="X1718" i="1" s="1"/>
  <c r="Z1718" i="1" s="1"/>
  <c r="AN1718" i="1"/>
  <c r="AI1718" i="1"/>
  <c r="AE1713" i="1" l="1"/>
  <c r="V1714" i="1"/>
  <c r="AH1714" i="1"/>
  <c r="AJ1714" i="1" s="1"/>
  <c r="AK1712" i="1"/>
  <c r="AW1711" i="1"/>
  <c r="AO1713" i="1"/>
  <c r="AQ1713" i="1" s="1"/>
  <c r="CC1713" i="1"/>
  <c r="AG1712" i="1"/>
  <c r="AX1712" i="1" s="1"/>
  <c r="AY1712" i="1"/>
  <c r="AZ1712" i="1" s="1"/>
  <c r="AI1719" i="1"/>
  <c r="U1719" i="1"/>
  <c r="X1719" i="1" s="1"/>
  <c r="Z1719" i="1" s="1"/>
  <c r="AN1719" i="1"/>
  <c r="AE1714" i="1" l="1"/>
  <c r="V1715" i="1"/>
  <c r="AH1715" i="1"/>
  <c r="AJ1715" i="1" s="1"/>
  <c r="AW1712" i="1"/>
  <c r="AK1713" i="1"/>
  <c r="CC1714" i="1"/>
  <c r="AO1714" i="1"/>
  <c r="AQ1714" i="1" s="1"/>
  <c r="AG1713" i="1"/>
  <c r="AX1713" i="1" s="1"/>
  <c r="AY1713" i="1"/>
  <c r="AZ1713" i="1" s="1"/>
  <c r="U1720" i="1"/>
  <c r="X1720" i="1" s="1"/>
  <c r="Z1720" i="1" s="1"/>
  <c r="AI1720" i="1"/>
  <c r="AN1720" i="1"/>
  <c r="AW1713" i="1" l="1"/>
  <c r="AK1714" i="1"/>
  <c r="V1716" i="1"/>
  <c r="AE1715" i="1"/>
  <c r="AH1716" i="1"/>
  <c r="AJ1716" i="1" s="1"/>
  <c r="AO1715" i="1"/>
  <c r="AQ1715" i="1" s="1"/>
  <c r="CC1715" i="1"/>
  <c r="AY1714" i="1"/>
  <c r="AZ1714" i="1" s="1"/>
  <c r="AG1714" i="1"/>
  <c r="AX1714" i="1" s="1"/>
  <c r="U1721" i="1"/>
  <c r="X1721" i="1" s="1"/>
  <c r="Z1721" i="1" s="1"/>
  <c r="AN1721" i="1"/>
  <c r="AI1721" i="1"/>
  <c r="AO1716" i="1" l="1"/>
  <c r="AQ1716" i="1" s="1"/>
  <c r="CC1716" i="1"/>
  <c r="AW1714" i="1"/>
  <c r="AK1715" i="1"/>
  <c r="AE1716" i="1"/>
  <c r="V1717" i="1"/>
  <c r="AH1717" i="1"/>
  <c r="AJ1717" i="1" s="1"/>
  <c r="AY1715" i="1"/>
  <c r="AZ1715" i="1" s="1"/>
  <c r="AG1715" i="1"/>
  <c r="AX1715" i="1" s="1"/>
  <c r="AI1722" i="1"/>
  <c r="U1722" i="1"/>
  <c r="X1722" i="1" s="1"/>
  <c r="Z1722" i="1" s="1"/>
  <c r="AN1722" i="1"/>
  <c r="V1718" i="1" l="1"/>
  <c r="AE1717" i="1"/>
  <c r="AH1718" i="1"/>
  <c r="AJ1718" i="1" s="1"/>
  <c r="AO1717" i="1"/>
  <c r="AQ1717" i="1" s="1"/>
  <c r="CC1717" i="1"/>
  <c r="AG1716" i="1"/>
  <c r="AX1716" i="1" s="1"/>
  <c r="AY1716" i="1"/>
  <c r="AZ1716" i="1" s="1"/>
  <c r="AK1716" i="1"/>
  <c r="AW1715" i="1"/>
  <c r="AN1723" i="1"/>
  <c r="AI1723" i="1"/>
  <c r="U1723" i="1"/>
  <c r="X1723" i="1" s="1"/>
  <c r="Z1723" i="1" s="1"/>
  <c r="AO1718" i="1" l="1"/>
  <c r="AQ1718" i="1" s="1"/>
  <c r="CC1718" i="1"/>
  <c r="V1719" i="1"/>
  <c r="AE1718" i="1"/>
  <c r="AH1719" i="1"/>
  <c r="AO1719" i="1" s="1"/>
  <c r="AQ1719" i="1" s="1"/>
  <c r="AK1718" i="1"/>
  <c r="AW1717" i="1"/>
  <c r="AW1716" i="1"/>
  <c r="AK1717" i="1"/>
  <c r="AG1717" i="1"/>
  <c r="AX1717" i="1" s="1"/>
  <c r="AY1717" i="1"/>
  <c r="AZ1717" i="1" s="1"/>
  <c r="U1724" i="1"/>
  <c r="X1724" i="1" s="1"/>
  <c r="Z1724" i="1" s="1"/>
  <c r="AI1724" i="1"/>
  <c r="AN1724" i="1"/>
  <c r="AJ1719" i="1" l="1"/>
  <c r="CC1719" i="1" s="1"/>
  <c r="AE1719" i="1"/>
  <c r="V1720" i="1"/>
  <c r="AH1720" i="1"/>
  <c r="AJ1720" i="1" s="1"/>
  <c r="AG1718" i="1"/>
  <c r="AX1718" i="1" s="1"/>
  <c r="AY1718" i="1"/>
  <c r="AZ1718" i="1" s="1"/>
  <c r="AN1725" i="1"/>
  <c r="AI1725" i="1"/>
  <c r="U1725" i="1"/>
  <c r="X1725" i="1" s="1"/>
  <c r="Z1725" i="1" s="1"/>
  <c r="AK1719" i="1" l="1"/>
  <c r="AW1718" i="1"/>
  <c r="V1721" i="1"/>
  <c r="AE1720" i="1"/>
  <c r="AH1721" i="1"/>
  <c r="AO1721" i="1" s="1"/>
  <c r="AQ1721" i="1" s="1"/>
  <c r="AO1720" i="1"/>
  <c r="AQ1720" i="1" s="1"/>
  <c r="CC1720" i="1"/>
  <c r="AG1719" i="1"/>
  <c r="AX1719" i="1" s="1"/>
  <c r="AY1719" i="1"/>
  <c r="AZ1719" i="1" s="1"/>
  <c r="U1726" i="1"/>
  <c r="X1726" i="1" s="1"/>
  <c r="Z1726" i="1" s="1"/>
  <c r="AI1726" i="1"/>
  <c r="AN1726" i="1"/>
  <c r="AJ1721" i="1" l="1"/>
  <c r="V1722" i="1"/>
  <c r="AW1719" i="1"/>
  <c r="AK1720" i="1"/>
  <c r="AE1721" i="1"/>
  <c r="AH1722" i="1"/>
  <c r="AJ1722" i="1" s="1"/>
  <c r="AG1720" i="1"/>
  <c r="AX1720" i="1" s="1"/>
  <c r="AY1720" i="1"/>
  <c r="AZ1720" i="1" s="1"/>
  <c r="CC1721" i="1"/>
  <c r="AN1727" i="1"/>
  <c r="U1727" i="1"/>
  <c r="X1727" i="1" s="1"/>
  <c r="Z1727" i="1" s="1"/>
  <c r="AI1727" i="1"/>
  <c r="AW1720" i="1" l="1"/>
  <c r="AK1721" i="1"/>
  <c r="AE1722" i="1"/>
  <c r="AH1723" i="1"/>
  <c r="AO1723" i="1" s="1"/>
  <c r="AQ1723" i="1" s="1"/>
  <c r="V1723" i="1"/>
  <c r="AO1722" i="1"/>
  <c r="AQ1722" i="1" s="1"/>
  <c r="CC1722" i="1"/>
  <c r="AY1721" i="1"/>
  <c r="AZ1721" i="1" s="1"/>
  <c r="AG1721" i="1"/>
  <c r="AX1721" i="1" s="1"/>
  <c r="U1728" i="1"/>
  <c r="X1728" i="1" s="1"/>
  <c r="Z1728" i="1" s="1"/>
  <c r="AN1728" i="1"/>
  <c r="AI1728" i="1"/>
  <c r="AJ1723" i="1" l="1"/>
  <c r="CC1723" i="1" s="1"/>
  <c r="AK1722" i="1"/>
  <c r="AW1721" i="1"/>
  <c r="AE1723" i="1"/>
  <c r="V1724" i="1"/>
  <c r="AH1724" i="1"/>
  <c r="AJ1724" i="1" s="1"/>
  <c r="AY1722" i="1"/>
  <c r="AZ1722" i="1" s="1"/>
  <c r="AG1722" i="1"/>
  <c r="AX1722" i="1" s="1"/>
  <c r="AN1729" i="1"/>
  <c r="AI1729" i="1"/>
  <c r="U1729" i="1"/>
  <c r="X1729" i="1" s="1"/>
  <c r="Z1729" i="1" s="1"/>
  <c r="AW1722" i="1" l="1"/>
  <c r="AK1723" i="1"/>
  <c r="V1725" i="1"/>
  <c r="AE1724" i="1"/>
  <c r="AH1725" i="1"/>
  <c r="AO1725" i="1" s="1"/>
  <c r="AQ1725" i="1" s="1"/>
  <c r="AO1724" i="1"/>
  <c r="AQ1724" i="1" s="1"/>
  <c r="CC1724" i="1"/>
  <c r="AY1723" i="1"/>
  <c r="AZ1723" i="1" s="1"/>
  <c r="AG1723" i="1"/>
  <c r="AX1723" i="1" s="1"/>
  <c r="AN1730" i="1"/>
  <c r="U1730" i="1"/>
  <c r="X1730" i="1" s="1"/>
  <c r="Z1730" i="1" s="1"/>
  <c r="AI1730" i="1"/>
  <c r="AJ1725" i="1" l="1"/>
  <c r="AE1725" i="1"/>
  <c r="V1726" i="1"/>
  <c r="AH1726" i="1"/>
  <c r="AO1726" i="1" s="1"/>
  <c r="AQ1726" i="1" s="1"/>
  <c r="AK1724" i="1"/>
  <c r="AW1723" i="1"/>
  <c r="AG1724" i="1"/>
  <c r="AX1724" i="1" s="1"/>
  <c r="AY1724" i="1"/>
  <c r="AZ1724" i="1" s="1"/>
  <c r="AI1731" i="1"/>
  <c r="AN1731" i="1"/>
  <c r="U1731" i="1"/>
  <c r="X1731" i="1" s="1"/>
  <c r="Z1731" i="1" s="1"/>
  <c r="AJ1726" i="1" l="1"/>
  <c r="CC1726" i="1" s="1"/>
  <c r="AW1724" i="1"/>
  <c r="CC1725" i="1"/>
  <c r="AK1725" i="1"/>
  <c r="AE1726" i="1"/>
  <c r="V1727" i="1"/>
  <c r="AH1727" i="1"/>
  <c r="AJ1727" i="1" s="1"/>
  <c r="AG1725" i="1"/>
  <c r="AX1725" i="1" s="1"/>
  <c r="AY1725" i="1"/>
  <c r="AZ1725" i="1" s="1"/>
  <c r="AI1732" i="1"/>
  <c r="U1732" i="1"/>
  <c r="X1732" i="1" s="1"/>
  <c r="Z1732" i="1" s="1"/>
  <c r="AN1732" i="1"/>
  <c r="AW1725" i="1" l="1"/>
  <c r="AK1726" i="1"/>
  <c r="AE1727" i="1"/>
  <c r="V1728" i="1"/>
  <c r="AH1728" i="1"/>
  <c r="AJ1728" i="1" s="1"/>
  <c r="AO1727" i="1"/>
  <c r="AQ1727" i="1" s="1"/>
  <c r="CC1727" i="1"/>
  <c r="AY1726" i="1"/>
  <c r="AZ1726" i="1" s="1"/>
  <c r="AG1726" i="1"/>
  <c r="AX1726" i="1" s="1"/>
  <c r="U1733" i="1"/>
  <c r="X1733" i="1" s="1"/>
  <c r="Z1733" i="1" s="1"/>
  <c r="AI1733" i="1"/>
  <c r="AN1733" i="1"/>
  <c r="AE1728" i="1" l="1"/>
  <c r="V1729" i="1"/>
  <c r="AH1729" i="1"/>
  <c r="AJ1729" i="1" s="1"/>
  <c r="AK1727" i="1"/>
  <c r="AW1726" i="1"/>
  <c r="AO1728" i="1"/>
  <c r="AQ1728" i="1" s="1"/>
  <c r="CC1728" i="1"/>
  <c r="AY1727" i="1"/>
  <c r="AZ1727" i="1" s="1"/>
  <c r="AG1727" i="1"/>
  <c r="AX1727" i="1" s="1"/>
  <c r="U1734" i="1"/>
  <c r="X1734" i="1" s="1"/>
  <c r="Z1734" i="1" s="1"/>
  <c r="AN1734" i="1"/>
  <c r="AI1734" i="1"/>
  <c r="AE1729" i="1" l="1"/>
  <c r="V1730" i="1"/>
  <c r="AH1730" i="1"/>
  <c r="AO1730" i="1" s="1"/>
  <c r="AQ1730" i="1" s="1"/>
  <c r="AW1727" i="1"/>
  <c r="AK1728" i="1"/>
  <c r="AO1729" i="1"/>
  <c r="AQ1729" i="1" s="1"/>
  <c r="CC1729" i="1"/>
  <c r="AY1728" i="1"/>
  <c r="AZ1728" i="1" s="1"/>
  <c r="AG1728" i="1"/>
  <c r="AX1728" i="1" s="1"/>
  <c r="U1735" i="1"/>
  <c r="X1735" i="1" s="1"/>
  <c r="Z1735" i="1" s="1"/>
  <c r="AN1735" i="1"/>
  <c r="AI1735" i="1"/>
  <c r="AJ1730" i="1" l="1"/>
  <c r="CC1730" i="1" s="1"/>
  <c r="AW1728" i="1"/>
  <c r="AK1729" i="1"/>
  <c r="AE1730" i="1"/>
  <c r="V1731" i="1"/>
  <c r="AH1731" i="1"/>
  <c r="AJ1731" i="1" s="1"/>
  <c r="AY1729" i="1"/>
  <c r="AZ1729" i="1" s="1"/>
  <c r="AG1729" i="1"/>
  <c r="AX1729" i="1" s="1"/>
  <c r="U1736" i="1"/>
  <c r="X1736" i="1" s="1"/>
  <c r="Z1736" i="1" s="1"/>
  <c r="AI1736" i="1"/>
  <c r="AN1736" i="1"/>
  <c r="AW1729" i="1" l="1"/>
  <c r="AK1730" i="1"/>
  <c r="V1732" i="1"/>
  <c r="AE1731" i="1"/>
  <c r="AH1732" i="1"/>
  <c r="AO1732" i="1" s="1"/>
  <c r="AQ1732" i="1" s="1"/>
  <c r="AO1731" i="1"/>
  <c r="AQ1731" i="1" s="1"/>
  <c r="CC1731" i="1"/>
  <c r="AY1730" i="1"/>
  <c r="AZ1730" i="1" s="1"/>
  <c r="AG1730" i="1"/>
  <c r="AX1730" i="1" s="1"/>
  <c r="AI1737" i="1"/>
  <c r="AN1737" i="1"/>
  <c r="U1737" i="1"/>
  <c r="X1737" i="1" s="1"/>
  <c r="Z1737" i="1" s="1"/>
  <c r="AJ1732" i="1" l="1"/>
  <c r="CC1732" i="1" s="1"/>
  <c r="V1733" i="1"/>
  <c r="AE1732" i="1"/>
  <c r="AH1733" i="1"/>
  <c r="AO1733" i="1" s="1"/>
  <c r="AQ1733" i="1" s="1"/>
  <c r="AK1731" i="1"/>
  <c r="AW1730" i="1"/>
  <c r="AG1731" i="1"/>
  <c r="AX1731" i="1" s="1"/>
  <c r="AY1731" i="1"/>
  <c r="AZ1731" i="1" s="1"/>
  <c r="U1738" i="1"/>
  <c r="X1738" i="1" s="1"/>
  <c r="Z1738" i="1" s="1"/>
  <c r="AN1738" i="1"/>
  <c r="AI1738" i="1"/>
  <c r="AW1731" i="1" l="1"/>
  <c r="AJ1733" i="1"/>
  <c r="AK1732" i="1"/>
  <c r="V1734" i="1"/>
  <c r="AE1733" i="1"/>
  <c r="AH1734" i="1"/>
  <c r="AO1734" i="1" s="1"/>
  <c r="AQ1734" i="1" s="1"/>
  <c r="AY1732" i="1"/>
  <c r="AZ1732" i="1" s="1"/>
  <c r="AG1732" i="1"/>
  <c r="AX1732" i="1" s="1"/>
  <c r="CC1733" i="1"/>
  <c r="U1739" i="1"/>
  <c r="X1739" i="1" s="1"/>
  <c r="Z1739" i="1" s="1"/>
  <c r="AN1739" i="1"/>
  <c r="AI1739" i="1"/>
  <c r="AJ1734" i="1" l="1"/>
  <c r="V1735" i="1"/>
  <c r="AE1734" i="1"/>
  <c r="AH1735" i="1"/>
  <c r="AO1735" i="1" s="1"/>
  <c r="AQ1735" i="1" s="1"/>
  <c r="AK1733" i="1"/>
  <c r="AW1732" i="1"/>
  <c r="AG1733" i="1"/>
  <c r="AX1733" i="1" s="1"/>
  <c r="AY1733" i="1"/>
  <c r="AZ1733" i="1" s="1"/>
  <c r="CC1734" i="1"/>
  <c r="U1740" i="1"/>
  <c r="X1740" i="1" s="1"/>
  <c r="Z1740" i="1" s="1"/>
  <c r="AN1740" i="1"/>
  <c r="AI1740" i="1"/>
  <c r="AJ1735" i="1" l="1"/>
  <c r="AE1735" i="1"/>
  <c r="V1736" i="1"/>
  <c r="AH1736" i="1"/>
  <c r="AJ1736" i="1" s="1"/>
  <c r="AK1734" i="1"/>
  <c r="AW1733" i="1"/>
  <c r="AG1734" i="1"/>
  <c r="AX1734" i="1" s="1"/>
  <c r="AY1734" i="1"/>
  <c r="AZ1734" i="1" s="1"/>
  <c r="AI1741" i="1"/>
  <c r="AN1741" i="1"/>
  <c r="U1741" i="1"/>
  <c r="X1741" i="1" s="1"/>
  <c r="Z1741" i="1" s="1"/>
  <c r="AW1734" i="1" l="1"/>
  <c r="CC1735" i="1"/>
  <c r="AK1735" i="1"/>
  <c r="AO1736" i="1"/>
  <c r="AQ1736" i="1" s="1"/>
  <c r="V1737" i="1"/>
  <c r="AE1736" i="1"/>
  <c r="AH1737" i="1"/>
  <c r="AJ1737" i="1" s="1"/>
  <c r="AG1735" i="1"/>
  <c r="AX1735" i="1" s="1"/>
  <c r="AY1735" i="1"/>
  <c r="AZ1735" i="1" s="1"/>
  <c r="U1742" i="1"/>
  <c r="X1742" i="1" s="1"/>
  <c r="Z1742" i="1" s="1"/>
  <c r="AN1742" i="1"/>
  <c r="AI1742" i="1"/>
  <c r="V1738" i="1" l="1"/>
  <c r="AK1736" i="1"/>
  <c r="CC1736" i="1"/>
  <c r="AW1735" i="1"/>
  <c r="AE1737" i="1"/>
  <c r="AH1738" i="1"/>
  <c r="AO1738" i="1" s="1"/>
  <c r="AQ1738" i="1" s="1"/>
  <c r="AO1737" i="1"/>
  <c r="AQ1737" i="1" s="1"/>
  <c r="CC1737" i="1"/>
  <c r="AY1736" i="1"/>
  <c r="AZ1736" i="1" s="1"/>
  <c r="AG1736" i="1"/>
  <c r="AX1736" i="1" s="1"/>
  <c r="AN1743" i="1"/>
  <c r="AI1743" i="1"/>
  <c r="U1743" i="1"/>
  <c r="X1743" i="1" s="1"/>
  <c r="Z1743" i="1" s="1"/>
  <c r="AJ1738" i="1" l="1"/>
  <c r="CC1738" i="1" s="1"/>
  <c r="AE1738" i="1"/>
  <c r="V1739" i="1"/>
  <c r="AH1739" i="1"/>
  <c r="AJ1739" i="1" s="1"/>
  <c r="AK1737" i="1"/>
  <c r="AW1736" i="1"/>
  <c r="AG1737" i="1"/>
  <c r="AX1737" i="1" s="1"/>
  <c r="AY1737" i="1"/>
  <c r="AZ1737" i="1" s="1"/>
  <c r="AI1744" i="1"/>
  <c r="AN1744" i="1"/>
  <c r="U1744" i="1"/>
  <c r="X1744" i="1" s="1"/>
  <c r="Z1744" i="1" s="1"/>
  <c r="AK1738" i="1" l="1"/>
  <c r="AW1737" i="1"/>
  <c r="AO1739" i="1"/>
  <c r="AQ1739" i="1" s="1"/>
  <c r="AE1739" i="1"/>
  <c r="V1740" i="1"/>
  <c r="AH1740" i="1"/>
  <c r="AJ1740" i="1" s="1"/>
  <c r="AW1738" i="1"/>
  <c r="AY1738" i="1"/>
  <c r="AZ1738" i="1" s="1"/>
  <c r="AG1738" i="1"/>
  <c r="AX1738" i="1" s="1"/>
  <c r="AI1745" i="1"/>
  <c r="U1745" i="1"/>
  <c r="X1745" i="1" s="1"/>
  <c r="Z1745" i="1" s="1"/>
  <c r="AN1745" i="1"/>
  <c r="AK1739" i="1" l="1"/>
  <c r="CC1739" i="1"/>
  <c r="V1741" i="1"/>
  <c r="AE1740" i="1"/>
  <c r="AH1741" i="1"/>
  <c r="AJ1741" i="1" s="1"/>
  <c r="AO1740" i="1"/>
  <c r="AQ1740" i="1" s="1"/>
  <c r="CC1740" i="1"/>
  <c r="AG1739" i="1"/>
  <c r="AX1739" i="1" s="1"/>
  <c r="AY1739" i="1"/>
  <c r="AZ1739" i="1" s="1"/>
  <c r="AN1746" i="1"/>
  <c r="U1746" i="1"/>
  <c r="X1746" i="1" s="1"/>
  <c r="Z1746" i="1" s="1"/>
  <c r="AI1746" i="1"/>
  <c r="AE1741" i="1" l="1"/>
  <c r="V1742" i="1"/>
  <c r="AH1742" i="1"/>
  <c r="AO1742" i="1" s="1"/>
  <c r="AQ1742" i="1" s="1"/>
  <c r="AO1741" i="1"/>
  <c r="AQ1741" i="1" s="1"/>
  <c r="CC1741" i="1"/>
  <c r="AW1739" i="1"/>
  <c r="AK1740" i="1"/>
  <c r="AY1740" i="1"/>
  <c r="AZ1740" i="1" s="1"/>
  <c r="AG1740" i="1"/>
  <c r="AX1740" i="1" s="1"/>
  <c r="AN1747" i="1"/>
  <c r="AI1747" i="1"/>
  <c r="U1747" i="1"/>
  <c r="X1747" i="1" s="1"/>
  <c r="Z1747" i="1" s="1"/>
  <c r="AJ1742" i="1" l="1"/>
  <c r="CC1742" i="1" s="1"/>
  <c r="AW1740" i="1"/>
  <c r="AK1741" i="1"/>
  <c r="AE1742" i="1"/>
  <c r="V1743" i="1"/>
  <c r="AH1743" i="1"/>
  <c r="AJ1743" i="1" s="1"/>
  <c r="AY1741" i="1"/>
  <c r="AZ1741" i="1" s="1"/>
  <c r="AG1741" i="1"/>
  <c r="AX1741" i="1" s="1"/>
  <c r="AN1748" i="1"/>
  <c r="AI1748" i="1"/>
  <c r="U1748" i="1"/>
  <c r="X1748" i="1" s="1"/>
  <c r="Z1748" i="1" s="1"/>
  <c r="AK1742" i="1" l="1"/>
  <c r="AW1741" i="1"/>
  <c r="V1744" i="1"/>
  <c r="AE1743" i="1"/>
  <c r="AH1744" i="1"/>
  <c r="AJ1744" i="1" s="1"/>
  <c r="AO1743" i="1"/>
  <c r="AQ1743" i="1" s="1"/>
  <c r="CC1743" i="1"/>
  <c r="AY1742" i="1"/>
  <c r="AZ1742" i="1" s="1"/>
  <c r="AG1742" i="1"/>
  <c r="AX1742" i="1" s="1"/>
  <c r="AI1749" i="1"/>
  <c r="U1749" i="1"/>
  <c r="X1749" i="1" s="1"/>
  <c r="Z1749" i="1" s="1"/>
  <c r="AN1749" i="1"/>
  <c r="V1745" i="1" l="1"/>
  <c r="AE1744" i="1"/>
  <c r="AH1745" i="1"/>
  <c r="AO1745" i="1" s="1"/>
  <c r="AQ1745" i="1" s="1"/>
  <c r="AO1744" i="1"/>
  <c r="AQ1744" i="1" s="1"/>
  <c r="CC1744" i="1"/>
  <c r="AW1742" i="1"/>
  <c r="AK1743" i="1"/>
  <c r="AG1743" i="1"/>
  <c r="AX1743" i="1" s="1"/>
  <c r="AY1743" i="1"/>
  <c r="AZ1743" i="1" s="1"/>
  <c r="AN1750" i="1"/>
  <c r="AI1750" i="1"/>
  <c r="U1750" i="1"/>
  <c r="X1750" i="1" s="1"/>
  <c r="Z1750" i="1" s="1"/>
  <c r="AJ1745" i="1" l="1"/>
  <c r="CC1745" i="1" s="1"/>
  <c r="AW1743" i="1"/>
  <c r="AK1744" i="1"/>
  <c r="AE1745" i="1"/>
  <c r="V1746" i="1"/>
  <c r="AH1746" i="1"/>
  <c r="AJ1746" i="1" s="1"/>
  <c r="AY1744" i="1"/>
  <c r="AZ1744" i="1" s="1"/>
  <c r="AG1744" i="1"/>
  <c r="AX1744" i="1" s="1"/>
  <c r="AN1751" i="1"/>
  <c r="AI1751" i="1"/>
  <c r="U1751" i="1"/>
  <c r="X1751" i="1" s="1"/>
  <c r="Z1751" i="1" s="1"/>
  <c r="AK1745" i="1" l="1"/>
  <c r="AW1744" i="1"/>
  <c r="AE1746" i="1"/>
  <c r="V1747" i="1"/>
  <c r="AH1747" i="1"/>
  <c r="AJ1747" i="1" s="1"/>
  <c r="AO1746" i="1"/>
  <c r="AQ1746" i="1" s="1"/>
  <c r="CC1746" i="1"/>
  <c r="AY1745" i="1"/>
  <c r="AZ1745" i="1" s="1"/>
  <c r="AG1745" i="1"/>
  <c r="AX1745" i="1" s="1"/>
  <c r="U1752" i="1"/>
  <c r="X1752" i="1" s="1"/>
  <c r="Z1752" i="1" s="1"/>
  <c r="AI1752" i="1"/>
  <c r="AN1752" i="1"/>
  <c r="V1748" i="1" l="1"/>
  <c r="AE1747" i="1"/>
  <c r="AH1748" i="1"/>
  <c r="AO1748" i="1" s="1"/>
  <c r="AQ1748" i="1" s="1"/>
  <c r="AK1746" i="1"/>
  <c r="AW1745" i="1"/>
  <c r="AG1746" i="1"/>
  <c r="AX1746" i="1" s="1"/>
  <c r="AY1746" i="1"/>
  <c r="AZ1746" i="1" s="1"/>
  <c r="AO1747" i="1"/>
  <c r="AQ1747" i="1" s="1"/>
  <c r="AN1753" i="1"/>
  <c r="U1753" i="1"/>
  <c r="X1753" i="1" s="1"/>
  <c r="Z1753" i="1" s="1"/>
  <c r="AI1753" i="1"/>
  <c r="AJ1748" i="1" l="1"/>
  <c r="AW1746" i="1"/>
  <c r="CC1747" i="1"/>
  <c r="AK1747" i="1"/>
  <c r="V1749" i="1"/>
  <c r="AE1748" i="1"/>
  <c r="AH1749" i="1"/>
  <c r="AJ1749" i="1" s="1"/>
  <c r="AG1747" i="1"/>
  <c r="AX1747" i="1" s="1"/>
  <c r="AY1747" i="1"/>
  <c r="AZ1747" i="1" s="1"/>
  <c r="AI1754" i="1"/>
  <c r="AN1754" i="1"/>
  <c r="U1754" i="1"/>
  <c r="X1754" i="1" s="1"/>
  <c r="Z1754" i="1" s="1"/>
  <c r="AW1748" i="1" l="1"/>
  <c r="CC1749" i="1"/>
  <c r="AW1747" i="1"/>
  <c r="CC1748" i="1"/>
  <c r="AK1748" i="1"/>
  <c r="AO1749" i="1"/>
  <c r="AQ1749" i="1" s="1"/>
  <c r="AK1749" i="1"/>
  <c r="AE1749" i="1"/>
  <c r="V1750" i="1"/>
  <c r="AH1750" i="1"/>
  <c r="AO1750" i="1" s="1"/>
  <c r="AQ1750" i="1" s="1"/>
  <c r="AG1748" i="1"/>
  <c r="AX1748" i="1" s="1"/>
  <c r="AY1748" i="1"/>
  <c r="AZ1748" i="1" s="1"/>
  <c r="AI1755" i="1"/>
  <c r="AN1755" i="1"/>
  <c r="U1755" i="1"/>
  <c r="X1755" i="1" s="1"/>
  <c r="Z1755" i="1" s="1"/>
  <c r="AJ1750" i="1" l="1"/>
  <c r="V1751" i="1"/>
  <c r="AE1750" i="1"/>
  <c r="AH1751" i="1"/>
  <c r="AJ1751" i="1" s="1"/>
  <c r="AG1749" i="1"/>
  <c r="AX1749" i="1" s="1"/>
  <c r="AY1749" i="1"/>
  <c r="AZ1749" i="1" s="1"/>
  <c r="AI1756" i="1"/>
  <c r="U1756" i="1"/>
  <c r="X1756" i="1" s="1"/>
  <c r="Z1756" i="1" s="1"/>
  <c r="AN1756" i="1"/>
  <c r="V1752" i="1" l="1"/>
  <c r="AK1750" i="1"/>
  <c r="CC1750" i="1"/>
  <c r="AW1749" i="1"/>
  <c r="AW1750" i="1"/>
  <c r="AE1751" i="1"/>
  <c r="AH1752" i="1"/>
  <c r="AO1752" i="1" s="1"/>
  <c r="AQ1752" i="1" s="1"/>
  <c r="AG1750" i="1"/>
  <c r="AX1750" i="1" s="1"/>
  <c r="AY1750" i="1"/>
  <c r="AZ1750" i="1" s="1"/>
  <c r="AO1751" i="1"/>
  <c r="AQ1751" i="1" s="1"/>
  <c r="AN1757" i="1"/>
  <c r="AI1757" i="1"/>
  <c r="U1757" i="1"/>
  <c r="X1757" i="1" s="1"/>
  <c r="Z1757" i="1" s="1"/>
  <c r="AJ1752" i="1" l="1"/>
  <c r="V1753" i="1"/>
  <c r="AK1751" i="1"/>
  <c r="CC1751" i="1"/>
  <c r="AE1752" i="1"/>
  <c r="AH1753" i="1"/>
  <c r="AJ1753" i="1" s="1"/>
  <c r="AY1751" i="1"/>
  <c r="AZ1751" i="1" s="1"/>
  <c r="AG1751" i="1"/>
  <c r="AX1751" i="1" s="1"/>
  <c r="CC1752" i="1"/>
  <c r="U1758" i="1"/>
  <c r="X1758" i="1" s="1"/>
  <c r="Z1758" i="1" s="1"/>
  <c r="AN1758" i="1"/>
  <c r="AI1758" i="1"/>
  <c r="V1754" i="1" l="1"/>
  <c r="AK1752" i="1"/>
  <c r="AW1751" i="1"/>
  <c r="AE1753" i="1"/>
  <c r="AH1754" i="1"/>
  <c r="AO1754" i="1" s="1"/>
  <c r="AQ1754" i="1" s="1"/>
  <c r="AO1753" i="1"/>
  <c r="AQ1753" i="1" s="1"/>
  <c r="CC1753" i="1"/>
  <c r="AY1752" i="1"/>
  <c r="AZ1752" i="1" s="1"/>
  <c r="AG1752" i="1"/>
  <c r="AX1752" i="1" s="1"/>
  <c r="AN1759" i="1"/>
  <c r="U1759" i="1"/>
  <c r="X1759" i="1" s="1"/>
  <c r="Z1759" i="1" s="1"/>
  <c r="AI1759" i="1"/>
  <c r="AJ1754" i="1" l="1"/>
  <c r="CC1754" i="1" s="1"/>
  <c r="V1755" i="1"/>
  <c r="AW1752" i="1"/>
  <c r="AK1753" i="1"/>
  <c r="AE1754" i="1"/>
  <c r="AH1755" i="1"/>
  <c r="AO1755" i="1" s="1"/>
  <c r="AQ1755" i="1" s="1"/>
  <c r="AG1753" i="1"/>
  <c r="AX1753" i="1" s="1"/>
  <c r="AY1753" i="1"/>
  <c r="AZ1753" i="1" s="1"/>
  <c r="U1760" i="1"/>
  <c r="X1760" i="1" s="1"/>
  <c r="Z1760" i="1" s="1"/>
  <c r="AN1760" i="1"/>
  <c r="AI1760" i="1"/>
  <c r="AJ1755" i="1" l="1"/>
  <c r="CC1755" i="1" s="1"/>
  <c r="AK1754" i="1"/>
  <c r="AW1753" i="1"/>
  <c r="V1756" i="1"/>
  <c r="AE1755" i="1"/>
  <c r="AH1756" i="1"/>
  <c r="AJ1756" i="1" s="1"/>
  <c r="AG1754" i="1"/>
  <c r="AX1754" i="1" s="1"/>
  <c r="AY1754" i="1"/>
  <c r="AZ1754" i="1" s="1"/>
  <c r="U1761" i="1"/>
  <c r="X1761" i="1" s="1"/>
  <c r="Z1761" i="1" s="1"/>
  <c r="AN1761" i="1"/>
  <c r="AI1761" i="1"/>
  <c r="AK1755" i="1" l="1"/>
  <c r="AW1754" i="1"/>
  <c r="AO1756" i="1"/>
  <c r="AQ1756" i="1" s="1"/>
  <c r="CC1756" i="1"/>
  <c r="V1757" i="1"/>
  <c r="AE1756" i="1"/>
  <c r="AH1757" i="1"/>
  <c r="AJ1757" i="1" s="1"/>
  <c r="AY1755" i="1"/>
  <c r="AZ1755" i="1" s="1"/>
  <c r="AG1755" i="1"/>
  <c r="AX1755" i="1" s="1"/>
  <c r="AN1762" i="1"/>
  <c r="U1762" i="1"/>
  <c r="X1762" i="1" s="1"/>
  <c r="Z1762" i="1" s="1"/>
  <c r="AI1762" i="1"/>
  <c r="CC1757" i="1" l="1"/>
  <c r="AK1757" i="1"/>
  <c r="AW1756" i="1"/>
  <c r="V1758" i="1"/>
  <c r="AE1757" i="1"/>
  <c r="AH1758" i="1"/>
  <c r="AO1758" i="1" s="1"/>
  <c r="AQ1758" i="1" s="1"/>
  <c r="AG1756" i="1"/>
  <c r="AX1756" i="1" s="1"/>
  <c r="AY1756" i="1"/>
  <c r="AZ1756" i="1" s="1"/>
  <c r="AK1756" i="1"/>
  <c r="AW1755" i="1"/>
  <c r="AO1757" i="1"/>
  <c r="AQ1757" i="1" s="1"/>
  <c r="AN1763" i="1"/>
  <c r="U1763" i="1"/>
  <c r="X1763" i="1" s="1"/>
  <c r="Z1763" i="1" s="1"/>
  <c r="AI1763" i="1"/>
  <c r="AJ1758" i="1" l="1"/>
  <c r="CC1758" i="1" s="1"/>
  <c r="V1759" i="1"/>
  <c r="AE1758" i="1"/>
  <c r="AH1759" i="1"/>
  <c r="AJ1759" i="1" s="1"/>
  <c r="AG1757" i="1"/>
  <c r="AX1757" i="1" s="1"/>
  <c r="AY1757" i="1"/>
  <c r="AZ1757" i="1" s="1"/>
  <c r="AI1764" i="1"/>
  <c r="AN1764" i="1"/>
  <c r="U1764" i="1"/>
  <c r="X1764" i="1" s="1"/>
  <c r="Z1764" i="1" s="1"/>
  <c r="V1760" i="1" l="1"/>
  <c r="AE1759" i="1"/>
  <c r="AH1760" i="1"/>
  <c r="AJ1760" i="1" s="1"/>
  <c r="AW1757" i="1"/>
  <c r="AK1758" i="1"/>
  <c r="CC1759" i="1"/>
  <c r="AO1759" i="1"/>
  <c r="AQ1759" i="1" s="1"/>
  <c r="AY1758" i="1"/>
  <c r="AZ1758" i="1" s="1"/>
  <c r="AG1758" i="1"/>
  <c r="AX1758" i="1" s="1"/>
  <c r="U1765" i="1"/>
  <c r="X1765" i="1" s="1"/>
  <c r="Z1765" i="1" s="1"/>
  <c r="AI1765" i="1"/>
  <c r="AN1765" i="1"/>
  <c r="CC1760" i="1" l="1"/>
  <c r="V1761" i="1"/>
  <c r="AO1760" i="1"/>
  <c r="AQ1760" i="1" s="1"/>
  <c r="AW1759" i="1"/>
  <c r="AK1760" i="1"/>
  <c r="AK1759" i="1"/>
  <c r="AW1758" i="1"/>
  <c r="AE1760" i="1"/>
  <c r="AH1761" i="1"/>
  <c r="AO1761" i="1" s="1"/>
  <c r="AQ1761" i="1" s="1"/>
  <c r="AG1759" i="1"/>
  <c r="AX1759" i="1" s="1"/>
  <c r="AY1759" i="1"/>
  <c r="AZ1759" i="1" s="1"/>
  <c r="AI1766" i="1"/>
  <c r="AN1766" i="1"/>
  <c r="U1766" i="1"/>
  <c r="X1766" i="1" s="1"/>
  <c r="Z1766" i="1" s="1"/>
  <c r="AJ1761" i="1" l="1"/>
  <c r="AW1760" i="1" s="1"/>
  <c r="V1762" i="1"/>
  <c r="AE1761" i="1"/>
  <c r="AH1762" i="1"/>
  <c r="AO1762" i="1" s="1"/>
  <c r="AQ1762" i="1" s="1"/>
  <c r="AY1760" i="1"/>
  <c r="AZ1760" i="1" s="1"/>
  <c r="AG1760" i="1"/>
  <c r="AX1760" i="1" s="1"/>
  <c r="AN1767" i="1"/>
  <c r="AI1767" i="1"/>
  <c r="U1767" i="1"/>
  <c r="X1767" i="1" s="1"/>
  <c r="Z1767" i="1" s="1"/>
  <c r="AJ1762" i="1" l="1"/>
  <c r="V1763" i="1"/>
  <c r="AK1761" i="1"/>
  <c r="CC1761" i="1"/>
  <c r="AE1762" i="1"/>
  <c r="AH1763" i="1"/>
  <c r="AJ1763" i="1" s="1"/>
  <c r="AY1761" i="1"/>
  <c r="AZ1761" i="1" s="1"/>
  <c r="AG1761" i="1"/>
  <c r="AX1761" i="1" s="1"/>
  <c r="CC1762" i="1"/>
  <c r="U1768" i="1"/>
  <c r="X1768" i="1" s="1"/>
  <c r="Z1768" i="1" s="1"/>
  <c r="AN1768" i="1"/>
  <c r="AI1768" i="1"/>
  <c r="V1764" i="1" l="1"/>
  <c r="AK1762" i="1"/>
  <c r="AW1761" i="1"/>
  <c r="AE1763" i="1"/>
  <c r="AH1764" i="1"/>
  <c r="AO1764" i="1" s="1"/>
  <c r="AQ1764" i="1" s="1"/>
  <c r="AO1763" i="1"/>
  <c r="AQ1763" i="1" s="1"/>
  <c r="CC1763" i="1"/>
  <c r="AG1762" i="1"/>
  <c r="AX1762" i="1" s="1"/>
  <c r="AY1762" i="1"/>
  <c r="AZ1762" i="1" s="1"/>
  <c r="AN1769" i="1"/>
  <c r="U1769" i="1"/>
  <c r="X1769" i="1" s="1"/>
  <c r="Z1769" i="1" s="1"/>
  <c r="AI1769" i="1"/>
  <c r="AJ1764" i="1" l="1"/>
  <c r="AE1764" i="1"/>
  <c r="V1765" i="1"/>
  <c r="AH1765" i="1"/>
  <c r="AJ1765" i="1" s="1"/>
  <c r="AK1763" i="1"/>
  <c r="AW1762" i="1"/>
  <c r="AY1763" i="1"/>
  <c r="AZ1763" i="1" s="1"/>
  <c r="AG1763" i="1"/>
  <c r="AX1763" i="1" s="1"/>
  <c r="CC1764" i="1"/>
  <c r="U1770" i="1"/>
  <c r="X1770" i="1" s="1"/>
  <c r="Z1770" i="1" s="1"/>
  <c r="AI1770" i="1"/>
  <c r="AN1770" i="1"/>
  <c r="AE1765" i="1" l="1"/>
  <c r="V1766" i="1"/>
  <c r="AH1766" i="1"/>
  <c r="AO1766" i="1" s="1"/>
  <c r="AQ1766" i="1" s="1"/>
  <c r="AW1763" i="1"/>
  <c r="AK1764" i="1"/>
  <c r="AO1765" i="1"/>
  <c r="AQ1765" i="1" s="1"/>
  <c r="CC1765" i="1"/>
  <c r="AY1764" i="1"/>
  <c r="AZ1764" i="1" s="1"/>
  <c r="AG1764" i="1"/>
  <c r="AX1764" i="1" s="1"/>
  <c r="AN1771" i="1"/>
  <c r="AI1771" i="1"/>
  <c r="U1771" i="1"/>
  <c r="X1771" i="1" s="1"/>
  <c r="Z1771" i="1" s="1"/>
  <c r="AJ1766" i="1" l="1"/>
  <c r="V1767" i="1"/>
  <c r="AE1766" i="1"/>
  <c r="AH1767" i="1"/>
  <c r="AO1767" i="1" s="1"/>
  <c r="AQ1767" i="1" s="1"/>
  <c r="AW1764" i="1"/>
  <c r="AK1765" i="1"/>
  <c r="AG1765" i="1"/>
  <c r="AX1765" i="1" s="1"/>
  <c r="AY1765" i="1"/>
  <c r="AZ1765" i="1" s="1"/>
  <c r="CC1766" i="1"/>
  <c r="AI1772" i="1"/>
  <c r="U1772" i="1"/>
  <c r="X1772" i="1" s="1"/>
  <c r="Z1772" i="1" s="1"/>
  <c r="AN1772" i="1"/>
  <c r="AJ1767" i="1" l="1"/>
  <c r="CC1767" i="1" s="1"/>
  <c r="V1768" i="1"/>
  <c r="AE1767" i="1"/>
  <c r="AH1768" i="1"/>
  <c r="AO1768" i="1" s="1"/>
  <c r="AQ1768" i="1" s="1"/>
  <c r="AW1765" i="1"/>
  <c r="AK1766" i="1"/>
  <c r="AY1766" i="1"/>
  <c r="AZ1766" i="1" s="1"/>
  <c r="AG1766" i="1"/>
  <c r="AX1766" i="1" s="1"/>
  <c r="AN1773" i="1"/>
  <c r="U1773" i="1"/>
  <c r="X1773" i="1" s="1"/>
  <c r="Z1773" i="1" s="1"/>
  <c r="AI1773" i="1"/>
  <c r="AJ1768" i="1" l="1"/>
  <c r="CC1768" i="1" s="1"/>
  <c r="AK1767" i="1"/>
  <c r="AW1766" i="1"/>
  <c r="AE1768" i="1"/>
  <c r="V1769" i="1"/>
  <c r="AH1769" i="1"/>
  <c r="AO1769" i="1" s="1"/>
  <c r="AQ1769" i="1" s="1"/>
  <c r="AG1767" i="1"/>
  <c r="AX1767" i="1" s="1"/>
  <c r="AY1767" i="1"/>
  <c r="AZ1767" i="1" s="1"/>
  <c r="AN1774" i="1"/>
  <c r="U1774" i="1"/>
  <c r="X1774" i="1" s="1"/>
  <c r="Z1774" i="1" s="1"/>
  <c r="AI1774" i="1"/>
  <c r="AJ1769" i="1" l="1"/>
  <c r="AE1769" i="1"/>
  <c r="V1770" i="1"/>
  <c r="AH1770" i="1"/>
  <c r="AJ1770" i="1" s="1"/>
  <c r="AK1768" i="1"/>
  <c r="AW1767" i="1"/>
  <c r="AG1768" i="1"/>
  <c r="AX1768" i="1" s="1"/>
  <c r="AY1768" i="1"/>
  <c r="AZ1768" i="1" s="1"/>
  <c r="CC1769" i="1"/>
  <c r="AI1775" i="1"/>
  <c r="U1775" i="1"/>
  <c r="X1775" i="1" s="1"/>
  <c r="Z1775" i="1" s="1"/>
  <c r="AN1775" i="1"/>
  <c r="V1771" i="1" l="1"/>
  <c r="AW1768" i="1"/>
  <c r="AK1769" i="1"/>
  <c r="AE1770" i="1"/>
  <c r="AH1771" i="1"/>
  <c r="AJ1771" i="1" s="1"/>
  <c r="AY1769" i="1"/>
  <c r="AZ1769" i="1" s="1"/>
  <c r="AG1769" i="1"/>
  <c r="AX1769" i="1" s="1"/>
  <c r="AO1770" i="1"/>
  <c r="AQ1770" i="1" s="1"/>
  <c r="U1776" i="1"/>
  <c r="X1776" i="1" s="1"/>
  <c r="Z1776" i="1" s="1"/>
  <c r="AN1776" i="1"/>
  <c r="AI1776" i="1"/>
  <c r="AW1769" i="1" l="1"/>
  <c r="CC1770" i="1"/>
  <c r="AK1770" i="1"/>
  <c r="AE1771" i="1"/>
  <c r="V1772" i="1"/>
  <c r="AH1772" i="1"/>
  <c r="AO1772" i="1" s="1"/>
  <c r="AQ1772" i="1" s="1"/>
  <c r="AO1771" i="1"/>
  <c r="AQ1771" i="1" s="1"/>
  <c r="CC1771" i="1"/>
  <c r="AG1770" i="1"/>
  <c r="AX1770" i="1" s="1"/>
  <c r="AY1770" i="1"/>
  <c r="AZ1770" i="1" s="1"/>
  <c r="AN1777" i="1"/>
  <c r="U1777" i="1"/>
  <c r="X1777" i="1" s="1"/>
  <c r="Z1777" i="1" s="1"/>
  <c r="AI1777" i="1"/>
  <c r="AJ1772" i="1" l="1"/>
  <c r="CC1772" i="1" s="1"/>
  <c r="AK1771" i="1"/>
  <c r="AW1770" i="1"/>
  <c r="V1773" i="1"/>
  <c r="AE1772" i="1"/>
  <c r="AH1773" i="1"/>
  <c r="AJ1773" i="1" s="1"/>
  <c r="AY1771" i="1"/>
  <c r="AZ1771" i="1" s="1"/>
  <c r="AG1771" i="1"/>
  <c r="AX1771" i="1" s="1"/>
  <c r="AN1778" i="1"/>
  <c r="U1778" i="1"/>
  <c r="X1778" i="1" s="1"/>
  <c r="Z1778" i="1" s="1"/>
  <c r="AI1778" i="1"/>
  <c r="V1774" i="1" l="1"/>
  <c r="AE1773" i="1"/>
  <c r="AH1774" i="1"/>
  <c r="AO1774" i="1" s="1"/>
  <c r="AQ1774" i="1" s="1"/>
  <c r="AO1773" i="1"/>
  <c r="AQ1773" i="1" s="1"/>
  <c r="CC1773" i="1"/>
  <c r="AK1772" i="1"/>
  <c r="AW1771" i="1"/>
  <c r="AG1772" i="1"/>
  <c r="AX1772" i="1" s="1"/>
  <c r="AY1772" i="1"/>
  <c r="AZ1772" i="1" s="1"/>
  <c r="AI1779" i="1"/>
  <c r="U1779" i="1"/>
  <c r="X1779" i="1" s="1"/>
  <c r="Z1779" i="1" s="1"/>
  <c r="AN1779" i="1"/>
  <c r="AJ1774" i="1" l="1"/>
  <c r="CC1774" i="1" s="1"/>
  <c r="AW1772" i="1"/>
  <c r="AK1773" i="1"/>
  <c r="AE1774" i="1"/>
  <c r="V1775" i="1"/>
  <c r="AH1775" i="1"/>
  <c r="AJ1775" i="1" s="1"/>
  <c r="AY1773" i="1"/>
  <c r="AZ1773" i="1" s="1"/>
  <c r="AG1773" i="1"/>
  <c r="AX1773" i="1" s="1"/>
  <c r="AN1780" i="1"/>
  <c r="U1780" i="1"/>
  <c r="X1780" i="1" s="1"/>
  <c r="Z1780" i="1" s="1"/>
  <c r="AI1780" i="1"/>
  <c r="AK1774" i="1" l="1"/>
  <c r="AW1773" i="1"/>
  <c r="V1776" i="1"/>
  <c r="AE1775" i="1"/>
  <c r="AH1776" i="1"/>
  <c r="AJ1776" i="1" s="1"/>
  <c r="AO1775" i="1"/>
  <c r="AQ1775" i="1" s="1"/>
  <c r="CC1775" i="1"/>
  <c r="AG1774" i="1"/>
  <c r="AX1774" i="1" s="1"/>
  <c r="AY1774" i="1"/>
  <c r="AZ1774" i="1" s="1"/>
  <c r="AN1781" i="1"/>
  <c r="U1781" i="1"/>
  <c r="X1781" i="1" s="1"/>
  <c r="Z1781" i="1" s="1"/>
  <c r="AI1781" i="1"/>
  <c r="CC1776" i="1" l="1"/>
  <c r="AK1775" i="1"/>
  <c r="AW1774" i="1"/>
  <c r="V1777" i="1"/>
  <c r="AE1776" i="1"/>
  <c r="AH1777" i="1"/>
  <c r="AO1777" i="1" s="1"/>
  <c r="AQ1777" i="1" s="1"/>
  <c r="AK1776" i="1"/>
  <c r="AW1775" i="1"/>
  <c r="AY1775" i="1"/>
  <c r="AZ1775" i="1" s="1"/>
  <c r="AG1775" i="1"/>
  <c r="AX1775" i="1" s="1"/>
  <c r="AO1776" i="1"/>
  <c r="AQ1776" i="1" s="1"/>
  <c r="U1782" i="1"/>
  <c r="X1782" i="1" s="1"/>
  <c r="Z1782" i="1" s="1"/>
  <c r="AI1782" i="1"/>
  <c r="AN1782" i="1"/>
  <c r="AJ1777" i="1" l="1"/>
  <c r="CC1777" i="1" s="1"/>
  <c r="V1778" i="1"/>
  <c r="AE1777" i="1"/>
  <c r="AH1778" i="1"/>
  <c r="AJ1778" i="1" s="1"/>
  <c r="AY1776" i="1"/>
  <c r="AZ1776" i="1" s="1"/>
  <c r="AG1776" i="1"/>
  <c r="AX1776" i="1" s="1"/>
  <c r="AN1783" i="1"/>
  <c r="AI1783" i="1"/>
  <c r="U1783" i="1"/>
  <c r="X1783" i="1" s="1"/>
  <c r="Z1783" i="1" s="1"/>
  <c r="V1779" i="1" l="1"/>
  <c r="AE1778" i="1"/>
  <c r="AH1779" i="1"/>
  <c r="AO1779" i="1" s="1"/>
  <c r="AQ1779" i="1" s="1"/>
  <c r="AW1776" i="1"/>
  <c r="AK1777" i="1"/>
  <c r="AO1778" i="1"/>
  <c r="AQ1778" i="1" s="1"/>
  <c r="CC1778" i="1"/>
  <c r="AY1777" i="1"/>
  <c r="AZ1777" i="1" s="1"/>
  <c r="AG1777" i="1"/>
  <c r="AX1777" i="1" s="1"/>
  <c r="AI1784" i="1"/>
  <c r="U1784" i="1"/>
  <c r="X1784" i="1" s="1"/>
  <c r="Z1784" i="1" s="1"/>
  <c r="AN1784" i="1"/>
  <c r="AJ1779" i="1" l="1"/>
  <c r="AE1779" i="1"/>
  <c r="V1780" i="1"/>
  <c r="AH1780" i="1"/>
  <c r="AJ1780" i="1" s="1"/>
  <c r="AK1778" i="1"/>
  <c r="AW1777" i="1"/>
  <c r="AY1778" i="1"/>
  <c r="AZ1778" i="1" s="1"/>
  <c r="AG1778" i="1"/>
  <c r="AX1778" i="1" s="1"/>
  <c r="AN1785" i="1"/>
  <c r="U1785" i="1"/>
  <c r="X1785" i="1" s="1"/>
  <c r="Z1785" i="1" s="1"/>
  <c r="AI1785" i="1"/>
  <c r="AK1780" i="1" l="1"/>
  <c r="AW1778" i="1"/>
  <c r="CC1779" i="1"/>
  <c r="AK1779" i="1"/>
  <c r="AO1780" i="1"/>
  <c r="AQ1780" i="1" s="1"/>
  <c r="AE1780" i="1"/>
  <c r="V1781" i="1"/>
  <c r="AH1781" i="1"/>
  <c r="AJ1781" i="1" s="1"/>
  <c r="AG1779" i="1"/>
  <c r="AX1779" i="1" s="1"/>
  <c r="AY1779" i="1"/>
  <c r="AZ1779" i="1" s="1"/>
  <c r="AI1786" i="1"/>
  <c r="AN1786" i="1"/>
  <c r="U1786" i="1"/>
  <c r="X1786" i="1" s="1"/>
  <c r="Z1786" i="1" s="1"/>
  <c r="AW1779" i="1" l="1"/>
  <c r="CC1780" i="1"/>
  <c r="V1782" i="1"/>
  <c r="AE1781" i="1"/>
  <c r="AH1782" i="1"/>
  <c r="AJ1782" i="1" s="1"/>
  <c r="AO1781" i="1"/>
  <c r="AQ1781" i="1" s="1"/>
  <c r="CC1781" i="1"/>
  <c r="AG1780" i="1"/>
  <c r="AX1780" i="1" s="1"/>
  <c r="AY1780" i="1"/>
  <c r="AZ1780" i="1" s="1"/>
  <c r="U1787" i="1"/>
  <c r="X1787" i="1" s="1"/>
  <c r="Z1787" i="1" s="1"/>
  <c r="AN1787" i="1"/>
  <c r="AI1787" i="1"/>
  <c r="V1783" i="1" l="1"/>
  <c r="AE1782" i="1"/>
  <c r="AH1783" i="1"/>
  <c r="AO1783" i="1" s="1"/>
  <c r="AQ1783" i="1" s="1"/>
  <c r="CC1782" i="1"/>
  <c r="AO1782" i="1"/>
  <c r="AQ1782" i="1" s="1"/>
  <c r="AK1781" i="1"/>
  <c r="AW1780" i="1"/>
  <c r="AY1781" i="1"/>
  <c r="AZ1781" i="1" s="1"/>
  <c r="AG1781" i="1"/>
  <c r="AX1781" i="1" s="1"/>
  <c r="AN1788" i="1"/>
  <c r="U1788" i="1"/>
  <c r="X1788" i="1" s="1"/>
  <c r="Z1788" i="1" s="1"/>
  <c r="AI1788" i="1"/>
  <c r="AJ1783" i="1" l="1"/>
  <c r="CC1783" i="1" s="1"/>
  <c r="V1784" i="1"/>
  <c r="AE1783" i="1"/>
  <c r="AH1784" i="1"/>
  <c r="AO1784" i="1" s="1"/>
  <c r="AQ1784" i="1" s="1"/>
  <c r="AK1782" i="1"/>
  <c r="AW1781" i="1"/>
  <c r="AG1782" i="1"/>
  <c r="AX1782" i="1" s="1"/>
  <c r="AY1782" i="1"/>
  <c r="AZ1782" i="1" s="1"/>
  <c r="U1789" i="1"/>
  <c r="X1789" i="1" s="1"/>
  <c r="Z1789" i="1" s="1"/>
  <c r="AN1789" i="1"/>
  <c r="AI1789" i="1"/>
  <c r="AJ1784" i="1" l="1"/>
  <c r="CC1784" i="1" s="1"/>
  <c r="AW1782" i="1"/>
  <c r="AK1783" i="1"/>
  <c r="AE1784" i="1"/>
  <c r="V1785" i="1"/>
  <c r="AH1785" i="1"/>
  <c r="AJ1785" i="1" s="1"/>
  <c r="AW1783" i="1"/>
  <c r="AG1783" i="1"/>
  <c r="AX1783" i="1" s="1"/>
  <c r="AY1783" i="1"/>
  <c r="AZ1783" i="1" s="1"/>
  <c r="AN1790" i="1"/>
  <c r="AI1790" i="1"/>
  <c r="U1790" i="1"/>
  <c r="X1790" i="1" s="1"/>
  <c r="Z1790" i="1" s="1"/>
  <c r="AO1785" i="1" l="1"/>
  <c r="AQ1785" i="1" s="1"/>
  <c r="AK1784" i="1"/>
  <c r="AK1785" i="1"/>
  <c r="AE1785" i="1"/>
  <c r="V1786" i="1"/>
  <c r="AH1786" i="1"/>
  <c r="AO1786" i="1" s="1"/>
  <c r="AQ1786" i="1" s="1"/>
  <c r="AG1784" i="1"/>
  <c r="AX1784" i="1" s="1"/>
  <c r="AY1784" i="1"/>
  <c r="AZ1784" i="1" s="1"/>
  <c r="U1791" i="1"/>
  <c r="X1791" i="1" s="1"/>
  <c r="Z1791" i="1" s="1"/>
  <c r="AN1791" i="1"/>
  <c r="AI1791" i="1"/>
  <c r="AJ1786" i="1" l="1"/>
  <c r="AW1784" i="1"/>
  <c r="CC1785" i="1"/>
  <c r="V1787" i="1"/>
  <c r="AE1786" i="1"/>
  <c r="AH1787" i="1"/>
  <c r="AO1787" i="1" s="1"/>
  <c r="AQ1787" i="1" s="1"/>
  <c r="AY1785" i="1"/>
  <c r="AZ1785" i="1" s="1"/>
  <c r="AG1785" i="1"/>
  <c r="AX1785" i="1" s="1"/>
  <c r="CC1786" i="1"/>
  <c r="AN1792" i="1"/>
  <c r="U1792" i="1"/>
  <c r="X1792" i="1" s="1"/>
  <c r="Z1792" i="1" s="1"/>
  <c r="AI1792" i="1"/>
  <c r="AJ1787" i="1" l="1"/>
  <c r="AE1787" i="1"/>
  <c r="V1788" i="1"/>
  <c r="AH1788" i="1"/>
  <c r="AO1788" i="1" s="1"/>
  <c r="AQ1788" i="1" s="1"/>
  <c r="AW1785" i="1"/>
  <c r="AK1786" i="1"/>
  <c r="AG1786" i="1"/>
  <c r="AX1786" i="1" s="1"/>
  <c r="AY1786" i="1"/>
  <c r="AZ1786" i="1" s="1"/>
  <c r="AI1793" i="1"/>
  <c r="AN1793" i="1"/>
  <c r="U1793" i="1"/>
  <c r="X1793" i="1" s="1"/>
  <c r="Z1793" i="1" s="1"/>
  <c r="AJ1788" i="1" l="1"/>
  <c r="CC1788" i="1" s="1"/>
  <c r="AW1786" i="1"/>
  <c r="CC1787" i="1"/>
  <c r="AK1787" i="1"/>
  <c r="V1789" i="1"/>
  <c r="AE1788" i="1"/>
  <c r="AH1789" i="1"/>
  <c r="AJ1789" i="1" s="1"/>
  <c r="AG1787" i="1"/>
  <c r="AX1787" i="1" s="1"/>
  <c r="AY1787" i="1"/>
  <c r="AZ1787" i="1" s="1"/>
  <c r="AN1794" i="1"/>
  <c r="U1794" i="1"/>
  <c r="X1794" i="1" s="1"/>
  <c r="Z1794" i="1" s="1"/>
  <c r="AI1794" i="1"/>
  <c r="AK1788" i="1" l="1"/>
  <c r="AW1787" i="1"/>
  <c r="AE1789" i="1"/>
  <c r="V1790" i="1"/>
  <c r="AH1790" i="1"/>
  <c r="AO1790" i="1" s="1"/>
  <c r="AQ1790" i="1" s="1"/>
  <c r="AO1789" i="1"/>
  <c r="AQ1789" i="1" s="1"/>
  <c r="CC1789" i="1"/>
  <c r="AG1788" i="1"/>
  <c r="AX1788" i="1" s="1"/>
  <c r="AY1788" i="1"/>
  <c r="AZ1788" i="1" s="1"/>
  <c r="AI1795" i="1"/>
  <c r="U1795" i="1"/>
  <c r="X1795" i="1" s="1"/>
  <c r="Z1795" i="1" s="1"/>
  <c r="AN1795" i="1"/>
  <c r="AJ1790" i="1" l="1"/>
  <c r="AW1789" i="1" s="1"/>
  <c r="V1791" i="1"/>
  <c r="AW1788" i="1"/>
  <c r="AK1789" i="1"/>
  <c r="AE1790" i="1"/>
  <c r="AH1791" i="1"/>
  <c r="AJ1791" i="1" s="1"/>
  <c r="AG1789" i="1"/>
  <c r="AX1789" i="1" s="1"/>
  <c r="AY1789" i="1"/>
  <c r="AZ1789" i="1" s="1"/>
  <c r="AN1796" i="1"/>
  <c r="U1796" i="1"/>
  <c r="X1796" i="1" s="1"/>
  <c r="Z1796" i="1" s="1"/>
  <c r="AI1796" i="1"/>
  <c r="CC1790" i="1" l="1"/>
  <c r="AK1790" i="1"/>
  <c r="AO1791" i="1"/>
  <c r="AQ1791" i="1" s="1"/>
  <c r="CC1791" i="1"/>
  <c r="V1792" i="1"/>
  <c r="AE1791" i="1"/>
  <c r="AH1792" i="1"/>
  <c r="AJ1792" i="1" s="1"/>
  <c r="AY1790" i="1"/>
  <c r="AZ1790" i="1" s="1"/>
  <c r="AG1790" i="1"/>
  <c r="AX1790" i="1" s="1"/>
  <c r="AI1797" i="1"/>
  <c r="AN1797" i="1"/>
  <c r="U1797" i="1"/>
  <c r="X1797" i="1" s="1"/>
  <c r="Z1797" i="1" s="1"/>
  <c r="AE1792" i="1" l="1"/>
  <c r="V1793" i="1"/>
  <c r="AH1793" i="1"/>
  <c r="AO1793" i="1" s="1"/>
  <c r="AQ1793" i="1" s="1"/>
  <c r="AO1792" i="1"/>
  <c r="AQ1792" i="1" s="1"/>
  <c r="CC1792" i="1"/>
  <c r="AY1791" i="1"/>
  <c r="AZ1791" i="1" s="1"/>
  <c r="AG1791" i="1"/>
  <c r="AX1791" i="1" s="1"/>
  <c r="AK1791" i="1"/>
  <c r="AW1790" i="1"/>
  <c r="AN1798" i="1"/>
  <c r="U1798" i="1"/>
  <c r="X1798" i="1" s="1"/>
  <c r="Z1798" i="1" s="1"/>
  <c r="AI1798" i="1"/>
  <c r="AJ1793" i="1" l="1"/>
  <c r="CC1793" i="1" s="1"/>
  <c r="V1794" i="1"/>
  <c r="AK1792" i="1"/>
  <c r="AW1791" i="1"/>
  <c r="AW1792" i="1"/>
  <c r="AE1793" i="1"/>
  <c r="AH1794" i="1"/>
  <c r="AJ1794" i="1" s="1"/>
  <c r="AG1792" i="1"/>
  <c r="AX1792" i="1" s="1"/>
  <c r="AY1792" i="1"/>
  <c r="AZ1792" i="1" s="1"/>
  <c r="U1799" i="1"/>
  <c r="X1799" i="1" s="1"/>
  <c r="Z1799" i="1" s="1"/>
  <c r="AN1799" i="1"/>
  <c r="AI1799" i="1"/>
  <c r="AK1793" i="1" l="1"/>
  <c r="CC1794" i="1"/>
  <c r="AO1794" i="1"/>
  <c r="AQ1794" i="1" s="1"/>
  <c r="V1795" i="1"/>
  <c r="AE1794" i="1"/>
  <c r="AH1795" i="1"/>
  <c r="AO1795" i="1" s="1"/>
  <c r="AQ1795" i="1" s="1"/>
  <c r="AG1793" i="1"/>
  <c r="AX1793" i="1" s="1"/>
  <c r="AY1793" i="1"/>
  <c r="AZ1793" i="1" s="1"/>
  <c r="AI1800" i="1"/>
  <c r="U1800" i="1"/>
  <c r="X1800" i="1" s="1"/>
  <c r="Z1800" i="1" s="1"/>
  <c r="AN1800" i="1"/>
  <c r="AJ1795" i="1" l="1"/>
  <c r="CC1795" i="1" s="1"/>
  <c r="AK1794" i="1"/>
  <c r="AW1793" i="1"/>
  <c r="V1796" i="1"/>
  <c r="AE1795" i="1"/>
  <c r="AH1796" i="1"/>
  <c r="AO1796" i="1" s="1"/>
  <c r="AQ1796" i="1" s="1"/>
  <c r="AG1794" i="1"/>
  <c r="AX1794" i="1" s="1"/>
  <c r="AY1794" i="1"/>
  <c r="AZ1794" i="1" s="1"/>
  <c r="AN1801" i="1"/>
  <c r="U1801" i="1"/>
  <c r="X1801" i="1" s="1"/>
  <c r="Z1801" i="1" s="1"/>
  <c r="AI1801" i="1"/>
  <c r="AJ1796" i="1" l="1"/>
  <c r="CC1796" i="1" s="1"/>
  <c r="V1797" i="1"/>
  <c r="AW1794" i="1"/>
  <c r="AK1795" i="1"/>
  <c r="AE1796" i="1"/>
  <c r="AH1797" i="1"/>
  <c r="AJ1797" i="1" s="1"/>
  <c r="AY1795" i="1"/>
  <c r="AZ1795" i="1" s="1"/>
  <c r="AG1795" i="1"/>
  <c r="AX1795" i="1" s="1"/>
  <c r="AI1802" i="1"/>
  <c r="AN1802" i="1"/>
  <c r="U1802" i="1"/>
  <c r="X1802" i="1" s="1"/>
  <c r="Z1802" i="1" s="1"/>
  <c r="AK1796" i="1" l="1"/>
  <c r="AW1795" i="1"/>
  <c r="AO1797" i="1"/>
  <c r="AQ1797" i="1" s="1"/>
  <c r="CC1797" i="1"/>
  <c r="V1798" i="1"/>
  <c r="AE1797" i="1"/>
  <c r="AH1798" i="1"/>
  <c r="AJ1798" i="1" s="1"/>
  <c r="AG1796" i="1"/>
  <c r="AX1796" i="1" s="1"/>
  <c r="AY1796" i="1"/>
  <c r="AZ1796" i="1" s="1"/>
  <c r="AN1803" i="1"/>
  <c r="AI1803" i="1"/>
  <c r="U1803" i="1"/>
  <c r="X1803" i="1" s="1"/>
  <c r="Z1803" i="1" s="1"/>
  <c r="V1799" i="1" l="1"/>
  <c r="AE1798" i="1"/>
  <c r="AH1799" i="1"/>
  <c r="AO1799" i="1" s="1"/>
  <c r="AQ1799" i="1" s="1"/>
  <c r="AO1798" i="1"/>
  <c r="AQ1798" i="1" s="1"/>
  <c r="CC1798" i="1"/>
  <c r="AG1797" i="1"/>
  <c r="AX1797" i="1" s="1"/>
  <c r="AY1797" i="1"/>
  <c r="AZ1797" i="1" s="1"/>
  <c r="AK1797" i="1"/>
  <c r="AW1796" i="1"/>
  <c r="AI1804" i="1"/>
  <c r="AN1804" i="1"/>
  <c r="U1804" i="1"/>
  <c r="X1804" i="1" s="1"/>
  <c r="Z1804" i="1" s="1"/>
  <c r="AJ1799" i="1" l="1"/>
  <c r="CC1799" i="1" s="1"/>
  <c r="AE1799" i="1"/>
  <c r="V1800" i="1"/>
  <c r="AH1800" i="1"/>
  <c r="AO1800" i="1" s="1"/>
  <c r="AQ1800" i="1" s="1"/>
  <c r="AW1797" i="1"/>
  <c r="AK1798" i="1"/>
  <c r="AG1798" i="1"/>
  <c r="AX1798" i="1" s="1"/>
  <c r="AY1798" i="1"/>
  <c r="AZ1798" i="1" s="1"/>
  <c r="AN1805" i="1"/>
  <c r="U1805" i="1"/>
  <c r="X1805" i="1" s="1"/>
  <c r="Z1805" i="1" s="1"/>
  <c r="AI1805" i="1"/>
  <c r="AJ1800" i="1" l="1"/>
  <c r="CC1800" i="1" s="1"/>
  <c r="V1801" i="1"/>
  <c r="AW1798" i="1"/>
  <c r="AK1799" i="1"/>
  <c r="AE1800" i="1"/>
  <c r="AH1801" i="1"/>
  <c r="AJ1801" i="1" s="1"/>
  <c r="AG1799" i="1"/>
  <c r="AX1799" i="1" s="1"/>
  <c r="AY1799" i="1"/>
  <c r="AZ1799" i="1" s="1"/>
  <c r="U1806" i="1"/>
  <c r="X1806" i="1" s="1"/>
  <c r="Z1806" i="1" s="1"/>
  <c r="AN1806" i="1"/>
  <c r="AI1806" i="1"/>
  <c r="V1802" i="1" l="1"/>
  <c r="AK1800" i="1"/>
  <c r="AW1799" i="1"/>
  <c r="AE1801" i="1"/>
  <c r="AH1802" i="1"/>
  <c r="AO1802" i="1" s="1"/>
  <c r="AQ1802" i="1" s="1"/>
  <c r="AO1801" i="1"/>
  <c r="AQ1801" i="1" s="1"/>
  <c r="CC1801" i="1"/>
  <c r="AY1800" i="1"/>
  <c r="AZ1800" i="1" s="1"/>
  <c r="AG1800" i="1"/>
  <c r="AX1800" i="1" s="1"/>
  <c r="AN1807" i="1"/>
  <c r="AI1807" i="1"/>
  <c r="U1807" i="1"/>
  <c r="X1807" i="1" s="1"/>
  <c r="Z1807" i="1" s="1"/>
  <c r="AJ1802" i="1" l="1"/>
  <c r="CC1802" i="1" s="1"/>
  <c r="AK1801" i="1"/>
  <c r="AW1800" i="1"/>
  <c r="AE1802" i="1"/>
  <c r="V1803" i="1"/>
  <c r="AH1803" i="1"/>
  <c r="AJ1803" i="1" s="1"/>
  <c r="AY1801" i="1"/>
  <c r="AZ1801" i="1" s="1"/>
  <c r="AG1801" i="1"/>
  <c r="AX1801" i="1" s="1"/>
  <c r="U1808" i="1"/>
  <c r="X1808" i="1" s="1"/>
  <c r="Z1808" i="1" s="1"/>
  <c r="AN1808" i="1"/>
  <c r="AI1808" i="1"/>
  <c r="AW1801" i="1" l="1"/>
  <c r="AK1802" i="1"/>
  <c r="AE1803" i="1"/>
  <c r="V1804" i="1"/>
  <c r="AH1804" i="1"/>
  <c r="AO1804" i="1" s="1"/>
  <c r="AQ1804" i="1" s="1"/>
  <c r="AO1803" i="1"/>
  <c r="AQ1803" i="1" s="1"/>
  <c r="CC1803" i="1"/>
  <c r="AY1802" i="1"/>
  <c r="AZ1802" i="1" s="1"/>
  <c r="AG1802" i="1"/>
  <c r="AX1802" i="1" s="1"/>
  <c r="AN1809" i="1"/>
  <c r="AI1809" i="1"/>
  <c r="U1809" i="1"/>
  <c r="X1809" i="1" s="1"/>
  <c r="Z1809" i="1" s="1"/>
  <c r="AJ1804" i="1" l="1"/>
  <c r="V1805" i="1"/>
  <c r="AK1803" i="1"/>
  <c r="AW1802" i="1"/>
  <c r="AY1803" i="1"/>
  <c r="AZ1803" i="1" s="1"/>
  <c r="AG1803" i="1"/>
  <c r="AX1803" i="1" s="1"/>
  <c r="AE1804" i="1"/>
  <c r="AH1805" i="1"/>
  <c r="AJ1805" i="1" s="1"/>
  <c r="CC1804" i="1"/>
  <c r="AI1810" i="1"/>
  <c r="AN1810" i="1"/>
  <c r="U1810" i="1"/>
  <c r="X1810" i="1" s="1"/>
  <c r="Z1810" i="1" s="1"/>
  <c r="AO1805" i="1" l="1"/>
  <c r="AQ1805" i="1" s="1"/>
  <c r="CC1805" i="1"/>
  <c r="AG1804" i="1"/>
  <c r="AX1804" i="1" s="1"/>
  <c r="AY1804" i="1"/>
  <c r="AZ1804" i="1" s="1"/>
  <c r="AW1803" i="1"/>
  <c r="AK1804" i="1"/>
  <c r="V1806" i="1"/>
  <c r="AE1805" i="1"/>
  <c r="AH1806" i="1"/>
  <c r="AJ1806" i="1" s="1"/>
  <c r="U1811" i="1"/>
  <c r="X1811" i="1" s="1"/>
  <c r="Z1811" i="1" s="1"/>
  <c r="AN1811" i="1"/>
  <c r="AI1811" i="1"/>
  <c r="AO1806" i="1" l="1"/>
  <c r="AQ1806" i="1" s="1"/>
  <c r="CC1806" i="1"/>
  <c r="V1807" i="1"/>
  <c r="AE1806" i="1"/>
  <c r="AH1807" i="1"/>
  <c r="AO1807" i="1" s="1"/>
  <c r="AQ1807" i="1" s="1"/>
  <c r="AY1805" i="1"/>
  <c r="AZ1805" i="1" s="1"/>
  <c r="AG1805" i="1"/>
  <c r="AX1805" i="1" s="1"/>
  <c r="AW1804" i="1"/>
  <c r="AK1805" i="1"/>
  <c r="AN1812" i="1"/>
  <c r="AI1812" i="1"/>
  <c r="U1812" i="1"/>
  <c r="X1812" i="1" s="1"/>
  <c r="Z1812" i="1" s="1"/>
  <c r="AJ1807" i="1" l="1"/>
  <c r="CC1807" i="1" s="1"/>
  <c r="V1808" i="1"/>
  <c r="AE1807" i="1"/>
  <c r="AH1808" i="1"/>
  <c r="AJ1808" i="1" s="1"/>
  <c r="AY1806" i="1"/>
  <c r="AZ1806" i="1" s="1"/>
  <c r="AG1806" i="1"/>
  <c r="AX1806" i="1" s="1"/>
  <c r="AW1805" i="1"/>
  <c r="AK1806" i="1"/>
  <c r="U1813" i="1"/>
  <c r="X1813" i="1" s="1"/>
  <c r="Z1813" i="1" s="1"/>
  <c r="AN1813" i="1"/>
  <c r="AI1813" i="1"/>
  <c r="AK1807" i="1" l="1"/>
  <c r="AW1806" i="1"/>
  <c r="V1809" i="1"/>
  <c r="AE1808" i="1"/>
  <c r="AH1809" i="1"/>
  <c r="AJ1809" i="1" s="1"/>
  <c r="AO1808" i="1"/>
  <c r="AQ1808" i="1" s="1"/>
  <c r="CC1808" i="1"/>
  <c r="AY1807" i="1"/>
  <c r="AZ1807" i="1" s="1"/>
  <c r="AG1807" i="1"/>
  <c r="AX1807" i="1" s="1"/>
  <c r="U1814" i="1"/>
  <c r="X1814" i="1" s="1"/>
  <c r="Z1814" i="1" s="1"/>
  <c r="AN1814" i="1"/>
  <c r="AI1814" i="1"/>
  <c r="AE1809" i="1" l="1"/>
  <c r="V1810" i="1"/>
  <c r="AH1810" i="1"/>
  <c r="AO1810" i="1" s="1"/>
  <c r="AQ1810" i="1" s="1"/>
  <c r="AO1809" i="1"/>
  <c r="AQ1809" i="1" s="1"/>
  <c r="CC1809" i="1"/>
  <c r="AK1808" i="1"/>
  <c r="AW1807" i="1"/>
  <c r="AG1808" i="1"/>
  <c r="AX1808" i="1" s="1"/>
  <c r="AY1808" i="1"/>
  <c r="AZ1808" i="1" s="1"/>
  <c r="AI1815" i="1"/>
  <c r="AN1815" i="1"/>
  <c r="U1815" i="1"/>
  <c r="X1815" i="1" s="1"/>
  <c r="Z1815" i="1" s="1"/>
  <c r="AJ1810" i="1" l="1"/>
  <c r="CC1810" i="1" s="1"/>
  <c r="AK1809" i="1"/>
  <c r="AW1808" i="1"/>
  <c r="V1811" i="1"/>
  <c r="AE1810" i="1"/>
  <c r="AH1811" i="1"/>
  <c r="AO1811" i="1" s="1"/>
  <c r="AQ1811" i="1" s="1"/>
  <c r="AY1809" i="1"/>
  <c r="AZ1809" i="1" s="1"/>
  <c r="AG1809" i="1"/>
  <c r="AX1809" i="1" s="1"/>
  <c r="AN1816" i="1"/>
  <c r="U1816" i="1"/>
  <c r="X1816" i="1" s="1"/>
  <c r="Z1816" i="1" s="1"/>
  <c r="AI1816" i="1"/>
  <c r="AJ1811" i="1" l="1"/>
  <c r="AE1811" i="1"/>
  <c r="V1812" i="1"/>
  <c r="AH1812" i="1"/>
  <c r="AO1812" i="1" s="1"/>
  <c r="AQ1812" i="1" s="1"/>
  <c r="AK1810" i="1"/>
  <c r="AW1809" i="1"/>
  <c r="AY1810" i="1"/>
  <c r="AZ1810" i="1" s="1"/>
  <c r="AG1810" i="1"/>
  <c r="AX1810" i="1" s="1"/>
  <c r="AI1817" i="1"/>
  <c r="U1817" i="1"/>
  <c r="X1817" i="1" s="1"/>
  <c r="Z1817" i="1" s="1"/>
  <c r="AN1817" i="1"/>
  <c r="AJ1812" i="1" l="1"/>
  <c r="CC1812" i="1" s="1"/>
  <c r="AK1811" i="1"/>
  <c r="CC1811" i="1"/>
  <c r="AW1810" i="1"/>
  <c r="V1813" i="1"/>
  <c r="AE1812" i="1"/>
  <c r="AH1813" i="1"/>
  <c r="AJ1813" i="1" s="1"/>
  <c r="AY1811" i="1"/>
  <c r="AZ1811" i="1" s="1"/>
  <c r="AG1811" i="1"/>
  <c r="AX1811" i="1" s="1"/>
  <c r="AI1818" i="1"/>
  <c r="U1818" i="1"/>
  <c r="X1818" i="1" s="1"/>
  <c r="Z1818" i="1" s="1"/>
  <c r="AN1818" i="1"/>
  <c r="AE1813" i="1" l="1"/>
  <c r="V1814" i="1"/>
  <c r="AH1814" i="1"/>
  <c r="AJ1814" i="1" s="1"/>
  <c r="AK1812" i="1"/>
  <c r="AW1811" i="1"/>
  <c r="AO1813" i="1"/>
  <c r="AQ1813" i="1" s="1"/>
  <c r="CC1813" i="1"/>
  <c r="AY1812" i="1"/>
  <c r="AZ1812" i="1" s="1"/>
  <c r="AG1812" i="1"/>
  <c r="AX1812" i="1" s="1"/>
  <c r="AN1819" i="1"/>
  <c r="AI1819" i="1"/>
  <c r="U1819" i="1"/>
  <c r="X1819" i="1" s="1"/>
  <c r="Z1819" i="1" s="1"/>
  <c r="CC1814" i="1" l="1"/>
  <c r="AK1813" i="1"/>
  <c r="AW1812" i="1"/>
  <c r="AK1814" i="1"/>
  <c r="AW1813" i="1"/>
  <c r="V1815" i="1"/>
  <c r="AE1814" i="1"/>
  <c r="AH1815" i="1"/>
  <c r="AJ1815" i="1" s="1"/>
  <c r="AY1813" i="1"/>
  <c r="AZ1813" i="1" s="1"/>
  <c r="AG1813" i="1"/>
  <c r="AX1813" i="1" s="1"/>
  <c r="AO1814" i="1"/>
  <c r="AQ1814" i="1" s="1"/>
  <c r="AN1820" i="1"/>
  <c r="U1820" i="1"/>
  <c r="X1820" i="1" s="1"/>
  <c r="Z1820" i="1" s="1"/>
  <c r="AI1820" i="1"/>
  <c r="V1816" i="1" l="1"/>
  <c r="AE1815" i="1"/>
  <c r="AH1816" i="1"/>
  <c r="AO1816" i="1" s="1"/>
  <c r="AQ1816" i="1" s="1"/>
  <c r="AO1815" i="1"/>
  <c r="AQ1815" i="1" s="1"/>
  <c r="CC1815" i="1"/>
  <c r="AY1814" i="1"/>
  <c r="AZ1814" i="1" s="1"/>
  <c r="AG1814" i="1"/>
  <c r="AX1814" i="1" s="1"/>
  <c r="U1821" i="1"/>
  <c r="X1821" i="1" s="1"/>
  <c r="Z1821" i="1" s="1"/>
  <c r="AI1821" i="1"/>
  <c r="AN1821" i="1"/>
  <c r="AJ1816" i="1" l="1"/>
  <c r="V1817" i="1"/>
  <c r="AK1815" i="1"/>
  <c r="AW1814" i="1"/>
  <c r="AE1816" i="1"/>
  <c r="AH1817" i="1"/>
  <c r="AJ1817" i="1" s="1"/>
  <c r="AY1815" i="1"/>
  <c r="AZ1815" i="1" s="1"/>
  <c r="AG1815" i="1"/>
  <c r="AX1815" i="1" s="1"/>
  <c r="CC1816" i="1"/>
  <c r="U1822" i="1"/>
  <c r="X1822" i="1" s="1"/>
  <c r="Z1822" i="1" s="1"/>
  <c r="AN1822" i="1"/>
  <c r="AI1822" i="1"/>
  <c r="AW1815" i="1" l="1"/>
  <c r="AK1816" i="1"/>
  <c r="V1818" i="1"/>
  <c r="AE1817" i="1"/>
  <c r="AH1818" i="1"/>
  <c r="AJ1818" i="1" s="1"/>
  <c r="AO1817" i="1"/>
  <c r="AQ1817" i="1" s="1"/>
  <c r="CC1817" i="1"/>
  <c r="AG1816" i="1"/>
  <c r="AX1816" i="1" s="1"/>
  <c r="AY1816" i="1"/>
  <c r="AZ1816" i="1" s="1"/>
  <c r="AN1823" i="1"/>
  <c r="AI1823" i="1"/>
  <c r="U1823" i="1"/>
  <c r="X1823" i="1" s="1"/>
  <c r="Z1823" i="1" s="1"/>
  <c r="AO1818" i="1" l="1"/>
  <c r="AQ1818" i="1" s="1"/>
  <c r="CC1818" i="1"/>
  <c r="AW1816" i="1"/>
  <c r="AK1817" i="1"/>
  <c r="V1819" i="1"/>
  <c r="AE1818" i="1"/>
  <c r="AH1819" i="1"/>
  <c r="AJ1819" i="1" s="1"/>
  <c r="AG1817" i="1"/>
  <c r="AX1817" i="1" s="1"/>
  <c r="AY1817" i="1"/>
  <c r="AZ1817" i="1" s="1"/>
  <c r="AN1824" i="1"/>
  <c r="U1824" i="1"/>
  <c r="X1824" i="1" s="1"/>
  <c r="Z1824" i="1" s="1"/>
  <c r="AI1824" i="1"/>
  <c r="V1820" i="1" l="1"/>
  <c r="AE1819" i="1"/>
  <c r="AH1820" i="1"/>
  <c r="AJ1820" i="1" s="1"/>
  <c r="AO1819" i="1"/>
  <c r="AQ1819" i="1" s="1"/>
  <c r="CC1819" i="1"/>
  <c r="AG1818" i="1"/>
  <c r="AX1818" i="1" s="1"/>
  <c r="AY1818" i="1"/>
  <c r="AZ1818" i="1" s="1"/>
  <c r="AW1817" i="1"/>
  <c r="AK1818" i="1"/>
  <c r="AN1825" i="1"/>
  <c r="AI1825" i="1"/>
  <c r="U1825" i="1"/>
  <c r="X1825" i="1" s="1"/>
  <c r="Z1825" i="1" s="1"/>
  <c r="CC1820" i="1" l="1"/>
  <c r="AO1820" i="1"/>
  <c r="AQ1820" i="1" s="1"/>
  <c r="AE1820" i="1"/>
  <c r="V1821" i="1"/>
  <c r="AH1821" i="1"/>
  <c r="AJ1821" i="1" s="1"/>
  <c r="AK1820" i="1"/>
  <c r="AW1819" i="1"/>
  <c r="AW1818" i="1"/>
  <c r="AK1819" i="1"/>
  <c r="AG1819" i="1"/>
  <c r="AX1819" i="1" s="1"/>
  <c r="AY1819" i="1"/>
  <c r="AZ1819" i="1" s="1"/>
  <c r="U1826" i="1"/>
  <c r="X1826" i="1" s="1"/>
  <c r="Z1826" i="1" s="1"/>
  <c r="AI1826" i="1"/>
  <c r="AN1826" i="1"/>
  <c r="CC1821" i="1" l="1"/>
  <c r="AO1821" i="1"/>
  <c r="AQ1821" i="1" s="1"/>
  <c r="AE1821" i="1"/>
  <c r="V1822" i="1"/>
  <c r="AH1822" i="1"/>
  <c r="AJ1822" i="1" s="1"/>
  <c r="AG1820" i="1"/>
  <c r="AX1820" i="1" s="1"/>
  <c r="AY1820" i="1"/>
  <c r="AZ1820" i="1" s="1"/>
  <c r="AN1827" i="1"/>
  <c r="U1827" i="1"/>
  <c r="X1827" i="1" s="1"/>
  <c r="Z1827" i="1" s="1"/>
  <c r="AI1827" i="1"/>
  <c r="AW1820" i="1" l="1"/>
  <c r="AK1821" i="1"/>
  <c r="AE1822" i="1"/>
  <c r="V1823" i="1"/>
  <c r="AH1823" i="1"/>
  <c r="AJ1823" i="1" s="1"/>
  <c r="AO1822" i="1"/>
  <c r="AQ1822" i="1" s="1"/>
  <c r="CC1822" i="1"/>
  <c r="AG1821" i="1"/>
  <c r="AX1821" i="1" s="1"/>
  <c r="AY1821" i="1"/>
  <c r="AZ1821" i="1" s="1"/>
  <c r="U1828" i="1"/>
  <c r="X1828" i="1" s="1"/>
  <c r="Z1828" i="1" s="1"/>
  <c r="AI1828" i="1"/>
  <c r="AN1828" i="1"/>
  <c r="V1824" i="1" l="1"/>
  <c r="AE1823" i="1"/>
  <c r="AH1824" i="1"/>
  <c r="AJ1824" i="1" s="1"/>
  <c r="AW1821" i="1"/>
  <c r="AK1822" i="1"/>
  <c r="AO1823" i="1"/>
  <c r="AQ1823" i="1" s="1"/>
  <c r="CC1823" i="1"/>
  <c r="AG1822" i="1"/>
  <c r="AX1822" i="1" s="1"/>
  <c r="AY1822" i="1"/>
  <c r="AZ1822" i="1" s="1"/>
  <c r="AI1829" i="1"/>
  <c r="U1829" i="1"/>
  <c r="X1829" i="1" s="1"/>
  <c r="Z1829" i="1" s="1"/>
  <c r="AN1829" i="1"/>
  <c r="V1825" i="1" l="1"/>
  <c r="AE1824" i="1"/>
  <c r="AH1825" i="1"/>
  <c r="AJ1825" i="1" s="1"/>
  <c r="AW1822" i="1"/>
  <c r="AK1823" i="1"/>
  <c r="AO1824" i="1"/>
  <c r="AQ1824" i="1" s="1"/>
  <c r="CC1824" i="1"/>
  <c r="AG1823" i="1"/>
  <c r="AX1823" i="1" s="1"/>
  <c r="AY1823" i="1"/>
  <c r="AZ1823" i="1" s="1"/>
  <c r="AN1830" i="1"/>
  <c r="AI1830" i="1"/>
  <c r="U1830" i="1"/>
  <c r="X1830" i="1" s="1"/>
  <c r="Z1830" i="1" s="1"/>
  <c r="AE1825" i="1" l="1"/>
  <c r="V1826" i="1"/>
  <c r="AH1826" i="1"/>
  <c r="AO1826" i="1" s="1"/>
  <c r="AQ1826" i="1" s="1"/>
  <c r="AO1825" i="1"/>
  <c r="AQ1825" i="1" s="1"/>
  <c r="CC1825" i="1"/>
  <c r="AK1824" i="1"/>
  <c r="AW1823" i="1"/>
  <c r="AG1824" i="1"/>
  <c r="AX1824" i="1" s="1"/>
  <c r="AY1824" i="1"/>
  <c r="AZ1824" i="1" s="1"/>
  <c r="U1831" i="1"/>
  <c r="X1831" i="1" s="1"/>
  <c r="Z1831" i="1" s="1"/>
  <c r="AN1831" i="1"/>
  <c r="AI1831" i="1"/>
  <c r="AJ1826" i="1" l="1"/>
  <c r="V1827" i="1"/>
  <c r="AW1824" i="1"/>
  <c r="AK1825" i="1"/>
  <c r="AE1826" i="1"/>
  <c r="AH1827" i="1"/>
  <c r="AJ1827" i="1" s="1"/>
  <c r="AG1825" i="1"/>
  <c r="AX1825" i="1" s="1"/>
  <c r="AY1825" i="1"/>
  <c r="AZ1825" i="1" s="1"/>
  <c r="CC1826" i="1"/>
  <c r="AN1832" i="1"/>
  <c r="AI1832" i="1"/>
  <c r="U1832" i="1"/>
  <c r="X1832" i="1" s="1"/>
  <c r="Z1832" i="1" s="1"/>
  <c r="CC1827" i="1" l="1"/>
  <c r="V1828" i="1"/>
  <c r="AW1826" i="1"/>
  <c r="AK1827" i="1"/>
  <c r="AE1827" i="1"/>
  <c r="AH1828" i="1"/>
  <c r="AJ1828" i="1" s="1"/>
  <c r="AK1826" i="1"/>
  <c r="AW1825" i="1"/>
  <c r="AG1826" i="1"/>
  <c r="AX1826" i="1" s="1"/>
  <c r="AY1826" i="1"/>
  <c r="AZ1826" i="1" s="1"/>
  <c r="AO1827" i="1"/>
  <c r="AQ1827" i="1" s="1"/>
  <c r="AN1833" i="1"/>
  <c r="U1833" i="1"/>
  <c r="X1833" i="1" s="1"/>
  <c r="Z1833" i="1" s="1"/>
  <c r="AI1833" i="1"/>
  <c r="V1829" i="1" l="1"/>
  <c r="AE1828" i="1"/>
  <c r="AH1829" i="1"/>
  <c r="AO1829" i="1" s="1"/>
  <c r="AQ1829" i="1" s="1"/>
  <c r="AO1828" i="1"/>
  <c r="AQ1828" i="1" s="1"/>
  <c r="CC1828" i="1"/>
  <c r="AY1827" i="1"/>
  <c r="AZ1827" i="1" s="1"/>
  <c r="AG1827" i="1"/>
  <c r="AX1827" i="1" s="1"/>
  <c r="AN1834" i="1"/>
  <c r="AI1834" i="1"/>
  <c r="U1834" i="1"/>
  <c r="X1834" i="1" s="1"/>
  <c r="Z1834" i="1" s="1"/>
  <c r="AJ1829" i="1" l="1"/>
  <c r="AH1830" i="1"/>
  <c r="AO1830" i="1" s="1"/>
  <c r="AQ1830" i="1" s="1"/>
  <c r="V1830" i="1"/>
  <c r="AE1829" i="1"/>
  <c r="AW1827" i="1"/>
  <c r="AK1828" i="1"/>
  <c r="AY1828" i="1"/>
  <c r="AZ1828" i="1" s="1"/>
  <c r="AG1828" i="1"/>
  <c r="AX1828" i="1" s="1"/>
  <c r="CC1829" i="1"/>
  <c r="AI1835" i="1"/>
  <c r="AN1835" i="1"/>
  <c r="U1835" i="1"/>
  <c r="X1835" i="1" s="1"/>
  <c r="Z1835" i="1" s="1"/>
  <c r="AJ1830" i="1" l="1"/>
  <c r="CC1830" i="1" s="1"/>
  <c r="AW1828" i="1"/>
  <c r="AK1829" i="1"/>
  <c r="V1831" i="1"/>
  <c r="AE1830" i="1"/>
  <c r="AY1829" i="1"/>
  <c r="AZ1829" i="1" s="1"/>
  <c r="AG1829" i="1"/>
  <c r="AX1829" i="1" s="1"/>
  <c r="AH1831" i="1"/>
  <c r="AO1831" i="1" s="1"/>
  <c r="AQ1831" i="1" s="1"/>
  <c r="AW1829" i="1"/>
  <c r="AN1836" i="1"/>
  <c r="AI1836" i="1"/>
  <c r="U1836" i="1"/>
  <c r="X1836" i="1" s="1"/>
  <c r="Z1836" i="1" s="1"/>
  <c r="AJ1831" i="1" l="1"/>
  <c r="CC1831" i="1" s="1"/>
  <c r="AK1830" i="1"/>
  <c r="V1832" i="1"/>
  <c r="AE1831" i="1"/>
  <c r="AG1830" i="1"/>
  <c r="AX1830" i="1" s="1"/>
  <c r="AY1830" i="1"/>
  <c r="AZ1830" i="1" s="1"/>
  <c r="AH1832" i="1"/>
  <c r="AO1832" i="1" s="1"/>
  <c r="AQ1832" i="1" s="1"/>
  <c r="AN1837" i="1"/>
  <c r="U1837" i="1"/>
  <c r="X1837" i="1" s="1"/>
  <c r="Z1837" i="1" s="1"/>
  <c r="AI1837" i="1"/>
  <c r="AW1830" i="1" l="1"/>
  <c r="AJ1832" i="1"/>
  <c r="AK1831" i="1"/>
  <c r="CC1832" i="1"/>
  <c r="AH1833" i="1"/>
  <c r="AJ1833" i="1" s="1"/>
  <c r="V1833" i="1"/>
  <c r="AE1832" i="1"/>
  <c r="AG1831" i="1"/>
  <c r="AX1831" i="1" s="1"/>
  <c r="AY1831" i="1"/>
  <c r="AZ1831" i="1" s="1"/>
  <c r="AW1831" i="1"/>
  <c r="AN1838" i="1"/>
  <c r="AI1838" i="1"/>
  <c r="U1838" i="1"/>
  <c r="X1838" i="1" s="1"/>
  <c r="Z1838" i="1" s="1"/>
  <c r="AK1832" i="1" l="1"/>
  <c r="AO1833" i="1"/>
  <c r="AQ1833" i="1" s="1"/>
  <c r="AW1832" i="1"/>
  <c r="CC1833" i="1"/>
  <c r="AK1833" i="1"/>
  <c r="V1834" i="1"/>
  <c r="AE1833" i="1"/>
  <c r="AH1834" i="1"/>
  <c r="AO1834" i="1" s="1"/>
  <c r="AQ1834" i="1" s="1"/>
  <c r="AY1832" i="1"/>
  <c r="AZ1832" i="1" s="1"/>
  <c r="AG1832" i="1"/>
  <c r="AX1832" i="1" s="1"/>
  <c r="U1839" i="1"/>
  <c r="X1839" i="1" s="1"/>
  <c r="Z1839" i="1" s="1"/>
  <c r="AN1839" i="1"/>
  <c r="AI1839" i="1"/>
  <c r="AJ1834" i="1" l="1"/>
  <c r="V1835" i="1"/>
  <c r="AE1834" i="1"/>
  <c r="AH1835" i="1"/>
  <c r="AO1835" i="1" s="1"/>
  <c r="AQ1835" i="1" s="1"/>
  <c r="AY1833" i="1"/>
  <c r="AZ1833" i="1" s="1"/>
  <c r="AG1833" i="1"/>
  <c r="AX1833" i="1" s="1"/>
  <c r="AI1840" i="1"/>
  <c r="AN1840" i="1"/>
  <c r="U1840" i="1"/>
  <c r="X1840" i="1" s="1"/>
  <c r="Z1840" i="1" s="1"/>
  <c r="AJ1835" i="1" l="1"/>
  <c r="AH1836" i="1"/>
  <c r="AO1836" i="1" s="1"/>
  <c r="AQ1836" i="1" s="1"/>
  <c r="CC1835" i="1"/>
  <c r="AW1833" i="1"/>
  <c r="CC1834" i="1"/>
  <c r="AK1834" i="1"/>
  <c r="AE1835" i="1"/>
  <c r="AG1834" i="1"/>
  <c r="AX1834" i="1" s="1"/>
  <c r="AY1834" i="1"/>
  <c r="AZ1834" i="1" s="1"/>
  <c r="AI1841" i="1"/>
  <c r="U1841" i="1"/>
  <c r="X1841" i="1" s="1"/>
  <c r="Z1841" i="1" s="1"/>
  <c r="AN1841" i="1"/>
  <c r="AJ1836" i="1" l="1"/>
  <c r="AW1834" i="1"/>
  <c r="AK1835" i="1"/>
  <c r="V1836" i="1"/>
  <c r="CC1836" i="1"/>
  <c r="AY1835" i="1"/>
  <c r="AZ1835" i="1" s="1"/>
  <c r="AG1835" i="1"/>
  <c r="AX1835" i="1" s="1"/>
  <c r="AN1842" i="1"/>
  <c r="U1842" i="1"/>
  <c r="X1842" i="1" s="1"/>
  <c r="Z1842" i="1" s="1"/>
  <c r="AI1842" i="1"/>
  <c r="V1837" i="1" l="1"/>
  <c r="AE1836" i="1"/>
  <c r="AH1837" i="1"/>
  <c r="AJ1837" i="1" s="1"/>
  <c r="AW1835" i="1"/>
  <c r="AK1836" i="1"/>
  <c r="U1843" i="1"/>
  <c r="X1843" i="1" s="1"/>
  <c r="Z1843" i="1" s="1"/>
  <c r="AI1843" i="1"/>
  <c r="AN1843" i="1"/>
  <c r="AE1837" i="1" l="1"/>
  <c r="V1838" i="1"/>
  <c r="AH1838" i="1"/>
  <c r="AJ1838" i="1" s="1"/>
  <c r="AO1837" i="1"/>
  <c r="AQ1837" i="1" s="1"/>
  <c r="CC1837" i="1"/>
  <c r="AY1836" i="1"/>
  <c r="AZ1836" i="1" s="1"/>
  <c r="AG1836" i="1"/>
  <c r="AX1836" i="1" s="1"/>
  <c r="U1844" i="1"/>
  <c r="X1844" i="1" s="1"/>
  <c r="Z1844" i="1" s="1"/>
  <c r="AN1844" i="1"/>
  <c r="AI1844" i="1"/>
  <c r="V1839" i="1" l="1"/>
  <c r="AE1838" i="1"/>
  <c r="AH1839" i="1"/>
  <c r="AO1839" i="1" s="1"/>
  <c r="AQ1839" i="1" s="1"/>
  <c r="AK1837" i="1"/>
  <c r="AW1836" i="1"/>
  <c r="AO1838" i="1"/>
  <c r="AQ1838" i="1" s="1"/>
  <c r="CC1838" i="1"/>
  <c r="AY1837" i="1"/>
  <c r="AZ1837" i="1" s="1"/>
  <c r="AG1837" i="1"/>
  <c r="AX1837" i="1" s="1"/>
  <c r="AN1845" i="1"/>
  <c r="AI1845" i="1"/>
  <c r="U1845" i="1"/>
  <c r="X1845" i="1" s="1"/>
  <c r="Z1845" i="1" s="1"/>
  <c r="AJ1839" i="1" l="1"/>
  <c r="CC1839" i="1" s="1"/>
  <c r="AE1839" i="1"/>
  <c r="V1840" i="1"/>
  <c r="AH1840" i="1"/>
  <c r="AO1840" i="1" s="1"/>
  <c r="AQ1840" i="1" s="1"/>
  <c r="AW1837" i="1"/>
  <c r="AK1838" i="1"/>
  <c r="AK1839" i="1"/>
  <c r="AG1838" i="1"/>
  <c r="AX1838" i="1" s="1"/>
  <c r="AY1838" i="1"/>
  <c r="AZ1838" i="1" s="1"/>
  <c r="AI1846" i="1"/>
  <c r="U1846" i="1"/>
  <c r="X1846" i="1" s="1"/>
  <c r="Z1846" i="1" s="1"/>
  <c r="AN1846" i="1"/>
  <c r="AJ1840" i="1" l="1"/>
  <c r="AW1838" i="1"/>
  <c r="CC1840" i="1"/>
  <c r="AE1840" i="1"/>
  <c r="V1841" i="1"/>
  <c r="AH1841" i="1"/>
  <c r="AJ1841" i="1" s="1"/>
  <c r="AY1839" i="1"/>
  <c r="AZ1839" i="1" s="1"/>
  <c r="AG1839" i="1"/>
  <c r="AX1839" i="1" s="1"/>
  <c r="U1847" i="1"/>
  <c r="X1847" i="1" s="1"/>
  <c r="Z1847" i="1" s="1"/>
  <c r="AI1847" i="1"/>
  <c r="AN1847" i="1"/>
  <c r="AW1839" i="1" l="1"/>
  <c r="AK1840" i="1"/>
  <c r="AE1841" i="1"/>
  <c r="V1842" i="1"/>
  <c r="AH1842" i="1"/>
  <c r="AJ1842" i="1" s="1"/>
  <c r="AO1841" i="1"/>
  <c r="AQ1841" i="1" s="1"/>
  <c r="CC1841" i="1"/>
  <c r="AY1840" i="1"/>
  <c r="AZ1840" i="1" s="1"/>
  <c r="AG1840" i="1"/>
  <c r="AX1840" i="1" s="1"/>
  <c r="U1848" i="1"/>
  <c r="X1848" i="1" s="1"/>
  <c r="Z1848" i="1" s="1"/>
  <c r="AN1848" i="1"/>
  <c r="AI1848" i="1"/>
  <c r="V1843" i="1" l="1"/>
  <c r="AE1842" i="1"/>
  <c r="AH1843" i="1"/>
  <c r="AJ1843" i="1" s="1"/>
  <c r="AK1841" i="1"/>
  <c r="AW1840" i="1"/>
  <c r="AO1842" i="1"/>
  <c r="AQ1842" i="1" s="1"/>
  <c r="CC1842" i="1"/>
  <c r="AG1841" i="1"/>
  <c r="AX1841" i="1" s="1"/>
  <c r="AY1841" i="1"/>
  <c r="AZ1841" i="1" s="1"/>
  <c r="AI1849" i="1"/>
  <c r="U1849" i="1"/>
  <c r="X1849" i="1" s="1"/>
  <c r="Z1849" i="1" s="1"/>
  <c r="AN1849" i="1"/>
  <c r="V1844" i="1" l="1"/>
  <c r="AE1843" i="1"/>
  <c r="AH1844" i="1"/>
  <c r="AJ1844" i="1" s="1"/>
  <c r="AK1842" i="1"/>
  <c r="AW1841" i="1"/>
  <c r="AO1843" i="1"/>
  <c r="AQ1843" i="1" s="1"/>
  <c r="CC1843" i="1"/>
  <c r="AY1842" i="1"/>
  <c r="AZ1842" i="1" s="1"/>
  <c r="AG1842" i="1"/>
  <c r="AX1842" i="1" s="1"/>
  <c r="AI1850" i="1"/>
  <c r="AN1850" i="1"/>
  <c r="U1850" i="1"/>
  <c r="X1850" i="1" s="1"/>
  <c r="Z1850" i="1" s="1"/>
  <c r="AE1844" i="1" l="1"/>
  <c r="V1845" i="1"/>
  <c r="AH1845" i="1"/>
  <c r="AO1845" i="1" s="1"/>
  <c r="AQ1845" i="1" s="1"/>
  <c r="AO1844" i="1"/>
  <c r="AQ1844" i="1" s="1"/>
  <c r="CC1844" i="1"/>
  <c r="AW1842" i="1"/>
  <c r="AK1843" i="1"/>
  <c r="AG1843" i="1"/>
  <c r="AX1843" i="1" s="1"/>
  <c r="AY1843" i="1"/>
  <c r="AZ1843" i="1" s="1"/>
  <c r="AI1851" i="1"/>
  <c r="AN1851" i="1"/>
  <c r="U1851" i="1"/>
  <c r="X1851" i="1" s="1"/>
  <c r="Z1851" i="1" s="1"/>
  <c r="AJ1845" i="1" l="1"/>
  <c r="CC1845" i="1" s="1"/>
  <c r="V1846" i="1"/>
  <c r="AW1843" i="1"/>
  <c r="AK1844" i="1"/>
  <c r="AE1845" i="1"/>
  <c r="AH1846" i="1"/>
  <c r="AO1846" i="1" s="1"/>
  <c r="AQ1846" i="1" s="1"/>
  <c r="AG1844" i="1"/>
  <c r="AX1844" i="1" s="1"/>
  <c r="AY1844" i="1"/>
  <c r="AZ1844" i="1" s="1"/>
  <c r="AN1852" i="1"/>
  <c r="U1852" i="1"/>
  <c r="X1852" i="1" s="1"/>
  <c r="Z1852" i="1" s="1"/>
  <c r="AI1852" i="1"/>
  <c r="AJ1846" i="1" l="1"/>
  <c r="CC1846" i="1" s="1"/>
  <c r="V1847" i="1"/>
  <c r="AK1845" i="1"/>
  <c r="AW1844" i="1"/>
  <c r="AE1846" i="1"/>
  <c r="AH1847" i="1"/>
  <c r="AJ1847" i="1" s="1"/>
  <c r="AY1845" i="1"/>
  <c r="AZ1845" i="1" s="1"/>
  <c r="AG1845" i="1"/>
  <c r="AX1845" i="1" s="1"/>
  <c r="AI1853" i="1"/>
  <c r="AN1853" i="1"/>
  <c r="U1853" i="1"/>
  <c r="X1853" i="1" s="1"/>
  <c r="Z1853" i="1" s="1"/>
  <c r="AK1846" i="1" l="1"/>
  <c r="AW1845" i="1"/>
  <c r="V1848" i="1"/>
  <c r="AE1847" i="1"/>
  <c r="AH1848" i="1"/>
  <c r="AJ1848" i="1" s="1"/>
  <c r="AY1846" i="1"/>
  <c r="AZ1846" i="1" s="1"/>
  <c r="AG1846" i="1"/>
  <c r="AX1846" i="1" s="1"/>
  <c r="AO1847" i="1"/>
  <c r="AQ1847" i="1" s="1"/>
  <c r="AN1854" i="1"/>
  <c r="U1854" i="1"/>
  <c r="X1854" i="1" s="1"/>
  <c r="Z1854" i="1" s="1"/>
  <c r="AI1854" i="1"/>
  <c r="V1849" i="1" l="1"/>
  <c r="AW1846" i="1"/>
  <c r="CC1847" i="1"/>
  <c r="AK1847" i="1"/>
  <c r="AE1848" i="1"/>
  <c r="AH1849" i="1"/>
  <c r="AJ1849" i="1" s="1"/>
  <c r="AO1848" i="1"/>
  <c r="AQ1848" i="1" s="1"/>
  <c r="CC1848" i="1"/>
  <c r="AY1847" i="1"/>
  <c r="AZ1847" i="1" s="1"/>
  <c r="AG1847" i="1"/>
  <c r="AX1847" i="1" s="1"/>
  <c r="AN1855" i="1"/>
  <c r="U1855" i="1"/>
  <c r="X1855" i="1" s="1"/>
  <c r="Z1855" i="1" s="1"/>
  <c r="AI1855" i="1"/>
  <c r="V1850" i="1" l="1"/>
  <c r="AE1849" i="1"/>
  <c r="AH1850" i="1"/>
  <c r="AO1850" i="1" s="1"/>
  <c r="AQ1850" i="1" s="1"/>
  <c r="AO1849" i="1"/>
  <c r="AQ1849" i="1" s="1"/>
  <c r="CC1849" i="1"/>
  <c r="AW1847" i="1"/>
  <c r="AK1848" i="1"/>
  <c r="AG1848" i="1"/>
  <c r="AX1848" i="1" s="1"/>
  <c r="AY1848" i="1"/>
  <c r="AZ1848" i="1" s="1"/>
  <c r="AI1856" i="1"/>
  <c r="AN1856" i="1"/>
  <c r="U1856" i="1"/>
  <c r="X1856" i="1" s="1"/>
  <c r="Z1856" i="1" s="1"/>
  <c r="AJ1850" i="1" l="1"/>
  <c r="CC1850" i="1" s="1"/>
  <c r="V1851" i="1"/>
  <c r="AE1850" i="1"/>
  <c r="AH1851" i="1"/>
  <c r="AO1851" i="1" s="1"/>
  <c r="AQ1851" i="1" s="1"/>
  <c r="AK1849" i="1"/>
  <c r="AW1848" i="1"/>
  <c r="AG1849" i="1"/>
  <c r="AX1849" i="1" s="1"/>
  <c r="AY1849" i="1"/>
  <c r="AZ1849" i="1" s="1"/>
  <c r="AN1857" i="1"/>
  <c r="U1857" i="1"/>
  <c r="X1857" i="1" s="1"/>
  <c r="Z1857" i="1" s="1"/>
  <c r="AI1857" i="1"/>
  <c r="AJ1851" i="1" l="1"/>
  <c r="AW1849" i="1"/>
  <c r="AK1850" i="1"/>
  <c r="AE1851" i="1"/>
  <c r="AH1852" i="1"/>
  <c r="AO1852" i="1" s="1"/>
  <c r="AQ1852" i="1" s="1"/>
  <c r="V1852" i="1"/>
  <c r="AG1850" i="1"/>
  <c r="AX1850" i="1" s="1"/>
  <c r="AY1850" i="1"/>
  <c r="AZ1850" i="1" s="1"/>
  <c r="CC1851" i="1"/>
  <c r="AN1858" i="1"/>
  <c r="AI1858" i="1"/>
  <c r="U1858" i="1"/>
  <c r="X1858" i="1" s="1"/>
  <c r="Z1858" i="1" s="1"/>
  <c r="AJ1852" i="1" l="1"/>
  <c r="V1853" i="1"/>
  <c r="AE1852" i="1"/>
  <c r="AH1853" i="1"/>
  <c r="AO1853" i="1" s="1"/>
  <c r="AQ1853" i="1" s="1"/>
  <c r="AK1851" i="1"/>
  <c r="AW1850" i="1"/>
  <c r="AY1851" i="1"/>
  <c r="AZ1851" i="1" s="1"/>
  <c r="AG1851" i="1"/>
  <c r="AX1851" i="1" s="1"/>
  <c r="CC1852" i="1"/>
  <c r="U1859" i="1"/>
  <c r="X1859" i="1" s="1"/>
  <c r="Z1859" i="1" s="1"/>
  <c r="AN1859" i="1"/>
  <c r="AI1859" i="1"/>
  <c r="AJ1853" i="1" l="1"/>
  <c r="AE1853" i="1"/>
  <c r="V1854" i="1"/>
  <c r="AH1854" i="1"/>
  <c r="AO1854" i="1" s="1"/>
  <c r="AQ1854" i="1" s="1"/>
  <c r="AW1851" i="1"/>
  <c r="AK1852" i="1"/>
  <c r="AY1852" i="1"/>
  <c r="AZ1852" i="1" s="1"/>
  <c r="AG1852" i="1"/>
  <c r="AX1852" i="1" s="1"/>
  <c r="U1860" i="1"/>
  <c r="X1860" i="1" s="1"/>
  <c r="Z1860" i="1" s="1"/>
  <c r="AI1860" i="1"/>
  <c r="AN1860" i="1"/>
  <c r="AJ1854" i="1" l="1"/>
  <c r="CC1854" i="1" s="1"/>
  <c r="AK1853" i="1"/>
  <c r="CC1853" i="1"/>
  <c r="AW1852" i="1"/>
  <c r="AE1854" i="1"/>
  <c r="V1855" i="1"/>
  <c r="AH1855" i="1"/>
  <c r="AO1855" i="1" s="1"/>
  <c r="AQ1855" i="1" s="1"/>
  <c r="AG1853" i="1"/>
  <c r="AX1853" i="1" s="1"/>
  <c r="AY1853" i="1"/>
  <c r="AZ1853" i="1" s="1"/>
  <c r="AI1861" i="1"/>
  <c r="U1861" i="1"/>
  <c r="X1861" i="1" s="1"/>
  <c r="Z1861" i="1" s="1"/>
  <c r="AN1861" i="1"/>
  <c r="AJ1855" i="1" l="1"/>
  <c r="AK1854" i="1"/>
  <c r="AW1853" i="1"/>
  <c r="V1856" i="1"/>
  <c r="AE1855" i="1"/>
  <c r="AH1856" i="1"/>
  <c r="AO1856" i="1" s="1"/>
  <c r="AQ1856" i="1" s="1"/>
  <c r="AY1854" i="1"/>
  <c r="AZ1854" i="1" s="1"/>
  <c r="AG1854" i="1"/>
  <c r="AX1854" i="1" s="1"/>
  <c r="CC1855" i="1"/>
  <c r="AN1862" i="1"/>
  <c r="U1862" i="1"/>
  <c r="X1862" i="1" s="1"/>
  <c r="Z1862" i="1" s="1"/>
  <c r="AI1862" i="1"/>
  <c r="AJ1856" i="1" l="1"/>
  <c r="CC1856" i="1" s="1"/>
  <c r="V1857" i="1"/>
  <c r="AE1856" i="1"/>
  <c r="AH1857" i="1"/>
  <c r="AJ1857" i="1" s="1"/>
  <c r="AW1854" i="1"/>
  <c r="AK1855" i="1"/>
  <c r="AG1855" i="1"/>
  <c r="AX1855" i="1" s="1"/>
  <c r="AY1855" i="1"/>
  <c r="AZ1855" i="1" s="1"/>
  <c r="U1863" i="1"/>
  <c r="X1863" i="1" s="1"/>
  <c r="Z1863" i="1" s="1"/>
  <c r="AI1863" i="1"/>
  <c r="AN1863" i="1"/>
  <c r="CC1857" i="1" l="1"/>
  <c r="AE1857" i="1"/>
  <c r="V1858" i="1"/>
  <c r="AH1858" i="1"/>
  <c r="AJ1858" i="1" s="1"/>
  <c r="AW1856" i="1"/>
  <c r="AK1857" i="1"/>
  <c r="AK1856" i="1"/>
  <c r="AW1855" i="1"/>
  <c r="AG1856" i="1"/>
  <c r="AX1856" i="1" s="1"/>
  <c r="AY1856" i="1"/>
  <c r="AZ1856" i="1" s="1"/>
  <c r="AO1857" i="1"/>
  <c r="AQ1857" i="1" s="1"/>
  <c r="AN1864" i="1"/>
  <c r="U1864" i="1"/>
  <c r="X1864" i="1" s="1"/>
  <c r="Z1864" i="1" s="1"/>
  <c r="AI1864" i="1"/>
  <c r="V1859" i="1" l="1"/>
  <c r="AE1858" i="1"/>
  <c r="AH1859" i="1"/>
  <c r="AO1859" i="1" s="1"/>
  <c r="AQ1859" i="1" s="1"/>
  <c r="AO1858" i="1"/>
  <c r="AQ1858" i="1" s="1"/>
  <c r="CC1858" i="1"/>
  <c r="AY1857" i="1"/>
  <c r="AZ1857" i="1" s="1"/>
  <c r="AG1857" i="1"/>
  <c r="AX1857" i="1" s="1"/>
  <c r="AI1865" i="1"/>
  <c r="U1865" i="1"/>
  <c r="X1865" i="1" s="1"/>
  <c r="Z1865" i="1" s="1"/>
  <c r="AN1865" i="1"/>
  <c r="AJ1859" i="1" l="1"/>
  <c r="V1860" i="1"/>
  <c r="AE1859" i="1"/>
  <c r="AH1860" i="1"/>
  <c r="AO1860" i="1" s="1"/>
  <c r="AQ1860" i="1" s="1"/>
  <c r="AW1857" i="1"/>
  <c r="AK1858" i="1"/>
  <c r="AG1858" i="1"/>
  <c r="AX1858" i="1" s="1"/>
  <c r="AY1858" i="1"/>
  <c r="AZ1858" i="1" s="1"/>
  <c r="U1866" i="1"/>
  <c r="X1866" i="1" s="1"/>
  <c r="Z1866" i="1" s="1"/>
  <c r="AN1866" i="1"/>
  <c r="AI1866" i="1"/>
  <c r="AJ1860" i="1" l="1"/>
  <c r="AK1859" i="1"/>
  <c r="CC1859" i="1"/>
  <c r="AW1858" i="1"/>
  <c r="AE1860" i="1"/>
  <c r="V1861" i="1"/>
  <c r="AH1861" i="1"/>
  <c r="AJ1861" i="1" s="1"/>
  <c r="AY1859" i="1"/>
  <c r="AZ1859" i="1" s="1"/>
  <c r="AG1859" i="1"/>
  <c r="AX1859" i="1" s="1"/>
  <c r="AN1867" i="1"/>
  <c r="AI1867" i="1"/>
  <c r="U1867" i="1"/>
  <c r="X1867" i="1" s="1"/>
  <c r="Z1867" i="1" s="1"/>
  <c r="V1862" i="1" l="1"/>
  <c r="AK1860" i="1"/>
  <c r="CC1860" i="1"/>
  <c r="AW1859" i="1"/>
  <c r="AE1861" i="1"/>
  <c r="AH1862" i="1"/>
  <c r="AJ1862" i="1" s="1"/>
  <c r="AO1861" i="1"/>
  <c r="AQ1861" i="1" s="1"/>
  <c r="CC1861" i="1"/>
  <c r="AG1860" i="1"/>
  <c r="AX1860" i="1" s="1"/>
  <c r="AY1860" i="1"/>
  <c r="AZ1860" i="1" s="1"/>
  <c r="AI1868" i="1"/>
  <c r="U1868" i="1"/>
  <c r="X1868" i="1" s="1"/>
  <c r="Z1868" i="1" s="1"/>
  <c r="AN1868" i="1"/>
  <c r="AK1862" i="1" l="1"/>
  <c r="CC1862" i="1"/>
  <c r="AW1861" i="1"/>
  <c r="AO1862" i="1"/>
  <c r="AQ1862" i="1" s="1"/>
  <c r="AW1860" i="1"/>
  <c r="AK1861" i="1"/>
  <c r="V1863" i="1"/>
  <c r="AE1862" i="1"/>
  <c r="AH1863" i="1"/>
  <c r="AO1863" i="1" s="1"/>
  <c r="AQ1863" i="1" s="1"/>
  <c r="AY1861" i="1"/>
  <c r="AZ1861" i="1" s="1"/>
  <c r="AG1861" i="1"/>
  <c r="AX1861" i="1" s="1"/>
  <c r="AI1869" i="1"/>
  <c r="AN1869" i="1"/>
  <c r="U1869" i="1"/>
  <c r="X1869" i="1" s="1"/>
  <c r="Z1869" i="1" s="1"/>
  <c r="AJ1863" i="1" l="1"/>
  <c r="CC1863" i="1" s="1"/>
  <c r="V1864" i="1"/>
  <c r="AE1863" i="1"/>
  <c r="AH1864" i="1"/>
  <c r="AO1864" i="1" s="1"/>
  <c r="AQ1864" i="1" s="1"/>
  <c r="AG1862" i="1"/>
  <c r="AX1862" i="1" s="1"/>
  <c r="AY1862" i="1"/>
  <c r="AZ1862" i="1" s="1"/>
  <c r="AN1870" i="1"/>
  <c r="AI1870" i="1"/>
  <c r="U1870" i="1"/>
  <c r="X1870" i="1" s="1"/>
  <c r="Z1870" i="1" s="1"/>
  <c r="AJ1864" i="1" l="1"/>
  <c r="AK1864" i="1" s="1"/>
  <c r="V1865" i="1"/>
  <c r="AE1864" i="1"/>
  <c r="AH1865" i="1"/>
  <c r="AO1865" i="1" s="1"/>
  <c r="AQ1865" i="1" s="1"/>
  <c r="AW1862" i="1"/>
  <c r="AK1863" i="1"/>
  <c r="AY1863" i="1"/>
  <c r="AZ1863" i="1" s="1"/>
  <c r="AG1863" i="1"/>
  <c r="AX1863" i="1" s="1"/>
  <c r="AI1871" i="1"/>
  <c r="AN1871" i="1"/>
  <c r="U1871" i="1"/>
  <c r="X1871" i="1" s="1"/>
  <c r="Z1871" i="1" s="1"/>
  <c r="AJ1865" i="1" l="1"/>
  <c r="CC1865" i="1" s="1"/>
  <c r="AW1863" i="1"/>
  <c r="CC1864" i="1"/>
  <c r="V1866" i="1"/>
  <c r="AE1865" i="1"/>
  <c r="AH1866" i="1"/>
  <c r="AO1866" i="1" s="1"/>
  <c r="AQ1866" i="1" s="1"/>
  <c r="AG1864" i="1"/>
  <c r="AX1864" i="1" s="1"/>
  <c r="AY1864" i="1"/>
  <c r="AZ1864" i="1" s="1"/>
  <c r="U1872" i="1"/>
  <c r="X1872" i="1" s="1"/>
  <c r="Z1872" i="1" s="1"/>
  <c r="AN1872" i="1"/>
  <c r="AI1872" i="1"/>
  <c r="AJ1866" i="1" l="1"/>
  <c r="AE1866" i="1"/>
  <c r="V1867" i="1"/>
  <c r="AH1867" i="1"/>
  <c r="AO1867" i="1" s="1"/>
  <c r="AQ1867" i="1" s="1"/>
  <c r="AK1865" i="1"/>
  <c r="AW1864" i="1"/>
  <c r="AG1865" i="1"/>
  <c r="AX1865" i="1" s="1"/>
  <c r="AY1865" i="1"/>
  <c r="AZ1865" i="1" s="1"/>
  <c r="AI1873" i="1"/>
  <c r="U1873" i="1"/>
  <c r="X1873" i="1" s="1"/>
  <c r="Z1873" i="1" s="1"/>
  <c r="AN1873" i="1"/>
  <c r="AJ1867" i="1" l="1"/>
  <c r="CC1867" i="1" s="1"/>
  <c r="AK1866" i="1"/>
  <c r="CC1866" i="1"/>
  <c r="AW1865" i="1"/>
  <c r="AE1867" i="1"/>
  <c r="V1868" i="1"/>
  <c r="AH1868" i="1"/>
  <c r="AO1868" i="1" s="1"/>
  <c r="AQ1868" i="1" s="1"/>
  <c r="AY1866" i="1"/>
  <c r="AZ1866" i="1" s="1"/>
  <c r="AG1866" i="1"/>
  <c r="AX1866" i="1" s="1"/>
  <c r="AN1874" i="1"/>
  <c r="AI1874" i="1"/>
  <c r="U1874" i="1"/>
  <c r="X1874" i="1" s="1"/>
  <c r="Z1874" i="1" s="1"/>
  <c r="AJ1868" i="1" l="1"/>
  <c r="CC1868" i="1" s="1"/>
  <c r="V1869" i="1"/>
  <c r="AE1868" i="1"/>
  <c r="AH1869" i="1"/>
  <c r="AO1869" i="1" s="1"/>
  <c r="AQ1869" i="1" s="1"/>
  <c r="AK1867" i="1"/>
  <c r="AW1866" i="1"/>
  <c r="AG1867" i="1"/>
  <c r="AX1867" i="1" s="1"/>
  <c r="AY1867" i="1"/>
  <c r="AZ1867" i="1" s="1"/>
  <c r="AN1875" i="1"/>
  <c r="AI1875" i="1"/>
  <c r="U1875" i="1"/>
  <c r="X1875" i="1" s="1"/>
  <c r="Z1875" i="1" s="1"/>
  <c r="AJ1869" i="1" l="1"/>
  <c r="CC1869" i="1" s="1"/>
  <c r="AK1868" i="1"/>
  <c r="AW1867" i="1"/>
  <c r="V1870" i="1"/>
  <c r="AE1869" i="1"/>
  <c r="AH1870" i="1"/>
  <c r="AJ1870" i="1" s="1"/>
  <c r="AY1868" i="1"/>
  <c r="AZ1868" i="1" s="1"/>
  <c r="AG1868" i="1"/>
  <c r="AX1868" i="1" s="1"/>
  <c r="U1876" i="1"/>
  <c r="X1876" i="1" s="1"/>
  <c r="Z1876" i="1" s="1"/>
  <c r="AI1876" i="1"/>
  <c r="AN1876" i="1"/>
  <c r="V1871" i="1" l="1"/>
  <c r="AE1870" i="1"/>
  <c r="AH1871" i="1"/>
  <c r="AJ1871" i="1" s="1"/>
  <c r="AY1869" i="1"/>
  <c r="AZ1869" i="1" s="1"/>
  <c r="AG1869" i="1"/>
  <c r="AX1869" i="1" s="1"/>
  <c r="AK1869" i="1"/>
  <c r="AW1868" i="1"/>
  <c r="AO1870" i="1"/>
  <c r="AQ1870" i="1" s="1"/>
  <c r="CC1870" i="1"/>
  <c r="AN1877" i="1"/>
  <c r="AI1877" i="1"/>
  <c r="U1877" i="1"/>
  <c r="X1877" i="1" s="1"/>
  <c r="Z1877" i="1" s="1"/>
  <c r="AE1871" i="1" l="1"/>
  <c r="V1872" i="1"/>
  <c r="AH1872" i="1"/>
  <c r="AO1872" i="1" s="1"/>
  <c r="AQ1872" i="1" s="1"/>
  <c r="CC1871" i="1"/>
  <c r="AO1871" i="1"/>
  <c r="AQ1871" i="1" s="1"/>
  <c r="AW1869" i="1"/>
  <c r="AK1870" i="1"/>
  <c r="AY1870" i="1"/>
  <c r="AZ1870" i="1" s="1"/>
  <c r="AG1870" i="1"/>
  <c r="AX1870" i="1" s="1"/>
  <c r="U1878" i="1"/>
  <c r="X1878" i="1" s="1"/>
  <c r="Z1878" i="1" s="1"/>
  <c r="AN1878" i="1"/>
  <c r="AI1878" i="1"/>
  <c r="AJ1872" i="1" l="1"/>
  <c r="V1873" i="1"/>
  <c r="AE1872" i="1"/>
  <c r="AH1873" i="1"/>
  <c r="AO1873" i="1" s="1"/>
  <c r="AQ1873" i="1" s="1"/>
  <c r="AK1871" i="1"/>
  <c r="AW1870" i="1"/>
  <c r="AY1871" i="1"/>
  <c r="AZ1871" i="1" s="1"/>
  <c r="AG1871" i="1"/>
  <c r="AX1871" i="1" s="1"/>
  <c r="CC1872" i="1"/>
  <c r="U1879" i="1"/>
  <c r="X1879" i="1" s="1"/>
  <c r="Z1879" i="1" s="1"/>
  <c r="AI1879" i="1"/>
  <c r="AN1879" i="1"/>
  <c r="AJ1873" i="1" l="1"/>
  <c r="CC1873" i="1" s="1"/>
  <c r="V1874" i="1"/>
  <c r="AE1873" i="1"/>
  <c r="AH1874" i="1"/>
  <c r="AO1874" i="1" s="1"/>
  <c r="AQ1874" i="1" s="1"/>
  <c r="AW1871" i="1"/>
  <c r="AK1872" i="1"/>
  <c r="AY1872" i="1"/>
  <c r="AZ1872" i="1" s="1"/>
  <c r="AG1872" i="1"/>
  <c r="AX1872" i="1" s="1"/>
  <c r="AI1880" i="1"/>
  <c r="AN1880" i="1"/>
  <c r="U1880" i="1"/>
  <c r="X1880" i="1" s="1"/>
  <c r="Z1880" i="1" s="1"/>
  <c r="AJ1874" i="1" l="1"/>
  <c r="V1875" i="1"/>
  <c r="AE1874" i="1"/>
  <c r="AH1875" i="1"/>
  <c r="AJ1875" i="1" s="1"/>
  <c r="AK1873" i="1"/>
  <c r="AW1872" i="1"/>
  <c r="AY1873" i="1"/>
  <c r="AZ1873" i="1" s="1"/>
  <c r="AG1873" i="1"/>
  <c r="AX1873" i="1" s="1"/>
  <c r="CC1874" i="1"/>
  <c r="U1881" i="1"/>
  <c r="X1881" i="1" s="1"/>
  <c r="Z1881" i="1" s="1"/>
  <c r="AN1881" i="1"/>
  <c r="AI1881" i="1"/>
  <c r="AE1875" i="1" l="1"/>
  <c r="V1876" i="1"/>
  <c r="AH1876" i="1"/>
  <c r="AO1876" i="1" s="1"/>
  <c r="AQ1876" i="1" s="1"/>
  <c r="AW1873" i="1"/>
  <c r="AK1874" i="1"/>
  <c r="AO1875" i="1"/>
  <c r="AQ1875" i="1" s="1"/>
  <c r="CC1875" i="1"/>
  <c r="AY1874" i="1"/>
  <c r="AZ1874" i="1" s="1"/>
  <c r="AG1874" i="1"/>
  <c r="AX1874" i="1" s="1"/>
  <c r="AI1882" i="1"/>
  <c r="U1882" i="1"/>
  <c r="X1882" i="1" s="1"/>
  <c r="Z1882" i="1" s="1"/>
  <c r="AN1882" i="1"/>
  <c r="AJ1876" i="1" l="1"/>
  <c r="CC1876" i="1" s="1"/>
  <c r="AK1875" i="1"/>
  <c r="AW1874" i="1"/>
  <c r="AE1876" i="1"/>
  <c r="V1877" i="1"/>
  <c r="AH1877" i="1"/>
  <c r="AO1877" i="1" s="1"/>
  <c r="AQ1877" i="1" s="1"/>
  <c r="AY1875" i="1"/>
  <c r="AZ1875" i="1" s="1"/>
  <c r="AG1875" i="1"/>
  <c r="AX1875" i="1" s="1"/>
  <c r="AN1883" i="1"/>
  <c r="U1883" i="1"/>
  <c r="X1883" i="1" s="1"/>
  <c r="Z1883" i="1" s="1"/>
  <c r="AI1883" i="1"/>
  <c r="AJ1877" i="1" l="1"/>
  <c r="AW1875" i="1"/>
  <c r="AK1876" i="1"/>
  <c r="V1878" i="1"/>
  <c r="AE1877" i="1"/>
  <c r="AH1878" i="1"/>
  <c r="AJ1878" i="1" s="1"/>
  <c r="AY1876" i="1"/>
  <c r="AZ1876" i="1" s="1"/>
  <c r="AG1876" i="1"/>
  <c r="AX1876" i="1" s="1"/>
  <c r="AI1884" i="1"/>
  <c r="U1884" i="1"/>
  <c r="X1884" i="1" s="1"/>
  <c r="Z1884" i="1" s="1"/>
  <c r="AN1884" i="1"/>
  <c r="AK1877" i="1" l="1"/>
  <c r="CC1877" i="1"/>
  <c r="AW1876" i="1"/>
  <c r="AE1878" i="1"/>
  <c r="V1879" i="1"/>
  <c r="AH1879" i="1"/>
  <c r="AO1879" i="1" s="1"/>
  <c r="AQ1879" i="1" s="1"/>
  <c r="AO1878" i="1"/>
  <c r="AQ1878" i="1" s="1"/>
  <c r="CC1878" i="1"/>
  <c r="AG1877" i="1"/>
  <c r="AX1877" i="1" s="1"/>
  <c r="AY1877" i="1"/>
  <c r="AZ1877" i="1" s="1"/>
  <c r="AN1885" i="1"/>
  <c r="U1885" i="1"/>
  <c r="X1885" i="1" s="1"/>
  <c r="Z1885" i="1" s="1"/>
  <c r="AI1885" i="1"/>
  <c r="AJ1879" i="1" l="1"/>
  <c r="AW1877" i="1"/>
  <c r="AK1878" i="1"/>
  <c r="AE1879" i="1"/>
  <c r="V1880" i="1"/>
  <c r="AH1880" i="1"/>
  <c r="AO1880" i="1" s="1"/>
  <c r="AQ1880" i="1" s="1"/>
  <c r="AY1878" i="1"/>
  <c r="AZ1878" i="1" s="1"/>
  <c r="AG1878" i="1"/>
  <c r="AX1878" i="1" s="1"/>
  <c r="CC1879" i="1"/>
  <c r="AN1886" i="1"/>
  <c r="AI1886" i="1"/>
  <c r="U1886" i="1"/>
  <c r="X1886" i="1" s="1"/>
  <c r="Z1886" i="1" s="1"/>
  <c r="AJ1880" i="1" l="1"/>
  <c r="AE1880" i="1"/>
  <c r="V1881" i="1"/>
  <c r="AH1881" i="1"/>
  <c r="AJ1881" i="1" s="1"/>
  <c r="AK1879" i="1"/>
  <c r="AW1878" i="1"/>
  <c r="AY1879" i="1"/>
  <c r="AZ1879" i="1" s="1"/>
  <c r="AG1879" i="1"/>
  <c r="AX1879" i="1" s="1"/>
  <c r="CC1880" i="1"/>
  <c r="AN1887" i="1"/>
  <c r="U1887" i="1"/>
  <c r="X1887" i="1" s="1"/>
  <c r="Z1887" i="1" s="1"/>
  <c r="AI1887" i="1"/>
  <c r="AE1881" i="1" l="1"/>
  <c r="V1882" i="1"/>
  <c r="AH1882" i="1"/>
  <c r="AO1882" i="1" s="1"/>
  <c r="AQ1882" i="1" s="1"/>
  <c r="AK1880" i="1"/>
  <c r="AW1879" i="1"/>
  <c r="AO1881" i="1"/>
  <c r="AQ1881" i="1" s="1"/>
  <c r="CC1881" i="1"/>
  <c r="AG1880" i="1"/>
  <c r="AX1880" i="1" s="1"/>
  <c r="AY1880" i="1"/>
  <c r="AZ1880" i="1" s="1"/>
  <c r="U1888" i="1"/>
  <c r="X1888" i="1" s="1"/>
  <c r="Z1888" i="1" s="1"/>
  <c r="AI1888" i="1"/>
  <c r="AN1888" i="1"/>
  <c r="AJ1882" i="1" l="1"/>
  <c r="AK1881" i="1"/>
  <c r="AW1880" i="1"/>
  <c r="AE1882" i="1"/>
  <c r="V1883" i="1"/>
  <c r="AH1883" i="1"/>
  <c r="AO1883" i="1" s="1"/>
  <c r="AQ1883" i="1" s="1"/>
  <c r="AG1881" i="1"/>
  <c r="AX1881" i="1" s="1"/>
  <c r="AY1881" i="1"/>
  <c r="AZ1881" i="1" s="1"/>
  <c r="U1889" i="1"/>
  <c r="X1889" i="1" s="1"/>
  <c r="Z1889" i="1" s="1"/>
  <c r="AN1889" i="1"/>
  <c r="AI1889" i="1"/>
  <c r="AJ1883" i="1" l="1"/>
  <c r="AK1883" i="1" s="1"/>
  <c r="AK1882" i="1"/>
  <c r="CC1882" i="1"/>
  <c r="AW1881" i="1"/>
  <c r="V1884" i="1"/>
  <c r="AE1883" i="1"/>
  <c r="AH1884" i="1"/>
  <c r="AO1884" i="1" s="1"/>
  <c r="AQ1884" i="1" s="1"/>
  <c r="AY1882" i="1"/>
  <c r="AZ1882" i="1" s="1"/>
  <c r="AG1882" i="1"/>
  <c r="AX1882" i="1" s="1"/>
  <c r="AI1890" i="1"/>
  <c r="U1890" i="1"/>
  <c r="X1890" i="1" s="1"/>
  <c r="Z1890" i="1" s="1"/>
  <c r="AN1890" i="1"/>
  <c r="AJ1884" i="1" l="1"/>
  <c r="AW1882" i="1"/>
  <c r="CC1883" i="1"/>
  <c r="AE1884" i="1"/>
  <c r="V1885" i="1"/>
  <c r="AH1885" i="1"/>
  <c r="AJ1885" i="1" s="1"/>
  <c r="AY1883" i="1"/>
  <c r="AZ1883" i="1" s="1"/>
  <c r="AG1883" i="1"/>
  <c r="AX1883" i="1" s="1"/>
  <c r="CC1884" i="1"/>
  <c r="AN1891" i="1"/>
  <c r="U1891" i="1"/>
  <c r="X1891" i="1" s="1"/>
  <c r="Z1891" i="1" s="1"/>
  <c r="AI1891" i="1"/>
  <c r="AK1884" i="1" l="1"/>
  <c r="AW1883" i="1"/>
  <c r="V1886" i="1"/>
  <c r="AE1885" i="1"/>
  <c r="AH1886" i="1"/>
  <c r="AO1886" i="1" s="1"/>
  <c r="AQ1886" i="1" s="1"/>
  <c r="AO1885" i="1"/>
  <c r="AQ1885" i="1" s="1"/>
  <c r="CC1885" i="1"/>
  <c r="AY1884" i="1"/>
  <c r="AZ1884" i="1" s="1"/>
  <c r="AG1884" i="1"/>
  <c r="AX1884" i="1" s="1"/>
  <c r="AI1892" i="1"/>
  <c r="U1892" i="1"/>
  <c r="X1892" i="1" s="1"/>
  <c r="Z1892" i="1" s="1"/>
  <c r="AN1892" i="1"/>
  <c r="AJ1886" i="1" l="1"/>
  <c r="AE1886" i="1"/>
  <c r="V1887" i="1"/>
  <c r="AH1887" i="1"/>
  <c r="AO1887" i="1" s="1"/>
  <c r="AQ1887" i="1" s="1"/>
  <c r="AW1884" i="1"/>
  <c r="AK1885" i="1"/>
  <c r="AY1885" i="1"/>
  <c r="AZ1885" i="1" s="1"/>
  <c r="AG1885" i="1"/>
  <c r="AX1885" i="1" s="1"/>
  <c r="CC1886" i="1"/>
  <c r="AN1893" i="1"/>
  <c r="U1893" i="1"/>
  <c r="X1893" i="1" s="1"/>
  <c r="Z1893" i="1" s="1"/>
  <c r="AI1893" i="1"/>
  <c r="AJ1887" i="1" l="1"/>
  <c r="CC1887" i="1" s="1"/>
  <c r="AE1887" i="1"/>
  <c r="V1888" i="1"/>
  <c r="AH1888" i="1"/>
  <c r="AJ1888" i="1" s="1"/>
  <c r="AK1886" i="1"/>
  <c r="AW1885" i="1"/>
  <c r="AY1886" i="1"/>
  <c r="AZ1886" i="1" s="1"/>
  <c r="AG1886" i="1"/>
  <c r="AX1886" i="1" s="1"/>
  <c r="AI1894" i="1"/>
  <c r="AN1894" i="1"/>
  <c r="U1894" i="1"/>
  <c r="X1894" i="1" s="1"/>
  <c r="Z1894" i="1" s="1"/>
  <c r="AW1886" i="1" l="1"/>
  <c r="AK1887" i="1"/>
  <c r="V1889" i="1"/>
  <c r="AE1888" i="1"/>
  <c r="AH1889" i="1"/>
  <c r="AJ1889" i="1" s="1"/>
  <c r="AG1887" i="1"/>
  <c r="AX1887" i="1" s="1"/>
  <c r="AY1887" i="1"/>
  <c r="AZ1887" i="1" s="1"/>
  <c r="AO1888" i="1"/>
  <c r="AQ1888" i="1" s="1"/>
  <c r="AI1895" i="1"/>
  <c r="AN1895" i="1"/>
  <c r="U1895" i="1"/>
  <c r="X1895" i="1" s="1"/>
  <c r="Z1895" i="1" s="1"/>
  <c r="CC1889" i="1" l="1"/>
  <c r="AK1888" i="1"/>
  <c r="CC1888" i="1"/>
  <c r="AW1887" i="1"/>
  <c r="AE1889" i="1"/>
  <c r="V1890" i="1"/>
  <c r="AH1890" i="1"/>
  <c r="AO1890" i="1" s="1"/>
  <c r="AQ1890" i="1" s="1"/>
  <c r="AW1888" i="1"/>
  <c r="AK1889" i="1"/>
  <c r="AY1888" i="1"/>
  <c r="AZ1888" i="1" s="1"/>
  <c r="AG1888" i="1"/>
  <c r="AX1888" i="1" s="1"/>
  <c r="AO1889" i="1"/>
  <c r="AQ1889" i="1" s="1"/>
  <c r="AI1896" i="1"/>
  <c r="AN1896" i="1"/>
  <c r="U1896" i="1"/>
  <c r="X1896" i="1" s="1"/>
  <c r="Z1896" i="1" s="1"/>
  <c r="AJ1890" i="1" l="1"/>
  <c r="CC1890" i="1" s="1"/>
  <c r="AE1890" i="1"/>
  <c r="V1891" i="1"/>
  <c r="AH1891" i="1"/>
  <c r="AO1891" i="1" s="1"/>
  <c r="AQ1891" i="1" s="1"/>
  <c r="AG1889" i="1"/>
  <c r="AX1889" i="1" s="1"/>
  <c r="AY1889" i="1"/>
  <c r="AZ1889" i="1" s="1"/>
  <c r="AI1897" i="1"/>
  <c r="AN1897" i="1"/>
  <c r="U1897" i="1"/>
  <c r="X1897" i="1" s="1"/>
  <c r="Z1897" i="1" s="1"/>
  <c r="AJ1891" i="1" l="1"/>
  <c r="AK1890" i="1"/>
  <c r="AW1889" i="1"/>
  <c r="V1892" i="1"/>
  <c r="AE1891" i="1"/>
  <c r="AH1892" i="1"/>
  <c r="AJ1892" i="1" s="1"/>
  <c r="AG1890" i="1"/>
  <c r="AX1890" i="1" s="1"/>
  <c r="AY1890" i="1"/>
  <c r="AZ1890" i="1" s="1"/>
  <c r="AI1898" i="1"/>
  <c r="AN1898" i="1"/>
  <c r="U1898" i="1"/>
  <c r="X1898" i="1" s="1"/>
  <c r="Z1898" i="1" s="1"/>
  <c r="AK1891" i="1" l="1"/>
  <c r="CC1891" i="1"/>
  <c r="AW1890" i="1"/>
  <c r="AE1892" i="1"/>
  <c r="V1893" i="1"/>
  <c r="AH1893" i="1"/>
  <c r="AO1893" i="1" s="1"/>
  <c r="AQ1893" i="1" s="1"/>
  <c r="AO1892" i="1"/>
  <c r="AQ1892" i="1" s="1"/>
  <c r="CC1892" i="1"/>
  <c r="AG1891" i="1"/>
  <c r="AX1891" i="1" s="1"/>
  <c r="AY1891" i="1"/>
  <c r="AZ1891" i="1" s="1"/>
  <c r="U1899" i="1"/>
  <c r="X1899" i="1" s="1"/>
  <c r="Z1899" i="1" s="1"/>
  <c r="AN1899" i="1"/>
  <c r="AI1899" i="1"/>
  <c r="AJ1893" i="1" l="1"/>
  <c r="CC1893" i="1" s="1"/>
  <c r="AW1891" i="1"/>
  <c r="AK1892" i="1"/>
  <c r="AE1893" i="1"/>
  <c r="V1894" i="1"/>
  <c r="AH1894" i="1"/>
  <c r="AJ1894" i="1" s="1"/>
  <c r="AY1892" i="1"/>
  <c r="AZ1892" i="1" s="1"/>
  <c r="AG1892" i="1"/>
  <c r="AX1892" i="1" s="1"/>
  <c r="AI1900" i="1"/>
  <c r="AN1900" i="1"/>
  <c r="U1900" i="1"/>
  <c r="X1900" i="1" s="1"/>
  <c r="Z1900" i="1" s="1"/>
  <c r="V1895" i="1" l="1"/>
  <c r="AK1893" i="1"/>
  <c r="AW1892" i="1"/>
  <c r="AE1894" i="1"/>
  <c r="AH1895" i="1"/>
  <c r="AJ1895" i="1" s="1"/>
  <c r="AO1894" i="1"/>
  <c r="AQ1894" i="1" s="1"/>
  <c r="CC1894" i="1"/>
  <c r="AG1893" i="1"/>
  <c r="AX1893" i="1" s="1"/>
  <c r="AY1893" i="1"/>
  <c r="AZ1893" i="1" s="1"/>
  <c r="AN1901" i="1"/>
  <c r="U1901" i="1"/>
  <c r="X1901" i="1" s="1"/>
  <c r="Z1901" i="1" s="1"/>
  <c r="AI1901" i="1"/>
  <c r="V1896" i="1" l="1"/>
  <c r="AE1895" i="1"/>
  <c r="AH1896" i="1"/>
  <c r="AO1896" i="1" s="1"/>
  <c r="AQ1896" i="1" s="1"/>
  <c r="AW1893" i="1"/>
  <c r="AK1894" i="1"/>
  <c r="AO1895" i="1"/>
  <c r="AQ1895" i="1" s="1"/>
  <c r="CC1895" i="1"/>
  <c r="AY1894" i="1"/>
  <c r="AZ1894" i="1" s="1"/>
  <c r="AG1894" i="1"/>
  <c r="AX1894" i="1" s="1"/>
  <c r="AN1902" i="1"/>
  <c r="U1902" i="1"/>
  <c r="X1902" i="1" s="1"/>
  <c r="Z1902" i="1" s="1"/>
  <c r="AI1902" i="1"/>
  <c r="AJ1896" i="1" l="1"/>
  <c r="V1897" i="1"/>
  <c r="AE1896" i="1"/>
  <c r="AH1897" i="1"/>
  <c r="AO1897" i="1" s="1"/>
  <c r="AQ1897" i="1" s="1"/>
  <c r="AK1895" i="1"/>
  <c r="AW1894" i="1"/>
  <c r="AG1895" i="1"/>
  <c r="AX1895" i="1" s="1"/>
  <c r="AY1895" i="1"/>
  <c r="AZ1895" i="1" s="1"/>
  <c r="AK1896" i="1"/>
  <c r="AI1903" i="1"/>
  <c r="AN1903" i="1"/>
  <c r="U1903" i="1"/>
  <c r="X1903" i="1" s="1"/>
  <c r="Z1903" i="1" s="1"/>
  <c r="AJ1897" i="1" l="1"/>
  <c r="CC1897" i="1" s="1"/>
  <c r="AW1895" i="1"/>
  <c r="CC1896" i="1"/>
  <c r="V1898" i="1"/>
  <c r="AE1897" i="1"/>
  <c r="AH1898" i="1"/>
  <c r="AO1898" i="1" s="1"/>
  <c r="AQ1898" i="1" s="1"/>
  <c r="AY1896" i="1"/>
  <c r="AZ1896" i="1" s="1"/>
  <c r="AG1896" i="1"/>
  <c r="AX1896" i="1" s="1"/>
  <c r="U1904" i="1"/>
  <c r="X1904" i="1" s="1"/>
  <c r="Z1904" i="1" s="1"/>
  <c r="AI1904" i="1"/>
  <c r="AN1904" i="1"/>
  <c r="AJ1898" i="1" l="1"/>
  <c r="AW1896" i="1"/>
  <c r="AK1897" i="1"/>
  <c r="V1899" i="1"/>
  <c r="AE1898" i="1"/>
  <c r="AH1899" i="1"/>
  <c r="AO1899" i="1" s="1"/>
  <c r="AQ1899" i="1" s="1"/>
  <c r="AY1897" i="1"/>
  <c r="AZ1897" i="1" s="1"/>
  <c r="AG1897" i="1"/>
  <c r="AX1897" i="1" s="1"/>
  <c r="CC1898" i="1"/>
  <c r="AI1905" i="1"/>
  <c r="U1905" i="1"/>
  <c r="X1905" i="1" s="1"/>
  <c r="Z1905" i="1" s="1"/>
  <c r="AN1905" i="1"/>
  <c r="AJ1899" i="1" l="1"/>
  <c r="CC1899" i="1" s="1"/>
  <c r="V1900" i="1"/>
  <c r="AE1899" i="1"/>
  <c r="AH1900" i="1"/>
  <c r="AO1900" i="1" s="1"/>
  <c r="AQ1900" i="1" s="1"/>
  <c r="AW1897" i="1"/>
  <c r="AK1898" i="1"/>
  <c r="AG1898" i="1"/>
  <c r="AX1898" i="1" s="1"/>
  <c r="AY1898" i="1"/>
  <c r="AZ1898" i="1" s="1"/>
  <c r="AI1906" i="1"/>
  <c r="AN1906" i="1"/>
  <c r="U1906" i="1"/>
  <c r="X1906" i="1" s="1"/>
  <c r="Z1906" i="1" s="1"/>
  <c r="AJ1900" i="1" l="1"/>
  <c r="CC1900" i="1" s="1"/>
  <c r="AK1899" i="1"/>
  <c r="AW1898" i="1"/>
  <c r="V1901" i="1"/>
  <c r="AE1900" i="1"/>
  <c r="AH1901" i="1"/>
  <c r="AO1901" i="1" s="1"/>
  <c r="AQ1901" i="1" s="1"/>
  <c r="AY1899" i="1"/>
  <c r="AZ1899" i="1" s="1"/>
  <c r="AG1899" i="1"/>
  <c r="AX1899" i="1" s="1"/>
  <c r="AI1907" i="1"/>
  <c r="U1907" i="1"/>
  <c r="X1907" i="1" s="1"/>
  <c r="Z1907" i="1" s="1"/>
  <c r="AN1907" i="1"/>
  <c r="AJ1901" i="1" l="1"/>
  <c r="AW1899" i="1"/>
  <c r="CC1901" i="1"/>
  <c r="AK1900" i="1"/>
  <c r="V1902" i="1"/>
  <c r="AE1901" i="1"/>
  <c r="AH1902" i="1"/>
  <c r="AJ1902" i="1" s="1"/>
  <c r="AG1900" i="1"/>
  <c r="AX1900" i="1" s="1"/>
  <c r="AY1900" i="1"/>
  <c r="AZ1900" i="1" s="1"/>
  <c r="U1908" i="1"/>
  <c r="X1908" i="1" s="1"/>
  <c r="Z1908" i="1" s="1"/>
  <c r="AN1908" i="1"/>
  <c r="AI1908" i="1"/>
  <c r="CC1902" i="1" l="1"/>
  <c r="AE1902" i="1"/>
  <c r="V1903" i="1"/>
  <c r="AH1903" i="1"/>
  <c r="AO1903" i="1" s="1"/>
  <c r="AQ1903" i="1" s="1"/>
  <c r="AW1901" i="1"/>
  <c r="AK1901" i="1"/>
  <c r="AW1900" i="1"/>
  <c r="AG1901" i="1"/>
  <c r="AX1901" i="1" s="1"/>
  <c r="AY1901" i="1"/>
  <c r="AZ1901" i="1" s="1"/>
  <c r="AO1902" i="1"/>
  <c r="AQ1902" i="1" s="1"/>
  <c r="AN1909" i="1"/>
  <c r="AI1909" i="1"/>
  <c r="U1909" i="1"/>
  <c r="X1909" i="1" s="1"/>
  <c r="Z1909" i="1" s="1"/>
  <c r="AJ1903" i="1" l="1"/>
  <c r="AK1902" i="1"/>
  <c r="V1904" i="1"/>
  <c r="AE1903" i="1"/>
  <c r="AH1904" i="1"/>
  <c r="AJ1904" i="1" s="1"/>
  <c r="AY1902" i="1"/>
  <c r="AZ1902" i="1" s="1"/>
  <c r="AG1902" i="1"/>
  <c r="AX1902" i="1" s="1"/>
  <c r="AN1910" i="1"/>
  <c r="U1910" i="1"/>
  <c r="X1910" i="1" s="1"/>
  <c r="Z1910" i="1" s="1"/>
  <c r="AI1910" i="1"/>
  <c r="AK1903" i="1" l="1"/>
  <c r="CC1903" i="1"/>
  <c r="AW1902" i="1"/>
  <c r="V1905" i="1"/>
  <c r="AE1904" i="1"/>
  <c r="AH1905" i="1"/>
  <c r="AJ1905" i="1" s="1"/>
  <c r="AO1904" i="1"/>
  <c r="AQ1904" i="1" s="1"/>
  <c r="CC1904" i="1"/>
  <c r="AG1903" i="1"/>
  <c r="AX1903" i="1" s="1"/>
  <c r="AY1903" i="1"/>
  <c r="AZ1903" i="1" s="1"/>
  <c r="AI1911" i="1"/>
  <c r="AN1911" i="1"/>
  <c r="U1911" i="1"/>
  <c r="X1911" i="1" s="1"/>
  <c r="Z1911" i="1" s="1"/>
  <c r="V1906" i="1" l="1"/>
  <c r="AE1905" i="1"/>
  <c r="AH1906" i="1"/>
  <c r="AO1906" i="1" s="1"/>
  <c r="AQ1906" i="1" s="1"/>
  <c r="AO1905" i="1"/>
  <c r="AQ1905" i="1" s="1"/>
  <c r="CC1905" i="1"/>
  <c r="AK1904" i="1"/>
  <c r="AW1903" i="1"/>
  <c r="AG1904" i="1"/>
  <c r="AX1904" i="1" s="1"/>
  <c r="AY1904" i="1"/>
  <c r="AZ1904" i="1" s="1"/>
  <c r="U1912" i="1"/>
  <c r="X1912" i="1" s="1"/>
  <c r="Z1912" i="1" s="1"/>
  <c r="AN1912" i="1"/>
  <c r="AI1912" i="1"/>
  <c r="AJ1906" i="1" l="1"/>
  <c r="CC1906" i="1" s="1"/>
  <c r="V1907" i="1"/>
  <c r="AE1906" i="1"/>
  <c r="AH1907" i="1"/>
  <c r="AO1907" i="1" s="1"/>
  <c r="AQ1907" i="1" s="1"/>
  <c r="AK1905" i="1"/>
  <c r="AW1904" i="1"/>
  <c r="AW1905" i="1"/>
  <c r="AY1905" i="1"/>
  <c r="AZ1905" i="1" s="1"/>
  <c r="AG1905" i="1"/>
  <c r="AX1905" i="1" s="1"/>
  <c r="U1913" i="1"/>
  <c r="X1913" i="1" s="1"/>
  <c r="Z1913" i="1" s="1"/>
  <c r="AN1913" i="1"/>
  <c r="AI1913" i="1"/>
  <c r="AJ1907" i="1" l="1"/>
  <c r="CC1907" i="1" s="1"/>
  <c r="V1908" i="1"/>
  <c r="AK1906" i="1"/>
  <c r="AE1907" i="1"/>
  <c r="AH1908" i="1"/>
  <c r="AO1908" i="1" s="1"/>
  <c r="AQ1908" i="1" s="1"/>
  <c r="AY1906" i="1"/>
  <c r="AZ1906" i="1" s="1"/>
  <c r="AG1906" i="1"/>
  <c r="AX1906" i="1" s="1"/>
  <c r="U1914" i="1"/>
  <c r="X1914" i="1" s="1"/>
  <c r="Z1914" i="1" s="1"/>
  <c r="AI1914" i="1"/>
  <c r="AN1914" i="1"/>
  <c r="AJ1908" i="1" l="1"/>
  <c r="AW1906" i="1"/>
  <c r="AK1907" i="1"/>
  <c r="V1909" i="1"/>
  <c r="AE1908" i="1"/>
  <c r="AH1909" i="1"/>
  <c r="AO1909" i="1" s="1"/>
  <c r="AQ1909" i="1" s="1"/>
  <c r="AG1907" i="1"/>
  <c r="AX1907" i="1" s="1"/>
  <c r="AY1907" i="1"/>
  <c r="AZ1907" i="1" s="1"/>
  <c r="CC1908" i="1"/>
  <c r="U1915" i="1"/>
  <c r="X1915" i="1" s="1"/>
  <c r="Z1915" i="1" s="1"/>
  <c r="AN1915" i="1"/>
  <c r="AI1915" i="1"/>
  <c r="AJ1909" i="1" l="1"/>
  <c r="V1910" i="1"/>
  <c r="AE1909" i="1"/>
  <c r="AH1910" i="1"/>
  <c r="AJ1910" i="1" s="1"/>
  <c r="AK1908" i="1"/>
  <c r="AW1907" i="1"/>
  <c r="AG1908" i="1"/>
  <c r="AX1908" i="1" s="1"/>
  <c r="AY1908" i="1"/>
  <c r="AZ1908" i="1" s="1"/>
  <c r="CC1909" i="1"/>
  <c r="AI1916" i="1"/>
  <c r="AN1916" i="1"/>
  <c r="U1916" i="1"/>
  <c r="X1916" i="1" s="1"/>
  <c r="Z1916" i="1" s="1"/>
  <c r="V1911" i="1" l="1"/>
  <c r="AE1910" i="1"/>
  <c r="AH1911" i="1"/>
  <c r="AO1911" i="1" s="1"/>
  <c r="AQ1911" i="1" s="1"/>
  <c r="CC1910" i="1"/>
  <c r="AO1910" i="1"/>
  <c r="AQ1910" i="1" s="1"/>
  <c r="AW1908" i="1"/>
  <c r="AK1909" i="1"/>
  <c r="AY1909" i="1"/>
  <c r="AZ1909" i="1" s="1"/>
  <c r="AG1909" i="1"/>
  <c r="AX1909" i="1" s="1"/>
  <c r="U1917" i="1"/>
  <c r="X1917" i="1" s="1"/>
  <c r="Z1917" i="1" s="1"/>
  <c r="AI1917" i="1"/>
  <c r="AN1917" i="1"/>
  <c r="AJ1911" i="1" l="1"/>
  <c r="CC1911" i="1" s="1"/>
  <c r="AK1910" i="1"/>
  <c r="AW1909" i="1"/>
  <c r="V1912" i="1"/>
  <c r="AE1911" i="1"/>
  <c r="AH1912" i="1"/>
  <c r="AJ1912" i="1" s="1"/>
  <c r="AY1910" i="1"/>
  <c r="AZ1910" i="1" s="1"/>
  <c r="AG1910" i="1"/>
  <c r="AX1910" i="1" s="1"/>
  <c r="AN1918" i="1"/>
  <c r="AI1918" i="1"/>
  <c r="U1918" i="1"/>
  <c r="X1918" i="1" s="1"/>
  <c r="Z1918" i="1" s="1"/>
  <c r="V1913" i="1" l="1"/>
  <c r="AE1912" i="1"/>
  <c r="AH1913" i="1"/>
  <c r="AO1913" i="1" s="1"/>
  <c r="AQ1913" i="1" s="1"/>
  <c r="AW1910" i="1"/>
  <c r="AK1911" i="1"/>
  <c r="AO1912" i="1"/>
  <c r="AQ1912" i="1" s="1"/>
  <c r="CC1912" i="1"/>
  <c r="AG1911" i="1"/>
  <c r="AX1911" i="1" s="1"/>
  <c r="AY1911" i="1"/>
  <c r="AZ1911" i="1" s="1"/>
  <c r="AN1919" i="1"/>
  <c r="U1919" i="1"/>
  <c r="X1919" i="1" s="1"/>
  <c r="Z1919" i="1" s="1"/>
  <c r="AI1919" i="1"/>
  <c r="AJ1913" i="1" l="1"/>
  <c r="CC1913" i="1" s="1"/>
  <c r="V1914" i="1"/>
  <c r="AE1913" i="1"/>
  <c r="AH1914" i="1"/>
  <c r="AO1914" i="1" s="1"/>
  <c r="AQ1914" i="1" s="1"/>
  <c r="AK1912" i="1"/>
  <c r="AW1911" i="1"/>
  <c r="AY1912" i="1"/>
  <c r="AZ1912" i="1" s="1"/>
  <c r="AG1912" i="1"/>
  <c r="AX1912" i="1" s="1"/>
  <c r="AN1920" i="1"/>
  <c r="U1920" i="1"/>
  <c r="X1920" i="1" s="1"/>
  <c r="Z1920" i="1" s="1"/>
  <c r="AI1920" i="1"/>
  <c r="AW1912" i="1" l="1"/>
  <c r="AJ1914" i="1"/>
  <c r="AK1913" i="1"/>
  <c r="CC1914" i="1"/>
  <c r="V1915" i="1"/>
  <c r="AE1914" i="1"/>
  <c r="AH1915" i="1"/>
  <c r="AO1915" i="1" s="1"/>
  <c r="AQ1915" i="1" s="1"/>
  <c r="AG1913" i="1"/>
  <c r="AX1913" i="1" s="1"/>
  <c r="AY1913" i="1"/>
  <c r="AZ1913" i="1" s="1"/>
  <c r="U1921" i="1"/>
  <c r="X1921" i="1" s="1"/>
  <c r="Z1921" i="1" s="1"/>
  <c r="AI1921" i="1"/>
  <c r="AN1921" i="1"/>
  <c r="AJ1915" i="1" l="1"/>
  <c r="AK1915" i="1" s="1"/>
  <c r="AK1914" i="1"/>
  <c r="AW1913" i="1"/>
  <c r="V1916" i="1"/>
  <c r="AE1915" i="1"/>
  <c r="AH1916" i="1"/>
  <c r="AO1916" i="1" s="1"/>
  <c r="AQ1916" i="1" s="1"/>
  <c r="AY1914" i="1"/>
  <c r="AZ1914" i="1" s="1"/>
  <c r="AG1914" i="1"/>
  <c r="AX1914" i="1" s="1"/>
  <c r="AN1922" i="1"/>
  <c r="U1922" i="1"/>
  <c r="X1922" i="1" s="1"/>
  <c r="Z1922" i="1" s="1"/>
  <c r="AI1922" i="1"/>
  <c r="AJ1916" i="1" l="1"/>
  <c r="CC1916" i="1" s="1"/>
  <c r="AW1914" i="1"/>
  <c r="CC1915" i="1"/>
  <c r="V1917" i="1"/>
  <c r="AE1916" i="1"/>
  <c r="AH1917" i="1"/>
  <c r="AJ1917" i="1" s="1"/>
  <c r="AY1915" i="1"/>
  <c r="AZ1915" i="1" s="1"/>
  <c r="AG1915" i="1"/>
  <c r="AX1915" i="1" s="1"/>
  <c r="AN1923" i="1"/>
  <c r="AI1923" i="1"/>
  <c r="U1923" i="1"/>
  <c r="X1923" i="1" s="1"/>
  <c r="Z1923" i="1" s="1"/>
  <c r="CC1917" i="1" l="1"/>
  <c r="AK1916" i="1"/>
  <c r="AW1915" i="1"/>
  <c r="AO1917" i="1"/>
  <c r="AQ1917" i="1" s="1"/>
  <c r="AE1917" i="1"/>
  <c r="V1918" i="1"/>
  <c r="AH1918" i="1"/>
  <c r="AO1918" i="1" s="1"/>
  <c r="AQ1918" i="1" s="1"/>
  <c r="AY1916" i="1"/>
  <c r="AZ1916" i="1" s="1"/>
  <c r="AG1916" i="1"/>
  <c r="AX1916" i="1" s="1"/>
  <c r="AI1924" i="1"/>
  <c r="AN1924" i="1"/>
  <c r="U1924" i="1"/>
  <c r="X1924" i="1" s="1"/>
  <c r="Z1924" i="1" s="1"/>
  <c r="AJ1918" i="1" l="1"/>
  <c r="AK1917" i="1"/>
  <c r="AW1916" i="1"/>
  <c r="AG1917" i="1"/>
  <c r="AX1917" i="1" s="1"/>
  <c r="AY1917" i="1"/>
  <c r="AZ1917" i="1" s="1"/>
  <c r="AE1918" i="1"/>
  <c r="V1919" i="1"/>
  <c r="AH1919" i="1"/>
  <c r="AO1919" i="1" s="1"/>
  <c r="AQ1919" i="1" s="1"/>
  <c r="CC1918" i="1"/>
  <c r="U1925" i="1"/>
  <c r="X1925" i="1" s="1"/>
  <c r="Z1925" i="1" s="1"/>
  <c r="AI1925" i="1"/>
  <c r="AN1925" i="1"/>
  <c r="AJ1919" i="1" l="1"/>
  <c r="CC1919" i="1" s="1"/>
  <c r="V1920" i="1"/>
  <c r="AE1919" i="1"/>
  <c r="AH1920" i="1"/>
  <c r="AJ1920" i="1" s="1"/>
  <c r="AW1917" i="1"/>
  <c r="AK1918" i="1"/>
  <c r="AG1918" i="1"/>
  <c r="AX1918" i="1" s="1"/>
  <c r="AY1918" i="1"/>
  <c r="AZ1918" i="1" s="1"/>
  <c r="AN1926" i="1"/>
  <c r="U1926" i="1"/>
  <c r="X1926" i="1" s="1"/>
  <c r="Z1926" i="1" s="1"/>
  <c r="AI1926" i="1"/>
  <c r="AW1918" i="1" l="1"/>
  <c r="AK1919" i="1"/>
  <c r="AO1920" i="1"/>
  <c r="AQ1920" i="1" s="1"/>
  <c r="CC1920" i="1"/>
  <c r="V1921" i="1"/>
  <c r="AE1920" i="1"/>
  <c r="AH1921" i="1"/>
  <c r="AJ1921" i="1" s="1"/>
  <c r="AY1919" i="1"/>
  <c r="AZ1919" i="1" s="1"/>
  <c r="AG1919" i="1"/>
  <c r="AX1919" i="1" s="1"/>
  <c r="U1927" i="1"/>
  <c r="X1927" i="1" s="1"/>
  <c r="Z1927" i="1" s="1"/>
  <c r="AN1927" i="1"/>
  <c r="AI1927" i="1"/>
  <c r="AE1921" i="1" l="1"/>
  <c r="V1922" i="1"/>
  <c r="AH1922" i="1"/>
  <c r="AO1922" i="1" s="1"/>
  <c r="AQ1922" i="1" s="1"/>
  <c r="AO1921" i="1"/>
  <c r="AQ1921" i="1" s="1"/>
  <c r="CC1921" i="1"/>
  <c r="AY1920" i="1"/>
  <c r="AZ1920" i="1" s="1"/>
  <c r="AG1920" i="1"/>
  <c r="AX1920" i="1" s="1"/>
  <c r="AK1920" i="1"/>
  <c r="AW1919" i="1"/>
  <c r="AN1928" i="1"/>
  <c r="U1928" i="1"/>
  <c r="X1928" i="1" s="1"/>
  <c r="Z1928" i="1" s="1"/>
  <c r="AI1928" i="1"/>
  <c r="AJ1922" i="1" l="1"/>
  <c r="AW1921" i="1" s="1"/>
  <c r="AK1921" i="1"/>
  <c r="AW1920" i="1"/>
  <c r="V1923" i="1"/>
  <c r="AE1922" i="1"/>
  <c r="AH1923" i="1"/>
  <c r="AO1923" i="1" s="1"/>
  <c r="AQ1923" i="1" s="1"/>
  <c r="AG1921" i="1"/>
  <c r="AX1921" i="1" s="1"/>
  <c r="AY1921" i="1"/>
  <c r="AZ1921" i="1" s="1"/>
  <c r="AI1929" i="1"/>
  <c r="U1929" i="1"/>
  <c r="X1929" i="1" s="1"/>
  <c r="Z1929" i="1" s="1"/>
  <c r="AN1929" i="1"/>
  <c r="AJ1923" i="1" l="1"/>
  <c r="AK1923" i="1" s="1"/>
  <c r="AK1922" i="1"/>
  <c r="CC1922" i="1"/>
  <c r="V1924" i="1"/>
  <c r="AE1923" i="1"/>
  <c r="AH1924" i="1"/>
  <c r="AJ1924" i="1" s="1"/>
  <c r="AG1922" i="1"/>
  <c r="AX1922" i="1" s="1"/>
  <c r="AY1922" i="1"/>
  <c r="AZ1922" i="1" s="1"/>
  <c r="AN1930" i="1"/>
  <c r="U1930" i="1"/>
  <c r="X1930" i="1" s="1"/>
  <c r="Z1930" i="1" s="1"/>
  <c r="AI1930" i="1"/>
  <c r="AW1922" i="1" l="1"/>
  <c r="CC1923" i="1"/>
  <c r="CC1924" i="1"/>
  <c r="V1925" i="1"/>
  <c r="AO1924" i="1"/>
  <c r="AQ1924" i="1" s="1"/>
  <c r="AE1924" i="1"/>
  <c r="AH1925" i="1"/>
  <c r="AO1925" i="1" s="1"/>
  <c r="AQ1925" i="1" s="1"/>
  <c r="AG1923" i="1"/>
  <c r="AX1923" i="1" s="1"/>
  <c r="AY1923" i="1"/>
  <c r="AZ1923" i="1" s="1"/>
  <c r="U1931" i="1"/>
  <c r="X1931" i="1" s="1"/>
  <c r="Z1931" i="1" s="1"/>
  <c r="AN1931" i="1"/>
  <c r="AI1931" i="1"/>
  <c r="AJ1925" i="1" l="1"/>
  <c r="CC1925" i="1" s="1"/>
  <c r="AK1924" i="1"/>
  <c r="AW1923" i="1"/>
  <c r="V1926" i="1"/>
  <c r="AE1925" i="1"/>
  <c r="AH1926" i="1"/>
  <c r="AO1926" i="1" s="1"/>
  <c r="AQ1926" i="1" s="1"/>
  <c r="AG1924" i="1"/>
  <c r="AX1924" i="1" s="1"/>
  <c r="AY1924" i="1"/>
  <c r="AZ1924" i="1" s="1"/>
  <c r="AI1932" i="1"/>
  <c r="AN1932" i="1"/>
  <c r="U1932" i="1"/>
  <c r="X1932" i="1" s="1"/>
  <c r="Z1932" i="1" s="1"/>
  <c r="AJ1926" i="1" l="1"/>
  <c r="CC1926" i="1" s="1"/>
  <c r="AW1924" i="1"/>
  <c r="AK1925" i="1"/>
  <c r="V1927" i="1"/>
  <c r="AE1926" i="1"/>
  <c r="AH1927" i="1"/>
  <c r="AO1927" i="1" s="1"/>
  <c r="AQ1927" i="1" s="1"/>
  <c r="AK1926" i="1"/>
  <c r="AY1925" i="1"/>
  <c r="AZ1925" i="1" s="1"/>
  <c r="AG1925" i="1"/>
  <c r="AX1925" i="1" s="1"/>
  <c r="AI1933" i="1"/>
  <c r="AN1933" i="1"/>
  <c r="U1933" i="1"/>
  <c r="X1933" i="1" s="1"/>
  <c r="Z1933" i="1" s="1"/>
  <c r="AJ1927" i="1" l="1"/>
  <c r="AW1925" i="1"/>
  <c r="CC1927" i="1"/>
  <c r="V1928" i="1"/>
  <c r="AE1927" i="1"/>
  <c r="AH1928" i="1"/>
  <c r="AJ1928" i="1" s="1"/>
  <c r="AG1926" i="1"/>
  <c r="AX1926" i="1" s="1"/>
  <c r="AY1926" i="1"/>
  <c r="AZ1926" i="1" s="1"/>
  <c r="AI1934" i="1"/>
  <c r="U1934" i="1"/>
  <c r="X1934" i="1" s="1"/>
  <c r="Z1934" i="1" s="1"/>
  <c r="AN1934" i="1"/>
  <c r="CC1928" i="1" l="1"/>
  <c r="AK1927" i="1"/>
  <c r="AW1926" i="1"/>
  <c r="V1929" i="1"/>
  <c r="AE1928" i="1"/>
  <c r="AH1929" i="1"/>
  <c r="AJ1929" i="1" s="1"/>
  <c r="AW1927" i="1"/>
  <c r="AY1927" i="1"/>
  <c r="AZ1927" i="1" s="1"/>
  <c r="AG1927" i="1"/>
  <c r="AX1927" i="1" s="1"/>
  <c r="AO1928" i="1"/>
  <c r="AQ1928" i="1" s="1"/>
  <c r="AI1935" i="1"/>
  <c r="U1935" i="1"/>
  <c r="X1935" i="1" s="1"/>
  <c r="Z1935" i="1" s="1"/>
  <c r="AN1935" i="1"/>
  <c r="AK1928" i="1" l="1"/>
  <c r="CC1929" i="1"/>
  <c r="AO1929" i="1"/>
  <c r="AQ1929" i="1" s="1"/>
  <c r="AE1929" i="1"/>
  <c r="V1930" i="1"/>
  <c r="AH1930" i="1"/>
  <c r="AO1930" i="1" s="1"/>
  <c r="AQ1930" i="1" s="1"/>
  <c r="AK1929" i="1"/>
  <c r="AW1928" i="1"/>
  <c r="AG1928" i="1"/>
  <c r="AX1928" i="1" s="1"/>
  <c r="AY1928" i="1"/>
  <c r="AZ1928" i="1" s="1"/>
  <c r="AI1936" i="1"/>
  <c r="U1936" i="1"/>
  <c r="X1936" i="1" s="1"/>
  <c r="Z1936" i="1" s="1"/>
  <c r="AN1936" i="1"/>
  <c r="AJ1930" i="1" l="1"/>
  <c r="CC1930" i="1" s="1"/>
  <c r="V1931" i="1"/>
  <c r="AE1930" i="1"/>
  <c r="AH1931" i="1"/>
  <c r="AJ1931" i="1" s="1"/>
  <c r="AG1929" i="1"/>
  <c r="AX1929" i="1" s="1"/>
  <c r="AY1929" i="1"/>
  <c r="AZ1929" i="1" s="1"/>
  <c r="AI1937" i="1"/>
  <c r="AN1937" i="1"/>
  <c r="U1937" i="1"/>
  <c r="X1937" i="1" s="1"/>
  <c r="Z1937" i="1" s="1"/>
  <c r="AE1931" i="1" l="1"/>
  <c r="V1932" i="1"/>
  <c r="AH1932" i="1"/>
  <c r="AO1932" i="1" s="1"/>
  <c r="AQ1932" i="1" s="1"/>
  <c r="AK1930" i="1"/>
  <c r="AW1929" i="1"/>
  <c r="AO1931" i="1"/>
  <c r="AQ1931" i="1" s="1"/>
  <c r="CC1931" i="1"/>
  <c r="AY1930" i="1"/>
  <c r="AZ1930" i="1" s="1"/>
  <c r="AG1930" i="1"/>
  <c r="AX1930" i="1" s="1"/>
  <c r="U1938" i="1"/>
  <c r="X1938" i="1" s="1"/>
  <c r="Z1938" i="1" s="1"/>
  <c r="AN1938" i="1"/>
  <c r="AI1938" i="1"/>
  <c r="AJ1932" i="1" l="1"/>
  <c r="CC1932" i="1" s="1"/>
  <c r="V1933" i="1"/>
  <c r="AW1930" i="1"/>
  <c r="AK1931" i="1"/>
  <c r="AE1932" i="1"/>
  <c r="AH1933" i="1"/>
  <c r="AO1933" i="1" s="1"/>
  <c r="AQ1933" i="1" s="1"/>
  <c r="AY1931" i="1"/>
  <c r="AZ1931" i="1" s="1"/>
  <c r="AG1931" i="1"/>
  <c r="AX1931" i="1" s="1"/>
  <c r="AI1939" i="1"/>
  <c r="AN1939" i="1"/>
  <c r="U1939" i="1"/>
  <c r="X1939" i="1" s="1"/>
  <c r="Z1939" i="1" s="1"/>
  <c r="AW1931" i="1" l="1"/>
  <c r="AJ1933" i="1"/>
  <c r="CC1933" i="1" s="1"/>
  <c r="AK1932" i="1"/>
  <c r="V1934" i="1"/>
  <c r="AE1933" i="1"/>
  <c r="AH1934" i="1"/>
  <c r="AJ1934" i="1" s="1"/>
  <c r="AY1932" i="1"/>
  <c r="AZ1932" i="1" s="1"/>
  <c r="AG1932" i="1"/>
  <c r="AX1932" i="1" s="1"/>
  <c r="AI1940" i="1"/>
  <c r="AN1940" i="1"/>
  <c r="U1940" i="1"/>
  <c r="X1940" i="1" s="1"/>
  <c r="Z1940" i="1" s="1"/>
  <c r="AE1934" i="1" l="1"/>
  <c r="V1935" i="1"/>
  <c r="AH1935" i="1"/>
  <c r="AO1935" i="1" s="1"/>
  <c r="AQ1935" i="1" s="1"/>
  <c r="AK1933" i="1"/>
  <c r="AW1932" i="1"/>
  <c r="AO1934" i="1"/>
  <c r="AQ1934" i="1" s="1"/>
  <c r="CC1934" i="1"/>
  <c r="AY1933" i="1"/>
  <c r="AZ1933" i="1" s="1"/>
  <c r="AG1933" i="1"/>
  <c r="AX1933" i="1" s="1"/>
  <c r="AN1941" i="1"/>
  <c r="U1941" i="1"/>
  <c r="X1941" i="1" s="1"/>
  <c r="Z1941" i="1" s="1"/>
  <c r="AI1941" i="1"/>
  <c r="AJ1935" i="1" l="1"/>
  <c r="AK1935" i="1" s="1"/>
  <c r="AW1933" i="1"/>
  <c r="AK1934" i="1"/>
  <c r="AE1935" i="1"/>
  <c r="V1936" i="1"/>
  <c r="AH1936" i="1"/>
  <c r="AJ1936" i="1" s="1"/>
  <c r="AG1934" i="1"/>
  <c r="AX1934" i="1" s="1"/>
  <c r="AY1934" i="1"/>
  <c r="AZ1934" i="1" s="1"/>
  <c r="U1942" i="1"/>
  <c r="X1942" i="1" s="1"/>
  <c r="Z1942" i="1" s="1"/>
  <c r="AI1942" i="1"/>
  <c r="AN1942" i="1"/>
  <c r="AW1934" i="1" l="1"/>
  <c r="CC1935" i="1"/>
  <c r="V1937" i="1"/>
  <c r="AE1936" i="1"/>
  <c r="AH1937" i="1"/>
  <c r="AO1937" i="1" s="1"/>
  <c r="AQ1937" i="1" s="1"/>
  <c r="AO1936" i="1"/>
  <c r="AQ1936" i="1" s="1"/>
  <c r="CC1936" i="1"/>
  <c r="AY1935" i="1"/>
  <c r="AZ1935" i="1" s="1"/>
  <c r="AG1935" i="1"/>
  <c r="AX1935" i="1" s="1"/>
  <c r="AI1943" i="1"/>
  <c r="U1943" i="1"/>
  <c r="X1943" i="1" s="1"/>
  <c r="Z1943" i="1" s="1"/>
  <c r="AN1943" i="1"/>
  <c r="AJ1937" i="1" l="1"/>
  <c r="CC1937" i="1" s="1"/>
  <c r="V1938" i="1"/>
  <c r="AE1937" i="1"/>
  <c r="AH1938" i="1"/>
  <c r="AO1938" i="1" s="1"/>
  <c r="AQ1938" i="1" s="1"/>
  <c r="AK1936" i="1"/>
  <c r="AW1935" i="1"/>
  <c r="AY1936" i="1"/>
  <c r="AZ1936" i="1" s="1"/>
  <c r="AG1936" i="1"/>
  <c r="AX1936" i="1" s="1"/>
  <c r="AI1944" i="1"/>
  <c r="AN1944" i="1"/>
  <c r="U1944" i="1"/>
  <c r="X1944" i="1" s="1"/>
  <c r="Z1944" i="1" s="1"/>
  <c r="AJ1938" i="1" l="1"/>
  <c r="AK1937" i="1"/>
  <c r="CC1938" i="1"/>
  <c r="AH1939" i="1"/>
  <c r="AO1939" i="1" s="1"/>
  <c r="AQ1939" i="1" s="1"/>
  <c r="AW1936" i="1"/>
  <c r="AE1938" i="1"/>
  <c r="AY1937" i="1"/>
  <c r="AZ1937" i="1" s="1"/>
  <c r="AG1937" i="1"/>
  <c r="AX1937" i="1" s="1"/>
  <c r="V1939" i="1"/>
  <c r="AN1945" i="1"/>
  <c r="AI1945" i="1"/>
  <c r="U1945" i="1"/>
  <c r="X1945" i="1" s="1"/>
  <c r="Z1945" i="1" s="1"/>
  <c r="AJ1939" i="1" l="1"/>
  <c r="CC1939" i="1" s="1"/>
  <c r="V1940" i="1"/>
  <c r="AE1939" i="1"/>
  <c r="AK1938" i="1"/>
  <c r="AW1937" i="1"/>
  <c r="AY1938" i="1"/>
  <c r="AZ1938" i="1" s="1"/>
  <c r="AG1938" i="1"/>
  <c r="AX1938" i="1" s="1"/>
  <c r="AH1940" i="1"/>
  <c r="AO1940" i="1" s="1"/>
  <c r="AQ1940" i="1" s="1"/>
  <c r="U1946" i="1"/>
  <c r="X1946" i="1" s="1"/>
  <c r="Z1946" i="1" s="1"/>
  <c r="AI1946" i="1"/>
  <c r="AN1946" i="1"/>
  <c r="AW1938" i="1" l="1"/>
  <c r="AJ1940" i="1"/>
  <c r="AK1939" i="1"/>
  <c r="AW1939" i="1"/>
  <c r="AH1941" i="1"/>
  <c r="AO1941" i="1" s="1"/>
  <c r="AQ1941" i="1" s="1"/>
  <c r="AK1940" i="1"/>
  <c r="AE1940" i="1"/>
  <c r="AG1939" i="1"/>
  <c r="AX1939" i="1" s="1"/>
  <c r="AY1939" i="1"/>
  <c r="AZ1939" i="1" s="1"/>
  <c r="AI1947" i="1"/>
  <c r="AN1947" i="1"/>
  <c r="U1947" i="1"/>
  <c r="X1947" i="1" s="1"/>
  <c r="Z1947" i="1" s="1"/>
  <c r="AJ1941" i="1" l="1"/>
  <c r="CC1941" i="1" s="1"/>
  <c r="CC1940" i="1"/>
  <c r="V1941" i="1"/>
  <c r="AY1940" i="1"/>
  <c r="AZ1940" i="1" s="1"/>
  <c r="AG1940" i="1"/>
  <c r="AX1940" i="1" s="1"/>
  <c r="U1948" i="1"/>
  <c r="X1948" i="1" s="1"/>
  <c r="Z1948" i="1" s="1"/>
  <c r="AN1948" i="1"/>
  <c r="AI1948" i="1"/>
  <c r="V1942" i="1" l="1"/>
  <c r="AE1941" i="1"/>
  <c r="AH1942" i="1"/>
  <c r="AO1942" i="1" s="1"/>
  <c r="AQ1942" i="1" s="1"/>
  <c r="AW1940" i="1"/>
  <c r="AK1941" i="1"/>
  <c r="AN1949" i="1"/>
  <c r="AI1949" i="1"/>
  <c r="U1949" i="1"/>
  <c r="X1949" i="1" s="1"/>
  <c r="Z1949" i="1" s="1"/>
  <c r="AJ1942" i="1" l="1"/>
  <c r="AK1942" i="1" s="1"/>
  <c r="AE1942" i="1"/>
  <c r="V1943" i="1"/>
  <c r="AH1943" i="1"/>
  <c r="AO1943" i="1" s="1"/>
  <c r="AQ1943" i="1" s="1"/>
  <c r="AG1941" i="1"/>
  <c r="AX1941" i="1" s="1"/>
  <c r="AY1941" i="1"/>
  <c r="AZ1941" i="1" s="1"/>
  <c r="AN1950" i="1"/>
  <c r="U1950" i="1"/>
  <c r="X1950" i="1" s="1"/>
  <c r="Z1950" i="1" s="1"/>
  <c r="AI1950" i="1"/>
  <c r="AJ1943" i="1" l="1"/>
  <c r="AW1941" i="1"/>
  <c r="CC1942" i="1"/>
  <c r="V1944" i="1"/>
  <c r="AE1943" i="1"/>
  <c r="AH1944" i="1"/>
  <c r="AJ1944" i="1" s="1"/>
  <c r="AY1942" i="1"/>
  <c r="AZ1942" i="1" s="1"/>
  <c r="AG1942" i="1"/>
  <c r="AX1942" i="1" s="1"/>
  <c r="U1951" i="1"/>
  <c r="X1951" i="1" s="1"/>
  <c r="Z1951" i="1" s="1"/>
  <c r="AN1951" i="1"/>
  <c r="AI1951" i="1"/>
  <c r="AW1942" i="1" l="1"/>
  <c r="CC1943" i="1"/>
  <c r="AK1943" i="1"/>
  <c r="AO1944" i="1"/>
  <c r="AQ1944" i="1" s="1"/>
  <c r="CC1944" i="1"/>
  <c r="V1945" i="1"/>
  <c r="AE1944" i="1"/>
  <c r="AH1945" i="1"/>
  <c r="AJ1945" i="1" s="1"/>
  <c r="AY1943" i="1"/>
  <c r="AZ1943" i="1" s="1"/>
  <c r="AG1943" i="1"/>
  <c r="AX1943" i="1" s="1"/>
  <c r="AN1952" i="1"/>
  <c r="U1952" i="1"/>
  <c r="X1952" i="1" s="1"/>
  <c r="Z1952" i="1" s="1"/>
  <c r="AI1952" i="1"/>
  <c r="V1946" i="1" l="1"/>
  <c r="AE1945" i="1"/>
  <c r="AH1946" i="1"/>
  <c r="AO1946" i="1" s="1"/>
  <c r="AQ1946" i="1" s="1"/>
  <c r="AO1945" i="1"/>
  <c r="AQ1945" i="1" s="1"/>
  <c r="CC1945" i="1"/>
  <c r="AG1944" i="1"/>
  <c r="AX1944" i="1" s="1"/>
  <c r="AY1944" i="1"/>
  <c r="AZ1944" i="1" s="1"/>
  <c r="AK1944" i="1"/>
  <c r="AW1943" i="1"/>
  <c r="AI1953" i="1"/>
  <c r="AN1953" i="1"/>
  <c r="U1953" i="1"/>
  <c r="X1953" i="1" s="1"/>
  <c r="Z1953" i="1" s="1"/>
  <c r="AJ1946" i="1" l="1"/>
  <c r="CC1946" i="1" s="1"/>
  <c r="V1947" i="1"/>
  <c r="AE1946" i="1"/>
  <c r="AH1947" i="1"/>
  <c r="AO1947" i="1" s="1"/>
  <c r="AQ1947" i="1" s="1"/>
  <c r="AK1945" i="1"/>
  <c r="AW1944" i="1"/>
  <c r="AK1946" i="1"/>
  <c r="AY1945" i="1"/>
  <c r="AZ1945" i="1" s="1"/>
  <c r="AG1945" i="1"/>
  <c r="AX1945" i="1" s="1"/>
  <c r="U1954" i="1"/>
  <c r="X1954" i="1" s="1"/>
  <c r="Z1954" i="1" s="1"/>
  <c r="AN1954" i="1"/>
  <c r="AI1954" i="1"/>
  <c r="AJ1947" i="1" l="1"/>
  <c r="AW1945" i="1"/>
  <c r="CC1947" i="1"/>
  <c r="AE1947" i="1"/>
  <c r="V1948" i="1"/>
  <c r="AH1948" i="1"/>
  <c r="AO1948" i="1" s="1"/>
  <c r="AQ1948" i="1" s="1"/>
  <c r="AY1946" i="1"/>
  <c r="AZ1946" i="1" s="1"/>
  <c r="AG1946" i="1"/>
  <c r="AX1946" i="1" s="1"/>
  <c r="AN1955" i="1"/>
  <c r="U1955" i="1"/>
  <c r="X1955" i="1" s="1"/>
  <c r="Z1955" i="1" s="1"/>
  <c r="AI1955" i="1"/>
  <c r="AJ1948" i="1" l="1"/>
  <c r="CC1948" i="1" s="1"/>
  <c r="AK1947" i="1"/>
  <c r="AW1946" i="1"/>
  <c r="V1949" i="1"/>
  <c r="AE1948" i="1"/>
  <c r="AH1949" i="1"/>
  <c r="AJ1949" i="1" s="1"/>
  <c r="AY1947" i="1"/>
  <c r="AZ1947" i="1" s="1"/>
  <c r="AG1947" i="1"/>
  <c r="AX1947" i="1" s="1"/>
  <c r="U1956" i="1"/>
  <c r="X1956" i="1" s="1"/>
  <c r="Z1956" i="1" s="1"/>
  <c r="AN1956" i="1"/>
  <c r="AI1956" i="1"/>
  <c r="AK1948" i="1" l="1"/>
  <c r="AW1947" i="1"/>
  <c r="V1950" i="1"/>
  <c r="AE1949" i="1"/>
  <c r="AH1950" i="1"/>
  <c r="AO1950" i="1" s="1"/>
  <c r="AQ1950" i="1" s="1"/>
  <c r="AO1949" i="1"/>
  <c r="AQ1949" i="1" s="1"/>
  <c r="CC1949" i="1"/>
  <c r="AY1948" i="1"/>
  <c r="AZ1948" i="1" s="1"/>
  <c r="AG1948" i="1"/>
  <c r="AX1948" i="1" s="1"/>
  <c r="U1957" i="1"/>
  <c r="X1957" i="1" s="1"/>
  <c r="Z1957" i="1" s="1"/>
  <c r="AI1957" i="1"/>
  <c r="AN1957" i="1"/>
  <c r="AJ1950" i="1" l="1"/>
  <c r="CC1950" i="1" s="1"/>
  <c r="V1951" i="1"/>
  <c r="AE1950" i="1"/>
  <c r="AH1951" i="1"/>
  <c r="AO1951" i="1" s="1"/>
  <c r="AQ1951" i="1" s="1"/>
  <c r="AW1948" i="1"/>
  <c r="AK1949" i="1"/>
  <c r="AG1949" i="1"/>
  <c r="AX1949" i="1" s="1"/>
  <c r="AY1949" i="1"/>
  <c r="AZ1949" i="1" s="1"/>
  <c r="AN1958" i="1"/>
  <c r="U1958" i="1"/>
  <c r="X1958" i="1" s="1"/>
  <c r="Z1958" i="1" s="1"/>
  <c r="AI1958" i="1"/>
  <c r="AJ1951" i="1" l="1"/>
  <c r="AW1949" i="1"/>
  <c r="CC1951" i="1"/>
  <c r="AK1950" i="1"/>
  <c r="V1952" i="1"/>
  <c r="AE1951" i="1"/>
  <c r="AH1952" i="1"/>
  <c r="AO1952" i="1" s="1"/>
  <c r="AQ1952" i="1" s="1"/>
  <c r="AY1950" i="1"/>
  <c r="AZ1950" i="1" s="1"/>
  <c r="AG1950" i="1"/>
  <c r="AX1950" i="1" s="1"/>
  <c r="AN1959" i="1"/>
  <c r="U1959" i="1"/>
  <c r="X1959" i="1" s="1"/>
  <c r="Z1959" i="1" s="1"/>
  <c r="AI1959" i="1"/>
  <c r="AJ1952" i="1" l="1"/>
  <c r="AW1950" i="1"/>
  <c r="AK1951" i="1"/>
  <c r="AE1952" i="1"/>
  <c r="V1953" i="1"/>
  <c r="AH1953" i="1"/>
  <c r="AJ1953" i="1" s="1"/>
  <c r="AY1951" i="1"/>
  <c r="AZ1951" i="1" s="1"/>
  <c r="AG1951" i="1"/>
  <c r="AX1951" i="1" s="1"/>
  <c r="CC1952" i="1"/>
  <c r="AI1960" i="1"/>
  <c r="U1960" i="1"/>
  <c r="X1960" i="1" s="1"/>
  <c r="Z1960" i="1" s="1"/>
  <c r="AN1960" i="1"/>
  <c r="AW1951" i="1" l="1"/>
  <c r="AK1952" i="1"/>
  <c r="AE1953" i="1"/>
  <c r="V1954" i="1"/>
  <c r="AH1954" i="1"/>
  <c r="AJ1954" i="1" s="1"/>
  <c r="AO1953" i="1"/>
  <c r="AQ1953" i="1" s="1"/>
  <c r="CC1953" i="1"/>
  <c r="AY1952" i="1"/>
  <c r="AZ1952" i="1" s="1"/>
  <c r="AG1952" i="1"/>
  <c r="AX1952" i="1" s="1"/>
  <c r="U1961" i="1"/>
  <c r="X1961" i="1" s="1"/>
  <c r="Z1961" i="1" s="1"/>
  <c r="AN1961" i="1"/>
  <c r="AI1961" i="1"/>
  <c r="AE1954" i="1" l="1"/>
  <c r="V1955" i="1"/>
  <c r="AH1955" i="1"/>
  <c r="AO1955" i="1" s="1"/>
  <c r="AQ1955" i="1" s="1"/>
  <c r="AK1953" i="1"/>
  <c r="AW1952" i="1"/>
  <c r="AO1954" i="1"/>
  <c r="AQ1954" i="1" s="1"/>
  <c r="CC1954" i="1"/>
  <c r="AG1953" i="1"/>
  <c r="AX1953" i="1" s="1"/>
  <c r="AY1953" i="1"/>
  <c r="AZ1953" i="1" s="1"/>
  <c r="U1962" i="1"/>
  <c r="X1962" i="1" s="1"/>
  <c r="Z1962" i="1" s="1"/>
  <c r="AI1962" i="1"/>
  <c r="AN1962" i="1"/>
  <c r="AJ1955" i="1" l="1"/>
  <c r="AK1954" i="1"/>
  <c r="AW1953" i="1"/>
  <c r="AE1955" i="1"/>
  <c r="V1956" i="1"/>
  <c r="AH1956" i="1"/>
  <c r="AO1956" i="1" s="1"/>
  <c r="AQ1956" i="1" s="1"/>
  <c r="AG1954" i="1"/>
  <c r="AX1954" i="1" s="1"/>
  <c r="AY1954" i="1"/>
  <c r="AZ1954" i="1" s="1"/>
  <c r="CC1955" i="1"/>
  <c r="AN1963" i="1"/>
  <c r="U1963" i="1"/>
  <c r="X1963" i="1" s="1"/>
  <c r="Z1963" i="1" s="1"/>
  <c r="AI1963" i="1"/>
  <c r="AJ1956" i="1" l="1"/>
  <c r="CC1956" i="1" s="1"/>
  <c r="V1957" i="1"/>
  <c r="AE1956" i="1"/>
  <c r="AH1957" i="1"/>
  <c r="AJ1957" i="1" s="1"/>
  <c r="AW1954" i="1"/>
  <c r="AK1955" i="1"/>
  <c r="AG1955" i="1"/>
  <c r="AX1955" i="1" s="1"/>
  <c r="AY1955" i="1"/>
  <c r="AZ1955" i="1" s="1"/>
  <c r="AN1964" i="1"/>
  <c r="U1964" i="1"/>
  <c r="X1964" i="1" s="1"/>
  <c r="Z1964" i="1" s="1"/>
  <c r="AI1964" i="1"/>
  <c r="AK1956" i="1" l="1"/>
  <c r="AW1955" i="1"/>
  <c r="CC1957" i="1"/>
  <c r="AW1956" i="1"/>
  <c r="AK1957" i="1"/>
  <c r="AO1957" i="1"/>
  <c r="AQ1957" i="1" s="1"/>
  <c r="AE1957" i="1"/>
  <c r="V1958" i="1"/>
  <c r="AH1958" i="1"/>
  <c r="AJ1958" i="1" s="1"/>
  <c r="AY1956" i="1"/>
  <c r="AZ1956" i="1" s="1"/>
  <c r="AG1956" i="1"/>
  <c r="AX1956" i="1" s="1"/>
  <c r="AN1965" i="1"/>
  <c r="AI1965" i="1"/>
  <c r="U1965" i="1"/>
  <c r="X1965" i="1" s="1"/>
  <c r="Z1965" i="1" s="1"/>
  <c r="AE1958" i="1" l="1"/>
  <c r="V1959" i="1"/>
  <c r="AH1959" i="1"/>
  <c r="AO1959" i="1" s="1"/>
  <c r="AQ1959" i="1" s="1"/>
  <c r="AO1958" i="1"/>
  <c r="AQ1958" i="1" s="1"/>
  <c r="CC1958" i="1"/>
  <c r="AY1957" i="1"/>
  <c r="AZ1957" i="1" s="1"/>
  <c r="AG1957" i="1"/>
  <c r="AX1957" i="1" s="1"/>
  <c r="AI1966" i="1"/>
  <c r="AN1966" i="1"/>
  <c r="U1966" i="1"/>
  <c r="X1966" i="1" s="1"/>
  <c r="Z1966" i="1" s="1"/>
  <c r="AJ1959" i="1" l="1"/>
  <c r="V1960" i="1"/>
  <c r="AE1959" i="1"/>
  <c r="AH1960" i="1"/>
  <c r="AO1960" i="1" s="1"/>
  <c r="AQ1960" i="1" s="1"/>
  <c r="AK1958" i="1"/>
  <c r="AW1957" i="1"/>
  <c r="AG1958" i="1"/>
  <c r="AX1958" i="1" s="1"/>
  <c r="AY1958" i="1"/>
  <c r="AZ1958" i="1" s="1"/>
  <c r="CC1959" i="1"/>
  <c r="AN1967" i="1"/>
  <c r="U1967" i="1"/>
  <c r="X1967" i="1" s="1"/>
  <c r="Z1967" i="1" s="1"/>
  <c r="AI1967" i="1"/>
  <c r="AJ1960" i="1" l="1"/>
  <c r="AK1960" i="1" s="1"/>
  <c r="AE1960" i="1"/>
  <c r="V1961" i="1"/>
  <c r="AH1961" i="1"/>
  <c r="AO1961" i="1" s="1"/>
  <c r="AQ1961" i="1" s="1"/>
  <c r="AW1958" i="1"/>
  <c r="AK1959" i="1"/>
  <c r="AG1959" i="1"/>
  <c r="AX1959" i="1" s="1"/>
  <c r="AY1959" i="1"/>
  <c r="AZ1959" i="1" s="1"/>
  <c r="U1968" i="1"/>
  <c r="X1968" i="1" s="1"/>
  <c r="Z1968" i="1" s="1"/>
  <c r="AI1968" i="1"/>
  <c r="AN1968" i="1"/>
  <c r="AJ1961" i="1" l="1"/>
  <c r="AW1959" i="1"/>
  <c r="CC1960" i="1"/>
  <c r="V1962" i="1"/>
  <c r="AE1961" i="1"/>
  <c r="AH1962" i="1"/>
  <c r="AJ1962" i="1" s="1"/>
  <c r="AG1960" i="1"/>
  <c r="AX1960" i="1" s="1"/>
  <c r="AY1960" i="1"/>
  <c r="AZ1960" i="1" s="1"/>
  <c r="AI1969" i="1"/>
  <c r="AN1969" i="1"/>
  <c r="U1969" i="1"/>
  <c r="X1969" i="1" s="1"/>
  <c r="Z1969" i="1" s="1"/>
  <c r="V1963" i="1" l="1"/>
  <c r="AW1960" i="1"/>
  <c r="CC1961" i="1"/>
  <c r="AK1961" i="1"/>
  <c r="CC1962" i="1"/>
  <c r="AO1962" i="1"/>
  <c r="AQ1962" i="1" s="1"/>
  <c r="AE1962" i="1"/>
  <c r="AH1963" i="1"/>
  <c r="AJ1963" i="1" s="1"/>
  <c r="AG1961" i="1"/>
  <c r="AX1961" i="1" s="1"/>
  <c r="AY1961" i="1"/>
  <c r="AZ1961" i="1" s="1"/>
  <c r="AN1970" i="1"/>
  <c r="U1970" i="1"/>
  <c r="X1970" i="1" s="1"/>
  <c r="Z1970" i="1" s="1"/>
  <c r="AI1970" i="1"/>
  <c r="V1964" i="1" l="1"/>
  <c r="AE1963" i="1"/>
  <c r="AH1964" i="1"/>
  <c r="AO1964" i="1" s="1"/>
  <c r="AQ1964" i="1" s="1"/>
  <c r="AO1963" i="1"/>
  <c r="AQ1963" i="1" s="1"/>
  <c r="CC1963" i="1"/>
  <c r="AW1961" i="1"/>
  <c r="AK1962" i="1"/>
  <c r="AY1962" i="1"/>
  <c r="AZ1962" i="1" s="1"/>
  <c r="AG1962" i="1"/>
  <c r="AX1962" i="1" s="1"/>
  <c r="U1971" i="1"/>
  <c r="X1971" i="1" s="1"/>
  <c r="Z1971" i="1" s="1"/>
  <c r="AI1971" i="1"/>
  <c r="AN1971" i="1"/>
  <c r="AJ1964" i="1" l="1"/>
  <c r="CC1964" i="1" s="1"/>
  <c r="AE1964" i="1"/>
  <c r="V1965" i="1"/>
  <c r="AH1965" i="1"/>
  <c r="AO1965" i="1" s="1"/>
  <c r="AQ1965" i="1" s="1"/>
  <c r="AW1962" i="1"/>
  <c r="AK1963" i="1"/>
  <c r="AY1963" i="1"/>
  <c r="AZ1963" i="1" s="1"/>
  <c r="AG1963" i="1"/>
  <c r="AX1963" i="1" s="1"/>
  <c r="AI1972" i="1"/>
  <c r="AN1972" i="1"/>
  <c r="U1972" i="1"/>
  <c r="X1972" i="1" s="1"/>
  <c r="Z1972" i="1" s="1"/>
  <c r="AJ1965" i="1" l="1"/>
  <c r="V1966" i="1"/>
  <c r="AK1964" i="1"/>
  <c r="AW1963" i="1"/>
  <c r="AE1965" i="1"/>
  <c r="AH1966" i="1"/>
  <c r="AJ1966" i="1" s="1"/>
  <c r="AY1964" i="1"/>
  <c r="AZ1964" i="1" s="1"/>
  <c r="AG1964" i="1"/>
  <c r="AX1964" i="1" s="1"/>
  <c r="U1973" i="1"/>
  <c r="X1973" i="1" s="1"/>
  <c r="Z1973" i="1" s="1"/>
  <c r="AN1973" i="1"/>
  <c r="AI1973" i="1"/>
  <c r="AK1965" i="1" l="1"/>
  <c r="CC1965" i="1"/>
  <c r="AW1964" i="1"/>
  <c r="AE1966" i="1"/>
  <c r="V1967" i="1"/>
  <c r="AH1967" i="1"/>
  <c r="AJ1967" i="1" s="1"/>
  <c r="AO1966" i="1"/>
  <c r="AQ1966" i="1" s="1"/>
  <c r="CC1966" i="1"/>
  <c r="AY1965" i="1"/>
  <c r="AZ1965" i="1" s="1"/>
  <c r="AG1965" i="1"/>
  <c r="AX1965" i="1" s="1"/>
  <c r="AI1974" i="1"/>
  <c r="AN1974" i="1"/>
  <c r="U1974" i="1"/>
  <c r="X1974" i="1" s="1"/>
  <c r="Z1974" i="1" s="1"/>
  <c r="V1968" i="1" l="1"/>
  <c r="AE1967" i="1"/>
  <c r="AH1968" i="1"/>
  <c r="AO1968" i="1" s="1"/>
  <c r="AQ1968" i="1" s="1"/>
  <c r="AK1966" i="1"/>
  <c r="AW1965" i="1"/>
  <c r="AO1967" i="1"/>
  <c r="AQ1967" i="1" s="1"/>
  <c r="CC1967" i="1"/>
  <c r="AY1966" i="1"/>
  <c r="AZ1966" i="1" s="1"/>
  <c r="AG1966" i="1"/>
  <c r="AX1966" i="1" s="1"/>
  <c r="AN1975" i="1"/>
  <c r="U1975" i="1"/>
  <c r="X1975" i="1" s="1"/>
  <c r="Z1975" i="1" s="1"/>
  <c r="AI1975" i="1"/>
  <c r="AJ1968" i="1" l="1"/>
  <c r="AW1966" i="1"/>
  <c r="AK1967" i="1"/>
  <c r="V1969" i="1"/>
  <c r="AE1968" i="1"/>
  <c r="AH1969" i="1"/>
  <c r="AJ1969" i="1" s="1"/>
  <c r="AG1967" i="1"/>
  <c r="AX1967" i="1" s="1"/>
  <c r="AY1967" i="1"/>
  <c r="AZ1967" i="1" s="1"/>
  <c r="CC1968" i="1"/>
  <c r="AN1976" i="1"/>
  <c r="AI1976" i="1"/>
  <c r="U1976" i="1"/>
  <c r="X1976" i="1" s="1"/>
  <c r="Z1976" i="1" s="1"/>
  <c r="AK1968" i="1" l="1"/>
  <c r="AW1967" i="1"/>
  <c r="AO1969" i="1"/>
  <c r="AQ1969" i="1" s="1"/>
  <c r="CC1969" i="1"/>
  <c r="V1970" i="1"/>
  <c r="AE1969" i="1"/>
  <c r="AH1970" i="1"/>
  <c r="AJ1970" i="1" s="1"/>
  <c r="AY1968" i="1"/>
  <c r="AZ1968" i="1" s="1"/>
  <c r="AG1968" i="1"/>
  <c r="AX1968" i="1" s="1"/>
  <c r="AI1977" i="1"/>
  <c r="U1977" i="1"/>
  <c r="X1977" i="1" s="1"/>
  <c r="Z1977" i="1" s="1"/>
  <c r="AN1977" i="1"/>
  <c r="V1971" i="1" l="1"/>
  <c r="AE1970" i="1"/>
  <c r="AH1971" i="1"/>
  <c r="AO1971" i="1" s="1"/>
  <c r="AQ1971" i="1" s="1"/>
  <c r="AO1970" i="1"/>
  <c r="AQ1970" i="1" s="1"/>
  <c r="CC1970" i="1"/>
  <c r="AY1969" i="1"/>
  <c r="AZ1969" i="1" s="1"/>
  <c r="AG1969" i="1"/>
  <c r="AX1969" i="1" s="1"/>
  <c r="AW1968" i="1"/>
  <c r="AK1969" i="1"/>
  <c r="U1978" i="1"/>
  <c r="X1978" i="1" s="1"/>
  <c r="Z1978" i="1" s="1"/>
  <c r="AI1978" i="1"/>
  <c r="AN1978" i="1"/>
  <c r="AJ1971" i="1" l="1"/>
  <c r="CC1971" i="1" s="1"/>
  <c r="AE1971" i="1"/>
  <c r="V1972" i="1"/>
  <c r="AH1972" i="1"/>
  <c r="AO1972" i="1" s="1"/>
  <c r="AQ1972" i="1" s="1"/>
  <c r="AK1970" i="1"/>
  <c r="AW1969" i="1"/>
  <c r="AY1970" i="1"/>
  <c r="AZ1970" i="1" s="1"/>
  <c r="AG1970" i="1"/>
  <c r="AX1970" i="1" s="1"/>
  <c r="AI1979" i="1"/>
  <c r="U1979" i="1"/>
  <c r="X1979" i="1" s="1"/>
  <c r="Z1979" i="1" s="1"/>
  <c r="AN1979" i="1"/>
  <c r="AJ1972" i="1" l="1"/>
  <c r="CC1972" i="1" s="1"/>
  <c r="AW1970" i="1"/>
  <c r="AK1971" i="1"/>
  <c r="AE1972" i="1"/>
  <c r="V1973" i="1"/>
  <c r="AH1973" i="1"/>
  <c r="AJ1973" i="1" s="1"/>
  <c r="AG1971" i="1"/>
  <c r="AX1971" i="1" s="1"/>
  <c r="AY1971" i="1"/>
  <c r="AZ1971" i="1" s="1"/>
  <c r="AN1980" i="1"/>
  <c r="U1980" i="1"/>
  <c r="X1980" i="1" s="1"/>
  <c r="Z1980" i="1" s="1"/>
  <c r="AI1980" i="1"/>
  <c r="AW1971" i="1" l="1"/>
  <c r="AK1972" i="1"/>
  <c r="V1974" i="1"/>
  <c r="AE1973" i="1"/>
  <c r="AH1974" i="1"/>
  <c r="AJ1974" i="1" s="1"/>
  <c r="AO1973" i="1"/>
  <c r="AQ1973" i="1" s="1"/>
  <c r="CC1973" i="1"/>
  <c r="AG1972" i="1"/>
  <c r="AX1972" i="1" s="1"/>
  <c r="AY1972" i="1"/>
  <c r="AZ1972" i="1" s="1"/>
  <c r="U1981" i="1"/>
  <c r="X1981" i="1" s="1"/>
  <c r="Z1981" i="1" s="1"/>
  <c r="AI1981" i="1"/>
  <c r="AN1981" i="1"/>
  <c r="V1975" i="1" l="1"/>
  <c r="AE1974" i="1"/>
  <c r="AH1975" i="1"/>
  <c r="AO1975" i="1" s="1"/>
  <c r="AQ1975" i="1" s="1"/>
  <c r="AO1974" i="1"/>
  <c r="AQ1974" i="1" s="1"/>
  <c r="CC1974" i="1"/>
  <c r="AK1973" i="1"/>
  <c r="AW1972" i="1"/>
  <c r="AG1973" i="1"/>
  <c r="AX1973" i="1" s="1"/>
  <c r="AY1973" i="1"/>
  <c r="AZ1973" i="1" s="1"/>
  <c r="AI1982" i="1"/>
  <c r="AN1982" i="1"/>
  <c r="U1982" i="1"/>
  <c r="X1982" i="1" s="1"/>
  <c r="Z1982" i="1" s="1"/>
  <c r="AJ1975" i="1" l="1"/>
  <c r="AW1974" i="1" s="1"/>
  <c r="AW1973" i="1"/>
  <c r="AK1974" i="1"/>
  <c r="V1976" i="1"/>
  <c r="AE1975" i="1"/>
  <c r="AH1976" i="1"/>
  <c r="AJ1976" i="1" s="1"/>
  <c r="AY1974" i="1"/>
  <c r="AZ1974" i="1" s="1"/>
  <c r="AG1974" i="1"/>
  <c r="AX1974" i="1" s="1"/>
  <c r="U1983" i="1"/>
  <c r="X1983" i="1" s="1"/>
  <c r="Z1983" i="1" s="1"/>
  <c r="AI1983" i="1"/>
  <c r="AN1983" i="1"/>
  <c r="AK1975" i="1" l="1"/>
  <c r="CC1975" i="1"/>
  <c r="AE1976" i="1"/>
  <c r="V1977" i="1"/>
  <c r="AH1977" i="1"/>
  <c r="AO1977" i="1" s="1"/>
  <c r="AQ1977" i="1" s="1"/>
  <c r="AO1976" i="1"/>
  <c r="AQ1976" i="1" s="1"/>
  <c r="CC1976" i="1"/>
  <c r="AY1975" i="1"/>
  <c r="AZ1975" i="1" s="1"/>
  <c r="AG1975" i="1"/>
  <c r="AX1975" i="1" s="1"/>
  <c r="U1984" i="1"/>
  <c r="X1984" i="1" s="1"/>
  <c r="Z1984" i="1" s="1"/>
  <c r="AN1984" i="1"/>
  <c r="AI1984" i="1"/>
  <c r="AJ1977" i="1" l="1"/>
  <c r="AK1977" i="1" s="1"/>
  <c r="AW1975" i="1"/>
  <c r="AK1976" i="1"/>
  <c r="V1978" i="1"/>
  <c r="AE1977" i="1"/>
  <c r="AH1978" i="1"/>
  <c r="AJ1978" i="1" s="1"/>
  <c r="AG1976" i="1"/>
  <c r="AX1976" i="1" s="1"/>
  <c r="AY1976" i="1"/>
  <c r="AZ1976" i="1" s="1"/>
  <c r="AN1985" i="1"/>
  <c r="U1985" i="1"/>
  <c r="X1985" i="1" s="1"/>
  <c r="Z1985" i="1" s="1"/>
  <c r="AI1985" i="1"/>
  <c r="AW1976" i="1" l="1"/>
  <c r="CC1977" i="1"/>
  <c r="AO1978" i="1"/>
  <c r="AQ1978" i="1" s="1"/>
  <c r="CC1978" i="1"/>
  <c r="AE1978" i="1"/>
  <c r="V1979" i="1"/>
  <c r="AH1979" i="1"/>
  <c r="AJ1979" i="1" s="1"/>
  <c r="AY1977" i="1"/>
  <c r="AZ1977" i="1" s="1"/>
  <c r="AG1977" i="1"/>
  <c r="AX1977" i="1" s="1"/>
  <c r="AI1986" i="1"/>
  <c r="U1986" i="1"/>
  <c r="X1986" i="1" s="1"/>
  <c r="Z1986" i="1" s="1"/>
  <c r="AN1986" i="1"/>
  <c r="AO1979" i="1" l="1"/>
  <c r="AQ1979" i="1" s="1"/>
  <c r="V1980" i="1"/>
  <c r="AE1979" i="1"/>
  <c r="AH1980" i="1"/>
  <c r="AJ1980" i="1" s="1"/>
  <c r="AG1978" i="1"/>
  <c r="AX1978" i="1" s="1"/>
  <c r="AY1978" i="1"/>
  <c r="AZ1978" i="1" s="1"/>
  <c r="AW1977" i="1"/>
  <c r="AK1978" i="1"/>
  <c r="CC1979" i="1"/>
  <c r="AI1987" i="1"/>
  <c r="U1987" i="1"/>
  <c r="X1987" i="1" s="1"/>
  <c r="Z1987" i="1" s="1"/>
  <c r="AN1987" i="1"/>
  <c r="AK1979" i="1" l="1"/>
  <c r="AW1978" i="1"/>
  <c r="AE1980" i="1"/>
  <c r="V1981" i="1"/>
  <c r="AH1981" i="1"/>
  <c r="AJ1981" i="1" s="1"/>
  <c r="CC1980" i="1"/>
  <c r="AO1980" i="1"/>
  <c r="AQ1980" i="1" s="1"/>
  <c r="AY1979" i="1"/>
  <c r="AZ1979" i="1" s="1"/>
  <c r="AG1979" i="1"/>
  <c r="AX1979" i="1" s="1"/>
  <c r="U1988" i="1"/>
  <c r="X1988" i="1" s="1"/>
  <c r="Z1988" i="1" s="1"/>
  <c r="AI1988" i="1"/>
  <c r="AN1988" i="1"/>
  <c r="AW1979" i="1" l="1"/>
  <c r="AK1980" i="1"/>
  <c r="AE1981" i="1"/>
  <c r="V1982" i="1"/>
  <c r="AH1982" i="1"/>
  <c r="AJ1982" i="1" s="1"/>
  <c r="AO1981" i="1"/>
  <c r="AQ1981" i="1" s="1"/>
  <c r="CC1981" i="1"/>
  <c r="AY1980" i="1"/>
  <c r="AZ1980" i="1" s="1"/>
  <c r="AG1980" i="1"/>
  <c r="AX1980" i="1" s="1"/>
  <c r="AI1989" i="1"/>
  <c r="AN1989" i="1"/>
  <c r="U1989" i="1"/>
  <c r="X1989" i="1" s="1"/>
  <c r="Z1989" i="1" s="1"/>
  <c r="V1983" i="1" l="1"/>
  <c r="AE1982" i="1"/>
  <c r="AH1983" i="1"/>
  <c r="AJ1983" i="1" s="1"/>
  <c r="AK1981" i="1"/>
  <c r="AW1980" i="1"/>
  <c r="AO1982" i="1"/>
  <c r="AQ1982" i="1" s="1"/>
  <c r="CC1982" i="1"/>
  <c r="AY1981" i="1"/>
  <c r="AZ1981" i="1" s="1"/>
  <c r="AG1981" i="1"/>
  <c r="AX1981" i="1" s="1"/>
  <c r="AN1990" i="1"/>
  <c r="AI1990" i="1"/>
  <c r="U1990" i="1"/>
  <c r="X1990" i="1" s="1"/>
  <c r="Z1990" i="1" s="1"/>
  <c r="AE1983" i="1" l="1"/>
  <c r="V1984" i="1"/>
  <c r="AH1984" i="1"/>
  <c r="AO1984" i="1" s="1"/>
  <c r="AQ1984" i="1" s="1"/>
  <c r="AO1983" i="1"/>
  <c r="AQ1983" i="1" s="1"/>
  <c r="CC1983" i="1"/>
  <c r="AK1982" i="1"/>
  <c r="AW1981" i="1"/>
  <c r="AG1982" i="1"/>
  <c r="AX1982" i="1" s="1"/>
  <c r="AY1982" i="1"/>
  <c r="AZ1982" i="1" s="1"/>
  <c r="AN1991" i="1"/>
  <c r="U1991" i="1"/>
  <c r="X1991" i="1" s="1"/>
  <c r="Z1991" i="1" s="1"/>
  <c r="AI1991" i="1"/>
  <c r="AJ1984" i="1" l="1"/>
  <c r="AW1983" i="1" s="1"/>
  <c r="AW1982" i="1"/>
  <c r="AK1983" i="1"/>
  <c r="AE1984" i="1"/>
  <c r="V1985" i="1"/>
  <c r="AH1985" i="1"/>
  <c r="AJ1985" i="1" s="1"/>
  <c r="AG1983" i="1"/>
  <c r="AX1983" i="1" s="1"/>
  <c r="AY1983" i="1"/>
  <c r="AZ1983" i="1" s="1"/>
  <c r="U1992" i="1"/>
  <c r="X1992" i="1" s="1"/>
  <c r="Z1992" i="1" s="1"/>
  <c r="AI1992" i="1"/>
  <c r="AN1992" i="1"/>
  <c r="CC1984" i="1" l="1"/>
  <c r="AK1984" i="1"/>
  <c r="V1986" i="1"/>
  <c r="AE1985" i="1"/>
  <c r="AH1986" i="1"/>
  <c r="AJ1986" i="1" s="1"/>
  <c r="AO1985" i="1"/>
  <c r="AQ1985" i="1" s="1"/>
  <c r="CC1985" i="1"/>
  <c r="AY1984" i="1"/>
  <c r="AZ1984" i="1" s="1"/>
  <c r="AG1984" i="1"/>
  <c r="AX1984" i="1" s="1"/>
  <c r="U1993" i="1"/>
  <c r="X1993" i="1" s="1"/>
  <c r="Z1993" i="1" s="1"/>
  <c r="AI1993" i="1"/>
  <c r="AN1993" i="1"/>
  <c r="AE1986" i="1" l="1"/>
  <c r="V1987" i="1"/>
  <c r="AH1987" i="1"/>
  <c r="AO1987" i="1" s="1"/>
  <c r="AQ1987" i="1" s="1"/>
  <c r="AO1986" i="1"/>
  <c r="AQ1986" i="1" s="1"/>
  <c r="CC1986" i="1"/>
  <c r="AW1984" i="1"/>
  <c r="AK1985" i="1"/>
  <c r="AG1985" i="1"/>
  <c r="AX1985" i="1" s="1"/>
  <c r="AY1985" i="1"/>
  <c r="AZ1985" i="1" s="1"/>
  <c r="AI1994" i="1"/>
  <c r="AN1994" i="1"/>
  <c r="U1994" i="1"/>
  <c r="X1994" i="1" s="1"/>
  <c r="Z1994" i="1" s="1"/>
  <c r="AJ1987" i="1" l="1"/>
  <c r="AW1986" i="1" s="1"/>
  <c r="AW1985" i="1"/>
  <c r="AK1986" i="1"/>
  <c r="V1988" i="1"/>
  <c r="AE1987" i="1"/>
  <c r="AH1988" i="1"/>
  <c r="AJ1988" i="1" s="1"/>
  <c r="AY1986" i="1"/>
  <c r="AZ1986" i="1" s="1"/>
  <c r="AG1986" i="1"/>
  <c r="AX1986" i="1" s="1"/>
  <c r="AN1995" i="1"/>
  <c r="AI1995" i="1"/>
  <c r="U1995" i="1"/>
  <c r="X1995" i="1" s="1"/>
  <c r="Z1995" i="1" s="1"/>
  <c r="AK1987" i="1" l="1"/>
  <c r="CC1987" i="1"/>
  <c r="AO1988" i="1"/>
  <c r="AQ1988" i="1" s="1"/>
  <c r="CC1988" i="1"/>
  <c r="AE1988" i="1"/>
  <c r="V1989" i="1"/>
  <c r="AH1989" i="1"/>
  <c r="AJ1989" i="1" s="1"/>
  <c r="AY1987" i="1"/>
  <c r="AZ1987" i="1" s="1"/>
  <c r="AG1987" i="1"/>
  <c r="AX1987" i="1" s="1"/>
  <c r="AN1996" i="1"/>
  <c r="AI1996" i="1"/>
  <c r="U1996" i="1"/>
  <c r="X1996" i="1" s="1"/>
  <c r="Z1996" i="1" s="1"/>
  <c r="AE1989" i="1" l="1"/>
  <c r="V1990" i="1"/>
  <c r="AH1990" i="1"/>
  <c r="AO1990" i="1" s="1"/>
  <c r="AQ1990" i="1" s="1"/>
  <c r="AO1989" i="1"/>
  <c r="AQ1989" i="1" s="1"/>
  <c r="CC1989" i="1"/>
  <c r="AY1988" i="1"/>
  <c r="AZ1988" i="1" s="1"/>
  <c r="AG1988" i="1"/>
  <c r="AX1988" i="1" s="1"/>
  <c r="AK1988" i="1"/>
  <c r="AW1987" i="1"/>
  <c r="AN1997" i="1"/>
  <c r="U1997" i="1"/>
  <c r="X1997" i="1" s="1"/>
  <c r="Z1997" i="1" s="1"/>
  <c r="AI1997" i="1"/>
  <c r="AJ1990" i="1" l="1"/>
  <c r="CC1990" i="1" s="1"/>
  <c r="V1991" i="1"/>
  <c r="AE1990" i="1"/>
  <c r="AH1991" i="1"/>
  <c r="AJ1991" i="1" s="1"/>
  <c r="AK1989" i="1"/>
  <c r="AW1988" i="1"/>
  <c r="AG1989" i="1"/>
  <c r="AX1989" i="1" s="1"/>
  <c r="AY1989" i="1"/>
  <c r="AZ1989" i="1" s="1"/>
  <c r="AW1989" i="1"/>
  <c r="AI1998" i="1"/>
  <c r="AN1998" i="1"/>
  <c r="U1998" i="1"/>
  <c r="X1998" i="1" s="1"/>
  <c r="Z1998" i="1" s="1"/>
  <c r="AK1990" i="1" l="1"/>
  <c r="V1992" i="1"/>
  <c r="AE1991" i="1"/>
  <c r="AH1992" i="1"/>
  <c r="AJ1992" i="1" s="1"/>
  <c r="CC1991" i="1"/>
  <c r="AO1991" i="1"/>
  <c r="AQ1991" i="1" s="1"/>
  <c r="AY1990" i="1"/>
  <c r="AZ1990" i="1" s="1"/>
  <c r="AG1990" i="1"/>
  <c r="AX1990" i="1" s="1"/>
  <c r="AN1999" i="1"/>
  <c r="AI1999" i="1"/>
  <c r="U1999" i="1"/>
  <c r="X1999" i="1" s="1"/>
  <c r="Z1999" i="1" s="1"/>
  <c r="CC1992" i="1" l="1"/>
  <c r="V1993" i="1"/>
  <c r="AE1992" i="1"/>
  <c r="AH1993" i="1"/>
  <c r="AJ1993" i="1" s="1"/>
  <c r="AW1991" i="1"/>
  <c r="AK1992" i="1"/>
  <c r="AW1990" i="1"/>
  <c r="AK1991" i="1"/>
  <c r="AG1991" i="1"/>
  <c r="AX1991" i="1" s="1"/>
  <c r="AY1991" i="1"/>
  <c r="AZ1991" i="1" s="1"/>
  <c r="AO1992" i="1"/>
  <c r="AQ1992" i="1" s="1"/>
  <c r="AN2000" i="1"/>
  <c r="AN27" i="1" s="1"/>
  <c r="AM31" i="1" s="1"/>
  <c r="U2000" i="1"/>
  <c r="X2000" i="1" s="1"/>
  <c r="Z2000" i="1" s="1"/>
  <c r="AI2000" i="1"/>
  <c r="V1994" i="1" l="1"/>
  <c r="AE1993" i="1"/>
  <c r="AH1994" i="1"/>
  <c r="AO1994" i="1" s="1"/>
  <c r="AQ1994" i="1" s="1"/>
  <c r="AO1993" i="1"/>
  <c r="AQ1993" i="1" s="1"/>
  <c r="CC1993" i="1"/>
  <c r="AG1992" i="1"/>
  <c r="AX1992" i="1" s="1"/>
  <c r="AY1992" i="1"/>
  <c r="AZ1992" i="1" s="1"/>
  <c r="F21" i="1"/>
  <c r="F22" i="1"/>
  <c r="T14" i="1"/>
  <c r="AJ1994" i="1" l="1"/>
  <c r="CC1994" i="1" s="1"/>
  <c r="T17" i="1"/>
  <c r="AE1994" i="1"/>
  <c r="V1995" i="1"/>
  <c r="AH1995" i="1"/>
  <c r="AO1995" i="1" s="1"/>
  <c r="AQ1995" i="1" s="1"/>
  <c r="AW1992" i="1"/>
  <c r="AK1993" i="1"/>
  <c r="AG1993" i="1"/>
  <c r="AX1993" i="1" s="1"/>
  <c r="AY1993" i="1"/>
  <c r="AZ1993" i="1" s="1"/>
  <c r="AJ1995" i="1" l="1"/>
  <c r="T18" i="1"/>
  <c r="AK1994" i="1"/>
  <c r="AW1993" i="1"/>
  <c r="AE1995" i="1"/>
  <c r="V1996" i="1"/>
  <c r="AH1996" i="1"/>
  <c r="AJ1996" i="1" s="1"/>
  <c r="AY1994" i="1"/>
  <c r="AZ1994" i="1" s="1"/>
  <c r="AG1994" i="1"/>
  <c r="AX1994" i="1" s="1"/>
  <c r="H17" i="1" l="1"/>
  <c r="CC1996" i="1"/>
  <c r="AW1994" i="1"/>
  <c r="CC1995" i="1"/>
  <c r="AK1995" i="1"/>
  <c r="AK1996" i="1"/>
  <c r="AW1995" i="1"/>
  <c r="V1997" i="1"/>
  <c r="AE1996" i="1"/>
  <c r="AH1997" i="1"/>
  <c r="AJ1997" i="1" s="1"/>
  <c r="AG1995" i="1"/>
  <c r="AX1995" i="1" s="1"/>
  <c r="AY1995" i="1"/>
  <c r="AZ1995" i="1" s="1"/>
  <c r="AO1996" i="1"/>
  <c r="AQ1996" i="1" s="1"/>
  <c r="AK1997" i="1" l="1"/>
  <c r="AO1997" i="1"/>
  <c r="AQ1997" i="1" s="1"/>
  <c r="AW1996" i="1"/>
  <c r="CC1997" i="1"/>
  <c r="V1998" i="1"/>
  <c r="AE1997" i="1"/>
  <c r="AH1998" i="1"/>
  <c r="AJ1998" i="1" s="1"/>
  <c r="AG1996" i="1"/>
  <c r="AX1996" i="1" s="1"/>
  <c r="AY1996" i="1"/>
  <c r="AZ1996" i="1" s="1"/>
  <c r="V1999" i="1" l="1"/>
  <c r="AE1998" i="1"/>
  <c r="AH1999" i="1"/>
  <c r="AJ1999" i="1" s="1"/>
  <c r="AO1998" i="1"/>
  <c r="AQ1998" i="1" s="1"/>
  <c r="CC1998" i="1"/>
  <c r="AY1997" i="1"/>
  <c r="AZ1997" i="1" s="1"/>
  <c r="AG1997" i="1"/>
  <c r="AX1997" i="1" s="1"/>
  <c r="CC1999" i="1" l="1"/>
  <c r="AO1999" i="1"/>
  <c r="AQ1999" i="1" s="1"/>
  <c r="AE1999" i="1"/>
  <c r="AH2000" i="1"/>
  <c r="AO2000" i="1" s="1"/>
  <c r="AQ2000" i="1" s="1"/>
  <c r="V2000" i="1"/>
  <c r="AE2000" i="1" s="1"/>
  <c r="AK1998" i="1"/>
  <c r="AW1997" i="1"/>
  <c r="AK1999" i="1"/>
  <c r="AW1998" i="1"/>
  <c r="AY1998" i="1"/>
  <c r="AZ1998" i="1" s="1"/>
  <c r="AG1998" i="1"/>
  <c r="AX1998" i="1" s="1"/>
  <c r="AJ2000" i="1" l="1"/>
  <c r="CC2000" i="1" s="1"/>
  <c r="CC28" i="1" s="1"/>
  <c r="AQ27" i="1"/>
  <c r="AS28" i="1" s="1"/>
  <c r="AG2000" i="1"/>
  <c r="AX2000" i="1" s="1"/>
  <c r="AY2000" i="1"/>
  <c r="AZ2000" i="1" s="1"/>
  <c r="AG1999" i="1"/>
  <c r="AX1999" i="1" s="1"/>
  <c r="AY1999" i="1"/>
  <c r="AZ1999" i="1" s="1"/>
  <c r="AW1999" i="1" l="1"/>
  <c r="AW26" i="1" s="1"/>
  <c r="AY26" i="1"/>
  <c r="L20" i="1" s="1"/>
  <c r="N18" i="1"/>
  <c r="AK2000" i="1"/>
  <c r="AK28" i="1" s="1"/>
  <c r="AJ27" i="1"/>
  <c r="AS27" i="1"/>
  <c r="AS26" i="1"/>
  <c r="AT26" i="1"/>
  <c r="AT27" i="1" s="1"/>
  <c r="AU507" i="1" s="1"/>
  <c r="AU742" i="1"/>
  <c r="AU1089" i="1"/>
  <c r="AU1423" i="1" l="1"/>
  <c r="AU279" i="1"/>
  <c r="AU634" i="1"/>
  <c r="AU1622" i="1"/>
  <c r="AU1655" i="1"/>
  <c r="AU360" i="1"/>
  <c r="AU1746" i="1"/>
  <c r="AU1278" i="1"/>
  <c r="AU1453" i="1"/>
  <c r="AU1770" i="1"/>
  <c r="AU368" i="1"/>
  <c r="AU230" i="1"/>
  <c r="AU1616" i="1"/>
  <c r="AU707" i="1"/>
  <c r="AU1683" i="1"/>
  <c r="AU220" i="1"/>
  <c r="AU810" i="1"/>
  <c r="AU110" i="1"/>
  <c r="AU1718" i="1"/>
  <c r="AU1538" i="1"/>
  <c r="AU1596" i="1"/>
  <c r="AU1805" i="1"/>
  <c r="AU1375" i="1"/>
  <c r="AU1519" i="1"/>
  <c r="AU1151" i="1"/>
  <c r="AU1990" i="1"/>
  <c r="AU835" i="1"/>
  <c r="AU935" i="1"/>
  <c r="AU1831" i="1"/>
  <c r="AU79" i="1"/>
  <c r="AU513" i="1"/>
  <c r="AU1092" i="1"/>
  <c r="AU948" i="1"/>
  <c r="AU562" i="1"/>
  <c r="AU785" i="1"/>
  <c r="AU975" i="1"/>
  <c r="AU700" i="1"/>
  <c r="AU504" i="1"/>
  <c r="AU977" i="1"/>
  <c r="AU508" i="1"/>
  <c r="AU1064" i="1"/>
  <c r="AU1460" i="1"/>
  <c r="AU613" i="1"/>
  <c r="AU1584" i="1"/>
  <c r="AU967" i="1"/>
  <c r="AU594" i="1"/>
  <c r="AU909" i="1"/>
  <c r="AU238" i="1"/>
  <c r="AU1102" i="1"/>
  <c r="AU1871" i="1"/>
  <c r="AU740" i="1"/>
  <c r="AU417" i="1"/>
  <c r="AU1103" i="1"/>
  <c r="AU1610" i="1"/>
  <c r="AU1194" i="1"/>
  <c r="AU1878" i="1"/>
  <c r="AU1364" i="1"/>
  <c r="AU819" i="1"/>
  <c r="AU766" i="1"/>
  <c r="AU1206" i="1"/>
  <c r="AU183" i="1"/>
  <c r="AU976" i="1"/>
  <c r="AU749" i="1"/>
  <c r="AU1175" i="1"/>
  <c r="AU1901" i="1"/>
  <c r="AU313" i="1"/>
  <c r="AU974" i="1"/>
  <c r="AU1892" i="1"/>
  <c r="AU56" i="1"/>
  <c r="AU706" i="1"/>
  <c r="AU1155" i="1"/>
  <c r="AU430" i="1"/>
  <c r="AU449" i="1"/>
  <c r="AU781" i="1"/>
  <c r="AU1193" i="1"/>
  <c r="AU1430" i="1"/>
  <c r="AU604" i="1"/>
  <c r="AU518" i="1"/>
  <c r="AU1693" i="1"/>
  <c r="AU336" i="1"/>
  <c r="AU39" i="1"/>
  <c r="AU361" i="1"/>
  <c r="AU892" i="1"/>
  <c r="AU114" i="1"/>
  <c r="AU801" i="1"/>
  <c r="AU271" i="1"/>
  <c r="AU1587" i="1"/>
  <c r="AU401" i="1"/>
  <c r="AU500" i="1"/>
  <c r="AU366" i="1"/>
  <c r="AU166" i="1"/>
  <c r="AU1129" i="1"/>
  <c r="AU149" i="1"/>
  <c r="AU1915" i="1"/>
  <c r="AU1780" i="1"/>
  <c r="AU1879" i="1"/>
  <c r="AU471" i="1"/>
  <c r="AU614" i="1"/>
  <c r="AU199" i="1"/>
  <c r="AU1337" i="1"/>
  <c r="AU1790" i="1"/>
  <c r="AU282" i="1"/>
  <c r="AU294" i="1"/>
  <c r="AU554" i="1"/>
  <c r="AU356" i="1"/>
  <c r="AU1969" i="1"/>
  <c r="AU255" i="1"/>
  <c r="AU1977" i="1"/>
  <c r="AU460" i="1"/>
  <c r="AU1432" i="1"/>
  <c r="AU1287" i="1"/>
  <c r="AU582" i="1"/>
  <c r="AU1058" i="1"/>
  <c r="AU1104" i="1"/>
  <c r="AU1060" i="1"/>
  <c r="AU61" i="1"/>
  <c r="AU78" i="1"/>
  <c r="AU1470" i="1"/>
  <c r="AU1714" i="1"/>
  <c r="AU299" i="1"/>
  <c r="AU1893" i="1"/>
  <c r="AU1107" i="1"/>
  <c r="AU365" i="1"/>
  <c r="AU1294" i="1"/>
  <c r="AU1421" i="1"/>
  <c r="AU265" i="1"/>
  <c r="AU1768" i="1"/>
  <c r="AU525" i="1"/>
  <c r="AU1626" i="1"/>
  <c r="AU1653" i="1"/>
  <c r="AU737" i="1"/>
  <c r="AU1889" i="1"/>
  <c r="AU1145" i="1"/>
  <c r="AU1799" i="1"/>
  <c r="AU1150" i="1"/>
  <c r="AU1323" i="1"/>
  <c r="AU106" i="1"/>
  <c r="AU1875" i="1"/>
  <c r="AU932" i="1"/>
  <c r="AU1354" i="1"/>
  <c r="AU519" i="1"/>
  <c r="AU822" i="1"/>
  <c r="AU224" i="1"/>
  <c r="AU1738" i="1"/>
  <c r="AU923" i="1"/>
  <c r="AU1410" i="1"/>
  <c r="AU212" i="1"/>
  <c r="AU1567" i="1"/>
  <c r="AU68" i="1"/>
  <c r="AU652" i="1"/>
  <c r="AU1689" i="1"/>
  <c r="AU1907" i="1"/>
  <c r="AU1601" i="1"/>
  <c r="AU1764" i="1"/>
  <c r="AU1386" i="1"/>
  <c r="AU1178" i="1"/>
  <c r="AU1317" i="1"/>
  <c r="AU1020" i="1"/>
  <c r="AU350" i="1"/>
  <c r="AU1927" i="1"/>
  <c r="AU290" i="1"/>
  <c r="AU1876" i="1"/>
  <c r="AU395" i="1"/>
  <c r="AU756" i="1"/>
  <c r="AU1373" i="1"/>
  <c r="AU626" i="1"/>
  <c r="AU429" i="1"/>
  <c r="AU483" i="1"/>
  <c r="AU241" i="1"/>
  <c r="AU1127" i="1"/>
  <c r="AU162" i="1"/>
  <c r="AU1196" i="1"/>
  <c r="AU328" i="1"/>
  <c r="AU346" i="1"/>
  <c r="AU459" i="1"/>
  <c r="AU620" i="1"/>
  <c r="AU884" i="1"/>
  <c r="AU492" i="1"/>
  <c r="AU730" i="1"/>
  <c r="AU1302" i="1"/>
  <c r="AU1267" i="1"/>
  <c r="AU574" i="1"/>
  <c r="AU1098" i="1"/>
  <c r="AU405" i="1"/>
  <c r="AU571" i="1"/>
  <c r="AU834" i="1"/>
  <c r="AU1760" i="1"/>
  <c r="AU108" i="1"/>
  <c r="AU1252" i="1"/>
  <c r="AU709" i="1"/>
  <c r="AU1450" i="1"/>
  <c r="AU983" i="1"/>
  <c r="AU1668" i="1"/>
  <c r="AU1223" i="1"/>
  <c r="AU512" i="1"/>
  <c r="AU249" i="1"/>
  <c r="AU1111" i="1"/>
  <c r="AU1437" i="1"/>
  <c r="AU1646" i="1"/>
  <c r="AU1966" i="1"/>
  <c r="AU1553" i="1"/>
  <c r="AU951" i="1"/>
  <c r="AU919" i="1"/>
  <c r="AU1724" i="1"/>
  <c r="AU1218" i="1"/>
  <c r="AU1273" i="1"/>
  <c r="AU1959" i="1"/>
  <c r="AU1819" i="1"/>
  <c r="AU1407" i="1"/>
  <c r="AU798" i="1"/>
  <c r="AU1712" i="1"/>
  <c r="AU1125" i="1"/>
  <c r="AU1416" i="1"/>
  <c r="AU1459" i="1"/>
  <c r="AU1856" i="1"/>
  <c r="AU32" i="1"/>
  <c r="AU840" i="1"/>
  <c r="AU1844" i="1"/>
  <c r="AU1112" i="1"/>
  <c r="AU1359" i="1"/>
  <c r="AU204" i="1"/>
  <c r="AU1579" i="1"/>
  <c r="AU1802" i="1"/>
  <c r="AU1429" i="1"/>
  <c r="AU105" i="1"/>
  <c r="AU124" i="1"/>
  <c r="AU305" i="1"/>
  <c r="AU1773" i="1"/>
  <c r="AU1508" i="1"/>
  <c r="AU1857" i="1"/>
  <c r="AU1116" i="1"/>
  <c r="AU65" i="1"/>
  <c r="AU1163" i="1"/>
  <c r="AU1345" i="1"/>
  <c r="AU1456" i="1"/>
  <c r="AU186" i="1"/>
  <c r="AU529" i="1"/>
  <c r="AU1632" i="1"/>
  <c r="AU744" i="1"/>
  <c r="AU1855" i="1"/>
  <c r="AU961" i="1"/>
  <c r="AU351" i="1"/>
  <c r="AU787" i="1"/>
  <c r="AU1050" i="1"/>
  <c r="AU883" i="1"/>
  <c r="AU531" i="1"/>
  <c r="AU908" i="1"/>
  <c r="AU1211" i="1"/>
  <c r="AU38" i="1"/>
  <c r="AU354" i="1"/>
  <c r="AU1897" i="1"/>
  <c r="AU1630" i="1"/>
  <c r="AU1266" i="1"/>
  <c r="AU1551" i="1"/>
  <c r="AU1711" i="1"/>
  <c r="AU1807" i="1"/>
  <c r="AU891" i="1"/>
  <c r="AU273" i="1"/>
  <c r="AU1650" i="1"/>
  <c r="AU502" i="1"/>
  <c r="AU1053" i="1"/>
  <c r="AU253" i="1"/>
  <c r="AU676" i="1"/>
  <c r="AU418" i="1"/>
  <c r="AU1792" i="1"/>
  <c r="AU831" i="1"/>
  <c r="AU685" i="1"/>
  <c r="AU362" i="1"/>
  <c r="AU868" i="1"/>
  <c r="AU670" i="1"/>
  <c r="AU1606" i="1"/>
  <c r="AU1254" i="1"/>
  <c r="AU828" i="1"/>
  <c r="AU587" i="1"/>
  <c r="AU315" i="1"/>
  <c r="AU1985" i="1"/>
  <c r="AU523" i="1"/>
  <c r="AU352" i="1"/>
  <c r="AU1335" i="1"/>
  <c r="AU668" i="1"/>
  <c r="AU1686" i="1"/>
  <c r="AU1930" i="1"/>
  <c r="AU96" i="1"/>
  <c r="AU226" i="1"/>
  <c r="AU1120" i="1"/>
  <c r="AU1257" i="1"/>
  <c r="AU1598" i="1"/>
  <c r="AU324" i="1"/>
  <c r="AU50" i="1"/>
  <c r="AU802" i="1"/>
  <c r="AU1604" i="1"/>
  <c r="AU259" i="1"/>
  <c r="AU64" i="1"/>
  <c r="AU832" i="1"/>
  <c r="AU1641" i="1"/>
  <c r="AU219" i="1"/>
  <c r="AU1014" i="1"/>
  <c r="AU409" i="1"/>
  <c r="AU1937" i="1"/>
  <c r="AU885" i="1"/>
  <c r="AU547" i="1"/>
  <c r="AU454" i="1"/>
  <c r="AU89" i="1"/>
  <c r="AU1409" i="1"/>
  <c r="AU1406" i="1"/>
  <c r="AU480" i="1"/>
  <c r="AU60" i="1"/>
  <c r="AU1076" i="1"/>
  <c r="AU1174" i="1"/>
  <c r="AU63" i="1"/>
  <c r="AU363" i="1"/>
  <c r="AU1065" i="1"/>
  <c r="AU1310" i="1"/>
  <c r="AU440" i="1"/>
  <c r="AU1946" i="1"/>
  <c r="AU739" i="1"/>
  <c r="AU1147" i="1"/>
  <c r="AU1999" i="1"/>
  <c r="AU1541" i="1"/>
  <c r="AU823" i="1"/>
  <c r="AU603" i="1"/>
  <c r="AU1821" i="1"/>
  <c r="AU1324" i="1"/>
  <c r="AU93" i="1"/>
  <c r="AU1312" i="1"/>
  <c r="AU1951" i="1"/>
  <c r="AU235" i="1"/>
  <c r="AU779" i="1"/>
  <c r="AU1814" i="1"/>
  <c r="AU1918" i="1"/>
  <c r="AU1800" i="1"/>
  <c r="AU1003" i="1"/>
  <c r="AU905" i="1"/>
  <c r="AU1736" i="1"/>
  <c r="AU942" i="1"/>
  <c r="AU1618" i="1"/>
  <c r="AU1791" i="1"/>
  <c r="AU1529" i="1"/>
  <c r="AU641" i="1"/>
  <c r="AU1010" i="1"/>
  <c r="AU164" i="1"/>
  <c r="AU1552" i="1"/>
  <c r="AU379" i="1"/>
  <c r="AU1992" i="1"/>
  <c r="AU1173" i="1"/>
  <c r="AU715" i="1"/>
  <c r="AU207" i="1"/>
  <c r="AU1811" i="1"/>
  <c r="AU1045" i="1"/>
  <c r="AU245" i="1"/>
  <c r="AU1607" i="1"/>
  <c r="AU537" i="1"/>
  <c r="AU1095" i="1"/>
  <c r="AU1537" i="1"/>
  <c r="AU261" i="1"/>
  <c r="AU1952" i="1"/>
  <c r="AU1803" i="1"/>
  <c r="AU817" i="1"/>
  <c r="AU982" i="1"/>
  <c r="AU1355" i="1"/>
  <c r="AU143" i="1"/>
  <c r="AU993" i="1"/>
  <c r="AU1654" i="1"/>
  <c r="AU1973" i="1"/>
  <c r="AU1781" i="1"/>
  <c r="AU257" i="1"/>
  <c r="AU1755" i="1"/>
  <c r="AU1578" i="1"/>
  <c r="AU1026" i="1"/>
  <c r="AU1775" i="1"/>
  <c r="AU291" i="1"/>
  <c r="AU486" i="1"/>
  <c r="AU877" i="1"/>
  <c r="AU398" i="1"/>
  <c r="AU929" i="1"/>
  <c r="AU446" i="1"/>
  <c r="AU619" i="1"/>
  <c r="AU671" i="1"/>
  <c r="AU1328" i="1"/>
  <c r="AU1234" i="1"/>
  <c r="AU80" i="1"/>
  <c r="AU576" i="1"/>
  <c r="AU456" i="1"/>
  <c r="AU1187" i="1"/>
  <c r="AU1944" i="1"/>
  <c r="AU946" i="1"/>
  <c r="AU776" i="1"/>
  <c r="AU1186" i="1"/>
  <c r="AU1131" i="1"/>
  <c r="AU386" i="1"/>
  <c r="AU71" i="1"/>
  <c r="AU1533" i="1"/>
  <c r="AU764" i="1"/>
  <c r="AU1293" i="1"/>
  <c r="AU1629" i="1"/>
  <c r="AU1867" i="1"/>
  <c r="AU367" i="1"/>
  <c r="AU522" i="1"/>
  <c r="AU237" i="1"/>
  <c r="AU755" i="1"/>
  <c r="AU1649" i="1"/>
  <c r="AU1679" i="1"/>
  <c r="AU284" i="1"/>
  <c r="AU438" i="1"/>
  <c r="AU30" i="1"/>
  <c r="AU1228" i="1"/>
  <c r="AU962" i="1"/>
  <c r="AU458" i="1"/>
  <c r="AU1009" i="1"/>
  <c r="AU1965" i="1"/>
  <c r="AU416" i="1"/>
  <c r="AU151" i="1"/>
  <c r="AU762" i="1"/>
  <c r="AU152" i="1"/>
  <c r="AU895" i="1"/>
  <c r="AU1719" i="1"/>
  <c r="AU326" i="1"/>
  <c r="AU1277" i="1"/>
  <c r="AU941" i="1"/>
  <c r="AU1866" i="1"/>
  <c r="AU263" i="1"/>
  <c r="AU1495" i="1"/>
  <c r="AU1012" i="1"/>
  <c r="AU450" i="1"/>
  <c r="AU1094" i="1"/>
  <c r="AU1600" i="1"/>
  <c r="AU1377" i="1"/>
  <c r="AU1911" i="1"/>
  <c r="AU514" i="1"/>
  <c r="AU1372" i="1"/>
  <c r="AU1759" i="1"/>
  <c r="AU636" i="1"/>
  <c r="AU1636" i="1"/>
  <c r="AU1672" i="1"/>
  <c r="AU966" i="1"/>
  <c r="AU578" i="1"/>
  <c r="AU526" i="1"/>
  <c r="AU970" i="1"/>
  <c r="AU624" i="1"/>
  <c r="AU813" i="1"/>
  <c r="AU388" i="1"/>
  <c r="AU867" i="1"/>
  <c r="AU1979" i="1"/>
  <c r="AU46" i="1"/>
  <c r="AU750" i="1"/>
  <c r="AU1251" i="1"/>
  <c r="AU527" i="1"/>
  <c r="AU1981" i="1"/>
  <c r="AU1945" i="1"/>
  <c r="AU747" i="1"/>
  <c r="AU1424" i="1"/>
  <c r="AU1135" i="1"/>
  <c r="AU833" i="1"/>
  <c r="AU552" i="1"/>
  <c r="AU1974" i="1"/>
  <c r="AU1002" i="1"/>
  <c r="AU316" i="1"/>
  <c r="AU753" i="1"/>
  <c r="AU1701" i="1"/>
  <c r="AU154" i="1"/>
  <c r="AU201" i="1"/>
  <c r="AU1180" i="1"/>
  <c r="AU1077" i="1"/>
  <c r="AU1479" i="1"/>
  <c r="AU1730" i="1"/>
  <c r="AU494" i="1"/>
  <c r="AU510" i="1"/>
  <c r="AU218" i="1"/>
  <c r="AU1153" i="1"/>
  <c r="AU501" i="1"/>
  <c r="AU731" i="1"/>
  <c r="AU44" i="1"/>
  <c r="AU337" i="1"/>
  <c r="AU256" i="1"/>
  <c r="AU1356" i="1"/>
  <c r="AU147" i="1"/>
  <c r="AU551" i="1"/>
  <c r="AU269" i="1"/>
  <c r="AU1394" i="1"/>
  <c r="AU734" i="1"/>
  <c r="AU1842" i="1"/>
  <c r="AU473" i="1"/>
  <c r="AU1402" i="1"/>
  <c r="AU436" i="1"/>
  <c r="AU958" i="1"/>
  <c r="AU1858" i="1"/>
  <c r="AU943" i="1"/>
  <c r="AU807" i="1"/>
  <c r="AU445" i="1"/>
  <c r="AU836" i="1"/>
  <c r="AU570" i="1"/>
  <c r="AU528" i="1"/>
  <c r="AU1839" i="1"/>
  <c r="AU1130" i="1"/>
  <c r="AU347" i="1"/>
  <c r="AU524" i="1"/>
  <c r="AU696" i="1"/>
  <c r="AU1705" i="1"/>
  <c r="AU1717" i="1"/>
  <c r="AU214" i="1"/>
  <c r="AU806" i="1"/>
  <c r="AU88" i="1"/>
  <c r="AU1074" i="1"/>
  <c r="AU329" i="1"/>
  <c r="AU1289" i="1"/>
  <c r="AU278" i="1"/>
  <c r="AU1801" i="1"/>
  <c r="AU1184" i="1"/>
  <c r="AU359" i="1"/>
  <c r="AU1485" i="1"/>
  <c r="AU240" i="1"/>
  <c r="AU414" i="1"/>
  <c r="AU426" i="1"/>
  <c r="AU264" i="1"/>
  <c r="AU509" i="1"/>
  <c r="AU534" i="1"/>
  <c r="AU593" i="1"/>
  <c r="AU1924" i="1"/>
  <c r="AU622" i="1"/>
  <c r="AU949" i="1"/>
  <c r="AU1880" i="1"/>
  <c r="AU886" i="1"/>
  <c r="AU722" i="1"/>
  <c r="AU1916" i="1"/>
  <c r="AU771" i="1"/>
  <c r="AU596" i="1"/>
  <c r="AU1166" i="1"/>
  <c r="AU792" i="1"/>
  <c r="AU302" i="1"/>
  <c r="AU1499" i="1"/>
  <c r="AU1276" i="1"/>
  <c r="AU1493" i="1"/>
  <c r="AU1865" i="1"/>
  <c r="AU1179" i="1"/>
  <c r="AU1198" i="1"/>
  <c r="AU227" i="1"/>
  <c r="AU382" i="1"/>
  <c r="AU453" i="1"/>
  <c r="AU234" i="1"/>
  <c r="AU399" i="1"/>
  <c r="AU442" i="1"/>
  <c r="AU579" i="1"/>
  <c r="AU73" i="1"/>
  <c r="AU177" i="1"/>
  <c r="AU1829" i="1"/>
  <c r="AU850" i="1"/>
  <c r="AU49" i="1"/>
  <c r="AU957" i="1"/>
  <c r="AU1804" i="1"/>
  <c r="AU1498" i="1"/>
  <c r="AU1192" i="1"/>
  <c r="AU1643" i="1"/>
  <c r="AU543" i="1"/>
  <c r="AU303" i="1"/>
  <c r="AU1898" i="1"/>
  <c r="AU1779" i="1"/>
  <c r="AU865" i="1"/>
  <c r="AU1933" i="1"/>
  <c r="AU1939" i="1"/>
  <c r="AU1810" i="1"/>
  <c r="AU1140" i="1"/>
  <c r="AU54" i="1"/>
  <c r="AU845" i="1"/>
  <c r="AU1870" i="1"/>
  <c r="AU1361" i="1"/>
  <c r="AU1330" i="1"/>
  <c r="AU1750" i="1"/>
  <c r="AU928" i="1"/>
  <c r="AU1528" i="1"/>
  <c r="AU1983" i="1"/>
  <c r="AU1285" i="1"/>
  <c r="AU733" i="1"/>
  <c r="AU532" i="1"/>
  <c r="AU940" i="1"/>
  <c r="AU145" i="1"/>
  <c r="AU808" i="1"/>
  <c r="AU1595" i="1"/>
  <c r="AU48" i="1"/>
  <c r="AU1138" i="1"/>
  <c r="AU535" i="1"/>
  <c r="AU1341" i="1"/>
  <c r="AU1381" i="1"/>
  <c r="AU268" i="1"/>
  <c r="AU855" i="1"/>
  <c r="AU1476" i="1"/>
  <c r="AU1256" i="1"/>
  <c r="AU1446" i="1"/>
  <c r="AU484" i="1"/>
  <c r="AU863" i="1"/>
  <c r="AU1154" i="1"/>
  <c r="AU1199" i="1"/>
  <c r="AU1201" i="1"/>
  <c r="AU402" i="1"/>
  <c r="AU142" i="1"/>
  <c r="AU591" i="1"/>
  <c r="AU1391" i="1"/>
  <c r="AU348" i="1"/>
  <c r="AU1955" i="1"/>
  <c r="AU937" i="1"/>
  <c r="AU1466" i="1"/>
  <c r="AU425" i="1"/>
  <c r="AU392" i="1"/>
  <c r="AU1699" i="1"/>
  <c r="AU1903" i="1"/>
  <c r="AU774" i="1"/>
  <c r="AU1203" i="1"/>
  <c r="AU1684" i="1"/>
  <c r="AU1101" i="1"/>
  <c r="AU1950" i="1"/>
  <c r="AU672" i="1"/>
  <c r="AU1235" i="1"/>
  <c r="AU369" i="1"/>
  <c r="AU912" i="1"/>
  <c r="AU287" i="1"/>
  <c r="AU394" i="1"/>
  <c r="AU355" i="1"/>
  <c r="AU979" i="1"/>
  <c r="AU75" i="1"/>
  <c r="AU423" i="1"/>
  <c r="AU1940" i="1"/>
  <c r="AU901" i="1"/>
  <c r="AU101" i="1"/>
  <c r="AU581" i="1"/>
  <c r="AU1743" i="1"/>
  <c r="AU917" i="1"/>
  <c r="AU1148" i="1"/>
  <c r="AU1431" i="1"/>
  <c r="AU651" i="1"/>
  <c r="AU387" i="1"/>
  <c r="AU95" i="1"/>
  <c r="AU469" i="1"/>
  <c r="AU889" i="1"/>
  <c r="AU211" i="1"/>
  <c r="AU1309" i="1"/>
  <c r="AU1671" i="1"/>
  <c r="AU1716" i="1"/>
  <c r="AU1475" i="1"/>
  <c r="AU1260" i="1"/>
  <c r="AU640" i="1"/>
  <c r="AU1311" i="1"/>
  <c r="AU327" i="1"/>
  <c r="AU335" i="1"/>
  <c r="AU1368" i="1"/>
  <c r="AU843" i="1"/>
  <c r="AU390" i="1"/>
  <c r="AU1449" i="1"/>
  <c r="AU70" i="1"/>
  <c r="AU383" i="1"/>
  <c r="AU503" i="1"/>
  <c r="AU1806" i="1"/>
  <c r="AU1644" i="1"/>
  <c r="AU1088" i="1"/>
  <c r="AU1725" i="1"/>
  <c r="AU159" i="1"/>
  <c r="AU1099" i="1"/>
  <c r="AU371" i="1"/>
  <c r="AU589" i="1"/>
  <c r="AU1489" i="1"/>
  <c r="AU1463" i="1"/>
  <c r="AU1040" i="1"/>
  <c r="AU1921" i="1"/>
  <c r="AU931" i="1"/>
  <c r="AU910" i="1"/>
  <c r="AU1761" i="1"/>
  <c r="AU1707" i="1"/>
  <c r="AU1307" i="1"/>
  <c r="AU1283" i="1"/>
  <c r="AU1164" i="1"/>
  <c r="AU1658" i="1"/>
  <c r="AU1229" i="1"/>
  <c r="AU408" i="1"/>
  <c r="AU463" i="1"/>
  <c r="AU1106" i="1"/>
  <c r="AU1346" i="1"/>
  <c r="AU759" i="1"/>
  <c r="AU309" i="1"/>
  <c r="AU642" i="1"/>
  <c r="AU148" i="1"/>
  <c r="AU752" i="1"/>
  <c r="AU1970" i="1"/>
  <c r="AU1157" i="1"/>
  <c r="AU991" i="1"/>
  <c r="AU293" i="1"/>
  <c r="AU645" i="1"/>
  <c r="AU556" i="1"/>
  <c r="AU1608" i="1"/>
  <c r="AU1057" i="1"/>
  <c r="AU1436" i="1"/>
  <c r="AU972" i="1"/>
  <c r="AU1189" i="1"/>
  <c r="AU1448" i="1"/>
  <c r="AU42" i="1"/>
  <c r="AU1320" i="1"/>
  <c r="AU830" i="1"/>
  <c r="AU1465" i="1"/>
  <c r="AU711" i="1"/>
  <c r="AU1873" i="1"/>
  <c r="AU896" i="1"/>
  <c r="AU1832" i="1"/>
  <c r="AU799" i="1"/>
  <c r="AU1960" i="1"/>
  <c r="AU1670" i="1"/>
  <c r="AU748" i="1"/>
  <c r="AU137" i="1"/>
  <c r="AU1035" i="1"/>
  <c r="AU1747" i="1"/>
  <c r="AU673" i="1"/>
  <c r="AU1758" i="1"/>
  <c r="AU349" i="1"/>
  <c r="AU1025" i="1"/>
  <c r="AU1048" i="1"/>
  <c r="AU206" i="1"/>
  <c r="AU34" i="1"/>
  <c r="AU1888" i="1"/>
  <c r="AU726" i="1"/>
  <c r="AU285" i="1"/>
  <c r="AU1052" i="1"/>
  <c r="AU325" i="1"/>
  <c r="AU1539" i="1"/>
  <c r="AU1788" i="1"/>
  <c r="AU364" i="1"/>
  <c r="AU760" i="1"/>
  <c r="AU1176" i="1"/>
  <c r="AU1042" i="1"/>
  <c r="AU1729" i="1"/>
  <c r="AU69" i="1"/>
  <c r="AU1968" i="1"/>
  <c r="AU790" i="1"/>
  <c r="AU1096" i="1"/>
  <c r="AU300" i="1"/>
  <c r="AU705" i="1"/>
  <c r="AU342" i="1"/>
  <c r="AU306" i="1"/>
  <c r="AU965" i="1"/>
  <c r="AU1560" i="1"/>
  <c r="AU761" i="1"/>
  <c r="AU1250" i="1"/>
  <c r="AU132" i="1"/>
  <c r="AU1422" i="1"/>
  <c r="AU393" i="1"/>
  <c r="AU718" i="1"/>
  <c r="AU1515" i="1"/>
  <c r="AU1677" i="1"/>
  <c r="AU1568" i="1"/>
  <c r="AU1032" i="1"/>
  <c r="AU775" i="1"/>
  <c r="AU31" i="1"/>
  <c r="AU1033" i="1"/>
  <c r="AU757" i="1"/>
  <c r="AU1548" i="1"/>
  <c r="AU794" i="1"/>
  <c r="AU243" i="1"/>
  <c r="AU340" i="1"/>
  <c r="AU933" i="1"/>
  <c r="AU228" i="1"/>
  <c r="AU745" i="1"/>
  <c r="AU1395" i="1"/>
  <c r="AU1500" i="1"/>
  <c r="AU1491" i="1"/>
  <c r="AU1325" i="1"/>
  <c r="AU1902" i="1"/>
  <c r="AU1144" i="1"/>
  <c r="AU852" i="1"/>
  <c r="AU1063" i="1"/>
  <c r="AU1753" i="1"/>
  <c r="AU907" i="1"/>
  <c r="AU639" i="1"/>
  <c r="AU81" i="1"/>
  <c r="AU1532" i="1"/>
  <c r="AU550" i="1"/>
  <c r="AU887" i="1"/>
  <c r="AU780" i="1"/>
  <c r="AU1948" i="1"/>
  <c r="AU1264" i="1"/>
  <c r="AU334" i="1"/>
  <c r="AU795" i="1"/>
  <c r="AU1828" i="1"/>
  <c r="AU1419" i="1"/>
  <c r="AU103" i="1"/>
  <c r="AU1978" i="1"/>
  <c r="AU849" i="1"/>
  <c r="AU1826" i="1"/>
  <c r="AU118" i="1"/>
  <c r="AU312" i="1"/>
  <c r="AU439" i="1"/>
  <c r="AU601" i="1"/>
  <c r="AU1852" i="1"/>
  <c r="AU1620" i="1"/>
  <c r="AU1244" i="1"/>
  <c r="AU1557" i="1"/>
  <c r="AU725" i="1"/>
  <c r="AU297" i="1"/>
  <c r="AU122" i="1"/>
  <c r="AU1128" i="1"/>
  <c r="AU1962" i="1"/>
  <c r="AU1159" i="1"/>
  <c r="AU628" i="1"/>
  <c r="AU663" i="1"/>
  <c r="AU267" i="1"/>
  <c r="AU649" i="1"/>
  <c r="AU1673" i="1"/>
  <c r="AU1550" i="1"/>
  <c r="AU1344" i="1"/>
  <c r="AU1055" i="1"/>
  <c r="AU1492" i="1"/>
  <c r="AU926" i="1"/>
  <c r="AU1404" i="1"/>
  <c r="AU1405" i="1"/>
  <c r="AU1006" i="1"/>
  <c r="AU1001" i="1"/>
  <c r="AU1069" i="1"/>
  <c r="AU746" i="1"/>
  <c r="AU1820" i="1"/>
  <c r="AU374" i="1"/>
  <c r="AU434" i="1"/>
  <c r="AU1011" i="1"/>
  <c r="AU1322" i="1"/>
  <c r="AU1439" i="1"/>
  <c r="AU629" i="1"/>
  <c r="AU1384" i="1"/>
  <c r="AU1215" i="1"/>
  <c r="AU135" i="1"/>
  <c r="AU467" i="1"/>
  <c r="AU1634" i="1"/>
  <c r="AU770" i="1"/>
  <c r="AU563" i="1"/>
  <c r="AU1694" i="1"/>
  <c r="AU1182" i="1"/>
  <c r="AU1308" i="1"/>
  <c r="AU98" i="1"/>
  <c r="AU1698" i="1"/>
  <c r="AU754" i="1"/>
  <c r="AU119" i="1"/>
  <c r="AU878" i="1"/>
  <c r="AU960" i="1"/>
  <c r="AU246" i="1"/>
  <c r="AU1378" i="1"/>
  <c r="AU1886" i="1"/>
  <c r="AU598" i="1"/>
  <c r="AU128" i="1"/>
  <c r="AU1776" i="1"/>
  <c r="AU476" i="1"/>
  <c r="AU1454" i="1"/>
  <c r="AU915" i="1"/>
  <c r="AU1226" i="1"/>
  <c r="AU1083" i="1"/>
  <c r="AU1741" i="1"/>
  <c r="AU1597" i="1"/>
  <c r="AU1019" i="1"/>
  <c r="AU660" i="1"/>
  <c r="AU1639" i="1"/>
  <c r="AU1543" i="1"/>
  <c r="AU682" i="1"/>
  <c r="AU1246" i="1"/>
  <c r="AU1390" i="1"/>
  <c r="AU897" i="1"/>
  <c r="AU1078" i="1"/>
  <c r="AU679" i="1"/>
  <c r="AU161" i="1"/>
  <c r="AU1353" i="1"/>
  <c r="AU1021" i="1"/>
  <c r="AU1478" i="1"/>
  <c r="AU495" i="1"/>
  <c r="AU1258" i="1"/>
  <c r="AU1305" i="1"/>
  <c r="AU1731" i="1"/>
  <c r="AU805" i="1"/>
  <c r="AU1757" i="1"/>
  <c r="AU281" i="1"/>
  <c r="AU695" i="1"/>
  <c r="AU1833" i="1"/>
  <c r="AU1197" i="1"/>
  <c r="AU239" i="1"/>
  <c r="AU272" i="1"/>
  <c r="AU97" i="1"/>
  <c r="AU1744" i="1"/>
  <c r="AU1922" i="1"/>
  <c r="AU772" i="1"/>
  <c r="AU420" i="1"/>
  <c r="AU1982" i="1"/>
  <c r="AU1681" i="1"/>
  <c r="AU1468" i="1"/>
  <c r="AU1237" i="1"/>
  <c r="AU286" i="1"/>
  <c r="AU1516" i="1"/>
  <c r="AU1030" i="1"/>
  <c r="AU1905" i="1"/>
  <c r="AU903" i="1"/>
  <c r="AU936" i="1"/>
  <c r="AU1603" i="1"/>
  <c r="AU674" i="1"/>
  <c r="AU200" i="1"/>
  <c r="AU944" i="1"/>
  <c r="AU600" i="1"/>
  <c r="AU871" i="1"/>
  <c r="AU304" i="1"/>
  <c r="AU319" i="1"/>
  <c r="AU1079" i="1"/>
  <c r="AU1301" i="1"/>
  <c r="AU1863" i="1"/>
  <c r="AU462" i="1"/>
  <c r="AU107" i="1"/>
  <c r="AU266" i="1"/>
  <c r="AU125" i="1"/>
  <c r="AU1143" i="1"/>
  <c r="AU1248" i="1"/>
  <c r="AU1204" i="1"/>
  <c r="AU91" i="1"/>
  <c r="AU1869" i="1"/>
  <c r="AU1883" i="1"/>
  <c r="AU1297" i="1"/>
  <c r="AU1412" i="1"/>
  <c r="AU1526" i="1"/>
  <c r="AU1931" i="1"/>
  <c r="AU548" i="1"/>
  <c r="AU890" i="1"/>
  <c r="AU1172" i="1"/>
  <c r="AU217" i="1"/>
  <c r="AU1043" i="1"/>
  <c r="AU131" i="1"/>
  <c r="AU1379" i="1"/>
  <c r="AU1443" i="1"/>
  <c r="AU857" i="1"/>
  <c r="AU1586" i="1"/>
  <c r="AU1882" i="1"/>
  <c r="AU87" i="1"/>
  <c r="AU1484" i="1"/>
  <c r="AU788" i="1"/>
  <c r="AU689" i="1"/>
  <c r="AU1108" i="1"/>
  <c r="AU1387" i="1"/>
  <c r="AU422" i="1"/>
  <c r="AU317" i="1"/>
  <c r="AU1467" i="1"/>
  <c r="AU372" i="1"/>
  <c r="AU968" i="1"/>
  <c r="AU1797" i="1"/>
  <c r="AU1352" i="1"/>
  <c r="AU882" i="1"/>
  <c r="AU1593" i="1"/>
  <c r="AU1382" i="1"/>
  <c r="AU530" i="1"/>
  <c r="AU1987" i="1"/>
  <c r="AU451" i="1"/>
  <c r="AU697" i="1"/>
  <c r="AU724" i="1"/>
  <c r="AU803" i="1"/>
  <c r="AU939" i="1"/>
  <c r="AU1825" i="1"/>
  <c r="AU1642" i="1"/>
  <c r="AU490" i="1"/>
  <c r="AU773" i="1"/>
  <c r="AU1956" i="1"/>
  <c r="AU181" i="1"/>
  <c r="AU1720" i="1"/>
  <c r="AU1998" i="1"/>
  <c r="AU1385" i="1"/>
  <c r="AU404" i="1"/>
  <c r="AU643" i="1"/>
  <c r="AU1367" i="1"/>
  <c r="AU1417" i="1"/>
  <c r="AU1895" i="1"/>
  <c r="AU1733" i="1"/>
  <c r="AU1588" i="1"/>
  <c r="AU701" i="1"/>
  <c r="AU1625" i="1"/>
  <c r="AU1134" i="1"/>
  <c r="AU1146" i="1"/>
  <c r="AU1291" i="1"/>
  <c r="AU1872" i="1"/>
  <c r="AU1282" i="1"/>
  <c r="AU560" i="1"/>
  <c r="AU738" i="1"/>
  <c r="AU1238" i="1"/>
  <c r="AU683" i="1"/>
  <c r="AU1295" i="1"/>
  <c r="AU1891" i="1"/>
  <c r="AU184" i="1"/>
  <c r="AU1488" i="1"/>
  <c r="AU789" i="1"/>
  <c r="AU1363" i="1"/>
  <c r="AU1585" i="1"/>
  <c r="AU559" i="1"/>
  <c r="AU1473" i="1"/>
  <c r="AU1890" i="1"/>
  <c r="AU427" i="1"/>
  <c r="AU1358" i="1"/>
  <c r="AU1241" i="1"/>
  <c r="AU1249" i="1"/>
  <c r="AU1167" i="1"/>
  <c r="AU323" i="1"/>
  <c r="AU180" i="1"/>
  <c r="AU1690" i="1"/>
  <c r="AU1230" i="1"/>
  <c r="AU997" i="1"/>
  <c r="AU182" i="1"/>
  <c r="AU276" i="1"/>
  <c r="AU1662" i="1"/>
  <c r="AU1205" i="1"/>
  <c r="AU1433" i="1"/>
  <c r="AU377" i="1"/>
  <c r="AU1185" i="1"/>
  <c r="AU1509" i="1"/>
  <c r="AU611" i="1"/>
  <c r="AU1742" i="1"/>
  <c r="AU144" i="1"/>
  <c r="AU856" i="1"/>
  <c r="AU1464" i="1"/>
  <c r="AU693" i="1"/>
  <c r="AU1243" i="1"/>
  <c r="AU1989" i="1"/>
  <c r="AU1991" i="1"/>
  <c r="AU694" i="1"/>
  <c r="AU1073" i="1"/>
  <c r="AU1906" i="1"/>
  <c r="AU288" i="1"/>
  <c r="AU468" i="1"/>
  <c r="AU156" i="1"/>
  <c r="AU505" i="1"/>
  <c r="AU341" i="1"/>
  <c r="AU1117" i="1"/>
  <c r="AU1049" i="1"/>
  <c r="AU985" i="1"/>
  <c r="AU1754" i="1"/>
  <c r="AU1270" i="1"/>
  <c r="AU1486" i="1"/>
  <c r="AU127" i="1"/>
  <c r="AU1947" i="1"/>
  <c r="AU248" i="1"/>
  <c r="AU678" i="1"/>
  <c r="AU419" i="1"/>
  <c r="AU1100" i="1"/>
  <c r="AU1949" i="1"/>
  <c r="AU1181" i="1"/>
  <c r="AU1518" i="1"/>
  <c r="AU104" i="1"/>
  <c r="AU283" i="1"/>
  <c r="AU163" i="1"/>
  <c r="AU62" i="1"/>
  <c r="AU314" i="1"/>
  <c r="AU1510" i="1"/>
  <c r="AU609" i="1"/>
  <c r="AU1280" i="1"/>
  <c r="AU1877" i="1"/>
  <c r="AU1846" i="1"/>
  <c r="AU1859" i="1"/>
  <c r="AU1365" i="1"/>
  <c r="AU1504" i="1"/>
  <c r="AU1168" i="1"/>
  <c r="AU595" i="1"/>
  <c r="AU357" i="1"/>
  <c r="AU1964" i="1"/>
  <c r="AU561" i="1"/>
  <c r="AU1521" i="1"/>
  <c r="AU236" i="1"/>
  <c r="AU1212" i="1"/>
  <c r="AU873" i="1"/>
  <c r="AU251" i="1"/>
  <c r="AU1823" i="1"/>
  <c r="AU1941" i="1"/>
  <c r="AU275" i="1"/>
  <c r="AU1544" i="1"/>
  <c r="AU618" i="1"/>
  <c r="AU1815" i="1"/>
  <c r="AU1664" i="1"/>
  <c r="AU333" i="1"/>
  <c r="AU1942" i="1"/>
  <c r="AU1062" i="1"/>
  <c r="AU656" i="1"/>
  <c r="AU1119" i="1"/>
  <c r="AU680" i="1"/>
  <c r="AU1136" i="1"/>
  <c r="AU1772" i="1"/>
  <c r="AU167" i="1"/>
  <c r="AU981" i="1"/>
  <c r="AU1708" i="1"/>
  <c r="AU1530" i="1"/>
  <c r="AU318" i="1"/>
  <c r="AU546" i="1"/>
  <c r="AU784" i="1"/>
  <c r="AU1514" i="1"/>
  <c r="AU1971" i="1"/>
  <c r="AU1022" i="1"/>
  <c r="AU1612" i="1"/>
  <c r="AU168" i="1"/>
  <c r="AU138" i="1"/>
  <c r="AU1445" i="1"/>
  <c r="AU584" i="1"/>
  <c r="AU231" i="1"/>
  <c r="AU411" i="1"/>
  <c r="AU491" i="1"/>
  <c r="AU176" i="1"/>
  <c r="AU1908" i="1"/>
  <c r="AU602" i="1"/>
  <c r="AU816" i="1"/>
  <c r="AU1202" i="1"/>
  <c r="AU455" i="1"/>
  <c r="AU870" i="1"/>
  <c r="AU687" i="1"/>
  <c r="AU1627" i="1"/>
  <c r="AU157" i="1"/>
  <c r="AU987" i="1"/>
  <c r="AU1452" i="1"/>
  <c r="AU479" i="1"/>
  <c r="AU1457" i="1"/>
  <c r="AU669" i="1"/>
  <c r="AU345" i="1"/>
  <c r="AU1162" i="1"/>
  <c r="AU1396" i="1"/>
  <c r="AU1447" i="1"/>
  <c r="AU1047" i="1"/>
  <c r="AU1503" i="1"/>
  <c r="AU380" i="1"/>
  <c r="AU1388" i="1"/>
  <c r="AU76" i="1"/>
  <c r="AU973" i="1"/>
  <c r="AU586" i="1"/>
  <c r="AU447" i="1"/>
  <c r="AU1984" i="1"/>
  <c r="AU1961" i="1"/>
  <c r="AU690" i="1"/>
  <c r="AU1334" i="1"/>
  <c r="AU1957" i="1"/>
  <c r="AU457" i="1"/>
  <c r="AU681" i="1"/>
  <c r="AU1161" i="1"/>
  <c r="AU1265" i="1"/>
  <c r="AU1702" i="1"/>
  <c r="AU1721" i="1"/>
  <c r="AU1480" i="1"/>
  <c r="AU520" i="1"/>
  <c r="AU1910" i="1"/>
  <c r="AU413" i="1"/>
  <c r="AU1631" i="1"/>
  <c r="AU1517" i="1"/>
  <c r="AU1109" i="1"/>
  <c r="AU699" i="1"/>
  <c r="AU229" i="1"/>
  <c r="AU1661" i="1"/>
  <c r="AU1963" i="1"/>
  <c r="AU1023" i="1"/>
  <c r="AU1678" i="1"/>
  <c r="AU846" i="1"/>
  <c r="AU1687" i="1"/>
  <c r="AU793" i="1"/>
  <c r="AU791" i="1"/>
  <c r="AU444" i="1"/>
  <c r="AU196" i="1"/>
  <c r="AU1318" i="1"/>
  <c r="AU1336" i="1"/>
  <c r="AU1785" i="1"/>
  <c r="AU1732" i="1"/>
  <c r="AU767" i="1"/>
  <c r="AU262" i="1"/>
  <c r="AU1782" i="1"/>
  <c r="AU650" i="1"/>
  <c r="AU1038" i="1"/>
  <c r="AU659" i="1"/>
  <c r="AU1868" i="1"/>
  <c r="AU1534" i="1"/>
  <c r="AU638" i="1"/>
  <c r="AU1835" i="1"/>
  <c r="AU133" i="1"/>
  <c r="AU820" i="1"/>
  <c r="AU1383" i="1"/>
  <c r="AU1556" i="1"/>
  <c r="AU208" i="1"/>
  <c r="AU86" i="1"/>
  <c r="AU655" i="1"/>
  <c r="AU1813" i="1"/>
  <c r="AU1037" i="1"/>
  <c r="AU485" i="1"/>
  <c r="AU1756" i="1"/>
  <c r="AU1904" i="1"/>
  <c r="AU1558" i="1"/>
  <c r="AU498" i="1"/>
  <c r="AU1522" i="1"/>
  <c r="AU1581" i="1"/>
  <c r="AU77" i="1"/>
  <c r="AU412" i="1"/>
  <c r="AU1028" i="1"/>
  <c r="AU1426" i="1"/>
  <c r="AU1133" i="1"/>
  <c r="AU875" i="1"/>
  <c r="AU1290" i="1"/>
  <c r="AU153" i="1"/>
  <c r="AU1340" i="1"/>
  <c r="AU812" i="1"/>
  <c r="AU1195" i="1"/>
  <c r="AU1506" i="1"/>
  <c r="AU1090" i="1"/>
  <c r="AU194" i="1"/>
  <c r="AU431" i="1"/>
  <c r="AU466" i="1"/>
  <c r="AU123" i="1"/>
  <c r="AU880" i="1"/>
  <c r="AU627" i="1"/>
  <c r="AU844" i="1"/>
  <c r="AU1085" i="1"/>
  <c r="AU1188" i="1"/>
  <c r="AU648" i="1"/>
  <c r="AU1114" i="1"/>
  <c r="AU927" i="1"/>
  <c r="AU542" i="1"/>
  <c r="AU213" i="1"/>
  <c r="AU1840" i="1"/>
  <c r="AU992" i="1"/>
  <c r="AU1726" i="1"/>
  <c r="AU918" i="1"/>
  <c r="AU461" i="1"/>
  <c r="AU506" i="1"/>
  <c r="AU298" i="1"/>
  <c r="AU1784" i="1"/>
  <c r="AU1559" i="1"/>
  <c r="AU1440" i="1"/>
  <c r="AU664" i="1"/>
  <c r="AU344" i="1"/>
  <c r="AU197" i="1"/>
  <c r="AU952" i="1"/>
  <c r="AU847" i="1"/>
  <c r="AU1152" i="1"/>
  <c r="AU92" i="1"/>
  <c r="AU1316" i="1"/>
  <c r="AU1594" i="1"/>
  <c r="AU662" i="1"/>
  <c r="AU115" i="1"/>
  <c r="AU1183" i="1"/>
  <c r="AU743" i="1"/>
  <c r="AU292" i="1"/>
  <c r="AU1796" i="1"/>
  <c r="AU555" i="1"/>
  <c r="AU1818" i="1"/>
  <c r="AU1513" i="1"/>
  <c r="AU894" i="1"/>
  <c r="AU1582" i="1"/>
  <c r="AU838" i="1"/>
  <c r="AU175" i="1"/>
  <c r="AU475" i="1"/>
  <c r="AU1225" i="1"/>
  <c r="AU1472" i="1"/>
  <c r="AU1253" i="1"/>
  <c r="AU170" i="1"/>
  <c r="AU1315" i="1"/>
  <c r="AU1900" i="1"/>
  <c r="AU1862" i="1"/>
  <c r="AU539" i="1"/>
  <c r="AU120" i="1"/>
  <c r="AU1562" i="1"/>
  <c r="AU950" i="1"/>
  <c r="AU1451" i="1"/>
  <c r="AU996" i="1"/>
  <c r="AU533" i="1"/>
  <c r="AU585" i="1"/>
  <c r="AU667" i="1"/>
  <c r="AU1703" i="1"/>
  <c r="AU1369" i="1"/>
  <c r="AU1389" i="1"/>
  <c r="AU482" i="1"/>
  <c r="AU848" i="1"/>
  <c r="AU712" i="1"/>
  <c r="AU1874" i="1"/>
  <c r="AU1398" i="1"/>
  <c r="AU1659" i="1"/>
  <c r="AU1953" i="1"/>
  <c r="AU654" i="1"/>
  <c r="AU1599" i="1"/>
  <c r="AU1787" i="1"/>
  <c r="AU653" i="1"/>
  <c r="AU1727" i="1"/>
  <c r="AU1034" i="1"/>
  <c r="AU41" i="1"/>
  <c r="AU1482" i="1"/>
  <c r="AU1082" i="1"/>
  <c r="AU1046" i="1"/>
  <c r="AU270" i="1"/>
  <c r="AU1934" i="1"/>
  <c r="AU193" i="1"/>
  <c r="AU1749" i="1"/>
  <c r="AU925" i="1"/>
  <c r="AU1441" i="1"/>
  <c r="AU769" i="1"/>
  <c r="AU233" i="1"/>
  <c r="AU1374" i="1"/>
  <c r="AU1139" i="1"/>
  <c r="AU57" i="1"/>
  <c r="AU605" i="1"/>
  <c r="AU1635" i="1"/>
  <c r="AU1255" i="1"/>
  <c r="AU1303" i="1"/>
  <c r="AU691" i="1"/>
  <c r="AU1169" i="1"/>
  <c r="AU391" i="1"/>
  <c r="AU1165" i="1"/>
  <c r="AU1024" i="1"/>
  <c r="AU37" i="1"/>
  <c r="AU1342" i="1"/>
  <c r="AU1935" i="1"/>
  <c r="AU1392" i="1"/>
  <c r="AU1191" i="1"/>
  <c r="AU599" i="1"/>
  <c r="AU1210" i="1"/>
  <c r="AU538" i="1"/>
  <c r="AU825" i="1"/>
  <c r="AU1728" i="1"/>
  <c r="AU851" i="1"/>
  <c r="AU189" i="1"/>
  <c r="AU1928" i="1"/>
  <c r="AU320" i="1"/>
  <c r="AU1570" i="1"/>
  <c r="AU1536" i="1"/>
  <c r="AU1097" i="1"/>
  <c r="AU443" i="1"/>
  <c r="AU1399" i="1"/>
  <c r="AU1461" i="1"/>
  <c r="AU1535" i="1"/>
  <c r="AU136" i="1"/>
  <c r="AU1914" i="1"/>
  <c r="AU782" i="1"/>
  <c r="AU964" i="1"/>
  <c r="AU1427" i="1"/>
  <c r="AU569" i="1"/>
  <c r="AU85" i="1"/>
  <c r="AU1745" i="1"/>
  <c r="AU1051" i="1"/>
  <c r="AU424" i="1"/>
  <c r="AU1887" i="1"/>
  <c r="AU583" i="1"/>
  <c r="AU66" i="1"/>
  <c r="AU1300" i="1"/>
  <c r="AU203" i="1"/>
  <c r="AU1995" i="1"/>
  <c r="AU1041" i="1"/>
  <c r="AU1087" i="1"/>
  <c r="AU1259" i="1"/>
  <c r="AU244" i="1"/>
  <c r="AU1397" i="1"/>
  <c r="AU1122" i="1"/>
  <c r="AU481" i="1"/>
  <c r="AU1091" i="1"/>
  <c r="AU1715" i="1"/>
  <c r="AU190" i="1"/>
  <c r="AU84" i="1"/>
  <c r="AU900" i="1"/>
  <c r="AU565" i="1"/>
  <c r="AU1207" i="1"/>
  <c r="AU1771" i="1"/>
  <c r="AU597" i="1"/>
  <c r="AU1075" i="1"/>
  <c r="AU1279" i="1"/>
  <c r="AU488" i="1"/>
  <c r="AU821" i="1"/>
  <c r="AU378" i="1"/>
  <c r="AU1824" i="1"/>
  <c r="AU1986" i="1"/>
  <c r="AU1591" i="1"/>
  <c r="AU911" i="1"/>
  <c r="AU1005" i="1"/>
  <c r="AU1590" i="1"/>
  <c r="AU254" i="1"/>
  <c r="AU1236" i="1"/>
  <c r="AU1531" i="1"/>
  <c r="AU1734" i="1"/>
  <c r="AU403" i="1"/>
  <c r="AU1851" i="1"/>
  <c r="AU179" i="1"/>
  <c r="AU1615" i="1"/>
  <c r="AU1362" i="1"/>
  <c r="AU1936" i="1"/>
  <c r="AU647" i="1"/>
  <c r="AU1286" i="1"/>
  <c r="AU1284" i="1"/>
  <c r="AU1988" i="1"/>
  <c r="AU205" i="1"/>
  <c r="AU1348" i="1"/>
  <c r="AU1929" i="1"/>
  <c r="AU321" i="1"/>
  <c r="AU171" i="1"/>
  <c r="AU82" i="1"/>
  <c r="AU1657" i="1"/>
  <c r="AU661" i="1"/>
  <c r="AU1105" i="1"/>
  <c r="AU995" i="1"/>
  <c r="AU472" i="1"/>
  <c r="AU1415" i="1"/>
  <c r="AU1740" i="1"/>
  <c r="AU1507" i="1"/>
  <c r="AU1899" i="1"/>
  <c r="AU1674" i="1"/>
  <c r="AU1455" i="1"/>
  <c r="AU55" i="1"/>
  <c r="AU1086" i="1"/>
  <c r="AU1326" i="1"/>
  <c r="AU768" i="1"/>
  <c r="AU191" i="1"/>
  <c r="AU185" i="1"/>
  <c r="AU824" i="1"/>
  <c r="AU121" i="1"/>
  <c r="AU1954" i="1"/>
  <c r="AU435" i="1"/>
  <c r="AU1477" i="1"/>
  <c r="AU1975" i="1"/>
  <c r="AU842" i="1"/>
  <c r="AU1490" i="1"/>
  <c r="AU1923" i="1"/>
  <c r="AU1640" i="1"/>
  <c r="AU1093" i="1"/>
  <c r="AU232" i="1"/>
  <c r="AU45" i="1"/>
  <c r="AU1054" i="1"/>
  <c r="AU222" i="1"/>
  <c r="AU658" i="1"/>
  <c r="AU1547" i="1"/>
  <c r="AU296" i="1"/>
  <c r="AU1471" i="1"/>
  <c r="AU1200" i="1"/>
  <c r="AU989" i="1"/>
  <c r="AU277" i="1"/>
  <c r="AU573" i="1"/>
  <c r="AU588" i="1"/>
  <c r="AU1428" i="1"/>
  <c r="AU307" i="1"/>
  <c r="AU1564" i="1"/>
  <c r="AU720" i="1"/>
  <c r="AU1327" i="1"/>
  <c r="AU1031" i="1"/>
  <c r="AU1777" i="1"/>
  <c r="AU1967" i="1"/>
  <c r="AU1527" i="1"/>
  <c r="AU1015" i="1"/>
  <c r="AU1669" i="1"/>
  <c r="AU1350" i="1"/>
  <c r="AU332" i="1"/>
  <c r="AU590" i="1"/>
  <c r="AU301" i="1"/>
  <c r="AU1171" i="1"/>
  <c r="AU1298" i="1"/>
  <c r="AU783" i="1"/>
  <c r="AU169" i="1"/>
  <c r="AU252" i="1"/>
  <c r="AU858" i="1"/>
  <c r="AU406" i="1"/>
  <c r="AU1563" i="1"/>
  <c r="AU1059" i="1"/>
  <c r="AU1366" i="1"/>
  <c r="AU1830" i="1"/>
  <c r="AU704" i="1"/>
  <c r="AU826" i="1"/>
  <c r="AU111" i="1"/>
  <c r="AU308" i="1"/>
  <c r="AU557" i="1"/>
  <c r="AU1845" i="1"/>
  <c r="AU1403" i="1"/>
  <c r="AU545" i="1"/>
  <c r="AU397" i="1"/>
  <c r="AU1763" i="1"/>
  <c r="AU1555" i="1"/>
  <c r="AU1224" i="1"/>
  <c r="AU1706" i="1"/>
  <c r="AU1576" i="1"/>
  <c r="AU608" i="1"/>
  <c r="AU684" i="1"/>
  <c r="AU1589" i="1"/>
  <c r="AU698" i="1"/>
  <c r="AU112" i="1"/>
  <c r="AU540" i="1"/>
  <c r="AU223" i="1"/>
  <c r="AU876" i="1"/>
  <c r="AU1752" i="1"/>
  <c r="AU521" i="1"/>
  <c r="AU874" i="1"/>
  <c r="AU1722" i="1"/>
  <c r="AU1651" i="1"/>
  <c r="AU1919" i="1"/>
  <c r="AU1617" i="1"/>
  <c r="AU1789" i="1"/>
  <c r="AU1071" i="1"/>
  <c r="AU1056" i="1"/>
  <c r="AU1231" i="1"/>
  <c r="AU637" i="1"/>
  <c r="AU1920" i="1"/>
  <c r="AU1380" i="1"/>
  <c r="AU947" i="1"/>
  <c r="AU1292" i="1"/>
  <c r="AU1208" i="1"/>
  <c r="AU2000" i="1"/>
  <c r="AU1917" i="1"/>
  <c r="AU1275" i="1"/>
  <c r="AU250" i="1"/>
  <c r="AU1623" i="1"/>
  <c r="AU155" i="1"/>
  <c r="AU1943" i="1"/>
  <c r="AU1786" i="1"/>
  <c r="AU612" i="1"/>
  <c r="AU1665" i="1"/>
  <c r="AU375" i="1"/>
  <c r="AU1713" i="1"/>
  <c r="AU1573" i="1"/>
  <c r="AU786" i="1"/>
  <c r="AU1624" i="1"/>
  <c r="AU920" i="1"/>
  <c r="AU881" i="1"/>
  <c r="AU1216" i="1"/>
  <c r="AU644" i="1"/>
  <c r="AU898" i="1"/>
  <c r="AU963" i="1"/>
  <c r="AU415" i="1"/>
  <c r="AU1864" i="1"/>
  <c r="AU716" i="1"/>
  <c r="AU544" i="1"/>
  <c r="AU837" i="1"/>
  <c r="AU1262" i="1"/>
  <c r="AU1816" i="1"/>
  <c r="AU934" i="1"/>
  <c r="AU1272" i="1"/>
  <c r="AU1808" i="1"/>
  <c r="AU1137" i="1"/>
  <c r="AU1004" i="1"/>
  <c r="AU1682" i="1"/>
  <c r="AU869" i="1"/>
  <c r="AU1997" i="1"/>
  <c r="AU1413" i="1"/>
  <c r="AU1070" i="1"/>
  <c r="AU1442" i="1"/>
  <c r="AU474" i="1"/>
  <c r="AU1474" i="1"/>
  <c r="AU1695" i="1"/>
  <c r="AU879" i="1"/>
  <c r="AU1496" i="1"/>
  <c r="AU74" i="1"/>
  <c r="AU1647" i="1"/>
  <c r="AU938" i="1"/>
  <c r="AU1645" i="1"/>
  <c r="AU487" i="1"/>
  <c r="AU310" i="1"/>
  <c r="AU1339" i="1"/>
  <c r="AU862" i="1"/>
  <c r="AU541" i="1"/>
  <c r="AU141" i="1"/>
  <c r="AU665" i="1"/>
  <c r="AU258" i="1"/>
  <c r="AU1700" i="1"/>
  <c r="AU1774" i="1"/>
  <c r="AU1247" i="1"/>
  <c r="AU1739" i="1"/>
  <c r="AU763" i="1"/>
  <c r="AU1525" i="1"/>
  <c r="AU818" i="1"/>
  <c r="AU497" i="1"/>
  <c r="AU1524" i="1"/>
  <c r="AU567" i="1"/>
  <c r="AU1502" i="1"/>
  <c r="AU113" i="1"/>
  <c r="AU1269" i="1"/>
  <c r="AU99" i="1"/>
  <c r="AU1614" i="1"/>
  <c r="AU174" i="1"/>
  <c r="AU1834" i="1"/>
  <c r="AU1313" i="1"/>
  <c r="AU945" i="1"/>
  <c r="AU872" i="1"/>
  <c r="AU1306" i="1"/>
  <c r="AU692" i="1"/>
  <c r="AU1411" i="1"/>
  <c r="AU1769" i="1"/>
  <c r="AU1884" i="1"/>
  <c r="AU381" i="1"/>
  <c r="AU758" i="1"/>
  <c r="AU617" i="1"/>
  <c r="AU906" i="1"/>
  <c r="AU209" i="1"/>
  <c r="AU615" i="1"/>
  <c r="AU1222" i="1"/>
  <c r="AU1666" i="1"/>
  <c r="AU247" i="1"/>
  <c r="AU499" i="1"/>
  <c r="AU1469" i="1"/>
  <c r="AU829" i="1"/>
  <c r="AU432" i="1"/>
  <c r="AU1692" i="1"/>
  <c r="AU564" i="1"/>
  <c r="AU1602" i="1"/>
  <c r="AU100" i="1"/>
  <c r="AU1996" i="1"/>
  <c r="AU1170" i="1"/>
  <c r="AU1487" i="1"/>
  <c r="AU954" i="1"/>
  <c r="AU984" i="1"/>
  <c r="AU1007" i="1"/>
  <c r="AU607" i="1"/>
  <c r="AU28" i="1"/>
  <c r="AU407" i="1"/>
  <c r="AU732" i="1"/>
  <c r="AU274" i="1"/>
  <c r="AU126" i="1"/>
  <c r="AU1704" i="1"/>
  <c r="AU1414" i="1"/>
  <c r="AU109" i="1"/>
  <c r="AU864" i="1"/>
  <c r="AU1462" i="1"/>
  <c r="AU1044" i="1"/>
  <c r="AU708" i="1"/>
  <c r="AU688" i="1"/>
  <c r="AU1296" i="1"/>
  <c r="AU729" i="1"/>
  <c r="AU1778" i="1"/>
  <c r="AU1304" i="1"/>
  <c r="AU1511" i="1"/>
  <c r="AU566" i="1"/>
  <c r="AU1885" i="1"/>
  <c r="AU904" i="1"/>
  <c r="AU630" i="1"/>
  <c r="AU1549" i="1"/>
  <c r="AU72" i="1"/>
  <c r="AU465" i="1"/>
  <c r="AU727" i="1"/>
  <c r="AU625" i="1"/>
  <c r="AU1039" i="1"/>
  <c r="AU1572" i="1"/>
  <c r="AU1648" i="1"/>
  <c r="AU714" i="1"/>
  <c r="AU1497" i="1"/>
  <c r="AU173" i="1"/>
  <c r="AU1084" i="1"/>
  <c r="AU702" i="1"/>
  <c r="AU1976" i="1"/>
  <c r="AU331" i="1"/>
  <c r="AU188" i="1"/>
  <c r="AU150" i="1"/>
  <c r="AU1569" i="1"/>
  <c r="AU1710" i="1"/>
  <c r="AU1149" i="1"/>
  <c r="AU43" i="1"/>
  <c r="AU400" i="1"/>
  <c r="AU433" i="1"/>
  <c r="AU536" i="1"/>
  <c r="AU195" i="1"/>
  <c r="AU1909" i="1"/>
  <c r="AU777" i="1"/>
  <c r="AU1142" i="1"/>
  <c r="AU1565" i="1"/>
  <c r="AU1121" i="1"/>
  <c r="AU1637" i="1"/>
  <c r="AU1214" i="1"/>
  <c r="AU924" i="1"/>
  <c r="AU677" i="1"/>
  <c r="AU1748" i="1"/>
  <c r="AU83" i="1"/>
  <c r="AU1994" i="1"/>
  <c r="AU1483" i="1"/>
  <c r="AU1633" i="1"/>
  <c r="AU216" i="1"/>
  <c r="AU1321" i="1"/>
  <c r="AU1219" i="1"/>
  <c r="AU1766" i="1"/>
  <c r="AU1860" i="1"/>
  <c r="AU1141" i="1"/>
  <c r="AU1926" i="1"/>
  <c r="AU1795" i="1"/>
  <c r="AU717" i="1"/>
  <c r="AU338" i="1"/>
  <c r="AU1697" i="1"/>
  <c r="AU1827" i="1"/>
  <c r="AU811" i="1"/>
  <c r="AU1158" i="1"/>
  <c r="AU358" i="1"/>
  <c r="AU311" i="1"/>
  <c r="AU1793" i="1"/>
  <c r="AU888" i="1"/>
  <c r="AU448" i="1"/>
  <c r="AU58" i="1"/>
  <c r="AU517" i="1"/>
  <c r="AU860" i="1"/>
  <c r="AU1349" i="1"/>
  <c r="AU1972" i="1"/>
  <c r="AU1861" i="1"/>
  <c r="AU396" i="1"/>
  <c r="AU1124" i="1"/>
  <c r="AU428" i="1"/>
  <c r="AU1067" i="1"/>
  <c r="AU225" i="1"/>
  <c r="AU1817" i="1"/>
  <c r="AU59" i="1"/>
  <c r="AU621" i="1"/>
  <c r="AU1438" i="1"/>
  <c r="AU827" i="1"/>
  <c r="AU751" i="1"/>
  <c r="AU515" i="1"/>
  <c r="AU1016" i="1"/>
  <c r="AU978" i="1"/>
  <c r="AU139" i="1"/>
  <c r="AU1126" i="1"/>
  <c r="AU129" i="1"/>
  <c r="AU158" i="1"/>
  <c r="AU1018" i="1"/>
  <c r="AU1393" i="1"/>
  <c r="AU242" i="1"/>
  <c r="AU35" i="1"/>
  <c r="AU1685" i="1"/>
  <c r="AU322" i="1"/>
  <c r="AU1221" i="1"/>
  <c r="AU343" i="1"/>
  <c r="AU719" i="1"/>
  <c r="AU353" i="1"/>
  <c r="AU577" i="1"/>
  <c r="AU1017" i="1"/>
  <c r="AU913" i="1"/>
  <c r="AU980" i="1"/>
  <c r="AU916" i="1"/>
  <c r="AU192" i="1"/>
  <c r="AU496" i="1"/>
  <c r="AU410" i="1"/>
  <c r="AU1837" i="1"/>
  <c r="AU861" i="1"/>
  <c r="AU735" i="1"/>
  <c r="AU1580" i="1"/>
  <c r="AU666" i="1"/>
  <c r="AU1619" i="1"/>
  <c r="AU839" i="1"/>
  <c r="AU1239" i="1"/>
  <c r="AU1271" i="1"/>
  <c r="AU736" i="1"/>
  <c r="AU1261" i="1"/>
  <c r="AU631" i="1"/>
  <c r="AU953" i="1"/>
  <c r="AU117" i="1"/>
  <c r="AU1561" i="1"/>
  <c r="AU1850" i="1"/>
  <c r="AU1027" i="1"/>
  <c r="AU1505" i="1"/>
  <c r="AU1263" i="1"/>
  <c r="AU477" i="1"/>
  <c r="AU902" i="1"/>
  <c r="AU592" i="1"/>
  <c r="AU1735" i="1"/>
  <c r="AU815" i="1"/>
  <c r="AU1360" i="1"/>
  <c r="AU210" i="1"/>
  <c r="AU710" i="1"/>
  <c r="AU955" i="1"/>
  <c r="AU36" i="1"/>
  <c r="AU800" i="1"/>
  <c r="AU866" i="1"/>
  <c r="AU1709" i="1"/>
  <c r="AU703" i="1"/>
  <c r="AU804" i="1"/>
  <c r="AU1520" i="1"/>
  <c r="AU1061" i="1"/>
  <c r="AU452" i="1"/>
  <c r="AU160" i="1"/>
  <c r="AU1213" i="1"/>
  <c r="AU959" i="1"/>
  <c r="AU1688" i="1"/>
  <c r="AU1435" i="1"/>
  <c r="AU489" i="1"/>
  <c r="AU1418" i="1"/>
  <c r="AU1638" i="1"/>
  <c r="AU1400" i="1"/>
  <c r="AU1332" i="1"/>
  <c r="AU187" i="1"/>
  <c r="AU1737" i="1"/>
  <c r="AU1240" i="1"/>
  <c r="AU1160" i="1"/>
  <c r="AU633" i="1"/>
  <c r="AU623" i="1"/>
  <c r="AU1938" i="1"/>
  <c r="AU134" i="1"/>
  <c r="AU385" i="1"/>
  <c r="AU1932" i="1"/>
  <c r="AU1836" i="1"/>
  <c r="AU464" i="1"/>
  <c r="AU389" i="1"/>
  <c r="AU52" i="1"/>
  <c r="AU1542" i="1"/>
  <c r="AU1621" i="1"/>
  <c r="AU853" i="1"/>
  <c r="AU1347" i="1"/>
  <c r="AU102" i="1"/>
  <c r="AU1408" i="1"/>
  <c r="AU580" i="1"/>
  <c r="AU339" i="1"/>
  <c r="AU165" i="1"/>
  <c r="AU999" i="1"/>
  <c r="AU1691" i="1"/>
  <c r="AU172" i="1"/>
  <c r="AU1723" i="1"/>
  <c r="AU1299" i="1"/>
  <c r="AU1501" i="1"/>
  <c r="AU1812" i="1"/>
  <c r="AU53" i="1"/>
  <c r="AU1113" i="1"/>
  <c r="AU1847" i="1"/>
  <c r="AU1013" i="1"/>
  <c r="AU1523" i="1"/>
  <c r="AU1036" i="1"/>
  <c r="AU1401" i="1"/>
  <c r="AU1268" i="1"/>
  <c r="AU765" i="1"/>
  <c r="AU1331" i="1"/>
  <c r="AU384" i="1"/>
  <c r="AU657" i="1"/>
  <c r="AU1574" i="1"/>
  <c r="AU1425" i="1"/>
  <c r="AU1245" i="1"/>
  <c r="AU1000" i="1"/>
  <c r="AU478" i="1"/>
  <c r="AU675" i="1"/>
  <c r="AU1338" i="1"/>
  <c r="AU921" i="1"/>
  <c r="AU1613" i="1"/>
  <c r="AU1008" i="1"/>
  <c r="AU1540" i="1"/>
  <c r="AU1444" i="1"/>
  <c r="AU778" i="1"/>
  <c r="AU1080" i="1"/>
  <c r="AU1177" i="1"/>
  <c r="AU1288" i="1"/>
  <c r="AU1029" i="1"/>
  <c r="AU289" i="1"/>
  <c r="AU990" i="1"/>
  <c r="AU1660" i="1"/>
  <c r="AU295" i="1"/>
  <c r="AU40" i="1"/>
  <c r="AU1512" i="1"/>
  <c r="AU1220" i="1"/>
  <c r="AU971" i="1"/>
  <c r="AU1371" i="1"/>
  <c r="AU922" i="1"/>
  <c r="AU1376" i="1"/>
  <c r="AU1068" i="1"/>
  <c r="AU1652" i="1"/>
  <c r="AU1227" i="1"/>
  <c r="AU549" i="1"/>
  <c r="AU441" i="1"/>
  <c r="AU558" i="1"/>
  <c r="AU1190" i="1"/>
  <c r="AU1656" i="1"/>
  <c r="AU1274" i="1"/>
  <c r="AU1115" i="1"/>
  <c r="AU1980" i="1"/>
  <c r="AU1822" i="1"/>
  <c r="AU215" i="1"/>
  <c r="AU198" i="1"/>
  <c r="AU1676" i="1"/>
  <c r="AU1896" i="1"/>
  <c r="AU33" i="1"/>
  <c r="AU1123" i="1"/>
  <c r="AU1751" i="1"/>
  <c r="AU1881" i="1"/>
  <c r="AU130" i="1"/>
  <c r="AU568" i="1"/>
  <c r="AU1209" i="1"/>
  <c r="AU1667" i="1"/>
  <c r="AU280" i="1"/>
  <c r="AU1993" i="1"/>
  <c r="AU1841" i="1"/>
  <c r="AU1913" i="1"/>
  <c r="AU260" i="1"/>
  <c r="AU1762" i="1"/>
  <c r="AU1571" i="1"/>
  <c r="AU1132" i="1"/>
  <c r="AU930" i="1"/>
  <c r="AU635" i="1"/>
  <c r="AU1849" i="1"/>
  <c r="AU421" i="1"/>
  <c r="AU1605" i="1"/>
  <c r="AU1575" i="1"/>
  <c r="AU721" i="1"/>
  <c r="AU1767" i="1"/>
  <c r="AU437" i="1"/>
  <c r="AU370" i="1"/>
  <c r="AU67" i="1"/>
  <c r="AU1156" i="1"/>
  <c r="AU1333" i="1"/>
  <c r="AU1628" i="1"/>
  <c r="AU1566" i="1"/>
  <c r="AU1765" i="1"/>
  <c r="AU1696" i="1"/>
  <c r="AU646" i="1"/>
  <c r="AU1809" i="1"/>
  <c r="AU1546" i="1"/>
  <c r="AU1853" i="1"/>
  <c r="AU1351" i="1"/>
  <c r="AU553" i="1"/>
  <c r="AU140" i="1"/>
  <c r="AU1680" i="1"/>
  <c r="AU1481" i="1"/>
  <c r="AU1583" i="1"/>
  <c r="AU1663" i="1"/>
  <c r="AU1233" i="1"/>
  <c r="AU1848" i="1"/>
  <c r="AU1217" i="1"/>
  <c r="AU1958" i="1"/>
  <c r="AU1081" i="1"/>
  <c r="AU1329" i="1"/>
  <c r="AU94" i="1"/>
  <c r="AU373" i="1"/>
  <c r="AU854" i="1"/>
  <c r="AU178" i="1"/>
  <c r="AU575" i="1"/>
  <c r="AU610" i="1"/>
  <c r="AU741" i="1"/>
  <c r="AU796" i="1"/>
  <c r="AU1370" i="1"/>
  <c r="AU986" i="1"/>
  <c r="AU1783" i="1"/>
  <c r="AU728" i="1"/>
  <c r="AU606" i="1"/>
  <c r="AU1794" i="1"/>
  <c r="AU1232" i="1"/>
  <c r="AU1458" i="1"/>
  <c r="AU1912" i="1"/>
  <c r="AU956" i="1"/>
  <c r="AU1343" i="1"/>
  <c r="AU511" i="1"/>
  <c r="AU969" i="1"/>
  <c r="AU1281" i="1"/>
  <c r="AU572" i="1"/>
  <c r="AU470" i="1"/>
  <c r="AU493" i="1"/>
  <c r="AU221" i="1"/>
  <c r="AU1798" i="1"/>
  <c r="AU1675" i="1"/>
  <c r="AU994" i="1"/>
  <c r="AU1110" i="1"/>
  <c r="AU1854" i="1"/>
  <c r="AU1545" i="1"/>
  <c r="AU1242" i="1"/>
  <c r="AU914" i="1"/>
  <c r="AU516" i="1"/>
  <c r="AU899" i="1"/>
  <c r="AU1066" i="1"/>
  <c r="AU1072" i="1"/>
  <c r="AU998" i="1"/>
  <c r="AU841" i="1"/>
  <c r="AU632" i="1"/>
  <c r="AU1494" i="1"/>
  <c r="AU1611" i="1"/>
  <c r="AU1894" i="1"/>
  <c r="AU1554" i="1"/>
  <c r="AU1319" i="1"/>
  <c r="AU1843" i="1"/>
  <c r="AU47" i="1"/>
  <c r="AU814" i="1"/>
  <c r="AU859" i="1"/>
  <c r="AU988" i="1"/>
  <c r="AU90" i="1"/>
  <c r="AU1577" i="1"/>
  <c r="AU1925" i="1"/>
  <c r="AU1592" i="1"/>
  <c r="AU713" i="1"/>
  <c r="AU330" i="1"/>
  <c r="AU1118" i="1"/>
  <c r="AU797" i="1"/>
  <c r="AU146" i="1"/>
  <c r="AU1609" i="1"/>
  <c r="AU1314" i="1"/>
  <c r="AU376" i="1"/>
  <c r="AU51" i="1"/>
  <c r="AU686" i="1"/>
  <c r="AU1434" i="1"/>
  <c r="AU1838" i="1"/>
  <c r="AU616" i="1"/>
  <c r="AU116" i="1"/>
  <c r="AU202" i="1"/>
  <c r="AU893" i="1"/>
  <c r="AU723" i="1"/>
  <c r="AU809" i="1"/>
  <c r="AU1420" i="1"/>
  <c r="AU1357" i="1"/>
  <c r="AU29" i="1" l="1"/>
</calcChain>
</file>

<file path=xl/comments1.xml><?xml version="1.0" encoding="utf-8"?>
<comments xmlns="http://schemas.openxmlformats.org/spreadsheetml/2006/main">
  <authors>
    <author>ppeters</author>
  </authors>
  <commentList>
    <comment ref="AA26" authorId="0">
      <text>
        <r>
          <rPr>
            <b/>
            <sz val="9"/>
            <color indexed="81"/>
            <rFont val="Tahoma"/>
            <family val="2"/>
          </rPr>
          <t>ppeters:</t>
        </r>
        <r>
          <rPr>
            <sz val="9"/>
            <color indexed="81"/>
            <rFont val="Tahoma"/>
            <family val="2"/>
          </rPr>
          <t xml:space="preserve">
for porpostiona aa31 should get and copied '=IF(O31=0,AA30,IF(N31&lt;($M$21*V30),$M$21*V30,(N31/O30)*V30))</t>
        </r>
      </text>
    </comment>
    <comment ref="CD29" authorId="0">
      <text>
        <r>
          <rPr>
            <b/>
            <sz val="9"/>
            <color indexed="81"/>
            <rFont val="Tahoma"/>
            <family val="2"/>
          </rPr>
          <t>ppeters:</t>
        </r>
        <r>
          <rPr>
            <sz val="9"/>
            <color indexed="81"/>
            <rFont val="Tahoma"/>
            <family val="2"/>
          </rPr>
          <t xml:space="preserve">
difference between cc and s is the interest on the haircuit</t>
        </r>
      </text>
    </comment>
  </commentList>
</comments>
</file>

<file path=xl/sharedStrings.xml><?xml version="1.0" encoding="utf-8"?>
<sst xmlns="http://schemas.openxmlformats.org/spreadsheetml/2006/main" count="152" uniqueCount="128">
  <si>
    <t>settle dt</t>
  </si>
  <si>
    <t>mtg face amt</t>
  </si>
  <si>
    <t>mtg prepay speed</t>
  </si>
  <si>
    <t>mtg prepay typ</t>
  </si>
  <si>
    <t>default percent</t>
  </si>
  <si>
    <t>default type</t>
  </si>
  <si>
    <t>loss severity</t>
  </si>
  <si>
    <t>recovery lag</t>
  </si>
  <si>
    <t>allow dynamic cashflow calcs</t>
  </si>
  <si>
    <t>prepay speed vector</t>
  </si>
  <si>
    <t>default speed vector</t>
  </si>
  <si>
    <t>scenario name</t>
  </si>
  <si>
    <t>assumption name</t>
  </si>
  <si>
    <t>Y</t>
  </si>
  <si>
    <t>CPR</t>
  </si>
  <si>
    <t>DATE</t>
  </si>
  <si>
    <t>COUPON</t>
  </si>
  <si>
    <t>INTEREST</t>
  </si>
  <si>
    <t>PRINCIPAL</t>
  </si>
  <si>
    <t>BALANCE</t>
  </si>
  <si>
    <t xml:space="preserve"> </t>
  </si>
  <si>
    <t>apply fwd rate</t>
  </si>
  <si>
    <t>insurance wrap</t>
  </si>
  <si>
    <t>LOSS</t>
  </si>
  <si>
    <t>Previous Balance</t>
  </si>
  <si>
    <t>CUSIP</t>
  </si>
  <si>
    <t>Settle</t>
  </si>
  <si>
    <t>Calculation</t>
  </si>
  <si>
    <t>Yield to Discount (BEY)</t>
  </si>
  <si>
    <t>Monthly IRR</t>
  </si>
  <si>
    <t>Daily IRR</t>
  </si>
  <si>
    <t>Total Days</t>
  </si>
  <si>
    <t>PV of Principal</t>
  </si>
  <si>
    <t>PV of Interest</t>
  </si>
  <si>
    <t>PV of P&amp;I</t>
  </si>
  <si>
    <t>Total CF</t>
  </si>
  <si>
    <t>Accured Interest</t>
  </si>
  <si>
    <t>Accrual Days</t>
  </si>
  <si>
    <t>Calculated WAL</t>
  </si>
  <si>
    <t>Dirty Price</t>
  </si>
  <si>
    <t>Clean Price</t>
  </si>
  <si>
    <t>PV Of Loss</t>
  </si>
  <si>
    <t>Yield</t>
  </si>
  <si>
    <t>Price</t>
  </si>
  <si>
    <t>Single Line Formula</t>
  </si>
  <si>
    <t>MTG_INDEX_USED_SUB_PER_SETTLE</t>
  </si>
  <si>
    <t>Macaulay Dur</t>
  </si>
  <si>
    <t>Modified Dur (F16)</t>
  </si>
  <si>
    <t>Use Spread</t>
  </si>
  <si>
    <t>CDR</t>
  </si>
  <si>
    <t>Manual Calculation</t>
  </si>
  <si>
    <t>Bloomberg Calculation</t>
  </si>
  <si>
    <t>VPR</t>
  </si>
  <si>
    <t>SEV</t>
  </si>
  <si>
    <t>1M</t>
  </si>
  <si>
    <t>3M</t>
  </si>
  <si>
    <t>6M</t>
  </si>
  <si>
    <t>Creating Vectors</t>
  </si>
  <si>
    <t>Examples:</t>
  </si>
  <si>
    <t>PREPAY SPEED</t>
  </si>
  <si>
    <t>PREPAY SPEED VECTOR</t>
  </si>
  <si>
    <t>Means</t>
  </si>
  <si>
    <t>1)</t>
  </si>
  <si>
    <t>10 11 12 13</t>
  </si>
  <si>
    <t>Specified values in monthly intervals: 10% first month, 11% second month, 12% third month, etc</t>
  </si>
  <si>
    <t>2)</t>
  </si>
  <si>
    <t>2 12R 20</t>
  </si>
  <si>
    <t>2% first month, ramping up to 20% over a 12 month period</t>
  </si>
  <si>
    <t>3)</t>
  </si>
  <si>
    <t>O 2 4 6</t>
  </si>
  <si>
    <t>O= Starts at Origination,  2%, 4%,  6% in monthly intervals</t>
  </si>
  <si>
    <t>4)</t>
  </si>
  <si>
    <t>O 2 12R 20</t>
  </si>
  <si>
    <t>O= Starts at Origination,  2% ramping over 12 months to 20</t>
  </si>
  <si>
    <t>5)</t>
  </si>
  <si>
    <t>30 15R 20 12S 5</t>
  </si>
  <si>
    <t>30% ramping down to 20% over 15 months, then stepping down to 5% after 12 months</t>
  </si>
  <si>
    <t xml:space="preserve">6) </t>
  </si>
  <si>
    <t>Flat 10% CPR</t>
  </si>
  <si>
    <t>7)</t>
  </si>
  <si>
    <t>4% first month, ramping up to 40% over a 12 month period</t>
  </si>
  <si>
    <t>8)</t>
  </si>
  <si>
    <t>Flat 15% CPR</t>
  </si>
  <si>
    <t>9)</t>
  </si>
  <si>
    <t>NO.</t>
  </si>
  <si>
    <t>Interest Shortfall</t>
  </si>
  <si>
    <t>Date</t>
  </si>
  <si>
    <t>Int. Shortfall</t>
  </si>
  <si>
    <t>Amount</t>
  </si>
  <si>
    <t>Historical Interest Shortfall Field</t>
  </si>
  <si>
    <t xml:space="preserve">Historical interest shortfall. Shortfall is the difference between the amount of expected interest and what was actually paid. Applies to CMO/ABS where provided. </t>
  </si>
  <si>
    <t>Returns columns of date and interest.</t>
  </si>
  <si>
    <t>Interest</t>
  </si>
  <si>
    <t>Principal</t>
  </si>
  <si>
    <t>Haircut</t>
  </si>
  <si>
    <t>Calculations</t>
  </si>
  <si>
    <t>Input</t>
  </si>
  <si>
    <t>Output</t>
  </si>
  <si>
    <t xml:space="preserve">* Please enable solver add-in. Additional step for Excel 2003, please go to Tools -&gt; Solver and click on Solve to fix a bug. </t>
  </si>
  <si>
    <t>h/Cut Interest</t>
  </si>
  <si>
    <t>h/cut Principal</t>
  </si>
  <si>
    <t>Original Amount</t>
  </si>
  <si>
    <t>Historical Cashflows (based on mortgage face amount)</t>
  </si>
  <si>
    <t>Projected Cashflows (based on assumptions)</t>
  </si>
  <si>
    <t>Pay Method</t>
  </si>
  <si>
    <t>new balance</t>
  </si>
  <si>
    <t>last payment row</t>
  </si>
  <si>
    <t>Principle</t>
  </si>
  <si>
    <t>cash flow</t>
  </si>
  <si>
    <t>interest</t>
  </si>
  <si>
    <t>Present Value of money</t>
  </si>
  <si>
    <t>i=prn</t>
  </si>
  <si>
    <t>present value of principle</t>
  </si>
  <si>
    <t>present value of cash flow</t>
  </si>
  <si>
    <t>Factor</t>
  </si>
  <si>
    <t>prin for ave live</t>
  </si>
  <si>
    <t>periods</t>
  </si>
  <si>
    <t>years</t>
  </si>
  <si>
    <t>already paid</t>
  </si>
  <si>
    <t>To be paid</t>
  </si>
  <si>
    <t>cdr</t>
  </si>
  <si>
    <t>interest rate</t>
  </si>
  <si>
    <t>Minimum  pay as % principle</t>
  </si>
  <si>
    <t>Loss</t>
  </si>
  <si>
    <t>Cash Flow without Hair cut</t>
  </si>
  <si>
    <t>Cash Flow</t>
  </si>
  <si>
    <t>=IF(O31=0,AA30,IF(N31&lt;($M$21*V30),$M$21*V30,(N31/O30)*V30))</t>
  </si>
  <si>
    <t>84751nab0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</si>
</sst>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9">
    <numFmt numFmtId="8" formatCode="&quot;$&quot;#,##0.00_);[Red]\(&quot;$&quot;#,##0.00\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(* #,##0_);_(* \(#,##0\);_(* &quot;-&quot;??_);_(@_)"/>
    <numFmt numFmtId="165" formatCode="0.00000%"/>
    <numFmt numFmtId="166" formatCode="_(* #,##0.000_);_(* \(#,##0.000\);_(* &quot;-&quot;??_);_(@_)"/>
    <numFmt numFmtId="167" formatCode="&quot;$&quot;#,##0.00"/>
    <numFmt numFmtId="168" formatCode="&quot;$&quot;#,##0"/>
    <numFmt numFmtId="169" formatCode="0.00000000%"/>
  </numFmts>
  <fonts count="28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8"/>
      <name val="Calibri"/>
      <family val="2"/>
    </font>
    <font>
      <sz val="11"/>
      <name val="Calibri"/>
      <family val="2"/>
    </font>
    <font>
      <sz val="11"/>
      <color indexed="8"/>
      <name val="Calibri"/>
      <family val="2"/>
    </font>
    <font>
      <sz val="11"/>
      <name val="Calibri"/>
      <family val="2"/>
    </font>
    <font>
      <sz val="9"/>
      <color indexed="8"/>
      <name val="Calibri"/>
      <family val="2"/>
    </font>
    <font>
      <i/>
      <sz val="11"/>
      <color indexed="8"/>
      <name val="Calibri"/>
      <family val="2"/>
    </font>
    <font>
      <sz val="10"/>
      <name val="Arial"/>
      <family val="2"/>
    </font>
    <font>
      <b/>
      <sz val="10"/>
      <name val="Arial"/>
      <family val="2"/>
    </font>
    <font>
      <b/>
      <i/>
      <sz val="10"/>
      <name val="Arial"/>
      <family val="2"/>
    </font>
    <font>
      <i/>
      <sz val="11"/>
      <name val="Calibri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i/>
      <sz val="11"/>
      <color indexed="10"/>
      <name val="Calibri"/>
      <family val="2"/>
    </font>
    <font>
      <i/>
      <sz val="11"/>
      <color indexed="8"/>
      <name val="Calibri"/>
      <family val="2"/>
    </font>
    <font>
      <b/>
      <i/>
      <sz val="11"/>
      <color indexed="8"/>
      <name val="Calibri"/>
      <family val="2"/>
    </font>
    <font>
      <sz val="11"/>
      <name val="Calibri"/>
      <family val="2"/>
    </font>
    <font>
      <sz val="11"/>
      <color indexed="9"/>
      <name val="Calibri"/>
      <family val="2"/>
    </font>
    <font>
      <sz val="11"/>
      <color indexed="9"/>
      <name val="Calibri"/>
      <family val="2"/>
    </font>
    <font>
      <b/>
      <sz val="11"/>
      <color indexed="9"/>
      <name val="Calibri"/>
      <family val="2"/>
    </font>
    <font>
      <b/>
      <i/>
      <sz val="11"/>
      <color indexed="9"/>
      <name val="Calibri"/>
      <family val="2"/>
    </font>
    <font>
      <i/>
      <sz val="11"/>
      <color indexed="9"/>
      <name val="Calibri"/>
      <family val="2"/>
    </font>
    <font>
      <sz val="11"/>
      <color rgb="FFF8F8F8"/>
      <name val="Calibri"/>
      <family val="2"/>
    </font>
    <font>
      <sz val="11"/>
      <color rgb="FFF8F8F8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rgb="FF000000"/>
      <name val="Calibri"/>
      <family val="2"/>
    </font>
  </fonts>
  <fills count="13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48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9"/>
        <bgColor indexed="9"/>
      </patternFill>
    </fill>
    <fill>
      <patternFill patternType="solid">
        <fgColor rgb="FFF8F8F8"/>
        <bgColor indexed="64"/>
      </patternFill>
    </fill>
  </fills>
  <borders count="67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double">
        <color indexed="64"/>
      </bottom>
      <diagonal/>
    </border>
    <border>
      <left/>
      <right/>
      <top style="medium">
        <color indexed="64"/>
      </top>
      <bottom style="double">
        <color indexed="64"/>
      </bottom>
      <diagonal/>
    </border>
    <border>
      <left style="thin">
        <color indexed="64"/>
      </left>
      <right/>
      <top style="medium">
        <color indexed="64"/>
      </top>
      <bottom style="double">
        <color indexed="64"/>
      </bottom>
      <diagonal/>
    </border>
    <border>
      <left/>
      <right style="medium">
        <color indexed="64"/>
      </right>
      <top style="medium">
        <color indexed="64"/>
      </top>
      <bottom style="double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hair">
        <color indexed="64"/>
      </left>
      <right style="hair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/>
      <top style="thick">
        <color indexed="64"/>
      </top>
      <bottom style="medium">
        <color indexed="64"/>
      </bottom>
      <diagonal/>
    </border>
    <border>
      <left style="thin">
        <color indexed="64"/>
      </left>
      <right/>
      <top style="thick">
        <color indexed="64"/>
      </top>
      <bottom style="medium">
        <color indexed="64"/>
      </bottom>
      <diagonal/>
    </border>
    <border>
      <left/>
      <right style="thick">
        <color indexed="64"/>
      </right>
      <top style="thick">
        <color indexed="64"/>
      </top>
      <bottom style="medium">
        <color indexed="64"/>
      </bottom>
      <diagonal/>
    </border>
    <border>
      <left style="thick">
        <color indexed="64"/>
      </left>
      <right/>
      <top/>
      <bottom/>
      <diagonal/>
    </border>
    <border>
      <left/>
      <right style="thick">
        <color indexed="64"/>
      </right>
      <top/>
      <bottom/>
      <diagonal/>
    </border>
    <border>
      <left style="medium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 style="thin">
        <color indexed="64"/>
      </left>
      <right/>
      <top style="double">
        <color indexed="64"/>
      </top>
      <bottom/>
      <diagonal/>
    </border>
    <border>
      <left/>
      <right style="medium">
        <color indexed="64"/>
      </right>
      <top style="double">
        <color indexed="64"/>
      </top>
      <bottom/>
      <diagonal/>
    </border>
    <border>
      <left style="thick">
        <color indexed="64"/>
      </left>
      <right/>
      <top style="medium">
        <color indexed="64"/>
      </top>
      <bottom style="double">
        <color indexed="64"/>
      </bottom>
      <diagonal/>
    </border>
    <border>
      <left/>
      <right style="thick">
        <color indexed="64"/>
      </right>
      <top style="medium">
        <color indexed="64"/>
      </top>
      <bottom style="double">
        <color indexed="64"/>
      </bottom>
      <diagonal/>
    </border>
    <border>
      <left style="thick">
        <color indexed="64"/>
      </left>
      <right/>
      <top style="double">
        <color indexed="64"/>
      </top>
      <bottom style="hair">
        <color indexed="64"/>
      </bottom>
      <diagonal/>
    </border>
    <border>
      <left style="thin">
        <color indexed="64"/>
      </left>
      <right style="thick">
        <color indexed="64"/>
      </right>
      <top style="double">
        <color indexed="64"/>
      </top>
      <bottom style="hair">
        <color indexed="64"/>
      </bottom>
      <diagonal/>
    </border>
    <border>
      <left style="thick">
        <color indexed="64"/>
      </left>
      <right/>
      <top/>
      <bottom style="thick">
        <color indexed="64"/>
      </bottom>
      <diagonal/>
    </border>
    <border>
      <left style="thin">
        <color indexed="64"/>
      </left>
      <right style="thick">
        <color indexed="64"/>
      </right>
      <top/>
      <bottom style="thick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ck">
        <color indexed="64"/>
      </top>
      <bottom style="medium">
        <color indexed="64"/>
      </bottom>
      <diagonal/>
    </border>
    <border>
      <left style="thick">
        <color indexed="64"/>
      </left>
      <right/>
      <top style="medium">
        <color indexed="64"/>
      </top>
      <bottom/>
      <diagonal/>
    </border>
    <border>
      <left/>
      <right/>
      <top style="thick">
        <color indexed="64"/>
      </top>
      <bottom/>
      <diagonal/>
    </border>
    <border>
      <left style="hair">
        <color indexed="64"/>
      </left>
      <right/>
      <top/>
      <bottom style="medium">
        <color indexed="64"/>
      </bottom>
      <diagonal/>
    </border>
    <border>
      <left style="hair">
        <color indexed="64"/>
      </left>
      <right/>
      <top/>
      <bottom/>
      <diagonal/>
    </border>
    <border>
      <left style="hair">
        <color indexed="64"/>
      </left>
      <right/>
      <top style="medium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7">
    <xf numFmtId="0" fontId="0" fillId="0" borderId="0"/>
    <xf numFmtId="43" fontId="4" fillId="0" borderId="0" applyFont="0" applyFill="0" applyBorder="0" applyAlignment="0" applyProtection="0"/>
    <xf numFmtId="43" fontId="12" fillId="0" borderId="0" applyFont="0" applyFill="0" applyBorder="0" applyAlignment="0" applyProtection="0"/>
    <xf numFmtId="44" fontId="12" fillId="0" borderId="0" applyFont="0" applyFill="0" applyBorder="0" applyAlignment="0" applyProtection="0"/>
    <xf numFmtId="0" fontId="8" fillId="0" borderId="0"/>
    <xf numFmtId="9" fontId="4" fillId="0" borderId="0" applyFont="0" applyFill="0" applyBorder="0" applyAlignment="0" applyProtection="0"/>
    <xf numFmtId="9" fontId="12" fillId="0" borderId="0" applyFont="0" applyFill="0" applyBorder="0" applyAlignment="0" applyProtection="0"/>
  </cellStyleXfs>
  <cellXfs count="192">
    <xf numFmtId="0" fontId="0" fillId="0" borderId="0" xfId="0"/>
    <xf numFmtId="0" fontId="0" fillId="2" borderId="0" xfId="0" applyFill="1"/>
    <xf numFmtId="0" fontId="0" fillId="2" borderId="0" xfId="0" applyFill="1" applyBorder="1"/>
    <xf numFmtId="0" fontId="0" fillId="2" borderId="0" xfId="0" applyFill="1" applyAlignment="1">
      <alignment horizontal="center"/>
    </xf>
    <xf numFmtId="0" fontId="0" fillId="3" borderId="1" xfId="0" applyFill="1" applyBorder="1"/>
    <xf numFmtId="0" fontId="0" fillId="2" borderId="2" xfId="0" applyFill="1" applyBorder="1"/>
    <xf numFmtId="0" fontId="0" fillId="2" borderId="3" xfId="0" applyFill="1" applyBorder="1"/>
    <xf numFmtId="0" fontId="0" fillId="4" borderId="4" xfId="0" applyFill="1" applyBorder="1"/>
    <xf numFmtId="14" fontId="0" fillId="4" borderId="0" xfId="0" applyNumberFormat="1" applyFill="1" applyBorder="1"/>
    <xf numFmtId="0" fontId="0" fillId="5" borderId="4" xfId="0" applyFill="1" applyBorder="1"/>
    <xf numFmtId="14" fontId="0" fillId="5" borderId="0" xfId="0" applyNumberFormat="1" applyFill="1" applyBorder="1"/>
    <xf numFmtId="0" fontId="0" fillId="2" borderId="1" xfId="0" applyFill="1" applyBorder="1"/>
    <xf numFmtId="2" fontId="4" fillId="5" borderId="4" xfId="1" applyNumberFormat="1" applyFont="1" applyFill="1" applyBorder="1"/>
    <xf numFmtId="0" fontId="0" fillId="5" borderId="5" xfId="0" applyFill="1" applyBorder="1"/>
    <xf numFmtId="2" fontId="0" fillId="5" borderId="0" xfId="0" applyNumberFormat="1" applyFill="1" applyBorder="1" applyAlignment="1">
      <alignment horizontal="center"/>
    </xf>
    <xf numFmtId="2" fontId="0" fillId="4" borderId="0" xfId="0" applyNumberFormat="1" applyFill="1" applyBorder="1" applyAlignment="1">
      <alignment horizontal="center"/>
    </xf>
    <xf numFmtId="0" fontId="0" fillId="4" borderId="0" xfId="0" applyFill="1" applyBorder="1" applyAlignment="1">
      <alignment horizontal="center"/>
    </xf>
    <xf numFmtId="0" fontId="0" fillId="5" borderId="0" xfId="0" applyFill="1" applyBorder="1" applyAlignment="1">
      <alignment horizontal="center"/>
    </xf>
    <xf numFmtId="0" fontId="0" fillId="5" borderId="6" xfId="0" applyFill="1" applyBorder="1" applyAlignment="1">
      <alignment horizontal="center"/>
    </xf>
    <xf numFmtId="168" fontId="4" fillId="5" borderId="0" xfId="1" applyNumberFormat="1" applyFont="1" applyFill="1" applyBorder="1" applyAlignment="1">
      <alignment horizontal="center"/>
    </xf>
    <xf numFmtId="168" fontId="4" fillId="5" borderId="7" xfId="1" applyNumberFormat="1" applyFont="1" applyFill="1" applyBorder="1" applyAlignment="1">
      <alignment horizontal="center"/>
    </xf>
    <xf numFmtId="168" fontId="4" fillId="4" borderId="0" xfId="1" applyNumberFormat="1" applyFont="1" applyFill="1" applyBorder="1" applyAlignment="1">
      <alignment horizontal="center"/>
    </xf>
    <xf numFmtId="168" fontId="0" fillId="4" borderId="0" xfId="0" applyNumberFormat="1" applyFill="1" applyBorder="1" applyAlignment="1">
      <alignment horizontal="center"/>
    </xf>
    <xf numFmtId="168" fontId="0" fillId="5" borderId="0" xfId="0" applyNumberFormat="1" applyFill="1" applyBorder="1" applyAlignment="1">
      <alignment horizontal="center"/>
    </xf>
    <xf numFmtId="168" fontId="0" fillId="5" borderId="6" xfId="0" applyNumberFormat="1" applyFill="1" applyBorder="1" applyAlignment="1">
      <alignment horizontal="center"/>
    </xf>
    <xf numFmtId="168" fontId="0" fillId="2" borderId="0" xfId="0" applyNumberFormat="1" applyFill="1" applyAlignment="1">
      <alignment horizontal="center"/>
    </xf>
    <xf numFmtId="168" fontId="0" fillId="2" borderId="0" xfId="0" applyNumberFormat="1" applyFill="1" applyBorder="1" applyAlignment="1">
      <alignment horizontal="center"/>
    </xf>
    <xf numFmtId="168" fontId="0" fillId="2" borderId="3" xfId="0" applyNumberFormat="1" applyFill="1" applyBorder="1" applyAlignment="1">
      <alignment horizontal="center"/>
    </xf>
    <xf numFmtId="168" fontId="0" fillId="2" borderId="2" xfId="0" applyNumberFormat="1" applyFill="1" applyBorder="1" applyAlignment="1">
      <alignment horizontal="center"/>
    </xf>
    <xf numFmtId="2" fontId="0" fillId="2" borderId="0" xfId="0" applyNumberFormat="1" applyFill="1"/>
    <xf numFmtId="0" fontId="0" fillId="2" borderId="9" xfId="0" applyFill="1" applyBorder="1"/>
    <xf numFmtId="0" fontId="0" fillId="2" borderId="10" xfId="0" applyFill="1" applyBorder="1"/>
    <xf numFmtId="0" fontId="0" fillId="2" borderId="11" xfId="0" applyFill="1" applyBorder="1"/>
    <xf numFmtId="0" fontId="0" fillId="2" borderId="12" xfId="0" applyFill="1" applyBorder="1"/>
    <xf numFmtId="0" fontId="0" fillId="2" borderId="0" xfId="0" applyFill="1" applyBorder="1" applyAlignment="1">
      <alignment horizontal="center"/>
    </xf>
    <xf numFmtId="0" fontId="0" fillId="6" borderId="13" xfId="0" applyFill="1" applyBorder="1"/>
    <xf numFmtId="0" fontId="0" fillId="6" borderId="14" xfId="0" applyFill="1" applyBorder="1"/>
    <xf numFmtId="0" fontId="0" fillId="6" borderId="15" xfId="0" applyFill="1" applyBorder="1"/>
    <xf numFmtId="0" fontId="0" fillId="6" borderId="16" xfId="0" applyFill="1" applyBorder="1"/>
    <xf numFmtId="0" fontId="6" fillId="6" borderId="16" xfId="0" applyFont="1" applyFill="1" applyBorder="1"/>
    <xf numFmtId="0" fontId="0" fillId="7" borderId="1" xfId="0" applyFill="1" applyBorder="1"/>
    <xf numFmtId="0" fontId="0" fillId="8" borderId="4" xfId="0" applyFill="1" applyBorder="1"/>
    <xf numFmtId="14" fontId="0" fillId="8" borderId="0" xfId="0" applyNumberFormat="1" applyFill="1" applyBorder="1"/>
    <xf numFmtId="2" fontId="0" fillId="8" borderId="0" xfId="0" applyNumberFormat="1" applyFill="1" applyBorder="1" applyAlignment="1">
      <alignment horizontal="center"/>
    </xf>
    <xf numFmtId="168" fontId="4" fillId="8" borderId="0" xfId="1" applyNumberFormat="1" applyFont="1" applyFill="1" applyBorder="1" applyAlignment="1">
      <alignment horizontal="center"/>
    </xf>
    <xf numFmtId="168" fontId="4" fillId="8" borderId="7" xfId="1" applyNumberFormat="1" applyFont="1" applyFill="1" applyBorder="1" applyAlignment="1">
      <alignment horizontal="center"/>
    </xf>
    <xf numFmtId="0" fontId="0" fillId="8" borderId="5" xfId="0" applyFill="1" applyBorder="1"/>
    <xf numFmtId="14" fontId="0" fillId="8" borderId="6" xfId="0" applyNumberFormat="1" applyFill="1" applyBorder="1"/>
    <xf numFmtId="2" fontId="0" fillId="8" borderId="6" xfId="0" applyNumberFormat="1" applyFill="1" applyBorder="1" applyAlignment="1">
      <alignment horizontal="center"/>
    </xf>
    <xf numFmtId="168" fontId="4" fillId="8" borderId="6" xfId="1" applyNumberFormat="1" applyFont="1" applyFill="1" applyBorder="1" applyAlignment="1">
      <alignment horizontal="center"/>
    </xf>
    <xf numFmtId="168" fontId="4" fillId="8" borderId="8" xfId="1" applyNumberFormat="1" applyFont="1" applyFill="1" applyBorder="1" applyAlignment="1">
      <alignment horizontal="center"/>
    </xf>
    <xf numFmtId="0" fontId="14" fillId="2" borderId="0" xfId="0" applyFont="1" applyFill="1"/>
    <xf numFmtId="0" fontId="15" fillId="2" borderId="0" xfId="0" applyFont="1" applyFill="1"/>
    <xf numFmtId="0" fontId="13" fillId="2" borderId="0" xfId="0" applyFont="1" applyFill="1"/>
    <xf numFmtId="167" fontId="0" fillId="2" borderId="0" xfId="0" applyNumberFormat="1" applyFill="1" applyAlignment="1">
      <alignment horizontal="center"/>
    </xf>
    <xf numFmtId="0" fontId="8" fillId="0" borderId="17" xfId="4" applyFont="1" applyFill="1" applyBorder="1"/>
    <xf numFmtId="0" fontId="8" fillId="0" borderId="17" xfId="4" applyFill="1" applyBorder="1"/>
    <xf numFmtId="0" fontId="9" fillId="0" borderId="9" xfId="4" applyFont="1" applyFill="1" applyBorder="1"/>
    <xf numFmtId="0" fontId="8" fillId="8" borderId="17" xfId="4" applyFill="1" applyBorder="1"/>
    <xf numFmtId="0" fontId="8" fillId="8" borderId="18" xfId="4" applyFill="1" applyBorder="1"/>
    <xf numFmtId="0" fontId="9" fillId="0" borderId="19" xfId="4" applyFont="1" applyFill="1" applyBorder="1"/>
    <xf numFmtId="0" fontId="8" fillId="0" borderId="20" xfId="4" applyFill="1" applyBorder="1"/>
    <xf numFmtId="0" fontId="8" fillId="8" borderId="20" xfId="4" applyFill="1" applyBorder="1"/>
    <xf numFmtId="0" fontId="8" fillId="8" borderId="20" xfId="4" applyFill="1" applyBorder="1" applyAlignment="1">
      <alignment horizontal="left"/>
    </xf>
    <xf numFmtId="0" fontId="8" fillId="0" borderId="20" xfId="4" applyFill="1" applyBorder="1" applyAlignment="1">
      <alignment horizontal="left"/>
    </xf>
    <xf numFmtId="0" fontId="8" fillId="0" borderId="20" xfId="4" applyFont="1" applyFill="1" applyBorder="1"/>
    <xf numFmtId="0" fontId="8" fillId="8" borderId="21" xfId="4" applyFill="1" applyBorder="1"/>
    <xf numFmtId="0" fontId="8" fillId="0" borderId="20" xfId="4" applyFill="1" applyBorder="1" applyAlignment="1">
      <alignment horizontal="center"/>
    </xf>
    <xf numFmtId="0" fontId="8" fillId="8" borderId="20" xfId="4" applyFill="1" applyBorder="1" applyAlignment="1">
      <alignment horizontal="center"/>
    </xf>
    <xf numFmtId="0" fontId="16" fillId="0" borderId="0" xfId="0" applyFont="1"/>
    <xf numFmtId="0" fontId="0" fillId="2" borderId="22" xfId="0" applyFill="1" applyBorder="1" applyAlignment="1">
      <alignment horizontal="center"/>
    </xf>
    <xf numFmtId="0" fontId="0" fillId="9" borderId="23" xfId="0" applyFill="1" applyBorder="1" applyAlignment="1">
      <alignment horizontal="centerContinuous"/>
    </xf>
    <xf numFmtId="0" fontId="0" fillId="0" borderId="24" xfId="0" applyBorder="1"/>
    <xf numFmtId="0" fontId="0" fillId="0" borderId="25" xfId="0" applyBorder="1"/>
    <xf numFmtId="0" fontId="0" fillId="0" borderId="0" xfId="0" applyBorder="1"/>
    <xf numFmtId="0" fontId="0" fillId="0" borderId="26" xfId="0" applyBorder="1"/>
    <xf numFmtId="0" fontId="0" fillId="0" borderId="17" xfId="0" applyBorder="1"/>
    <xf numFmtId="0" fontId="0" fillId="0" borderId="18" xfId="0" applyBorder="1"/>
    <xf numFmtId="0" fontId="0" fillId="0" borderId="27" xfId="0" applyBorder="1"/>
    <xf numFmtId="0" fontId="0" fillId="0" borderId="28" xfId="0" applyBorder="1"/>
    <xf numFmtId="0" fontId="10" fillId="0" borderId="29" xfId="4" applyFont="1" applyFill="1" applyBorder="1"/>
    <xf numFmtId="167" fontId="4" fillId="8" borderId="7" xfId="1" applyNumberFormat="1" applyFont="1" applyFill="1" applyBorder="1" applyAlignment="1">
      <alignment horizontal="center"/>
    </xf>
    <xf numFmtId="167" fontId="4" fillId="8" borderId="8" xfId="1" applyNumberFormat="1" applyFont="1" applyFill="1" applyBorder="1" applyAlignment="1">
      <alignment horizontal="center"/>
    </xf>
    <xf numFmtId="0" fontId="5" fillId="6" borderId="18" xfId="0" applyFont="1" applyFill="1" applyBorder="1"/>
    <xf numFmtId="14" fontId="5" fillId="0" borderId="30" xfId="0" applyNumberFormat="1" applyFont="1" applyFill="1" applyBorder="1" applyAlignment="1">
      <alignment horizontal="center"/>
    </xf>
    <xf numFmtId="168" fontId="0" fillId="2" borderId="31" xfId="0" applyNumberFormat="1" applyFill="1" applyBorder="1" applyAlignment="1">
      <alignment horizontal="center"/>
    </xf>
    <xf numFmtId="168" fontId="0" fillId="2" borderId="32" xfId="0" applyNumberFormat="1" applyFill="1" applyBorder="1" applyAlignment="1">
      <alignment horizontal="center"/>
    </xf>
    <xf numFmtId="14" fontId="4" fillId="5" borderId="17" xfId="1" applyNumberFormat="1" applyFont="1" applyFill="1" applyBorder="1" applyAlignment="1">
      <alignment horizontal="center"/>
    </xf>
    <xf numFmtId="168" fontId="4" fillId="5" borderId="26" xfId="1" applyNumberFormat="1" applyFont="1" applyFill="1" applyBorder="1" applyAlignment="1">
      <alignment horizontal="center"/>
    </xf>
    <xf numFmtId="14" fontId="4" fillId="4" borderId="17" xfId="1" applyNumberFormat="1" applyFont="1" applyFill="1" applyBorder="1" applyAlignment="1">
      <alignment horizontal="center"/>
    </xf>
    <xf numFmtId="168" fontId="4" fillId="4" borderId="26" xfId="1" applyNumberFormat="1" applyFont="1" applyFill="1" applyBorder="1" applyAlignment="1">
      <alignment horizontal="center"/>
    </xf>
    <xf numFmtId="14" fontId="0" fillId="4" borderId="17" xfId="0" applyNumberFormat="1" applyFill="1" applyBorder="1" applyAlignment="1">
      <alignment horizontal="center"/>
    </xf>
    <xf numFmtId="168" fontId="0" fillId="4" borderId="26" xfId="0" applyNumberFormat="1" applyFill="1" applyBorder="1" applyAlignment="1">
      <alignment horizontal="center"/>
    </xf>
    <xf numFmtId="14" fontId="0" fillId="5" borderId="17" xfId="0" applyNumberFormat="1" applyFill="1" applyBorder="1" applyAlignment="1">
      <alignment horizontal="center"/>
    </xf>
    <xf numFmtId="168" fontId="0" fillId="5" borderId="26" xfId="0" applyNumberFormat="1" applyFill="1" applyBorder="1" applyAlignment="1">
      <alignment horizontal="center"/>
    </xf>
    <xf numFmtId="0" fontId="5" fillId="6" borderId="33" xfId="0" applyFont="1" applyFill="1" applyBorder="1"/>
    <xf numFmtId="0" fontId="1" fillId="8" borderId="34" xfId="0" applyFont="1" applyFill="1" applyBorder="1" applyAlignment="1">
      <alignment horizontal="center"/>
    </xf>
    <xf numFmtId="0" fontId="0" fillId="2" borderId="35" xfId="0" applyFill="1" applyBorder="1" applyAlignment="1">
      <alignment horizontal="center"/>
    </xf>
    <xf numFmtId="0" fontId="0" fillId="5" borderId="36" xfId="0" applyFill="1" applyBorder="1"/>
    <xf numFmtId="168" fontId="0" fillId="2" borderId="0" xfId="0" applyNumberFormat="1" applyFill="1"/>
    <xf numFmtId="167" fontId="0" fillId="2" borderId="0" xfId="0" applyNumberFormat="1" applyFill="1"/>
    <xf numFmtId="14" fontId="0" fillId="2" borderId="0" xfId="0" applyNumberFormat="1" applyFill="1"/>
    <xf numFmtId="0" fontId="0" fillId="2" borderId="0" xfId="0" applyNumberFormat="1" applyFill="1" applyBorder="1" applyAlignment="1">
      <alignment horizontal="center"/>
    </xf>
    <xf numFmtId="0" fontId="0" fillId="2" borderId="0" xfId="0" applyNumberFormat="1" applyFill="1"/>
    <xf numFmtId="0" fontId="0" fillId="2" borderId="0" xfId="0" applyNumberFormat="1" applyFill="1" applyAlignment="1">
      <alignment horizontal="center"/>
    </xf>
    <xf numFmtId="0" fontId="0" fillId="2" borderId="37" xfId="0" applyFill="1" applyBorder="1"/>
    <xf numFmtId="8" fontId="0" fillId="2" borderId="0" xfId="0" applyNumberFormat="1" applyFill="1"/>
    <xf numFmtId="4" fontId="17" fillId="10" borderId="0" xfId="0" applyNumberFormat="1" applyFont="1" applyFill="1"/>
    <xf numFmtId="0" fontId="17" fillId="10" borderId="0" xfId="0" applyFont="1" applyFill="1"/>
    <xf numFmtId="167" fontId="17" fillId="10" borderId="0" xfId="0" applyNumberFormat="1" applyFont="1" applyFill="1"/>
    <xf numFmtId="4" fontId="0" fillId="2" borderId="0" xfId="0" applyNumberFormat="1" applyFill="1"/>
    <xf numFmtId="0" fontId="18" fillId="2" borderId="0" xfId="0" applyFont="1" applyFill="1" applyBorder="1"/>
    <xf numFmtId="165" fontId="19" fillId="2" borderId="0" xfId="5" applyNumberFormat="1" applyFont="1" applyFill="1" applyBorder="1"/>
    <xf numFmtId="0" fontId="20" fillId="2" borderId="0" xfId="0" applyFont="1" applyFill="1" applyBorder="1"/>
    <xf numFmtId="164" fontId="19" fillId="2" borderId="0" xfId="1" applyNumberFormat="1" applyFont="1" applyFill="1" applyBorder="1" applyAlignment="1">
      <alignment horizontal="center"/>
    </xf>
    <xf numFmtId="164" fontId="18" fillId="2" borderId="0" xfId="0" applyNumberFormat="1" applyFont="1" applyFill="1" applyBorder="1"/>
    <xf numFmtId="43" fontId="19" fillId="2" borderId="0" xfId="1" applyFont="1" applyFill="1" applyBorder="1"/>
    <xf numFmtId="166" fontId="18" fillId="2" borderId="0" xfId="0" applyNumberFormat="1" applyFont="1" applyFill="1" applyBorder="1"/>
    <xf numFmtId="43" fontId="19" fillId="2" borderId="0" xfId="1" applyNumberFormat="1" applyFont="1" applyFill="1" applyBorder="1"/>
    <xf numFmtId="0" fontId="18" fillId="2" borderId="0" xfId="0" applyNumberFormat="1" applyFont="1" applyFill="1" applyBorder="1"/>
    <xf numFmtId="164" fontId="18" fillId="2" borderId="0" xfId="1" applyNumberFormat="1" applyFont="1" applyFill="1" applyBorder="1"/>
    <xf numFmtId="0" fontId="21" fillId="2" borderId="0" xfId="0" applyFont="1" applyFill="1" applyBorder="1"/>
    <xf numFmtId="168" fontId="18" fillId="2" borderId="0" xfId="0" applyNumberFormat="1" applyFont="1" applyFill="1" applyAlignment="1">
      <alignment horizontal="center"/>
    </xf>
    <xf numFmtId="0" fontId="0" fillId="6" borderId="38" xfId="0" applyFill="1" applyBorder="1"/>
    <xf numFmtId="0" fontId="0" fillId="5" borderId="39" xfId="0" applyFill="1" applyBorder="1"/>
    <xf numFmtId="2" fontId="4" fillId="0" borderId="40" xfId="1" applyNumberFormat="1" applyFont="1" applyFill="1" applyBorder="1" applyAlignment="1">
      <alignment horizontal="center"/>
    </xf>
    <xf numFmtId="0" fontId="0" fillId="2" borderId="41" xfId="0" applyFill="1" applyBorder="1"/>
    <xf numFmtId="0" fontId="0" fillId="2" borderId="42" xfId="0" applyNumberFormat="1" applyFill="1" applyBorder="1" applyAlignment="1">
      <alignment horizontal="center"/>
    </xf>
    <xf numFmtId="43" fontId="5" fillId="2" borderId="0" xfId="1" applyNumberFormat="1" applyFont="1" applyFill="1" applyBorder="1" applyAlignment="1">
      <alignment horizontal="center"/>
    </xf>
    <xf numFmtId="0" fontId="3" fillId="2" borderId="0" xfId="0" applyFont="1" applyFill="1" applyBorder="1"/>
    <xf numFmtId="0" fontId="0" fillId="2" borderId="43" xfId="0" applyFill="1" applyBorder="1"/>
    <xf numFmtId="2" fontId="4" fillId="2" borderId="44" xfId="1" applyNumberFormat="1" applyFont="1" applyFill="1" applyBorder="1" applyAlignment="1">
      <alignment horizontal="center"/>
    </xf>
    <xf numFmtId="0" fontId="0" fillId="2" borderId="45" xfId="0" applyFill="1" applyBorder="1"/>
    <xf numFmtId="2" fontId="0" fillId="2" borderId="46" xfId="0" applyNumberFormat="1" applyFill="1" applyBorder="1" applyAlignment="1">
      <alignment horizontal="center"/>
    </xf>
    <xf numFmtId="0" fontId="18" fillId="11" borderId="0" xfId="0" applyFont="1" applyFill="1" applyBorder="1"/>
    <xf numFmtId="164" fontId="18" fillId="11" borderId="0" xfId="1" applyNumberFormat="1" applyFont="1" applyFill="1" applyBorder="1"/>
    <xf numFmtId="0" fontId="3" fillId="8" borderId="38" xfId="0" applyFont="1" applyFill="1" applyBorder="1" applyAlignment="1">
      <alignment horizontal="centerContinuous"/>
    </xf>
    <xf numFmtId="0" fontId="0" fillId="8" borderId="40" xfId="0" applyFill="1" applyBorder="1" applyAlignment="1">
      <alignment horizontal="centerContinuous"/>
    </xf>
    <xf numFmtId="168" fontId="11" fillId="6" borderId="47" xfId="1" applyNumberFormat="1" applyFont="1" applyFill="1" applyBorder="1" applyAlignment="1">
      <alignment horizontal="center"/>
    </xf>
    <xf numFmtId="0" fontId="15" fillId="6" borderId="48" xfId="0" applyFont="1" applyFill="1" applyBorder="1"/>
    <xf numFmtId="0" fontId="18" fillId="2" borderId="0" xfId="0" applyFont="1" applyFill="1"/>
    <xf numFmtId="2" fontId="18" fillId="2" borderId="0" xfId="0" applyNumberFormat="1" applyFont="1" applyFill="1" applyBorder="1" applyAlignment="1">
      <alignment horizontal="center"/>
    </xf>
    <xf numFmtId="0" fontId="18" fillId="2" borderId="0" xfId="0" applyFont="1" applyFill="1" applyBorder="1" applyAlignment="1">
      <alignment horizontal="center"/>
    </xf>
    <xf numFmtId="10" fontId="19" fillId="2" borderId="0" xfId="5" applyNumberFormat="1" applyFont="1" applyFill="1" applyBorder="1" applyAlignment="1">
      <alignment horizontal="center"/>
    </xf>
    <xf numFmtId="0" fontId="19" fillId="2" borderId="0" xfId="0" applyFont="1" applyFill="1" applyBorder="1"/>
    <xf numFmtId="43" fontId="19" fillId="2" borderId="0" xfId="1" applyNumberFormat="1" applyFont="1" applyFill="1" applyBorder="1" applyAlignment="1">
      <alignment horizontal="center"/>
    </xf>
    <xf numFmtId="0" fontId="0" fillId="2" borderId="0" xfId="0" applyFill="1" applyBorder="1" applyProtection="1"/>
    <xf numFmtId="9" fontId="3" fillId="0" borderId="49" xfId="5" applyFont="1" applyFill="1" applyBorder="1" applyAlignment="1" applyProtection="1">
      <alignment horizontal="center"/>
      <protection locked="0"/>
    </xf>
    <xf numFmtId="9" fontId="3" fillId="0" borderId="50" xfId="5" applyFont="1" applyFill="1" applyBorder="1" applyAlignment="1" applyProtection="1">
      <alignment horizontal="center"/>
      <protection locked="0"/>
    </xf>
    <xf numFmtId="0" fontId="0" fillId="2" borderId="51" xfId="0" applyFill="1" applyBorder="1" applyAlignment="1" applyProtection="1">
      <alignment horizontal="center"/>
      <protection locked="0"/>
    </xf>
    <xf numFmtId="0" fontId="0" fillId="2" borderId="52" xfId="0" applyFill="1" applyBorder="1" applyProtection="1">
      <protection locked="0"/>
    </xf>
    <xf numFmtId="0" fontId="0" fillId="0" borderId="53" xfId="0" applyFill="1" applyBorder="1" applyAlignment="1" applyProtection="1">
      <alignment horizontal="center"/>
      <protection locked="0"/>
    </xf>
    <xf numFmtId="168" fontId="0" fillId="0" borderId="54" xfId="0" applyNumberFormat="1" applyFill="1" applyBorder="1" applyAlignment="1" applyProtection="1">
      <alignment horizontal="center"/>
      <protection locked="0"/>
    </xf>
    <xf numFmtId="0" fontId="0" fillId="0" borderId="55" xfId="0" applyFill="1" applyBorder="1" applyAlignment="1" applyProtection="1">
      <alignment horizontal="center"/>
      <protection locked="0"/>
    </xf>
    <xf numFmtId="0" fontId="0" fillId="0" borderId="54" xfId="0" applyFill="1" applyBorder="1" applyAlignment="1" applyProtection="1">
      <alignment horizontal="center"/>
      <protection locked="0"/>
    </xf>
    <xf numFmtId="0" fontId="0" fillId="0" borderId="56" xfId="0" applyFill="1" applyBorder="1" applyAlignment="1" applyProtection="1">
      <alignment horizontal="center"/>
      <protection locked="0"/>
    </xf>
    <xf numFmtId="0" fontId="0" fillId="0" borderId="30" xfId="0" applyFill="1" applyBorder="1" applyAlignment="1" applyProtection="1">
      <alignment horizontal="center"/>
      <protection locked="0"/>
    </xf>
    <xf numFmtId="2" fontId="0" fillId="0" borderId="57" xfId="0" applyNumberFormat="1" applyFill="1" applyBorder="1" applyAlignment="1" applyProtection="1">
      <alignment horizontal="center"/>
      <protection locked="0"/>
    </xf>
    <xf numFmtId="14" fontId="0" fillId="5" borderId="6" xfId="0" applyNumberFormat="1" applyFill="1" applyBorder="1"/>
    <xf numFmtId="10" fontId="0" fillId="2" borderId="0" xfId="0" applyNumberFormat="1" applyFill="1" applyBorder="1" applyAlignment="1">
      <alignment horizontal="center"/>
    </xf>
    <xf numFmtId="0" fontId="5" fillId="5" borderId="58" xfId="0" applyFont="1" applyFill="1" applyBorder="1"/>
    <xf numFmtId="0" fontId="23" fillId="12" borderId="59" xfId="0" applyFont="1" applyFill="1" applyBorder="1"/>
    <xf numFmtId="43" fontId="23" fillId="12" borderId="59" xfId="1" applyNumberFormat="1" applyFont="1" applyFill="1" applyBorder="1" applyAlignment="1">
      <alignment horizontal="center"/>
    </xf>
    <xf numFmtId="0" fontId="24" fillId="12" borderId="59" xfId="0" applyNumberFormat="1" applyFont="1" applyFill="1" applyBorder="1" applyAlignment="1">
      <alignment horizontal="center"/>
    </xf>
    <xf numFmtId="168" fontId="0" fillId="2" borderId="63" xfId="0" applyNumberFormat="1" applyFill="1" applyBorder="1" applyAlignment="1">
      <alignment horizontal="center"/>
    </xf>
    <xf numFmtId="14" fontId="0" fillId="2" borderId="0" xfId="0" applyNumberFormat="1" applyFill="1" applyBorder="1" applyAlignment="1">
      <alignment horizontal="center"/>
    </xf>
    <xf numFmtId="2" fontId="0" fillId="2" borderId="0" xfId="0" applyNumberFormat="1" applyFill="1" applyBorder="1" applyAlignment="1">
      <alignment horizontal="center"/>
    </xf>
    <xf numFmtId="168" fontId="0" fillId="2" borderId="7" xfId="0" applyNumberFormat="1" applyFill="1" applyBorder="1" applyAlignment="1">
      <alignment horizontal="center"/>
    </xf>
    <xf numFmtId="169" fontId="24" fillId="12" borderId="59" xfId="0" applyNumberFormat="1" applyFont="1" applyFill="1" applyBorder="1" applyAlignment="1">
      <alignment horizontal="center"/>
    </xf>
    <xf numFmtId="0" fontId="0" fillId="2" borderId="64" xfId="0" applyFill="1" applyBorder="1"/>
    <xf numFmtId="168" fontId="4" fillId="5" borderId="24" xfId="1" applyNumberFormat="1" applyFont="1" applyFill="1" applyBorder="1" applyAlignment="1">
      <alignment horizontal="center"/>
    </xf>
    <xf numFmtId="168" fontId="4" fillId="5" borderId="25" xfId="1" applyNumberFormat="1" applyFont="1" applyFill="1" applyBorder="1" applyAlignment="1">
      <alignment horizontal="center"/>
    </xf>
    <xf numFmtId="168" fontId="4" fillId="5" borderId="65" xfId="1" applyNumberFormat="1" applyFont="1" applyFill="1" applyBorder="1" applyAlignment="1">
      <alignment horizontal="center"/>
    </xf>
    <xf numFmtId="168" fontId="4" fillId="5" borderId="66" xfId="1" applyNumberFormat="1" applyFont="1" applyFill="1" applyBorder="1" applyAlignment="1">
      <alignment horizontal="center"/>
    </xf>
    <xf numFmtId="0" fontId="0" fillId="2" borderId="0" xfId="0" quotePrefix="1" applyFill="1"/>
    <xf numFmtId="14" fontId="0" fillId="2" borderId="2" xfId="0" applyNumberFormat="1" applyFill="1" applyBorder="1" applyAlignment="1">
      <alignment horizontal="center"/>
    </xf>
    <xf numFmtId="0" fontId="5" fillId="0" borderId="35" xfId="1" applyNumberFormat="1" applyFont="1" applyFill="1" applyBorder="1" applyAlignment="1">
      <alignment horizontal="center"/>
    </xf>
    <xf numFmtId="2" fontId="22" fillId="2" borderId="0" xfId="0" applyNumberFormat="1" applyFont="1" applyFill="1" applyBorder="1" applyAlignment="1">
      <alignment horizontal="center"/>
    </xf>
    <xf numFmtId="2" fontId="7" fillId="3" borderId="31" xfId="0" applyNumberFormat="1" applyFont="1" applyFill="1" applyBorder="1" applyAlignment="1">
      <alignment horizontal="center"/>
    </xf>
    <xf numFmtId="2" fontId="7" fillId="3" borderId="32" xfId="0" applyNumberFormat="1" applyFont="1" applyFill="1" applyBorder="1" applyAlignment="1">
      <alignment horizontal="center"/>
    </xf>
    <xf numFmtId="0" fontId="8" fillId="8" borderId="61" xfId="4" applyFill="1" applyBorder="1" applyAlignment="1">
      <alignment horizontal="center"/>
    </xf>
    <xf numFmtId="0" fontId="8" fillId="8" borderId="0" xfId="4" applyFill="1" applyBorder="1" applyAlignment="1">
      <alignment horizontal="center"/>
    </xf>
    <xf numFmtId="0" fontId="8" fillId="8" borderId="26" xfId="4" applyFill="1" applyBorder="1" applyAlignment="1">
      <alignment horizontal="center"/>
    </xf>
    <xf numFmtId="0" fontId="8" fillId="8" borderId="60" xfId="4" applyFill="1" applyBorder="1" applyAlignment="1">
      <alignment horizontal="center"/>
    </xf>
    <xf numFmtId="0" fontId="8" fillId="8" borderId="27" xfId="4" applyFill="1" applyBorder="1" applyAlignment="1">
      <alignment horizontal="center"/>
    </xf>
    <xf numFmtId="0" fontId="8" fillId="8" borderId="28" xfId="4" applyFill="1" applyBorder="1" applyAlignment="1">
      <alignment horizontal="center"/>
    </xf>
    <xf numFmtId="0" fontId="8" fillId="0" borderId="61" xfId="4" applyFill="1" applyBorder="1" applyAlignment="1">
      <alignment horizontal="center"/>
    </xf>
    <xf numFmtId="0" fontId="8" fillId="0" borderId="0" xfId="4" applyFill="1" applyBorder="1" applyAlignment="1">
      <alignment horizontal="center"/>
    </xf>
    <xf numFmtId="0" fontId="8" fillId="0" borderId="26" xfId="4" applyFill="1" applyBorder="1" applyAlignment="1">
      <alignment horizontal="center"/>
    </xf>
    <xf numFmtId="0" fontId="9" fillId="0" borderId="62" xfId="4" applyFont="1" applyFill="1" applyBorder="1" applyAlignment="1">
      <alignment horizontal="center"/>
    </xf>
    <xf numFmtId="0" fontId="9" fillId="0" borderId="10" xfId="4" applyFont="1" applyFill="1" applyBorder="1" applyAlignment="1">
      <alignment horizontal="center"/>
    </xf>
    <xf numFmtId="0" fontId="9" fillId="0" borderId="12" xfId="4" applyFont="1" applyFill="1" applyBorder="1" applyAlignment="1">
      <alignment horizontal="center"/>
    </xf>
  </cellXfs>
  <cellStyles count="7">
    <cellStyle name="Comma" xfId="1" builtinId="3"/>
    <cellStyle name="Comma 2" xfId="2"/>
    <cellStyle name="Currency 2" xfId="3"/>
    <cellStyle name="Normal" xfId="0" builtinId="0"/>
    <cellStyle name="Normal 2" xfId="4"/>
    <cellStyle name="Percent" xfId="5" builtinId="5"/>
    <cellStyle name="Percent 2" xfId="6"/>
  </cellStyles>
  <dxfs count="0"/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8F8F8"/>
      <rgbColor rgb="00FF0000"/>
      <rgbColor rgb="00B1D5A9"/>
      <rgbColor rgb="000000FF"/>
      <rgbColor rgb="00FFFF00"/>
      <rgbColor rgb="00E11F1F"/>
      <rgbColor rgb="0000FFFF"/>
      <rgbColor rgb="00800000"/>
      <rgbColor rgb="00008000"/>
      <rgbColor rgb="00000080"/>
      <rgbColor rgb="0025B14A"/>
      <rgbColor rgb="00810000"/>
      <rgbColor rgb="00008080"/>
      <rgbColor rgb="00EEEEEE"/>
      <rgbColor rgb="007D7D7D"/>
      <rgbColor rgb="009999FF"/>
      <rgbColor rgb="00993366"/>
      <rgbColor rgb="00FCD5B4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B8CCE4"/>
      <rgbColor rgb="00CCFFFF"/>
      <rgbColor rgb="00D4E1D1"/>
      <rgbColor rgb="00FF6600"/>
      <rgbColor rgb="00DBE5F1"/>
      <rgbColor rgb="00FF99CC"/>
      <rgbColor rgb="00FFDAFF"/>
      <rgbColor rgb="00FAB882"/>
      <rgbColor rgb="00477AB7"/>
      <rgbColor rgb="0033CCCC"/>
      <rgbColor rgb="0099CC00"/>
      <rgbColor rgb="00FFCC00"/>
      <rgbColor rgb="00E46D0A"/>
      <rgbColor rgb="00FF6600"/>
      <rgbColor rgb="00666699"/>
      <rgbColor rgb="00E0E0E0"/>
      <rgbColor rgb="00003366"/>
      <rgbColor rgb="00649955"/>
      <rgbColor rgb="00003300"/>
      <rgbColor rgb="00333300"/>
      <rgbColor rgb="00993300"/>
      <rgbColor rgb="00E34234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volatileDependencies.xml><?xml version="1.0" encoding="utf-8"?>
<volTypes xmlns="http://schemas.openxmlformats.org/spreadsheetml/2006/main">
  <volType type="realTimeData">
    <main first="bloomberg.rtd">
      <tp t="s">
        <v>Pro Rata</v>
        <stp/>
        <stp>##V3_BDPV12</stp>
        <stp>SURF 2006-BC5 A2A mtge</stp>
        <stp>mtg pay method</stp>
        <stp>[PhilipPetersCF_Model.xlsm]CFT!R26C8_x0000__x0000_</stp>
        <tr r="H26" s="1"/>
      </tp>
    </main>
    <main first="bloomberg.rtd">
      <tp t="s">
        <v>SURF 2006-BC5 A2A</v>
        <stp/>
        <stp>##V3_BDPV12</stp>
        <stp>84751nab0 mtge</stp>
        <stp>name</stp>
        <stp>[PhilipPetersCF_Model.xlsm]CFT!R6C2_x0000__x0000_</stp>
        <tr r="B6" s="1"/>
      </tp>
      <tp>
        <v>200000000</v>
        <stp/>
        <stp>##V3_BDPV12</stp>
        <stp>SURF 2006-BC5 A2A mtge</stp>
        <stp>MTG_ORIG_AMT</stp>
        <stp>[PhilipPetersCF_Model.xlsm]CFT!R26C6_x0000__x0000_</stp>
        <tr r="F26" s="1"/>
      </tp>
    </main>
    <main first="bloomberg.rtd">
      <tp>
        <v>0.18287117619999996</v>
        <stp/>
        <stp>##V3_BDPV12</stp>
        <stp>SURF 2006-BC5 A2A mtge</stp>
        <stp>MTG_FACTOR</stp>
        <stp>[PhilipPetersCF_Model.xlsm]CFT!R19C12_x0000__x0000_</stp>
        <tr r="L19" s="1"/>
      </tp>
    </main>
    <main first="bloomberg.rtd">
      <tp>
        <v>41085</v>
        <stp/>
        <stp>##V3_BDSV12</stp>
        <stp>SURF 2006-BC5 A2A mtge</stp>
        <stp>HIST_INTEREST_SHORTFALL</stp>
        <stp>[PhilipPetersCF_Model.xlsm]CFT!R30C28_x0000__x0000_</stp>
        <stp>cols=2;rows=67</stp>
        <tr r="AB30" s="1"/>
      </tp>
      <tp>
        <v>0.93000000715255737</v>
        <stp/>
        <stp>##V3_BDPV12</stp>
        <stp>SURF 2006-BC5 A2A mtge</stp>
        <stp>mtg vpr 1M</stp>
        <stp>[PhilipPetersCF_Model.xlsm]CFT!R25C5_x0000__x0000_</stp>
        <tr r="E25" s="1"/>
        <tr r="E25" s="1"/>
      </tp>
      <tp>
        <v>10.270000457763672</v>
        <stp/>
        <stp>##V3_BDPV12</stp>
        <stp>SURF 2006-BC5 A2A mtge</stp>
        <stp>mtg cdr 1M</stp>
        <stp>[PhilipPetersCF_Model.xlsm]CFT!R25C6_x0000__x0000_</stp>
        <tr r="F25" s="1"/>
        <tr r="F25" s="1"/>
      </tp>
      <tp>
        <v>81.540000915527344</v>
        <stp/>
        <stp>##V3_BDPV12</stp>
        <stp>SURF 2006-BC5 A2A mtge</stp>
        <stp>mtg sev 1M</stp>
        <stp>[PhilipPetersCF_Model.xlsm]CFT!R25C7_x0000__x0000_</stp>
        <tr r="G25" s="1"/>
        <tr r="G25" s="1"/>
      </tp>
    </main>
  </volType>
</volTypes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volatileDependencies" Target="volatileDependenci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1471354</xdr:colOff>
      <xdr:row>2</xdr:row>
      <xdr:rowOff>47625</xdr:rowOff>
    </xdr:from>
    <xdr:to>
      <xdr:col>16</xdr:col>
      <xdr:colOff>133350</xdr:colOff>
      <xdr:row>4</xdr:row>
      <xdr:rowOff>42332</xdr:rowOff>
    </xdr:to>
    <xdr:sp macro="" textlink="">
      <xdr:nvSpPr>
        <xdr:cNvPr id="3" name="com_bar"/>
        <xdr:cNvSpPr>
          <a:spLocks noChangeArrowheads="1"/>
        </xdr:cNvSpPr>
      </xdr:nvSpPr>
      <xdr:spPr bwMode="auto">
        <a:xfrm>
          <a:off x="1725354" y="428625"/>
          <a:ext cx="11499579" cy="375707"/>
        </a:xfrm>
        <a:prstGeom prst="rect">
          <a:avLst/>
        </a:prstGeom>
        <a:gradFill rotWithShape="1">
          <a:gsLst>
            <a:gs pos="0">
              <a:srgbClr val="477AB7"/>
            </a:gs>
            <a:gs pos="100000">
              <a:srgbClr val="B8CCE4">
                <a:alpha val="74001"/>
              </a:srgbClr>
            </a:gs>
          </a:gsLst>
          <a:lin ang="0" scaled="1"/>
        </a:gradFill>
        <a:ln w="9525">
          <a:solidFill>
            <a:srgbClr val="99CCFF"/>
          </a:solidFill>
          <a:miter lim="800000"/>
          <a:headEnd/>
          <a:tailEnd/>
        </a:ln>
      </xdr:spPr>
      <xdr:txBody>
        <a:bodyPr vertOverflow="clip" wrap="square" lIns="0" tIns="0" rIns="0" bIns="0" anchor="ctr" upright="1"/>
        <a:lstStyle/>
        <a:p>
          <a:pPr algn="ctr" rtl="0">
            <a:defRPr sz="1000"/>
          </a:pPr>
          <a:r>
            <a:rPr lang="en-US" sz="1600" b="1" i="0" u="none" strike="noStrike" baseline="0">
              <a:solidFill>
                <a:schemeClr val="bg1"/>
              </a:solidFill>
              <a:latin typeface="Calibri"/>
              <a:ea typeface="+mn-ea"/>
              <a:cs typeface="+mn-cs"/>
            </a:rPr>
            <a:t>Cash Flow Table (CFT)</a:t>
          </a:r>
        </a:p>
      </xdr:txBody>
    </xdr:sp>
    <xdr:clientData/>
  </xdr:twoCellAnchor>
  <xdr:twoCellAnchor editAs="oneCell">
    <xdr:from>
      <xdr:col>0</xdr:col>
      <xdr:colOff>257175</xdr:colOff>
      <xdr:row>2</xdr:row>
      <xdr:rowOff>57150</xdr:rowOff>
    </xdr:from>
    <xdr:to>
      <xdr:col>1</xdr:col>
      <xdr:colOff>1438275</xdr:colOff>
      <xdr:row>4</xdr:row>
      <xdr:rowOff>76200</xdr:rowOff>
    </xdr:to>
    <xdr:pic>
      <xdr:nvPicPr>
        <xdr:cNvPr id="1584" name="Picture 20" descr="whitebbg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57175" y="438150"/>
          <a:ext cx="1438275" cy="4000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66675</xdr:colOff>
          <xdr:row>9</xdr:row>
          <xdr:rowOff>0</xdr:rowOff>
        </xdr:from>
        <xdr:to>
          <xdr:col>4</xdr:col>
          <xdr:colOff>952500</xdr:colOff>
          <xdr:row>10</xdr:row>
          <xdr:rowOff>142875</xdr:rowOff>
        </xdr:to>
        <xdr:sp macro="" textlink="">
          <xdr:nvSpPr>
            <xdr:cNvPr id="1518" name="Button 494" hidden="1">
              <a:extLst>
                <a:ext uri="{63B3BB69-23CF-44E3-9099-C40C66FF867C}">
                  <a14:compatExt spid="_x0000_s15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Retrieve CF</a:t>
              </a:r>
              <a:endParaRPr lang="en-US"/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0</xdr:row>
          <xdr:rowOff>0</xdr:rowOff>
        </xdr:from>
        <xdr:to>
          <xdr:col>2</xdr:col>
          <xdr:colOff>619125</xdr:colOff>
          <xdr:row>0</xdr:row>
          <xdr:rowOff>0</xdr:rowOff>
        </xdr:to>
        <xdr:sp macro="" textlink="">
          <xdr:nvSpPr>
            <xdr:cNvPr id="2049" name="BackToApp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2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B2:CF2000"/>
  <sheetViews>
    <sheetView showGridLines="0" tabSelected="1" zoomScale="85" zoomScaleNormal="85" workbookViewId="0">
      <selection activeCell="K9" sqref="K9"/>
    </sheetView>
  </sheetViews>
  <sheetFormatPr defaultRowHeight="15" x14ac:dyDescent="0.25"/>
  <cols>
    <col min="1" max="1" width="3.85546875" style="1" customWidth="1"/>
    <col min="2" max="2" width="27.28515625" style="1" customWidth="1"/>
    <col min="3" max="3" width="14.5703125" style="1" customWidth="1"/>
    <col min="4" max="4" width="8.140625" style="1" customWidth="1"/>
    <col min="5" max="5" width="17.140625" style="1" customWidth="1"/>
    <col min="6" max="6" width="13.42578125" style="1" customWidth="1"/>
    <col min="7" max="7" width="13.28515625" style="1" customWidth="1"/>
    <col min="8" max="8" width="14.42578125" style="1" customWidth="1"/>
    <col min="9" max="9" width="4.28515625" style="1" customWidth="1"/>
    <col min="10" max="10" width="4.42578125" style="1" customWidth="1"/>
    <col min="11" max="11" width="15.140625" style="1" customWidth="1"/>
    <col min="12" max="12" width="11.7109375" style="1" customWidth="1"/>
    <col min="13" max="13" width="11.5703125" style="25" customWidth="1"/>
    <col min="14" max="14" width="13.28515625" style="25" customWidth="1"/>
    <col min="15" max="15" width="15.140625" style="25" customWidth="1"/>
    <col min="16" max="16" width="12.7109375" style="25" customWidth="1"/>
    <col min="17" max="17" width="17.42578125" style="1" hidden="1" customWidth="1"/>
    <col min="18" max="18" width="10.42578125" style="1" hidden="1" customWidth="1"/>
    <col min="19" max="19" width="10.42578125" style="1" customWidth="1"/>
    <col min="20" max="20" width="13.28515625" style="1" customWidth="1"/>
    <col min="21" max="21" width="9.85546875" style="1" customWidth="1"/>
    <col min="22" max="22" width="13" style="1" customWidth="1"/>
    <col min="23" max="23" width="9.140625" style="1" customWidth="1"/>
    <col min="24" max="24" width="10.7109375" style="1" hidden="1" customWidth="1"/>
    <col min="25" max="29" width="12.5703125" style="1" hidden="1" customWidth="1"/>
    <col min="30" max="30" width="12.5703125" style="101" hidden="1" customWidth="1"/>
    <col min="31" max="31" width="12.5703125" style="103" hidden="1" customWidth="1"/>
    <col min="32" max="35" width="12.5703125" style="1" hidden="1" customWidth="1"/>
    <col min="36" max="36" width="12.85546875" style="1" customWidth="1"/>
    <col min="37" max="37" width="11.42578125" style="100" hidden="1" customWidth="1"/>
    <col min="38" max="38" width="12.140625" style="1" hidden="1" customWidth="1"/>
    <col min="39" max="39" width="9.140625" style="1" hidden="1" customWidth="1"/>
    <col min="40" max="41" width="10.7109375" style="1" hidden="1" customWidth="1"/>
    <col min="42" max="42" width="9.140625" style="1" hidden="1" customWidth="1"/>
    <col min="43" max="43" width="13.140625" style="1" hidden="1" customWidth="1"/>
    <col min="44" max="44" width="17.7109375" style="1" hidden="1" customWidth="1"/>
    <col min="45" max="45" width="11.140625" style="1" hidden="1" customWidth="1"/>
    <col min="46" max="46" width="1.5703125" style="1" hidden="1" customWidth="1"/>
    <col min="47" max="47" width="15.85546875" style="1" hidden="1" customWidth="1"/>
    <col min="48" max="48" width="11.140625" style="1" hidden="1" customWidth="1"/>
    <col min="49" max="49" width="11.85546875" style="1" hidden="1" customWidth="1"/>
    <col min="50" max="79" width="9.140625" style="1" hidden="1" customWidth="1"/>
    <col min="80" max="80" width="14.42578125" style="1" customWidth="1"/>
    <col min="81" max="81" width="26.140625" style="1" hidden="1" customWidth="1"/>
    <col min="82" max="82" width="14.7109375" style="1" customWidth="1"/>
    <col min="83" max="16384" width="9.140625" style="1"/>
  </cols>
  <sheetData>
    <row r="2" spans="2:20" x14ac:dyDescent="0.25">
      <c r="C2" s="51" t="s">
        <v>98</v>
      </c>
    </row>
    <row r="5" spans="2:20" ht="15.75" thickBot="1" x14ac:dyDescent="0.3"/>
    <row r="6" spans="2:20" ht="15.75" thickBot="1" x14ac:dyDescent="0.3">
      <c r="B6" s="96" t="str">
        <f>_xll.BDP(C7&amp;" mtge","name")&amp; " mtge"</f>
        <v>SURF 2006-BC5 A2A mtge</v>
      </c>
    </row>
    <row r="7" spans="2:20" x14ac:dyDescent="0.25">
      <c r="B7" s="95" t="s">
        <v>25</v>
      </c>
      <c r="C7" s="97" t="s">
        <v>127</v>
      </c>
    </row>
    <row r="8" spans="2:20" ht="18" customHeight="1" thickBot="1" x14ac:dyDescent="0.3">
      <c r="B8" s="83" t="s">
        <v>26</v>
      </c>
      <c r="C8" s="84">
        <f ca="1">WORKDAY(TODAY(),3)</f>
        <v>41113</v>
      </c>
      <c r="F8" s="1">
        <f>65</f>
        <v>65</v>
      </c>
    </row>
    <row r="9" spans="2:20" ht="15.75" thickBot="1" x14ac:dyDescent="0.3">
      <c r="F9" s="1">
        <v>1.2</v>
      </c>
      <c r="R9" s="121" t="s">
        <v>27</v>
      </c>
      <c r="S9" s="121"/>
      <c r="T9" s="2"/>
    </row>
    <row r="10" spans="2:20" x14ac:dyDescent="0.25">
      <c r="B10" s="98" t="s">
        <v>0</v>
      </c>
      <c r="C10" s="151" t="str">
        <f ca="1">TEXT(C8,"yyyymmdd")</f>
        <v>20120723</v>
      </c>
      <c r="F10" s="1">
        <f>F8/F9</f>
        <v>54.166666666666671</v>
      </c>
      <c r="N10" s="26"/>
      <c r="O10" s="26"/>
      <c r="P10" s="26"/>
      <c r="R10" s="111" t="s">
        <v>28</v>
      </c>
      <c r="S10" s="111"/>
      <c r="T10" s="112">
        <f>F17</f>
        <v>0.08</v>
      </c>
    </row>
    <row r="11" spans="2:20" ht="15.75" thickBot="1" x14ac:dyDescent="0.3">
      <c r="B11" s="35" t="s">
        <v>1</v>
      </c>
      <c r="C11" s="152">
        <v>1000000</v>
      </c>
      <c r="G11" s="2"/>
      <c r="H11" s="2"/>
      <c r="J11" s="34"/>
      <c r="N11" s="26"/>
      <c r="O11" s="26"/>
      <c r="P11" s="26"/>
      <c r="R11" s="111" t="s">
        <v>29</v>
      </c>
      <c r="S11" s="111"/>
      <c r="T11" s="112">
        <f>(1+T10/2)^(1/6)-1</f>
        <v>6.5581969365593462E-3</v>
      </c>
    </row>
    <row r="12" spans="2:20" x14ac:dyDescent="0.25">
      <c r="B12" s="36" t="s">
        <v>11</v>
      </c>
      <c r="C12" s="153"/>
      <c r="H12" s="2"/>
      <c r="J12" s="34"/>
      <c r="N12" s="26"/>
      <c r="O12" s="26"/>
      <c r="P12" s="26"/>
      <c r="R12" s="111" t="s">
        <v>30</v>
      </c>
      <c r="S12" s="111"/>
      <c r="T12" s="112">
        <f>(1+T11)^(1/30)-1</f>
        <v>2.1791659122305518E-4</v>
      </c>
    </row>
    <row r="13" spans="2:20" ht="15.75" thickBot="1" x14ac:dyDescent="0.3">
      <c r="B13" s="35" t="s">
        <v>12</v>
      </c>
      <c r="C13" s="154"/>
      <c r="H13" s="2"/>
      <c r="J13" s="34"/>
      <c r="N13" s="26"/>
      <c r="O13" s="26"/>
      <c r="P13" s="26"/>
      <c r="R13" s="113" t="s">
        <v>24</v>
      </c>
      <c r="S13" s="113"/>
      <c r="T13" s="114">
        <f>O30+N30-M30</f>
        <v>165185.77000000002</v>
      </c>
    </row>
    <row r="14" spans="2:20" ht="15.75" thickBot="1" x14ac:dyDescent="0.3">
      <c r="B14" s="36" t="s">
        <v>2</v>
      </c>
      <c r="C14" s="153">
        <v>1.5</v>
      </c>
      <c r="E14" s="140" t="s">
        <v>54</v>
      </c>
      <c r="F14" s="140" t="s">
        <v>55</v>
      </c>
      <c r="G14" s="111" t="s">
        <v>56</v>
      </c>
      <c r="H14" s="111"/>
      <c r="J14" s="34"/>
      <c r="N14" s="26"/>
      <c r="O14" s="26"/>
      <c r="P14" s="26"/>
      <c r="R14" s="111" t="s">
        <v>35</v>
      </c>
      <c r="S14" s="111"/>
      <c r="T14" s="115">
        <f ca="1">SUM(Z30:Z5002)</f>
        <v>52499.388620954865</v>
      </c>
    </row>
    <row r="15" spans="2:20" ht="15.75" thickBot="1" x14ac:dyDescent="0.3">
      <c r="B15" s="37" t="s">
        <v>3</v>
      </c>
      <c r="C15" s="155" t="s">
        <v>14</v>
      </c>
      <c r="E15" s="177" t="s">
        <v>50</v>
      </c>
      <c r="F15" s="177"/>
      <c r="G15" s="140"/>
      <c r="H15" s="140"/>
      <c r="K15" s="178" t="s">
        <v>51</v>
      </c>
      <c r="L15" s="179"/>
      <c r="M15" s="1"/>
      <c r="N15" s="1"/>
      <c r="R15" s="111" t="s">
        <v>37</v>
      </c>
      <c r="S15" s="111"/>
      <c r="T15" s="116">
        <f ca="1">C8-DATE(YEAR(C8),MONTH(C8),1)</f>
        <v>22</v>
      </c>
    </row>
    <row r="16" spans="2:20" ht="15.75" thickBot="1" x14ac:dyDescent="0.3">
      <c r="B16" s="35" t="s">
        <v>9</v>
      </c>
      <c r="C16" s="154"/>
      <c r="E16" s="111" t="s">
        <v>96</v>
      </c>
      <c r="F16" s="111"/>
      <c r="G16" s="111" t="s">
        <v>97</v>
      </c>
      <c r="H16" s="111"/>
      <c r="K16" s="30" t="s">
        <v>96</v>
      </c>
      <c r="L16" s="31"/>
      <c r="M16" s="32" t="s">
        <v>97</v>
      </c>
      <c r="N16" s="33"/>
      <c r="R16" s="111" t="s">
        <v>36</v>
      </c>
      <c r="S16" s="111"/>
      <c r="T16" s="117">
        <f ca="1">(T13*L30%*T15/360)/T13*100</f>
        <v>1.8638888888888889E-2</v>
      </c>
    </row>
    <row r="17" spans="2:84" ht="16.5" thickTop="1" thickBot="1" x14ac:dyDescent="0.3">
      <c r="B17" s="36" t="s">
        <v>4</v>
      </c>
      <c r="C17" s="153">
        <v>10</v>
      </c>
      <c r="D17" s="3" t="s">
        <v>20</v>
      </c>
      <c r="E17" s="111" t="s">
        <v>42</v>
      </c>
      <c r="F17" s="143">
        <v>0.08</v>
      </c>
      <c r="G17" s="111" t="s">
        <v>43</v>
      </c>
      <c r="H17" s="141">
        <f ca="1">T18</f>
        <v>31.7633896847315</v>
      </c>
      <c r="K17" s="130"/>
      <c r="L17" s="131"/>
      <c r="M17" s="132"/>
      <c r="N17" s="133"/>
      <c r="R17" s="111" t="s">
        <v>39</v>
      </c>
      <c r="S17" s="111"/>
      <c r="T17" s="116">
        <f ca="1">T14/T13*100</f>
        <v>31.782028573620391</v>
      </c>
      <c r="U17" s="3"/>
      <c r="V17" s="3"/>
      <c r="W17" s="3"/>
    </row>
    <row r="18" spans="2:84" ht="16.5" thickTop="1" thickBot="1" x14ac:dyDescent="0.3">
      <c r="B18" s="37" t="s">
        <v>5</v>
      </c>
      <c r="C18" s="155" t="s">
        <v>120</v>
      </c>
      <c r="E18" s="111" t="s">
        <v>43</v>
      </c>
      <c r="F18" s="141">
        <v>77</v>
      </c>
      <c r="G18" s="111" t="s">
        <v>42</v>
      </c>
      <c r="H18" s="143">
        <v>5.140978495395257E-2</v>
      </c>
      <c r="K18" s="123" t="s">
        <v>43</v>
      </c>
      <c r="L18" s="157">
        <v>90</v>
      </c>
      <c r="M18" s="124" t="s">
        <v>42</v>
      </c>
      <c r="N18" s="125">
        <f ca="1">XIRR(AW28:AW2000,AV28:AV2000)*100</f>
        <v>9.3028247356414795E-2</v>
      </c>
      <c r="R18" s="111" t="s">
        <v>40</v>
      </c>
      <c r="S18" s="111"/>
      <c r="T18" s="118">
        <f ca="1">T17-T16</f>
        <v>31.7633896847315</v>
      </c>
    </row>
    <row r="19" spans="2:84" ht="16.5" thickTop="1" thickBot="1" x14ac:dyDescent="0.3">
      <c r="B19" s="37" t="s">
        <v>10</v>
      </c>
      <c r="C19" s="155"/>
      <c r="E19" s="111"/>
      <c r="F19" s="111"/>
      <c r="G19" s="136" t="s">
        <v>94</v>
      </c>
      <c r="H19" s="137"/>
      <c r="K19" s="126" t="s">
        <v>114</v>
      </c>
      <c r="L19" s="146">
        <f>_xll.BDP(B6,"MTG_FACTOR")</f>
        <v>0.18287117619999996</v>
      </c>
      <c r="M19" s="26"/>
      <c r="N19" s="127"/>
      <c r="O19" s="54"/>
      <c r="P19" s="104"/>
      <c r="R19" s="111" t="s">
        <v>44</v>
      </c>
      <c r="S19" s="111"/>
      <c r="T19" s="119">
        <f t="array" aca="1" ref="T19" ca="1">SUM(SUM(U30:U502/(1+((1+((1+H18/2)^(1/180)-1))^$R30:R502-1)))+SUM(T30:T502/(1+((1+((1+H18/2)^(1/180)-1))^$R30:R502-1))))/previousBalance*100-T16</f>
        <v>32.475272382808477</v>
      </c>
    </row>
    <row r="20" spans="2:84" ht="15.75" thickBot="1" x14ac:dyDescent="0.3">
      <c r="B20" s="37" t="s">
        <v>6</v>
      </c>
      <c r="C20" s="155">
        <v>75</v>
      </c>
      <c r="E20" s="144" t="s">
        <v>38</v>
      </c>
      <c r="F20" s="145" t="e">
        <f>SUM(U30:U2000*J30:J502/12)/T13</f>
        <v>#VALUE!</v>
      </c>
      <c r="G20" s="138" t="s">
        <v>92</v>
      </c>
      <c r="H20" s="139" t="s">
        <v>93</v>
      </c>
      <c r="K20" s="160" t="s">
        <v>38</v>
      </c>
      <c r="L20" s="176">
        <f ca="1">AY26/AW26</f>
        <v>1.5793939572322442</v>
      </c>
      <c r="M20" s="102"/>
      <c r="N20" s="127"/>
      <c r="O20" s="104"/>
      <c r="P20" s="104"/>
      <c r="R20" s="111" t="s">
        <v>106</v>
      </c>
      <c r="S20" s="111"/>
      <c r="T20" s="120">
        <f>COUNTA(K29:K502)+28</f>
        <v>51</v>
      </c>
    </row>
    <row r="21" spans="2:84" ht="16.5" thickTop="1" thickBot="1" x14ac:dyDescent="0.3">
      <c r="B21" s="35" t="s">
        <v>7</v>
      </c>
      <c r="C21" s="154"/>
      <c r="E21" s="144" t="s">
        <v>46</v>
      </c>
      <c r="F21" s="145" t="e">
        <f ca="1">SUM(Z30:Z2000*J30:J502)/SUM(Z30:Z2000)/12</f>
        <v>#VALUE!</v>
      </c>
      <c r="G21" s="147"/>
      <c r="H21" s="148">
        <v>0.35</v>
      </c>
      <c r="J21" s="2"/>
      <c r="K21" s="161" t="s">
        <v>122</v>
      </c>
      <c r="L21" s="162"/>
      <c r="M21" s="168">
        <v>0</v>
      </c>
      <c r="N21" s="163"/>
      <c r="O21" s="102"/>
      <c r="P21" s="104"/>
      <c r="T21" s="99"/>
    </row>
    <row r="22" spans="2:84" ht="15.75" thickBot="1" x14ac:dyDescent="0.3">
      <c r="B22" s="38" t="s">
        <v>21</v>
      </c>
      <c r="C22" s="156" t="s">
        <v>13</v>
      </c>
      <c r="E22" s="144" t="s">
        <v>47</v>
      </c>
      <c r="F22" s="145" t="e">
        <f ca="1">SUM(Z30:Z2000*J30:J2000)/SUM(Z30:Z2000)/12/(1+F17/2)</f>
        <v>#VALUE!</v>
      </c>
      <c r="G22" s="149"/>
      <c r="H22" s="150">
        <v>21</v>
      </c>
      <c r="K22" s="129"/>
      <c r="L22" s="128"/>
      <c r="M22" s="159"/>
      <c r="N22" s="102"/>
      <c r="O22" s="104"/>
      <c r="P22" s="104"/>
      <c r="AL22" s="1">
        <f>292/12</f>
        <v>24.333333333333332</v>
      </c>
    </row>
    <row r="23" spans="2:84" ht="15.75" thickBot="1" x14ac:dyDescent="0.3">
      <c r="B23" s="39" t="s">
        <v>45</v>
      </c>
      <c r="C23" s="156"/>
      <c r="E23" s="140"/>
      <c r="F23" s="140"/>
      <c r="L23" s="29"/>
      <c r="O23" s="104"/>
      <c r="P23" s="104"/>
      <c r="R23" s="99"/>
      <c r="S23" s="99"/>
      <c r="AF23" s="99"/>
      <c r="AP23" s="1">
        <f>0.32*AT28</f>
        <v>0</v>
      </c>
    </row>
    <row r="24" spans="2:84" ht="15.75" thickBot="1" x14ac:dyDescent="0.3">
      <c r="B24" s="38" t="s">
        <v>22</v>
      </c>
      <c r="C24" s="156"/>
      <c r="E24" s="111" t="s">
        <v>52</v>
      </c>
      <c r="F24" s="111" t="s">
        <v>49</v>
      </c>
      <c r="G24" s="111" t="s">
        <v>53</v>
      </c>
      <c r="H24" s="142" t="s">
        <v>54</v>
      </c>
      <c r="I24" s="140"/>
      <c r="P24" s="104"/>
      <c r="W24" s="100"/>
      <c r="AT24" s="109">
        <f>AT28/(1+((1+$AM$27)^((321-29)*30)-1))</f>
        <v>0</v>
      </c>
      <c r="AX24" s="99"/>
    </row>
    <row r="25" spans="2:84" ht="15.75" thickBot="1" x14ac:dyDescent="0.3">
      <c r="B25" s="38" t="s">
        <v>8</v>
      </c>
      <c r="C25" s="156" t="s">
        <v>13</v>
      </c>
      <c r="E25" s="141">
        <f>IF(LEFT(_xll.BDP($B$6,"mtg vpr " &amp;$H$24),1)="#","NA",_xll.BDP($B$6,"mtg vpr " &amp;$H$24))</f>
        <v>0.93000000715255737</v>
      </c>
      <c r="F25" s="141">
        <f>IF(LEFT(_xll.BDP($B$6,"mtg cdr " &amp;$H$24),1)="#","NA",_xll.BDP($B$6,"mtg cdr " &amp;$H$24))</f>
        <v>10.270000457763672</v>
      </c>
      <c r="G25" s="141">
        <f>IF(LEFT(_xll.BDP($B$6,"mtg sev " &amp;$H$24),1)="#","NA",_xll.BDP($B$6,"mtg sev " &amp;$H$24))</f>
        <v>81.540000915527344</v>
      </c>
      <c r="H25" s="111"/>
      <c r="I25" s="140"/>
      <c r="N25" s="54"/>
      <c r="P25" s="104"/>
      <c r="V25" s="100"/>
      <c r="W25" s="100"/>
      <c r="X25" s="100"/>
      <c r="AA25" s="174" t="s">
        <v>126</v>
      </c>
      <c r="AF25" s="99"/>
      <c r="AM25" s="1">
        <f>(AM27*360)</f>
        <v>3.1600000000000003E-2</v>
      </c>
      <c r="AQ25" s="107">
        <f>10000*L18</f>
        <v>900000</v>
      </c>
    </row>
    <row r="26" spans="2:84" ht="15.75" thickBot="1" x14ac:dyDescent="0.3">
      <c r="E26" s="111" t="s">
        <v>101</v>
      </c>
      <c r="F26" s="120">
        <f>_xll.BDP(cusip,"MTG_ORIG_AMT")</f>
        <v>200000000</v>
      </c>
      <c r="G26" s="134" t="s">
        <v>104</v>
      </c>
      <c r="H26" s="135" t="str">
        <f>_xll.BDP(cusip,"mtg pay method")</f>
        <v>Pro Rata</v>
      </c>
      <c r="I26" s="140"/>
      <c r="M26" s="122"/>
      <c r="N26" s="122">
        <f>N27+M27</f>
        <v>165944.40999999997</v>
      </c>
      <c r="Q26" s="99"/>
      <c r="W26" s="100"/>
      <c r="AF26" s="99"/>
      <c r="AQ26" s="107"/>
      <c r="AS26" s="110">
        <f>AQ25-AQ27</f>
        <v>740799.64100975089</v>
      </c>
      <c r="AT26" s="110">
        <f>AQ27-AQ25</f>
        <v>-740799.64100975089</v>
      </c>
      <c r="AW26" s="99">
        <f>SUM(AW29:AW2000)</f>
        <v>164786.51067560958</v>
      </c>
      <c r="AX26" s="99"/>
      <c r="AY26" s="1">
        <f ca="1">SUMPRODUCT(AX30:AX2000,AZ30:AZ2000)</f>
        <v>260262.81919444446</v>
      </c>
    </row>
    <row r="27" spans="2:84" ht="16.5" thickTop="1" thickBot="1" x14ac:dyDescent="0.3">
      <c r="M27" s="122">
        <f>SUM(M30:M321)</f>
        <v>716.62000000000012</v>
      </c>
      <c r="N27" s="122">
        <f>SUM(N30:N321)</f>
        <v>165227.78999999998</v>
      </c>
      <c r="S27" s="99"/>
      <c r="AA27" s="99">
        <f>SUM(AA30:AA502)</f>
        <v>2615321.3700000178</v>
      </c>
      <c r="AI27" s="99">
        <f>O30-SUM(P30:P2000)</f>
        <v>157291.67000000001</v>
      </c>
      <c r="AJ27" s="25">
        <f>SUM(AJ30:AJ2000)</f>
        <v>164786.51067560958</v>
      </c>
      <c r="AM27" s="105">
        <f>0.0316/360</f>
        <v>8.7777777777777781E-5</v>
      </c>
      <c r="AN27" s="99">
        <f>SUM(AN30:AN2000)</f>
        <v>6819519.394281392</v>
      </c>
      <c r="AQ27" s="107">
        <f>SUM(AQ30:AQ2000)</f>
        <v>159200.35899024911</v>
      </c>
      <c r="AS27" s="100">
        <f>AQ27+AT28</f>
        <v>159200.35899024911</v>
      </c>
      <c r="AT27" s="100">
        <f>P321-AT26</f>
        <v>740799.64100975089</v>
      </c>
      <c r="BA27" s="1" t="s">
        <v>119</v>
      </c>
    </row>
    <row r="28" spans="2:84" ht="16.5" thickTop="1" thickBot="1" x14ac:dyDescent="0.3">
      <c r="B28" s="52" t="s">
        <v>102</v>
      </c>
      <c r="H28" s="71" t="s">
        <v>87</v>
      </c>
      <c r="J28" s="52" t="s">
        <v>103</v>
      </c>
      <c r="R28" s="1" t="s">
        <v>95</v>
      </c>
      <c r="S28" s="25">
        <f>SUM(S30:S2000)</f>
        <v>165944.40999999997</v>
      </c>
      <c r="X28" s="53" t="s">
        <v>48</v>
      </c>
      <c r="Y28" s="53"/>
      <c r="AB28" s="1" t="s">
        <v>85</v>
      </c>
      <c r="AF28" s="99"/>
      <c r="AJ28" s="26" t="s">
        <v>108</v>
      </c>
      <c r="AK28" s="100">
        <f>SUM(AK30:AK2000)</f>
        <v>163477.92618366209</v>
      </c>
      <c r="AL28" s="100">
        <f>SUM(AL30:AL2000)</f>
        <v>647.42970777422249</v>
      </c>
      <c r="AM28" s="1">
        <v>3.16</v>
      </c>
      <c r="AQ28" s="108"/>
      <c r="AS28" s="100">
        <f>AQ27+AT24</f>
        <v>159200.35899024911</v>
      </c>
      <c r="AT28" s="99">
        <f>P321</f>
        <v>0</v>
      </c>
      <c r="AU28" s="109">
        <f>AT27/(1+((1+$AM$27)^(292)*30)-1)</f>
        <v>24068.473505435497</v>
      </c>
      <c r="AV28" s="101">
        <f ca="1">TODAY()</f>
        <v>41108</v>
      </c>
      <c r="AW28" s="100">
        <f>-(L18/100)*L19*amount</f>
        <v>-164584.05857999998</v>
      </c>
      <c r="AX28" s="1" t="s">
        <v>115</v>
      </c>
      <c r="AY28" s="1" t="s">
        <v>116</v>
      </c>
      <c r="AZ28" s="1" t="s">
        <v>117</v>
      </c>
      <c r="CC28" s="25">
        <f>SUM(CC30:CC2000)</f>
        <v>220714.83417560966</v>
      </c>
    </row>
    <row r="29" spans="2:84" ht="15.75" thickBot="1" x14ac:dyDescent="0.3">
      <c r="B29" s="40" t="s">
        <v>84</v>
      </c>
      <c r="C29" s="5" t="s">
        <v>15</v>
      </c>
      <c r="D29" s="5" t="s">
        <v>16</v>
      </c>
      <c r="E29" s="5" t="s">
        <v>17</v>
      </c>
      <c r="F29" s="5" t="s">
        <v>18</v>
      </c>
      <c r="G29" s="6" t="s">
        <v>19</v>
      </c>
      <c r="H29" s="70" t="s">
        <v>88</v>
      </c>
      <c r="J29" s="4" t="s">
        <v>84</v>
      </c>
      <c r="K29" s="5" t="s">
        <v>15</v>
      </c>
      <c r="L29" s="5" t="s">
        <v>16</v>
      </c>
      <c r="M29" s="5" t="s">
        <v>17</v>
      </c>
      <c r="N29" s="5" t="s">
        <v>18</v>
      </c>
      <c r="O29" s="5" t="s">
        <v>19</v>
      </c>
      <c r="P29" s="5" t="s">
        <v>23</v>
      </c>
      <c r="Q29" s="1" t="s">
        <v>121</v>
      </c>
      <c r="R29" s="11" t="s">
        <v>31</v>
      </c>
      <c r="S29" s="169" t="s">
        <v>125</v>
      </c>
      <c r="T29" s="28" t="s">
        <v>99</v>
      </c>
      <c r="U29" s="28" t="s">
        <v>100</v>
      </c>
      <c r="V29" s="28" t="s">
        <v>105</v>
      </c>
      <c r="W29" s="27" t="s">
        <v>33</v>
      </c>
      <c r="X29" s="28" t="s">
        <v>32</v>
      </c>
      <c r="Y29" s="28" t="s">
        <v>41</v>
      </c>
      <c r="Z29" s="27" t="s">
        <v>34</v>
      </c>
      <c r="AA29" s="1" t="s">
        <v>107</v>
      </c>
      <c r="AB29" s="85" t="s">
        <v>86</v>
      </c>
      <c r="AC29" s="86" t="s">
        <v>88</v>
      </c>
      <c r="AF29" s="99"/>
      <c r="AH29" s="1" t="s">
        <v>109</v>
      </c>
      <c r="AJ29" s="28">
        <f>-G148</f>
        <v>0</v>
      </c>
      <c r="AK29" s="28" t="s">
        <v>110</v>
      </c>
      <c r="AL29" s="28" t="s">
        <v>109</v>
      </c>
      <c r="AM29" s="28" t="s">
        <v>111</v>
      </c>
      <c r="AN29" s="28" t="s">
        <v>112</v>
      </c>
      <c r="AO29" s="28"/>
      <c r="AP29" s="28" t="s">
        <v>108</v>
      </c>
      <c r="AQ29" s="28" t="s">
        <v>113</v>
      </c>
      <c r="AR29" s="28"/>
      <c r="AS29" s="28"/>
      <c r="AT29" s="28"/>
      <c r="AU29" s="28">
        <f>SUM(AU30:AU320)</f>
        <v>7774.7413351055648</v>
      </c>
      <c r="AV29" s="175">
        <f>AD30</f>
        <v>41115</v>
      </c>
      <c r="AW29" s="28">
        <f>AJ30</f>
        <v>5200.5145000000002</v>
      </c>
      <c r="AX29" s="28"/>
      <c r="AY29" s="28"/>
      <c r="AZ29" s="28"/>
      <c r="BA29" s="28" t="s">
        <v>118</v>
      </c>
      <c r="BB29" s="28"/>
      <c r="BC29" s="28"/>
      <c r="BD29" s="28"/>
      <c r="BE29" s="28"/>
      <c r="BF29" s="28"/>
      <c r="BG29" s="28"/>
      <c r="BH29" s="28"/>
      <c r="BI29" s="28"/>
      <c r="BJ29" s="28"/>
      <c r="BK29" s="28"/>
      <c r="BL29" s="28"/>
      <c r="BM29" s="28"/>
      <c r="BN29" s="28"/>
      <c r="BO29" s="28"/>
      <c r="BP29" s="28"/>
      <c r="BQ29" s="28"/>
      <c r="BR29" s="28"/>
      <c r="BS29" s="28"/>
      <c r="BT29" s="28"/>
      <c r="BU29" s="28"/>
      <c r="BV29" s="28"/>
      <c r="BW29" s="28"/>
      <c r="BX29" s="28"/>
      <c r="BY29" s="28"/>
      <c r="BZ29" s="28"/>
      <c r="CA29" s="28"/>
      <c r="CB29" s="164" t="s">
        <v>123</v>
      </c>
      <c r="CC29" s="164" t="s">
        <v>124</v>
      </c>
    </row>
    <row r="30" spans="2:84" x14ac:dyDescent="0.25">
      <c r="B30" s="41">
        <v>1</v>
      </c>
      <c r="C30" s="165">
        <v>41085</v>
      </c>
      <c r="D30" s="166">
        <v>0.29899999999999999</v>
      </c>
      <c r="E30" s="26">
        <v>44.096404823441858</v>
      </c>
      <c r="F30" s="26">
        <v>6182.2455650420488</v>
      </c>
      <c r="G30" s="167">
        <v>165227.79728421339</v>
      </c>
      <c r="H30" s="81" t="str">
        <f>IF(ISERROR(VLOOKUP(#REF!,AB:AC,2,0)),"",VLOOKUP(#REF!,AB:AC,2,0))</f>
        <v/>
      </c>
      <c r="J30" s="9">
        <v>1</v>
      </c>
      <c r="K30" s="10">
        <v>41115</v>
      </c>
      <c r="L30" s="14">
        <v>0.30499999999999999</v>
      </c>
      <c r="M30" s="19">
        <v>42.03</v>
      </c>
      <c r="N30" s="19">
        <v>7936.13</v>
      </c>
      <c r="O30" s="19">
        <v>157291.67000000001</v>
      </c>
      <c r="P30" s="170">
        <v>0</v>
      </c>
      <c r="Q30" s="1">
        <f>IF(ROW()&gt;$T$20,Q29,L30)</f>
        <v>0.30499999999999999</v>
      </c>
      <c r="R30" s="12">
        <f ca="1">K30-C8</f>
        <v>2</v>
      </c>
      <c r="S30" s="171">
        <f>N30+M30-P30</f>
        <v>7978.16</v>
      </c>
      <c r="T30" s="19">
        <f>(previousBalance*Q30/1200)*(IF(ROW()-30&lt;$G$22,$G$21,0))</f>
        <v>0</v>
      </c>
      <c r="U30" s="19">
        <f t="shared" ref="U30:U93" si="0">AA30*(IF(ROW()-30&lt;$H$22,$H$21,0))</f>
        <v>2777.6455000000001</v>
      </c>
      <c r="V30" s="19">
        <f>previousBalance+U30+T30-N30+M30</f>
        <v>160069.31550000003</v>
      </c>
      <c r="W30" s="20">
        <f t="shared" ref="W30:W64" ca="1" si="1">(T30)/(1+((1+$T$12)^$R30-1))</f>
        <v>0</v>
      </c>
      <c r="X30" s="19">
        <f t="shared" ref="X30:X64" ca="1" si="2">(U30)/(1+((1+$T$12)^$R30-1))</f>
        <v>2776.4353055185779</v>
      </c>
      <c r="Y30" s="19">
        <f t="shared" ref="Y30:Y64" ca="1" si="3">P30/(1+((1+$T$12)^$R30-1))</f>
        <v>0</v>
      </c>
      <c r="Z30" s="20">
        <f ca="1">W30+X30</f>
        <v>2776.4353055185779</v>
      </c>
      <c r="AA30" s="99">
        <f>N30</f>
        <v>7936.13</v>
      </c>
      <c r="AB30" s="87">
        <f>_xll.BDS(cusip,"HIST_INTEREST_SHORTFALL","cols=2;rows=67")</f>
        <v>41085</v>
      </c>
      <c r="AC30" s="88">
        <v>0</v>
      </c>
      <c r="AD30" s="101">
        <f>K30</f>
        <v>41115</v>
      </c>
      <c r="AE30" s="29">
        <f ca="1">R30</f>
        <v>2</v>
      </c>
      <c r="AF30" s="99">
        <f>SUM(AA30:AA321)</f>
        <v>1632024.3900000046</v>
      </c>
      <c r="AG30" s="1">
        <f t="shared" ref="AG30:AG94" ca="1" si="4">AE30/360</f>
        <v>5.5555555555555558E-3</v>
      </c>
      <c r="AH30" s="99">
        <f>M30</f>
        <v>42.03</v>
      </c>
      <c r="AI30" s="100">
        <f>AA30</f>
        <v>7936.13</v>
      </c>
      <c r="AJ30" s="20">
        <f>-(U30+T30-N30-M30+P30)</f>
        <v>5200.5145000000002</v>
      </c>
      <c r="AK30" s="100">
        <f t="shared" ref="AK30:AK46" si="5">IF(ISERROR(AJ30/(1+(Q30)/1200)^(ROW()-29)),0,AJ30/(1+(Q30)/1200)^(ROW()-29))</f>
        <v>5199.1930384360639</v>
      </c>
      <c r="AL30" s="100">
        <f t="shared" ref="AL30:AL45" si="6">IF(ISERROR((Q30/1200)*O30),0,(Q30/1200)*O30)</f>
        <v>39.978299458333332</v>
      </c>
      <c r="AM30" s="103">
        <f>(AL28/(AA27*290))*1200</f>
        <v>1.0243557488481961E-3</v>
      </c>
      <c r="AN30" s="100">
        <f t="shared" ref="AN30:AN45" si="7">IF(ISERROR(AA30/(1+(Q30)/1200)^(ROW()-29)),0,AA30/(1+(Q30)/1200)^(ROW()-29))</f>
        <v>7934.113412840903</v>
      </c>
      <c r="AO30" s="20">
        <f>-(U30+T30-N30+M30+P30-AH30)</f>
        <v>5158.4845000000005</v>
      </c>
      <c r="AP30" s="1">
        <f>AM27</f>
        <v>8.7777777777777781E-5</v>
      </c>
      <c r="AQ30" s="109">
        <f>AO30/(1+((1+$AM$27)^((ROW()-29)*30)-1))</f>
        <v>5144.9189553239294</v>
      </c>
      <c r="AR30" s="106">
        <f>PV($AP$30/1200,321,AO30,0)</f>
        <v>-1655854.0245081091</v>
      </c>
      <c r="AU30" s="109">
        <f>(($AT$27/(1+((1+$AM$27)^(ROW()-29)*30)-1))/292)*0.32</f>
        <v>27.058798939572572</v>
      </c>
      <c r="AV30" s="101">
        <f t="shared" ref="AV30:AV93" si="8">AD31</f>
        <v>41148</v>
      </c>
      <c r="AW30" s="99">
        <f t="shared" ref="AW30:AW93" si="9">IF(AJ31&lt;0,0,AJ31)</f>
        <v>4914.7273581074578</v>
      </c>
      <c r="AX30" s="1">
        <f ca="1">IF(AG30&gt;0,AA30,0)</f>
        <v>7936.13</v>
      </c>
      <c r="AY30" s="29">
        <f ca="1">AE30</f>
        <v>2</v>
      </c>
      <c r="AZ30" s="1">
        <f ca="1">AY30/360</f>
        <v>5.5555555555555558E-3</v>
      </c>
      <c r="CB30" s="20">
        <f>P30</f>
        <v>0</v>
      </c>
      <c r="CC30" s="172">
        <f>AJ30+U30+T30</f>
        <v>7978.16</v>
      </c>
    </row>
    <row r="31" spans="2:84" x14ac:dyDescent="0.25">
      <c r="B31" s="41">
        <v>2</v>
      </c>
      <c r="C31" s="165">
        <v>41054</v>
      </c>
      <c r="D31" s="166">
        <v>0.29899999999999999</v>
      </c>
      <c r="E31" s="26">
        <v>44.749465884631078</v>
      </c>
      <c r="F31" s="26">
        <v>8336.7983884519053</v>
      </c>
      <c r="G31" s="167">
        <v>171410.04284925543</v>
      </c>
      <c r="H31" s="81" t="str">
        <f>IF(ISERROR(VLOOKUP(#REF!,AB:AC,2,0)),"",VLOOKUP(#REF!,AB:AC,2,0))</f>
        <v/>
      </c>
      <c r="J31" s="7">
        <v>2</v>
      </c>
      <c r="K31" s="8">
        <v>41148</v>
      </c>
      <c r="L31" s="15">
        <v>0.30499999999999999</v>
      </c>
      <c r="M31" s="21">
        <v>44.02</v>
      </c>
      <c r="N31" s="21">
        <v>7492.2</v>
      </c>
      <c r="O31" s="21">
        <v>149799.47</v>
      </c>
      <c r="P31" s="21">
        <v>0</v>
      </c>
      <c r="Q31" s="1">
        <f>IF(M31=0,Q30,(M31*1200)/O30)</f>
        <v>0.33583469486972833</v>
      </c>
      <c r="R31" s="12">
        <f t="shared" ref="R31:R47" ca="1" si="10">IF(ROW()&gt;$T$20,R30+30,DAYS360(K30,K31)+R30)</f>
        <v>34</v>
      </c>
      <c r="S31" s="88">
        <f t="shared" ref="S31:S94" si="11">N31+M31</f>
        <v>7536.22</v>
      </c>
      <c r="T31" s="19">
        <f t="shared" ref="T31:T94" si="12">IF(ISERROR((previousBalance*Q31/1200)*(IF(ROW()-30&lt;$G$22,$G$21,0))),0,(previousBalance*Q31/1200)*(IF(ROW()-30&lt;$G$22,$G$21,0)))</f>
        <v>0</v>
      </c>
      <c r="U31" s="19">
        <f t="shared" si="0"/>
        <v>2622.27</v>
      </c>
      <c r="V31" s="19">
        <f>IF(ISERROR(IF(V30+U31+T31+(V30*Q31/1200)-AA31-P31&lt;0,0,V30+U31+T31-AA31-P31)),0,IF(V30+U31+T31+(V30*Q31/1200)-AA31-CB31&lt;0,0,V30+U31+T31-AA31-CB31))</f>
        <v>155199.3855</v>
      </c>
      <c r="W31" s="20">
        <f t="shared" ca="1" si="1"/>
        <v>0</v>
      </c>
      <c r="X31" s="19">
        <f t="shared" ca="1" si="2"/>
        <v>2602.9150705114207</v>
      </c>
      <c r="Y31" s="19">
        <f t="shared" ca="1" si="3"/>
        <v>0</v>
      </c>
      <c r="Z31" s="20">
        <f t="shared" ref="Z31:Z47" ca="1" si="13">W31+X31</f>
        <v>2602.9150705114207</v>
      </c>
      <c r="AA31" s="1">
        <f>IF(S31=0,AA30,N31)</f>
        <v>7492.2</v>
      </c>
      <c r="AB31" s="89">
        <v>41054</v>
      </c>
      <c r="AC31" s="90">
        <v>0</v>
      </c>
      <c r="AD31" s="101">
        <f>IF(M31=0,AD30+30,K31)</f>
        <v>41148</v>
      </c>
      <c r="AE31" s="103">
        <f ca="1">IF(M31=0,AE30+30,R31)</f>
        <v>34</v>
      </c>
      <c r="AF31" s="1">
        <f ca="1">SUMPRODUCT(AI30:AI321,AG30:AG321)</f>
        <v>260262.81919444446</v>
      </c>
      <c r="AG31" s="1">
        <f t="shared" ca="1" si="4"/>
        <v>9.4444444444444442E-2</v>
      </c>
      <c r="AH31" s="1">
        <f t="shared" ref="AH31:AH45" si="14">IF(ISERROR(IF(V30+U31+T31+(V30*Q31/1200)-AA31-P31&lt;0,0,(V30*Q31/1200))),0,IF(V30+U31+T31+(V30*Q31/1200)-AA31-P31&lt;0,0,(V30*Q31/1200)))</f>
        <v>44.79735810745732</v>
      </c>
      <c r="AI31" s="1">
        <f>IF(M31-1=0,IF(M31=0,IF(V31=0,N31,AI30),AA31),AA31)</f>
        <v>7492.2</v>
      </c>
      <c r="AJ31" s="20">
        <f t="shared" ref="AJ31:AJ38" si="15">IF(ISERROR(IF(V30+U31+T31+(V30*Q31/1200)-AA31-P31&lt;0,V30,-(U31+T31-AA31+P31-AH31))),0,IF(V30+U31+T31+(V30*Q31/1200)-AA31-P31&lt;0,0,-(U31+T31-AA31-AH31)))</f>
        <v>4914.7273581074578</v>
      </c>
      <c r="AK31" s="100">
        <f t="shared" si="5"/>
        <v>4911.9776192123163</v>
      </c>
      <c r="AL31" s="100">
        <f t="shared" si="6"/>
        <v>41.923216082580851</v>
      </c>
      <c r="AM31" s="103">
        <f>(AL28/(AN27*290))*1200</f>
        <v>3.9284578949824376E-4</v>
      </c>
      <c r="AN31" s="100">
        <f t="shared" si="7"/>
        <v>7488.0081919404547</v>
      </c>
      <c r="AO31" s="20">
        <f t="shared" ref="AO31:AO45" si="16">IF(ISERROR(V30+U31+T31+(V30*Q31/1200)-AA31-P31),0,IF(V30+U31+T31+(V30*Q31/1200)-AA31-P31&lt;0,V30,-(U31+T31-AA31+P31-AH31)))</f>
        <v>4914.7273581074578</v>
      </c>
      <c r="AQ31" s="109">
        <f t="shared" ref="AQ31:AQ94" si="17">AO31/(1+((1+$AM$27)^((ROW()-29)*30)-1))</f>
        <v>4888.9122996547603</v>
      </c>
      <c r="AU31" s="109">
        <f t="shared" ref="AU31:AU94" si="18">(($AT$27/(1+((1+$AM$27)^(ROW()-29)*30)-1))/292)*0.32</f>
        <v>27.056423986800397</v>
      </c>
      <c r="AV31" s="101">
        <f t="shared" si="8"/>
        <v>41177</v>
      </c>
      <c r="AW31" s="99">
        <f t="shared" si="9"/>
        <v>5231.5761322920234</v>
      </c>
      <c r="AX31" s="1">
        <f t="shared" ref="AX31:AX94" ca="1" si="19">IF(AG31&gt;0,AA31,0)</f>
        <v>7492.2</v>
      </c>
      <c r="AY31" s="29">
        <f t="shared" ref="AY31:AY94" ca="1" si="20">AE31</f>
        <v>34</v>
      </c>
      <c r="AZ31" s="1">
        <f t="shared" ref="AZ31:AZ94" ca="1" si="21">AY31/360</f>
        <v>9.4444444444444442E-2</v>
      </c>
      <c r="CB31" s="20">
        <f t="shared" ref="CB31:CB48" si="22">IF(O31=0,IF(P31&gt;0,V30,IF(O30=0,0,P31)),IF(O30=0,0,P31))</f>
        <v>0</v>
      </c>
      <c r="CC31" s="173">
        <f t="shared" ref="CC31:CC94" si="23">AJ31+U31+T31</f>
        <v>7536.9973581074573</v>
      </c>
      <c r="CD31" s="100"/>
      <c r="CE31" s="99"/>
      <c r="CF31" s="99"/>
    </row>
    <row r="32" spans="2:84" x14ac:dyDescent="0.25">
      <c r="B32" s="41">
        <v>3</v>
      </c>
      <c r="C32" s="165">
        <v>41024</v>
      </c>
      <c r="D32" s="166">
        <v>0.30199999999999999</v>
      </c>
      <c r="E32" s="26">
        <v>46.777984044553619</v>
      </c>
      <c r="F32" s="26">
        <v>6279.9292247125377</v>
      </c>
      <c r="G32" s="167">
        <v>179746.84123770733</v>
      </c>
      <c r="H32" s="81" t="str">
        <f>IF(ISERROR(VLOOKUP(#REF!,AB:AC,2,0)),"",VLOOKUP(#REF!,AB:AC,2,0))</f>
        <v/>
      </c>
      <c r="J32" s="9">
        <v>3</v>
      </c>
      <c r="K32" s="10">
        <v>41177</v>
      </c>
      <c r="L32" s="14">
        <v>0.378</v>
      </c>
      <c r="M32" s="19">
        <v>45.61</v>
      </c>
      <c r="N32" s="19">
        <v>7975.88</v>
      </c>
      <c r="O32" s="19">
        <v>141823.59</v>
      </c>
      <c r="P32" s="19">
        <v>0</v>
      </c>
      <c r="Q32" s="1">
        <f t="shared" ref="Q32:Q95" si="24">IF(M32=0,Q31,(M32*1200)/O31)</f>
        <v>0.36536844890038661</v>
      </c>
      <c r="R32" s="12">
        <f t="shared" ca="1" si="10"/>
        <v>62</v>
      </c>
      <c r="S32" s="88">
        <f t="shared" si="11"/>
        <v>8021.49</v>
      </c>
      <c r="T32" s="19">
        <f t="shared" si="12"/>
        <v>0</v>
      </c>
      <c r="U32" s="19">
        <f t="shared" si="0"/>
        <v>2791.558</v>
      </c>
      <c r="V32" s="19">
        <f>IF(ISERROR(IF(V31+U32+T32+(V31*Q32/1200)-AA32-P32&lt;0,0,V31+U32+T32-AA32-P32)),0,IF(V31+U32+T32+(V31*Q32/1200)-AA32-CB32&lt;0,0,V31+U32+T32-AA32-CB32))</f>
        <v>150015.06349999999</v>
      </c>
      <c r="W32" s="20">
        <f t="shared" ca="1" si="1"/>
        <v>0</v>
      </c>
      <c r="X32" s="19">
        <f t="shared" ca="1" si="2"/>
        <v>2754.0994373143208</v>
      </c>
      <c r="Y32" s="19">
        <f t="shared" ca="1" si="3"/>
        <v>0</v>
      </c>
      <c r="Z32" s="20">
        <f t="shared" ca="1" si="13"/>
        <v>2754.0994373143208</v>
      </c>
      <c r="AA32" s="1">
        <f t="shared" ref="AA32:AA95" si="25">IF(S32=0,AA31,N32)</f>
        <v>7975.88</v>
      </c>
      <c r="AB32" s="87">
        <v>41024</v>
      </c>
      <c r="AC32" s="88">
        <v>0</v>
      </c>
      <c r="AD32" s="101">
        <f t="shared" ref="AD32:AD95" si="26">IF(M32=0,AD31+30,K32)</f>
        <v>41177</v>
      </c>
      <c r="AE32" s="103">
        <f t="shared" ref="AE32:AE95" ca="1" si="27">IF(V32=0,0,R32)</f>
        <v>62</v>
      </c>
      <c r="AG32" s="1">
        <f t="shared" ca="1" si="4"/>
        <v>0.17222222222222222</v>
      </c>
      <c r="AH32" s="1">
        <f t="shared" si="14"/>
        <v>47.254132292023456</v>
      </c>
      <c r="AI32" s="1">
        <f t="shared" ref="AI32:AI95" si="28">IF(M32-1=0,IF(M32=0,IF(V32=0,N32,AI31),AA32),AA32)</f>
        <v>7975.88</v>
      </c>
      <c r="AJ32" s="20">
        <f t="shared" si="15"/>
        <v>5231.5761322920234</v>
      </c>
      <c r="AK32" s="100">
        <f t="shared" si="5"/>
        <v>5226.8004086098226</v>
      </c>
      <c r="AL32" s="100">
        <f t="shared" si="6"/>
        <v>43.181554246486982</v>
      </c>
      <c r="AN32" s="100">
        <f t="shared" si="7"/>
        <v>7968.5990968765082</v>
      </c>
      <c r="AO32" s="20">
        <f t="shared" si="16"/>
        <v>5231.5761322920234</v>
      </c>
      <c r="AQ32" s="109">
        <f t="shared" si="17"/>
        <v>5190.4113026580308</v>
      </c>
      <c r="AU32" s="109">
        <f t="shared" si="18"/>
        <v>27.054049242478005</v>
      </c>
      <c r="AV32" s="101">
        <f t="shared" si="8"/>
        <v>41207</v>
      </c>
      <c r="AW32" s="99">
        <f t="shared" si="9"/>
        <v>5436.1260305528513</v>
      </c>
      <c r="AX32" s="1">
        <f t="shared" ca="1" si="19"/>
        <v>7975.88</v>
      </c>
      <c r="AY32" s="29">
        <f t="shared" ca="1" si="20"/>
        <v>62</v>
      </c>
      <c r="AZ32" s="1">
        <f t="shared" ca="1" si="21"/>
        <v>0.17222222222222222</v>
      </c>
      <c r="CB32" s="20">
        <f t="shared" si="22"/>
        <v>0</v>
      </c>
      <c r="CC32" s="173">
        <f t="shared" si="23"/>
        <v>8023.1341322920234</v>
      </c>
      <c r="CD32" s="100"/>
      <c r="CE32" s="99"/>
      <c r="CF32" s="99"/>
    </row>
    <row r="33" spans="2:84" x14ac:dyDescent="0.25">
      <c r="B33" s="41">
        <v>4</v>
      </c>
      <c r="C33" s="165">
        <v>40994</v>
      </c>
      <c r="D33" s="166">
        <v>0.30399999999999999</v>
      </c>
      <c r="E33" s="26">
        <v>44.603874436878364</v>
      </c>
      <c r="F33" s="26">
        <v>2617.4801357093129</v>
      </c>
      <c r="G33" s="167">
        <v>186026.77046241987</v>
      </c>
      <c r="H33" s="81" t="str">
        <f>IF(ISERROR(VLOOKUP(#REF!,AB:AC,2,0)),"",VLOOKUP(#REF!,AB:AC,2,0))</f>
        <v/>
      </c>
      <c r="J33" s="7">
        <v>4</v>
      </c>
      <c r="K33" s="8">
        <v>41207</v>
      </c>
      <c r="L33" s="15">
        <v>0.58199999999999996</v>
      </c>
      <c r="M33" s="21">
        <v>68.77</v>
      </c>
      <c r="N33" s="21">
        <v>8251.36</v>
      </c>
      <c r="O33" s="21">
        <v>133572.22</v>
      </c>
      <c r="P33" s="21">
        <v>0</v>
      </c>
      <c r="Q33" s="1">
        <f t="shared" si="24"/>
        <v>0.58187781031350283</v>
      </c>
      <c r="R33" s="12">
        <f t="shared" ca="1" si="10"/>
        <v>92</v>
      </c>
      <c r="S33" s="88">
        <f t="shared" si="11"/>
        <v>8320.130000000001</v>
      </c>
      <c r="T33" s="19">
        <f t="shared" si="12"/>
        <v>0</v>
      </c>
      <c r="U33" s="19">
        <f t="shared" si="0"/>
        <v>2887.9760000000001</v>
      </c>
      <c r="V33" s="19">
        <f>IF(ISERROR(IF(V32+U33+T33+(V32*Q33/1200)-AA33-P33&lt;0,0,V32+U33+T33-AA33-P33)),0,IF(V32+U33+T33+(V32*Q33/1200)-AA33-CB33&lt;0,0,V32+U33+T33-AA33-CB33))</f>
        <v>144651.67949999997</v>
      </c>
      <c r="W33" s="20">
        <f t="shared" ca="1" si="1"/>
        <v>0</v>
      </c>
      <c r="X33" s="19">
        <f t="shared" ca="1" si="2"/>
        <v>2830.6596276438709</v>
      </c>
      <c r="Y33" s="19">
        <f t="shared" ca="1" si="3"/>
        <v>0</v>
      </c>
      <c r="Z33" s="20">
        <f t="shared" ca="1" si="13"/>
        <v>2830.6596276438709</v>
      </c>
      <c r="AA33" s="1">
        <f t="shared" si="25"/>
        <v>8251.36</v>
      </c>
      <c r="AB33" s="89">
        <v>40993</v>
      </c>
      <c r="AC33" s="90">
        <v>0</v>
      </c>
      <c r="AD33" s="101">
        <f t="shared" si="26"/>
        <v>41207</v>
      </c>
      <c r="AE33" s="103">
        <f t="shared" ca="1" si="27"/>
        <v>92</v>
      </c>
      <c r="AG33" s="1">
        <f t="shared" ca="1" si="4"/>
        <v>0.25555555555555554</v>
      </c>
      <c r="AH33" s="1">
        <f t="shared" si="14"/>
        <v>72.742030552850892</v>
      </c>
      <c r="AI33" s="1">
        <f t="shared" si="28"/>
        <v>8251.36</v>
      </c>
      <c r="AJ33" s="20">
        <f t="shared" si="15"/>
        <v>5436.1260305528513</v>
      </c>
      <c r="AK33" s="100">
        <f t="shared" si="5"/>
        <v>5425.5949295555947</v>
      </c>
      <c r="AL33" s="100">
        <f t="shared" si="6"/>
        <v>64.768925743594551</v>
      </c>
      <c r="AM33" s="100"/>
      <c r="AN33" s="100">
        <f t="shared" si="7"/>
        <v>8235.3751046836787</v>
      </c>
      <c r="AO33" s="20">
        <f t="shared" si="16"/>
        <v>5436.1260305528513</v>
      </c>
      <c r="AQ33" s="109">
        <f t="shared" si="17"/>
        <v>5379.1685056955675</v>
      </c>
      <c r="AU33" s="109">
        <f t="shared" si="18"/>
        <v>27.0516747065871</v>
      </c>
      <c r="AV33" s="101">
        <f t="shared" si="8"/>
        <v>41239</v>
      </c>
      <c r="AW33" s="99">
        <f t="shared" si="9"/>
        <v>5351.0104564369003</v>
      </c>
      <c r="AX33" s="1">
        <f t="shared" ca="1" si="19"/>
        <v>8251.36</v>
      </c>
      <c r="AY33" s="29">
        <f t="shared" ca="1" si="20"/>
        <v>92</v>
      </c>
      <c r="AZ33" s="1">
        <f t="shared" ca="1" si="21"/>
        <v>0.25555555555555554</v>
      </c>
      <c r="CB33" s="20">
        <f t="shared" si="22"/>
        <v>0</v>
      </c>
      <c r="CC33" s="173">
        <f t="shared" si="23"/>
        <v>8324.1020305528509</v>
      </c>
      <c r="CD33" s="100"/>
      <c r="CE33" s="99"/>
      <c r="CF33" s="99"/>
    </row>
    <row r="34" spans="2:84" x14ac:dyDescent="0.25">
      <c r="B34" s="41">
        <v>5</v>
      </c>
      <c r="C34" s="165">
        <v>40966</v>
      </c>
      <c r="D34" s="166">
        <v>0.33600000000000002</v>
      </c>
      <c r="E34" s="26">
        <v>60.034527457930906</v>
      </c>
      <c r="F34" s="26">
        <v>6099.1521768702032</v>
      </c>
      <c r="G34" s="167">
        <v>188644.25059812918</v>
      </c>
      <c r="H34" s="81" t="str">
        <f>IF(ISERROR(VLOOKUP(#REF!,AB:AC,2,0)),"",VLOOKUP(#REF!,AB:AC,2,0))</f>
        <v/>
      </c>
      <c r="J34" s="9">
        <v>5</v>
      </c>
      <c r="K34" s="10">
        <v>41239</v>
      </c>
      <c r="L34" s="14">
        <v>0.60799999999999998</v>
      </c>
      <c r="M34" s="19">
        <v>72.22</v>
      </c>
      <c r="N34" s="19">
        <v>8112</v>
      </c>
      <c r="O34" s="19">
        <v>125460.23</v>
      </c>
      <c r="P34" s="19">
        <v>0</v>
      </c>
      <c r="Q34" s="1">
        <f t="shared" si="24"/>
        <v>0.64881754604363095</v>
      </c>
      <c r="R34" s="12">
        <f t="shared" ca="1" si="10"/>
        <v>123</v>
      </c>
      <c r="S34" s="88">
        <f t="shared" si="11"/>
        <v>8184.22</v>
      </c>
      <c r="T34" s="19">
        <f t="shared" si="12"/>
        <v>0</v>
      </c>
      <c r="U34" s="19">
        <f t="shared" si="0"/>
        <v>2839.2</v>
      </c>
      <c r="V34" s="19">
        <f t="shared" ref="V34:V97" si="29">IF(ISERROR(IF(V33+U34+T34+(V33*Q34/1200)-AA34-P34&lt;0,0,V33+U34+T34-AA34-P34)),0,IF(V33+U34+T34+(V33*Q34/1200)-AA34-CB34&lt;0,0,V33+U34+T34-AA34-CB34))</f>
        <v>139378.87949999998</v>
      </c>
      <c r="W34" s="20">
        <f t="shared" ca="1" si="1"/>
        <v>0</v>
      </c>
      <c r="X34" s="19">
        <f t="shared" ca="1" si="2"/>
        <v>2764.1177372710472</v>
      </c>
      <c r="Y34" s="19">
        <f t="shared" ca="1" si="3"/>
        <v>0</v>
      </c>
      <c r="Z34" s="20">
        <f t="shared" ca="1" si="13"/>
        <v>2764.1177372710472</v>
      </c>
      <c r="AA34" s="1">
        <f t="shared" si="25"/>
        <v>8112</v>
      </c>
      <c r="AB34" s="87">
        <v>40964</v>
      </c>
      <c r="AC34" s="88">
        <v>0</v>
      </c>
      <c r="AD34" s="101">
        <f t="shared" si="26"/>
        <v>41239</v>
      </c>
      <c r="AE34" s="103">
        <f t="shared" ca="1" si="27"/>
        <v>123</v>
      </c>
      <c r="AG34" s="1">
        <f t="shared" ca="1" si="4"/>
        <v>0.34166666666666667</v>
      </c>
      <c r="AH34" s="1">
        <f t="shared" si="14"/>
        <v>78.210456436899818</v>
      </c>
      <c r="AI34" s="1">
        <f t="shared" si="28"/>
        <v>8112</v>
      </c>
      <c r="AJ34" s="20">
        <f t="shared" si="15"/>
        <v>5351.0104564369003</v>
      </c>
      <c r="AK34" s="100">
        <f t="shared" si="5"/>
        <v>5336.5679351434919</v>
      </c>
      <c r="AL34" s="100">
        <f t="shared" si="6"/>
        <v>67.833998795557946</v>
      </c>
      <c r="AN34" s="100">
        <f t="shared" si="7"/>
        <v>8090.1054935911789</v>
      </c>
      <c r="AO34" s="20">
        <f t="shared" si="16"/>
        <v>5351.0104564369003</v>
      </c>
      <c r="AQ34" s="109">
        <f t="shared" si="17"/>
        <v>5281.0203365433181</v>
      </c>
      <c r="AU34" s="109">
        <f t="shared" si="18"/>
        <v>27.049300379109383</v>
      </c>
      <c r="AV34" s="101">
        <f t="shared" si="8"/>
        <v>41269</v>
      </c>
      <c r="AW34" s="99">
        <f t="shared" si="9"/>
        <v>5366.9699922241889</v>
      </c>
      <c r="AX34" s="1">
        <f t="shared" ca="1" si="19"/>
        <v>8112</v>
      </c>
      <c r="AY34" s="29">
        <f t="shared" ca="1" si="20"/>
        <v>123</v>
      </c>
      <c r="AZ34" s="1">
        <f t="shared" ca="1" si="21"/>
        <v>0.34166666666666667</v>
      </c>
      <c r="CB34" s="20">
        <f t="shared" si="22"/>
        <v>0</v>
      </c>
      <c r="CC34" s="173">
        <f t="shared" si="23"/>
        <v>8190.2104564369001</v>
      </c>
      <c r="CD34" s="100"/>
      <c r="CE34" s="99"/>
      <c r="CF34" s="99"/>
    </row>
    <row r="35" spans="2:84" x14ac:dyDescent="0.25">
      <c r="B35" s="41">
        <v>6</v>
      </c>
      <c r="C35" s="165">
        <v>40933</v>
      </c>
      <c r="D35" s="166">
        <v>0.35399999999999998</v>
      </c>
      <c r="E35" s="26">
        <v>57.027237883382803</v>
      </c>
      <c r="F35" s="26">
        <v>5461.4059836924771</v>
      </c>
      <c r="G35" s="167">
        <v>194743.40277499938</v>
      </c>
      <c r="H35" s="81" t="str">
        <f>IF(ISERROR(VLOOKUP(#REF!,AB:AC,2,0)),"",VLOOKUP(#REF!,AB:AC,2,0))</f>
        <v/>
      </c>
      <c r="J35" s="7">
        <v>6</v>
      </c>
      <c r="K35" s="8">
        <v>41269</v>
      </c>
      <c r="L35" s="15">
        <v>0.39300000000000002</v>
      </c>
      <c r="M35" s="21">
        <v>41.13</v>
      </c>
      <c r="N35" s="21">
        <v>8186.58</v>
      </c>
      <c r="O35" s="21">
        <v>117273.65</v>
      </c>
      <c r="P35" s="21">
        <v>0</v>
      </c>
      <c r="Q35" s="1">
        <f t="shared" si="24"/>
        <v>0.39339956574286528</v>
      </c>
      <c r="R35" s="12">
        <f t="shared" ca="1" si="10"/>
        <v>153</v>
      </c>
      <c r="S35" s="88">
        <f t="shared" si="11"/>
        <v>8227.7099999999991</v>
      </c>
      <c r="T35" s="19">
        <f t="shared" si="12"/>
        <v>0</v>
      </c>
      <c r="U35" s="19">
        <f t="shared" si="0"/>
        <v>2865.3029999999999</v>
      </c>
      <c r="V35" s="19">
        <f t="shared" si="29"/>
        <v>134057.60250000001</v>
      </c>
      <c r="W35" s="20">
        <f t="shared" ca="1" si="1"/>
        <v>0</v>
      </c>
      <c r="X35" s="19">
        <f t="shared" ca="1" si="2"/>
        <v>2771.3553527568029</v>
      </c>
      <c r="Y35" s="19">
        <f t="shared" ca="1" si="3"/>
        <v>0</v>
      </c>
      <c r="Z35" s="20">
        <f t="shared" ca="1" si="13"/>
        <v>2771.3553527568029</v>
      </c>
      <c r="AA35" s="1">
        <f t="shared" si="25"/>
        <v>8186.58</v>
      </c>
      <c r="AB35" s="89">
        <v>40933</v>
      </c>
      <c r="AC35" s="90">
        <v>0</v>
      </c>
      <c r="AD35" s="101">
        <f t="shared" si="26"/>
        <v>41269</v>
      </c>
      <c r="AE35" s="103">
        <f t="shared" ca="1" si="27"/>
        <v>153</v>
      </c>
      <c r="AG35" s="1">
        <f t="shared" ca="1" si="4"/>
        <v>0.42499999999999999</v>
      </c>
      <c r="AH35" s="1">
        <f t="shared" si="14"/>
        <v>45.692992224189283</v>
      </c>
      <c r="AI35" s="1">
        <f t="shared" si="28"/>
        <v>8186.58</v>
      </c>
      <c r="AJ35" s="20">
        <f t="shared" si="15"/>
        <v>5366.9699922241889</v>
      </c>
      <c r="AK35" s="100">
        <f t="shared" si="5"/>
        <v>5356.4252763769418</v>
      </c>
      <c r="AL35" s="100">
        <f t="shared" si="6"/>
        <v>38.446169152567307</v>
      </c>
      <c r="AN35" s="100">
        <f t="shared" si="7"/>
        <v>8170.4954755875606</v>
      </c>
      <c r="AO35" s="20">
        <f t="shared" si="16"/>
        <v>5366.9699922241889</v>
      </c>
      <c r="AQ35" s="109">
        <f t="shared" si="17"/>
        <v>5282.8419204083211</v>
      </c>
      <c r="AU35" s="109">
        <f t="shared" si="18"/>
        <v>27.046926260026559</v>
      </c>
      <c r="AV35" s="101">
        <f t="shared" si="8"/>
        <v>41299</v>
      </c>
      <c r="AW35" s="99">
        <f t="shared" si="9"/>
        <v>5318.1330908377549</v>
      </c>
      <c r="AX35" s="1">
        <f t="shared" ca="1" si="19"/>
        <v>8186.58</v>
      </c>
      <c r="AY35" s="29">
        <f t="shared" ca="1" si="20"/>
        <v>153</v>
      </c>
      <c r="AZ35" s="1">
        <f t="shared" ca="1" si="21"/>
        <v>0.42499999999999999</v>
      </c>
      <c r="CB35" s="20">
        <f t="shared" si="22"/>
        <v>0</v>
      </c>
      <c r="CC35" s="173">
        <f t="shared" si="23"/>
        <v>8232.2729922241888</v>
      </c>
      <c r="CD35" s="100"/>
      <c r="CE35" s="99"/>
      <c r="CF35" s="99"/>
    </row>
    <row r="36" spans="2:84" x14ac:dyDescent="0.25">
      <c r="B36" s="41">
        <v>7</v>
      </c>
      <c r="C36" s="165">
        <v>40904</v>
      </c>
      <c r="D36" s="166">
        <v>0.317</v>
      </c>
      <c r="E36" s="26">
        <v>57.653853232298175</v>
      </c>
      <c r="F36" s="26">
        <v>4260.8584254198904</v>
      </c>
      <c r="G36" s="167">
        <v>200204.80875869188</v>
      </c>
      <c r="H36" s="81" t="str">
        <f>IF(ISERROR(VLOOKUP(#REF!,AB:AC,2,0)),"",VLOOKUP(#REF!,AB:AC,2,0))</f>
        <v/>
      </c>
      <c r="J36" s="9">
        <v>7</v>
      </c>
      <c r="K36" s="10">
        <v>41299</v>
      </c>
      <c r="L36" s="14">
        <v>0.371</v>
      </c>
      <c r="M36" s="19">
        <v>36.24</v>
      </c>
      <c r="N36" s="19">
        <v>8118.01</v>
      </c>
      <c r="O36" s="19">
        <v>109155.63</v>
      </c>
      <c r="P36" s="19">
        <v>0</v>
      </c>
      <c r="Q36" s="1">
        <f t="shared" si="24"/>
        <v>0.37082498924523966</v>
      </c>
      <c r="R36" s="12">
        <f t="shared" ca="1" si="10"/>
        <v>182</v>
      </c>
      <c r="S36" s="88">
        <f t="shared" si="11"/>
        <v>8154.25</v>
      </c>
      <c r="T36" s="19">
        <f t="shared" si="12"/>
        <v>0</v>
      </c>
      <c r="U36" s="19">
        <f t="shared" si="0"/>
        <v>2841.3035</v>
      </c>
      <c r="V36" s="19">
        <f t="shared" si="29"/>
        <v>128780.89600000002</v>
      </c>
      <c r="W36" s="20">
        <f t="shared" ca="1" si="1"/>
        <v>0</v>
      </c>
      <c r="X36" s="19">
        <f t="shared" ca="1" si="2"/>
        <v>2730.832279150105</v>
      </c>
      <c r="Y36" s="19">
        <f t="shared" ca="1" si="3"/>
        <v>0</v>
      </c>
      <c r="Z36" s="20">
        <f t="shared" ca="1" si="13"/>
        <v>2730.832279150105</v>
      </c>
      <c r="AA36" s="1">
        <f t="shared" si="25"/>
        <v>8118.01</v>
      </c>
      <c r="AB36" s="87">
        <v>40902</v>
      </c>
      <c r="AC36" s="88">
        <v>0</v>
      </c>
      <c r="AD36" s="101">
        <f t="shared" si="26"/>
        <v>41299</v>
      </c>
      <c r="AE36" s="103">
        <f t="shared" ca="1" si="27"/>
        <v>182</v>
      </c>
      <c r="AG36" s="1">
        <f t="shared" ca="1" si="4"/>
        <v>0.50555555555555554</v>
      </c>
      <c r="AH36" s="1">
        <f t="shared" si="14"/>
        <v>41.426590837754269</v>
      </c>
      <c r="AI36" s="1">
        <f t="shared" si="28"/>
        <v>8118.01</v>
      </c>
      <c r="AJ36" s="20">
        <f t="shared" si="15"/>
        <v>5318.1330908377549</v>
      </c>
      <c r="AK36" s="100">
        <f t="shared" si="5"/>
        <v>5306.6434003374598</v>
      </c>
      <c r="AL36" s="100">
        <f t="shared" si="6"/>
        <v>33.731362767339469</v>
      </c>
      <c r="AN36" s="100">
        <f t="shared" si="7"/>
        <v>8100.471247060741</v>
      </c>
      <c r="AO36" s="20">
        <f t="shared" si="16"/>
        <v>5318.1330908377549</v>
      </c>
      <c r="AQ36" s="109">
        <f t="shared" si="17"/>
        <v>5221.0043866878441</v>
      </c>
      <c r="AU36" s="109">
        <f t="shared" si="18"/>
        <v>27.044552349320345</v>
      </c>
      <c r="AV36" s="101">
        <f t="shared" si="8"/>
        <v>41330</v>
      </c>
      <c r="AW36" s="99">
        <f t="shared" si="9"/>
        <v>5223.8251786151577</v>
      </c>
      <c r="AX36" s="1">
        <f t="shared" ca="1" si="19"/>
        <v>8118.01</v>
      </c>
      <c r="AY36" s="29">
        <f t="shared" ca="1" si="20"/>
        <v>182</v>
      </c>
      <c r="AZ36" s="1">
        <f t="shared" ca="1" si="21"/>
        <v>0.50555555555555554</v>
      </c>
      <c r="CB36" s="20">
        <f t="shared" si="22"/>
        <v>0</v>
      </c>
      <c r="CC36" s="173">
        <f t="shared" si="23"/>
        <v>8159.4365908377549</v>
      </c>
      <c r="CD36" s="100"/>
      <c r="CE36" s="99"/>
      <c r="CF36" s="99"/>
    </row>
    <row r="37" spans="2:84" x14ac:dyDescent="0.25">
      <c r="B37" s="41">
        <v>8</v>
      </c>
      <c r="C37" s="165">
        <v>40872</v>
      </c>
      <c r="D37" s="166">
        <v>0.30499999999999999</v>
      </c>
      <c r="E37" s="26">
        <v>54.883974938586732</v>
      </c>
      <c r="F37" s="26">
        <v>4697.5771966744805</v>
      </c>
      <c r="G37" s="167">
        <v>204465.66718411175</v>
      </c>
      <c r="H37" s="81" t="str">
        <f>IF(ISERROR(VLOOKUP(#REF!,AB:AC,2,0)),"",VLOOKUP(#REF!,AB:AC,2,0))</f>
        <v/>
      </c>
      <c r="J37" s="7">
        <v>8</v>
      </c>
      <c r="K37" s="8">
        <v>41330</v>
      </c>
      <c r="L37" s="15">
        <v>0.46100000000000002</v>
      </c>
      <c r="M37" s="21">
        <v>43.29</v>
      </c>
      <c r="N37" s="21">
        <v>7958.08</v>
      </c>
      <c r="O37" s="21">
        <v>101197.55</v>
      </c>
      <c r="P37" s="21">
        <v>0</v>
      </c>
      <c r="Q37" s="1">
        <f t="shared" si="24"/>
        <v>0.47590765588545453</v>
      </c>
      <c r="R37" s="12">
        <f t="shared" ca="1" si="10"/>
        <v>212</v>
      </c>
      <c r="S37" s="88">
        <f t="shared" si="11"/>
        <v>8001.37</v>
      </c>
      <c r="T37" s="19">
        <f t="shared" si="12"/>
        <v>0</v>
      </c>
      <c r="U37" s="19">
        <f t="shared" si="0"/>
        <v>2785.328</v>
      </c>
      <c r="V37" s="19">
        <f t="shared" si="29"/>
        <v>123608.14400000001</v>
      </c>
      <c r="W37" s="20">
        <f t="shared" ca="1" si="1"/>
        <v>0</v>
      </c>
      <c r="X37" s="19">
        <f t="shared" ca="1" si="2"/>
        <v>2659.5910113807918</v>
      </c>
      <c r="Y37" s="19">
        <f t="shared" ca="1" si="3"/>
        <v>0</v>
      </c>
      <c r="Z37" s="20">
        <f t="shared" ca="1" si="13"/>
        <v>2659.5910113807918</v>
      </c>
      <c r="AA37" s="1">
        <f t="shared" si="25"/>
        <v>7958.08</v>
      </c>
      <c r="AB37" s="89">
        <v>40872</v>
      </c>
      <c r="AC37" s="90">
        <v>0</v>
      </c>
      <c r="AD37" s="101">
        <f t="shared" si="26"/>
        <v>41330</v>
      </c>
      <c r="AE37" s="103">
        <f t="shared" ca="1" si="27"/>
        <v>212</v>
      </c>
      <c r="AG37" s="1">
        <f t="shared" ca="1" si="4"/>
        <v>0.58888888888888891</v>
      </c>
      <c r="AH37" s="1">
        <f t="shared" si="14"/>
        <v>51.073178615157097</v>
      </c>
      <c r="AI37" s="1">
        <f t="shared" si="28"/>
        <v>7958.08</v>
      </c>
      <c r="AJ37" s="20">
        <f t="shared" si="15"/>
        <v>5223.8251786151577</v>
      </c>
      <c r="AK37" s="100">
        <f t="shared" si="5"/>
        <v>5207.2809952750404</v>
      </c>
      <c r="AL37" s="100">
        <f t="shared" si="6"/>
        <v>40.1339073348759</v>
      </c>
      <c r="AN37" s="100">
        <f t="shared" si="7"/>
        <v>7932.8762594356531</v>
      </c>
      <c r="AO37" s="20">
        <f t="shared" si="16"/>
        <v>5223.8251786151577</v>
      </c>
      <c r="AQ37" s="109">
        <f t="shared" si="17"/>
        <v>5114.932404900097</v>
      </c>
      <c r="AU37" s="109">
        <f t="shared" si="18"/>
        <v>27.042178646972445</v>
      </c>
      <c r="AV37" s="101">
        <f t="shared" si="8"/>
        <v>41358</v>
      </c>
      <c r="AW37" s="99">
        <f t="shared" si="9"/>
        <v>5179.0502737469433</v>
      </c>
      <c r="AX37" s="1">
        <f t="shared" ca="1" si="19"/>
        <v>7958.08</v>
      </c>
      <c r="AY37" s="29">
        <f t="shared" ca="1" si="20"/>
        <v>212</v>
      </c>
      <c r="AZ37" s="1">
        <f t="shared" ca="1" si="21"/>
        <v>0.58888888888888891</v>
      </c>
      <c r="CB37" s="20">
        <f t="shared" si="22"/>
        <v>0</v>
      </c>
      <c r="CC37" s="173">
        <f t="shared" si="23"/>
        <v>8009.1531786151572</v>
      </c>
      <c r="CD37" s="100"/>
      <c r="CE37" s="99"/>
      <c r="CF37" s="99"/>
    </row>
    <row r="38" spans="2:84" x14ac:dyDescent="0.25">
      <c r="B38" s="41">
        <v>9</v>
      </c>
      <c r="C38" s="165">
        <v>40841</v>
      </c>
      <c r="D38" s="166">
        <v>0.29499999999999998</v>
      </c>
      <c r="E38" s="26">
        <v>50.946124362862378</v>
      </c>
      <c r="F38" s="26">
        <v>5541.6039064437919</v>
      </c>
      <c r="G38" s="167">
        <v>209163.24438078623</v>
      </c>
      <c r="H38" s="81" t="str">
        <f>IF(ISERROR(VLOOKUP(#REF!,AB:AC,2,0)),"",VLOOKUP(#REF!,AB:AC,2,0))</f>
        <v/>
      </c>
      <c r="J38" s="9">
        <v>9</v>
      </c>
      <c r="K38" s="10">
        <v>41358</v>
      </c>
      <c r="L38" s="14">
        <v>0.495</v>
      </c>
      <c r="M38" s="19">
        <v>38.979999999999997</v>
      </c>
      <c r="N38" s="19">
        <v>7894.52</v>
      </c>
      <c r="O38" s="19">
        <v>93303.03</v>
      </c>
      <c r="P38" s="19">
        <v>0</v>
      </c>
      <c r="Q38" s="1">
        <f t="shared" si="24"/>
        <v>0.46222462895593808</v>
      </c>
      <c r="R38" s="12">
        <f t="shared" ca="1" si="10"/>
        <v>242</v>
      </c>
      <c r="S38" s="88">
        <f t="shared" si="11"/>
        <v>7933.5</v>
      </c>
      <c r="T38" s="19">
        <f t="shared" si="12"/>
        <v>0</v>
      </c>
      <c r="U38" s="19">
        <f t="shared" si="0"/>
        <v>2763.0819999999999</v>
      </c>
      <c r="V38" s="19">
        <f t="shared" si="29"/>
        <v>118476.70600000001</v>
      </c>
      <c r="W38" s="20">
        <f t="shared" ca="1" si="1"/>
        <v>0</v>
      </c>
      <c r="X38" s="19">
        <f t="shared" ca="1" si="2"/>
        <v>2621.1591759089438</v>
      </c>
      <c r="Y38" s="19">
        <f t="shared" ca="1" si="3"/>
        <v>0</v>
      </c>
      <c r="Z38" s="20">
        <f t="shared" ca="1" si="13"/>
        <v>2621.1591759089438</v>
      </c>
      <c r="AA38" s="1">
        <f t="shared" si="25"/>
        <v>7894.52</v>
      </c>
      <c r="AB38" s="87">
        <v>40841</v>
      </c>
      <c r="AC38" s="88">
        <v>0</v>
      </c>
      <c r="AD38" s="101">
        <f t="shared" si="26"/>
        <v>41358</v>
      </c>
      <c r="AE38" s="103">
        <f t="shared" ca="1" si="27"/>
        <v>242</v>
      </c>
      <c r="AG38" s="1">
        <f t="shared" ca="1" si="4"/>
        <v>0.67222222222222228</v>
      </c>
      <c r="AH38" s="1">
        <f t="shared" si="14"/>
        <v>47.61227374694348</v>
      </c>
      <c r="AI38" s="1">
        <f t="shared" si="28"/>
        <v>7894.52</v>
      </c>
      <c r="AJ38" s="20">
        <f t="shared" si="15"/>
        <v>5179.0502737469433</v>
      </c>
      <c r="AK38" s="100">
        <f t="shared" si="5"/>
        <v>5161.1306690458232</v>
      </c>
      <c r="AL38" s="100">
        <f t="shared" si="6"/>
        <v>35.939132018512296</v>
      </c>
      <c r="AN38" s="100">
        <f t="shared" si="7"/>
        <v>7867.2048224621049</v>
      </c>
      <c r="AO38" s="20">
        <f t="shared" si="16"/>
        <v>5179.0502737469433</v>
      </c>
      <c r="AQ38" s="109">
        <f t="shared" si="17"/>
        <v>5057.7551303597547</v>
      </c>
      <c r="AU38" s="109">
        <f t="shared" si="18"/>
        <v>27.039805152964572</v>
      </c>
      <c r="AV38" s="101">
        <f t="shared" si="8"/>
        <v>41389</v>
      </c>
      <c r="AW38" s="99">
        <f t="shared" si="9"/>
        <v>5098.2620309009253</v>
      </c>
      <c r="AX38" s="1">
        <f t="shared" ca="1" si="19"/>
        <v>7894.52</v>
      </c>
      <c r="AY38" s="29">
        <f t="shared" ca="1" si="20"/>
        <v>242</v>
      </c>
      <c r="AZ38" s="1">
        <f t="shared" ca="1" si="21"/>
        <v>0.67222222222222228</v>
      </c>
      <c r="CB38" s="20">
        <f t="shared" si="22"/>
        <v>0</v>
      </c>
      <c r="CC38" s="173">
        <f t="shared" si="23"/>
        <v>7942.1322737469436</v>
      </c>
      <c r="CD38" s="100"/>
      <c r="CE38" s="99"/>
      <c r="CF38" s="99"/>
    </row>
    <row r="39" spans="2:84" x14ac:dyDescent="0.25">
      <c r="B39" s="41">
        <v>10</v>
      </c>
      <c r="C39" s="165">
        <v>40812</v>
      </c>
      <c r="D39" s="166">
        <v>0.27800000000000002</v>
      </c>
      <c r="E39" s="26">
        <v>53.972698102790197</v>
      </c>
      <c r="F39" s="26">
        <v>3403.8615140870425</v>
      </c>
      <c r="G39" s="167">
        <v>214704.84828723001</v>
      </c>
      <c r="H39" s="81" t="str">
        <f>IF(ISERROR(VLOOKUP(#REF!,AB:AC,2,0)),"",VLOOKUP(#REF!,AB:AC,2,0))</f>
        <v/>
      </c>
      <c r="J39" s="7">
        <v>10</v>
      </c>
      <c r="K39" s="8">
        <v>41389</v>
      </c>
      <c r="L39" s="15">
        <v>0.504</v>
      </c>
      <c r="M39" s="21">
        <v>40.47</v>
      </c>
      <c r="N39" s="21">
        <v>7764.42</v>
      </c>
      <c r="O39" s="21">
        <v>85538.61</v>
      </c>
      <c r="P39" s="21">
        <v>0</v>
      </c>
      <c r="Q39" s="1">
        <f t="shared" si="24"/>
        <v>0.52049756583467865</v>
      </c>
      <c r="R39" s="12">
        <f t="shared" ca="1" si="10"/>
        <v>272</v>
      </c>
      <c r="S39" s="88">
        <f t="shared" si="11"/>
        <v>7804.89</v>
      </c>
      <c r="T39" s="19">
        <f t="shared" si="12"/>
        <v>0</v>
      </c>
      <c r="U39" s="19">
        <f t="shared" si="0"/>
        <v>2717.547</v>
      </c>
      <c r="V39" s="19">
        <f t="shared" si="29"/>
        <v>113429.83300000001</v>
      </c>
      <c r="W39" s="20">
        <f t="shared" ca="1" si="1"/>
        <v>0</v>
      </c>
      <c r="X39" s="19">
        <f t="shared" ca="1" si="2"/>
        <v>2561.1664000366341</v>
      </c>
      <c r="Y39" s="19">
        <f t="shared" ca="1" si="3"/>
        <v>0</v>
      </c>
      <c r="Z39" s="20">
        <f t="shared" ca="1" si="13"/>
        <v>2561.1664000366341</v>
      </c>
      <c r="AA39" s="1">
        <f t="shared" si="25"/>
        <v>7764.42</v>
      </c>
      <c r="AB39" s="89">
        <v>40811</v>
      </c>
      <c r="AC39" s="90">
        <v>0</v>
      </c>
      <c r="AD39" s="101">
        <f t="shared" si="26"/>
        <v>41389</v>
      </c>
      <c r="AE39" s="103">
        <f t="shared" ca="1" si="27"/>
        <v>272</v>
      </c>
      <c r="AG39" s="1">
        <f t="shared" ca="1" si="4"/>
        <v>0.75555555555555554</v>
      </c>
      <c r="AH39" s="1">
        <f t="shared" si="14"/>
        <v>51.389030900925725</v>
      </c>
      <c r="AI39" s="1">
        <f t="shared" si="28"/>
        <v>7764.42</v>
      </c>
      <c r="AJ39" s="20">
        <f>IF(ISERROR(IF(V38+U39+T39+(V38*Q39/1200)-AA39-P39&lt;0,V38,-(U39+T39-AA39+P39-AH39))),0,IF(V38+U39+T39+(V38*Q39/1200)-AA39-P39&lt;0,0,-(U39+T39-AA39-AH39)))</f>
        <v>5098.2620309009253</v>
      </c>
      <c r="AK39" s="100">
        <f t="shared" si="5"/>
        <v>5076.201085888566</v>
      </c>
      <c r="AL39" s="100">
        <f t="shared" si="6"/>
        <v>37.102198574901585</v>
      </c>
      <c r="AN39" s="100">
        <f t="shared" si="7"/>
        <v>7730.8221892882993</v>
      </c>
      <c r="AO39" s="20">
        <f t="shared" si="16"/>
        <v>5098.2620309009253</v>
      </c>
      <c r="AQ39" s="109">
        <f t="shared" si="17"/>
        <v>4965.7658022649202</v>
      </c>
      <c r="AU39" s="109">
        <f t="shared" si="18"/>
        <v>27.037431867278453</v>
      </c>
      <c r="AV39" s="101">
        <f t="shared" si="8"/>
        <v>41422</v>
      </c>
      <c r="AW39" s="99">
        <f t="shared" si="9"/>
        <v>5026.0631569182624</v>
      </c>
      <c r="AX39" s="1">
        <f t="shared" ca="1" si="19"/>
        <v>7764.42</v>
      </c>
      <c r="AY39" s="29">
        <f t="shared" ca="1" si="20"/>
        <v>272</v>
      </c>
      <c r="AZ39" s="1">
        <f t="shared" ca="1" si="21"/>
        <v>0.75555555555555554</v>
      </c>
      <c r="CB39" s="20">
        <f t="shared" si="22"/>
        <v>0</v>
      </c>
      <c r="CC39" s="173">
        <f t="shared" si="23"/>
        <v>7815.8090309009258</v>
      </c>
      <c r="CD39" s="100"/>
      <c r="CE39" s="99"/>
      <c r="CF39" s="99"/>
    </row>
    <row r="40" spans="2:84" x14ac:dyDescent="0.25">
      <c r="B40" s="41">
        <v>11</v>
      </c>
      <c r="C40" s="165">
        <v>40780</v>
      </c>
      <c r="D40" s="166">
        <v>0.247</v>
      </c>
      <c r="E40" s="26">
        <v>47.770958527041834</v>
      </c>
      <c r="F40" s="26">
        <v>6263.1141926656155</v>
      </c>
      <c r="G40" s="167">
        <v>218108.70980131708</v>
      </c>
      <c r="H40" s="81" t="str">
        <f>IF(ISERROR(VLOOKUP(#REF!,AB:AC,2,0)),"",VLOOKUP(#REF!,AB:AC,2,0))</f>
        <v/>
      </c>
      <c r="J40" s="9">
        <v>11</v>
      </c>
      <c r="K40" s="10">
        <v>41422</v>
      </c>
      <c r="L40" s="14">
        <v>0.51</v>
      </c>
      <c r="M40" s="19">
        <v>40.020000000000003</v>
      </c>
      <c r="N40" s="19">
        <v>7650.76</v>
      </c>
      <c r="O40" s="19">
        <v>77887.850000000006</v>
      </c>
      <c r="P40" s="19">
        <v>0</v>
      </c>
      <c r="Q40" s="1">
        <f t="shared" si="24"/>
        <v>0.56143068025070797</v>
      </c>
      <c r="R40" s="12">
        <f t="shared" ca="1" si="10"/>
        <v>305</v>
      </c>
      <c r="S40" s="88">
        <f t="shared" si="11"/>
        <v>7690.7800000000007</v>
      </c>
      <c r="T40" s="19">
        <f t="shared" si="12"/>
        <v>0</v>
      </c>
      <c r="U40" s="19">
        <f t="shared" si="0"/>
        <v>2677.7660000000001</v>
      </c>
      <c r="V40" s="19">
        <f t="shared" si="29"/>
        <v>108456.83900000002</v>
      </c>
      <c r="W40" s="20">
        <f t="shared" ca="1" si="1"/>
        <v>0</v>
      </c>
      <c r="X40" s="19">
        <f t="shared" ca="1" si="2"/>
        <v>2505.5932812085025</v>
      </c>
      <c r="Y40" s="19">
        <f t="shared" ca="1" si="3"/>
        <v>0</v>
      </c>
      <c r="Z40" s="20">
        <f t="shared" ca="1" si="13"/>
        <v>2505.5932812085025</v>
      </c>
      <c r="AA40" s="1">
        <f t="shared" si="25"/>
        <v>7650.76</v>
      </c>
      <c r="AB40" s="87">
        <v>40780</v>
      </c>
      <c r="AC40" s="88">
        <v>0</v>
      </c>
      <c r="AD40" s="101">
        <f t="shared" si="26"/>
        <v>41422</v>
      </c>
      <c r="AE40" s="103">
        <f t="shared" ca="1" si="27"/>
        <v>305</v>
      </c>
      <c r="AG40" s="1">
        <f t="shared" ca="1" si="4"/>
        <v>0.84722222222222221</v>
      </c>
      <c r="AH40" s="1">
        <f t="shared" si="14"/>
        <v>53.069156918261839</v>
      </c>
      <c r="AI40" s="1">
        <f t="shared" si="28"/>
        <v>7650.76</v>
      </c>
      <c r="AJ40" s="20">
        <f t="shared" ref="AJ40:AJ103" si="30">IF(ISERROR(IF(V39+U40+T40+(V39*Q40/1200)-AA40-P40&lt;0,V39,-(U40+T40-AA40+P40-AH40))),0,IF(V39+U40+T40+(V39*Q40/1200)-AA40-P40&lt;0,0,-(U40+T40-AA40-AH40)))</f>
        <v>5026.0631569182624</v>
      </c>
      <c r="AK40" s="100">
        <f t="shared" si="5"/>
        <v>5000.2692486324549</v>
      </c>
      <c r="AL40" s="100">
        <f t="shared" si="6"/>
        <v>36.440523840637589</v>
      </c>
      <c r="AN40" s="100">
        <f t="shared" si="7"/>
        <v>7611.496068052571</v>
      </c>
      <c r="AO40" s="20">
        <f t="shared" si="16"/>
        <v>5026.0631569182624</v>
      </c>
      <c r="AQ40" s="109">
        <f t="shared" si="17"/>
        <v>4882.5694583911973</v>
      </c>
      <c r="AU40" s="109">
        <f t="shared" si="18"/>
        <v>27.035058789895789</v>
      </c>
      <c r="AV40" s="101">
        <f t="shared" si="8"/>
        <v>41450</v>
      </c>
      <c r="AW40" s="99">
        <f t="shared" si="9"/>
        <v>5008.4849711199504</v>
      </c>
      <c r="AX40" s="1">
        <f t="shared" ca="1" si="19"/>
        <v>7650.76</v>
      </c>
      <c r="AY40" s="29">
        <f t="shared" ca="1" si="20"/>
        <v>305</v>
      </c>
      <c r="AZ40" s="1">
        <f t="shared" ca="1" si="21"/>
        <v>0.84722222222222221</v>
      </c>
      <c r="CB40" s="20">
        <f t="shared" si="22"/>
        <v>0</v>
      </c>
      <c r="CC40" s="173">
        <f t="shared" si="23"/>
        <v>7703.829156918262</v>
      </c>
      <c r="CD40" s="100"/>
      <c r="CE40" s="99"/>
      <c r="CF40" s="99"/>
    </row>
    <row r="41" spans="2:84" x14ac:dyDescent="0.25">
      <c r="B41" s="41">
        <v>12</v>
      </c>
      <c r="C41" s="165">
        <v>40749</v>
      </c>
      <c r="D41" s="166">
        <v>0.246</v>
      </c>
      <c r="E41" s="26">
        <v>43.766693605818851</v>
      </c>
      <c r="F41" s="26">
        <v>4560.0727757195546</v>
      </c>
      <c r="G41" s="167">
        <v>224371.82399398269</v>
      </c>
      <c r="H41" s="81" t="str">
        <f>IF(ISERROR(VLOOKUP(#REF!,AB:AC,2,0)),"",VLOOKUP(#REF!,AB:AC,2,0))</f>
        <v/>
      </c>
      <c r="J41" s="7">
        <v>12</v>
      </c>
      <c r="K41" s="8">
        <v>41450</v>
      </c>
      <c r="L41" s="15">
        <v>0.51900000000000002</v>
      </c>
      <c r="M41" s="21">
        <v>31.43</v>
      </c>
      <c r="N41" s="21">
        <v>7638.03</v>
      </c>
      <c r="O41" s="21">
        <v>70249.81</v>
      </c>
      <c r="P41" s="21">
        <v>0</v>
      </c>
      <c r="Q41" s="1">
        <f t="shared" si="24"/>
        <v>0.48423470412907788</v>
      </c>
      <c r="R41" s="12">
        <f t="shared" ca="1" si="10"/>
        <v>332</v>
      </c>
      <c r="S41" s="88">
        <f t="shared" si="11"/>
        <v>7669.46</v>
      </c>
      <c r="T41" s="19">
        <f t="shared" si="12"/>
        <v>0</v>
      </c>
      <c r="U41" s="19">
        <f t="shared" si="0"/>
        <v>2673.3104999999996</v>
      </c>
      <c r="V41" s="19">
        <f t="shared" si="29"/>
        <v>103492.11950000003</v>
      </c>
      <c r="W41" s="20">
        <f t="shared" ca="1" si="1"/>
        <v>0</v>
      </c>
      <c r="X41" s="19">
        <f t="shared" ca="1" si="2"/>
        <v>2486.7513142317903</v>
      </c>
      <c r="Y41" s="19">
        <f t="shared" ca="1" si="3"/>
        <v>0</v>
      </c>
      <c r="Z41" s="20">
        <f t="shared" ca="1" si="13"/>
        <v>2486.7513142317903</v>
      </c>
      <c r="AA41" s="1">
        <f t="shared" si="25"/>
        <v>7638.03</v>
      </c>
      <c r="AB41" s="89">
        <v>40749</v>
      </c>
      <c r="AC41" s="90">
        <v>0</v>
      </c>
      <c r="AD41" s="101">
        <f t="shared" si="26"/>
        <v>41450</v>
      </c>
      <c r="AE41" s="103">
        <f t="shared" ca="1" si="27"/>
        <v>332</v>
      </c>
      <c r="AG41" s="1">
        <f t="shared" ca="1" si="4"/>
        <v>0.92222222222222228</v>
      </c>
      <c r="AH41" s="1">
        <f t="shared" si="14"/>
        <v>43.765471119950043</v>
      </c>
      <c r="AI41" s="1">
        <f t="shared" si="28"/>
        <v>7638.03</v>
      </c>
      <c r="AJ41" s="20">
        <f t="shared" si="30"/>
        <v>5008.4849711199504</v>
      </c>
      <c r="AK41" s="100">
        <f t="shared" si="5"/>
        <v>4984.2956427756108</v>
      </c>
      <c r="AL41" s="100">
        <f t="shared" si="6"/>
        <v>28.347829967061614</v>
      </c>
      <c r="AN41" s="100">
        <f t="shared" si="7"/>
        <v>7601.1408375807705</v>
      </c>
      <c r="AO41" s="20">
        <f t="shared" si="16"/>
        <v>5008.4849711199504</v>
      </c>
      <c r="AQ41" s="109">
        <f t="shared" si="17"/>
        <v>4852.6980789053005</v>
      </c>
      <c r="AU41" s="109">
        <f t="shared" si="18"/>
        <v>27.032685920798301</v>
      </c>
      <c r="AV41" s="101">
        <f t="shared" si="8"/>
        <v>41480</v>
      </c>
      <c r="AW41" s="99">
        <f t="shared" si="9"/>
        <v>4937.4284435132286</v>
      </c>
      <c r="AX41" s="1">
        <f t="shared" ca="1" si="19"/>
        <v>7638.03</v>
      </c>
      <c r="AY41" s="29">
        <f t="shared" ca="1" si="20"/>
        <v>332</v>
      </c>
      <c r="AZ41" s="1">
        <f t="shared" ca="1" si="21"/>
        <v>0.92222222222222228</v>
      </c>
      <c r="CB41" s="20">
        <f t="shared" si="22"/>
        <v>0</v>
      </c>
      <c r="CC41" s="173">
        <f t="shared" si="23"/>
        <v>7681.79547111995</v>
      </c>
      <c r="CD41" s="100"/>
      <c r="CE41" s="99"/>
      <c r="CF41" s="99"/>
    </row>
    <row r="42" spans="2:84" x14ac:dyDescent="0.25">
      <c r="B42" s="41">
        <v>13</v>
      </c>
      <c r="C42" s="165">
        <v>40721</v>
      </c>
      <c r="D42" s="166">
        <v>0.254</v>
      </c>
      <c r="E42" s="26">
        <v>54.996199179022668</v>
      </c>
      <c r="F42" s="26">
        <v>7272.3189808998741</v>
      </c>
      <c r="G42" s="167">
        <v>228931.89676970223</v>
      </c>
      <c r="H42" s="81" t="str">
        <f>IF(ISERROR(VLOOKUP(#REF!,AB:AC,2,0)),"",VLOOKUP(#REF!,AB:AC,2,0))</f>
        <v/>
      </c>
      <c r="J42" s="9">
        <v>13</v>
      </c>
      <c r="K42" s="10">
        <v>41480</v>
      </c>
      <c r="L42" s="14">
        <v>0.52500000000000002</v>
      </c>
      <c r="M42" s="19">
        <v>30.75</v>
      </c>
      <c r="N42" s="19">
        <v>7526.35</v>
      </c>
      <c r="O42" s="19">
        <v>62723.47</v>
      </c>
      <c r="P42" s="19">
        <v>0</v>
      </c>
      <c r="Q42" s="1">
        <f t="shared" si="24"/>
        <v>0.52526832456913408</v>
      </c>
      <c r="R42" s="12">
        <f t="shared" ca="1" si="10"/>
        <v>362</v>
      </c>
      <c r="S42" s="88">
        <f t="shared" si="11"/>
        <v>7557.1</v>
      </c>
      <c r="T42" s="19">
        <f t="shared" si="12"/>
        <v>0</v>
      </c>
      <c r="U42" s="19">
        <f t="shared" si="0"/>
        <v>2634.2224999999999</v>
      </c>
      <c r="V42" s="19">
        <f t="shared" si="29"/>
        <v>98599.992000000027</v>
      </c>
      <c r="W42" s="20">
        <f t="shared" ca="1" si="1"/>
        <v>0</v>
      </c>
      <c r="X42" s="19">
        <f t="shared" ca="1" si="2"/>
        <v>2434.4256597582835</v>
      </c>
      <c r="Y42" s="19">
        <f t="shared" ca="1" si="3"/>
        <v>0</v>
      </c>
      <c r="Z42" s="20">
        <f t="shared" ca="1" si="13"/>
        <v>2434.4256597582835</v>
      </c>
      <c r="AA42" s="1">
        <f t="shared" si="25"/>
        <v>7526.35</v>
      </c>
      <c r="AB42" s="87">
        <v>40719</v>
      </c>
      <c r="AC42" s="88">
        <v>0</v>
      </c>
      <c r="AD42" s="101">
        <f t="shared" si="26"/>
        <v>41480</v>
      </c>
      <c r="AE42" s="103">
        <f t="shared" ca="1" si="27"/>
        <v>362</v>
      </c>
      <c r="AG42" s="1">
        <f t="shared" ca="1" si="4"/>
        <v>1.0055555555555555</v>
      </c>
      <c r="AH42" s="1">
        <f t="shared" si="14"/>
        <v>45.300943513228027</v>
      </c>
      <c r="AI42" s="1">
        <f t="shared" si="28"/>
        <v>7526.35</v>
      </c>
      <c r="AJ42" s="20">
        <f t="shared" si="30"/>
        <v>4937.4284435132286</v>
      </c>
      <c r="AK42" s="100">
        <f t="shared" si="5"/>
        <v>4909.4183667002253</v>
      </c>
      <c r="AL42" s="100">
        <f t="shared" si="6"/>
        <v>27.455543331718619</v>
      </c>
      <c r="AN42" s="100">
        <f t="shared" si="7"/>
        <v>7483.6529474688368</v>
      </c>
      <c r="AO42" s="20">
        <f t="shared" si="16"/>
        <v>4937.4284435132286</v>
      </c>
      <c r="AQ42" s="109">
        <f t="shared" si="17"/>
        <v>4771.2713830425391</v>
      </c>
      <c r="AU42" s="109">
        <f t="shared" si="18"/>
        <v>27.030313259967702</v>
      </c>
      <c r="AV42" s="101">
        <f t="shared" si="8"/>
        <v>41512</v>
      </c>
      <c r="AW42" s="99">
        <f t="shared" si="9"/>
        <v>4867.349766419572</v>
      </c>
      <c r="AX42" s="1">
        <f t="shared" ca="1" si="19"/>
        <v>7526.35</v>
      </c>
      <c r="AY42" s="29">
        <f t="shared" ca="1" si="20"/>
        <v>362</v>
      </c>
      <c r="AZ42" s="1">
        <f t="shared" ca="1" si="21"/>
        <v>1.0055555555555555</v>
      </c>
      <c r="CB42" s="20">
        <f t="shared" si="22"/>
        <v>0</v>
      </c>
      <c r="CC42" s="173">
        <f t="shared" si="23"/>
        <v>7571.6509435132284</v>
      </c>
      <c r="CD42" s="100"/>
      <c r="CE42" s="99"/>
      <c r="CF42" s="99"/>
    </row>
    <row r="43" spans="2:84" x14ac:dyDescent="0.25">
      <c r="B43" s="41">
        <v>14</v>
      </c>
      <c r="C43" s="165">
        <v>40688</v>
      </c>
      <c r="D43" s="166">
        <v>0.27300000000000002</v>
      </c>
      <c r="E43" s="26">
        <v>54.25655941683403</v>
      </c>
      <c r="F43" s="26">
        <v>2636.1007977723184</v>
      </c>
      <c r="G43" s="167">
        <v>236204.2157506021</v>
      </c>
      <c r="H43" s="81" t="str">
        <f>IF(ISERROR(VLOOKUP(#REF!,AB:AC,2,0)),"",VLOOKUP(#REF!,AB:AC,2,0))</f>
        <v/>
      </c>
      <c r="J43" s="7">
        <v>14</v>
      </c>
      <c r="K43" s="8">
        <v>41512</v>
      </c>
      <c r="L43" s="15">
        <v>0.53</v>
      </c>
      <c r="M43" s="21">
        <v>29.54</v>
      </c>
      <c r="N43" s="21">
        <v>7416.79</v>
      </c>
      <c r="O43" s="21">
        <v>55306.68</v>
      </c>
      <c r="P43" s="21">
        <v>0</v>
      </c>
      <c r="Q43" s="1">
        <f t="shared" si="24"/>
        <v>0.56514730450977924</v>
      </c>
      <c r="R43" s="12">
        <f t="shared" ca="1" si="10"/>
        <v>393</v>
      </c>
      <c r="S43" s="88">
        <f t="shared" si="11"/>
        <v>7446.33</v>
      </c>
      <c r="T43" s="19">
        <f t="shared" si="12"/>
        <v>0</v>
      </c>
      <c r="U43" s="19">
        <f t="shared" si="0"/>
        <v>2595.8764999999999</v>
      </c>
      <c r="V43" s="19">
        <f t="shared" si="29"/>
        <v>93779.078500000032</v>
      </c>
      <c r="W43" s="20">
        <f t="shared" ca="1" si="1"/>
        <v>0</v>
      </c>
      <c r="X43" s="19">
        <f t="shared" ca="1" si="2"/>
        <v>2382.8382856215912</v>
      </c>
      <c r="Y43" s="19">
        <f t="shared" ca="1" si="3"/>
        <v>0</v>
      </c>
      <c r="Z43" s="20">
        <f t="shared" ca="1" si="13"/>
        <v>2382.8382856215912</v>
      </c>
      <c r="AA43" s="1">
        <f t="shared" si="25"/>
        <v>7416.79</v>
      </c>
      <c r="AB43" s="89">
        <v>40688</v>
      </c>
      <c r="AC43" s="90">
        <v>0</v>
      </c>
      <c r="AD43" s="101">
        <f t="shared" si="26"/>
        <v>41512</v>
      </c>
      <c r="AE43" s="103">
        <f t="shared" ca="1" si="27"/>
        <v>393</v>
      </c>
      <c r="AG43" s="1">
        <f t="shared" ca="1" si="4"/>
        <v>1.0916666666666666</v>
      </c>
      <c r="AH43" s="1">
        <f t="shared" si="14"/>
        <v>46.43626641957151</v>
      </c>
      <c r="AI43" s="1">
        <f t="shared" si="28"/>
        <v>7416.79</v>
      </c>
      <c r="AJ43" s="20">
        <f t="shared" si="30"/>
        <v>4867.349766419572</v>
      </c>
      <c r="AK43" s="100">
        <f t="shared" si="5"/>
        <v>4835.3705257816573</v>
      </c>
      <c r="AL43" s="100">
        <f t="shared" si="6"/>
        <v>26.047017602820766</v>
      </c>
      <c r="AN43" s="100">
        <f t="shared" si="7"/>
        <v>7368.0605427895825</v>
      </c>
      <c r="AO43" s="20">
        <f t="shared" si="16"/>
        <v>4867.349766419572</v>
      </c>
      <c r="AQ43" s="109">
        <f t="shared" si="17"/>
        <v>4691.181850555181</v>
      </c>
      <c r="AU43" s="109">
        <f t="shared" si="18"/>
        <v>27.027940807385725</v>
      </c>
      <c r="AV43" s="101">
        <f t="shared" si="8"/>
        <v>41542</v>
      </c>
      <c r="AW43" s="99">
        <f t="shared" si="9"/>
        <v>4828.8251672891047</v>
      </c>
      <c r="AX43" s="1">
        <f t="shared" ca="1" si="19"/>
        <v>7416.79</v>
      </c>
      <c r="AY43" s="29">
        <f t="shared" ca="1" si="20"/>
        <v>393</v>
      </c>
      <c r="AZ43" s="1">
        <f t="shared" ca="1" si="21"/>
        <v>1.0916666666666666</v>
      </c>
      <c r="CB43" s="20">
        <f t="shared" si="22"/>
        <v>0</v>
      </c>
      <c r="CC43" s="173">
        <f t="shared" si="23"/>
        <v>7463.2262664195714</v>
      </c>
      <c r="CD43" s="100"/>
      <c r="CE43" s="99"/>
      <c r="CF43" s="99"/>
    </row>
    <row r="44" spans="2:84" x14ac:dyDescent="0.25">
      <c r="B44" s="41">
        <v>15</v>
      </c>
      <c r="C44" s="165">
        <v>40658</v>
      </c>
      <c r="D44" s="166">
        <v>0.309</v>
      </c>
      <c r="E44" s="26">
        <v>65.636657518023881</v>
      </c>
      <c r="F44" s="26">
        <v>7438.2155745641048</v>
      </c>
      <c r="G44" s="167">
        <v>238840.31654837442</v>
      </c>
      <c r="H44" s="81" t="str">
        <f>IF(ISERROR(VLOOKUP(#REF!,AB:AC,2,0)),"",VLOOKUP(#REF!,AB:AC,2,0))</f>
        <v/>
      </c>
      <c r="J44" s="9">
        <v>15</v>
      </c>
      <c r="K44" s="10">
        <v>41542</v>
      </c>
      <c r="L44" s="14">
        <v>0.53700000000000003</v>
      </c>
      <c r="M44" s="19">
        <v>24.73</v>
      </c>
      <c r="N44" s="19">
        <v>7364.45</v>
      </c>
      <c r="O44" s="19">
        <v>47942.23</v>
      </c>
      <c r="P44" s="19">
        <v>0</v>
      </c>
      <c r="Q44" s="1">
        <f t="shared" si="24"/>
        <v>0.53657171249476554</v>
      </c>
      <c r="R44" s="12">
        <f t="shared" ca="1" si="10"/>
        <v>422</v>
      </c>
      <c r="S44" s="88">
        <f t="shared" si="11"/>
        <v>7389.1799999999994</v>
      </c>
      <c r="T44" s="19">
        <f t="shared" si="12"/>
        <v>0</v>
      </c>
      <c r="U44" s="19">
        <f t="shared" si="0"/>
        <v>2577.5574999999999</v>
      </c>
      <c r="V44" s="19">
        <f t="shared" si="29"/>
        <v>88992.186000000031</v>
      </c>
      <c r="W44" s="20">
        <f t="shared" ca="1" si="1"/>
        <v>0</v>
      </c>
      <c r="X44" s="19">
        <f t="shared" ca="1" si="2"/>
        <v>2351.1191810442006</v>
      </c>
      <c r="Y44" s="19">
        <f t="shared" ca="1" si="3"/>
        <v>0</v>
      </c>
      <c r="Z44" s="20">
        <f t="shared" ca="1" si="13"/>
        <v>2351.1191810442006</v>
      </c>
      <c r="AA44" s="1">
        <f t="shared" si="25"/>
        <v>7364.45</v>
      </c>
      <c r="AB44" s="87">
        <v>40658</v>
      </c>
      <c r="AC44" s="88">
        <v>0</v>
      </c>
      <c r="AD44" s="101">
        <f t="shared" si="26"/>
        <v>41542</v>
      </c>
      <c r="AE44" s="103">
        <f t="shared" ca="1" si="27"/>
        <v>422</v>
      </c>
      <c r="AG44" s="1">
        <f t="shared" ca="1" si="4"/>
        <v>1.1722222222222223</v>
      </c>
      <c r="AH44" s="1">
        <f t="shared" si="14"/>
        <v>41.932667289105055</v>
      </c>
      <c r="AI44" s="1">
        <f t="shared" si="28"/>
        <v>7364.45</v>
      </c>
      <c r="AJ44" s="20">
        <f t="shared" si="30"/>
        <v>4828.8251672891047</v>
      </c>
      <c r="AK44" s="100">
        <f t="shared" si="5"/>
        <v>4796.5530922235384</v>
      </c>
      <c r="AL44" s="100">
        <f t="shared" si="6"/>
        <v>21.437037043264937</v>
      </c>
      <c r="AN44" s="100">
        <f t="shared" si="7"/>
        <v>7315.231799923803</v>
      </c>
      <c r="AO44" s="20">
        <f t="shared" si="16"/>
        <v>4828.8251672891047</v>
      </c>
      <c r="AQ44" s="109">
        <f t="shared" si="17"/>
        <v>4641.8125930089327</v>
      </c>
      <c r="AU44" s="109">
        <f t="shared" si="18"/>
        <v>27.025568563034088</v>
      </c>
      <c r="AV44" s="101">
        <f t="shared" si="8"/>
        <v>41572</v>
      </c>
      <c r="AW44" s="99">
        <f t="shared" si="9"/>
        <v>4775.0883631829392</v>
      </c>
      <c r="AX44" s="1">
        <f t="shared" ca="1" si="19"/>
        <v>7364.45</v>
      </c>
      <c r="AY44" s="29">
        <f t="shared" ca="1" si="20"/>
        <v>422</v>
      </c>
      <c r="AZ44" s="1">
        <f t="shared" ca="1" si="21"/>
        <v>1.1722222222222223</v>
      </c>
      <c r="CB44" s="20">
        <f t="shared" si="22"/>
        <v>0</v>
      </c>
      <c r="CC44" s="173">
        <f t="shared" si="23"/>
        <v>7406.3826672891046</v>
      </c>
      <c r="CD44" s="100"/>
      <c r="CE44" s="99"/>
      <c r="CF44" s="99"/>
    </row>
    <row r="45" spans="2:84" x14ac:dyDescent="0.25">
      <c r="B45" s="41">
        <v>16</v>
      </c>
      <c r="C45" s="165">
        <v>40627</v>
      </c>
      <c r="D45" s="166">
        <v>0.32200000000000001</v>
      </c>
      <c r="E45" s="26">
        <v>62.303817624606914</v>
      </c>
      <c r="F45" s="26">
        <v>2881.4304689812998</v>
      </c>
      <c r="G45" s="167">
        <v>246278.53212293854</v>
      </c>
      <c r="H45" s="81" t="str">
        <f>IF(ISERROR(VLOOKUP(#REF!,AB:AC,2,0)),"",VLOOKUP(#REF!,AB:AC,2,0))</f>
        <v/>
      </c>
      <c r="J45" s="7">
        <v>16</v>
      </c>
      <c r="K45" s="8">
        <v>41572</v>
      </c>
      <c r="L45" s="15">
        <v>0.54300000000000004</v>
      </c>
      <c r="M45" s="21">
        <v>21.7</v>
      </c>
      <c r="N45" s="21">
        <v>7284.32</v>
      </c>
      <c r="O45" s="21">
        <v>40657.910000000003</v>
      </c>
      <c r="P45" s="21">
        <v>0</v>
      </c>
      <c r="Q45" s="1">
        <f t="shared" si="24"/>
        <v>0.54315370811912589</v>
      </c>
      <c r="R45" s="12">
        <f t="shared" ca="1" si="10"/>
        <v>452</v>
      </c>
      <c r="S45" s="88">
        <f t="shared" si="11"/>
        <v>7306.0199999999995</v>
      </c>
      <c r="T45" s="19">
        <f t="shared" si="12"/>
        <v>0</v>
      </c>
      <c r="U45" s="19">
        <f t="shared" si="0"/>
        <v>2549.5119999999997</v>
      </c>
      <c r="V45" s="19">
        <f>IF(ISERROR(IF(V44+U45+T45+(V44*Q45/1200)-AA45-P45&lt;0,0,V44+U45+T45-AA45-P45)),0,IF(V44+U45+T45+(V44*Q45/1200)-AA45-CB45&lt;0,0,V44+U45+T45-AA45-CB45))</f>
        <v>84257.378000000026</v>
      </c>
      <c r="W45" s="20">
        <f t="shared" ca="1" si="1"/>
        <v>0</v>
      </c>
      <c r="X45" s="19">
        <f t="shared" ca="1" si="2"/>
        <v>2310.3855138511985</v>
      </c>
      <c r="Y45" s="19">
        <f t="shared" ca="1" si="3"/>
        <v>0</v>
      </c>
      <c r="Z45" s="20">
        <f t="shared" ca="1" si="13"/>
        <v>2310.3855138511985</v>
      </c>
      <c r="AA45" s="1">
        <f t="shared" si="25"/>
        <v>7284.32</v>
      </c>
      <c r="AB45" s="89">
        <v>40627</v>
      </c>
      <c r="AC45" s="90">
        <v>0</v>
      </c>
      <c r="AD45" s="101">
        <f t="shared" si="26"/>
        <v>41572</v>
      </c>
      <c r="AE45" s="103">
        <f t="shared" ca="1" si="27"/>
        <v>452</v>
      </c>
      <c r="AG45" s="1">
        <f t="shared" ca="1" si="4"/>
        <v>1.2555555555555555</v>
      </c>
      <c r="AH45" s="1">
        <f t="shared" si="14"/>
        <v>40.280363182939148</v>
      </c>
      <c r="AI45" s="1">
        <f t="shared" si="28"/>
        <v>7284.32</v>
      </c>
      <c r="AJ45" s="20">
        <f t="shared" si="30"/>
        <v>4775.0883631829392</v>
      </c>
      <c r="AK45" s="100">
        <f t="shared" si="5"/>
        <v>4740.6396230817481</v>
      </c>
      <c r="AL45" s="100">
        <f t="shared" si="6"/>
        <v>18.402912150728078</v>
      </c>
      <c r="AN45" s="100">
        <f t="shared" si="7"/>
        <v>7231.7690046239395</v>
      </c>
      <c r="AO45" s="20">
        <f t="shared" si="16"/>
        <v>4775.0883631829392</v>
      </c>
      <c r="AQ45" s="109">
        <f t="shared" si="17"/>
        <v>4578.0859452187287</v>
      </c>
      <c r="AU45" s="109">
        <f t="shared" si="18"/>
        <v>27.023196526894509</v>
      </c>
      <c r="AV45" s="101">
        <f t="shared" si="8"/>
        <v>41603</v>
      </c>
      <c r="AW45" s="99">
        <f t="shared" si="9"/>
        <v>4714.199100266098</v>
      </c>
      <c r="AX45" s="1">
        <f t="shared" ca="1" si="19"/>
        <v>7284.32</v>
      </c>
      <c r="AY45" s="29">
        <f t="shared" ca="1" si="20"/>
        <v>452</v>
      </c>
      <c r="AZ45" s="1">
        <f t="shared" ca="1" si="21"/>
        <v>1.2555555555555555</v>
      </c>
      <c r="CB45" s="20">
        <f t="shared" si="22"/>
        <v>0</v>
      </c>
      <c r="CC45" s="173">
        <f t="shared" si="23"/>
        <v>7324.600363182939</v>
      </c>
      <c r="CD45" s="100"/>
      <c r="CE45" s="99"/>
      <c r="CF45" s="99"/>
    </row>
    <row r="46" spans="2:84" x14ac:dyDescent="0.25">
      <c r="B46" s="41">
        <v>17</v>
      </c>
      <c r="C46" s="165">
        <v>40599</v>
      </c>
      <c r="D46" s="166">
        <v>0.32</v>
      </c>
      <c r="E46" s="26">
        <v>69.718179126691354</v>
      </c>
      <c r="F46" s="26">
        <v>3849.5529834444237</v>
      </c>
      <c r="G46" s="167">
        <v>249159.96259191984</v>
      </c>
      <c r="H46" s="81" t="str">
        <f>IF(ISERROR(VLOOKUP(#REF!,AB:AC,2,0)),"",VLOOKUP(#REF!,AB:AC,2,0))</f>
        <v/>
      </c>
      <c r="J46" s="9">
        <v>17</v>
      </c>
      <c r="K46" s="10">
        <v>41603</v>
      </c>
      <c r="L46" s="14">
        <v>0.54800000000000004</v>
      </c>
      <c r="M46" s="19">
        <v>19.2</v>
      </c>
      <c r="N46" s="19">
        <v>7191.4</v>
      </c>
      <c r="O46" s="19">
        <v>33466.51</v>
      </c>
      <c r="P46" s="19">
        <v>0</v>
      </c>
      <c r="Q46" s="1">
        <f t="shared" si="24"/>
        <v>0.56667939891647157</v>
      </c>
      <c r="R46" s="12">
        <f t="shared" ca="1" si="10"/>
        <v>482</v>
      </c>
      <c r="S46" s="88">
        <f t="shared" si="11"/>
        <v>7210.5999999999995</v>
      </c>
      <c r="T46" s="19">
        <f t="shared" si="12"/>
        <v>0</v>
      </c>
      <c r="U46" s="19">
        <f t="shared" si="0"/>
        <v>2516.9899999999998</v>
      </c>
      <c r="V46" s="19">
        <f t="shared" si="29"/>
        <v>79582.968000000037</v>
      </c>
      <c r="W46" s="20">
        <f t="shared" ca="1" si="1"/>
        <v>0</v>
      </c>
      <c r="X46" s="19">
        <f t="shared" ca="1" si="2"/>
        <v>2266.052631736266</v>
      </c>
      <c r="Y46" s="19">
        <f t="shared" ca="1" si="3"/>
        <v>0</v>
      </c>
      <c r="Z46" s="20">
        <f t="shared" ca="1" si="13"/>
        <v>2266.052631736266</v>
      </c>
      <c r="AA46" s="1">
        <f t="shared" si="25"/>
        <v>7191.4</v>
      </c>
      <c r="AB46" s="87">
        <v>40599</v>
      </c>
      <c r="AC46" s="88">
        <v>0</v>
      </c>
      <c r="AD46" s="101">
        <f t="shared" si="26"/>
        <v>41603</v>
      </c>
      <c r="AE46" s="103">
        <f t="shared" ca="1" si="27"/>
        <v>482</v>
      </c>
      <c r="AG46" s="1">
        <f t="shared" ca="1" si="4"/>
        <v>1.3388888888888888</v>
      </c>
      <c r="AH46" s="1">
        <f>IF(ISERROR(IF(V45+U46+T46+(V45*Q46/1200)-AA46-P46&lt;0,0,(V45*Q46/1200))),0,IF(V45+U46+T46+(V45*Q46/1200)-AA46-P46&lt;0,0,(V45*Q46/1200)))</f>
        <v>39.789100266098288</v>
      </c>
      <c r="AI46" s="1">
        <f t="shared" si="28"/>
        <v>7191.4</v>
      </c>
      <c r="AJ46" s="20">
        <f t="shared" si="30"/>
        <v>4714.199100266098</v>
      </c>
      <c r="AK46" s="100">
        <f t="shared" si="5"/>
        <v>4676.514073779279</v>
      </c>
      <c r="AL46" s="100">
        <f>IF(ISERROR((Q46/1200)*O46),0,(Q46/1200)*O46)</f>
        <v>15.80398480886007</v>
      </c>
      <c r="AN46" s="100">
        <f>IF(ISERROR(AA46/(1+(Q46)/1200)^(ROW()-29)),0,AA46/(1+(Q46)/1200)^(ROW()-29))</f>
        <v>7133.9123772430376</v>
      </c>
      <c r="AO46" s="20">
        <f>IF(ISERROR(V45+U46+T46+(V45*Q46/1200)-AA46-P46),0,IF(V45+U46+T46+(V45*Q46/1200)-AA46-P46&lt;0,V45,-(U46+T46-AA46+P46-AH46)))</f>
        <v>4714.199100266098</v>
      </c>
      <c r="AQ46" s="109">
        <f t="shared" si="17"/>
        <v>4507.823025577607</v>
      </c>
      <c r="AU46" s="109">
        <f t="shared" si="18"/>
        <v>27.020824698948708</v>
      </c>
      <c r="AV46" s="101">
        <f t="shared" si="8"/>
        <v>41634</v>
      </c>
      <c r="AW46" s="99">
        <f t="shared" si="9"/>
        <v>4661.4632524505851</v>
      </c>
      <c r="AX46" s="1">
        <f t="shared" ca="1" si="19"/>
        <v>7191.4</v>
      </c>
      <c r="AY46" s="29">
        <f t="shared" ca="1" si="20"/>
        <v>482</v>
      </c>
      <c r="AZ46" s="1">
        <f t="shared" ca="1" si="21"/>
        <v>1.3388888888888888</v>
      </c>
      <c r="CB46" s="20">
        <f t="shared" si="22"/>
        <v>0</v>
      </c>
      <c r="CC46" s="173">
        <f t="shared" si="23"/>
        <v>7231.1891002660977</v>
      </c>
      <c r="CD46" s="100"/>
      <c r="CE46" s="99"/>
      <c r="CF46" s="99"/>
    </row>
    <row r="47" spans="2:84" x14ac:dyDescent="0.25">
      <c r="B47" s="41">
        <v>18</v>
      </c>
      <c r="C47" s="165">
        <v>40568</v>
      </c>
      <c r="D47" s="166">
        <v>0.32100000000000001</v>
      </c>
      <c r="E47" s="26">
        <v>65.554479767629815</v>
      </c>
      <c r="F47" s="26">
        <v>796.91857441207287</v>
      </c>
      <c r="G47" s="167">
        <v>253009.51557536426</v>
      </c>
      <c r="H47" s="81" t="str">
        <f>IF(ISERROR(VLOOKUP(#REF!,AB:AC,2,0)),"",VLOOKUP(#REF!,AB:AC,2,0))</f>
        <v/>
      </c>
      <c r="J47" s="7">
        <v>18</v>
      </c>
      <c r="K47" s="8">
        <v>41634</v>
      </c>
      <c r="L47" s="15">
        <v>0.55500000000000005</v>
      </c>
      <c r="M47" s="21">
        <v>15.98</v>
      </c>
      <c r="N47" s="21">
        <v>7113.02</v>
      </c>
      <c r="O47" s="21">
        <v>26353.49</v>
      </c>
      <c r="P47" s="21">
        <v>0</v>
      </c>
      <c r="Q47" s="1">
        <f t="shared" si="24"/>
        <v>0.57299073013588808</v>
      </c>
      <c r="R47" s="12">
        <f t="shared" ca="1" si="10"/>
        <v>513</v>
      </c>
      <c r="S47" s="88">
        <f t="shared" si="11"/>
        <v>7129</v>
      </c>
      <c r="T47" s="19">
        <f t="shared" si="12"/>
        <v>0</v>
      </c>
      <c r="U47" s="19">
        <f t="shared" si="0"/>
        <v>2489.5569999999998</v>
      </c>
      <c r="V47" s="19">
        <f t="shared" si="29"/>
        <v>74959.505000000034</v>
      </c>
      <c r="W47" s="20">
        <f t="shared" ca="1" si="1"/>
        <v>0</v>
      </c>
      <c r="X47" s="19">
        <f t="shared" ca="1" si="2"/>
        <v>2226.2660176887834</v>
      </c>
      <c r="Y47" s="19">
        <f t="shared" ca="1" si="3"/>
        <v>0</v>
      </c>
      <c r="Z47" s="20">
        <f t="shared" ca="1" si="13"/>
        <v>2226.2660176887834</v>
      </c>
      <c r="AA47" s="1">
        <f t="shared" si="25"/>
        <v>7113.02</v>
      </c>
      <c r="AB47" s="89">
        <v>40568</v>
      </c>
      <c r="AC47" s="90">
        <v>0</v>
      </c>
      <c r="AD47" s="101">
        <f t="shared" si="26"/>
        <v>41634</v>
      </c>
      <c r="AE47" s="103">
        <f t="shared" ca="1" si="27"/>
        <v>513</v>
      </c>
      <c r="AG47" s="1">
        <f t="shared" ca="1" si="4"/>
        <v>1.425</v>
      </c>
      <c r="AH47" s="1">
        <f t="shared" ref="AH47:AH110" si="31">IF(ISERROR(IF(V46+U47+T47+(V46*Q47/1200)-AA47-P47&lt;0,0,(V46*Q47/1200))),0,IF(V46+U47+T47+(V46*Q47/1200)-AA47-P47&lt;0,0,(V46*Q47/1200)))</f>
        <v>38.000252450584199</v>
      </c>
      <c r="AI47" s="1">
        <f t="shared" si="28"/>
        <v>7113.02</v>
      </c>
      <c r="AJ47" s="20">
        <f t="shared" si="30"/>
        <v>4661.4632524505851</v>
      </c>
      <c r="AK47" s="100">
        <f t="shared" ref="AK47:AK110" si="32">IF(ISERROR(AJ47/(1+(Q47)/1200)^(ROW()-29)),0,AJ47/(1+(Q47)/1200)^(ROW()-29))</f>
        <v>4621.5797871103805</v>
      </c>
      <c r="AL47" s="100">
        <f t="shared" ref="AL47:AL110" si="33">IF(ISERROR((Q47/1200)*O47),0,(Q47/1200)*O47)</f>
        <v>12.583587897274022</v>
      </c>
      <c r="AN47" s="100">
        <f t="shared" ref="AN47:AN110" si="34">IF(ISERROR(AA47/(1+(Q47)/1200)^(ROW()-29)),0,AA47/(1+(Q47)/1200)^(ROW()-29))</f>
        <v>7052.1610226209468</v>
      </c>
      <c r="AO47" s="20">
        <f t="shared" ref="AO47:AO110" si="35">IF(ISERROR(V46+U47+T47+(V46*Q47/1200)-AA47-P47),0,IF(V46+U47+T47+(V46*Q47/1200)-AA47-P47&lt;0,V46,-(U47+T47-AA47+P47-AH47)))</f>
        <v>4661.4632524505851</v>
      </c>
      <c r="AQ47" s="109">
        <f t="shared" si="17"/>
        <v>4445.6739698376095</v>
      </c>
      <c r="AU47" s="109">
        <f t="shared" si="18"/>
        <v>27.018453079178435</v>
      </c>
      <c r="AV47" s="101">
        <f t="shared" si="8"/>
        <v>41666</v>
      </c>
      <c r="AW47" s="99">
        <f t="shared" si="9"/>
        <v>4599.8463425652553</v>
      </c>
      <c r="AX47" s="1">
        <f t="shared" ca="1" si="19"/>
        <v>7113.02</v>
      </c>
      <c r="AY47" s="29">
        <f t="shared" ca="1" si="20"/>
        <v>513</v>
      </c>
      <c r="AZ47" s="1">
        <f t="shared" ca="1" si="21"/>
        <v>1.425</v>
      </c>
      <c r="CB47" s="20">
        <f t="shared" si="22"/>
        <v>0</v>
      </c>
      <c r="CC47" s="173">
        <f t="shared" si="23"/>
        <v>7151.0202524505848</v>
      </c>
      <c r="CD47" s="100"/>
      <c r="CE47" s="99"/>
      <c r="CF47" s="99"/>
    </row>
    <row r="48" spans="2:84" x14ac:dyDescent="0.25">
      <c r="B48" s="41">
        <v>19</v>
      </c>
      <c r="C48" s="165">
        <v>40539</v>
      </c>
      <c r="D48" s="166">
        <v>0.313</v>
      </c>
      <c r="E48" s="26">
        <v>69.380826258471828</v>
      </c>
      <c r="F48" s="26">
        <v>3248.4431037104014</v>
      </c>
      <c r="G48" s="167">
        <v>253806.43414977635</v>
      </c>
      <c r="H48" s="81" t="str">
        <f>IF(ISERROR(VLOOKUP(#REF!,AB:AC,2,0)),"",VLOOKUP(#REF!,AB:AC,2,0))</f>
        <v/>
      </c>
      <c r="J48" s="9">
        <v>19</v>
      </c>
      <c r="K48" s="10">
        <v>41666</v>
      </c>
      <c r="L48" s="14">
        <v>0.56399999999999995</v>
      </c>
      <c r="M48" s="19">
        <v>13.21</v>
      </c>
      <c r="N48" s="19">
        <v>7018.88</v>
      </c>
      <c r="O48" s="19">
        <v>19334.61</v>
      </c>
      <c r="P48" s="19">
        <v>0</v>
      </c>
      <c r="Q48" s="1">
        <f t="shared" si="24"/>
        <v>0.60151425864278318</v>
      </c>
      <c r="R48" s="12">
        <f t="shared" ref="R48:R63" ca="1" si="36">IF(ROW()&gt;$T$20,R47+30,DAYS360(K47,K48)+R47)</f>
        <v>544</v>
      </c>
      <c r="S48" s="88">
        <f t="shared" si="11"/>
        <v>7032.09</v>
      </c>
      <c r="T48" s="19">
        <f t="shared" si="12"/>
        <v>0</v>
      </c>
      <c r="U48" s="19">
        <f t="shared" si="0"/>
        <v>2456.6079999999997</v>
      </c>
      <c r="V48" s="19">
        <f t="shared" si="29"/>
        <v>70397.233000000022</v>
      </c>
      <c r="W48" s="20">
        <f t="shared" ref="W48:W63" ca="1" si="37">(T48)/(1+((1+$T$12)^$R48-1))</f>
        <v>0</v>
      </c>
      <c r="X48" s="19">
        <f t="shared" ref="X48:X63" ca="1" si="38">(U48)/(1+((1+$T$12)^$R48-1))</f>
        <v>2182.0129575767241</v>
      </c>
      <c r="Y48" s="19">
        <f t="shared" ref="Y48:Y63" ca="1" si="39">P48/(1+((1+$T$12)^$R48-1))</f>
        <v>0</v>
      </c>
      <c r="Z48" s="20">
        <f t="shared" ref="Z48:Z63" ca="1" si="40">W48+X48</f>
        <v>2182.0129575767241</v>
      </c>
      <c r="AA48" s="1">
        <f t="shared" si="25"/>
        <v>7018.88</v>
      </c>
      <c r="AB48" s="87">
        <v>40537</v>
      </c>
      <c r="AC48" s="88">
        <v>0</v>
      </c>
      <c r="AD48" s="101">
        <f t="shared" si="26"/>
        <v>41666</v>
      </c>
      <c r="AE48" s="103">
        <f t="shared" ca="1" si="27"/>
        <v>544</v>
      </c>
      <c r="AG48" s="1">
        <f t="shared" ca="1" si="4"/>
        <v>1.5111111111111111</v>
      </c>
      <c r="AH48" s="1">
        <f t="shared" si="31"/>
        <v>37.574342565254184</v>
      </c>
      <c r="AI48" s="1">
        <f t="shared" si="28"/>
        <v>7018.88</v>
      </c>
      <c r="AJ48" s="20">
        <f t="shared" si="30"/>
        <v>4599.8463425652553</v>
      </c>
      <c r="AK48" s="100">
        <f t="shared" si="32"/>
        <v>4556.2563460219881</v>
      </c>
      <c r="AL48" s="100">
        <f t="shared" si="33"/>
        <v>9.6917030002477862</v>
      </c>
      <c r="AN48" s="100">
        <f t="shared" si="34"/>
        <v>6952.3662662462366</v>
      </c>
      <c r="AO48" s="20">
        <f t="shared" si="35"/>
        <v>4599.8463425652553</v>
      </c>
      <c r="AQ48" s="109">
        <f t="shared" si="17"/>
        <v>4375.3729486959837</v>
      </c>
      <c r="AU48" s="109">
        <f t="shared" si="18"/>
        <v>27.016081667565395</v>
      </c>
      <c r="AV48" s="101">
        <f t="shared" si="8"/>
        <v>41695</v>
      </c>
      <c r="AW48" s="99">
        <f t="shared" si="9"/>
        <v>4571.0364120375325</v>
      </c>
      <c r="AX48" s="1">
        <f t="shared" ca="1" si="19"/>
        <v>7018.88</v>
      </c>
      <c r="AY48" s="29">
        <f t="shared" ca="1" si="20"/>
        <v>544</v>
      </c>
      <c r="AZ48" s="1">
        <f t="shared" ca="1" si="21"/>
        <v>1.5111111111111111</v>
      </c>
      <c r="CB48" s="20">
        <f t="shared" si="22"/>
        <v>0</v>
      </c>
      <c r="CC48" s="173">
        <f t="shared" si="23"/>
        <v>7056.4543425652555</v>
      </c>
      <c r="CD48" s="100"/>
      <c r="CE48" s="99"/>
      <c r="CF48" s="99"/>
    </row>
    <row r="49" spans="2:84" x14ac:dyDescent="0.25">
      <c r="B49" s="41">
        <v>20</v>
      </c>
      <c r="C49" s="165">
        <v>40508</v>
      </c>
      <c r="D49" s="166">
        <v>0.316</v>
      </c>
      <c r="E49" s="26">
        <v>73.783417218119098</v>
      </c>
      <c r="F49" s="26">
        <v>5415.7567234522649</v>
      </c>
      <c r="G49" s="167">
        <v>257054.87725348675</v>
      </c>
      <c r="H49" s="81" t="str">
        <f>IF(ISERROR(VLOOKUP(#REF!,AB:AC,2,0)),"",VLOOKUP(#REF!,AB:AC,2,0))</f>
        <v/>
      </c>
      <c r="J49" s="7">
        <v>20</v>
      </c>
      <c r="K49" s="8">
        <v>41695</v>
      </c>
      <c r="L49" s="15">
        <v>0.57499999999999996</v>
      </c>
      <c r="M49" s="21">
        <v>8.9499999999999993</v>
      </c>
      <c r="N49" s="21">
        <v>6982.23</v>
      </c>
      <c r="O49" s="21">
        <v>12352.38</v>
      </c>
      <c r="P49" s="21">
        <v>0</v>
      </c>
      <c r="Q49" s="1">
        <f t="shared" si="24"/>
        <v>0.55548056050781469</v>
      </c>
      <c r="R49" s="12">
        <f t="shared" ca="1" si="36"/>
        <v>572</v>
      </c>
      <c r="S49" s="88">
        <f t="shared" si="11"/>
        <v>6991.1799999999994</v>
      </c>
      <c r="T49" s="19">
        <f t="shared" si="12"/>
        <v>0</v>
      </c>
      <c r="U49" s="19">
        <f t="shared" si="0"/>
        <v>2443.7804999999998</v>
      </c>
      <c r="V49" s="19">
        <f t="shared" si="29"/>
        <v>65858.78350000002</v>
      </c>
      <c r="W49" s="20">
        <f t="shared" ca="1" si="37"/>
        <v>0</v>
      </c>
      <c r="X49" s="19">
        <f t="shared" ca="1" si="38"/>
        <v>2157.4166591743847</v>
      </c>
      <c r="Y49" s="19">
        <f t="shared" ca="1" si="39"/>
        <v>0</v>
      </c>
      <c r="Z49" s="20">
        <f t="shared" ca="1" si="40"/>
        <v>2157.4166591743847</v>
      </c>
      <c r="AA49" s="1">
        <f t="shared" si="25"/>
        <v>6982.23</v>
      </c>
      <c r="AB49" s="89">
        <v>40507</v>
      </c>
      <c r="AC49" s="90">
        <v>0</v>
      </c>
      <c r="AD49" s="101">
        <f t="shared" si="26"/>
        <v>41695</v>
      </c>
      <c r="AE49" s="103">
        <f t="shared" ca="1" si="27"/>
        <v>572</v>
      </c>
      <c r="AG49" s="1">
        <f t="shared" ca="1" si="4"/>
        <v>1.5888888888888888</v>
      </c>
      <c r="AH49" s="1">
        <f t="shared" si="31"/>
        <v>32.586912037532699</v>
      </c>
      <c r="AI49" s="1">
        <f t="shared" si="28"/>
        <v>6982.23</v>
      </c>
      <c r="AJ49" s="20">
        <f t="shared" si="30"/>
        <v>4571.0364120375325</v>
      </c>
      <c r="AK49" s="100">
        <f t="shared" si="32"/>
        <v>4528.9227059802315</v>
      </c>
      <c r="AL49" s="100">
        <f t="shared" si="33"/>
        <v>5.7179224716712662</v>
      </c>
      <c r="AN49" s="100">
        <f t="shared" si="34"/>
        <v>6917.9015730659867</v>
      </c>
      <c r="AO49" s="20">
        <f t="shared" si="35"/>
        <v>4571.0364120375325</v>
      </c>
      <c r="AQ49" s="109">
        <f t="shared" si="17"/>
        <v>4336.5348601150918</v>
      </c>
      <c r="AU49" s="109">
        <f t="shared" si="18"/>
        <v>27.013710464091325</v>
      </c>
      <c r="AV49" s="101">
        <f t="shared" si="8"/>
        <v>41723</v>
      </c>
      <c r="AW49" s="99">
        <f t="shared" si="9"/>
        <v>4527.7273382295562</v>
      </c>
      <c r="AX49" s="1">
        <f t="shared" ca="1" si="19"/>
        <v>6982.23</v>
      </c>
      <c r="AY49" s="29">
        <f t="shared" ca="1" si="20"/>
        <v>572</v>
      </c>
      <c r="AZ49" s="1">
        <f t="shared" ca="1" si="21"/>
        <v>1.5888888888888888</v>
      </c>
      <c r="CB49" s="20">
        <f t="shared" ref="CB49:CB109" si="41">IF(O49=0,IF(P49&gt;0,V48,IF(O48=0,0,P49)),IF(O48=0,0,P49))</f>
        <v>0</v>
      </c>
      <c r="CC49" s="173">
        <f t="shared" si="23"/>
        <v>7014.8169120375323</v>
      </c>
      <c r="CD49" s="100"/>
      <c r="CE49" s="99"/>
      <c r="CF49" s="99"/>
    </row>
    <row r="50" spans="2:84" x14ac:dyDescent="0.25">
      <c r="B50" s="41">
        <v>21</v>
      </c>
      <c r="C50" s="165">
        <v>40476</v>
      </c>
      <c r="D50" s="166">
        <v>0.316</v>
      </c>
      <c r="E50" s="26">
        <v>65.728957454810228</v>
      </c>
      <c r="F50" s="26">
        <v>4750.3538364286678</v>
      </c>
      <c r="G50" s="167">
        <v>262470.63397693902</v>
      </c>
      <c r="H50" s="81" t="str">
        <f>IF(ISERROR(VLOOKUP(#REF!,AB:AC,2,0)),"",VLOOKUP(#REF!,AB:AC,2,0))</f>
        <v/>
      </c>
      <c r="J50" s="9">
        <v>21</v>
      </c>
      <c r="K50" s="10">
        <v>41723</v>
      </c>
      <c r="L50" s="14">
        <v>0.58299999999999996</v>
      </c>
      <c r="M50" s="19">
        <v>5.6</v>
      </c>
      <c r="N50" s="19">
        <v>6919.8</v>
      </c>
      <c r="O50" s="19">
        <v>5432.58</v>
      </c>
      <c r="P50" s="19">
        <v>0</v>
      </c>
      <c r="Q50" s="1">
        <f t="shared" si="24"/>
        <v>0.54402471426559096</v>
      </c>
      <c r="R50" s="12">
        <f t="shared" ca="1" si="36"/>
        <v>602</v>
      </c>
      <c r="S50" s="88">
        <f t="shared" si="11"/>
        <v>6925.4000000000005</v>
      </c>
      <c r="T50" s="19">
        <f t="shared" si="12"/>
        <v>0</v>
      </c>
      <c r="U50" s="19">
        <f t="shared" si="0"/>
        <v>2421.9299999999998</v>
      </c>
      <c r="V50" s="19">
        <f t="shared" si="29"/>
        <v>61360.91350000001</v>
      </c>
      <c r="W50" s="20">
        <f t="shared" ca="1" si="37"/>
        <v>0</v>
      </c>
      <c r="X50" s="19">
        <f t="shared" ca="1" si="38"/>
        <v>2124.1957215706216</v>
      </c>
      <c r="Y50" s="19">
        <f t="shared" ca="1" si="39"/>
        <v>0</v>
      </c>
      <c r="Z50" s="20">
        <f t="shared" ca="1" si="40"/>
        <v>2124.1957215706216</v>
      </c>
      <c r="AA50" s="1">
        <f t="shared" si="25"/>
        <v>6919.8</v>
      </c>
      <c r="AB50" s="87">
        <v>40476</v>
      </c>
      <c r="AC50" s="88">
        <v>0</v>
      </c>
      <c r="AD50" s="101">
        <f t="shared" si="26"/>
        <v>41723</v>
      </c>
      <c r="AE50" s="103">
        <f t="shared" ca="1" si="27"/>
        <v>602</v>
      </c>
      <c r="AG50" s="1">
        <f t="shared" ca="1" si="4"/>
        <v>1.6722222222222223</v>
      </c>
      <c r="AH50" s="1">
        <f t="shared" si="31"/>
        <v>29.857338229555772</v>
      </c>
      <c r="AI50" s="1">
        <f t="shared" si="28"/>
        <v>6919.8</v>
      </c>
      <c r="AJ50" s="20">
        <f t="shared" si="30"/>
        <v>4527.7273382295562</v>
      </c>
      <c r="AK50" s="100">
        <f t="shared" si="32"/>
        <v>4484.8356352338251</v>
      </c>
      <c r="AL50" s="100">
        <f t="shared" si="33"/>
        <v>2.4628814851874701</v>
      </c>
      <c r="AN50" s="100">
        <f t="shared" si="34"/>
        <v>6854.2479063737273</v>
      </c>
      <c r="AO50" s="20">
        <f t="shared" si="35"/>
        <v>4527.7273382295562</v>
      </c>
      <c r="AQ50" s="109">
        <f t="shared" si="17"/>
        <v>4284.1516416915911</v>
      </c>
      <c r="AU50" s="109">
        <f t="shared" si="18"/>
        <v>27.011339468737958</v>
      </c>
      <c r="AV50" s="101">
        <f t="shared" si="8"/>
        <v>41754</v>
      </c>
      <c r="AW50" s="99">
        <f t="shared" si="9"/>
        <v>5463.6412107184797</v>
      </c>
      <c r="AX50" s="1">
        <f t="shared" ca="1" si="19"/>
        <v>6919.8</v>
      </c>
      <c r="AY50" s="29">
        <f t="shared" ca="1" si="20"/>
        <v>602</v>
      </c>
      <c r="AZ50" s="1">
        <f t="shared" ca="1" si="21"/>
        <v>1.6722222222222223</v>
      </c>
      <c r="CB50" s="20">
        <f t="shared" si="41"/>
        <v>0</v>
      </c>
      <c r="CC50" s="173">
        <f t="shared" si="23"/>
        <v>6949.6573382295555</v>
      </c>
      <c r="CD50" s="100"/>
      <c r="CE50" s="99"/>
      <c r="CF50" s="99"/>
    </row>
    <row r="51" spans="2:84" x14ac:dyDescent="0.25">
      <c r="B51" s="41">
        <v>22</v>
      </c>
      <c r="C51" s="165">
        <v>40448</v>
      </c>
      <c r="D51" s="166">
        <v>0.32400000000000001</v>
      </c>
      <c r="E51" s="26">
        <v>81.006257351587934</v>
      </c>
      <c r="F51" s="26">
        <v>5737.9676010018165</v>
      </c>
      <c r="G51" s="167">
        <v>267220.98781336768</v>
      </c>
      <c r="H51" s="81" t="str">
        <f>IF(ISERROR(VLOOKUP(#REF!,AB:AC,2,0)),"",VLOOKUP(#REF!,AB:AC,2,0))</f>
        <v/>
      </c>
      <c r="J51" s="7">
        <v>22</v>
      </c>
      <c r="K51" s="8">
        <v>41754</v>
      </c>
      <c r="L51" s="15">
        <v>0.58799999999999997</v>
      </c>
      <c r="M51" s="21">
        <v>2.75</v>
      </c>
      <c r="N51" s="21">
        <v>5432.58</v>
      </c>
      <c r="O51" s="21">
        <v>0</v>
      </c>
      <c r="P51" s="21">
        <v>0</v>
      </c>
      <c r="Q51" s="1">
        <f t="shared" si="24"/>
        <v>0.60744618579017706</v>
      </c>
      <c r="R51" s="12">
        <f t="shared" ca="1" si="36"/>
        <v>632</v>
      </c>
      <c r="S51" s="88">
        <f t="shared" si="11"/>
        <v>5435.33</v>
      </c>
      <c r="T51" s="19">
        <f t="shared" si="12"/>
        <v>0</v>
      </c>
      <c r="U51" s="19">
        <f t="shared" si="0"/>
        <v>0</v>
      </c>
      <c r="V51" s="19">
        <f t="shared" si="29"/>
        <v>55928.333500000008</v>
      </c>
      <c r="W51" s="20">
        <f t="shared" ca="1" si="37"/>
        <v>0</v>
      </c>
      <c r="X51" s="19">
        <f t="shared" ca="1" si="38"/>
        <v>0</v>
      </c>
      <c r="Y51" s="19">
        <f t="shared" ca="1" si="39"/>
        <v>0</v>
      </c>
      <c r="Z51" s="20">
        <f t="shared" ca="1" si="40"/>
        <v>0</v>
      </c>
      <c r="AA51" s="1">
        <f t="shared" si="25"/>
        <v>5432.58</v>
      </c>
      <c r="AB51" s="89">
        <v>40446</v>
      </c>
      <c r="AC51" s="90">
        <v>0</v>
      </c>
      <c r="AD51" s="101">
        <f t="shared" si="26"/>
        <v>41754</v>
      </c>
      <c r="AE51" s="103">
        <f t="shared" ca="1" si="27"/>
        <v>632</v>
      </c>
      <c r="AG51" s="1">
        <f t="shared" ca="1" si="4"/>
        <v>1.7555555555555555</v>
      </c>
      <c r="AH51" s="1">
        <f t="shared" si="31"/>
        <v>31.061210718479991</v>
      </c>
      <c r="AI51" s="1">
        <f t="shared" si="28"/>
        <v>5432.58</v>
      </c>
      <c r="AJ51" s="20">
        <f t="shared" si="30"/>
        <v>5463.6412107184797</v>
      </c>
      <c r="AK51" s="100">
        <f t="shared" si="32"/>
        <v>5403.1480731719603</v>
      </c>
      <c r="AL51" s="100">
        <f t="shared" si="33"/>
        <v>0</v>
      </c>
      <c r="AN51" s="100">
        <f t="shared" si="34"/>
        <v>5372.4307704847524</v>
      </c>
      <c r="AO51" s="20">
        <f t="shared" si="35"/>
        <v>5463.6412107184797</v>
      </c>
      <c r="AQ51" s="109">
        <f t="shared" si="17"/>
        <v>5156.1215797390641</v>
      </c>
      <c r="AU51" s="109">
        <f t="shared" si="18"/>
        <v>27.008968681487037</v>
      </c>
      <c r="AV51" s="101">
        <f t="shared" si="8"/>
        <v>41784</v>
      </c>
      <c r="AW51" s="99">
        <f t="shared" si="9"/>
        <v>5460.8912107184797</v>
      </c>
      <c r="AX51" s="1">
        <f t="shared" ca="1" si="19"/>
        <v>5432.58</v>
      </c>
      <c r="AY51" s="29">
        <f t="shared" ca="1" si="20"/>
        <v>632</v>
      </c>
      <c r="AZ51" s="1">
        <f t="shared" ca="1" si="21"/>
        <v>1.7555555555555555</v>
      </c>
      <c r="CB51" s="20">
        <f t="shared" si="41"/>
        <v>0</v>
      </c>
      <c r="CC51" s="173">
        <f t="shared" si="23"/>
        <v>5463.6412107184797</v>
      </c>
      <c r="CD51" s="100"/>
      <c r="CE51" s="99"/>
      <c r="CF51" s="99"/>
    </row>
    <row r="52" spans="2:84" x14ac:dyDescent="0.25">
      <c r="B52" s="41">
        <v>23</v>
      </c>
      <c r="C52" s="165">
        <v>40415</v>
      </c>
      <c r="D52" s="166">
        <v>0.38900000000000001</v>
      </c>
      <c r="E52" s="26">
        <v>91.645675465900638</v>
      </c>
      <c r="F52" s="26">
        <v>9934.4129932065316</v>
      </c>
      <c r="G52" s="167">
        <v>272958.95541436947</v>
      </c>
      <c r="H52" s="81" t="str">
        <f>IF(ISERROR(VLOOKUP(#REF!,AB:AC,2,0)),"",VLOOKUP(#REF!,AB:AC,2,0))</f>
        <v/>
      </c>
      <c r="J52" s="9"/>
      <c r="K52" s="10"/>
      <c r="L52" s="14"/>
      <c r="M52" s="19"/>
      <c r="N52" s="19"/>
      <c r="O52" s="19"/>
      <c r="P52" s="19"/>
      <c r="Q52" s="1">
        <f t="shared" si="24"/>
        <v>0.60744618579017706</v>
      </c>
      <c r="R52" s="12">
        <f t="shared" ca="1" si="36"/>
        <v>662</v>
      </c>
      <c r="S52" s="88">
        <f t="shared" si="11"/>
        <v>0</v>
      </c>
      <c r="T52" s="19">
        <f t="shared" si="12"/>
        <v>0</v>
      </c>
      <c r="U52" s="19">
        <f t="shared" si="0"/>
        <v>0</v>
      </c>
      <c r="V52" s="19">
        <f>IF(ISERROR(IF(V51+U52+T52+(V51*Q52/1200)-AA52-P52&lt;0,0,V51+U52+T52-AA52-P52)),0,IF(V51+U52+T52+(V51*Q52/1200)-AA52-CB52&lt;0,0,V51+U52+T52-AA52-CB52))</f>
        <v>50495.753500000006</v>
      </c>
      <c r="W52" s="20">
        <f t="shared" ca="1" si="37"/>
        <v>0</v>
      </c>
      <c r="X52" s="19">
        <f t="shared" ca="1" si="38"/>
        <v>0</v>
      </c>
      <c r="Y52" s="19">
        <f t="shared" ca="1" si="39"/>
        <v>0</v>
      </c>
      <c r="Z52" s="20">
        <f t="shared" ca="1" si="40"/>
        <v>0</v>
      </c>
      <c r="AA52" s="1">
        <f t="shared" si="25"/>
        <v>5432.58</v>
      </c>
      <c r="AB52" s="87">
        <v>40415</v>
      </c>
      <c r="AC52" s="88">
        <v>0</v>
      </c>
      <c r="AD52" s="101">
        <f t="shared" si="26"/>
        <v>41784</v>
      </c>
      <c r="AE52" s="103">
        <f t="shared" ca="1" si="27"/>
        <v>662</v>
      </c>
      <c r="AG52" s="1">
        <f t="shared" ca="1" si="4"/>
        <v>1.8388888888888888</v>
      </c>
      <c r="AH52" s="1">
        <f t="shared" si="31"/>
        <v>28.311210718479991</v>
      </c>
      <c r="AI52" s="1">
        <f t="shared" si="28"/>
        <v>5432.58</v>
      </c>
      <c r="AJ52" s="20">
        <f t="shared" si="30"/>
        <v>5460.8912107184797</v>
      </c>
      <c r="AK52" s="100">
        <f t="shared" si="32"/>
        <v>5397.6961793918117</v>
      </c>
      <c r="AL52" s="100">
        <f t="shared" si="33"/>
        <v>0</v>
      </c>
      <c r="AN52" s="100">
        <f t="shared" si="34"/>
        <v>5369.7125942895937</v>
      </c>
      <c r="AO52" s="20">
        <f t="shared" si="35"/>
        <v>5460.8912107184797</v>
      </c>
      <c r="AQ52" s="109">
        <f t="shared" si="17"/>
        <v>5139.9738567816503</v>
      </c>
      <c r="AU52" s="109">
        <f t="shared" si="18"/>
        <v>27.006598102320279</v>
      </c>
      <c r="AV52" s="101">
        <f t="shared" si="8"/>
        <v>41814</v>
      </c>
      <c r="AW52" s="99">
        <f t="shared" si="9"/>
        <v>5458.1412107184797</v>
      </c>
      <c r="AX52" s="1">
        <f t="shared" ca="1" si="19"/>
        <v>5432.58</v>
      </c>
      <c r="AY52" s="29">
        <f t="shared" ca="1" si="20"/>
        <v>662</v>
      </c>
      <c r="AZ52" s="1">
        <f t="shared" ca="1" si="21"/>
        <v>1.8388888888888888</v>
      </c>
      <c r="CB52" s="20">
        <f t="shared" si="41"/>
        <v>0</v>
      </c>
      <c r="CC52" s="173">
        <f t="shared" si="23"/>
        <v>5460.8912107184797</v>
      </c>
    </row>
    <row r="53" spans="2:84" x14ac:dyDescent="0.25">
      <c r="B53" s="41">
        <v>24</v>
      </c>
      <c r="C53" s="165">
        <v>40385</v>
      </c>
      <c r="D53" s="166">
        <v>0.40699999999999997</v>
      </c>
      <c r="E53" s="26">
        <v>103.2196954542181</v>
      </c>
      <c r="F53" s="26">
        <v>11485.234650684546</v>
      </c>
      <c r="G53" s="167">
        <v>282893.368407576</v>
      </c>
      <c r="H53" s="81" t="str">
        <f>IF(ISERROR(VLOOKUP(#REF!,AB:AC,2,0)),"",VLOOKUP(#REF!,AB:AC,2,0))</f>
        <v/>
      </c>
      <c r="J53" s="7"/>
      <c r="K53" s="8"/>
      <c r="L53" s="15"/>
      <c r="M53" s="21"/>
      <c r="N53" s="21"/>
      <c r="O53" s="21"/>
      <c r="P53" s="21"/>
      <c r="Q53" s="1">
        <f t="shared" si="24"/>
        <v>0.60744618579017706</v>
      </c>
      <c r="R53" s="12">
        <f t="shared" ca="1" si="36"/>
        <v>692</v>
      </c>
      <c r="S53" s="88">
        <f t="shared" si="11"/>
        <v>0</v>
      </c>
      <c r="T53" s="19">
        <f t="shared" si="12"/>
        <v>0</v>
      </c>
      <c r="U53" s="19">
        <f t="shared" si="0"/>
        <v>0</v>
      </c>
      <c r="V53" s="19">
        <f t="shared" si="29"/>
        <v>45063.173500000004</v>
      </c>
      <c r="W53" s="20">
        <f t="shared" ca="1" si="37"/>
        <v>0</v>
      </c>
      <c r="X53" s="19">
        <f t="shared" ca="1" si="38"/>
        <v>0</v>
      </c>
      <c r="Y53" s="19">
        <f t="shared" ca="1" si="39"/>
        <v>0</v>
      </c>
      <c r="Z53" s="20">
        <f t="shared" ca="1" si="40"/>
        <v>0</v>
      </c>
      <c r="AA53" s="1">
        <f t="shared" si="25"/>
        <v>5432.58</v>
      </c>
      <c r="AB53" s="89">
        <v>40384</v>
      </c>
      <c r="AC53" s="90">
        <v>0</v>
      </c>
      <c r="AD53" s="101">
        <f t="shared" si="26"/>
        <v>41814</v>
      </c>
      <c r="AE53" s="103">
        <f t="shared" ca="1" si="27"/>
        <v>692</v>
      </c>
      <c r="AG53" s="1">
        <f t="shared" ca="1" si="4"/>
        <v>1.9222222222222223</v>
      </c>
      <c r="AH53" s="1">
        <f t="shared" si="31"/>
        <v>25.561210718479991</v>
      </c>
      <c r="AI53" s="1">
        <f t="shared" si="28"/>
        <v>5432.58</v>
      </c>
      <c r="AJ53" s="20">
        <f t="shared" si="30"/>
        <v>5458.1412107184797</v>
      </c>
      <c r="AK53" s="100">
        <f t="shared" si="32"/>
        <v>5392.24841925073</v>
      </c>
      <c r="AL53" s="100">
        <f t="shared" si="33"/>
        <v>0</v>
      </c>
      <c r="AN53" s="100">
        <f t="shared" si="34"/>
        <v>5366.9957933530732</v>
      </c>
      <c r="AO53" s="20">
        <f t="shared" si="35"/>
        <v>5458.1412107184797</v>
      </c>
      <c r="AQ53" s="109">
        <f t="shared" si="17"/>
        <v>5123.8754051958867</v>
      </c>
      <c r="AU53" s="109">
        <f t="shared" si="18"/>
        <v>27.00422773121943</v>
      </c>
      <c r="AV53" s="101">
        <f t="shared" si="8"/>
        <v>41844</v>
      </c>
      <c r="AW53" s="99">
        <f t="shared" si="9"/>
        <v>5455.3912107184797</v>
      </c>
      <c r="AX53" s="1">
        <f t="shared" ca="1" si="19"/>
        <v>5432.58</v>
      </c>
      <c r="AY53" s="29">
        <f t="shared" ca="1" si="20"/>
        <v>692</v>
      </c>
      <c r="AZ53" s="1">
        <f t="shared" ca="1" si="21"/>
        <v>1.9222222222222223</v>
      </c>
      <c r="CB53" s="20">
        <f t="shared" si="41"/>
        <v>0</v>
      </c>
      <c r="CC53" s="173">
        <f t="shared" si="23"/>
        <v>5458.1412107184797</v>
      </c>
    </row>
    <row r="54" spans="2:84" x14ac:dyDescent="0.25">
      <c r="B54" s="41">
        <v>25</v>
      </c>
      <c r="C54" s="165">
        <v>40354</v>
      </c>
      <c r="D54" s="166">
        <v>0.40300000000000002</v>
      </c>
      <c r="E54" s="26">
        <v>105.01000216046666</v>
      </c>
      <c r="F54" s="26">
        <v>8362.3668312355458</v>
      </c>
      <c r="G54" s="167">
        <v>294378.60305826052</v>
      </c>
      <c r="H54" s="81" t="str">
        <f>IF(ISERROR(VLOOKUP(#REF!,AB:AC,2,0)),"",VLOOKUP(#REF!,AB:AC,2,0))</f>
        <v/>
      </c>
      <c r="J54" s="9"/>
      <c r="K54" s="10"/>
      <c r="L54" s="14"/>
      <c r="M54" s="19"/>
      <c r="N54" s="19"/>
      <c r="O54" s="19"/>
      <c r="P54" s="19"/>
      <c r="Q54" s="1">
        <f t="shared" si="24"/>
        <v>0.60744618579017706</v>
      </c>
      <c r="R54" s="12">
        <f t="shared" ca="1" si="36"/>
        <v>722</v>
      </c>
      <c r="S54" s="88">
        <f t="shared" si="11"/>
        <v>0</v>
      </c>
      <c r="T54" s="19">
        <f t="shared" si="12"/>
        <v>0</v>
      </c>
      <c r="U54" s="19">
        <f t="shared" si="0"/>
        <v>0</v>
      </c>
      <c r="V54" s="19">
        <f t="shared" si="29"/>
        <v>39630.593500000003</v>
      </c>
      <c r="W54" s="20">
        <f t="shared" ca="1" si="37"/>
        <v>0</v>
      </c>
      <c r="X54" s="19">
        <f t="shared" ca="1" si="38"/>
        <v>0</v>
      </c>
      <c r="Y54" s="19">
        <f t="shared" ca="1" si="39"/>
        <v>0</v>
      </c>
      <c r="Z54" s="20">
        <f t="shared" ca="1" si="40"/>
        <v>0</v>
      </c>
      <c r="AA54" s="1">
        <f t="shared" si="25"/>
        <v>5432.58</v>
      </c>
      <c r="AB54" s="87">
        <v>40354</v>
      </c>
      <c r="AC54" s="88">
        <v>0</v>
      </c>
      <c r="AD54" s="101">
        <f t="shared" si="26"/>
        <v>41844</v>
      </c>
      <c r="AE54" s="103">
        <f t="shared" ca="1" si="27"/>
        <v>722</v>
      </c>
      <c r="AG54" s="1">
        <f t="shared" ca="1" si="4"/>
        <v>2.0055555555555555</v>
      </c>
      <c r="AH54" s="1">
        <f t="shared" si="31"/>
        <v>22.811210718479987</v>
      </c>
      <c r="AI54" s="1">
        <f t="shared" si="28"/>
        <v>5432.58</v>
      </c>
      <c r="AJ54" s="20">
        <f t="shared" si="30"/>
        <v>5455.3912107184797</v>
      </c>
      <c r="AK54" s="100">
        <f t="shared" si="32"/>
        <v>5386.804789961493</v>
      </c>
      <c r="AL54" s="100">
        <f t="shared" si="33"/>
        <v>0</v>
      </c>
      <c r="AN54" s="100">
        <f t="shared" si="34"/>
        <v>5364.2803669793802</v>
      </c>
      <c r="AO54" s="20">
        <f t="shared" si="35"/>
        <v>5455.3912107184797</v>
      </c>
      <c r="AQ54" s="109">
        <f t="shared" si="17"/>
        <v>5107.8260775098925</v>
      </c>
      <c r="AU54" s="109">
        <f t="shared" si="18"/>
        <v>27.001857568166226</v>
      </c>
      <c r="AV54" s="101">
        <f t="shared" si="8"/>
        <v>41874</v>
      </c>
      <c r="AW54" s="99">
        <f t="shared" si="9"/>
        <v>5452.6412107184797</v>
      </c>
      <c r="AX54" s="1">
        <f t="shared" ca="1" si="19"/>
        <v>5432.58</v>
      </c>
      <c r="AY54" s="29">
        <f t="shared" ca="1" si="20"/>
        <v>722</v>
      </c>
      <c r="AZ54" s="1">
        <f t="shared" ca="1" si="21"/>
        <v>2.0055555555555555</v>
      </c>
      <c r="CB54" s="20">
        <f t="shared" si="41"/>
        <v>0</v>
      </c>
      <c r="CC54" s="173">
        <f t="shared" si="23"/>
        <v>5455.3912107184797</v>
      </c>
    </row>
    <row r="55" spans="2:84" x14ac:dyDescent="0.25">
      <c r="B55" s="41">
        <v>26</v>
      </c>
      <c r="C55" s="165">
        <v>40323</v>
      </c>
      <c r="D55" s="166">
        <v>0.32300000000000001</v>
      </c>
      <c r="E55" s="26">
        <v>82.222440047050156</v>
      </c>
      <c r="F55" s="26">
        <v>13752.811167212118</v>
      </c>
      <c r="G55" s="167">
        <v>302740.9698894961</v>
      </c>
      <c r="H55" s="81" t="str">
        <f>IF(ISERROR(VLOOKUP(#REF!,AB:AC,2,0)),"",VLOOKUP(#REF!,AB:AC,2,0))</f>
        <v/>
      </c>
      <c r="J55" s="7"/>
      <c r="K55" s="8"/>
      <c r="L55" s="15"/>
      <c r="M55" s="21"/>
      <c r="N55" s="21"/>
      <c r="O55" s="21"/>
      <c r="P55" s="21"/>
      <c r="Q55" s="1">
        <f t="shared" si="24"/>
        <v>0.60744618579017706</v>
      </c>
      <c r="R55" s="12">
        <f t="shared" ca="1" si="36"/>
        <v>752</v>
      </c>
      <c r="S55" s="88">
        <f t="shared" si="11"/>
        <v>0</v>
      </c>
      <c r="T55" s="19">
        <f t="shared" si="12"/>
        <v>0</v>
      </c>
      <c r="U55" s="19">
        <f t="shared" si="0"/>
        <v>0</v>
      </c>
      <c r="V55" s="19">
        <f t="shared" si="29"/>
        <v>34198.013500000001</v>
      </c>
      <c r="W55" s="20">
        <f t="shared" ca="1" si="37"/>
        <v>0</v>
      </c>
      <c r="X55" s="19">
        <f t="shared" ca="1" si="38"/>
        <v>0</v>
      </c>
      <c r="Y55" s="19">
        <f t="shared" ca="1" si="39"/>
        <v>0</v>
      </c>
      <c r="Z55" s="20">
        <f t="shared" ca="1" si="40"/>
        <v>0</v>
      </c>
      <c r="AA55" s="1">
        <f t="shared" si="25"/>
        <v>5432.58</v>
      </c>
      <c r="AB55" s="89">
        <v>40323</v>
      </c>
      <c r="AC55" s="90">
        <v>0</v>
      </c>
      <c r="AD55" s="101">
        <f t="shared" si="26"/>
        <v>41874</v>
      </c>
      <c r="AE55" s="103">
        <f t="shared" ca="1" si="27"/>
        <v>752</v>
      </c>
      <c r="AG55" s="1">
        <f t="shared" ca="1" si="4"/>
        <v>2.088888888888889</v>
      </c>
      <c r="AH55" s="1">
        <f t="shared" si="31"/>
        <v>20.061210718479987</v>
      </c>
      <c r="AI55" s="1">
        <f t="shared" si="28"/>
        <v>5432.58</v>
      </c>
      <c r="AJ55" s="20">
        <f t="shared" si="30"/>
        <v>5452.6412107184797</v>
      </c>
      <c r="AK55" s="100">
        <f t="shared" si="32"/>
        <v>5381.3652887386443</v>
      </c>
      <c r="AL55" s="100">
        <f t="shared" si="33"/>
        <v>0</v>
      </c>
      <c r="AN55" s="100">
        <f t="shared" si="34"/>
        <v>5361.5663144730561</v>
      </c>
      <c r="AO55" s="20">
        <f t="shared" si="35"/>
        <v>5452.6412107184797</v>
      </c>
      <c r="AQ55" s="109">
        <f t="shared" si="17"/>
        <v>5091.8257266866776</v>
      </c>
      <c r="AU55" s="109">
        <f t="shared" si="18"/>
        <v>26.999487613142406</v>
      </c>
      <c r="AV55" s="101">
        <f t="shared" si="8"/>
        <v>41904</v>
      </c>
      <c r="AW55" s="99">
        <f t="shared" si="9"/>
        <v>5449.8912107184797</v>
      </c>
      <c r="AX55" s="1">
        <f t="shared" ca="1" si="19"/>
        <v>5432.58</v>
      </c>
      <c r="AY55" s="29">
        <f t="shared" ca="1" si="20"/>
        <v>752</v>
      </c>
      <c r="AZ55" s="1">
        <f t="shared" ca="1" si="21"/>
        <v>2.088888888888889</v>
      </c>
      <c r="CB55" s="20">
        <f t="shared" si="41"/>
        <v>0</v>
      </c>
      <c r="CC55" s="173">
        <f t="shared" si="23"/>
        <v>5452.6412107184797</v>
      </c>
    </row>
    <row r="56" spans="2:84" x14ac:dyDescent="0.25">
      <c r="B56" s="41">
        <v>27</v>
      </c>
      <c r="C56" s="165">
        <v>40294</v>
      </c>
      <c r="D56" s="166">
        <v>0.30599999999999999</v>
      </c>
      <c r="E56" s="26">
        <v>90.962968001088242</v>
      </c>
      <c r="F56" s="26">
        <v>17863.301513126833</v>
      </c>
      <c r="G56" s="167">
        <v>316493.78105670819</v>
      </c>
      <c r="H56" s="81" t="str">
        <f>IF(ISERROR(VLOOKUP(#REF!,AB:AC,2,0)),"",VLOOKUP(#REF!,AB:AC,2,0))</f>
        <v/>
      </c>
      <c r="J56" s="9"/>
      <c r="K56" s="10"/>
      <c r="L56" s="14"/>
      <c r="M56" s="19"/>
      <c r="N56" s="19"/>
      <c r="O56" s="19"/>
      <c r="P56" s="19"/>
      <c r="Q56" s="1">
        <f t="shared" si="24"/>
        <v>0.60744618579017706</v>
      </c>
      <c r="R56" s="12">
        <f t="shared" ca="1" si="36"/>
        <v>782</v>
      </c>
      <c r="S56" s="88">
        <f t="shared" si="11"/>
        <v>0</v>
      </c>
      <c r="T56" s="19">
        <f t="shared" si="12"/>
        <v>0</v>
      </c>
      <c r="U56" s="19">
        <f t="shared" si="0"/>
        <v>0</v>
      </c>
      <c r="V56" s="19">
        <f t="shared" si="29"/>
        <v>28765.433499999999</v>
      </c>
      <c r="W56" s="20">
        <f t="shared" ca="1" si="37"/>
        <v>0</v>
      </c>
      <c r="X56" s="19">
        <f t="shared" ca="1" si="38"/>
        <v>0</v>
      </c>
      <c r="Y56" s="19">
        <f t="shared" ca="1" si="39"/>
        <v>0</v>
      </c>
      <c r="Z56" s="20">
        <f t="shared" ca="1" si="40"/>
        <v>0</v>
      </c>
      <c r="AA56" s="1">
        <f t="shared" si="25"/>
        <v>5432.58</v>
      </c>
      <c r="AB56" s="87">
        <v>40293</v>
      </c>
      <c r="AC56" s="88">
        <v>0</v>
      </c>
      <c r="AD56" s="101">
        <f t="shared" si="26"/>
        <v>41904</v>
      </c>
      <c r="AE56" s="103">
        <f t="shared" ca="1" si="27"/>
        <v>782</v>
      </c>
      <c r="AG56" s="1">
        <f t="shared" ca="1" si="4"/>
        <v>2.1722222222222221</v>
      </c>
      <c r="AH56" s="1">
        <f t="shared" si="31"/>
        <v>17.311210718479987</v>
      </c>
      <c r="AI56" s="1">
        <f t="shared" si="28"/>
        <v>5432.58</v>
      </c>
      <c r="AJ56" s="20">
        <f t="shared" si="30"/>
        <v>5449.8912107184797</v>
      </c>
      <c r="AK56" s="100">
        <f t="shared" si="32"/>
        <v>5375.9299127984832</v>
      </c>
      <c r="AL56" s="100">
        <f t="shared" si="33"/>
        <v>0</v>
      </c>
      <c r="AN56" s="100">
        <f t="shared" si="34"/>
        <v>5358.8536351389948</v>
      </c>
      <c r="AO56" s="20">
        <f t="shared" si="35"/>
        <v>5449.8912107184797</v>
      </c>
      <c r="AQ56" s="109">
        <f t="shared" si="17"/>
        <v>5075.8742061228659</v>
      </c>
      <c r="AU56" s="109">
        <f t="shared" si="18"/>
        <v>26.99711786612972</v>
      </c>
      <c r="AV56" s="101">
        <f t="shared" si="8"/>
        <v>41934</v>
      </c>
      <c r="AW56" s="99">
        <f t="shared" si="9"/>
        <v>5447.1412107184797</v>
      </c>
      <c r="AX56" s="1">
        <f t="shared" ca="1" si="19"/>
        <v>5432.58</v>
      </c>
      <c r="AY56" s="29">
        <f t="shared" ca="1" si="20"/>
        <v>782</v>
      </c>
      <c r="AZ56" s="1">
        <f t="shared" ca="1" si="21"/>
        <v>2.1722222222222221</v>
      </c>
      <c r="CB56" s="20">
        <f t="shared" si="41"/>
        <v>0</v>
      </c>
      <c r="CC56" s="173">
        <f t="shared" si="23"/>
        <v>5449.8912107184797</v>
      </c>
    </row>
    <row r="57" spans="2:84" x14ac:dyDescent="0.25">
      <c r="B57" s="41">
        <v>28</v>
      </c>
      <c r="C57" s="165">
        <v>40262</v>
      </c>
      <c r="D57" s="166">
        <v>0.28899999999999998</v>
      </c>
      <c r="E57" s="26">
        <v>78.646427628367718</v>
      </c>
      <c r="F57" s="26">
        <v>15831.09763708961</v>
      </c>
      <c r="G57" s="167">
        <v>334357.08256983507</v>
      </c>
      <c r="H57" s="81" t="str">
        <f>IF(ISERROR(VLOOKUP(#REF!,AB:AC,2,0)),"",VLOOKUP(#REF!,AB:AC,2,0))</f>
        <v/>
      </c>
      <c r="J57" s="7"/>
      <c r="K57" s="8"/>
      <c r="L57" s="15"/>
      <c r="M57" s="21"/>
      <c r="N57" s="21"/>
      <c r="O57" s="21"/>
      <c r="P57" s="21"/>
      <c r="Q57" s="1">
        <f t="shared" si="24"/>
        <v>0.60744618579017706</v>
      </c>
      <c r="R57" s="12">
        <f t="shared" ca="1" si="36"/>
        <v>812</v>
      </c>
      <c r="S57" s="88">
        <f t="shared" si="11"/>
        <v>0</v>
      </c>
      <c r="T57" s="19">
        <f t="shared" si="12"/>
        <v>0</v>
      </c>
      <c r="U57" s="19">
        <f t="shared" si="0"/>
        <v>0</v>
      </c>
      <c r="V57" s="19">
        <f t="shared" si="29"/>
        <v>23332.853499999997</v>
      </c>
      <c r="W57" s="20">
        <f t="shared" ca="1" si="37"/>
        <v>0</v>
      </c>
      <c r="X57" s="19">
        <f t="shared" ca="1" si="38"/>
        <v>0</v>
      </c>
      <c r="Y57" s="19">
        <f t="shared" ca="1" si="39"/>
        <v>0</v>
      </c>
      <c r="Z57" s="20">
        <f t="shared" ca="1" si="40"/>
        <v>0</v>
      </c>
      <c r="AA57" s="1">
        <f t="shared" si="25"/>
        <v>5432.58</v>
      </c>
      <c r="AB57" s="89">
        <v>40262</v>
      </c>
      <c r="AC57" s="90">
        <v>0</v>
      </c>
      <c r="AD57" s="101">
        <f t="shared" si="26"/>
        <v>41934</v>
      </c>
      <c r="AE57" s="103">
        <f t="shared" ca="1" si="27"/>
        <v>812</v>
      </c>
      <c r="AG57" s="1">
        <f t="shared" ca="1" si="4"/>
        <v>2.2555555555555555</v>
      </c>
      <c r="AH57" s="1">
        <f t="shared" si="31"/>
        <v>14.561210718479986</v>
      </c>
      <c r="AI57" s="1">
        <f t="shared" si="28"/>
        <v>5432.58</v>
      </c>
      <c r="AJ57" s="20">
        <f t="shared" si="30"/>
        <v>5447.1412107184797</v>
      </c>
      <c r="AK57" s="100">
        <f t="shared" si="32"/>
        <v>5370.498659359072</v>
      </c>
      <c r="AL57" s="100">
        <f t="shared" si="33"/>
        <v>0</v>
      </c>
      <c r="AN57" s="100">
        <f t="shared" si="34"/>
        <v>5356.1423282824398</v>
      </c>
      <c r="AO57" s="20">
        <f t="shared" si="35"/>
        <v>5447.1412107184797</v>
      </c>
      <c r="AQ57" s="109">
        <f t="shared" si="17"/>
        <v>5059.97136964745</v>
      </c>
      <c r="AU57" s="109">
        <f t="shared" si="18"/>
        <v>26.994748327109903</v>
      </c>
      <c r="AV57" s="101">
        <f t="shared" si="8"/>
        <v>41964</v>
      </c>
      <c r="AW57" s="99">
        <f t="shared" si="9"/>
        <v>5444.3912107184797</v>
      </c>
      <c r="AX57" s="1">
        <f t="shared" ca="1" si="19"/>
        <v>5432.58</v>
      </c>
      <c r="AY57" s="29">
        <f t="shared" ca="1" si="20"/>
        <v>812</v>
      </c>
      <c r="AZ57" s="1">
        <f t="shared" ca="1" si="21"/>
        <v>2.2555555555555555</v>
      </c>
      <c r="CB57" s="20">
        <f t="shared" si="41"/>
        <v>0</v>
      </c>
      <c r="CC57" s="173">
        <f t="shared" si="23"/>
        <v>5447.1412107184797</v>
      </c>
    </row>
    <row r="58" spans="2:84" x14ac:dyDescent="0.25">
      <c r="B58" s="41">
        <v>29</v>
      </c>
      <c r="C58" s="165">
        <v>40234</v>
      </c>
      <c r="D58" s="166">
        <v>0.29099999999999998</v>
      </c>
      <c r="E58" s="26">
        <v>92.196474438478702</v>
      </c>
      <c r="F58" s="26">
        <v>18207.654733422416</v>
      </c>
      <c r="G58" s="167">
        <v>350188.18020692468</v>
      </c>
      <c r="H58" s="81" t="str">
        <f>IF(ISERROR(VLOOKUP(#REF!,AB:AC,2,0)),"",VLOOKUP(#REF!,AB:AC,2,0))</f>
        <v/>
      </c>
      <c r="J58" s="9"/>
      <c r="K58" s="10"/>
      <c r="L58" s="14"/>
      <c r="M58" s="19"/>
      <c r="N58" s="19"/>
      <c r="O58" s="19"/>
      <c r="P58" s="19"/>
      <c r="Q58" s="1">
        <f t="shared" si="24"/>
        <v>0.60744618579017706</v>
      </c>
      <c r="R58" s="12">
        <f t="shared" ca="1" si="36"/>
        <v>842</v>
      </c>
      <c r="S58" s="88">
        <f t="shared" si="11"/>
        <v>0</v>
      </c>
      <c r="T58" s="19">
        <f t="shared" si="12"/>
        <v>0</v>
      </c>
      <c r="U58" s="19">
        <f t="shared" si="0"/>
        <v>0</v>
      </c>
      <c r="V58" s="19">
        <f t="shared" si="29"/>
        <v>17900.273499999996</v>
      </c>
      <c r="W58" s="20">
        <f t="shared" ca="1" si="37"/>
        <v>0</v>
      </c>
      <c r="X58" s="19">
        <f t="shared" ca="1" si="38"/>
        <v>0</v>
      </c>
      <c r="Y58" s="19">
        <f t="shared" ca="1" si="39"/>
        <v>0</v>
      </c>
      <c r="Z58" s="20">
        <f t="shared" ca="1" si="40"/>
        <v>0</v>
      </c>
      <c r="AA58" s="1">
        <f t="shared" si="25"/>
        <v>5432.58</v>
      </c>
      <c r="AB58" s="87">
        <v>40234</v>
      </c>
      <c r="AC58" s="88">
        <v>0</v>
      </c>
      <c r="AD58" s="101">
        <f t="shared" si="26"/>
        <v>41964</v>
      </c>
      <c r="AE58" s="103">
        <f t="shared" ca="1" si="27"/>
        <v>842</v>
      </c>
      <c r="AG58" s="1">
        <f t="shared" ca="1" si="4"/>
        <v>2.338888888888889</v>
      </c>
      <c r="AH58" s="1">
        <f t="shared" si="31"/>
        <v>11.811210718479986</v>
      </c>
      <c r="AI58" s="1">
        <f t="shared" si="28"/>
        <v>5432.58</v>
      </c>
      <c r="AJ58" s="20">
        <f t="shared" si="30"/>
        <v>5444.3912107184797</v>
      </c>
      <c r="AK58" s="100">
        <f t="shared" si="32"/>
        <v>5365.0715256402336</v>
      </c>
      <c r="AL58" s="100">
        <f t="shared" si="33"/>
        <v>0</v>
      </c>
      <c r="AN58" s="100">
        <f t="shared" si="34"/>
        <v>5353.4323932089892</v>
      </c>
      <c r="AO58" s="20">
        <f t="shared" si="35"/>
        <v>5444.3912107184797</v>
      </c>
      <c r="AQ58" s="109">
        <f t="shared" si="17"/>
        <v>5044.1170715205044</v>
      </c>
      <c r="AU58" s="109">
        <f t="shared" si="18"/>
        <v>26.992378996064694</v>
      </c>
      <c r="AV58" s="101">
        <f t="shared" si="8"/>
        <v>41994</v>
      </c>
      <c r="AW58" s="99">
        <f t="shared" si="9"/>
        <v>5441.6412107184797</v>
      </c>
      <c r="AX58" s="1">
        <f t="shared" ca="1" si="19"/>
        <v>5432.58</v>
      </c>
      <c r="AY58" s="29">
        <f t="shared" ca="1" si="20"/>
        <v>842</v>
      </c>
      <c r="AZ58" s="1">
        <f t="shared" ca="1" si="21"/>
        <v>2.338888888888889</v>
      </c>
      <c r="CB58" s="20">
        <f t="shared" si="41"/>
        <v>0</v>
      </c>
      <c r="CC58" s="173">
        <f t="shared" si="23"/>
        <v>5444.3912107184797</v>
      </c>
    </row>
    <row r="59" spans="2:84" x14ac:dyDescent="0.25">
      <c r="B59" s="41">
        <v>30</v>
      </c>
      <c r="C59" s="165">
        <v>40203</v>
      </c>
      <c r="D59" s="166">
        <v>0.29099999999999998</v>
      </c>
      <c r="E59" s="26">
        <v>87.519664247477451</v>
      </c>
      <c r="F59" s="26">
        <v>17957.001832395796</v>
      </c>
      <c r="G59" s="167">
        <v>368395.83494034706</v>
      </c>
      <c r="H59" s="81" t="str">
        <f>IF(ISERROR(VLOOKUP(#REF!,AB:AC,2,0)),"",VLOOKUP(#REF!,AB:AC,2,0))</f>
        <v/>
      </c>
      <c r="J59" s="7"/>
      <c r="K59" s="8"/>
      <c r="L59" s="15"/>
      <c r="M59" s="21"/>
      <c r="N59" s="21"/>
      <c r="O59" s="21"/>
      <c r="P59" s="21"/>
      <c r="Q59" s="1">
        <f t="shared" si="24"/>
        <v>0.60744618579017706</v>
      </c>
      <c r="R59" s="12">
        <f t="shared" ca="1" si="36"/>
        <v>872</v>
      </c>
      <c r="S59" s="88">
        <f t="shared" si="11"/>
        <v>0</v>
      </c>
      <c r="T59" s="19">
        <f t="shared" si="12"/>
        <v>0</v>
      </c>
      <c r="U59" s="19">
        <f t="shared" si="0"/>
        <v>0</v>
      </c>
      <c r="V59" s="19">
        <f t="shared" si="29"/>
        <v>12467.693499999996</v>
      </c>
      <c r="W59" s="20">
        <f t="shared" ca="1" si="37"/>
        <v>0</v>
      </c>
      <c r="X59" s="19">
        <f t="shared" ca="1" si="38"/>
        <v>0</v>
      </c>
      <c r="Y59" s="19">
        <f t="shared" ca="1" si="39"/>
        <v>0</v>
      </c>
      <c r="Z59" s="20">
        <f t="shared" ca="1" si="40"/>
        <v>0</v>
      </c>
      <c r="AA59" s="1">
        <f t="shared" si="25"/>
        <v>5432.58</v>
      </c>
      <c r="AB59" s="89">
        <v>40203</v>
      </c>
      <c r="AC59" s="90">
        <v>0</v>
      </c>
      <c r="AD59" s="101">
        <f t="shared" si="26"/>
        <v>41994</v>
      </c>
      <c r="AE59" s="103">
        <f t="shared" ca="1" si="27"/>
        <v>872</v>
      </c>
      <c r="AG59" s="1">
        <f t="shared" ca="1" si="4"/>
        <v>2.4222222222222221</v>
      </c>
      <c r="AH59" s="1">
        <f t="shared" si="31"/>
        <v>9.0612107184799839</v>
      </c>
      <c r="AI59" s="1">
        <f t="shared" si="28"/>
        <v>5432.58</v>
      </c>
      <c r="AJ59" s="20">
        <f t="shared" si="30"/>
        <v>5441.6412107184797</v>
      </c>
      <c r="AK59" s="100">
        <f t="shared" si="32"/>
        <v>5359.6485088635445</v>
      </c>
      <c r="AL59" s="100">
        <f t="shared" si="33"/>
        <v>0</v>
      </c>
      <c r="AN59" s="100">
        <f t="shared" si="34"/>
        <v>5350.7238292245893</v>
      </c>
      <c r="AO59" s="20">
        <f t="shared" si="35"/>
        <v>5441.6412107184797</v>
      </c>
      <c r="AQ59" s="109">
        <f t="shared" si="17"/>
        <v>5028.3111664319558</v>
      </c>
      <c r="AU59" s="109">
        <f t="shared" si="18"/>
        <v>26.990009872975843</v>
      </c>
      <c r="AV59" s="101">
        <f t="shared" si="8"/>
        <v>42024</v>
      </c>
      <c r="AW59" s="99">
        <f t="shared" si="9"/>
        <v>5438.8912107184797</v>
      </c>
      <c r="AX59" s="1">
        <f t="shared" ca="1" si="19"/>
        <v>5432.58</v>
      </c>
      <c r="AY59" s="29">
        <f t="shared" ca="1" si="20"/>
        <v>872</v>
      </c>
      <c r="AZ59" s="1">
        <f t="shared" ca="1" si="21"/>
        <v>2.4222222222222221</v>
      </c>
      <c r="CB59" s="20">
        <f t="shared" si="41"/>
        <v>0</v>
      </c>
      <c r="CC59" s="173">
        <f t="shared" si="23"/>
        <v>5441.6412107184797</v>
      </c>
    </row>
    <row r="60" spans="2:84" x14ac:dyDescent="0.25">
      <c r="B60" s="41">
        <v>31</v>
      </c>
      <c r="C60" s="165">
        <v>40175</v>
      </c>
      <c r="D60" s="166">
        <v>0.29599999999999999</v>
      </c>
      <c r="E60" s="26">
        <v>109.23675513911004</v>
      </c>
      <c r="F60" s="26">
        <v>16321.194458002929</v>
      </c>
      <c r="G60" s="167">
        <v>386352.83677274291</v>
      </c>
      <c r="H60" s="81" t="str">
        <f>IF(ISERROR(VLOOKUP(#REF!,AB:AC,2,0)),"",VLOOKUP(#REF!,AB:AC,2,0))</f>
        <v/>
      </c>
      <c r="J60" s="9"/>
      <c r="K60" s="10"/>
      <c r="L60" s="14"/>
      <c r="M60" s="19"/>
      <c r="N60" s="19"/>
      <c r="O60" s="19"/>
      <c r="P60" s="19"/>
      <c r="Q60" s="1">
        <f t="shared" si="24"/>
        <v>0.60744618579017706</v>
      </c>
      <c r="R60" s="12">
        <f t="shared" ca="1" si="36"/>
        <v>902</v>
      </c>
      <c r="S60" s="88">
        <f t="shared" si="11"/>
        <v>0</v>
      </c>
      <c r="T60" s="19">
        <f t="shared" si="12"/>
        <v>0</v>
      </c>
      <c r="U60" s="19">
        <f t="shared" si="0"/>
        <v>0</v>
      </c>
      <c r="V60" s="19">
        <f t="shared" si="29"/>
        <v>7035.1134999999958</v>
      </c>
      <c r="W60" s="20">
        <f t="shared" ca="1" si="37"/>
        <v>0</v>
      </c>
      <c r="X60" s="19">
        <f t="shared" ca="1" si="38"/>
        <v>0</v>
      </c>
      <c r="Y60" s="19">
        <f t="shared" ca="1" si="39"/>
        <v>0</v>
      </c>
      <c r="Z60" s="20">
        <f t="shared" ca="1" si="40"/>
        <v>0</v>
      </c>
      <c r="AA60" s="1">
        <f t="shared" si="25"/>
        <v>5432.58</v>
      </c>
      <c r="AB60" s="87">
        <v>40172</v>
      </c>
      <c r="AC60" s="88">
        <v>0</v>
      </c>
      <c r="AD60" s="101">
        <f t="shared" si="26"/>
        <v>42024</v>
      </c>
      <c r="AE60" s="103">
        <f t="shared" ca="1" si="27"/>
        <v>902</v>
      </c>
      <c r="AG60" s="1">
        <f t="shared" ca="1" si="4"/>
        <v>2.5055555555555555</v>
      </c>
      <c r="AH60" s="1">
        <f t="shared" si="31"/>
        <v>6.3112107184799831</v>
      </c>
      <c r="AI60" s="1">
        <f t="shared" si="28"/>
        <v>5432.58</v>
      </c>
      <c r="AJ60" s="20">
        <f t="shared" si="30"/>
        <v>5438.8912107184797</v>
      </c>
      <c r="AK60" s="100">
        <f t="shared" si="32"/>
        <v>5354.2296062523419</v>
      </c>
      <c r="AL60" s="100">
        <f t="shared" si="33"/>
        <v>0</v>
      </c>
      <c r="AN60" s="100">
        <f t="shared" si="34"/>
        <v>5348.0166356355394</v>
      </c>
      <c r="AO60" s="20">
        <f t="shared" si="35"/>
        <v>5438.8912107184797</v>
      </c>
      <c r="AQ60" s="109">
        <f t="shared" si="17"/>
        <v>5012.5535095003142</v>
      </c>
      <c r="AU60" s="109">
        <f t="shared" si="18"/>
        <v>26.987640957825111</v>
      </c>
      <c r="AV60" s="101">
        <f t="shared" si="8"/>
        <v>42054</v>
      </c>
      <c r="AW60" s="99">
        <f t="shared" si="9"/>
        <v>5436.1412107184797</v>
      </c>
      <c r="AX60" s="1">
        <f t="shared" ca="1" si="19"/>
        <v>5432.58</v>
      </c>
      <c r="AY60" s="29">
        <f t="shared" ca="1" si="20"/>
        <v>902</v>
      </c>
      <c r="AZ60" s="1">
        <f t="shared" ca="1" si="21"/>
        <v>2.5055555555555555</v>
      </c>
      <c r="CB60" s="20">
        <f t="shared" si="41"/>
        <v>0</v>
      </c>
      <c r="CC60" s="173">
        <f t="shared" si="23"/>
        <v>5438.8912107184797</v>
      </c>
    </row>
    <row r="61" spans="2:84" x14ac:dyDescent="0.25">
      <c r="B61" s="41">
        <v>32</v>
      </c>
      <c r="C61" s="165">
        <v>40142</v>
      </c>
      <c r="D61" s="166">
        <v>0.30399999999999999</v>
      </c>
      <c r="E61" s="26">
        <v>106.52897025757564</v>
      </c>
      <c r="F61" s="26">
        <v>18181.124802957438</v>
      </c>
      <c r="G61" s="167">
        <v>402674.03123074578</v>
      </c>
      <c r="H61" s="81" t="str">
        <f>IF(ISERROR(VLOOKUP(#REF!,AB:AC,2,0)),"",VLOOKUP(#REF!,AB:AC,2,0))</f>
        <v/>
      </c>
      <c r="J61" s="7"/>
      <c r="K61" s="8"/>
      <c r="L61" s="15"/>
      <c r="M61" s="21"/>
      <c r="N61" s="21"/>
      <c r="O61" s="21"/>
      <c r="P61" s="21"/>
      <c r="Q61" s="1">
        <f t="shared" si="24"/>
        <v>0.60744618579017706</v>
      </c>
      <c r="R61" s="12">
        <f t="shared" ca="1" si="36"/>
        <v>932</v>
      </c>
      <c r="S61" s="88">
        <f t="shared" si="11"/>
        <v>0</v>
      </c>
      <c r="T61" s="19">
        <f t="shared" si="12"/>
        <v>0</v>
      </c>
      <c r="U61" s="19">
        <f t="shared" si="0"/>
        <v>0</v>
      </c>
      <c r="V61" s="19">
        <f t="shared" si="29"/>
        <v>1602.5334999999959</v>
      </c>
      <c r="W61" s="20">
        <f t="shared" ca="1" si="37"/>
        <v>0</v>
      </c>
      <c r="X61" s="19">
        <f t="shared" ca="1" si="38"/>
        <v>0</v>
      </c>
      <c r="Y61" s="19">
        <f t="shared" ca="1" si="39"/>
        <v>0</v>
      </c>
      <c r="Z61" s="20">
        <f t="shared" ca="1" si="40"/>
        <v>0</v>
      </c>
      <c r="AA61" s="1">
        <f t="shared" si="25"/>
        <v>5432.58</v>
      </c>
      <c r="AB61" s="89">
        <v>40142</v>
      </c>
      <c r="AC61" s="90">
        <v>0</v>
      </c>
      <c r="AD61" s="101">
        <f t="shared" si="26"/>
        <v>42054</v>
      </c>
      <c r="AE61" s="103">
        <f t="shared" ca="1" si="27"/>
        <v>932</v>
      </c>
      <c r="AG61" s="1">
        <f t="shared" ca="1" si="4"/>
        <v>2.588888888888889</v>
      </c>
      <c r="AH61" s="1">
        <f t="shared" si="31"/>
        <v>3.5612107184799835</v>
      </c>
      <c r="AI61" s="1">
        <f t="shared" si="28"/>
        <v>5432.58</v>
      </c>
      <c r="AJ61" s="20">
        <f t="shared" si="30"/>
        <v>5436.1412107184797</v>
      </c>
      <c r="AK61" s="100">
        <f t="shared" si="32"/>
        <v>5348.8148150317193</v>
      </c>
      <c r="AL61" s="100">
        <f t="shared" si="33"/>
        <v>0</v>
      </c>
      <c r="AN61" s="100">
        <f t="shared" si="34"/>
        <v>5345.3108117484899</v>
      </c>
      <c r="AO61" s="20">
        <f t="shared" si="35"/>
        <v>5436.1412107184797</v>
      </c>
      <c r="AQ61" s="109">
        <f t="shared" si="17"/>
        <v>4996.8439562714257</v>
      </c>
      <c r="AU61" s="109">
        <f t="shared" si="18"/>
        <v>26.985272250594232</v>
      </c>
      <c r="AV61" s="101">
        <f t="shared" si="8"/>
        <v>42084</v>
      </c>
      <c r="AW61" s="99">
        <f t="shared" si="9"/>
        <v>0</v>
      </c>
      <c r="AX61" s="1">
        <f t="shared" ca="1" si="19"/>
        <v>5432.58</v>
      </c>
      <c r="AY61" s="29">
        <f t="shared" ca="1" si="20"/>
        <v>932</v>
      </c>
      <c r="AZ61" s="1">
        <f t="shared" ca="1" si="21"/>
        <v>2.588888888888889</v>
      </c>
      <c r="CB61" s="20">
        <f t="shared" si="41"/>
        <v>0</v>
      </c>
      <c r="CC61" s="173">
        <f t="shared" si="23"/>
        <v>5436.1412107184797</v>
      </c>
    </row>
    <row r="62" spans="2:84" x14ac:dyDescent="0.25">
      <c r="B62" s="41">
        <v>33</v>
      </c>
      <c r="C62" s="165">
        <v>40112</v>
      </c>
      <c r="D62" s="166">
        <v>0.30599999999999999</v>
      </c>
      <c r="E62" s="26">
        <v>115.18620021924735</v>
      </c>
      <c r="F62" s="26">
        <v>15927.332623846751</v>
      </c>
      <c r="G62" s="167">
        <v>420855.15603370324</v>
      </c>
      <c r="H62" s="81" t="str">
        <f>IF(ISERROR(VLOOKUP(#REF!,AB:AC,2,0)),"",VLOOKUP(#REF!,AB:AC,2,0))</f>
        <v/>
      </c>
      <c r="J62" s="9"/>
      <c r="K62" s="10"/>
      <c r="L62" s="14"/>
      <c r="M62" s="19"/>
      <c r="N62" s="19"/>
      <c r="O62" s="19"/>
      <c r="P62" s="19"/>
      <c r="Q62" s="1">
        <f t="shared" si="24"/>
        <v>0.60744618579017706</v>
      </c>
      <c r="R62" s="12">
        <f t="shared" ca="1" si="36"/>
        <v>962</v>
      </c>
      <c r="S62" s="88">
        <f t="shared" si="11"/>
        <v>0</v>
      </c>
      <c r="T62" s="19">
        <f t="shared" si="12"/>
        <v>0</v>
      </c>
      <c r="U62" s="19">
        <f t="shared" si="0"/>
        <v>0</v>
      </c>
      <c r="V62" s="19">
        <f t="shared" si="29"/>
        <v>0</v>
      </c>
      <c r="W62" s="20">
        <f t="shared" ca="1" si="37"/>
        <v>0</v>
      </c>
      <c r="X62" s="19">
        <f t="shared" ca="1" si="38"/>
        <v>0</v>
      </c>
      <c r="Y62" s="19">
        <f t="shared" ca="1" si="39"/>
        <v>0</v>
      </c>
      <c r="Z62" s="20">
        <f t="shared" ca="1" si="40"/>
        <v>0</v>
      </c>
      <c r="AA62" s="1">
        <f t="shared" si="25"/>
        <v>5432.58</v>
      </c>
      <c r="AB62" s="87">
        <v>40111</v>
      </c>
      <c r="AC62" s="88">
        <v>0</v>
      </c>
      <c r="AD62" s="101">
        <f t="shared" si="26"/>
        <v>42084</v>
      </c>
      <c r="AE62" s="103">
        <f t="shared" si="27"/>
        <v>0</v>
      </c>
      <c r="AG62" s="1">
        <f t="shared" si="4"/>
        <v>0</v>
      </c>
      <c r="AH62" s="1">
        <f t="shared" si="31"/>
        <v>0</v>
      </c>
      <c r="AI62" s="1">
        <f t="shared" si="28"/>
        <v>5432.58</v>
      </c>
      <c r="AJ62" s="20">
        <f t="shared" si="30"/>
        <v>0</v>
      </c>
      <c r="AK62" s="100">
        <f t="shared" si="32"/>
        <v>0</v>
      </c>
      <c r="AL62" s="100">
        <f t="shared" si="33"/>
        <v>0</v>
      </c>
      <c r="AN62" s="100">
        <f t="shared" si="34"/>
        <v>5342.6063568704403</v>
      </c>
      <c r="AO62" s="20">
        <f t="shared" si="35"/>
        <v>1602.5334999999959</v>
      </c>
      <c r="AQ62" s="109">
        <f t="shared" si="17"/>
        <v>1469.1582653051646</v>
      </c>
      <c r="AU62" s="109">
        <f t="shared" si="18"/>
        <v>26.982903751264949</v>
      </c>
      <c r="AV62" s="101">
        <f t="shared" si="8"/>
        <v>42114</v>
      </c>
      <c r="AW62" s="99">
        <f t="shared" si="9"/>
        <v>0</v>
      </c>
      <c r="AX62" s="1">
        <f t="shared" si="19"/>
        <v>0</v>
      </c>
      <c r="AY62" s="29">
        <f t="shared" si="20"/>
        <v>0</v>
      </c>
      <c r="AZ62" s="1">
        <f t="shared" si="21"/>
        <v>0</v>
      </c>
      <c r="CB62" s="20">
        <f t="shared" si="41"/>
        <v>0</v>
      </c>
      <c r="CC62" s="173">
        <f t="shared" si="23"/>
        <v>0</v>
      </c>
    </row>
    <row r="63" spans="2:84" x14ac:dyDescent="0.25">
      <c r="B63" s="41">
        <v>34</v>
      </c>
      <c r="C63" s="165">
        <v>40081</v>
      </c>
      <c r="D63" s="166">
        <v>0.32600000000000001</v>
      </c>
      <c r="E63" s="26">
        <v>126.51192657614044</v>
      </c>
      <c r="F63" s="26">
        <v>14395.488545525832</v>
      </c>
      <c r="G63" s="167">
        <v>436782.48865755001</v>
      </c>
      <c r="H63" s="81" t="str">
        <f>IF(ISERROR(VLOOKUP(#REF!,AB:AC,2,0)),"",VLOOKUP(#REF!,AB:AC,2,0))</f>
        <v/>
      </c>
      <c r="J63" s="7"/>
      <c r="K63" s="8"/>
      <c r="L63" s="15"/>
      <c r="M63" s="21"/>
      <c r="N63" s="21"/>
      <c r="O63" s="21"/>
      <c r="P63" s="21"/>
      <c r="Q63" s="1">
        <f t="shared" si="24"/>
        <v>0.60744618579017706</v>
      </c>
      <c r="R63" s="12">
        <f t="shared" ca="1" si="36"/>
        <v>992</v>
      </c>
      <c r="S63" s="88">
        <f t="shared" si="11"/>
        <v>0</v>
      </c>
      <c r="T63" s="19">
        <f t="shared" si="12"/>
        <v>0</v>
      </c>
      <c r="U63" s="19">
        <f t="shared" si="0"/>
        <v>0</v>
      </c>
      <c r="V63" s="19">
        <f t="shared" si="29"/>
        <v>0</v>
      </c>
      <c r="W63" s="20">
        <f t="shared" ca="1" si="37"/>
        <v>0</v>
      </c>
      <c r="X63" s="19">
        <f t="shared" ca="1" si="38"/>
        <v>0</v>
      </c>
      <c r="Y63" s="19">
        <f t="shared" ca="1" si="39"/>
        <v>0</v>
      </c>
      <c r="Z63" s="20">
        <f t="shared" ca="1" si="40"/>
        <v>0</v>
      </c>
      <c r="AA63" s="1">
        <f t="shared" si="25"/>
        <v>5432.58</v>
      </c>
      <c r="AB63" s="89">
        <v>40081</v>
      </c>
      <c r="AC63" s="90">
        <v>0</v>
      </c>
      <c r="AD63" s="101">
        <f t="shared" si="26"/>
        <v>42114</v>
      </c>
      <c r="AE63" s="103">
        <f t="shared" si="27"/>
        <v>0</v>
      </c>
      <c r="AG63" s="1">
        <f t="shared" si="4"/>
        <v>0</v>
      </c>
      <c r="AH63" s="1">
        <f t="shared" si="31"/>
        <v>0</v>
      </c>
      <c r="AI63" s="1">
        <f t="shared" si="28"/>
        <v>5432.58</v>
      </c>
      <c r="AJ63" s="20">
        <f t="shared" si="30"/>
        <v>0</v>
      </c>
      <c r="AK63" s="100">
        <f t="shared" si="32"/>
        <v>0</v>
      </c>
      <c r="AL63" s="100">
        <f t="shared" si="33"/>
        <v>0</v>
      </c>
      <c r="AN63" s="100">
        <f t="shared" si="34"/>
        <v>5339.9032703087414</v>
      </c>
      <c r="AO63" s="20">
        <f t="shared" si="35"/>
        <v>0</v>
      </c>
      <c r="AQ63" s="109">
        <f t="shared" si="17"/>
        <v>0</v>
      </c>
      <c r="AU63" s="109">
        <f t="shared" si="18"/>
        <v>26.980535459819038</v>
      </c>
      <c r="AV63" s="101">
        <f t="shared" si="8"/>
        <v>42144</v>
      </c>
      <c r="AW63" s="99">
        <f t="shared" si="9"/>
        <v>0</v>
      </c>
      <c r="AX63" s="1">
        <f t="shared" si="19"/>
        <v>0</v>
      </c>
      <c r="AY63" s="29">
        <f t="shared" si="20"/>
        <v>0</v>
      </c>
      <c r="AZ63" s="1">
        <f t="shared" si="21"/>
        <v>0</v>
      </c>
      <c r="CB63" s="20">
        <f t="shared" si="41"/>
        <v>0</v>
      </c>
      <c r="CC63" s="173">
        <f t="shared" si="23"/>
        <v>0</v>
      </c>
    </row>
    <row r="64" spans="2:84" x14ac:dyDescent="0.25">
      <c r="B64" s="41">
        <v>35</v>
      </c>
      <c r="C64" s="165">
        <v>40050</v>
      </c>
      <c r="D64" s="166">
        <v>0.34499999999999997</v>
      </c>
      <c r="E64" s="26">
        <v>129.48688916806029</v>
      </c>
      <c r="F64" s="26">
        <v>14741.820873308634</v>
      </c>
      <c r="G64" s="167">
        <v>451177.97720307583</v>
      </c>
      <c r="H64" s="81" t="str">
        <f>IF(ISERROR(VLOOKUP(#REF!,AB:AC,2,0)),"",VLOOKUP(#REF!,AB:AC,2,0))</f>
        <v/>
      </c>
      <c r="J64" s="9"/>
      <c r="K64" s="10"/>
      <c r="L64" s="14"/>
      <c r="M64" s="19"/>
      <c r="N64" s="19"/>
      <c r="O64" s="19"/>
      <c r="P64" s="19"/>
      <c r="Q64" s="1">
        <f t="shared" si="24"/>
        <v>0.60744618579017706</v>
      </c>
      <c r="R64" s="12">
        <f ca="1">IF(ROW()&gt;$T$20,R63+30,DAYS360(K63,K64)+R63)</f>
        <v>1022</v>
      </c>
      <c r="S64" s="88">
        <f t="shared" si="11"/>
        <v>0</v>
      </c>
      <c r="T64" s="19">
        <f t="shared" si="12"/>
        <v>0</v>
      </c>
      <c r="U64" s="19">
        <f t="shared" si="0"/>
        <v>0</v>
      </c>
      <c r="V64" s="19">
        <f t="shared" si="29"/>
        <v>0</v>
      </c>
      <c r="W64" s="20">
        <f t="shared" ca="1" si="1"/>
        <v>0</v>
      </c>
      <c r="X64" s="19">
        <f t="shared" ca="1" si="2"/>
        <v>0</v>
      </c>
      <c r="Y64" s="19">
        <f t="shared" ca="1" si="3"/>
        <v>0</v>
      </c>
      <c r="Z64" s="20">
        <f ca="1">W64+X64</f>
        <v>0</v>
      </c>
      <c r="AA64" s="1">
        <f t="shared" si="25"/>
        <v>5432.58</v>
      </c>
      <c r="AB64" s="87">
        <v>40050</v>
      </c>
      <c r="AC64" s="88">
        <v>0</v>
      </c>
      <c r="AD64" s="101">
        <f t="shared" si="26"/>
        <v>42144</v>
      </c>
      <c r="AE64" s="103">
        <f t="shared" si="27"/>
        <v>0</v>
      </c>
      <c r="AG64" s="1">
        <f t="shared" si="4"/>
        <v>0</v>
      </c>
      <c r="AH64" s="1">
        <f t="shared" si="31"/>
        <v>0</v>
      </c>
      <c r="AI64" s="1">
        <f t="shared" si="28"/>
        <v>5432.58</v>
      </c>
      <c r="AJ64" s="20">
        <f t="shared" si="30"/>
        <v>0</v>
      </c>
      <c r="AK64" s="100">
        <f t="shared" si="32"/>
        <v>0</v>
      </c>
      <c r="AL64" s="100">
        <f t="shared" si="33"/>
        <v>0</v>
      </c>
      <c r="AN64" s="100">
        <f t="shared" si="34"/>
        <v>5337.2015513710967</v>
      </c>
      <c r="AO64" s="20">
        <f t="shared" si="35"/>
        <v>0</v>
      </c>
      <c r="AQ64" s="109">
        <f t="shared" si="17"/>
        <v>0</v>
      </c>
      <c r="AU64" s="109">
        <f t="shared" si="18"/>
        <v>26.97816737623824</v>
      </c>
      <c r="AV64" s="101">
        <f t="shared" si="8"/>
        <v>42174</v>
      </c>
      <c r="AW64" s="99">
        <f t="shared" si="9"/>
        <v>0</v>
      </c>
      <c r="AX64" s="1">
        <f t="shared" si="19"/>
        <v>0</v>
      </c>
      <c r="AY64" s="29">
        <f t="shared" si="20"/>
        <v>0</v>
      </c>
      <c r="AZ64" s="1">
        <f t="shared" si="21"/>
        <v>0</v>
      </c>
      <c r="CB64" s="20">
        <f t="shared" si="41"/>
        <v>0</v>
      </c>
      <c r="CC64" s="173">
        <f t="shared" si="23"/>
        <v>0</v>
      </c>
    </row>
    <row r="65" spans="2:81" x14ac:dyDescent="0.25">
      <c r="B65" s="41">
        <v>36</v>
      </c>
      <c r="C65" s="165">
        <v>40021</v>
      </c>
      <c r="D65" s="166">
        <v>0.374</v>
      </c>
      <c r="E65" s="26">
        <v>159.87925391884647</v>
      </c>
      <c r="F65" s="26">
        <v>15322.097893144919</v>
      </c>
      <c r="G65" s="167">
        <v>465919.79807638447</v>
      </c>
      <c r="H65" s="81" t="str">
        <f>IF(ISERROR(VLOOKUP(#REF!,AB:AC,2,0)),"",VLOOKUP(#REF!,AB:AC,2,0))</f>
        <v/>
      </c>
      <c r="J65" s="7"/>
      <c r="K65" s="8"/>
      <c r="L65" s="15"/>
      <c r="M65" s="21"/>
      <c r="N65" s="21"/>
      <c r="O65" s="21"/>
      <c r="P65" s="21"/>
      <c r="Q65" s="1">
        <f t="shared" si="24"/>
        <v>0.60744618579017706</v>
      </c>
      <c r="R65" s="12">
        <f t="shared" ref="R65:R128" ca="1" si="42">IF(ROW()&gt;$T$20,R64+30,DAYS360(K64,K65)+R64)</f>
        <v>1052</v>
      </c>
      <c r="S65" s="88">
        <f t="shared" si="11"/>
        <v>0</v>
      </c>
      <c r="T65" s="19">
        <f t="shared" si="12"/>
        <v>0</v>
      </c>
      <c r="U65" s="19">
        <f t="shared" si="0"/>
        <v>0</v>
      </c>
      <c r="V65" s="19">
        <f t="shared" si="29"/>
        <v>0</v>
      </c>
      <c r="W65" s="20">
        <f t="shared" ref="W65:W128" ca="1" si="43">(T65)/(1+((1+$T$12)^$R65-1))</f>
        <v>0</v>
      </c>
      <c r="X65" s="19">
        <f t="shared" ref="X65:X128" ca="1" si="44">(U65)/(1+((1+$T$12)^$R65-1))</f>
        <v>0</v>
      </c>
      <c r="Y65" s="19">
        <f t="shared" ref="Y65:Y128" ca="1" si="45">P65/(1+((1+$T$12)^$R65-1))</f>
        <v>0</v>
      </c>
      <c r="Z65" s="20">
        <f t="shared" ref="Z65:Z128" ca="1" si="46">W65+X65</f>
        <v>0</v>
      </c>
      <c r="AA65" s="1">
        <f t="shared" si="25"/>
        <v>5432.58</v>
      </c>
      <c r="AB65" s="89">
        <v>40019</v>
      </c>
      <c r="AC65" s="90">
        <v>0</v>
      </c>
      <c r="AD65" s="101">
        <f t="shared" si="26"/>
        <v>42174</v>
      </c>
      <c r="AE65" s="103">
        <f t="shared" si="27"/>
        <v>0</v>
      </c>
      <c r="AG65" s="1">
        <f t="shared" si="4"/>
        <v>0</v>
      </c>
      <c r="AH65" s="1">
        <f t="shared" si="31"/>
        <v>0</v>
      </c>
      <c r="AI65" s="1">
        <f t="shared" si="28"/>
        <v>5432.58</v>
      </c>
      <c r="AJ65" s="20">
        <f t="shared" si="30"/>
        <v>0</v>
      </c>
      <c r="AK65" s="100">
        <f t="shared" si="32"/>
        <v>0</v>
      </c>
      <c r="AL65" s="100">
        <f t="shared" si="33"/>
        <v>0</v>
      </c>
      <c r="AN65" s="100">
        <f t="shared" si="34"/>
        <v>5334.5011993655562</v>
      </c>
      <c r="AO65" s="20">
        <f t="shared" si="35"/>
        <v>0</v>
      </c>
      <c r="AQ65" s="109">
        <f t="shared" si="17"/>
        <v>0</v>
      </c>
      <c r="AU65" s="109">
        <f t="shared" si="18"/>
        <v>26.975799500504305</v>
      </c>
      <c r="AV65" s="101">
        <f t="shared" si="8"/>
        <v>42204</v>
      </c>
      <c r="AW65" s="99">
        <f t="shared" si="9"/>
        <v>0</v>
      </c>
      <c r="AX65" s="1">
        <f t="shared" si="19"/>
        <v>0</v>
      </c>
      <c r="AY65" s="29">
        <f t="shared" si="20"/>
        <v>0</v>
      </c>
      <c r="AZ65" s="1">
        <f t="shared" si="21"/>
        <v>0</v>
      </c>
      <c r="CB65" s="20">
        <f t="shared" si="41"/>
        <v>0</v>
      </c>
      <c r="CC65" s="173">
        <f t="shared" si="23"/>
        <v>0</v>
      </c>
    </row>
    <row r="66" spans="2:81" x14ac:dyDescent="0.25">
      <c r="B66" s="41">
        <v>37</v>
      </c>
      <c r="C66" s="165">
        <v>39989</v>
      </c>
      <c r="D66" s="166">
        <v>0.36899999999999999</v>
      </c>
      <c r="E66" s="26">
        <v>154.56262552711382</v>
      </c>
      <c r="F66" s="26">
        <v>21741.520328390932</v>
      </c>
      <c r="G66" s="167">
        <v>481241.8959695294</v>
      </c>
      <c r="H66" s="81" t="str">
        <f>IF(ISERROR(VLOOKUP(#REF!,AB:AC,2,0)),"",VLOOKUP(#REF!,AB:AC,2,0))</f>
        <v/>
      </c>
      <c r="J66" s="9"/>
      <c r="K66" s="10"/>
      <c r="L66" s="14"/>
      <c r="M66" s="19"/>
      <c r="N66" s="19"/>
      <c r="O66" s="19"/>
      <c r="P66" s="19"/>
      <c r="Q66" s="1">
        <f t="shared" si="24"/>
        <v>0.60744618579017706</v>
      </c>
      <c r="R66" s="12">
        <f t="shared" ca="1" si="42"/>
        <v>1082</v>
      </c>
      <c r="S66" s="88">
        <f t="shared" si="11"/>
        <v>0</v>
      </c>
      <c r="T66" s="19">
        <f t="shared" si="12"/>
        <v>0</v>
      </c>
      <c r="U66" s="19">
        <f t="shared" si="0"/>
        <v>0</v>
      </c>
      <c r="V66" s="19">
        <f t="shared" si="29"/>
        <v>0</v>
      </c>
      <c r="W66" s="20">
        <f t="shared" ca="1" si="43"/>
        <v>0</v>
      </c>
      <c r="X66" s="19">
        <f t="shared" ca="1" si="44"/>
        <v>0</v>
      </c>
      <c r="Y66" s="19">
        <f t="shared" ca="1" si="45"/>
        <v>0</v>
      </c>
      <c r="Z66" s="20">
        <f t="shared" ca="1" si="46"/>
        <v>0</v>
      </c>
      <c r="AA66" s="1">
        <f t="shared" si="25"/>
        <v>5432.58</v>
      </c>
      <c r="AB66" s="87">
        <v>39989</v>
      </c>
      <c r="AC66" s="88">
        <v>0</v>
      </c>
      <c r="AD66" s="101">
        <f t="shared" si="26"/>
        <v>42204</v>
      </c>
      <c r="AE66" s="103">
        <f t="shared" si="27"/>
        <v>0</v>
      </c>
      <c r="AG66" s="1">
        <f t="shared" si="4"/>
        <v>0</v>
      </c>
      <c r="AH66" s="1">
        <f t="shared" si="31"/>
        <v>0</v>
      </c>
      <c r="AI66" s="1">
        <f t="shared" si="28"/>
        <v>5432.58</v>
      </c>
      <c r="AJ66" s="20">
        <f t="shared" si="30"/>
        <v>0</v>
      </c>
      <c r="AK66" s="100">
        <f t="shared" si="32"/>
        <v>0</v>
      </c>
      <c r="AL66" s="100">
        <f t="shared" si="33"/>
        <v>0</v>
      </c>
      <c r="AN66" s="100">
        <f t="shared" si="34"/>
        <v>5331.8022136005229</v>
      </c>
      <c r="AO66" s="20">
        <f t="shared" si="35"/>
        <v>0</v>
      </c>
      <c r="AQ66" s="109">
        <f t="shared" si="17"/>
        <v>0</v>
      </c>
      <c r="AU66" s="109">
        <f t="shared" si="18"/>
        <v>26.973431832599005</v>
      </c>
      <c r="AV66" s="101">
        <f t="shared" si="8"/>
        <v>42234</v>
      </c>
      <c r="AW66" s="99">
        <f t="shared" si="9"/>
        <v>0</v>
      </c>
      <c r="AX66" s="1">
        <f t="shared" si="19"/>
        <v>0</v>
      </c>
      <c r="AY66" s="29">
        <f t="shared" si="20"/>
        <v>0</v>
      </c>
      <c r="AZ66" s="1">
        <f t="shared" si="21"/>
        <v>0</v>
      </c>
      <c r="CB66" s="20">
        <f t="shared" si="41"/>
        <v>0</v>
      </c>
      <c r="CC66" s="173">
        <f t="shared" si="23"/>
        <v>0</v>
      </c>
    </row>
    <row r="67" spans="2:81" x14ac:dyDescent="0.25">
      <c r="B67" s="41">
        <v>38</v>
      </c>
      <c r="C67" s="165">
        <v>39959</v>
      </c>
      <c r="D67" s="166">
        <v>0.497</v>
      </c>
      <c r="E67" s="26">
        <v>214.76782985124785</v>
      </c>
      <c r="F67" s="26">
        <v>32912.793403375123</v>
      </c>
      <c r="G67" s="167">
        <v>502983.41629792034</v>
      </c>
      <c r="H67" s="81" t="str">
        <f>IF(ISERROR(VLOOKUP(#REF!,AB:AC,2,0)),"",VLOOKUP(#REF!,AB:AC,2,0))</f>
        <v/>
      </c>
      <c r="J67" s="7"/>
      <c r="K67" s="8"/>
      <c r="L67" s="15"/>
      <c r="M67" s="21"/>
      <c r="N67" s="21"/>
      <c r="O67" s="21"/>
      <c r="P67" s="21"/>
      <c r="Q67" s="1">
        <f t="shared" si="24"/>
        <v>0.60744618579017706</v>
      </c>
      <c r="R67" s="12">
        <f t="shared" ca="1" si="42"/>
        <v>1112</v>
      </c>
      <c r="S67" s="88">
        <f t="shared" si="11"/>
        <v>0</v>
      </c>
      <c r="T67" s="19">
        <f t="shared" si="12"/>
        <v>0</v>
      </c>
      <c r="U67" s="19">
        <f t="shared" si="0"/>
        <v>0</v>
      </c>
      <c r="V67" s="19">
        <f t="shared" si="29"/>
        <v>0</v>
      </c>
      <c r="W67" s="20">
        <f t="shared" ca="1" si="43"/>
        <v>0</v>
      </c>
      <c r="X67" s="19">
        <f t="shared" ca="1" si="44"/>
        <v>0</v>
      </c>
      <c r="Y67" s="19">
        <f t="shared" ca="1" si="45"/>
        <v>0</v>
      </c>
      <c r="Z67" s="20">
        <f t="shared" ca="1" si="46"/>
        <v>0</v>
      </c>
      <c r="AA67" s="1">
        <f t="shared" si="25"/>
        <v>5432.58</v>
      </c>
      <c r="AB67" s="89">
        <v>39958</v>
      </c>
      <c r="AC67" s="90">
        <v>0</v>
      </c>
      <c r="AD67" s="101">
        <f t="shared" si="26"/>
        <v>42234</v>
      </c>
      <c r="AE67" s="103">
        <f t="shared" si="27"/>
        <v>0</v>
      </c>
      <c r="AG67" s="1">
        <f t="shared" si="4"/>
        <v>0</v>
      </c>
      <c r="AH67" s="1">
        <f t="shared" si="31"/>
        <v>0</v>
      </c>
      <c r="AI67" s="1">
        <f t="shared" si="28"/>
        <v>5432.58</v>
      </c>
      <c r="AJ67" s="20">
        <f t="shared" si="30"/>
        <v>0</v>
      </c>
      <c r="AK67" s="100">
        <f t="shared" si="32"/>
        <v>0</v>
      </c>
      <c r="AL67" s="100">
        <f t="shared" si="33"/>
        <v>0</v>
      </c>
      <c r="AN67" s="100">
        <f t="shared" si="34"/>
        <v>5329.1045933847481</v>
      </c>
      <c r="AO67" s="20">
        <f t="shared" si="35"/>
        <v>0</v>
      </c>
      <c r="AQ67" s="109">
        <f t="shared" si="17"/>
        <v>0</v>
      </c>
      <c r="AU67" s="109">
        <f t="shared" si="18"/>
        <v>26.971064372504085</v>
      </c>
      <c r="AV67" s="101">
        <f t="shared" si="8"/>
        <v>42264</v>
      </c>
      <c r="AW67" s="99">
        <f t="shared" si="9"/>
        <v>0</v>
      </c>
      <c r="AX67" s="1">
        <f t="shared" si="19"/>
        <v>0</v>
      </c>
      <c r="AY67" s="29">
        <f t="shared" si="20"/>
        <v>0</v>
      </c>
      <c r="AZ67" s="1">
        <f t="shared" si="21"/>
        <v>0</v>
      </c>
      <c r="CB67" s="20">
        <f t="shared" si="41"/>
        <v>0</v>
      </c>
      <c r="CC67" s="173">
        <f t="shared" si="23"/>
        <v>0</v>
      </c>
    </row>
    <row r="68" spans="2:81" x14ac:dyDescent="0.25">
      <c r="B68" s="41">
        <v>39</v>
      </c>
      <c r="C68" s="165">
        <v>39930</v>
      </c>
      <c r="D68" s="166">
        <v>0.58199999999999996</v>
      </c>
      <c r="E68" s="26">
        <v>298.26446512446682</v>
      </c>
      <c r="F68" s="26">
        <v>23290.249653925246</v>
      </c>
      <c r="G68" s="167">
        <v>535896.20970129548</v>
      </c>
      <c r="H68" s="81" t="str">
        <f>IF(ISERROR(VLOOKUP(#REF!,AB:AC,2,0)),"",VLOOKUP(#REF!,AB:AC,2,0))</f>
        <v/>
      </c>
      <c r="J68" s="9"/>
      <c r="K68" s="10"/>
      <c r="L68" s="14"/>
      <c r="M68" s="19"/>
      <c r="N68" s="19"/>
      <c r="O68" s="19"/>
      <c r="P68" s="19"/>
      <c r="Q68" s="1">
        <f t="shared" si="24"/>
        <v>0.60744618579017706</v>
      </c>
      <c r="R68" s="12">
        <f t="shared" ca="1" si="42"/>
        <v>1142</v>
      </c>
      <c r="S68" s="88">
        <f t="shared" si="11"/>
        <v>0</v>
      </c>
      <c r="T68" s="19">
        <f t="shared" si="12"/>
        <v>0</v>
      </c>
      <c r="U68" s="19">
        <f t="shared" si="0"/>
        <v>0</v>
      </c>
      <c r="V68" s="19">
        <f t="shared" si="29"/>
        <v>0</v>
      </c>
      <c r="W68" s="20">
        <f t="shared" ca="1" si="43"/>
        <v>0</v>
      </c>
      <c r="X68" s="19">
        <f t="shared" ca="1" si="44"/>
        <v>0</v>
      </c>
      <c r="Y68" s="19">
        <f t="shared" ca="1" si="45"/>
        <v>0</v>
      </c>
      <c r="Z68" s="20">
        <f t="shared" ca="1" si="46"/>
        <v>0</v>
      </c>
      <c r="AA68" s="1">
        <f t="shared" si="25"/>
        <v>5432.58</v>
      </c>
      <c r="AB68" s="87">
        <v>39928</v>
      </c>
      <c r="AC68" s="88">
        <v>0</v>
      </c>
      <c r="AD68" s="101">
        <f t="shared" si="26"/>
        <v>42264</v>
      </c>
      <c r="AE68" s="103">
        <f t="shared" si="27"/>
        <v>0</v>
      </c>
      <c r="AG68" s="1">
        <f t="shared" si="4"/>
        <v>0</v>
      </c>
      <c r="AH68" s="1">
        <f t="shared" si="31"/>
        <v>0</v>
      </c>
      <c r="AI68" s="1">
        <f t="shared" si="28"/>
        <v>5432.58</v>
      </c>
      <c r="AJ68" s="20">
        <f t="shared" si="30"/>
        <v>0</v>
      </c>
      <c r="AK68" s="100">
        <f t="shared" si="32"/>
        <v>0</v>
      </c>
      <c r="AL68" s="100">
        <f t="shared" si="33"/>
        <v>0</v>
      </c>
      <c r="AN68" s="100">
        <f t="shared" si="34"/>
        <v>5326.4083380273341</v>
      </c>
      <c r="AO68" s="20">
        <f t="shared" si="35"/>
        <v>0</v>
      </c>
      <c r="AQ68" s="109">
        <f t="shared" si="17"/>
        <v>0</v>
      </c>
      <c r="AR68" s="100"/>
      <c r="AU68" s="109">
        <f t="shared" si="18"/>
        <v>26.96869712020132</v>
      </c>
      <c r="AV68" s="101">
        <f t="shared" si="8"/>
        <v>42294</v>
      </c>
      <c r="AW68" s="99">
        <f t="shared" si="9"/>
        <v>0</v>
      </c>
      <c r="AX68" s="1">
        <f t="shared" si="19"/>
        <v>0</v>
      </c>
      <c r="AY68" s="29">
        <f t="shared" si="20"/>
        <v>0</v>
      </c>
      <c r="AZ68" s="1">
        <f t="shared" si="21"/>
        <v>0</v>
      </c>
      <c r="CB68" s="20">
        <f t="shared" si="41"/>
        <v>0</v>
      </c>
      <c r="CC68" s="173">
        <f t="shared" si="23"/>
        <v>0</v>
      </c>
    </row>
    <row r="69" spans="2:81" x14ac:dyDescent="0.25">
      <c r="B69" s="41">
        <v>40</v>
      </c>
      <c r="C69" s="165">
        <v>39897</v>
      </c>
      <c r="D69" s="166">
        <v>0.53400000000000003</v>
      </c>
      <c r="E69" s="26">
        <v>242.58287790162674</v>
      </c>
      <c r="F69" s="26">
        <v>25155.059212789958</v>
      </c>
      <c r="G69" s="167">
        <v>559186.45935522078</v>
      </c>
      <c r="H69" s="81" t="str">
        <f>IF(ISERROR(VLOOKUP(#REF!,AB:AC,2,0)),"",VLOOKUP(#REF!,AB:AC,2,0))</f>
        <v/>
      </c>
      <c r="J69" s="7"/>
      <c r="K69" s="8"/>
      <c r="L69" s="15"/>
      <c r="M69" s="21"/>
      <c r="N69" s="21"/>
      <c r="O69" s="21"/>
      <c r="P69" s="21"/>
      <c r="Q69" s="1">
        <f t="shared" si="24"/>
        <v>0.60744618579017706</v>
      </c>
      <c r="R69" s="12">
        <f t="shared" ca="1" si="42"/>
        <v>1172</v>
      </c>
      <c r="S69" s="88">
        <f t="shared" si="11"/>
        <v>0</v>
      </c>
      <c r="T69" s="19">
        <f t="shared" si="12"/>
        <v>0</v>
      </c>
      <c r="U69" s="19">
        <f t="shared" si="0"/>
        <v>0</v>
      </c>
      <c r="V69" s="19">
        <f t="shared" si="29"/>
        <v>0</v>
      </c>
      <c r="W69" s="20">
        <f t="shared" ca="1" si="43"/>
        <v>0</v>
      </c>
      <c r="X69" s="19">
        <f t="shared" ca="1" si="44"/>
        <v>0</v>
      </c>
      <c r="Y69" s="19">
        <f t="shared" ca="1" si="45"/>
        <v>0</v>
      </c>
      <c r="Z69" s="20">
        <f t="shared" ca="1" si="46"/>
        <v>0</v>
      </c>
      <c r="AA69" s="1">
        <f t="shared" si="25"/>
        <v>5432.58</v>
      </c>
      <c r="AB69" s="89">
        <v>39897</v>
      </c>
      <c r="AC69" s="90">
        <v>0</v>
      </c>
      <c r="AD69" s="101">
        <f t="shared" si="26"/>
        <v>42294</v>
      </c>
      <c r="AE69" s="103">
        <f t="shared" si="27"/>
        <v>0</v>
      </c>
      <c r="AG69" s="1">
        <f t="shared" si="4"/>
        <v>0</v>
      </c>
      <c r="AH69" s="1">
        <f t="shared" si="31"/>
        <v>0</v>
      </c>
      <c r="AI69" s="1">
        <f t="shared" si="28"/>
        <v>5432.58</v>
      </c>
      <c r="AJ69" s="20">
        <f t="shared" si="30"/>
        <v>0</v>
      </c>
      <c r="AK69" s="100">
        <f t="shared" si="32"/>
        <v>0</v>
      </c>
      <c r="AL69" s="100">
        <f t="shared" si="33"/>
        <v>0</v>
      </c>
      <c r="AN69" s="100">
        <f t="shared" si="34"/>
        <v>5323.7134468377326</v>
      </c>
      <c r="AO69" s="20">
        <f t="shared" si="35"/>
        <v>0</v>
      </c>
      <c r="AQ69" s="109">
        <f t="shared" si="17"/>
        <v>0</v>
      </c>
      <c r="AU69" s="109">
        <f t="shared" si="18"/>
        <v>26.966330075672456</v>
      </c>
      <c r="AV69" s="101">
        <f t="shared" si="8"/>
        <v>42324</v>
      </c>
      <c r="AW69" s="99">
        <f t="shared" si="9"/>
        <v>0</v>
      </c>
      <c r="AX69" s="1">
        <f t="shared" si="19"/>
        <v>0</v>
      </c>
      <c r="AY69" s="29">
        <f t="shared" si="20"/>
        <v>0</v>
      </c>
      <c r="AZ69" s="1">
        <f t="shared" si="21"/>
        <v>0</v>
      </c>
      <c r="CB69" s="20">
        <f t="shared" si="41"/>
        <v>0</v>
      </c>
      <c r="CC69" s="173">
        <f t="shared" si="23"/>
        <v>0</v>
      </c>
    </row>
    <row r="70" spans="2:81" x14ac:dyDescent="0.25">
      <c r="B70" s="41">
        <v>41</v>
      </c>
      <c r="C70" s="165">
        <v>39869</v>
      </c>
      <c r="D70" s="166">
        <v>0.44900000000000001</v>
      </c>
      <c r="E70" s="26">
        <v>226.94209949349056</v>
      </c>
      <c r="F70" s="26">
        <v>21672.339665367719</v>
      </c>
      <c r="G70" s="167">
        <v>584341.51856801065</v>
      </c>
      <c r="H70" s="81" t="str">
        <f>IF(ISERROR(VLOOKUP(#REF!,AB:AC,2,0)),"",VLOOKUP(#REF!,AB:AC,2,0))</f>
        <v/>
      </c>
      <c r="J70" s="9"/>
      <c r="K70" s="10"/>
      <c r="L70" s="14"/>
      <c r="M70" s="19"/>
      <c r="N70" s="19"/>
      <c r="O70" s="19"/>
      <c r="P70" s="19"/>
      <c r="Q70" s="1">
        <f t="shared" si="24"/>
        <v>0.60744618579017706</v>
      </c>
      <c r="R70" s="12">
        <f t="shared" ca="1" si="42"/>
        <v>1202</v>
      </c>
      <c r="S70" s="88">
        <f t="shared" si="11"/>
        <v>0</v>
      </c>
      <c r="T70" s="19">
        <f t="shared" si="12"/>
        <v>0</v>
      </c>
      <c r="U70" s="19">
        <f t="shared" si="0"/>
        <v>0</v>
      </c>
      <c r="V70" s="19">
        <f t="shared" si="29"/>
        <v>0</v>
      </c>
      <c r="W70" s="20">
        <f t="shared" ca="1" si="43"/>
        <v>0</v>
      </c>
      <c r="X70" s="19">
        <f t="shared" ca="1" si="44"/>
        <v>0</v>
      </c>
      <c r="Y70" s="19">
        <f t="shared" ca="1" si="45"/>
        <v>0</v>
      </c>
      <c r="Z70" s="20">
        <f t="shared" ca="1" si="46"/>
        <v>0</v>
      </c>
      <c r="AA70" s="1">
        <f t="shared" si="25"/>
        <v>5432.58</v>
      </c>
      <c r="AB70" s="87">
        <v>39869</v>
      </c>
      <c r="AC70" s="88">
        <v>0</v>
      </c>
      <c r="AD70" s="101">
        <f t="shared" si="26"/>
        <v>42324</v>
      </c>
      <c r="AE70" s="103">
        <f t="shared" si="27"/>
        <v>0</v>
      </c>
      <c r="AG70" s="1">
        <f t="shared" si="4"/>
        <v>0</v>
      </c>
      <c r="AH70" s="1">
        <f t="shared" si="31"/>
        <v>0</v>
      </c>
      <c r="AI70" s="1">
        <f t="shared" si="28"/>
        <v>5432.58</v>
      </c>
      <c r="AJ70" s="20">
        <f t="shared" si="30"/>
        <v>0</v>
      </c>
      <c r="AK70" s="100">
        <f t="shared" si="32"/>
        <v>0</v>
      </c>
      <c r="AL70" s="100">
        <f t="shared" si="33"/>
        <v>0</v>
      </c>
      <c r="AN70" s="100">
        <f t="shared" si="34"/>
        <v>5321.0199191257434</v>
      </c>
      <c r="AO70" s="20">
        <f t="shared" si="35"/>
        <v>0</v>
      </c>
      <c r="AQ70" s="109">
        <f t="shared" si="17"/>
        <v>0</v>
      </c>
      <c r="AU70" s="109">
        <f t="shared" si="18"/>
        <v>26.963963238899264</v>
      </c>
      <c r="AV70" s="101">
        <f t="shared" si="8"/>
        <v>42354</v>
      </c>
      <c r="AW70" s="99">
        <f t="shared" si="9"/>
        <v>0</v>
      </c>
      <c r="AX70" s="1">
        <f t="shared" si="19"/>
        <v>0</v>
      </c>
      <c r="AY70" s="29">
        <f t="shared" si="20"/>
        <v>0</v>
      </c>
      <c r="AZ70" s="1">
        <f t="shared" si="21"/>
        <v>0</v>
      </c>
      <c r="CB70" s="20">
        <f t="shared" si="41"/>
        <v>0</v>
      </c>
      <c r="CC70" s="173">
        <f t="shared" si="23"/>
        <v>0</v>
      </c>
    </row>
    <row r="71" spans="2:81" x14ac:dyDescent="0.25">
      <c r="B71" s="41">
        <v>42</v>
      </c>
      <c r="C71" s="165">
        <v>39839</v>
      </c>
      <c r="D71" s="166">
        <v>0.53100000000000003</v>
      </c>
      <c r="E71" s="26">
        <v>287.03239899818362</v>
      </c>
      <c r="F71" s="26">
        <v>21427.00383282789</v>
      </c>
      <c r="G71" s="167">
        <v>606013.85823337839</v>
      </c>
      <c r="H71" s="81" t="str">
        <f>IF(ISERROR(VLOOKUP(#REF!,AB:AC,2,0)),"",VLOOKUP(#REF!,AB:AC,2,0))</f>
        <v/>
      </c>
      <c r="J71" s="7"/>
      <c r="K71" s="8"/>
      <c r="L71" s="15"/>
      <c r="M71" s="21"/>
      <c r="N71" s="21"/>
      <c r="O71" s="21"/>
      <c r="P71" s="21"/>
      <c r="Q71" s="1">
        <f t="shared" si="24"/>
        <v>0.60744618579017706</v>
      </c>
      <c r="R71" s="12">
        <f t="shared" ca="1" si="42"/>
        <v>1232</v>
      </c>
      <c r="S71" s="88">
        <f t="shared" si="11"/>
        <v>0</v>
      </c>
      <c r="T71" s="19">
        <f t="shared" si="12"/>
        <v>0</v>
      </c>
      <c r="U71" s="19">
        <f t="shared" si="0"/>
        <v>0</v>
      </c>
      <c r="V71" s="19">
        <f t="shared" si="29"/>
        <v>0</v>
      </c>
      <c r="W71" s="20">
        <f t="shared" ca="1" si="43"/>
        <v>0</v>
      </c>
      <c r="X71" s="19">
        <f t="shared" ca="1" si="44"/>
        <v>0</v>
      </c>
      <c r="Y71" s="19">
        <f t="shared" ca="1" si="45"/>
        <v>0</v>
      </c>
      <c r="Z71" s="20">
        <f t="shared" ca="1" si="46"/>
        <v>0</v>
      </c>
      <c r="AA71" s="1">
        <f t="shared" si="25"/>
        <v>5432.58</v>
      </c>
      <c r="AB71" s="89">
        <v>39838</v>
      </c>
      <c r="AC71" s="90">
        <v>0</v>
      </c>
      <c r="AD71" s="101">
        <f t="shared" si="26"/>
        <v>42354</v>
      </c>
      <c r="AE71" s="103">
        <f t="shared" si="27"/>
        <v>0</v>
      </c>
      <c r="AG71" s="1">
        <f t="shared" si="4"/>
        <v>0</v>
      </c>
      <c r="AH71" s="1">
        <f t="shared" si="31"/>
        <v>0</v>
      </c>
      <c r="AI71" s="1">
        <f t="shared" si="28"/>
        <v>5432.58</v>
      </c>
      <c r="AJ71" s="20">
        <f t="shared" si="30"/>
        <v>0</v>
      </c>
      <c r="AK71" s="100">
        <f t="shared" si="32"/>
        <v>0</v>
      </c>
      <c r="AL71" s="100">
        <f t="shared" si="33"/>
        <v>0</v>
      </c>
      <c r="AN71" s="100">
        <f t="shared" si="34"/>
        <v>5318.3277542015157</v>
      </c>
      <c r="AO71" s="20">
        <f t="shared" si="35"/>
        <v>0</v>
      </c>
      <c r="AQ71" s="109">
        <f t="shared" si="17"/>
        <v>0</v>
      </c>
      <c r="AU71" s="109">
        <f t="shared" si="18"/>
        <v>26.961596609863513</v>
      </c>
      <c r="AV71" s="101">
        <f t="shared" si="8"/>
        <v>42384</v>
      </c>
      <c r="AW71" s="99">
        <f t="shared" si="9"/>
        <v>0</v>
      </c>
      <c r="AX71" s="1">
        <f t="shared" si="19"/>
        <v>0</v>
      </c>
      <c r="AY71" s="29">
        <f t="shared" si="20"/>
        <v>0</v>
      </c>
      <c r="AZ71" s="1">
        <f t="shared" si="21"/>
        <v>0</v>
      </c>
      <c r="CB71" s="20">
        <f t="shared" si="41"/>
        <v>0</v>
      </c>
      <c r="CC71" s="173">
        <f t="shared" si="23"/>
        <v>0</v>
      </c>
    </row>
    <row r="72" spans="2:81" x14ac:dyDescent="0.25">
      <c r="B72" s="41">
        <v>43</v>
      </c>
      <c r="C72" s="165">
        <v>39808</v>
      </c>
      <c r="D72" s="166">
        <v>1.4550000000000001</v>
      </c>
      <c r="E72" s="26">
        <v>798.5359237595319</v>
      </c>
      <c r="F72" s="26">
        <v>9900.7565634176972</v>
      </c>
      <c r="G72" s="167">
        <v>627440.86206620629</v>
      </c>
      <c r="H72" s="81" t="str">
        <f>IF(ISERROR(VLOOKUP(#REF!,AB:AC,2,0)),"",VLOOKUP(#REF!,AB:AC,2,0))</f>
        <v/>
      </c>
      <c r="J72" s="9"/>
      <c r="K72" s="10"/>
      <c r="L72" s="14"/>
      <c r="M72" s="19"/>
      <c r="N72" s="19"/>
      <c r="O72" s="19"/>
      <c r="P72" s="19"/>
      <c r="Q72" s="1">
        <f t="shared" si="24"/>
        <v>0.60744618579017706</v>
      </c>
      <c r="R72" s="12">
        <f t="shared" ca="1" si="42"/>
        <v>1262</v>
      </c>
      <c r="S72" s="88">
        <f t="shared" si="11"/>
        <v>0</v>
      </c>
      <c r="T72" s="19">
        <f t="shared" si="12"/>
        <v>0</v>
      </c>
      <c r="U72" s="19">
        <f t="shared" si="0"/>
        <v>0</v>
      </c>
      <c r="V72" s="19">
        <f t="shared" si="29"/>
        <v>0</v>
      </c>
      <c r="W72" s="20">
        <f t="shared" ca="1" si="43"/>
        <v>0</v>
      </c>
      <c r="X72" s="19">
        <f t="shared" ca="1" si="44"/>
        <v>0</v>
      </c>
      <c r="Y72" s="19">
        <f t="shared" ca="1" si="45"/>
        <v>0</v>
      </c>
      <c r="Z72" s="20">
        <f t="shared" ca="1" si="46"/>
        <v>0</v>
      </c>
      <c r="AA72" s="1">
        <f t="shared" si="25"/>
        <v>5432.58</v>
      </c>
      <c r="AB72" s="87">
        <v>39807</v>
      </c>
      <c r="AC72" s="88">
        <v>0</v>
      </c>
      <c r="AD72" s="101">
        <f t="shared" si="26"/>
        <v>42384</v>
      </c>
      <c r="AE72" s="103">
        <f t="shared" si="27"/>
        <v>0</v>
      </c>
      <c r="AG72" s="1">
        <f t="shared" si="4"/>
        <v>0</v>
      </c>
      <c r="AH72" s="1">
        <f t="shared" si="31"/>
        <v>0</v>
      </c>
      <c r="AI72" s="1">
        <f t="shared" si="28"/>
        <v>5432.58</v>
      </c>
      <c r="AJ72" s="20">
        <f t="shared" si="30"/>
        <v>0</v>
      </c>
      <c r="AK72" s="100">
        <f t="shared" si="32"/>
        <v>0</v>
      </c>
      <c r="AL72" s="100">
        <f t="shared" si="33"/>
        <v>0</v>
      </c>
      <c r="AN72" s="100">
        <f t="shared" si="34"/>
        <v>5315.6369513755508</v>
      </c>
      <c r="AO72" s="20">
        <f t="shared" si="35"/>
        <v>0</v>
      </c>
      <c r="AQ72" s="109">
        <f t="shared" si="17"/>
        <v>0</v>
      </c>
      <c r="AU72" s="109">
        <f t="shared" si="18"/>
        <v>26.959230188546968</v>
      </c>
      <c r="AV72" s="101">
        <f t="shared" si="8"/>
        <v>42414</v>
      </c>
      <c r="AW72" s="99">
        <f t="shared" si="9"/>
        <v>0</v>
      </c>
      <c r="AX72" s="1">
        <f t="shared" si="19"/>
        <v>0</v>
      </c>
      <c r="AY72" s="29">
        <f t="shared" si="20"/>
        <v>0</v>
      </c>
      <c r="AZ72" s="1">
        <f t="shared" si="21"/>
        <v>0</v>
      </c>
      <c r="CB72" s="20">
        <f t="shared" si="41"/>
        <v>0</v>
      </c>
      <c r="CC72" s="173">
        <f t="shared" si="23"/>
        <v>0</v>
      </c>
    </row>
    <row r="73" spans="2:81" x14ac:dyDescent="0.25">
      <c r="B73" s="41">
        <v>44</v>
      </c>
      <c r="C73" s="165">
        <v>39777</v>
      </c>
      <c r="D73" s="166">
        <v>3.319</v>
      </c>
      <c r="E73" s="26">
        <v>1772.2105574804157</v>
      </c>
      <c r="F73" s="26">
        <v>25554.213070023121</v>
      </c>
      <c r="G73" s="167">
        <v>637341.61862962402</v>
      </c>
      <c r="H73" s="81" t="str">
        <f>IF(ISERROR(VLOOKUP(#REF!,AB:AC,2,0)),"",VLOOKUP(#REF!,AB:AC,2,0))</f>
        <v/>
      </c>
      <c r="J73" s="7"/>
      <c r="K73" s="8"/>
      <c r="L73" s="15"/>
      <c r="M73" s="21"/>
      <c r="N73" s="21"/>
      <c r="O73" s="21"/>
      <c r="P73" s="21"/>
      <c r="Q73" s="1">
        <f t="shared" si="24"/>
        <v>0.60744618579017706</v>
      </c>
      <c r="R73" s="12">
        <f t="shared" ca="1" si="42"/>
        <v>1292</v>
      </c>
      <c r="S73" s="88">
        <f t="shared" si="11"/>
        <v>0</v>
      </c>
      <c r="T73" s="19">
        <f t="shared" si="12"/>
        <v>0</v>
      </c>
      <c r="U73" s="19">
        <f t="shared" si="0"/>
        <v>0</v>
      </c>
      <c r="V73" s="19">
        <f t="shared" si="29"/>
        <v>0</v>
      </c>
      <c r="W73" s="20">
        <f t="shared" ca="1" si="43"/>
        <v>0</v>
      </c>
      <c r="X73" s="19">
        <f t="shared" ca="1" si="44"/>
        <v>0</v>
      </c>
      <c r="Y73" s="19">
        <f t="shared" ca="1" si="45"/>
        <v>0</v>
      </c>
      <c r="Z73" s="20">
        <f t="shared" ca="1" si="46"/>
        <v>0</v>
      </c>
      <c r="AA73" s="1">
        <f t="shared" si="25"/>
        <v>5432.58</v>
      </c>
      <c r="AB73" s="89">
        <v>39777</v>
      </c>
      <c r="AC73" s="90">
        <v>0</v>
      </c>
      <c r="AD73" s="101">
        <f t="shared" si="26"/>
        <v>42414</v>
      </c>
      <c r="AE73" s="103">
        <f t="shared" si="27"/>
        <v>0</v>
      </c>
      <c r="AG73" s="1">
        <f t="shared" si="4"/>
        <v>0</v>
      </c>
      <c r="AH73" s="1">
        <f t="shared" si="31"/>
        <v>0</v>
      </c>
      <c r="AI73" s="1">
        <f t="shared" si="28"/>
        <v>5432.58</v>
      </c>
      <c r="AJ73" s="20">
        <f t="shared" si="30"/>
        <v>0</v>
      </c>
      <c r="AK73" s="100">
        <f t="shared" si="32"/>
        <v>0</v>
      </c>
      <c r="AL73" s="100">
        <f t="shared" si="33"/>
        <v>0</v>
      </c>
      <c r="AN73" s="100">
        <f t="shared" si="34"/>
        <v>5312.9475099586934</v>
      </c>
      <c r="AO73" s="20">
        <f t="shared" si="35"/>
        <v>0</v>
      </c>
      <c r="AQ73" s="109">
        <f t="shared" si="17"/>
        <v>0</v>
      </c>
      <c r="AU73" s="109">
        <f t="shared" si="18"/>
        <v>26.956863974931395</v>
      </c>
      <c r="AV73" s="101">
        <f t="shared" si="8"/>
        <v>42444</v>
      </c>
      <c r="AW73" s="99">
        <f t="shared" si="9"/>
        <v>0</v>
      </c>
      <c r="AX73" s="1">
        <f t="shared" si="19"/>
        <v>0</v>
      </c>
      <c r="AY73" s="29">
        <f t="shared" si="20"/>
        <v>0</v>
      </c>
      <c r="AZ73" s="1">
        <f t="shared" si="21"/>
        <v>0</v>
      </c>
      <c r="CB73" s="20">
        <f t="shared" si="41"/>
        <v>0</v>
      </c>
      <c r="CC73" s="173">
        <f t="shared" si="23"/>
        <v>0</v>
      </c>
    </row>
    <row r="74" spans="2:81" x14ac:dyDescent="0.25">
      <c r="B74" s="41">
        <v>45</v>
      </c>
      <c r="C74" s="165">
        <v>39748</v>
      </c>
      <c r="D74" s="166">
        <v>3.2669999999999999</v>
      </c>
      <c r="E74" s="26">
        <v>2006.0222207996926</v>
      </c>
      <c r="F74" s="26">
        <v>27908.541725012601</v>
      </c>
      <c r="G74" s="167">
        <v>662895.83169964713</v>
      </c>
      <c r="H74" s="81" t="str">
        <f>IF(ISERROR(VLOOKUP(#REF!,AB:AC,2,0)),"",VLOOKUP(#REF!,AB:AC,2,0))</f>
        <v/>
      </c>
      <c r="J74" s="9"/>
      <c r="K74" s="10"/>
      <c r="L74" s="14"/>
      <c r="M74" s="19"/>
      <c r="N74" s="19"/>
      <c r="O74" s="19"/>
      <c r="P74" s="19"/>
      <c r="Q74" s="1">
        <f t="shared" si="24"/>
        <v>0.60744618579017706</v>
      </c>
      <c r="R74" s="12">
        <f t="shared" ca="1" si="42"/>
        <v>1322</v>
      </c>
      <c r="S74" s="88">
        <f t="shared" si="11"/>
        <v>0</v>
      </c>
      <c r="T74" s="19">
        <f t="shared" si="12"/>
        <v>0</v>
      </c>
      <c r="U74" s="19">
        <f t="shared" si="0"/>
        <v>0</v>
      </c>
      <c r="V74" s="19">
        <f t="shared" si="29"/>
        <v>0</v>
      </c>
      <c r="W74" s="20">
        <f t="shared" ca="1" si="43"/>
        <v>0</v>
      </c>
      <c r="X74" s="19">
        <f t="shared" ca="1" si="44"/>
        <v>0</v>
      </c>
      <c r="Y74" s="19">
        <f t="shared" ca="1" si="45"/>
        <v>0</v>
      </c>
      <c r="Z74" s="20">
        <f t="shared" ca="1" si="46"/>
        <v>0</v>
      </c>
      <c r="AA74" s="1">
        <f t="shared" si="25"/>
        <v>5432.58</v>
      </c>
      <c r="AB74" s="87">
        <v>39746</v>
      </c>
      <c r="AC74" s="88">
        <v>0</v>
      </c>
      <c r="AD74" s="101">
        <f t="shared" si="26"/>
        <v>42444</v>
      </c>
      <c r="AE74" s="103">
        <f t="shared" si="27"/>
        <v>0</v>
      </c>
      <c r="AG74" s="1">
        <f t="shared" si="4"/>
        <v>0</v>
      </c>
      <c r="AH74" s="1">
        <f t="shared" si="31"/>
        <v>0</v>
      </c>
      <c r="AI74" s="1">
        <f t="shared" si="28"/>
        <v>5432.58</v>
      </c>
      <c r="AJ74" s="20">
        <f t="shared" si="30"/>
        <v>0</v>
      </c>
      <c r="AK74" s="100">
        <f t="shared" si="32"/>
        <v>0</v>
      </c>
      <c r="AL74" s="100">
        <f t="shared" si="33"/>
        <v>0</v>
      </c>
      <c r="AN74" s="100">
        <f t="shared" si="34"/>
        <v>5310.2594292621407</v>
      </c>
      <c r="AO74" s="20">
        <f t="shared" si="35"/>
        <v>0</v>
      </c>
      <c r="AQ74" s="109">
        <f t="shared" si="17"/>
        <v>0</v>
      </c>
      <c r="AU74" s="109">
        <f t="shared" si="18"/>
        <v>26.954497968998563</v>
      </c>
      <c r="AV74" s="101">
        <f t="shared" si="8"/>
        <v>42474</v>
      </c>
      <c r="AW74" s="99">
        <f t="shared" si="9"/>
        <v>0</v>
      </c>
      <c r="AX74" s="1">
        <f t="shared" si="19"/>
        <v>0</v>
      </c>
      <c r="AY74" s="29">
        <f t="shared" si="20"/>
        <v>0</v>
      </c>
      <c r="AZ74" s="1">
        <f t="shared" si="21"/>
        <v>0</v>
      </c>
      <c r="CB74" s="20">
        <f t="shared" si="41"/>
        <v>0</v>
      </c>
      <c r="CC74" s="173">
        <f t="shared" si="23"/>
        <v>0</v>
      </c>
    </row>
    <row r="75" spans="2:81" x14ac:dyDescent="0.25">
      <c r="B75" s="41">
        <v>46</v>
      </c>
      <c r="C75" s="165">
        <v>39716</v>
      </c>
      <c r="D75" s="166">
        <v>2.532</v>
      </c>
      <c r="E75" s="26">
        <v>1555.1531530810653</v>
      </c>
      <c r="F75" s="26">
        <v>22493.369527818009</v>
      </c>
      <c r="G75" s="167">
        <v>690804.3734246596</v>
      </c>
      <c r="H75" s="81" t="str">
        <f>IF(ISERROR(VLOOKUP(#REF!,AB:AC,2,0)),"",VLOOKUP(#REF!,AB:AC,2,0))</f>
        <v/>
      </c>
      <c r="J75" s="7"/>
      <c r="K75" s="8"/>
      <c r="L75" s="15"/>
      <c r="M75" s="21"/>
      <c r="N75" s="21"/>
      <c r="O75" s="21"/>
      <c r="P75" s="21"/>
      <c r="Q75" s="1">
        <f t="shared" si="24"/>
        <v>0.60744618579017706</v>
      </c>
      <c r="R75" s="12">
        <f t="shared" ca="1" si="42"/>
        <v>1352</v>
      </c>
      <c r="S75" s="88">
        <f t="shared" si="11"/>
        <v>0</v>
      </c>
      <c r="T75" s="19">
        <f t="shared" si="12"/>
        <v>0</v>
      </c>
      <c r="U75" s="19">
        <f t="shared" si="0"/>
        <v>0</v>
      </c>
      <c r="V75" s="19">
        <f t="shared" si="29"/>
        <v>0</v>
      </c>
      <c r="W75" s="20">
        <f t="shared" ca="1" si="43"/>
        <v>0</v>
      </c>
      <c r="X75" s="19">
        <f t="shared" ca="1" si="44"/>
        <v>0</v>
      </c>
      <c r="Y75" s="19">
        <f t="shared" ca="1" si="45"/>
        <v>0</v>
      </c>
      <c r="Z75" s="20">
        <f t="shared" ca="1" si="46"/>
        <v>0</v>
      </c>
      <c r="AA75" s="1">
        <f t="shared" si="25"/>
        <v>5432.58</v>
      </c>
      <c r="AB75" s="89">
        <v>39716</v>
      </c>
      <c r="AC75" s="90">
        <v>0</v>
      </c>
      <c r="AD75" s="101">
        <f t="shared" si="26"/>
        <v>42474</v>
      </c>
      <c r="AE75" s="103">
        <f t="shared" si="27"/>
        <v>0</v>
      </c>
      <c r="AG75" s="1">
        <f t="shared" si="4"/>
        <v>0</v>
      </c>
      <c r="AH75" s="1">
        <f t="shared" si="31"/>
        <v>0</v>
      </c>
      <c r="AI75" s="1">
        <f t="shared" si="28"/>
        <v>5432.58</v>
      </c>
      <c r="AJ75" s="20">
        <f t="shared" si="30"/>
        <v>0</v>
      </c>
      <c r="AK75" s="100">
        <f t="shared" si="32"/>
        <v>0</v>
      </c>
      <c r="AL75" s="100">
        <f t="shared" si="33"/>
        <v>0</v>
      </c>
      <c r="AN75" s="100">
        <f t="shared" si="34"/>
        <v>5307.5727085974386</v>
      </c>
      <c r="AO75" s="20">
        <f t="shared" si="35"/>
        <v>0</v>
      </c>
      <c r="AQ75" s="109">
        <f t="shared" si="17"/>
        <v>0</v>
      </c>
      <c r="AU75" s="109">
        <f t="shared" si="18"/>
        <v>26.952132170730248</v>
      </c>
      <c r="AV75" s="101">
        <f t="shared" si="8"/>
        <v>42504</v>
      </c>
      <c r="AW75" s="99">
        <f t="shared" si="9"/>
        <v>0</v>
      </c>
      <c r="AX75" s="1">
        <f t="shared" si="19"/>
        <v>0</v>
      </c>
      <c r="AY75" s="29">
        <f t="shared" si="20"/>
        <v>0</v>
      </c>
      <c r="AZ75" s="1">
        <f t="shared" si="21"/>
        <v>0</v>
      </c>
      <c r="CB75" s="20">
        <f t="shared" si="41"/>
        <v>0</v>
      </c>
      <c r="CC75" s="173">
        <f t="shared" si="23"/>
        <v>0</v>
      </c>
    </row>
    <row r="76" spans="2:81" x14ac:dyDescent="0.25">
      <c r="B76" s="41">
        <v>47</v>
      </c>
      <c r="C76" s="165">
        <v>39685</v>
      </c>
      <c r="D76" s="166">
        <v>2.5209999999999999</v>
      </c>
      <c r="E76" s="26">
        <v>1599.0230689829002</v>
      </c>
      <c r="F76" s="26">
        <v>23213.913285269617</v>
      </c>
      <c r="G76" s="167">
        <v>713297.74295247765</v>
      </c>
      <c r="H76" s="81" t="str">
        <f>IF(ISERROR(VLOOKUP(#REF!,AB:AC,2,0)),"",VLOOKUP(#REF!,AB:AC,2,0))</f>
        <v/>
      </c>
      <c r="J76" s="9"/>
      <c r="K76" s="10"/>
      <c r="L76" s="14"/>
      <c r="M76" s="19"/>
      <c r="N76" s="19"/>
      <c r="O76" s="19"/>
      <c r="P76" s="19"/>
      <c r="Q76" s="1">
        <f t="shared" si="24"/>
        <v>0.60744618579017706</v>
      </c>
      <c r="R76" s="12">
        <f t="shared" ca="1" si="42"/>
        <v>1382</v>
      </c>
      <c r="S76" s="88">
        <f t="shared" si="11"/>
        <v>0</v>
      </c>
      <c r="T76" s="19">
        <f t="shared" si="12"/>
        <v>0</v>
      </c>
      <c r="U76" s="19">
        <f t="shared" si="0"/>
        <v>0</v>
      </c>
      <c r="V76" s="19">
        <f t="shared" si="29"/>
        <v>0</v>
      </c>
      <c r="W76" s="20">
        <f t="shared" ca="1" si="43"/>
        <v>0</v>
      </c>
      <c r="X76" s="19">
        <f t="shared" ca="1" si="44"/>
        <v>0</v>
      </c>
      <c r="Y76" s="19">
        <f t="shared" ca="1" si="45"/>
        <v>0</v>
      </c>
      <c r="Z76" s="20">
        <f t="shared" ca="1" si="46"/>
        <v>0</v>
      </c>
      <c r="AA76" s="1">
        <f t="shared" si="25"/>
        <v>5432.58</v>
      </c>
      <c r="AB76" s="87">
        <v>39685</v>
      </c>
      <c r="AC76" s="88">
        <v>0</v>
      </c>
      <c r="AD76" s="101">
        <f t="shared" si="26"/>
        <v>42504</v>
      </c>
      <c r="AE76" s="103">
        <f t="shared" si="27"/>
        <v>0</v>
      </c>
      <c r="AG76" s="1">
        <f t="shared" si="4"/>
        <v>0</v>
      </c>
      <c r="AH76" s="1">
        <f t="shared" si="31"/>
        <v>0</v>
      </c>
      <c r="AI76" s="1">
        <f t="shared" si="28"/>
        <v>5432.58</v>
      </c>
      <c r="AJ76" s="20">
        <f t="shared" si="30"/>
        <v>0</v>
      </c>
      <c r="AK76" s="100">
        <f t="shared" si="32"/>
        <v>0</v>
      </c>
      <c r="AL76" s="100">
        <f t="shared" si="33"/>
        <v>0</v>
      </c>
      <c r="AN76" s="100">
        <f t="shared" si="34"/>
        <v>5304.8873472764808</v>
      </c>
      <c r="AO76" s="20">
        <f t="shared" si="35"/>
        <v>0</v>
      </c>
      <c r="AQ76" s="109">
        <f t="shared" si="17"/>
        <v>0</v>
      </c>
      <c r="AU76" s="109">
        <f t="shared" si="18"/>
        <v>26.949766580108221</v>
      </c>
      <c r="AV76" s="101">
        <f t="shared" si="8"/>
        <v>42534</v>
      </c>
      <c r="AW76" s="99">
        <f t="shared" si="9"/>
        <v>0</v>
      </c>
      <c r="AX76" s="1">
        <f t="shared" si="19"/>
        <v>0</v>
      </c>
      <c r="AY76" s="29">
        <f t="shared" si="20"/>
        <v>0</v>
      </c>
      <c r="AZ76" s="1">
        <f t="shared" si="21"/>
        <v>0</v>
      </c>
      <c r="CB76" s="20">
        <f t="shared" si="41"/>
        <v>0</v>
      </c>
      <c r="CC76" s="173">
        <f t="shared" si="23"/>
        <v>0</v>
      </c>
    </row>
    <row r="77" spans="2:81" x14ac:dyDescent="0.25">
      <c r="B77" s="41">
        <v>48</v>
      </c>
      <c r="C77" s="165">
        <v>39654</v>
      </c>
      <c r="D77" s="166">
        <v>2.5419999999999998</v>
      </c>
      <c r="E77" s="26">
        <v>1634.1502564553944</v>
      </c>
      <c r="F77" s="26">
        <v>34768.70460019364</v>
      </c>
      <c r="G77" s="167">
        <v>736511.65623774729</v>
      </c>
      <c r="H77" s="81" t="str">
        <f>IF(ISERROR(VLOOKUP(#REF!,AB:AC,2,0)),"",VLOOKUP(#REF!,AB:AC,2,0))</f>
        <v/>
      </c>
      <c r="J77" s="7"/>
      <c r="K77" s="8"/>
      <c r="L77" s="15"/>
      <c r="M77" s="21"/>
      <c r="N77" s="21"/>
      <c r="O77" s="21"/>
      <c r="P77" s="21"/>
      <c r="Q77" s="1">
        <f t="shared" si="24"/>
        <v>0.60744618579017706</v>
      </c>
      <c r="R77" s="12">
        <f t="shared" ca="1" si="42"/>
        <v>1412</v>
      </c>
      <c r="S77" s="88">
        <f t="shared" si="11"/>
        <v>0</v>
      </c>
      <c r="T77" s="19">
        <f t="shared" si="12"/>
        <v>0</v>
      </c>
      <c r="U77" s="19">
        <f t="shared" si="0"/>
        <v>0</v>
      </c>
      <c r="V77" s="19">
        <f t="shared" si="29"/>
        <v>0</v>
      </c>
      <c r="W77" s="20">
        <f t="shared" ca="1" si="43"/>
        <v>0</v>
      </c>
      <c r="X77" s="19">
        <f t="shared" ca="1" si="44"/>
        <v>0</v>
      </c>
      <c r="Y77" s="19">
        <f t="shared" ca="1" si="45"/>
        <v>0</v>
      </c>
      <c r="Z77" s="20">
        <f t="shared" ca="1" si="46"/>
        <v>0</v>
      </c>
      <c r="AA77" s="1">
        <f t="shared" si="25"/>
        <v>5432.58</v>
      </c>
      <c r="AB77" s="89">
        <v>39654</v>
      </c>
      <c r="AC77" s="90">
        <v>0</v>
      </c>
      <c r="AD77" s="101">
        <f t="shared" si="26"/>
        <v>42534</v>
      </c>
      <c r="AE77" s="103">
        <f t="shared" si="27"/>
        <v>0</v>
      </c>
      <c r="AG77" s="1">
        <f t="shared" si="4"/>
        <v>0</v>
      </c>
      <c r="AH77" s="1">
        <f t="shared" si="31"/>
        <v>0</v>
      </c>
      <c r="AI77" s="1">
        <f t="shared" si="28"/>
        <v>5432.58</v>
      </c>
      <c r="AJ77" s="20">
        <f t="shared" si="30"/>
        <v>0</v>
      </c>
      <c r="AK77" s="100">
        <f t="shared" si="32"/>
        <v>0</v>
      </c>
      <c r="AL77" s="100">
        <f t="shared" si="33"/>
        <v>0</v>
      </c>
      <c r="AN77" s="100">
        <f t="shared" si="34"/>
        <v>5302.2033446115065</v>
      </c>
      <c r="AO77" s="20">
        <f t="shared" si="35"/>
        <v>0</v>
      </c>
      <c r="AQ77" s="109">
        <f t="shared" si="17"/>
        <v>0</v>
      </c>
      <c r="AU77" s="109">
        <f t="shared" si="18"/>
        <v>26.94740119711425</v>
      </c>
      <c r="AV77" s="101">
        <f t="shared" si="8"/>
        <v>42564</v>
      </c>
      <c r="AW77" s="99">
        <f t="shared" si="9"/>
        <v>0</v>
      </c>
      <c r="AX77" s="1">
        <f t="shared" si="19"/>
        <v>0</v>
      </c>
      <c r="AY77" s="29">
        <f t="shared" si="20"/>
        <v>0</v>
      </c>
      <c r="AZ77" s="1">
        <f t="shared" si="21"/>
        <v>0</v>
      </c>
      <c r="CB77" s="20">
        <f t="shared" si="41"/>
        <v>0</v>
      </c>
      <c r="CC77" s="173">
        <f t="shared" si="23"/>
        <v>0</v>
      </c>
    </row>
    <row r="78" spans="2:81" x14ac:dyDescent="0.25">
      <c r="B78" s="41">
        <v>49</v>
      </c>
      <c r="C78" s="165">
        <v>39624</v>
      </c>
      <c r="D78" s="166">
        <v>2.4529999999999998</v>
      </c>
      <c r="E78" s="26">
        <v>1569.3088907203955</v>
      </c>
      <c r="F78" s="26">
        <v>23055.039648564089</v>
      </c>
      <c r="G78" s="167">
        <v>771280.36083794094</v>
      </c>
      <c r="H78" s="81" t="str">
        <f>IF(ISERROR(VLOOKUP(#REF!,AB:AC,2,0)),"",VLOOKUP(#REF!,AB:AC,2,0))</f>
        <v/>
      </c>
      <c r="J78" s="9"/>
      <c r="K78" s="10"/>
      <c r="L78" s="14"/>
      <c r="M78" s="19"/>
      <c r="N78" s="19"/>
      <c r="O78" s="19"/>
      <c r="P78" s="19"/>
      <c r="Q78" s="1">
        <f t="shared" si="24"/>
        <v>0.60744618579017706</v>
      </c>
      <c r="R78" s="12">
        <f t="shared" ca="1" si="42"/>
        <v>1442</v>
      </c>
      <c r="S78" s="88">
        <f t="shared" si="11"/>
        <v>0</v>
      </c>
      <c r="T78" s="19">
        <f t="shared" si="12"/>
        <v>0</v>
      </c>
      <c r="U78" s="19">
        <f t="shared" si="0"/>
        <v>0</v>
      </c>
      <c r="V78" s="19">
        <f t="shared" si="29"/>
        <v>0</v>
      </c>
      <c r="W78" s="20">
        <f t="shared" ca="1" si="43"/>
        <v>0</v>
      </c>
      <c r="X78" s="19">
        <f t="shared" ca="1" si="44"/>
        <v>0</v>
      </c>
      <c r="Y78" s="19">
        <f t="shared" ca="1" si="45"/>
        <v>0</v>
      </c>
      <c r="Z78" s="20">
        <f t="shared" ca="1" si="46"/>
        <v>0</v>
      </c>
      <c r="AA78" s="1">
        <f t="shared" si="25"/>
        <v>5432.58</v>
      </c>
      <c r="AB78" s="87">
        <v>39624</v>
      </c>
      <c r="AC78" s="88">
        <v>0</v>
      </c>
      <c r="AD78" s="101">
        <f t="shared" si="26"/>
        <v>42564</v>
      </c>
      <c r="AE78" s="103">
        <f t="shared" si="27"/>
        <v>0</v>
      </c>
      <c r="AG78" s="1">
        <f t="shared" si="4"/>
        <v>0</v>
      </c>
      <c r="AH78" s="1">
        <f t="shared" si="31"/>
        <v>0</v>
      </c>
      <c r="AI78" s="1">
        <f t="shared" si="28"/>
        <v>5432.58</v>
      </c>
      <c r="AJ78" s="20">
        <f t="shared" si="30"/>
        <v>0</v>
      </c>
      <c r="AK78" s="100">
        <f t="shared" si="32"/>
        <v>0</v>
      </c>
      <c r="AL78" s="100">
        <f t="shared" si="33"/>
        <v>0</v>
      </c>
      <c r="AN78" s="100">
        <f t="shared" si="34"/>
        <v>5299.520699915106</v>
      </c>
      <c r="AO78" s="20">
        <f t="shared" si="35"/>
        <v>0</v>
      </c>
      <c r="AQ78" s="109">
        <f t="shared" si="17"/>
        <v>0</v>
      </c>
      <c r="AU78" s="109">
        <f t="shared" si="18"/>
        <v>26.945036021730125</v>
      </c>
      <c r="AV78" s="101">
        <f t="shared" si="8"/>
        <v>42594</v>
      </c>
      <c r="AW78" s="99">
        <f t="shared" si="9"/>
        <v>0</v>
      </c>
      <c r="AX78" s="1">
        <f t="shared" si="19"/>
        <v>0</v>
      </c>
      <c r="AY78" s="29">
        <f t="shared" si="20"/>
        <v>0</v>
      </c>
      <c r="AZ78" s="1">
        <f t="shared" si="21"/>
        <v>0</v>
      </c>
      <c r="CB78" s="20">
        <f t="shared" si="41"/>
        <v>0</v>
      </c>
      <c r="CC78" s="173">
        <f t="shared" si="23"/>
        <v>0</v>
      </c>
    </row>
    <row r="79" spans="2:81" x14ac:dyDescent="0.25">
      <c r="B79" s="41">
        <v>50</v>
      </c>
      <c r="C79" s="165">
        <v>39595</v>
      </c>
      <c r="D79" s="166">
        <v>2.9550000000000001</v>
      </c>
      <c r="E79" s="26">
        <v>2156.5350115624974</v>
      </c>
      <c r="F79" s="26">
        <v>26680.465740599968</v>
      </c>
      <c r="G79" s="167">
        <v>794335.40048650501</v>
      </c>
      <c r="H79" s="81" t="str">
        <f>IF(ISERROR(VLOOKUP(#REF!,AB:AC,2,0)),"",VLOOKUP(#REF!,AB:AC,2,0))</f>
        <v/>
      </c>
      <c r="J79" s="7"/>
      <c r="K79" s="8"/>
      <c r="L79" s="15"/>
      <c r="M79" s="21"/>
      <c r="N79" s="21"/>
      <c r="O79" s="21"/>
      <c r="P79" s="21"/>
      <c r="Q79" s="1">
        <f t="shared" si="24"/>
        <v>0.60744618579017706</v>
      </c>
      <c r="R79" s="12">
        <f t="shared" ca="1" si="42"/>
        <v>1472</v>
      </c>
      <c r="S79" s="88">
        <f t="shared" si="11"/>
        <v>0</v>
      </c>
      <c r="T79" s="19">
        <f t="shared" si="12"/>
        <v>0</v>
      </c>
      <c r="U79" s="19">
        <f t="shared" si="0"/>
        <v>0</v>
      </c>
      <c r="V79" s="19">
        <f t="shared" si="29"/>
        <v>0</v>
      </c>
      <c r="W79" s="20">
        <f t="shared" ca="1" si="43"/>
        <v>0</v>
      </c>
      <c r="X79" s="19">
        <f t="shared" ca="1" si="44"/>
        <v>0</v>
      </c>
      <c r="Y79" s="19">
        <f t="shared" ca="1" si="45"/>
        <v>0</v>
      </c>
      <c r="Z79" s="20">
        <f t="shared" ca="1" si="46"/>
        <v>0</v>
      </c>
      <c r="AA79" s="1">
        <f t="shared" si="25"/>
        <v>5432.58</v>
      </c>
      <c r="AB79" s="89">
        <v>39593</v>
      </c>
      <c r="AC79" s="90">
        <v>0</v>
      </c>
      <c r="AD79" s="101">
        <f t="shared" si="26"/>
        <v>42594</v>
      </c>
      <c r="AE79" s="103">
        <f t="shared" si="27"/>
        <v>0</v>
      </c>
      <c r="AG79" s="1">
        <f t="shared" si="4"/>
        <v>0</v>
      </c>
      <c r="AH79" s="1">
        <f t="shared" si="31"/>
        <v>0</v>
      </c>
      <c r="AI79" s="1">
        <f t="shared" si="28"/>
        <v>5432.58</v>
      </c>
      <c r="AJ79" s="20">
        <f t="shared" si="30"/>
        <v>0</v>
      </c>
      <c r="AK79" s="100">
        <f t="shared" si="32"/>
        <v>0</v>
      </c>
      <c r="AL79" s="100">
        <f t="shared" si="33"/>
        <v>0</v>
      </c>
      <c r="AN79" s="100">
        <f t="shared" si="34"/>
        <v>5296.8394125002178</v>
      </c>
      <c r="AO79" s="20">
        <f t="shared" si="35"/>
        <v>0</v>
      </c>
      <c r="AQ79" s="109">
        <f t="shared" si="17"/>
        <v>0</v>
      </c>
      <c r="AU79" s="109">
        <f t="shared" si="18"/>
        <v>26.942671053937616</v>
      </c>
      <c r="AV79" s="101">
        <f t="shared" si="8"/>
        <v>42624</v>
      </c>
      <c r="AW79" s="99">
        <f t="shared" si="9"/>
        <v>0</v>
      </c>
      <c r="AX79" s="1">
        <f t="shared" si="19"/>
        <v>0</v>
      </c>
      <c r="AY79" s="29">
        <f t="shared" si="20"/>
        <v>0</v>
      </c>
      <c r="AZ79" s="1">
        <f t="shared" si="21"/>
        <v>0</v>
      </c>
      <c r="CB79" s="20">
        <f t="shared" si="41"/>
        <v>0</v>
      </c>
      <c r="CC79" s="173">
        <f t="shared" si="23"/>
        <v>0</v>
      </c>
    </row>
    <row r="80" spans="2:81" x14ac:dyDescent="0.25">
      <c r="B80" s="41">
        <v>51</v>
      </c>
      <c r="C80" s="165">
        <v>39563</v>
      </c>
      <c r="D80" s="166">
        <v>2.6589999999999998</v>
      </c>
      <c r="E80" s="26">
        <v>1929.6882926712169</v>
      </c>
      <c r="F80" s="26">
        <v>21833.894801277074</v>
      </c>
      <c r="G80" s="167">
        <v>821015.86622710491</v>
      </c>
      <c r="H80" s="81" t="str">
        <f>IF(ISERROR(VLOOKUP(#REF!,AB:AC,2,0)),"",VLOOKUP(#REF!,AB:AC,2,0))</f>
        <v/>
      </c>
      <c r="J80" s="9"/>
      <c r="K80" s="10"/>
      <c r="L80" s="14"/>
      <c r="M80" s="19"/>
      <c r="N80" s="19"/>
      <c r="O80" s="19"/>
      <c r="P80" s="19"/>
      <c r="Q80" s="1">
        <f t="shared" si="24"/>
        <v>0.60744618579017706</v>
      </c>
      <c r="R80" s="12">
        <f t="shared" ca="1" si="42"/>
        <v>1502</v>
      </c>
      <c r="S80" s="88">
        <f t="shared" si="11"/>
        <v>0</v>
      </c>
      <c r="T80" s="19">
        <f t="shared" si="12"/>
        <v>0</v>
      </c>
      <c r="U80" s="19">
        <f t="shared" si="0"/>
        <v>0</v>
      </c>
      <c r="V80" s="19">
        <f t="shared" si="29"/>
        <v>0</v>
      </c>
      <c r="W80" s="20">
        <f t="shared" ca="1" si="43"/>
        <v>0</v>
      </c>
      <c r="X80" s="19">
        <f t="shared" ca="1" si="44"/>
        <v>0</v>
      </c>
      <c r="Y80" s="19">
        <f t="shared" ca="1" si="45"/>
        <v>0</v>
      </c>
      <c r="Z80" s="20">
        <f t="shared" ca="1" si="46"/>
        <v>0</v>
      </c>
      <c r="AA80" s="1">
        <f t="shared" si="25"/>
        <v>5432.58</v>
      </c>
      <c r="AB80" s="87">
        <v>39563</v>
      </c>
      <c r="AC80" s="88">
        <v>0</v>
      </c>
      <c r="AD80" s="101">
        <f t="shared" si="26"/>
        <v>42624</v>
      </c>
      <c r="AE80" s="103">
        <f t="shared" si="27"/>
        <v>0</v>
      </c>
      <c r="AG80" s="1">
        <f t="shared" si="4"/>
        <v>0</v>
      </c>
      <c r="AH80" s="1">
        <f t="shared" si="31"/>
        <v>0</v>
      </c>
      <c r="AI80" s="1">
        <f t="shared" si="28"/>
        <v>5432.58</v>
      </c>
      <c r="AJ80" s="20">
        <f t="shared" si="30"/>
        <v>0</v>
      </c>
      <c r="AK80" s="100">
        <f t="shared" si="32"/>
        <v>0</v>
      </c>
      <c r="AL80" s="100">
        <f t="shared" si="33"/>
        <v>0</v>
      </c>
      <c r="AN80" s="100">
        <f t="shared" si="34"/>
        <v>5294.1594816801244</v>
      </c>
      <c r="AO80" s="20">
        <f t="shared" si="35"/>
        <v>0</v>
      </c>
      <c r="AQ80" s="109">
        <f t="shared" si="17"/>
        <v>0</v>
      </c>
      <c r="AU80" s="109">
        <f t="shared" si="18"/>
        <v>26.94030629371851</v>
      </c>
      <c r="AV80" s="101">
        <f t="shared" si="8"/>
        <v>42654</v>
      </c>
      <c r="AW80" s="99">
        <f t="shared" si="9"/>
        <v>0</v>
      </c>
      <c r="AX80" s="1">
        <f t="shared" si="19"/>
        <v>0</v>
      </c>
      <c r="AY80" s="29">
        <f t="shared" si="20"/>
        <v>0</v>
      </c>
      <c r="AZ80" s="1">
        <f t="shared" si="21"/>
        <v>0</v>
      </c>
      <c r="CB80" s="20">
        <f t="shared" si="41"/>
        <v>0</v>
      </c>
      <c r="CC80" s="173">
        <f t="shared" si="23"/>
        <v>0</v>
      </c>
    </row>
    <row r="81" spans="2:81" x14ac:dyDescent="0.25">
      <c r="B81" s="41">
        <v>52</v>
      </c>
      <c r="C81" s="165">
        <v>39532</v>
      </c>
      <c r="D81" s="166">
        <v>3.1949999999999998</v>
      </c>
      <c r="E81" s="26">
        <v>2216.7394157137942</v>
      </c>
      <c r="F81" s="26">
        <v>18437.497699503092</v>
      </c>
      <c r="G81" s="167">
        <v>842849.76102838211</v>
      </c>
      <c r="H81" s="81" t="str">
        <f>IF(ISERROR(VLOOKUP(#REF!,AB:AC,2,0)),"",VLOOKUP(#REF!,AB:AC,2,0))</f>
        <v/>
      </c>
      <c r="J81" s="7"/>
      <c r="K81" s="8"/>
      <c r="L81" s="15"/>
      <c r="M81" s="21"/>
      <c r="N81" s="21"/>
      <c r="O81" s="21"/>
      <c r="P81" s="21"/>
      <c r="Q81" s="1">
        <f t="shared" si="24"/>
        <v>0.60744618579017706</v>
      </c>
      <c r="R81" s="12">
        <f t="shared" ca="1" si="42"/>
        <v>1532</v>
      </c>
      <c r="S81" s="88">
        <f t="shared" si="11"/>
        <v>0</v>
      </c>
      <c r="T81" s="19">
        <f t="shared" si="12"/>
        <v>0</v>
      </c>
      <c r="U81" s="19">
        <f t="shared" si="0"/>
        <v>0</v>
      </c>
      <c r="V81" s="19">
        <f t="shared" si="29"/>
        <v>0</v>
      </c>
      <c r="W81" s="20">
        <f t="shared" ca="1" si="43"/>
        <v>0</v>
      </c>
      <c r="X81" s="19">
        <f t="shared" ca="1" si="44"/>
        <v>0</v>
      </c>
      <c r="Y81" s="19">
        <f t="shared" ca="1" si="45"/>
        <v>0</v>
      </c>
      <c r="Z81" s="20">
        <f t="shared" ca="1" si="46"/>
        <v>0</v>
      </c>
      <c r="AA81" s="1">
        <f t="shared" si="25"/>
        <v>5432.58</v>
      </c>
      <c r="AB81" s="89">
        <v>39532</v>
      </c>
      <c r="AC81" s="90">
        <v>0</v>
      </c>
      <c r="AD81" s="101">
        <f t="shared" si="26"/>
        <v>42654</v>
      </c>
      <c r="AE81" s="103">
        <f t="shared" si="27"/>
        <v>0</v>
      </c>
      <c r="AG81" s="1">
        <f t="shared" si="4"/>
        <v>0</v>
      </c>
      <c r="AH81" s="1">
        <f t="shared" si="31"/>
        <v>0</v>
      </c>
      <c r="AI81" s="1">
        <f t="shared" si="28"/>
        <v>5432.58</v>
      </c>
      <c r="AJ81" s="20">
        <f t="shared" si="30"/>
        <v>0</v>
      </c>
      <c r="AK81" s="100">
        <f t="shared" si="32"/>
        <v>0</v>
      </c>
      <c r="AL81" s="100">
        <f t="shared" si="33"/>
        <v>0</v>
      </c>
      <c r="AN81" s="100">
        <f t="shared" si="34"/>
        <v>5291.4809067684582</v>
      </c>
      <c r="AO81" s="20">
        <f t="shared" si="35"/>
        <v>0</v>
      </c>
      <c r="AQ81" s="109">
        <f t="shared" si="17"/>
        <v>0</v>
      </c>
      <c r="AU81" s="109">
        <f t="shared" si="18"/>
        <v>26.937941741054573</v>
      </c>
      <c r="AV81" s="101">
        <f t="shared" si="8"/>
        <v>42684</v>
      </c>
      <c r="AW81" s="99">
        <f t="shared" si="9"/>
        <v>0</v>
      </c>
      <c r="AX81" s="1">
        <f t="shared" si="19"/>
        <v>0</v>
      </c>
      <c r="AY81" s="29">
        <f t="shared" si="20"/>
        <v>0</v>
      </c>
      <c r="AZ81" s="1">
        <f t="shared" si="21"/>
        <v>0</v>
      </c>
      <c r="CB81" s="20">
        <f t="shared" si="41"/>
        <v>0</v>
      </c>
      <c r="CC81" s="173">
        <f t="shared" si="23"/>
        <v>0</v>
      </c>
    </row>
    <row r="82" spans="2:81" x14ac:dyDescent="0.25">
      <c r="B82" s="41">
        <v>53</v>
      </c>
      <c r="C82" s="165">
        <v>39503</v>
      </c>
      <c r="D82" s="166">
        <v>3.4359999999999999</v>
      </c>
      <c r="E82" s="26">
        <v>2607.8697798724525</v>
      </c>
      <c r="F82" s="26">
        <v>20049.64896417626</v>
      </c>
      <c r="G82" s="167">
        <v>861287.25872788508</v>
      </c>
      <c r="H82" s="81" t="str">
        <f>IF(ISERROR(VLOOKUP(#REF!,AB:AC,2,0)),"",VLOOKUP(#REF!,AB:AC,2,0))</f>
        <v/>
      </c>
      <c r="J82" s="9"/>
      <c r="K82" s="10"/>
      <c r="L82" s="14"/>
      <c r="M82" s="19"/>
      <c r="N82" s="19"/>
      <c r="O82" s="19"/>
      <c r="P82" s="19"/>
      <c r="Q82" s="1">
        <f t="shared" si="24"/>
        <v>0.60744618579017706</v>
      </c>
      <c r="R82" s="12">
        <f t="shared" ca="1" si="42"/>
        <v>1562</v>
      </c>
      <c r="S82" s="88">
        <f t="shared" si="11"/>
        <v>0</v>
      </c>
      <c r="T82" s="19">
        <f t="shared" si="12"/>
        <v>0</v>
      </c>
      <c r="U82" s="19">
        <f t="shared" si="0"/>
        <v>0</v>
      </c>
      <c r="V82" s="19">
        <f t="shared" si="29"/>
        <v>0</v>
      </c>
      <c r="W82" s="20">
        <f t="shared" ca="1" si="43"/>
        <v>0</v>
      </c>
      <c r="X82" s="19">
        <f t="shared" ca="1" si="44"/>
        <v>0</v>
      </c>
      <c r="Y82" s="19">
        <f t="shared" ca="1" si="45"/>
        <v>0</v>
      </c>
      <c r="Z82" s="20">
        <f t="shared" ca="1" si="46"/>
        <v>0</v>
      </c>
      <c r="AA82" s="1">
        <f t="shared" si="25"/>
        <v>5432.58</v>
      </c>
      <c r="AB82" s="87">
        <v>39503</v>
      </c>
      <c r="AC82" s="88">
        <v>0</v>
      </c>
      <c r="AD82" s="101">
        <f t="shared" si="26"/>
        <v>42684</v>
      </c>
      <c r="AE82" s="103">
        <f t="shared" si="27"/>
        <v>0</v>
      </c>
      <c r="AG82" s="1">
        <f t="shared" si="4"/>
        <v>0</v>
      </c>
      <c r="AH82" s="1">
        <f t="shared" si="31"/>
        <v>0</v>
      </c>
      <c r="AI82" s="1">
        <f t="shared" si="28"/>
        <v>5432.58</v>
      </c>
      <c r="AJ82" s="20">
        <f t="shared" si="30"/>
        <v>0</v>
      </c>
      <c r="AK82" s="100">
        <f t="shared" si="32"/>
        <v>0</v>
      </c>
      <c r="AL82" s="100">
        <f t="shared" si="33"/>
        <v>0</v>
      </c>
      <c r="AN82" s="100">
        <f t="shared" si="34"/>
        <v>5288.8036870792012</v>
      </c>
      <c r="AO82" s="20">
        <f t="shared" si="35"/>
        <v>0</v>
      </c>
      <c r="AQ82" s="109">
        <f t="shared" si="17"/>
        <v>0</v>
      </c>
      <c r="AU82" s="109">
        <f t="shared" si="18"/>
        <v>26.935577395927595</v>
      </c>
      <c r="AV82" s="101">
        <f t="shared" si="8"/>
        <v>42714</v>
      </c>
      <c r="AW82" s="99">
        <f t="shared" si="9"/>
        <v>0</v>
      </c>
      <c r="AX82" s="1">
        <f t="shared" si="19"/>
        <v>0</v>
      </c>
      <c r="AY82" s="29">
        <f t="shared" si="20"/>
        <v>0</v>
      </c>
      <c r="AZ82" s="1">
        <f t="shared" si="21"/>
        <v>0</v>
      </c>
      <c r="CB82" s="20">
        <f t="shared" si="41"/>
        <v>0</v>
      </c>
      <c r="CC82" s="173">
        <f t="shared" si="23"/>
        <v>0</v>
      </c>
    </row>
    <row r="83" spans="2:81" x14ac:dyDescent="0.25">
      <c r="B83" s="41">
        <v>54</v>
      </c>
      <c r="C83" s="165">
        <v>39472</v>
      </c>
      <c r="D83" s="166">
        <v>4.9249999999999998</v>
      </c>
      <c r="E83" s="26">
        <v>3686.0558680675026</v>
      </c>
      <c r="F83" s="26">
        <v>16788.383570851303</v>
      </c>
      <c r="G83" s="167">
        <v>881336.90769206139</v>
      </c>
      <c r="H83" s="81" t="str">
        <f>IF(ISERROR(VLOOKUP(#REF!,AB:AC,2,0)),"",VLOOKUP(#REF!,AB:AC,2,0))</f>
        <v/>
      </c>
      <c r="J83" s="7"/>
      <c r="K83" s="8"/>
      <c r="L83" s="15"/>
      <c r="M83" s="21"/>
      <c r="N83" s="21"/>
      <c r="O83" s="21"/>
      <c r="P83" s="21"/>
      <c r="Q83" s="1">
        <f t="shared" si="24"/>
        <v>0.60744618579017706</v>
      </c>
      <c r="R83" s="12">
        <f t="shared" ca="1" si="42"/>
        <v>1592</v>
      </c>
      <c r="S83" s="88">
        <f t="shared" si="11"/>
        <v>0</v>
      </c>
      <c r="T83" s="19">
        <f t="shared" si="12"/>
        <v>0</v>
      </c>
      <c r="U83" s="19">
        <f t="shared" si="0"/>
        <v>0</v>
      </c>
      <c r="V83" s="19">
        <f t="shared" si="29"/>
        <v>0</v>
      </c>
      <c r="W83" s="20">
        <f t="shared" ca="1" si="43"/>
        <v>0</v>
      </c>
      <c r="X83" s="19">
        <f t="shared" ca="1" si="44"/>
        <v>0</v>
      </c>
      <c r="Y83" s="19">
        <f t="shared" ca="1" si="45"/>
        <v>0</v>
      </c>
      <c r="Z83" s="20">
        <f t="shared" ca="1" si="46"/>
        <v>0</v>
      </c>
      <c r="AA83" s="1">
        <f t="shared" si="25"/>
        <v>5432.58</v>
      </c>
      <c r="AB83" s="89">
        <v>39472</v>
      </c>
      <c r="AC83" s="90">
        <v>0</v>
      </c>
      <c r="AD83" s="101">
        <f t="shared" si="26"/>
        <v>42714</v>
      </c>
      <c r="AE83" s="103">
        <f t="shared" si="27"/>
        <v>0</v>
      </c>
      <c r="AG83" s="1">
        <f t="shared" si="4"/>
        <v>0</v>
      </c>
      <c r="AH83" s="1">
        <f t="shared" si="31"/>
        <v>0</v>
      </c>
      <c r="AI83" s="1">
        <f t="shared" si="28"/>
        <v>5432.58</v>
      </c>
      <c r="AJ83" s="20">
        <f t="shared" si="30"/>
        <v>0</v>
      </c>
      <c r="AK83" s="100">
        <f t="shared" si="32"/>
        <v>0</v>
      </c>
      <c r="AL83" s="100">
        <f t="shared" si="33"/>
        <v>0</v>
      </c>
      <c r="AN83" s="100">
        <f t="shared" si="34"/>
        <v>5286.127821926676</v>
      </c>
      <c r="AO83" s="20">
        <f t="shared" si="35"/>
        <v>0</v>
      </c>
      <c r="AQ83" s="109">
        <f t="shared" si="17"/>
        <v>0</v>
      </c>
      <c r="AU83" s="109">
        <f t="shared" si="18"/>
        <v>26.93321325831937</v>
      </c>
      <c r="AV83" s="101">
        <f t="shared" si="8"/>
        <v>42744</v>
      </c>
      <c r="AW83" s="99">
        <f t="shared" si="9"/>
        <v>0</v>
      </c>
      <c r="AX83" s="1">
        <f t="shared" si="19"/>
        <v>0</v>
      </c>
      <c r="AY83" s="29">
        <f t="shared" si="20"/>
        <v>0</v>
      </c>
      <c r="AZ83" s="1">
        <f t="shared" si="21"/>
        <v>0</v>
      </c>
      <c r="CB83" s="20">
        <f t="shared" si="41"/>
        <v>0</v>
      </c>
      <c r="CC83" s="173">
        <f t="shared" si="23"/>
        <v>0</v>
      </c>
    </row>
    <row r="84" spans="2:81" x14ac:dyDescent="0.25">
      <c r="B84" s="41">
        <v>55</v>
      </c>
      <c r="C84" s="165">
        <v>39442</v>
      </c>
      <c r="D84" s="166">
        <v>4.8490000000000002</v>
      </c>
      <c r="E84" s="26">
        <v>3683.0482184151774</v>
      </c>
      <c r="F84" s="26">
        <v>13379.292847255007</v>
      </c>
      <c r="G84" s="167">
        <v>898125.2912629128</v>
      </c>
      <c r="H84" s="81" t="str">
        <f>IF(ISERROR(VLOOKUP(#REF!,AB:AC,2,0)),"",VLOOKUP(#REF!,AB:AC,2,0))</f>
        <v/>
      </c>
      <c r="J84" s="9"/>
      <c r="K84" s="10"/>
      <c r="L84" s="14"/>
      <c r="M84" s="19"/>
      <c r="N84" s="19"/>
      <c r="O84" s="19"/>
      <c r="P84" s="19"/>
      <c r="Q84" s="1">
        <f t="shared" si="24"/>
        <v>0.60744618579017706</v>
      </c>
      <c r="R84" s="12">
        <f t="shared" ca="1" si="42"/>
        <v>1622</v>
      </c>
      <c r="S84" s="88">
        <f t="shared" si="11"/>
        <v>0</v>
      </c>
      <c r="T84" s="19">
        <f t="shared" si="12"/>
        <v>0</v>
      </c>
      <c r="U84" s="19">
        <f t="shared" si="0"/>
        <v>0</v>
      </c>
      <c r="V84" s="19">
        <f t="shared" si="29"/>
        <v>0</v>
      </c>
      <c r="W84" s="20">
        <f t="shared" ca="1" si="43"/>
        <v>0</v>
      </c>
      <c r="X84" s="19">
        <f t="shared" ca="1" si="44"/>
        <v>0</v>
      </c>
      <c r="Y84" s="19">
        <f t="shared" ca="1" si="45"/>
        <v>0</v>
      </c>
      <c r="Z84" s="20">
        <f t="shared" ca="1" si="46"/>
        <v>0</v>
      </c>
      <c r="AA84" s="1">
        <f t="shared" si="25"/>
        <v>5432.58</v>
      </c>
      <c r="AB84" s="87">
        <v>39441</v>
      </c>
      <c r="AC84" s="88">
        <v>647.70000000000005</v>
      </c>
      <c r="AD84" s="101">
        <f t="shared" si="26"/>
        <v>42744</v>
      </c>
      <c r="AE84" s="103">
        <f t="shared" si="27"/>
        <v>0</v>
      </c>
      <c r="AG84" s="1">
        <f t="shared" si="4"/>
        <v>0</v>
      </c>
      <c r="AH84" s="1">
        <f t="shared" si="31"/>
        <v>0</v>
      </c>
      <c r="AI84" s="1">
        <f t="shared" si="28"/>
        <v>5432.58</v>
      </c>
      <c r="AJ84" s="20">
        <f t="shared" si="30"/>
        <v>0</v>
      </c>
      <c r="AK84" s="100">
        <f t="shared" si="32"/>
        <v>0</v>
      </c>
      <c r="AL84" s="100">
        <f t="shared" si="33"/>
        <v>0</v>
      </c>
      <c r="AN84" s="100">
        <f t="shared" si="34"/>
        <v>5283.4533106255585</v>
      </c>
      <c r="AO84" s="20">
        <f t="shared" si="35"/>
        <v>0</v>
      </c>
      <c r="AQ84" s="109">
        <f t="shared" si="17"/>
        <v>0</v>
      </c>
      <c r="AU84" s="109">
        <f t="shared" si="18"/>
        <v>26.930849328211675</v>
      </c>
      <c r="AV84" s="101">
        <f t="shared" si="8"/>
        <v>42774</v>
      </c>
      <c r="AW84" s="99">
        <f t="shared" si="9"/>
        <v>0</v>
      </c>
      <c r="AX84" s="1">
        <f t="shared" si="19"/>
        <v>0</v>
      </c>
      <c r="AY84" s="29">
        <f t="shared" si="20"/>
        <v>0</v>
      </c>
      <c r="AZ84" s="1">
        <f t="shared" si="21"/>
        <v>0</v>
      </c>
      <c r="CB84" s="20">
        <f t="shared" si="41"/>
        <v>0</v>
      </c>
      <c r="CC84" s="173">
        <f t="shared" si="23"/>
        <v>0</v>
      </c>
    </row>
    <row r="85" spans="2:81" x14ac:dyDescent="0.25">
      <c r="B85" s="41">
        <v>56</v>
      </c>
      <c r="C85" s="165">
        <v>39412</v>
      </c>
      <c r="D85" s="166">
        <v>4.9329999999999998</v>
      </c>
      <c r="E85" s="26">
        <v>4055.702511742536</v>
      </c>
      <c r="F85" s="26">
        <v>13516.25923199411</v>
      </c>
      <c r="G85" s="167">
        <v>911504.58411016769</v>
      </c>
      <c r="H85" s="81" t="str">
        <f>IF(ISERROR(VLOOKUP(#REF!,AB:AC,2,0)),"",VLOOKUP(#REF!,AB:AC,2,0))</f>
        <v/>
      </c>
      <c r="J85" s="7"/>
      <c r="K85" s="8"/>
      <c r="L85" s="15"/>
      <c r="M85" s="21"/>
      <c r="N85" s="21"/>
      <c r="O85" s="21"/>
      <c r="P85" s="21"/>
      <c r="Q85" s="1">
        <f t="shared" si="24"/>
        <v>0.60744618579017706</v>
      </c>
      <c r="R85" s="12">
        <f t="shared" ca="1" si="42"/>
        <v>1652</v>
      </c>
      <c r="S85" s="88">
        <f t="shared" si="11"/>
        <v>0</v>
      </c>
      <c r="T85" s="19">
        <f t="shared" si="12"/>
        <v>0</v>
      </c>
      <c r="U85" s="19">
        <f t="shared" si="0"/>
        <v>0</v>
      </c>
      <c r="V85" s="19">
        <f t="shared" si="29"/>
        <v>0</v>
      </c>
      <c r="W85" s="20">
        <f t="shared" ca="1" si="43"/>
        <v>0</v>
      </c>
      <c r="X85" s="19">
        <f t="shared" ca="1" si="44"/>
        <v>0</v>
      </c>
      <c r="Y85" s="19">
        <f t="shared" ca="1" si="45"/>
        <v>0</v>
      </c>
      <c r="Z85" s="20">
        <f t="shared" ca="1" si="46"/>
        <v>0</v>
      </c>
      <c r="AA85" s="1">
        <f t="shared" si="25"/>
        <v>5432.58</v>
      </c>
      <c r="AB85" s="89">
        <v>39411</v>
      </c>
      <c r="AC85" s="90">
        <v>0</v>
      </c>
      <c r="AD85" s="101">
        <f t="shared" si="26"/>
        <v>42774</v>
      </c>
      <c r="AE85" s="103">
        <f t="shared" si="27"/>
        <v>0</v>
      </c>
      <c r="AG85" s="1">
        <f t="shared" si="4"/>
        <v>0</v>
      </c>
      <c r="AH85" s="1">
        <f t="shared" si="31"/>
        <v>0</v>
      </c>
      <c r="AI85" s="1">
        <f t="shared" si="28"/>
        <v>5432.58</v>
      </c>
      <c r="AJ85" s="20">
        <f t="shared" si="30"/>
        <v>0</v>
      </c>
      <c r="AK85" s="100">
        <f t="shared" si="32"/>
        <v>0</v>
      </c>
      <c r="AL85" s="100">
        <f t="shared" si="33"/>
        <v>0</v>
      </c>
      <c r="AN85" s="100">
        <f t="shared" si="34"/>
        <v>5280.7801524908691</v>
      </c>
      <c r="AO85" s="20">
        <f t="shared" si="35"/>
        <v>0</v>
      </c>
      <c r="AQ85" s="109">
        <f t="shared" si="17"/>
        <v>0</v>
      </c>
      <c r="AU85" s="109">
        <f t="shared" si="18"/>
        <v>26.928485605586303</v>
      </c>
      <c r="AV85" s="101">
        <f t="shared" si="8"/>
        <v>42804</v>
      </c>
      <c r="AW85" s="99">
        <f t="shared" si="9"/>
        <v>0</v>
      </c>
      <c r="AX85" s="1">
        <f t="shared" si="19"/>
        <v>0</v>
      </c>
      <c r="AY85" s="29">
        <f t="shared" si="20"/>
        <v>0</v>
      </c>
      <c r="AZ85" s="1">
        <f t="shared" si="21"/>
        <v>0</v>
      </c>
      <c r="CB85" s="20">
        <f t="shared" si="41"/>
        <v>0</v>
      </c>
      <c r="CC85" s="173">
        <f t="shared" si="23"/>
        <v>0</v>
      </c>
    </row>
    <row r="86" spans="2:81" x14ac:dyDescent="0.25">
      <c r="B86" s="41">
        <v>57</v>
      </c>
      <c r="C86" s="165">
        <v>39380</v>
      </c>
      <c r="D86" s="166">
        <v>5.1909999999999998</v>
      </c>
      <c r="E86" s="26">
        <v>4038.6122602482133</v>
      </c>
      <c r="F86" s="26">
        <v>8537.4909780512589</v>
      </c>
      <c r="G86" s="167">
        <v>925020.84334216185</v>
      </c>
      <c r="H86" s="81" t="str">
        <f>IF(ISERROR(VLOOKUP(#REF!,AB:AC,2,0)),"",VLOOKUP(#REF!,AB:AC,2,0))</f>
        <v/>
      </c>
      <c r="J86" s="9"/>
      <c r="K86" s="10"/>
      <c r="L86" s="14"/>
      <c r="M86" s="19"/>
      <c r="N86" s="19"/>
      <c r="O86" s="19"/>
      <c r="P86" s="19"/>
      <c r="Q86" s="1">
        <f t="shared" si="24"/>
        <v>0.60744618579017706</v>
      </c>
      <c r="R86" s="12">
        <f t="shared" ca="1" si="42"/>
        <v>1682</v>
      </c>
      <c r="S86" s="88">
        <f t="shared" si="11"/>
        <v>0</v>
      </c>
      <c r="T86" s="19">
        <f t="shared" si="12"/>
        <v>0</v>
      </c>
      <c r="U86" s="19">
        <f t="shared" si="0"/>
        <v>0</v>
      </c>
      <c r="V86" s="19">
        <f t="shared" si="29"/>
        <v>0</v>
      </c>
      <c r="W86" s="20">
        <f t="shared" ca="1" si="43"/>
        <v>0</v>
      </c>
      <c r="X86" s="19">
        <f t="shared" ca="1" si="44"/>
        <v>0</v>
      </c>
      <c r="Y86" s="19">
        <f t="shared" ca="1" si="45"/>
        <v>0</v>
      </c>
      <c r="Z86" s="20">
        <f t="shared" ca="1" si="46"/>
        <v>0</v>
      </c>
      <c r="AA86" s="1">
        <f t="shared" si="25"/>
        <v>5432.58</v>
      </c>
      <c r="AB86" s="87">
        <v>39380</v>
      </c>
      <c r="AC86" s="88">
        <v>0</v>
      </c>
      <c r="AD86" s="101">
        <f t="shared" si="26"/>
        <v>42804</v>
      </c>
      <c r="AE86" s="103">
        <f t="shared" si="27"/>
        <v>0</v>
      </c>
      <c r="AG86" s="1">
        <f t="shared" si="4"/>
        <v>0</v>
      </c>
      <c r="AH86" s="1">
        <f t="shared" si="31"/>
        <v>0</v>
      </c>
      <c r="AI86" s="1">
        <f t="shared" si="28"/>
        <v>5432.58</v>
      </c>
      <c r="AJ86" s="20">
        <f t="shared" si="30"/>
        <v>0</v>
      </c>
      <c r="AK86" s="100">
        <f t="shared" si="32"/>
        <v>0</v>
      </c>
      <c r="AL86" s="100">
        <f t="shared" si="33"/>
        <v>0</v>
      </c>
      <c r="AN86" s="100">
        <f t="shared" si="34"/>
        <v>5278.1083468379729</v>
      </c>
      <c r="AO86" s="20">
        <f t="shared" si="35"/>
        <v>0</v>
      </c>
      <c r="AQ86" s="109">
        <f t="shared" si="17"/>
        <v>0</v>
      </c>
      <c r="AU86" s="109">
        <f t="shared" si="18"/>
        <v>26.926122090425032</v>
      </c>
      <c r="AV86" s="101">
        <f t="shared" si="8"/>
        <v>42834</v>
      </c>
      <c r="AW86" s="99">
        <f t="shared" si="9"/>
        <v>0</v>
      </c>
      <c r="AX86" s="1">
        <f t="shared" si="19"/>
        <v>0</v>
      </c>
      <c r="AY86" s="29">
        <f t="shared" si="20"/>
        <v>0</v>
      </c>
      <c r="AZ86" s="1">
        <f t="shared" si="21"/>
        <v>0</v>
      </c>
      <c r="CB86" s="20">
        <f t="shared" si="41"/>
        <v>0</v>
      </c>
      <c r="CC86" s="173">
        <f t="shared" si="23"/>
        <v>0</v>
      </c>
    </row>
    <row r="87" spans="2:81" x14ac:dyDescent="0.25">
      <c r="B87" s="41">
        <v>58</v>
      </c>
      <c r="C87" s="165">
        <v>39350</v>
      </c>
      <c r="D87" s="166">
        <v>5.5650000000000004</v>
      </c>
      <c r="E87" s="26">
        <v>4259.5645859505648</v>
      </c>
      <c r="F87" s="26">
        <v>16618.729045473821</v>
      </c>
      <c r="G87" s="167">
        <v>933558.33432021318</v>
      </c>
      <c r="H87" s="81" t="str">
        <f>IF(ISERROR(VLOOKUP(#REF!,AB:AC,2,0)),"",VLOOKUP(#REF!,AB:AC,2,0))</f>
        <v/>
      </c>
      <c r="J87" s="7"/>
      <c r="K87" s="8"/>
      <c r="L87" s="15"/>
      <c r="M87" s="21"/>
      <c r="N87" s="21"/>
      <c r="O87" s="21"/>
      <c r="P87" s="21"/>
      <c r="Q87" s="1">
        <f t="shared" si="24"/>
        <v>0.60744618579017706</v>
      </c>
      <c r="R87" s="12">
        <f t="shared" ca="1" si="42"/>
        <v>1712</v>
      </c>
      <c r="S87" s="88">
        <f t="shared" si="11"/>
        <v>0</v>
      </c>
      <c r="T87" s="19">
        <f t="shared" si="12"/>
        <v>0</v>
      </c>
      <c r="U87" s="19">
        <f t="shared" si="0"/>
        <v>0</v>
      </c>
      <c r="V87" s="19">
        <f t="shared" si="29"/>
        <v>0</v>
      </c>
      <c r="W87" s="20">
        <f t="shared" ca="1" si="43"/>
        <v>0</v>
      </c>
      <c r="X87" s="19">
        <f t="shared" ca="1" si="44"/>
        <v>0</v>
      </c>
      <c r="Y87" s="19">
        <f t="shared" ca="1" si="45"/>
        <v>0</v>
      </c>
      <c r="Z87" s="20">
        <f t="shared" ca="1" si="46"/>
        <v>0</v>
      </c>
      <c r="AA87" s="1">
        <f t="shared" si="25"/>
        <v>5432.58</v>
      </c>
      <c r="AB87" s="89">
        <v>39350</v>
      </c>
      <c r="AC87" s="90">
        <v>0</v>
      </c>
      <c r="AD87" s="101">
        <f t="shared" si="26"/>
        <v>42834</v>
      </c>
      <c r="AE87" s="103">
        <f t="shared" si="27"/>
        <v>0</v>
      </c>
      <c r="AG87" s="1">
        <f t="shared" si="4"/>
        <v>0</v>
      </c>
      <c r="AH87" s="1">
        <f t="shared" si="31"/>
        <v>0</v>
      </c>
      <c r="AI87" s="1">
        <f t="shared" si="28"/>
        <v>5432.58</v>
      </c>
      <c r="AJ87" s="20">
        <f t="shared" si="30"/>
        <v>0</v>
      </c>
      <c r="AK87" s="100">
        <f t="shared" si="32"/>
        <v>0</v>
      </c>
      <c r="AL87" s="100">
        <f t="shared" si="33"/>
        <v>0</v>
      </c>
      <c r="AN87" s="100">
        <f t="shared" si="34"/>
        <v>5275.4378929825853</v>
      </c>
      <c r="AO87" s="20">
        <f t="shared" si="35"/>
        <v>0</v>
      </c>
      <c r="AQ87" s="109">
        <f t="shared" si="17"/>
        <v>0</v>
      </c>
      <c r="AU87" s="109">
        <f t="shared" si="18"/>
        <v>26.923758782709662</v>
      </c>
      <c r="AV87" s="101">
        <f t="shared" si="8"/>
        <v>42864</v>
      </c>
      <c r="AW87" s="99">
        <f t="shared" si="9"/>
        <v>0</v>
      </c>
      <c r="AX87" s="1">
        <f t="shared" si="19"/>
        <v>0</v>
      </c>
      <c r="AY87" s="29">
        <f t="shared" si="20"/>
        <v>0</v>
      </c>
      <c r="AZ87" s="1">
        <f t="shared" si="21"/>
        <v>0</v>
      </c>
      <c r="CB87" s="20">
        <f t="shared" si="41"/>
        <v>0</v>
      </c>
      <c r="CC87" s="173">
        <f t="shared" si="23"/>
        <v>0</v>
      </c>
    </row>
    <row r="88" spans="2:81" x14ac:dyDescent="0.25">
      <c r="B88" s="41">
        <v>59</v>
      </c>
      <c r="C88" s="165">
        <v>39321</v>
      </c>
      <c r="D88" s="166">
        <v>5.38</v>
      </c>
      <c r="E88" s="26">
        <v>4764.2243924687737</v>
      </c>
      <c r="F88" s="26">
        <v>15870.467701023419</v>
      </c>
      <c r="G88" s="167">
        <v>950177.06336568692</v>
      </c>
      <c r="H88" s="81" t="str">
        <f>IF(ISERROR(VLOOKUP(#REF!,AB:AC,2,0)),"",VLOOKUP(#REF!,AB:AC,2,0))</f>
        <v/>
      </c>
      <c r="J88" s="9"/>
      <c r="K88" s="10"/>
      <c r="L88" s="14"/>
      <c r="M88" s="19"/>
      <c r="N88" s="19"/>
      <c r="O88" s="19"/>
      <c r="P88" s="19"/>
      <c r="Q88" s="1">
        <f t="shared" si="24"/>
        <v>0.60744618579017706</v>
      </c>
      <c r="R88" s="12">
        <f t="shared" ca="1" si="42"/>
        <v>1742</v>
      </c>
      <c r="S88" s="88">
        <f t="shared" si="11"/>
        <v>0</v>
      </c>
      <c r="T88" s="19">
        <f t="shared" si="12"/>
        <v>0</v>
      </c>
      <c r="U88" s="19">
        <f t="shared" si="0"/>
        <v>0</v>
      </c>
      <c r="V88" s="19">
        <f t="shared" si="29"/>
        <v>0</v>
      </c>
      <c r="W88" s="20">
        <f t="shared" ca="1" si="43"/>
        <v>0</v>
      </c>
      <c r="X88" s="19">
        <f t="shared" ca="1" si="44"/>
        <v>0</v>
      </c>
      <c r="Y88" s="19">
        <f t="shared" ca="1" si="45"/>
        <v>0</v>
      </c>
      <c r="Z88" s="20">
        <f t="shared" ca="1" si="46"/>
        <v>0</v>
      </c>
      <c r="AA88" s="1">
        <f t="shared" si="25"/>
        <v>5432.58</v>
      </c>
      <c r="AB88" s="87">
        <v>39319</v>
      </c>
      <c r="AC88" s="88">
        <v>0</v>
      </c>
      <c r="AD88" s="101">
        <f t="shared" si="26"/>
        <v>42864</v>
      </c>
      <c r="AE88" s="103">
        <f t="shared" si="27"/>
        <v>0</v>
      </c>
      <c r="AG88" s="1">
        <f t="shared" si="4"/>
        <v>0</v>
      </c>
      <c r="AH88" s="1">
        <f t="shared" si="31"/>
        <v>0</v>
      </c>
      <c r="AI88" s="1">
        <f t="shared" si="28"/>
        <v>5432.58</v>
      </c>
      <c r="AJ88" s="20">
        <f t="shared" si="30"/>
        <v>0</v>
      </c>
      <c r="AK88" s="100">
        <f t="shared" si="32"/>
        <v>0</v>
      </c>
      <c r="AL88" s="100">
        <f t="shared" si="33"/>
        <v>0</v>
      </c>
      <c r="AN88" s="100">
        <f t="shared" si="34"/>
        <v>5272.7687902407633</v>
      </c>
      <c r="AO88" s="20">
        <f t="shared" si="35"/>
        <v>0</v>
      </c>
      <c r="AQ88" s="109">
        <f t="shared" si="17"/>
        <v>0</v>
      </c>
      <c r="AU88" s="109">
        <f t="shared" si="18"/>
        <v>26.921395682421991</v>
      </c>
      <c r="AV88" s="101">
        <f t="shared" si="8"/>
        <v>42894</v>
      </c>
      <c r="AW88" s="99">
        <f t="shared" si="9"/>
        <v>0</v>
      </c>
      <c r="AX88" s="1">
        <f t="shared" si="19"/>
        <v>0</v>
      </c>
      <c r="AY88" s="29">
        <f t="shared" si="20"/>
        <v>0</v>
      </c>
      <c r="AZ88" s="1">
        <f t="shared" si="21"/>
        <v>0</v>
      </c>
      <c r="CB88" s="20">
        <f t="shared" si="41"/>
        <v>0</v>
      </c>
      <c r="CC88" s="173">
        <f t="shared" si="23"/>
        <v>0</v>
      </c>
    </row>
    <row r="89" spans="2:81" x14ac:dyDescent="0.25">
      <c r="B89" s="41">
        <v>60</v>
      </c>
      <c r="C89" s="165">
        <v>39288</v>
      </c>
      <c r="D89" s="166">
        <v>5.38</v>
      </c>
      <c r="E89" s="26">
        <v>4184.4439999039787</v>
      </c>
      <c r="F89" s="26">
        <v>33952.469013306873</v>
      </c>
      <c r="G89" s="167">
        <v>966047.53106671025</v>
      </c>
      <c r="H89" s="81" t="str">
        <f>IF(ISERROR(VLOOKUP(#REF!,AB:AC,2,0)),"",VLOOKUP(#REF!,AB:AC,2,0))</f>
        <v/>
      </c>
      <c r="J89" s="7"/>
      <c r="K89" s="8"/>
      <c r="L89" s="15"/>
      <c r="M89" s="21"/>
      <c r="N89" s="21"/>
      <c r="O89" s="21"/>
      <c r="P89" s="21"/>
      <c r="Q89" s="1">
        <f t="shared" si="24"/>
        <v>0.60744618579017706</v>
      </c>
      <c r="R89" s="12">
        <f t="shared" ca="1" si="42"/>
        <v>1772</v>
      </c>
      <c r="S89" s="88">
        <f t="shared" si="11"/>
        <v>0</v>
      </c>
      <c r="T89" s="19">
        <f t="shared" si="12"/>
        <v>0</v>
      </c>
      <c r="U89" s="19">
        <f t="shared" si="0"/>
        <v>0</v>
      </c>
      <c r="V89" s="19">
        <f t="shared" si="29"/>
        <v>0</v>
      </c>
      <c r="W89" s="20">
        <f t="shared" ca="1" si="43"/>
        <v>0</v>
      </c>
      <c r="X89" s="19">
        <f t="shared" ca="1" si="44"/>
        <v>0</v>
      </c>
      <c r="Y89" s="19">
        <f t="shared" ca="1" si="45"/>
        <v>0</v>
      </c>
      <c r="Z89" s="20">
        <f t="shared" ca="1" si="46"/>
        <v>0</v>
      </c>
      <c r="AA89" s="1">
        <f t="shared" si="25"/>
        <v>5432.58</v>
      </c>
      <c r="AB89" s="89">
        <v>39288</v>
      </c>
      <c r="AC89" s="90">
        <v>0</v>
      </c>
      <c r="AD89" s="101">
        <f t="shared" si="26"/>
        <v>42894</v>
      </c>
      <c r="AE89" s="103">
        <f t="shared" si="27"/>
        <v>0</v>
      </c>
      <c r="AG89" s="1">
        <f t="shared" si="4"/>
        <v>0</v>
      </c>
      <c r="AH89" s="1">
        <f t="shared" si="31"/>
        <v>0</v>
      </c>
      <c r="AI89" s="1">
        <f t="shared" si="28"/>
        <v>5432.58</v>
      </c>
      <c r="AJ89" s="20">
        <f t="shared" si="30"/>
        <v>0</v>
      </c>
      <c r="AK89" s="100">
        <f t="shared" si="32"/>
        <v>0</v>
      </c>
      <c r="AL89" s="100">
        <f t="shared" si="33"/>
        <v>0</v>
      </c>
      <c r="AN89" s="100">
        <f t="shared" si="34"/>
        <v>5270.1010379289128</v>
      </c>
      <c r="AO89" s="20">
        <f t="shared" si="35"/>
        <v>0</v>
      </c>
      <c r="AQ89" s="109">
        <f t="shared" si="17"/>
        <v>0</v>
      </c>
      <c r="AU89" s="109">
        <f t="shared" si="18"/>
        <v>26.919032789543802</v>
      </c>
      <c r="AV89" s="101">
        <f t="shared" si="8"/>
        <v>42924</v>
      </c>
      <c r="AW89" s="99">
        <f t="shared" si="9"/>
        <v>0</v>
      </c>
      <c r="AX89" s="1">
        <f t="shared" si="19"/>
        <v>0</v>
      </c>
      <c r="AY89" s="29">
        <f t="shared" si="20"/>
        <v>0</v>
      </c>
      <c r="AZ89" s="1">
        <f t="shared" si="21"/>
        <v>0</v>
      </c>
      <c r="CB89" s="20">
        <f t="shared" si="41"/>
        <v>0</v>
      </c>
      <c r="CC89" s="173">
        <f t="shared" si="23"/>
        <v>0</v>
      </c>
    </row>
    <row r="90" spans="2:81" x14ac:dyDescent="0.25">
      <c r="B90" s="41"/>
      <c r="C90" s="165"/>
      <c r="D90" s="166"/>
      <c r="E90" s="26"/>
      <c r="F90" s="26"/>
      <c r="G90" s="167"/>
      <c r="H90" s="81" t="str">
        <f>IF(ISERROR(VLOOKUP(#REF!,AB:AC,2,0)),"",VLOOKUP(#REF!,AB:AC,2,0))</f>
        <v/>
      </c>
      <c r="J90" s="9"/>
      <c r="K90" s="10"/>
      <c r="L90" s="14"/>
      <c r="M90" s="19"/>
      <c r="N90" s="19"/>
      <c r="O90" s="19"/>
      <c r="P90" s="19"/>
      <c r="Q90" s="1">
        <f t="shared" si="24"/>
        <v>0.60744618579017706</v>
      </c>
      <c r="R90" s="12">
        <f t="shared" ca="1" si="42"/>
        <v>1802</v>
      </c>
      <c r="S90" s="88">
        <f t="shared" si="11"/>
        <v>0</v>
      </c>
      <c r="T90" s="19">
        <f t="shared" si="12"/>
        <v>0</v>
      </c>
      <c r="U90" s="19">
        <f t="shared" si="0"/>
        <v>0</v>
      </c>
      <c r="V90" s="19">
        <f t="shared" si="29"/>
        <v>0</v>
      </c>
      <c r="W90" s="20">
        <f t="shared" ca="1" si="43"/>
        <v>0</v>
      </c>
      <c r="X90" s="19">
        <f t="shared" ca="1" si="44"/>
        <v>0</v>
      </c>
      <c r="Y90" s="19">
        <f t="shared" ca="1" si="45"/>
        <v>0</v>
      </c>
      <c r="Z90" s="20">
        <f t="shared" ca="1" si="46"/>
        <v>0</v>
      </c>
      <c r="AA90" s="1">
        <f t="shared" si="25"/>
        <v>5432.58</v>
      </c>
      <c r="AB90" s="87">
        <v>39258</v>
      </c>
      <c r="AC90" s="88">
        <v>0</v>
      </c>
      <c r="AD90" s="101">
        <f t="shared" si="26"/>
        <v>42924</v>
      </c>
      <c r="AE90" s="103">
        <f t="shared" si="27"/>
        <v>0</v>
      </c>
      <c r="AG90" s="1">
        <f t="shared" si="4"/>
        <v>0</v>
      </c>
      <c r="AH90" s="1">
        <f t="shared" si="31"/>
        <v>0</v>
      </c>
      <c r="AI90" s="1">
        <f t="shared" si="28"/>
        <v>5432.58</v>
      </c>
      <c r="AJ90" s="20">
        <f t="shared" si="30"/>
        <v>0</v>
      </c>
      <c r="AK90" s="100">
        <f t="shared" si="32"/>
        <v>0</v>
      </c>
      <c r="AL90" s="100">
        <f t="shared" si="33"/>
        <v>0</v>
      </c>
      <c r="AN90" s="100">
        <f t="shared" si="34"/>
        <v>5267.4346353637866</v>
      </c>
      <c r="AO90" s="20">
        <f t="shared" si="35"/>
        <v>0</v>
      </c>
      <c r="AQ90" s="109">
        <f t="shared" si="17"/>
        <v>0</v>
      </c>
      <c r="AU90" s="109">
        <f t="shared" si="18"/>
        <v>26.916670104056891</v>
      </c>
      <c r="AV90" s="101">
        <f t="shared" si="8"/>
        <v>42954</v>
      </c>
      <c r="AW90" s="99">
        <f t="shared" si="9"/>
        <v>0</v>
      </c>
      <c r="AX90" s="1">
        <f t="shared" si="19"/>
        <v>0</v>
      </c>
      <c r="AY90" s="29">
        <f t="shared" si="20"/>
        <v>0</v>
      </c>
      <c r="AZ90" s="1">
        <f t="shared" si="21"/>
        <v>0</v>
      </c>
      <c r="CB90" s="20">
        <f t="shared" si="41"/>
        <v>0</v>
      </c>
      <c r="CC90" s="173">
        <f t="shared" si="23"/>
        <v>0</v>
      </c>
    </row>
    <row r="91" spans="2:81" x14ac:dyDescent="0.25">
      <c r="B91" s="41"/>
      <c r="C91" s="165"/>
      <c r="D91" s="166"/>
      <c r="E91" s="26"/>
      <c r="F91" s="26"/>
      <c r="G91" s="167"/>
      <c r="H91" s="81" t="str">
        <f>IF(ISERROR(VLOOKUP(#REF!,AB:AC,2,0)),"",VLOOKUP(#REF!,AB:AC,2,0))</f>
        <v/>
      </c>
      <c r="J91" s="7"/>
      <c r="K91" s="8"/>
      <c r="L91" s="15"/>
      <c r="M91" s="21"/>
      <c r="N91" s="21"/>
      <c r="O91" s="21"/>
      <c r="P91" s="21"/>
      <c r="Q91" s="1">
        <f t="shared" si="24"/>
        <v>0.60744618579017706</v>
      </c>
      <c r="R91" s="12">
        <f t="shared" ca="1" si="42"/>
        <v>1832</v>
      </c>
      <c r="S91" s="88">
        <f t="shared" si="11"/>
        <v>0</v>
      </c>
      <c r="T91" s="19">
        <f t="shared" si="12"/>
        <v>0</v>
      </c>
      <c r="U91" s="19">
        <f t="shared" si="0"/>
        <v>0</v>
      </c>
      <c r="V91" s="19">
        <f t="shared" si="29"/>
        <v>0</v>
      </c>
      <c r="W91" s="20">
        <f t="shared" ca="1" si="43"/>
        <v>0</v>
      </c>
      <c r="X91" s="19">
        <f t="shared" ca="1" si="44"/>
        <v>0</v>
      </c>
      <c r="Y91" s="19">
        <f t="shared" ca="1" si="45"/>
        <v>0</v>
      </c>
      <c r="Z91" s="20">
        <f t="shared" ca="1" si="46"/>
        <v>0</v>
      </c>
      <c r="AA91" s="1">
        <f t="shared" si="25"/>
        <v>5432.58</v>
      </c>
      <c r="AB91" s="89">
        <v>39227</v>
      </c>
      <c r="AC91" s="90">
        <v>0</v>
      </c>
      <c r="AD91" s="101">
        <f t="shared" si="26"/>
        <v>42954</v>
      </c>
      <c r="AE91" s="103">
        <f t="shared" si="27"/>
        <v>0</v>
      </c>
      <c r="AG91" s="1">
        <f t="shared" si="4"/>
        <v>0</v>
      </c>
      <c r="AH91" s="1">
        <f t="shared" si="31"/>
        <v>0</v>
      </c>
      <c r="AI91" s="1">
        <f t="shared" si="28"/>
        <v>5432.58</v>
      </c>
      <c r="AJ91" s="20">
        <f t="shared" si="30"/>
        <v>0</v>
      </c>
      <c r="AK91" s="100">
        <f t="shared" si="32"/>
        <v>0</v>
      </c>
      <c r="AL91" s="100">
        <f t="shared" si="33"/>
        <v>0</v>
      </c>
      <c r="AN91" s="100">
        <f t="shared" si="34"/>
        <v>5264.7695818624807</v>
      </c>
      <c r="AO91" s="20">
        <f t="shared" si="35"/>
        <v>0</v>
      </c>
      <c r="AQ91" s="109">
        <f t="shared" si="17"/>
        <v>0</v>
      </c>
      <c r="AU91" s="109">
        <f t="shared" si="18"/>
        <v>26.914307625943056</v>
      </c>
      <c r="AV91" s="101">
        <f t="shared" si="8"/>
        <v>42984</v>
      </c>
      <c r="AW91" s="99">
        <f t="shared" si="9"/>
        <v>0</v>
      </c>
      <c r="AX91" s="1">
        <f t="shared" si="19"/>
        <v>0</v>
      </c>
      <c r="AY91" s="29">
        <f t="shared" si="20"/>
        <v>0</v>
      </c>
      <c r="AZ91" s="1">
        <f t="shared" si="21"/>
        <v>0</v>
      </c>
      <c r="CB91" s="20">
        <f t="shared" si="41"/>
        <v>0</v>
      </c>
      <c r="CC91" s="173">
        <f t="shared" si="23"/>
        <v>0</v>
      </c>
    </row>
    <row r="92" spans="2:81" x14ac:dyDescent="0.25">
      <c r="B92" s="41"/>
      <c r="C92" s="165"/>
      <c r="D92" s="166"/>
      <c r="E92" s="26"/>
      <c r="F92" s="26"/>
      <c r="G92" s="167"/>
      <c r="H92" s="81" t="str">
        <f>IF(ISERROR(VLOOKUP(#REF!,AB:AC,2,0)),"",VLOOKUP(#REF!,AB:AC,2,0))</f>
        <v/>
      </c>
      <c r="J92" s="9"/>
      <c r="K92" s="10"/>
      <c r="L92" s="14"/>
      <c r="M92" s="19"/>
      <c r="N92" s="19"/>
      <c r="O92" s="19"/>
      <c r="P92" s="19"/>
      <c r="Q92" s="1">
        <f t="shared" si="24"/>
        <v>0.60744618579017706</v>
      </c>
      <c r="R92" s="12">
        <f t="shared" ca="1" si="42"/>
        <v>1862</v>
      </c>
      <c r="S92" s="88">
        <f t="shared" si="11"/>
        <v>0</v>
      </c>
      <c r="T92" s="19">
        <f t="shared" si="12"/>
        <v>0</v>
      </c>
      <c r="U92" s="19">
        <f t="shared" si="0"/>
        <v>0</v>
      </c>
      <c r="V92" s="19">
        <f t="shared" si="29"/>
        <v>0</v>
      </c>
      <c r="W92" s="20">
        <f t="shared" ca="1" si="43"/>
        <v>0</v>
      </c>
      <c r="X92" s="19">
        <f t="shared" ca="1" si="44"/>
        <v>0</v>
      </c>
      <c r="Y92" s="19">
        <f t="shared" ca="1" si="45"/>
        <v>0</v>
      </c>
      <c r="Z92" s="20">
        <f t="shared" ca="1" si="46"/>
        <v>0</v>
      </c>
      <c r="AA92" s="1">
        <f t="shared" si="25"/>
        <v>5432.58</v>
      </c>
      <c r="AB92" s="87">
        <v>39197</v>
      </c>
      <c r="AC92" s="88">
        <v>0</v>
      </c>
      <c r="AD92" s="101">
        <f t="shared" si="26"/>
        <v>42984</v>
      </c>
      <c r="AE92" s="103">
        <f t="shared" si="27"/>
        <v>0</v>
      </c>
      <c r="AG92" s="1">
        <f t="shared" si="4"/>
        <v>0</v>
      </c>
      <c r="AH92" s="1">
        <f t="shared" si="31"/>
        <v>0</v>
      </c>
      <c r="AI92" s="1">
        <f t="shared" si="28"/>
        <v>5432.58</v>
      </c>
      <c r="AJ92" s="20">
        <f t="shared" si="30"/>
        <v>0</v>
      </c>
      <c r="AK92" s="100">
        <f t="shared" si="32"/>
        <v>0</v>
      </c>
      <c r="AL92" s="100">
        <f t="shared" si="33"/>
        <v>0</v>
      </c>
      <c r="AN92" s="100">
        <f t="shared" si="34"/>
        <v>5262.1058767424374</v>
      </c>
      <c r="AO92" s="20">
        <f t="shared" si="35"/>
        <v>0</v>
      </c>
      <c r="AQ92" s="109">
        <f t="shared" si="17"/>
        <v>0</v>
      </c>
      <c r="AU92" s="109">
        <f t="shared" si="18"/>
        <v>26.911945355184113</v>
      </c>
      <c r="AV92" s="101">
        <f t="shared" si="8"/>
        <v>43014</v>
      </c>
      <c r="AW92" s="99">
        <f t="shared" si="9"/>
        <v>0</v>
      </c>
      <c r="AX92" s="1">
        <f t="shared" si="19"/>
        <v>0</v>
      </c>
      <c r="AY92" s="29">
        <f t="shared" si="20"/>
        <v>0</v>
      </c>
      <c r="AZ92" s="1">
        <f t="shared" si="21"/>
        <v>0</v>
      </c>
      <c r="CB92" s="20">
        <f t="shared" si="41"/>
        <v>0</v>
      </c>
      <c r="CC92" s="173">
        <f t="shared" si="23"/>
        <v>0</v>
      </c>
    </row>
    <row r="93" spans="2:81" x14ac:dyDescent="0.25">
      <c r="B93" s="41"/>
      <c r="C93" s="165"/>
      <c r="D93" s="166"/>
      <c r="E93" s="26"/>
      <c r="F93" s="26"/>
      <c r="G93" s="167"/>
      <c r="H93" s="81" t="str">
        <f>IF(ISERROR(VLOOKUP(#REF!,AB:AC,2,0)),"",VLOOKUP(#REF!,AB:AC,2,0))</f>
        <v/>
      </c>
      <c r="J93" s="7"/>
      <c r="K93" s="8"/>
      <c r="L93" s="15"/>
      <c r="M93" s="21"/>
      <c r="N93" s="21"/>
      <c r="O93" s="21"/>
      <c r="P93" s="21"/>
      <c r="Q93" s="1">
        <f t="shared" si="24"/>
        <v>0.60744618579017706</v>
      </c>
      <c r="R93" s="12">
        <f t="shared" ca="1" si="42"/>
        <v>1892</v>
      </c>
      <c r="S93" s="88">
        <f t="shared" si="11"/>
        <v>0</v>
      </c>
      <c r="T93" s="19">
        <f t="shared" si="12"/>
        <v>0</v>
      </c>
      <c r="U93" s="19">
        <f t="shared" si="0"/>
        <v>0</v>
      </c>
      <c r="V93" s="19">
        <f t="shared" si="29"/>
        <v>0</v>
      </c>
      <c r="W93" s="20">
        <f t="shared" ca="1" si="43"/>
        <v>0</v>
      </c>
      <c r="X93" s="19">
        <f t="shared" ca="1" si="44"/>
        <v>0</v>
      </c>
      <c r="Y93" s="19">
        <f t="shared" ca="1" si="45"/>
        <v>0</v>
      </c>
      <c r="Z93" s="20">
        <f t="shared" ca="1" si="46"/>
        <v>0</v>
      </c>
      <c r="AA93" s="1">
        <f t="shared" si="25"/>
        <v>5432.58</v>
      </c>
      <c r="AB93" s="89">
        <v>39166</v>
      </c>
      <c r="AC93" s="90">
        <v>0</v>
      </c>
      <c r="AD93" s="101">
        <f t="shared" si="26"/>
        <v>43014</v>
      </c>
      <c r="AE93" s="103">
        <f t="shared" si="27"/>
        <v>0</v>
      </c>
      <c r="AG93" s="1">
        <f t="shared" si="4"/>
        <v>0</v>
      </c>
      <c r="AH93" s="1">
        <f t="shared" si="31"/>
        <v>0</v>
      </c>
      <c r="AI93" s="1">
        <f t="shared" si="28"/>
        <v>5432.58</v>
      </c>
      <c r="AJ93" s="20">
        <f t="shared" si="30"/>
        <v>0</v>
      </c>
      <c r="AK93" s="100">
        <f t="shared" si="32"/>
        <v>0</v>
      </c>
      <c r="AL93" s="100">
        <f t="shared" si="33"/>
        <v>0</v>
      </c>
      <c r="AN93" s="100">
        <f t="shared" si="34"/>
        <v>5259.4435193214449</v>
      </c>
      <c r="AO93" s="20">
        <f t="shared" si="35"/>
        <v>0</v>
      </c>
      <c r="AQ93" s="109">
        <f t="shared" si="17"/>
        <v>0</v>
      </c>
      <c r="AU93" s="109">
        <f t="shared" si="18"/>
        <v>26.909583291761837</v>
      </c>
      <c r="AV93" s="101">
        <f t="shared" si="8"/>
        <v>43044</v>
      </c>
      <c r="AW93" s="99">
        <f t="shared" si="9"/>
        <v>0</v>
      </c>
      <c r="AX93" s="1">
        <f t="shared" si="19"/>
        <v>0</v>
      </c>
      <c r="AY93" s="29">
        <f t="shared" si="20"/>
        <v>0</v>
      </c>
      <c r="AZ93" s="1">
        <f t="shared" si="21"/>
        <v>0</v>
      </c>
      <c r="CB93" s="20">
        <f t="shared" si="41"/>
        <v>0</v>
      </c>
      <c r="CC93" s="173">
        <f t="shared" si="23"/>
        <v>0</v>
      </c>
    </row>
    <row r="94" spans="2:81" x14ac:dyDescent="0.25">
      <c r="B94" s="41"/>
      <c r="C94" s="165"/>
      <c r="D94" s="166"/>
      <c r="E94" s="26"/>
      <c r="F94" s="26"/>
      <c r="G94" s="167"/>
      <c r="H94" s="81" t="str">
        <f>IF(ISERROR(VLOOKUP(#REF!,AB:AC,2,0)),"",VLOOKUP(#REF!,AB:AC,2,0))</f>
        <v/>
      </c>
      <c r="J94" s="9"/>
      <c r="K94" s="10"/>
      <c r="L94" s="14"/>
      <c r="M94" s="19"/>
      <c r="N94" s="19"/>
      <c r="O94" s="19"/>
      <c r="P94" s="19"/>
      <c r="Q94" s="1">
        <f t="shared" si="24"/>
        <v>0.60744618579017706</v>
      </c>
      <c r="R94" s="12">
        <f t="shared" ca="1" si="42"/>
        <v>1922</v>
      </c>
      <c r="S94" s="88">
        <f t="shared" si="11"/>
        <v>0</v>
      </c>
      <c r="T94" s="19">
        <f t="shared" si="12"/>
        <v>0</v>
      </c>
      <c r="U94" s="19">
        <f t="shared" ref="U94:U157" si="47">AA94*(IF(ROW()-30&lt;$H$22,$H$21,0))</f>
        <v>0</v>
      </c>
      <c r="V94" s="19">
        <f t="shared" si="29"/>
        <v>0</v>
      </c>
      <c r="W94" s="20">
        <f t="shared" ca="1" si="43"/>
        <v>0</v>
      </c>
      <c r="X94" s="19">
        <f t="shared" ca="1" si="44"/>
        <v>0</v>
      </c>
      <c r="Y94" s="19">
        <f t="shared" ca="1" si="45"/>
        <v>0</v>
      </c>
      <c r="Z94" s="20">
        <f t="shared" ca="1" si="46"/>
        <v>0</v>
      </c>
      <c r="AA94" s="1">
        <f t="shared" si="25"/>
        <v>5432.58</v>
      </c>
      <c r="AB94" s="87">
        <v>39138</v>
      </c>
      <c r="AC94" s="88">
        <v>0</v>
      </c>
      <c r="AD94" s="101">
        <f t="shared" si="26"/>
        <v>43044</v>
      </c>
      <c r="AE94" s="103">
        <f t="shared" si="27"/>
        <v>0</v>
      </c>
      <c r="AG94" s="1">
        <f t="shared" si="4"/>
        <v>0</v>
      </c>
      <c r="AH94" s="1">
        <f t="shared" si="31"/>
        <v>0</v>
      </c>
      <c r="AI94" s="1">
        <f t="shared" si="28"/>
        <v>5432.58</v>
      </c>
      <c r="AJ94" s="20">
        <f t="shared" si="30"/>
        <v>0</v>
      </c>
      <c r="AK94" s="100">
        <f t="shared" si="32"/>
        <v>0</v>
      </c>
      <c r="AL94" s="100">
        <f t="shared" si="33"/>
        <v>0</v>
      </c>
      <c r="AN94" s="100">
        <f t="shared" si="34"/>
        <v>5256.7825089176358</v>
      </c>
      <c r="AO94" s="20">
        <f t="shared" si="35"/>
        <v>0</v>
      </c>
      <c r="AQ94" s="109">
        <f t="shared" si="17"/>
        <v>0</v>
      </c>
      <c r="AU94" s="109">
        <f t="shared" si="18"/>
        <v>26.907221435658045</v>
      </c>
      <c r="AV94" s="101">
        <f t="shared" ref="AV94:AV157" si="48">AD95</f>
        <v>43074</v>
      </c>
      <c r="AW94" s="99">
        <f t="shared" ref="AW94:AW157" si="49">IF(AJ95&lt;0,0,AJ95)</f>
        <v>0</v>
      </c>
      <c r="AX94" s="1">
        <f t="shared" si="19"/>
        <v>0</v>
      </c>
      <c r="AY94" s="29">
        <f t="shared" si="20"/>
        <v>0</v>
      </c>
      <c r="AZ94" s="1">
        <f t="shared" si="21"/>
        <v>0</v>
      </c>
      <c r="CB94" s="20">
        <f t="shared" si="41"/>
        <v>0</v>
      </c>
      <c r="CC94" s="173">
        <f t="shared" si="23"/>
        <v>0</v>
      </c>
    </row>
    <row r="95" spans="2:81" x14ac:dyDescent="0.25">
      <c r="B95" s="41"/>
      <c r="C95" s="165"/>
      <c r="D95" s="166"/>
      <c r="E95" s="26"/>
      <c r="F95" s="26"/>
      <c r="G95" s="167"/>
      <c r="H95" s="81" t="str">
        <f>IF(ISERROR(VLOOKUP(#REF!,AB:AC,2,0)),"",VLOOKUP(#REF!,AB:AC,2,0))</f>
        <v/>
      </c>
      <c r="J95" s="7"/>
      <c r="K95" s="8"/>
      <c r="L95" s="15"/>
      <c r="M95" s="21"/>
      <c r="N95" s="21"/>
      <c r="O95" s="21"/>
      <c r="P95" s="21"/>
      <c r="Q95" s="1">
        <f t="shared" si="24"/>
        <v>0.60744618579017706</v>
      </c>
      <c r="R95" s="12">
        <f t="shared" ca="1" si="42"/>
        <v>1952</v>
      </c>
      <c r="S95" s="88">
        <f t="shared" ref="S95:S158" si="50">N95+M95</f>
        <v>0</v>
      </c>
      <c r="T95" s="19">
        <f t="shared" ref="T95:T158" si="51">IF(ISERROR((previousBalance*Q95/1200)*(IF(ROW()-30&lt;$G$22,$G$21,0))),0,(previousBalance*Q95/1200)*(IF(ROW()-30&lt;$G$22,$G$21,0)))</f>
        <v>0</v>
      </c>
      <c r="U95" s="19">
        <f t="shared" si="47"/>
        <v>0</v>
      </c>
      <c r="V95" s="19">
        <f t="shared" si="29"/>
        <v>0</v>
      </c>
      <c r="W95" s="20">
        <f t="shared" ca="1" si="43"/>
        <v>0</v>
      </c>
      <c r="X95" s="19">
        <f t="shared" ca="1" si="44"/>
        <v>0</v>
      </c>
      <c r="Y95" s="19">
        <f t="shared" ca="1" si="45"/>
        <v>0</v>
      </c>
      <c r="Z95" s="20">
        <f t="shared" ca="1" si="46"/>
        <v>0</v>
      </c>
      <c r="AA95" s="1">
        <f t="shared" si="25"/>
        <v>5432.58</v>
      </c>
      <c r="AB95" s="89">
        <v>39107</v>
      </c>
      <c r="AC95" s="90">
        <v>0</v>
      </c>
      <c r="AD95" s="101">
        <f t="shared" si="26"/>
        <v>43074</v>
      </c>
      <c r="AE95" s="103">
        <f t="shared" si="27"/>
        <v>0</v>
      </c>
      <c r="AG95" s="1">
        <f t="shared" ref="AG95:AG158" si="52">AE95/360</f>
        <v>0</v>
      </c>
      <c r="AH95" s="1">
        <f t="shared" si="31"/>
        <v>0</v>
      </c>
      <c r="AI95" s="1">
        <f t="shared" si="28"/>
        <v>5432.58</v>
      </c>
      <c r="AJ95" s="20">
        <f t="shared" si="30"/>
        <v>0</v>
      </c>
      <c r="AK95" s="100">
        <f t="shared" si="32"/>
        <v>0</v>
      </c>
      <c r="AL95" s="100">
        <f t="shared" si="33"/>
        <v>0</v>
      </c>
      <c r="AN95" s="100">
        <f t="shared" si="34"/>
        <v>5254.1228448494885</v>
      </c>
      <c r="AO95" s="20">
        <f t="shared" si="35"/>
        <v>0</v>
      </c>
      <c r="AQ95" s="109">
        <f t="shared" ref="AQ95:AQ158" si="53">AO95/(1+((1+$AM$27)^((ROW()-29)*30)-1))</f>
        <v>0</v>
      </c>
      <c r="AU95" s="109">
        <f t="shared" ref="AU95:AU158" si="54">(($AT$27/(1+((1+$AM$27)^(ROW()-29)*30)-1))/292)*0.32</f>
        <v>26.904859786854537</v>
      </c>
      <c r="AV95" s="101">
        <f t="shared" si="48"/>
        <v>43104</v>
      </c>
      <c r="AW95" s="99">
        <f t="shared" si="49"/>
        <v>0</v>
      </c>
      <c r="AX95" s="1">
        <f t="shared" ref="AX95:AX158" si="55">IF(AG95&gt;0,AA95,0)</f>
        <v>0</v>
      </c>
      <c r="AY95" s="29">
        <f t="shared" ref="AY95:AY158" si="56">AE95</f>
        <v>0</v>
      </c>
      <c r="AZ95" s="1">
        <f t="shared" ref="AZ95:AZ158" si="57">AY95/360</f>
        <v>0</v>
      </c>
      <c r="CB95" s="20">
        <f t="shared" si="41"/>
        <v>0</v>
      </c>
      <c r="CC95" s="173">
        <f t="shared" ref="CC95:CC158" si="58">AJ95+U95+T95</f>
        <v>0</v>
      </c>
    </row>
    <row r="96" spans="2:81" x14ac:dyDescent="0.25">
      <c r="B96" s="41"/>
      <c r="C96" s="165"/>
      <c r="D96" s="166"/>
      <c r="E96" s="26"/>
      <c r="F96" s="26"/>
      <c r="G96" s="167"/>
      <c r="H96" s="81" t="str">
        <f>IF(ISERROR(VLOOKUP(#REF!,AB:AC,2,0)),"",VLOOKUP(#REF!,AB:AC,2,0))</f>
        <v/>
      </c>
      <c r="J96" s="9"/>
      <c r="K96" s="10"/>
      <c r="L96" s="14"/>
      <c r="M96" s="19"/>
      <c r="N96" s="19"/>
      <c r="O96" s="19"/>
      <c r="P96" s="19"/>
      <c r="Q96" s="1">
        <f t="shared" ref="Q96:Q159" si="59">IF(M96=0,Q95,(M96*1200)/O95)</f>
        <v>0.60744618579017706</v>
      </c>
      <c r="R96" s="12">
        <f t="shared" ca="1" si="42"/>
        <v>1982</v>
      </c>
      <c r="S96" s="88">
        <f t="shared" si="50"/>
        <v>0</v>
      </c>
      <c r="T96" s="19">
        <f t="shared" si="51"/>
        <v>0</v>
      </c>
      <c r="U96" s="19">
        <f t="shared" si="47"/>
        <v>0</v>
      </c>
      <c r="V96" s="19">
        <f t="shared" si="29"/>
        <v>0</v>
      </c>
      <c r="W96" s="20">
        <f t="shared" ca="1" si="43"/>
        <v>0</v>
      </c>
      <c r="X96" s="19">
        <f t="shared" ca="1" si="44"/>
        <v>0</v>
      </c>
      <c r="Y96" s="19">
        <f t="shared" ca="1" si="45"/>
        <v>0</v>
      </c>
      <c r="Z96" s="20">
        <f t="shared" ca="1" si="46"/>
        <v>0</v>
      </c>
      <c r="AA96" s="1">
        <f t="shared" ref="AA96:AA159" si="60">IF(S96=0,AA95,N96)</f>
        <v>5432.58</v>
      </c>
      <c r="AB96" s="87">
        <v>39076</v>
      </c>
      <c r="AC96" s="88">
        <v>4666.67</v>
      </c>
      <c r="AD96" s="101">
        <f t="shared" ref="AD96:AD159" si="61">IF(M96=0,AD95+30,K96)</f>
        <v>43104</v>
      </c>
      <c r="AE96" s="103">
        <f t="shared" ref="AE96:AE159" si="62">IF(V96=0,0,R96)</f>
        <v>0</v>
      </c>
      <c r="AG96" s="1">
        <f t="shared" si="52"/>
        <v>0</v>
      </c>
      <c r="AH96" s="1">
        <f t="shared" si="31"/>
        <v>0</v>
      </c>
      <c r="AI96" s="1">
        <f t="shared" ref="AI96:AI159" si="63">IF(M96-1=0,IF(M96=0,IF(V96=0,N96,AI95),AA96),AA96)</f>
        <v>5432.58</v>
      </c>
      <c r="AJ96" s="20">
        <f t="shared" si="30"/>
        <v>0</v>
      </c>
      <c r="AK96" s="100">
        <f t="shared" si="32"/>
        <v>0</v>
      </c>
      <c r="AL96" s="100">
        <f t="shared" si="33"/>
        <v>0</v>
      </c>
      <c r="AN96" s="100">
        <f t="shared" si="34"/>
        <v>5251.4645264358242</v>
      </c>
      <c r="AO96" s="20">
        <f t="shared" si="35"/>
        <v>0</v>
      </c>
      <c r="AQ96" s="109">
        <f t="shared" si="53"/>
        <v>0</v>
      </c>
      <c r="AU96" s="109">
        <f t="shared" si="54"/>
        <v>26.902498345333111</v>
      </c>
      <c r="AV96" s="101">
        <f t="shared" si="48"/>
        <v>43134</v>
      </c>
      <c r="AW96" s="99">
        <f t="shared" si="49"/>
        <v>0</v>
      </c>
      <c r="AX96" s="1">
        <f t="shared" si="55"/>
        <v>0</v>
      </c>
      <c r="AY96" s="29">
        <f t="shared" si="56"/>
        <v>0</v>
      </c>
      <c r="AZ96" s="1">
        <f t="shared" si="57"/>
        <v>0</v>
      </c>
      <c r="CB96" s="20">
        <f t="shared" si="41"/>
        <v>0</v>
      </c>
      <c r="CC96" s="173">
        <f t="shared" si="58"/>
        <v>0</v>
      </c>
    </row>
    <row r="97" spans="2:81" x14ac:dyDescent="0.25">
      <c r="B97" s="41"/>
      <c r="C97" s="165"/>
      <c r="D97" s="166"/>
      <c r="E97" s="26"/>
      <c r="F97" s="26"/>
      <c r="G97" s="167"/>
      <c r="H97" s="81" t="str">
        <f>IF(ISERROR(VLOOKUP(#REF!,AB:AC,2,0)),"",VLOOKUP(#REF!,AB:AC,2,0))</f>
        <v/>
      </c>
      <c r="J97" s="7"/>
      <c r="K97" s="8"/>
      <c r="L97" s="15"/>
      <c r="M97" s="21"/>
      <c r="N97" s="21"/>
      <c r="O97" s="21"/>
      <c r="P97" s="21"/>
      <c r="Q97" s="1">
        <f t="shared" si="59"/>
        <v>0.60744618579017706</v>
      </c>
      <c r="R97" s="12">
        <f t="shared" ca="1" si="42"/>
        <v>2012</v>
      </c>
      <c r="S97" s="88">
        <f t="shared" si="50"/>
        <v>0</v>
      </c>
      <c r="T97" s="19">
        <f t="shared" si="51"/>
        <v>0</v>
      </c>
      <c r="U97" s="19">
        <f t="shared" si="47"/>
        <v>0</v>
      </c>
      <c r="V97" s="19">
        <f t="shared" si="29"/>
        <v>0</v>
      </c>
      <c r="W97" s="20">
        <f t="shared" ca="1" si="43"/>
        <v>0</v>
      </c>
      <c r="X97" s="19">
        <f t="shared" ca="1" si="44"/>
        <v>0</v>
      </c>
      <c r="Y97" s="19">
        <f t="shared" ca="1" si="45"/>
        <v>0</v>
      </c>
      <c r="Z97" s="20">
        <f t="shared" ca="1" si="46"/>
        <v>0</v>
      </c>
      <c r="AA97" s="1">
        <f t="shared" si="60"/>
        <v>5432.58</v>
      </c>
      <c r="AB97" s="89"/>
      <c r="AC97" s="90"/>
      <c r="AD97" s="101">
        <f t="shared" si="61"/>
        <v>43134</v>
      </c>
      <c r="AE97" s="103">
        <f t="shared" si="62"/>
        <v>0</v>
      </c>
      <c r="AG97" s="1">
        <f t="shared" si="52"/>
        <v>0</v>
      </c>
      <c r="AH97" s="1">
        <f t="shared" si="31"/>
        <v>0</v>
      </c>
      <c r="AI97" s="1">
        <f t="shared" si="63"/>
        <v>5432.58</v>
      </c>
      <c r="AJ97" s="20">
        <f t="shared" si="30"/>
        <v>0</v>
      </c>
      <c r="AK97" s="100">
        <f t="shared" si="32"/>
        <v>0</v>
      </c>
      <c r="AL97" s="100">
        <f t="shared" si="33"/>
        <v>0</v>
      </c>
      <c r="AN97" s="100">
        <f t="shared" si="34"/>
        <v>5248.8075529958114</v>
      </c>
      <c r="AO97" s="20">
        <f t="shared" si="35"/>
        <v>0</v>
      </c>
      <c r="AQ97" s="109">
        <f t="shared" si="53"/>
        <v>0</v>
      </c>
      <c r="AU97" s="109">
        <f t="shared" si="54"/>
        <v>26.900137111075594</v>
      </c>
      <c r="AV97" s="101">
        <f t="shared" si="48"/>
        <v>43164</v>
      </c>
      <c r="AW97" s="99">
        <f t="shared" si="49"/>
        <v>0</v>
      </c>
      <c r="AX97" s="1">
        <f t="shared" si="55"/>
        <v>0</v>
      </c>
      <c r="AY97" s="29">
        <f t="shared" si="56"/>
        <v>0</v>
      </c>
      <c r="AZ97" s="1">
        <f t="shared" si="57"/>
        <v>0</v>
      </c>
      <c r="CB97" s="20">
        <f t="shared" si="41"/>
        <v>0</v>
      </c>
      <c r="CC97" s="173">
        <f t="shared" si="58"/>
        <v>0</v>
      </c>
    </row>
    <row r="98" spans="2:81" x14ac:dyDescent="0.25">
      <c r="B98" s="41"/>
      <c r="C98" s="165"/>
      <c r="D98" s="166"/>
      <c r="E98" s="26"/>
      <c r="F98" s="26"/>
      <c r="G98" s="167"/>
      <c r="H98" s="81" t="str">
        <f>IF(ISERROR(VLOOKUP(#REF!,AB:AC,2,0)),"",VLOOKUP(#REF!,AB:AC,2,0))</f>
        <v/>
      </c>
      <c r="J98" s="9"/>
      <c r="K98" s="10"/>
      <c r="L98" s="14"/>
      <c r="M98" s="19"/>
      <c r="N98" s="19"/>
      <c r="O98" s="19"/>
      <c r="P98" s="19"/>
      <c r="Q98" s="1">
        <f t="shared" si="59"/>
        <v>0.60744618579017706</v>
      </c>
      <c r="R98" s="12">
        <f t="shared" ca="1" si="42"/>
        <v>2042</v>
      </c>
      <c r="S98" s="88">
        <f t="shared" si="50"/>
        <v>0</v>
      </c>
      <c r="T98" s="19">
        <f t="shared" si="51"/>
        <v>0</v>
      </c>
      <c r="U98" s="19">
        <f t="shared" si="47"/>
        <v>0</v>
      </c>
      <c r="V98" s="19">
        <f t="shared" ref="V98:V161" si="64">IF(ISERROR(IF(V97+U98+T98+(V97*Q98/1200)-AA98-P98&lt;0,0,V97+U98+T98-AA98-P98)),0,IF(V97+U98+T98+(V97*Q98/1200)-AA98-CB98&lt;0,0,V97+U98+T98-AA98-CB98))</f>
        <v>0</v>
      </c>
      <c r="W98" s="20">
        <f t="shared" ca="1" si="43"/>
        <v>0</v>
      </c>
      <c r="X98" s="19">
        <f t="shared" ca="1" si="44"/>
        <v>0</v>
      </c>
      <c r="Y98" s="19">
        <f t="shared" ca="1" si="45"/>
        <v>0</v>
      </c>
      <c r="Z98" s="20">
        <f t="shared" ca="1" si="46"/>
        <v>0</v>
      </c>
      <c r="AA98" s="1">
        <f t="shared" si="60"/>
        <v>5432.58</v>
      </c>
      <c r="AB98" s="87"/>
      <c r="AC98" s="88"/>
      <c r="AD98" s="101">
        <f t="shared" si="61"/>
        <v>43164</v>
      </c>
      <c r="AE98" s="103">
        <f t="shared" si="62"/>
        <v>0</v>
      </c>
      <c r="AG98" s="1">
        <f t="shared" si="52"/>
        <v>0</v>
      </c>
      <c r="AH98" s="1">
        <f t="shared" si="31"/>
        <v>0</v>
      </c>
      <c r="AI98" s="1">
        <f t="shared" si="63"/>
        <v>5432.58</v>
      </c>
      <c r="AJ98" s="20">
        <f t="shared" si="30"/>
        <v>0</v>
      </c>
      <c r="AK98" s="100">
        <f t="shared" si="32"/>
        <v>0</v>
      </c>
      <c r="AL98" s="100">
        <f t="shared" si="33"/>
        <v>0</v>
      </c>
      <c r="AN98" s="100">
        <f t="shared" si="34"/>
        <v>5246.1519238489636</v>
      </c>
      <c r="AO98" s="20">
        <f t="shared" si="35"/>
        <v>0</v>
      </c>
      <c r="AQ98" s="109">
        <f t="shared" si="53"/>
        <v>0</v>
      </c>
      <c r="AU98" s="109">
        <f t="shared" si="54"/>
        <v>26.897776084063771</v>
      </c>
      <c r="AV98" s="101">
        <f t="shared" si="48"/>
        <v>43194</v>
      </c>
      <c r="AW98" s="99">
        <f t="shared" si="49"/>
        <v>0</v>
      </c>
      <c r="AX98" s="1">
        <f t="shared" si="55"/>
        <v>0</v>
      </c>
      <c r="AY98" s="29">
        <f t="shared" si="56"/>
        <v>0</v>
      </c>
      <c r="AZ98" s="1">
        <f t="shared" si="57"/>
        <v>0</v>
      </c>
      <c r="CB98" s="20">
        <f t="shared" si="41"/>
        <v>0</v>
      </c>
      <c r="CC98" s="173">
        <f t="shared" si="58"/>
        <v>0</v>
      </c>
    </row>
    <row r="99" spans="2:81" x14ac:dyDescent="0.25">
      <c r="B99" s="41"/>
      <c r="C99" s="165"/>
      <c r="D99" s="166"/>
      <c r="E99" s="26"/>
      <c r="F99" s="26"/>
      <c r="G99" s="167"/>
      <c r="H99" s="81" t="str">
        <f>IF(ISERROR(VLOOKUP(#REF!,AB:AC,2,0)),"",VLOOKUP(#REF!,AB:AC,2,0))</f>
        <v/>
      </c>
      <c r="J99" s="7"/>
      <c r="K99" s="8"/>
      <c r="L99" s="15"/>
      <c r="M99" s="21"/>
      <c r="N99" s="21"/>
      <c r="O99" s="21"/>
      <c r="P99" s="21"/>
      <c r="Q99" s="1">
        <f t="shared" si="59"/>
        <v>0.60744618579017706</v>
      </c>
      <c r="R99" s="12">
        <f t="shared" ca="1" si="42"/>
        <v>2072</v>
      </c>
      <c r="S99" s="88">
        <f t="shared" si="50"/>
        <v>0</v>
      </c>
      <c r="T99" s="19">
        <f t="shared" si="51"/>
        <v>0</v>
      </c>
      <c r="U99" s="19">
        <f t="shared" si="47"/>
        <v>0</v>
      </c>
      <c r="V99" s="19">
        <f t="shared" si="64"/>
        <v>0</v>
      </c>
      <c r="W99" s="20">
        <f t="shared" ca="1" si="43"/>
        <v>0</v>
      </c>
      <c r="X99" s="19">
        <f t="shared" ca="1" si="44"/>
        <v>0</v>
      </c>
      <c r="Y99" s="19">
        <f t="shared" ca="1" si="45"/>
        <v>0</v>
      </c>
      <c r="Z99" s="20">
        <f t="shared" ca="1" si="46"/>
        <v>0</v>
      </c>
      <c r="AA99" s="1">
        <f t="shared" si="60"/>
        <v>5432.58</v>
      </c>
      <c r="AB99" s="89"/>
      <c r="AC99" s="90"/>
      <c r="AD99" s="101">
        <f t="shared" si="61"/>
        <v>43194</v>
      </c>
      <c r="AE99" s="103">
        <f t="shared" si="62"/>
        <v>0</v>
      </c>
      <c r="AG99" s="1">
        <f t="shared" si="52"/>
        <v>0</v>
      </c>
      <c r="AH99" s="1">
        <f t="shared" si="31"/>
        <v>0</v>
      </c>
      <c r="AI99" s="1">
        <f t="shared" si="63"/>
        <v>5432.58</v>
      </c>
      <c r="AJ99" s="20">
        <f t="shared" si="30"/>
        <v>0</v>
      </c>
      <c r="AK99" s="100">
        <f t="shared" si="32"/>
        <v>0</v>
      </c>
      <c r="AL99" s="100">
        <f t="shared" si="33"/>
        <v>0</v>
      </c>
      <c r="AN99" s="100">
        <f t="shared" si="34"/>
        <v>5243.4976383151334</v>
      </c>
      <c r="AO99" s="20">
        <f t="shared" si="35"/>
        <v>0</v>
      </c>
      <c r="AQ99" s="109">
        <f t="shared" si="53"/>
        <v>0</v>
      </c>
      <c r="AU99" s="109">
        <f t="shared" si="54"/>
        <v>26.895415264279464</v>
      </c>
      <c r="AV99" s="101">
        <f t="shared" si="48"/>
        <v>43224</v>
      </c>
      <c r="AW99" s="99">
        <f t="shared" si="49"/>
        <v>0</v>
      </c>
      <c r="AX99" s="1">
        <f t="shared" si="55"/>
        <v>0</v>
      </c>
      <c r="AY99" s="29">
        <f t="shared" si="56"/>
        <v>0</v>
      </c>
      <c r="AZ99" s="1">
        <f t="shared" si="57"/>
        <v>0</v>
      </c>
      <c r="CB99" s="20">
        <f t="shared" si="41"/>
        <v>0</v>
      </c>
      <c r="CC99" s="173">
        <f t="shared" si="58"/>
        <v>0</v>
      </c>
    </row>
    <row r="100" spans="2:81" x14ac:dyDescent="0.25">
      <c r="B100" s="41"/>
      <c r="C100" s="165"/>
      <c r="D100" s="166"/>
      <c r="E100" s="26"/>
      <c r="F100" s="26"/>
      <c r="G100" s="167"/>
      <c r="H100" s="81" t="str">
        <f>IF(ISERROR(VLOOKUP(#REF!,AB:AC,2,0)),"",VLOOKUP(#REF!,AB:AC,2,0))</f>
        <v/>
      </c>
      <c r="J100" s="9"/>
      <c r="K100" s="10"/>
      <c r="L100" s="14"/>
      <c r="M100" s="19"/>
      <c r="N100" s="19"/>
      <c r="O100" s="19"/>
      <c r="P100" s="19"/>
      <c r="Q100" s="1">
        <f t="shared" si="59"/>
        <v>0.60744618579017706</v>
      </c>
      <c r="R100" s="12">
        <f t="shared" ca="1" si="42"/>
        <v>2102</v>
      </c>
      <c r="S100" s="88">
        <f t="shared" si="50"/>
        <v>0</v>
      </c>
      <c r="T100" s="19">
        <f t="shared" si="51"/>
        <v>0</v>
      </c>
      <c r="U100" s="19">
        <f t="shared" si="47"/>
        <v>0</v>
      </c>
      <c r="V100" s="19">
        <f t="shared" si="64"/>
        <v>0</v>
      </c>
      <c r="W100" s="20">
        <f t="shared" ca="1" si="43"/>
        <v>0</v>
      </c>
      <c r="X100" s="19">
        <f t="shared" ca="1" si="44"/>
        <v>0</v>
      </c>
      <c r="Y100" s="19">
        <f t="shared" ca="1" si="45"/>
        <v>0</v>
      </c>
      <c r="Z100" s="20">
        <f t="shared" ca="1" si="46"/>
        <v>0</v>
      </c>
      <c r="AA100" s="1">
        <f t="shared" si="60"/>
        <v>5432.58</v>
      </c>
      <c r="AB100" s="87"/>
      <c r="AC100" s="88"/>
      <c r="AD100" s="101">
        <f t="shared" si="61"/>
        <v>43224</v>
      </c>
      <c r="AE100" s="103">
        <f t="shared" si="62"/>
        <v>0</v>
      </c>
      <c r="AG100" s="1">
        <f t="shared" si="52"/>
        <v>0</v>
      </c>
      <c r="AH100" s="1">
        <f t="shared" si="31"/>
        <v>0</v>
      </c>
      <c r="AI100" s="1">
        <f t="shared" si="63"/>
        <v>5432.58</v>
      </c>
      <c r="AJ100" s="20">
        <f t="shared" si="30"/>
        <v>0</v>
      </c>
      <c r="AK100" s="100">
        <f t="shared" si="32"/>
        <v>0</v>
      </c>
      <c r="AL100" s="100">
        <f t="shared" si="33"/>
        <v>0</v>
      </c>
      <c r="AN100" s="100">
        <f t="shared" si="34"/>
        <v>5240.8446957145243</v>
      </c>
      <c r="AO100" s="20">
        <f t="shared" si="35"/>
        <v>0</v>
      </c>
      <c r="AQ100" s="109">
        <f t="shared" si="53"/>
        <v>0</v>
      </c>
      <c r="AU100" s="109">
        <f t="shared" si="54"/>
        <v>26.893054651704489</v>
      </c>
      <c r="AV100" s="101">
        <f t="shared" si="48"/>
        <v>43254</v>
      </c>
      <c r="AW100" s="99">
        <f t="shared" si="49"/>
        <v>0</v>
      </c>
      <c r="AX100" s="1">
        <f t="shared" si="55"/>
        <v>0</v>
      </c>
      <c r="AY100" s="29">
        <f t="shared" si="56"/>
        <v>0</v>
      </c>
      <c r="AZ100" s="1">
        <f t="shared" si="57"/>
        <v>0</v>
      </c>
      <c r="CB100" s="20">
        <f t="shared" si="41"/>
        <v>0</v>
      </c>
      <c r="CC100" s="173">
        <f t="shared" si="58"/>
        <v>0</v>
      </c>
    </row>
    <row r="101" spans="2:81" x14ac:dyDescent="0.25">
      <c r="B101" s="41"/>
      <c r="C101" s="165"/>
      <c r="D101" s="166"/>
      <c r="E101" s="26"/>
      <c r="F101" s="26"/>
      <c r="G101" s="167"/>
      <c r="H101" s="81" t="str">
        <f>IF(ISERROR(VLOOKUP(#REF!,AB:AC,2,0)),"",VLOOKUP(#REF!,AB:AC,2,0))</f>
        <v/>
      </c>
      <c r="J101" s="7"/>
      <c r="K101" s="8"/>
      <c r="L101" s="15"/>
      <c r="M101" s="21"/>
      <c r="N101" s="21"/>
      <c r="O101" s="21"/>
      <c r="P101" s="21"/>
      <c r="Q101" s="1">
        <f t="shared" si="59"/>
        <v>0.60744618579017706</v>
      </c>
      <c r="R101" s="12">
        <f t="shared" ca="1" si="42"/>
        <v>2132</v>
      </c>
      <c r="S101" s="88">
        <f t="shared" si="50"/>
        <v>0</v>
      </c>
      <c r="T101" s="19">
        <f t="shared" si="51"/>
        <v>0</v>
      </c>
      <c r="U101" s="19">
        <f t="shared" si="47"/>
        <v>0</v>
      </c>
      <c r="V101" s="19">
        <f t="shared" si="64"/>
        <v>0</v>
      </c>
      <c r="W101" s="20">
        <f t="shared" ca="1" si="43"/>
        <v>0</v>
      </c>
      <c r="X101" s="19">
        <f t="shared" ca="1" si="44"/>
        <v>0</v>
      </c>
      <c r="Y101" s="19">
        <f t="shared" ca="1" si="45"/>
        <v>0</v>
      </c>
      <c r="Z101" s="20">
        <f t="shared" ca="1" si="46"/>
        <v>0</v>
      </c>
      <c r="AA101" s="1">
        <f t="shared" si="60"/>
        <v>5432.58</v>
      </c>
      <c r="AB101" s="89"/>
      <c r="AC101" s="90"/>
      <c r="AD101" s="101">
        <f t="shared" si="61"/>
        <v>43254</v>
      </c>
      <c r="AE101" s="103">
        <f t="shared" si="62"/>
        <v>0</v>
      </c>
      <c r="AG101" s="1">
        <f t="shared" si="52"/>
        <v>0</v>
      </c>
      <c r="AH101" s="1">
        <f t="shared" si="31"/>
        <v>0</v>
      </c>
      <c r="AI101" s="1">
        <f t="shared" si="63"/>
        <v>5432.58</v>
      </c>
      <c r="AJ101" s="20">
        <f t="shared" si="30"/>
        <v>0</v>
      </c>
      <c r="AK101" s="100">
        <f t="shared" si="32"/>
        <v>0</v>
      </c>
      <c r="AL101" s="100">
        <f t="shared" si="33"/>
        <v>0</v>
      </c>
      <c r="AN101" s="100">
        <f t="shared" si="34"/>
        <v>5238.1930953676792</v>
      </c>
      <c r="AO101" s="20">
        <f t="shared" si="35"/>
        <v>0</v>
      </c>
      <c r="AQ101" s="109">
        <f t="shared" si="53"/>
        <v>0</v>
      </c>
      <c r="AU101" s="109">
        <f t="shared" si="54"/>
        <v>26.890694246320646</v>
      </c>
      <c r="AV101" s="101">
        <f t="shared" si="48"/>
        <v>43284</v>
      </c>
      <c r="AW101" s="99">
        <f t="shared" si="49"/>
        <v>0</v>
      </c>
      <c r="AX101" s="1">
        <f t="shared" si="55"/>
        <v>0</v>
      </c>
      <c r="AY101" s="29">
        <f t="shared" si="56"/>
        <v>0</v>
      </c>
      <c r="AZ101" s="1">
        <f t="shared" si="57"/>
        <v>0</v>
      </c>
      <c r="CB101" s="20">
        <f t="shared" si="41"/>
        <v>0</v>
      </c>
      <c r="CC101" s="173">
        <f t="shared" si="58"/>
        <v>0</v>
      </c>
    </row>
    <row r="102" spans="2:81" x14ac:dyDescent="0.25">
      <c r="B102" s="41"/>
      <c r="C102" s="165"/>
      <c r="D102" s="166"/>
      <c r="E102" s="26"/>
      <c r="F102" s="26"/>
      <c r="G102" s="167"/>
      <c r="H102" s="81" t="str">
        <f>IF(ISERROR(VLOOKUP(#REF!,AB:AC,2,0)),"",VLOOKUP(#REF!,AB:AC,2,0))</f>
        <v/>
      </c>
      <c r="J102" s="9"/>
      <c r="K102" s="10"/>
      <c r="L102" s="14"/>
      <c r="M102" s="19"/>
      <c r="N102" s="19"/>
      <c r="O102" s="19"/>
      <c r="P102" s="19"/>
      <c r="Q102" s="1">
        <f t="shared" si="59"/>
        <v>0.60744618579017706</v>
      </c>
      <c r="R102" s="12">
        <f t="shared" ca="1" si="42"/>
        <v>2162</v>
      </c>
      <c r="S102" s="88">
        <f t="shared" si="50"/>
        <v>0</v>
      </c>
      <c r="T102" s="19">
        <f t="shared" si="51"/>
        <v>0</v>
      </c>
      <c r="U102" s="19">
        <f t="shared" si="47"/>
        <v>0</v>
      </c>
      <c r="V102" s="19">
        <f t="shared" si="64"/>
        <v>0</v>
      </c>
      <c r="W102" s="20">
        <f t="shared" ca="1" si="43"/>
        <v>0</v>
      </c>
      <c r="X102" s="19">
        <f t="shared" ca="1" si="44"/>
        <v>0</v>
      </c>
      <c r="Y102" s="19">
        <f t="shared" ca="1" si="45"/>
        <v>0</v>
      </c>
      <c r="Z102" s="20">
        <f t="shared" ca="1" si="46"/>
        <v>0</v>
      </c>
      <c r="AA102" s="1">
        <f t="shared" si="60"/>
        <v>5432.58</v>
      </c>
      <c r="AB102" s="87"/>
      <c r="AC102" s="88"/>
      <c r="AD102" s="101">
        <f t="shared" si="61"/>
        <v>43284</v>
      </c>
      <c r="AE102" s="103">
        <f t="shared" si="62"/>
        <v>0</v>
      </c>
      <c r="AG102" s="1">
        <f t="shared" si="52"/>
        <v>0</v>
      </c>
      <c r="AH102" s="1">
        <f t="shared" si="31"/>
        <v>0</v>
      </c>
      <c r="AI102" s="1">
        <f t="shared" si="63"/>
        <v>5432.58</v>
      </c>
      <c r="AJ102" s="20">
        <f t="shared" si="30"/>
        <v>0</v>
      </c>
      <c r="AK102" s="100">
        <f t="shared" si="32"/>
        <v>0</v>
      </c>
      <c r="AL102" s="100">
        <f t="shared" si="33"/>
        <v>0</v>
      </c>
      <c r="AN102" s="100">
        <f t="shared" si="34"/>
        <v>5235.5428365954867</v>
      </c>
      <c r="AO102" s="20">
        <f t="shared" si="35"/>
        <v>0</v>
      </c>
      <c r="AQ102" s="109">
        <f t="shared" si="53"/>
        <v>0</v>
      </c>
      <c r="AU102" s="109">
        <f t="shared" si="54"/>
        <v>26.888334048109755</v>
      </c>
      <c r="AV102" s="101">
        <f t="shared" si="48"/>
        <v>43314</v>
      </c>
      <c r="AW102" s="99">
        <f t="shared" si="49"/>
        <v>0</v>
      </c>
      <c r="AX102" s="1">
        <f t="shared" si="55"/>
        <v>0</v>
      </c>
      <c r="AY102" s="29">
        <f t="shared" si="56"/>
        <v>0</v>
      </c>
      <c r="AZ102" s="1">
        <f t="shared" si="57"/>
        <v>0</v>
      </c>
      <c r="CB102" s="20">
        <f t="shared" si="41"/>
        <v>0</v>
      </c>
      <c r="CC102" s="173">
        <f t="shared" si="58"/>
        <v>0</v>
      </c>
    </row>
    <row r="103" spans="2:81" x14ac:dyDescent="0.25">
      <c r="B103" s="41"/>
      <c r="C103" s="165"/>
      <c r="D103" s="166"/>
      <c r="E103" s="26"/>
      <c r="F103" s="26"/>
      <c r="G103" s="167"/>
      <c r="H103" s="81" t="str">
        <f>IF(ISERROR(VLOOKUP(#REF!,AB:AC,2,0)),"",VLOOKUP(#REF!,AB:AC,2,0))</f>
        <v/>
      </c>
      <c r="J103" s="7"/>
      <c r="K103" s="8"/>
      <c r="L103" s="15"/>
      <c r="M103" s="21"/>
      <c r="N103" s="21"/>
      <c r="O103" s="21"/>
      <c r="P103" s="21"/>
      <c r="Q103" s="1">
        <f t="shared" si="59"/>
        <v>0.60744618579017706</v>
      </c>
      <c r="R103" s="12">
        <f t="shared" ca="1" si="42"/>
        <v>2192</v>
      </c>
      <c r="S103" s="88">
        <f t="shared" si="50"/>
        <v>0</v>
      </c>
      <c r="T103" s="19">
        <f t="shared" si="51"/>
        <v>0</v>
      </c>
      <c r="U103" s="19">
        <f t="shared" si="47"/>
        <v>0</v>
      </c>
      <c r="V103" s="19">
        <f t="shared" si="64"/>
        <v>0</v>
      </c>
      <c r="W103" s="20">
        <f t="shared" ca="1" si="43"/>
        <v>0</v>
      </c>
      <c r="X103" s="19">
        <f t="shared" ca="1" si="44"/>
        <v>0</v>
      </c>
      <c r="Y103" s="19">
        <f t="shared" ca="1" si="45"/>
        <v>0</v>
      </c>
      <c r="Z103" s="20">
        <f t="shared" ca="1" si="46"/>
        <v>0</v>
      </c>
      <c r="AA103" s="1">
        <f t="shared" si="60"/>
        <v>5432.58</v>
      </c>
      <c r="AB103" s="89"/>
      <c r="AC103" s="90"/>
      <c r="AD103" s="101">
        <f t="shared" si="61"/>
        <v>43314</v>
      </c>
      <c r="AE103" s="103">
        <f t="shared" si="62"/>
        <v>0</v>
      </c>
      <c r="AG103" s="1">
        <f t="shared" si="52"/>
        <v>0</v>
      </c>
      <c r="AH103" s="1">
        <f t="shared" si="31"/>
        <v>0</v>
      </c>
      <c r="AI103" s="1">
        <f t="shared" si="63"/>
        <v>5432.58</v>
      </c>
      <c r="AJ103" s="20">
        <f t="shared" si="30"/>
        <v>0</v>
      </c>
      <c r="AK103" s="100">
        <f t="shared" si="32"/>
        <v>0</v>
      </c>
      <c r="AL103" s="100">
        <f t="shared" si="33"/>
        <v>0</v>
      </c>
      <c r="AN103" s="100">
        <f t="shared" si="34"/>
        <v>5232.8939187191772</v>
      </c>
      <c r="AO103" s="20">
        <f t="shared" si="35"/>
        <v>0</v>
      </c>
      <c r="AQ103" s="109">
        <f t="shared" si="53"/>
        <v>0</v>
      </c>
      <c r="AU103" s="109">
        <f t="shared" si="54"/>
        <v>26.885974057053637</v>
      </c>
      <c r="AV103" s="101">
        <f t="shared" si="48"/>
        <v>43344</v>
      </c>
      <c r="AW103" s="99">
        <f t="shared" si="49"/>
        <v>0</v>
      </c>
      <c r="AX103" s="1">
        <f t="shared" si="55"/>
        <v>0</v>
      </c>
      <c r="AY103" s="29">
        <f t="shared" si="56"/>
        <v>0</v>
      </c>
      <c r="AZ103" s="1">
        <f t="shared" si="57"/>
        <v>0</v>
      </c>
      <c r="CB103" s="20">
        <f t="shared" si="41"/>
        <v>0</v>
      </c>
      <c r="CC103" s="173">
        <f t="shared" si="58"/>
        <v>0</v>
      </c>
    </row>
    <row r="104" spans="2:81" x14ac:dyDescent="0.25">
      <c r="B104" s="41"/>
      <c r="C104" s="165"/>
      <c r="D104" s="166"/>
      <c r="E104" s="26"/>
      <c r="F104" s="26"/>
      <c r="G104" s="167"/>
      <c r="H104" s="81" t="str">
        <f>IF(ISERROR(VLOOKUP(#REF!,AB:AC,2,0)),"",VLOOKUP(#REF!,AB:AC,2,0))</f>
        <v/>
      </c>
      <c r="J104" s="9"/>
      <c r="K104" s="10"/>
      <c r="L104" s="14"/>
      <c r="M104" s="19"/>
      <c r="N104" s="19"/>
      <c r="O104" s="19"/>
      <c r="P104" s="19"/>
      <c r="Q104" s="1">
        <f t="shared" si="59"/>
        <v>0.60744618579017706</v>
      </c>
      <c r="R104" s="12">
        <f t="shared" ca="1" si="42"/>
        <v>2222</v>
      </c>
      <c r="S104" s="88">
        <f t="shared" si="50"/>
        <v>0</v>
      </c>
      <c r="T104" s="19">
        <f t="shared" si="51"/>
        <v>0</v>
      </c>
      <c r="U104" s="19">
        <f t="shared" si="47"/>
        <v>0</v>
      </c>
      <c r="V104" s="19">
        <f t="shared" si="64"/>
        <v>0</v>
      </c>
      <c r="W104" s="20">
        <f t="shared" ca="1" si="43"/>
        <v>0</v>
      </c>
      <c r="X104" s="19">
        <f t="shared" ca="1" si="44"/>
        <v>0</v>
      </c>
      <c r="Y104" s="19">
        <f t="shared" ca="1" si="45"/>
        <v>0</v>
      </c>
      <c r="Z104" s="20">
        <f t="shared" ca="1" si="46"/>
        <v>0</v>
      </c>
      <c r="AA104" s="1">
        <f t="shared" si="60"/>
        <v>5432.58</v>
      </c>
      <c r="AB104" s="87"/>
      <c r="AC104" s="88"/>
      <c r="AD104" s="101">
        <f t="shared" si="61"/>
        <v>43344</v>
      </c>
      <c r="AE104" s="103">
        <f t="shared" si="62"/>
        <v>0</v>
      </c>
      <c r="AG104" s="1">
        <f t="shared" si="52"/>
        <v>0</v>
      </c>
      <c r="AH104" s="1">
        <f t="shared" si="31"/>
        <v>0</v>
      </c>
      <c r="AI104" s="1">
        <f t="shared" si="63"/>
        <v>5432.58</v>
      </c>
      <c r="AJ104" s="20">
        <f t="shared" ref="AJ104:AJ167" si="65">IF(ISERROR(IF(V103+U104+T104+(V103*Q104/1200)-AA104-P104&lt;0,V103,-(U104+T104-AA104+P104-AH104))),0,IF(V103+U104+T104+(V103*Q104/1200)-AA104-P104&lt;0,0,-(U104+T104-AA104-AH104)))</f>
        <v>0</v>
      </c>
      <c r="AK104" s="100">
        <f t="shared" si="32"/>
        <v>0</v>
      </c>
      <c r="AL104" s="100">
        <f t="shared" si="33"/>
        <v>0</v>
      </c>
      <c r="AN104" s="100">
        <f t="shared" si="34"/>
        <v>5230.2463410603268</v>
      </c>
      <c r="AO104" s="20">
        <f t="shared" si="35"/>
        <v>0</v>
      </c>
      <c r="AQ104" s="109">
        <f t="shared" si="53"/>
        <v>0</v>
      </c>
      <c r="AU104" s="109">
        <f t="shared" si="54"/>
        <v>26.883614273134114</v>
      </c>
      <c r="AV104" s="101">
        <f t="shared" si="48"/>
        <v>43374</v>
      </c>
      <c r="AW104" s="99">
        <f t="shared" si="49"/>
        <v>0</v>
      </c>
      <c r="AX104" s="1">
        <f t="shared" si="55"/>
        <v>0</v>
      </c>
      <c r="AY104" s="29">
        <f t="shared" si="56"/>
        <v>0</v>
      </c>
      <c r="AZ104" s="1">
        <f t="shared" si="57"/>
        <v>0</v>
      </c>
      <c r="CB104" s="20">
        <f t="shared" si="41"/>
        <v>0</v>
      </c>
      <c r="CC104" s="173">
        <f t="shared" si="58"/>
        <v>0</v>
      </c>
    </row>
    <row r="105" spans="2:81" x14ac:dyDescent="0.25">
      <c r="B105" s="41"/>
      <c r="C105" s="165"/>
      <c r="D105" s="166"/>
      <c r="E105" s="26"/>
      <c r="F105" s="26"/>
      <c r="G105" s="167"/>
      <c r="H105" s="81" t="str">
        <f>IF(ISERROR(VLOOKUP(#REF!,AB:AC,2,0)),"",VLOOKUP(#REF!,AB:AC,2,0))</f>
        <v/>
      </c>
      <c r="J105" s="7"/>
      <c r="K105" s="8"/>
      <c r="L105" s="15"/>
      <c r="M105" s="21"/>
      <c r="N105" s="21"/>
      <c r="O105" s="21"/>
      <c r="P105" s="21"/>
      <c r="Q105" s="1">
        <f t="shared" si="59"/>
        <v>0.60744618579017706</v>
      </c>
      <c r="R105" s="12">
        <f t="shared" ca="1" si="42"/>
        <v>2252</v>
      </c>
      <c r="S105" s="88">
        <f t="shared" si="50"/>
        <v>0</v>
      </c>
      <c r="T105" s="19">
        <f t="shared" si="51"/>
        <v>0</v>
      </c>
      <c r="U105" s="19">
        <f t="shared" si="47"/>
        <v>0</v>
      </c>
      <c r="V105" s="19">
        <f t="shared" si="64"/>
        <v>0</v>
      </c>
      <c r="W105" s="20">
        <f t="shared" ca="1" si="43"/>
        <v>0</v>
      </c>
      <c r="X105" s="19">
        <f t="shared" ca="1" si="44"/>
        <v>0</v>
      </c>
      <c r="Y105" s="19">
        <f t="shared" ca="1" si="45"/>
        <v>0</v>
      </c>
      <c r="Z105" s="20">
        <f t="shared" ca="1" si="46"/>
        <v>0</v>
      </c>
      <c r="AA105" s="1">
        <f t="shared" si="60"/>
        <v>5432.58</v>
      </c>
      <c r="AB105" s="89"/>
      <c r="AC105" s="90"/>
      <c r="AD105" s="101">
        <f t="shared" si="61"/>
        <v>43374</v>
      </c>
      <c r="AE105" s="103">
        <f t="shared" si="62"/>
        <v>0</v>
      </c>
      <c r="AG105" s="1">
        <f t="shared" si="52"/>
        <v>0</v>
      </c>
      <c r="AH105" s="1">
        <f t="shared" si="31"/>
        <v>0</v>
      </c>
      <c r="AI105" s="1">
        <f t="shared" si="63"/>
        <v>5432.58</v>
      </c>
      <c r="AJ105" s="20">
        <f t="shared" si="65"/>
        <v>0</v>
      </c>
      <c r="AK105" s="100">
        <f t="shared" si="32"/>
        <v>0</v>
      </c>
      <c r="AL105" s="100">
        <f t="shared" si="33"/>
        <v>0</v>
      </c>
      <c r="AN105" s="100">
        <f t="shared" si="34"/>
        <v>5227.6001029408517</v>
      </c>
      <c r="AO105" s="20">
        <f t="shared" si="35"/>
        <v>0</v>
      </c>
      <c r="AQ105" s="109">
        <f t="shared" si="53"/>
        <v>0</v>
      </c>
      <c r="AU105" s="109">
        <f t="shared" si="54"/>
        <v>26.881254696332991</v>
      </c>
      <c r="AV105" s="101">
        <f t="shared" si="48"/>
        <v>43404</v>
      </c>
      <c r="AW105" s="99">
        <f t="shared" si="49"/>
        <v>0</v>
      </c>
      <c r="AX105" s="1">
        <f t="shared" si="55"/>
        <v>0</v>
      </c>
      <c r="AY105" s="29">
        <f t="shared" si="56"/>
        <v>0</v>
      </c>
      <c r="AZ105" s="1">
        <f t="shared" si="57"/>
        <v>0</v>
      </c>
      <c r="CB105" s="20">
        <f t="shared" si="41"/>
        <v>0</v>
      </c>
      <c r="CC105" s="173">
        <f t="shared" si="58"/>
        <v>0</v>
      </c>
    </row>
    <row r="106" spans="2:81" x14ac:dyDescent="0.25">
      <c r="B106" s="41"/>
      <c r="C106" s="165"/>
      <c r="D106" s="166"/>
      <c r="E106" s="26"/>
      <c r="F106" s="26"/>
      <c r="G106" s="167"/>
      <c r="H106" s="81" t="str">
        <f>IF(ISERROR(VLOOKUP(#REF!,AB:AC,2,0)),"",VLOOKUP(#REF!,AB:AC,2,0))</f>
        <v/>
      </c>
      <c r="J106" s="9"/>
      <c r="K106" s="10"/>
      <c r="L106" s="14"/>
      <c r="M106" s="19"/>
      <c r="N106" s="19"/>
      <c r="O106" s="19"/>
      <c r="P106" s="19"/>
      <c r="Q106" s="1">
        <f t="shared" si="59"/>
        <v>0.60744618579017706</v>
      </c>
      <c r="R106" s="12">
        <f t="shared" ca="1" si="42"/>
        <v>2282</v>
      </c>
      <c r="S106" s="88">
        <f t="shared" si="50"/>
        <v>0</v>
      </c>
      <c r="T106" s="19">
        <f t="shared" si="51"/>
        <v>0</v>
      </c>
      <c r="U106" s="19">
        <f t="shared" si="47"/>
        <v>0</v>
      </c>
      <c r="V106" s="19">
        <f t="shared" si="64"/>
        <v>0</v>
      </c>
      <c r="W106" s="20">
        <f t="shared" ca="1" si="43"/>
        <v>0</v>
      </c>
      <c r="X106" s="19">
        <f t="shared" ca="1" si="44"/>
        <v>0</v>
      </c>
      <c r="Y106" s="19">
        <f t="shared" ca="1" si="45"/>
        <v>0</v>
      </c>
      <c r="Z106" s="20">
        <f t="shared" ca="1" si="46"/>
        <v>0</v>
      </c>
      <c r="AA106" s="1">
        <f t="shared" si="60"/>
        <v>5432.58</v>
      </c>
      <c r="AB106" s="87"/>
      <c r="AC106" s="88"/>
      <c r="AD106" s="101">
        <f t="shared" si="61"/>
        <v>43404</v>
      </c>
      <c r="AE106" s="103">
        <f t="shared" si="62"/>
        <v>0</v>
      </c>
      <c r="AG106" s="1">
        <f t="shared" si="52"/>
        <v>0</v>
      </c>
      <c r="AH106" s="1">
        <f t="shared" si="31"/>
        <v>0</v>
      </c>
      <c r="AI106" s="1">
        <f t="shared" si="63"/>
        <v>5432.58</v>
      </c>
      <c r="AJ106" s="20">
        <f t="shared" si="65"/>
        <v>0</v>
      </c>
      <c r="AK106" s="100">
        <f t="shared" si="32"/>
        <v>0</v>
      </c>
      <c r="AL106" s="100">
        <f t="shared" si="33"/>
        <v>0</v>
      </c>
      <c r="AN106" s="100">
        <f t="shared" si="34"/>
        <v>5224.9552036830173</v>
      </c>
      <c r="AO106" s="20">
        <f t="shared" si="35"/>
        <v>0</v>
      </c>
      <c r="AQ106" s="109">
        <f t="shared" si="53"/>
        <v>0</v>
      </c>
      <c r="AU106" s="109">
        <f t="shared" si="54"/>
        <v>26.878895326632104</v>
      </c>
      <c r="AV106" s="101">
        <f t="shared" si="48"/>
        <v>43434</v>
      </c>
      <c r="AW106" s="99">
        <f t="shared" si="49"/>
        <v>0</v>
      </c>
      <c r="AX106" s="1">
        <f t="shared" si="55"/>
        <v>0</v>
      </c>
      <c r="AY106" s="29">
        <f t="shared" si="56"/>
        <v>0</v>
      </c>
      <c r="AZ106" s="1">
        <f t="shared" si="57"/>
        <v>0</v>
      </c>
      <c r="CB106" s="20">
        <f t="shared" si="41"/>
        <v>0</v>
      </c>
      <c r="CC106" s="173">
        <f t="shared" si="58"/>
        <v>0</v>
      </c>
    </row>
    <row r="107" spans="2:81" x14ac:dyDescent="0.25">
      <c r="B107" s="41"/>
      <c r="C107" s="165"/>
      <c r="D107" s="166"/>
      <c r="E107" s="26"/>
      <c r="F107" s="26"/>
      <c r="G107" s="167"/>
      <c r="H107" s="81" t="str">
        <f>IF(ISERROR(VLOOKUP(#REF!,AB:AC,2,0)),"",VLOOKUP(#REF!,AB:AC,2,0))</f>
        <v/>
      </c>
      <c r="J107" s="7"/>
      <c r="K107" s="8"/>
      <c r="L107" s="15"/>
      <c r="M107" s="21"/>
      <c r="N107" s="21"/>
      <c r="O107" s="21"/>
      <c r="P107" s="21"/>
      <c r="Q107" s="1">
        <f t="shared" si="59"/>
        <v>0.60744618579017706</v>
      </c>
      <c r="R107" s="12">
        <f t="shared" ca="1" si="42"/>
        <v>2312</v>
      </c>
      <c r="S107" s="88">
        <f t="shared" si="50"/>
        <v>0</v>
      </c>
      <c r="T107" s="19">
        <f t="shared" si="51"/>
        <v>0</v>
      </c>
      <c r="U107" s="19">
        <f t="shared" si="47"/>
        <v>0</v>
      </c>
      <c r="V107" s="19">
        <f t="shared" si="64"/>
        <v>0</v>
      </c>
      <c r="W107" s="20">
        <f t="shared" ca="1" si="43"/>
        <v>0</v>
      </c>
      <c r="X107" s="19">
        <f t="shared" ca="1" si="44"/>
        <v>0</v>
      </c>
      <c r="Y107" s="19">
        <f t="shared" ca="1" si="45"/>
        <v>0</v>
      </c>
      <c r="Z107" s="20">
        <f t="shared" ca="1" si="46"/>
        <v>0</v>
      </c>
      <c r="AA107" s="1">
        <f t="shared" si="60"/>
        <v>5432.58</v>
      </c>
      <c r="AB107" s="89"/>
      <c r="AC107" s="90"/>
      <c r="AD107" s="101">
        <f t="shared" si="61"/>
        <v>43434</v>
      </c>
      <c r="AE107" s="103">
        <f t="shared" si="62"/>
        <v>0</v>
      </c>
      <c r="AG107" s="1">
        <f t="shared" si="52"/>
        <v>0</v>
      </c>
      <c r="AH107" s="1">
        <f t="shared" si="31"/>
        <v>0</v>
      </c>
      <c r="AI107" s="1">
        <f t="shared" si="63"/>
        <v>5432.58</v>
      </c>
      <c r="AJ107" s="20">
        <f t="shared" si="65"/>
        <v>0</v>
      </c>
      <c r="AK107" s="100">
        <f t="shared" si="32"/>
        <v>0</v>
      </c>
      <c r="AL107" s="100">
        <f t="shared" si="33"/>
        <v>0</v>
      </c>
      <c r="AN107" s="100">
        <f t="shared" si="34"/>
        <v>5222.3116426094248</v>
      </c>
      <c r="AO107" s="20">
        <f t="shared" si="35"/>
        <v>0</v>
      </c>
      <c r="AQ107" s="109">
        <f t="shared" si="53"/>
        <v>0</v>
      </c>
      <c r="AU107" s="109">
        <f t="shared" si="54"/>
        <v>26.876536164013263</v>
      </c>
      <c r="AV107" s="101">
        <f t="shared" si="48"/>
        <v>43464</v>
      </c>
      <c r="AW107" s="99">
        <f t="shared" si="49"/>
        <v>0</v>
      </c>
      <c r="AX107" s="1">
        <f t="shared" si="55"/>
        <v>0</v>
      </c>
      <c r="AY107" s="29">
        <f t="shared" si="56"/>
        <v>0</v>
      </c>
      <c r="AZ107" s="1">
        <f t="shared" si="57"/>
        <v>0</v>
      </c>
      <c r="CB107" s="20">
        <f t="shared" si="41"/>
        <v>0</v>
      </c>
      <c r="CC107" s="173">
        <f t="shared" si="58"/>
        <v>0</v>
      </c>
    </row>
    <row r="108" spans="2:81" x14ac:dyDescent="0.25">
      <c r="B108" s="41"/>
      <c r="C108" s="165"/>
      <c r="D108" s="166"/>
      <c r="E108" s="26"/>
      <c r="F108" s="26"/>
      <c r="G108" s="167"/>
      <c r="H108" s="81" t="str">
        <f>IF(ISERROR(VLOOKUP(#REF!,AB:AC,2,0)),"",VLOOKUP(#REF!,AB:AC,2,0))</f>
        <v/>
      </c>
      <c r="J108" s="9"/>
      <c r="K108" s="10"/>
      <c r="L108" s="14"/>
      <c r="M108" s="19"/>
      <c r="N108" s="19"/>
      <c r="O108" s="19"/>
      <c r="P108" s="19"/>
      <c r="Q108" s="1">
        <f t="shared" si="59"/>
        <v>0.60744618579017706</v>
      </c>
      <c r="R108" s="12">
        <f t="shared" ca="1" si="42"/>
        <v>2342</v>
      </c>
      <c r="S108" s="88">
        <f t="shared" si="50"/>
        <v>0</v>
      </c>
      <c r="T108" s="19">
        <f t="shared" si="51"/>
        <v>0</v>
      </c>
      <c r="U108" s="19">
        <f t="shared" si="47"/>
        <v>0</v>
      </c>
      <c r="V108" s="19">
        <f t="shared" si="64"/>
        <v>0</v>
      </c>
      <c r="W108" s="20">
        <f t="shared" ca="1" si="43"/>
        <v>0</v>
      </c>
      <c r="X108" s="19">
        <f t="shared" ca="1" si="44"/>
        <v>0</v>
      </c>
      <c r="Y108" s="19">
        <f t="shared" ca="1" si="45"/>
        <v>0</v>
      </c>
      <c r="Z108" s="20">
        <f t="shared" ca="1" si="46"/>
        <v>0</v>
      </c>
      <c r="AA108" s="1">
        <f t="shared" si="60"/>
        <v>5432.58</v>
      </c>
      <c r="AB108" s="87"/>
      <c r="AC108" s="88"/>
      <c r="AD108" s="101">
        <f t="shared" si="61"/>
        <v>43464</v>
      </c>
      <c r="AE108" s="103">
        <f t="shared" si="62"/>
        <v>0</v>
      </c>
      <c r="AG108" s="1">
        <f t="shared" si="52"/>
        <v>0</v>
      </c>
      <c r="AH108" s="1">
        <f t="shared" si="31"/>
        <v>0</v>
      </c>
      <c r="AI108" s="1">
        <f t="shared" si="63"/>
        <v>5432.58</v>
      </c>
      <c r="AJ108" s="20">
        <f t="shared" si="65"/>
        <v>0</v>
      </c>
      <c r="AK108" s="100">
        <f t="shared" si="32"/>
        <v>0</v>
      </c>
      <c r="AL108" s="100">
        <f t="shared" si="33"/>
        <v>0</v>
      </c>
      <c r="AN108" s="100">
        <f t="shared" si="34"/>
        <v>5219.6694190430208</v>
      </c>
      <c r="AO108" s="20">
        <f t="shared" si="35"/>
        <v>0</v>
      </c>
      <c r="AQ108" s="109">
        <f t="shared" si="53"/>
        <v>0</v>
      </c>
      <c r="AU108" s="109">
        <f t="shared" si="54"/>
        <v>26.874177208458306</v>
      </c>
      <c r="AV108" s="101">
        <f t="shared" si="48"/>
        <v>43494</v>
      </c>
      <c r="AW108" s="99">
        <f t="shared" si="49"/>
        <v>0</v>
      </c>
      <c r="AX108" s="1">
        <f t="shared" si="55"/>
        <v>0</v>
      </c>
      <c r="AY108" s="29">
        <f t="shared" si="56"/>
        <v>0</v>
      </c>
      <c r="AZ108" s="1">
        <f t="shared" si="57"/>
        <v>0</v>
      </c>
      <c r="CB108" s="20">
        <f t="shared" si="41"/>
        <v>0</v>
      </c>
      <c r="CC108" s="173">
        <f t="shared" si="58"/>
        <v>0</v>
      </c>
    </row>
    <row r="109" spans="2:81" x14ac:dyDescent="0.25">
      <c r="B109" s="41"/>
      <c r="C109" s="165"/>
      <c r="D109" s="166"/>
      <c r="E109" s="26"/>
      <c r="F109" s="26"/>
      <c r="G109" s="167"/>
      <c r="H109" s="81" t="str">
        <f>IF(ISERROR(VLOOKUP(#REF!,AB:AC,2,0)),"",VLOOKUP(#REF!,AB:AC,2,0))</f>
        <v/>
      </c>
      <c r="J109" s="7"/>
      <c r="K109" s="8"/>
      <c r="L109" s="15"/>
      <c r="M109" s="21"/>
      <c r="N109" s="21"/>
      <c r="O109" s="21"/>
      <c r="P109" s="21"/>
      <c r="Q109" s="1">
        <f t="shared" si="59"/>
        <v>0.60744618579017706</v>
      </c>
      <c r="R109" s="12">
        <f t="shared" ca="1" si="42"/>
        <v>2372</v>
      </c>
      <c r="S109" s="88">
        <f t="shared" si="50"/>
        <v>0</v>
      </c>
      <c r="T109" s="19">
        <f t="shared" si="51"/>
        <v>0</v>
      </c>
      <c r="U109" s="19">
        <f t="shared" si="47"/>
        <v>0</v>
      </c>
      <c r="V109" s="19">
        <f t="shared" si="64"/>
        <v>0</v>
      </c>
      <c r="W109" s="20">
        <f t="shared" ca="1" si="43"/>
        <v>0</v>
      </c>
      <c r="X109" s="19">
        <f t="shared" ca="1" si="44"/>
        <v>0</v>
      </c>
      <c r="Y109" s="19">
        <f t="shared" ca="1" si="45"/>
        <v>0</v>
      </c>
      <c r="Z109" s="20">
        <f t="shared" ca="1" si="46"/>
        <v>0</v>
      </c>
      <c r="AA109" s="1">
        <f t="shared" si="60"/>
        <v>5432.58</v>
      </c>
      <c r="AB109" s="89"/>
      <c r="AC109" s="90"/>
      <c r="AD109" s="101">
        <f t="shared" si="61"/>
        <v>43494</v>
      </c>
      <c r="AE109" s="103">
        <f t="shared" si="62"/>
        <v>0</v>
      </c>
      <c r="AG109" s="1">
        <f t="shared" si="52"/>
        <v>0</v>
      </c>
      <c r="AH109" s="1">
        <f t="shared" si="31"/>
        <v>0</v>
      </c>
      <c r="AI109" s="1">
        <f t="shared" si="63"/>
        <v>5432.58</v>
      </c>
      <c r="AJ109" s="20">
        <f t="shared" si="65"/>
        <v>0</v>
      </c>
      <c r="AK109" s="100">
        <f t="shared" si="32"/>
        <v>0</v>
      </c>
      <c r="AL109" s="100">
        <f t="shared" si="33"/>
        <v>0</v>
      </c>
      <c r="AN109" s="100">
        <f t="shared" si="34"/>
        <v>5217.0285323070975</v>
      </c>
      <c r="AO109" s="20">
        <f t="shared" si="35"/>
        <v>0</v>
      </c>
      <c r="AQ109" s="109">
        <f t="shared" si="53"/>
        <v>0</v>
      </c>
      <c r="AU109" s="109">
        <f t="shared" si="54"/>
        <v>26.871818459949047</v>
      </c>
      <c r="AV109" s="101">
        <f t="shared" si="48"/>
        <v>43524</v>
      </c>
      <c r="AW109" s="99">
        <f t="shared" si="49"/>
        <v>0</v>
      </c>
      <c r="AX109" s="1">
        <f t="shared" si="55"/>
        <v>0</v>
      </c>
      <c r="AY109" s="29">
        <f t="shared" si="56"/>
        <v>0</v>
      </c>
      <c r="AZ109" s="1">
        <f t="shared" si="57"/>
        <v>0</v>
      </c>
      <c r="CB109" s="20">
        <f t="shared" si="41"/>
        <v>0</v>
      </c>
      <c r="CC109" s="173">
        <f t="shared" si="58"/>
        <v>0</v>
      </c>
    </row>
    <row r="110" spans="2:81" x14ac:dyDescent="0.25">
      <c r="B110" s="41"/>
      <c r="C110" s="165"/>
      <c r="D110" s="166"/>
      <c r="E110" s="26"/>
      <c r="F110" s="26"/>
      <c r="G110" s="167"/>
      <c r="H110" s="81" t="str">
        <f>IF(ISERROR(VLOOKUP(#REF!,AB:AC,2,0)),"",VLOOKUP(#REF!,AB:AC,2,0))</f>
        <v/>
      </c>
      <c r="J110" s="9"/>
      <c r="K110" s="10"/>
      <c r="L110" s="14"/>
      <c r="M110" s="19"/>
      <c r="N110" s="19"/>
      <c r="O110" s="19"/>
      <c r="P110" s="19"/>
      <c r="Q110" s="1">
        <f t="shared" si="59"/>
        <v>0.60744618579017706</v>
      </c>
      <c r="R110" s="12">
        <f t="shared" ca="1" si="42"/>
        <v>2402</v>
      </c>
      <c r="S110" s="88">
        <f t="shared" si="50"/>
        <v>0</v>
      </c>
      <c r="T110" s="19">
        <f t="shared" si="51"/>
        <v>0</v>
      </c>
      <c r="U110" s="19">
        <f t="shared" si="47"/>
        <v>0</v>
      </c>
      <c r="V110" s="19">
        <f t="shared" si="64"/>
        <v>0</v>
      </c>
      <c r="W110" s="20">
        <f t="shared" ca="1" si="43"/>
        <v>0</v>
      </c>
      <c r="X110" s="19">
        <f t="shared" ca="1" si="44"/>
        <v>0</v>
      </c>
      <c r="Y110" s="19">
        <f t="shared" ca="1" si="45"/>
        <v>0</v>
      </c>
      <c r="Z110" s="20">
        <f t="shared" ca="1" si="46"/>
        <v>0</v>
      </c>
      <c r="AA110" s="1">
        <f t="shared" si="60"/>
        <v>5432.58</v>
      </c>
      <c r="AB110" s="87"/>
      <c r="AC110" s="88"/>
      <c r="AD110" s="101">
        <f t="shared" si="61"/>
        <v>43524</v>
      </c>
      <c r="AE110" s="103">
        <f t="shared" si="62"/>
        <v>0</v>
      </c>
      <c r="AG110" s="1">
        <f t="shared" si="52"/>
        <v>0</v>
      </c>
      <c r="AH110" s="1">
        <f t="shared" si="31"/>
        <v>0</v>
      </c>
      <c r="AI110" s="1">
        <f t="shared" si="63"/>
        <v>5432.58</v>
      </c>
      <c r="AJ110" s="20">
        <f t="shared" si="65"/>
        <v>0</v>
      </c>
      <c r="AK110" s="100">
        <f t="shared" si="32"/>
        <v>0</v>
      </c>
      <c r="AL110" s="100">
        <f t="shared" si="33"/>
        <v>0</v>
      </c>
      <c r="AN110" s="100">
        <f t="shared" si="34"/>
        <v>5214.3889817252839</v>
      </c>
      <c r="AO110" s="20">
        <f t="shared" si="35"/>
        <v>0</v>
      </c>
      <c r="AQ110" s="109">
        <f t="shared" si="53"/>
        <v>0</v>
      </c>
      <c r="AU110" s="109">
        <f t="shared" si="54"/>
        <v>26.869459918467314</v>
      </c>
      <c r="AV110" s="101">
        <f t="shared" si="48"/>
        <v>43554</v>
      </c>
      <c r="AW110" s="99">
        <f t="shared" si="49"/>
        <v>0</v>
      </c>
      <c r="AX110" s="1">
        <f t="shared" si="55"/>
        <v>0</v>
      </c>
      <c r="AY110" s="29">
        <f t="shared" si="56"/>
        <v>0</v>
      </c>
      <c r="AZ110" s="1">
        <f t="shared" si="57"/>
        <v>0</v>
      </c>
      <c r="CB110" s="20">
        <f t="shared" ref="CB110:CB173" si="66">IF(O110=0,IF(P110&gt;0,V109,IF(O109=0,0,P110)),IF(O109=0,0,P110))</f>
        <v>0</v>
      </c>
      <c r="CC110" s="173">
        <f t="shared" si="58"/>
        <v>0</v>
      </c>
    </row>
    <row r="111" spans="2:81" x14ac:dyDescent="0.25">
      <c r="B111" s="41"/>
      <c r="C111" s="165"/>
      <c r="D111" s="166"/>
      <c r="E111" s="26"/>
      <c r="F111" s="26"/>
      <c r="G111" s="167"/>
      <c r="H111" s="81" t="str">
        <f>IF(ISERROR(VLOOKUP(#REF!,AB:AC,2,0)),"",VLOOKUP(#REF!,AB:AC,2,0))</f>
        <v/>
      </c>
      <c r="J111" s="7"/>
      <c r="K111" s="8"/>
      <c r="L111" s="15"/>
      <c r="M111" s="21"/>
      <c r="N111" s="21"/>
      <c r="O111" s="21"/>
      <c r="P111" s="21"/>
      <c r="Q111" s="1">
        <f t="shared" si="59"/>
        <v>0.60744618579017706</v>
      </c>
      <c r="R111" s="12">
        <f t="shared" ca="1" si="42"/>
        <v>2432</v>
      </c>
      <c r="S111" s="88">
        <f t="shared" si="50"/>
        <v>0</v>
      </c>
      <c r="T111" s="19">
        <f t="shared" si="51"/>
        <v>0</v>
      </c>
      <c r="U111" s="19">
        <f t="shared" si="47"/>
        <v>0</v>
      </c>
      <c r="V111" s="19">
        <f t="shared" si="64"/>
        <v>0</v>
      </c>
      <c r="W111" s="20">
        <f t="shared" ca="1" si="43"/>
        <v>0</v>
      </c>
      <c r="X111" s="19">
        <f t="shared" ca="1" si="44"/>
        <v>0</v>
      </c>
      <c r="Y111" s="19">
        <f t="shared" ca="1" si="45"/>
        <v>0</v>
      </c>
      <c r="Z111" s="20">
        <f t="shared" ca="1" si="46"/>
        <v>0</v>
      </c>
      <c r="AA111" s="1">
        <f t="shared" si="60"/>
        <v>5432.58</v>
      </c>
      <c r="AB111" s="89"/>
      <c r="AC111" s="90"/>
      <c r="AD111" s="101">
        <f t="shared" si="61"/>
        <v>43554</v>
      </c>
      <c r="AE111" s="103">
        <f t="shared" si="62"/>
        <v>0</v>
      </c>
      <c r="AG111" s="1">
        <f t="shared" si="52"/>
        <v>0</v>
      </c>
      <c r="AH111" s="1">
        <f t="shared" ref="AH111:AH174" si="67">IF(ISERROR(IF(V110+U111+T111+(V110*Q111/1200)-AA111-P111&lt;0,0,(V110*Q111/1200))),0,IF(V110+U111+T111+(V110*Q111/1200)-AA111-P111&lt;0,0,(V110*Q111/1200)))</f>
        <v>0</v>
      </c>
      <c r="AI111" s="1">
        <f t="shared" si="63"/>
        <v>5432.58</v>
      </c>
      <c r="AJ111" s="20">
        <f t="shared" si="65"/>
        <v>0</v>
      </c>
      <c r="AK111" s="100">
        <f t="shared" ref="AK111:AK174" si="68">IF(ISERROR(AJ111/(1+(Q111)/1200)^(ROW()-29)),0,AJ111/(1+(Q111)/1200)^(ROW()-29))</f>
        <v>0</v>
      </c>
      <c r="AL111" s="100">
        <f t="shared" ref="AL111:AL174" si="69">IF(ISERROR((Q111/1200)*O111),0,(Q111/1200)*O111)</f>
        <v>0</v>
      </c>
      <c r="AN111" s="100">
        <f t="shared" ref="AN111:AN174" si="70">IF(ISERROR(AA111/(1+(Q111)/1200)^(ROW()-29)),0,AA111/(1+(Q111)/1200)^(ROW()-29))</f>
        <v>5211.7507666215561</v>
      </c>
      <c r="AO111" s="20">
        <f t="shared" ref="AO111:AO174" si="71">IF(ISERROR(V110+U111+T111+(V110*Q111/1200)-AA111-P111),0,IF(V110+U111+T111+(V110*Q111/1200)-AA111-P111&lt;0,V110,-(U111+T111-AA111+P111-AH111)))</f>
        <v>0</v>
      </c>
      <c r="AQ111" s="109">
        <f t="shared" si="53"/>
        <v>0</v>
      </c>
      <c r="AU111" s="109">
        <f t="shared" si="54"/>
        <v>26.867101583994952</v>
      </c>
      <c r="AV111" s="101">
        <f t="shared" si="48"/>
        <v>43584</v>
      </c>
      <c r="AW111" s="99">
        <f t="shared" si="49"/>
        <v>0</v>
      </c>
      <c r="AX111" s="1">
        <f t="shared" si="55"/>
        <v>0</v>
      </c>
      <c r="AY111" s="29">
        <f t="shared" si="56"/>
        <v>0</v>
      </c>
      <c r="AZ111" s="1">
        <f t="shared" si="57"/>
        <v>0</v>
      </c>
      <c r="CB111" s="20">
        <f t="shared" si="66"/>
        <v>0</v>
      </c>
      <c r="CC111" s="173">
        <f t="shared" si="58"/>
        <v>0</v>
      </c>
    </row>
    <row r="112" spans="2:81" x14ac:dyDescent="0.25">
      <c r="B112" s="41"/>
      <c r="C112" s="165"/>
      <c r="D112" s="166"/>
      <c r="E112" s="26"/>
      <c r="F112" s="26"/>
      <c r="G112" s="167"/>
      <c r="H112" s="81" t="str">
        <f>IF(ISERROR(VLOOKUP(#REF!,AB:AC,2,0)),"",VLOOKUP(#REF!,AB:AC,2,0))</f>
        <v/>
      </c>
      <c r="J112" s="9"/>
      <c r="K112" s="10"/>
      <c r="L112" s="14"/>
      <c r="M112" s="19"/>
      <c r="N112" s="19"/>
      <c r="O112" s="19"/>
      <c r="P112" s="19"/>
      <c r="Q112" s="1">
        <f t="shared" si="59"/>
        <v>0.60744618579017706</v>
      </c>
      <c r="R112" s="12">
        <f t="shared" ca="1" si="42"/>
        <v>2462</v>
      </c>
      <c r="S112" s="88">
        <f t="shared" si="50"/>
        <v>0</v>
      </c>
      <c r="T112" s="19">
        <f t="shared" si="51"/>
        <v>0</v>
      </c>
      <c r="U112" s="19">
        <f t="shared" si="47"/>
        <v>0</v>
      </c>
      <c r="V112" s="19">
        <f t="shared" si="64"/>
        <v>0</v>
      </c>
      <c r="W112" s="20">
        <f t="shared" ca="1" si="43"/>
        <v>0</v>
      </c>
      <c r="X112" s="19">
        <f t="shared" ca="1" si="44"/>
        <v>0</v>
      </c>
      <c r="Y112" s="19">
        <f t="shared" ca="1" si="45"/>
        <v>0</v>
      </c>
      <c r="Z112" s="20">
        <f t="shared" ca="1" si="46"/>
        <v>0</v>
      </c>
      <c r="AA112" s="1">
        <f t="shared" si="60"/>
        <v>5432.58</v>
      </c>
      <c r="AB112" s="87"/>
      <c r="AC112" s="88"/>
      <c r="AD112" s="101">
        <f t="shared" si="61"/>
        <v>43584</v>
      </c>
      <c r="AE112" s="103">
        <f t="shared" si="62"/>
        <v>0</v>
      </c>
      <c r="AG112" s="1">
        <f t="shared" si="52"/>
        <v>0</v>
      </c>
      <c r="AH112" s="1">
        <f t="shared" si="67"/>
        <v>0</v>
      </c>
      <c r="AI112" s="1">
        <f t="shared" si="63"/>
        <v>5432.58</v>
      </c>
      <c r="AJ112" s="20">
        <f t="shared" si="65"/>
        <v>0</v>
      </c>
      <c r="AK112" s="100">
        <f t="shared" si="68"/>
        <v>0</v>
      </c>
      <c r="AL112" s="100">
        <f t="shared" si="69"/>
        <v>0</v>
      </c>
      <c r="AN112" s="100">
        <f t="shared" si="70"/>
        <v>5209.1138863202286</v>
      </c>
      <c r="AO112" s="20">
        <f t="shared" si="71"/>
        <v>0</v>
      </c>
      <c r="AQ112" s="109">
        <f t="shared" si="53"/>
        <v>0</v>
      </c>
      <c r="AU112" s="109">
        <f t="shared" si="54"/>
        <v>26.864743456513764</v>
      </c>
      <c r="AV112" s="101">
        <f t="shared" si="48"/>
        <v>43614</v>
      </c>
      <c r="AW112" s="99">
        <f t="shared" si="49"/>
        <v>0</v>
      </c>
      <c r="AX112" s="1">
        <f t="shared" si="55"/>
        <v>0</v>
      </c>
      <c r="AY112" s="29">
        <f t="shared" si="56"/>
        <v>0</v>
      </c>
      <c r="AZ112" s="1">
        <f t="shared" si="57"/>
        <v>0</v>
      </c>
      <c r="CB112" s="20">
        <f t="shared" si="66"/>
        <v>0</v>
      </c>
      <c r="CC112" s="173">
        <f t="shared" si="58"/>
        <v>0</v>
      </c>
    </row>
    <row r="113" spans="2:81" x14ac:dyDescent="0.25">
      <c r="B113" s="41"/>
      <c r="C113" s="165"/>
      <c r="D113" s="166"/>
      <c r="E113" s="26"/>
      <c r="F113" s="26"/>
      <c r="G113" s="167"/>
      <c r="H113" s="81" t="str">
        <f>IF(ISERROR(VLOOKUP(#REF!,AB:AC,2,0)),"",VLOOKUP(#REF!,AB:AC,2,0))</f>
        <v/>
      </c>
      <c r="J113" s="7"/>
      <c r="K113" s="8"/>
      <c r="L113" s="15"/>
      <c r="M113" s="21"/>
      <c r="N113" s="21"/>
      <c r="O113" s="21"/>
      <c r="P113" s="21"/>
      <c r="Q113" s="1">
        <f t="shared" si="59"/>
        <v>0.60744618579017706</v>
      </c>
      <c r="R113" s="12">
        <f t="shared" ca="1" si="42"/>
        <v>2492</v>
      </c>
      <c r="S113" s="88">
        <f t="shared" si="50"/>
        <v>0</v>
      </c>
      <c r="T113" s="19">
        <f t="shared" si="51"/>
        <v>0</v>
      </c>
      <c r="U113" s="19">
        <f t="shared" si="47"/>
        <v>0</v>
      </c>
      <c r="V113" s="19">
        <f t="shared" si="64"/>
        <v>0</v>
      </c>
      <c r="W113" s="20">
        <f t="shared" ca="1" si="43"/>
        <v>0</v>
      </c>
      <c r="X113" s="19">
        <f t="shared" ca="1" si="44"/>
        <v>0</v>
      </c>
      <c r="Y113" s="19">
        <f t="shared" ca="1" si="45"/>
        <v>0</v>
      </c>
      <c r="Z113" s="20">
        <f t="shared" ca="1" si="46"/>
        <v>0</v>
      </c>
      <c r="AA113" s="1">
        <f t="shared" si="60"/>
        <v>5432.58</v>
      </c>
      <c r="AB113" s="89"/>
      <c r="AC113" s="90"/>
      <c r="AD113" s="101">
        <f t="shared" si="61"/>
        <v>43614</v>
      </c>
      <c r="AE113" s="103">
        <f t="shared" si="62"/>
        <v>0</v>
      </c>
      <c r="AG113" s="1">
        <f t="shared" si="52"/>
        <v>0</v>
      </c>
      <c r="AH113" s="1">
        <f t="shared" si="67"/>
        <v>0</v>
      </c>
      <c r="AI113" s="1">
        <f t="shared" si="63"/>
        <v>5432.58</v>
      </c>
      <c r="AJ113" s="20">
        <f t="shared" si="65"/>
        <v>0</v>
      </c>
      <c r="AK113" s="100">
        <f t="shared" si="68"/>
        <v>0</v>
      </c>
      <c r="AL113" s="100">
        <f t="shared" si="69"/>
        <v>0</v>
      </c>
      <c r="AN113" s="100">
        <f t="shared" si="70"/>
        <v>5206.4783401459599</v>
      </c>
      <c r="AO113" s="20">
        <f t="shared" si="71"/>
        <v>0</v>
      </c>
      <c r="AQ113" s="109">
        <f t="shared" si="53"/>
        <v>0</v>
      </c>
      <c r="AU113" s="109">
        <f t="shared" si="54"/>
        <v>26.862385536005615</v>
      </c>
      <c r="AV113" s="101">
        <f t="shared" si="48"/>
        <v>43644</v>
      </c>
      <c r="AW113" s="99">
        <f t="shared" si="49"/>
        <v>0</v>
      </c>
      <c r="AX113" s="1">
        <f t="shared" si="55"/>
        <v>0</v>
      </c>
      <c r="AY113" s="29">
        <f t="shared" si="56"/>
        <v>0</v>
      </c>
      <c r="AZ113" s="1">
        <f t="shared" si="57"/>
        <v>0</v>
      </c>
      <c r="CB113" s="20">
        <f t="shared" si="66"/>
        <v>0</v>
      </c>
      <c r="CC113" s="173">
        <f t="shared" si="58"/>
        <v>0</v>
      </c>
    </row>
    <row r="114" spans="2:81" x14ac:dyDescent="0.25">
      <c r="B114" s="41"/>
      <c r="C114" s="165"/>
      <c r="D114" s="166"/>
      <c r="E114" s="26"/>
      <c r="F114" s="26"/>
      <c r="G114" s="167"/>
      <c r="H114" s="81" t="str">
        <f>IF(ISERROR(VLOOKUP(#REF!,AB:AC,2,0)),"",VLOOKUP(#REF!,AB:AC,2,0))</f>
        <v/>
      </c>
      <c r="J114" s="9"/>
      <c r="K114" s="10"/>
      <c r="L114" s="14"/>
      <c r="M114" s="19"/>
      <c r="N114" s="19"/>
      <c r="O114" s="19"/>
      <c r="P114" s="19"/>
      <c r="Q114" s="1">
        <f t="shared" si="59"/>
        <v>0.60744618579017706</v>
      </c>
      <c r="R114" s="12">
        <f t="shared" ca="1" si="42"/>
        <v>2522</v>
      </c>
      <c r="S114" s="88">
        <f t="shared" si="50"/>
        <v>0</v>
      </c>
      <c r="T114" s="19">
        <f t="shared" si="51"/>
        <v>0</v>
      </c>
      <c r="U114" s="19">
        <f t="shared" si="47"/>
        <v>0</v>
      </c>
      <c r="V114" s="19">
        <f t="shared" si="64"/>
        <v>0</v>
      </c>
      <c r="W114" s="20">
        <f t="shared" ca="1" si="43"/>
        <v>0</v>
      </c>
      <c r="X114" s="19">
        <f t="shared" ca="1" si="44"/>
        <v>0</v>
      </c>
      <c r="Y114" s="19">
        <f t="shared" ca="1" si="45"/>
        <v>0</v>
      </c>
      <c r="Z114" s="20">
        <f t="shared" ca="1" si="46"/>
        <v>0</v>
      </c>
      <c r="AA114" s="1">
        <f t="shared" si="60"/>
        <v>5432.58</v>
      </c>
      <c r="AB114" s="87"/>
      <c r="AC114" s="88"/>
      <c r="AD114" s="101">
        <f t="shared" si="61"/>
        <v>43644</v>
      </c>
      <c r="AE114" s="103">
        <f t="shared" si="62"/>
        <v>0</v>
      </c>
      <c r="AG114" s="1">
        <f t="shared" si="52"/>
        <v>0</v>
      </c>
      <c r="AH114" s="1">
        <f t="shared" si="67"/>
        <v>0</v>
      </c>
      <c r="AI114" s="1">
        <f t="shared" si="63"/>
        <v>5432.58</v>
      </c>
      <c r="AJ114" s="20">
        <f t="shared" si="65"/>
        <v>0</v>
      </c>
      <c r="AK114" s="100">
        <f t="shared" si="68"/>
        <v>0</v>
      </c>
      <c r="AL114" s="100">
        <f t="shared" si="69"/>
        <v>0</v>
      </c>
      <c r="AN114" s="100">
        <f t="shared" si="70"/>
        <v>5203.844127423753</v>
      </c>
      <c r="AO114" s="20">
        <f t="shared" si="71"/>
        <v>0</v>
      </c>
      <c r="AQ114" s="109">
        <f t="shared" si="53"/>
        <v>0</v>
      </c>
      <c r="AU114" s="109">
        <f t="shared" si="54"/>
        <v>26.860027822452299</v>
      </c>
      <c r="AV114" s="101">
        <f t="shared" si="48"/>
        <v>43674</v>
      </c>
      <c r="AW114" s="99">
        <f t="shared" si="49"/>
        <v>0</v>
      </c>
      <c r="AX114" s="1">
        <f t="shared" si="55"/>
        <v>0</v>
      </c>
      <c r="AY114" s="29">
        <f t="shared" si="56"/>
        <v>0</v>
      </c>
      <c r="AZ114" s="1">
        <f t="shared" si="57"/>
        <v>0</v>
      </c>
      <c r="CB114" s="20">
        <f t="shared" si="66"/>
        <v>0</v>
      </c>
      <c r="CC114" s="173">
        <f t="shared" si="58"/>
        <v>0</v>
      </c>
    </row>
    <row r="115" spans="2:81" x14ac:dyDescent="0.25">
      <c r="B115" s="41"/>
      <c r="C115" s="165"/>
      <c r="D115" s="166"/>
      <c r="E115" s="26"/>
      <c r="F115" s="26"/>
      <c r="G115" s="167"/>
      <c r="H115" s="81" t="str">
        <f>IF(ISERROR(VLOOKUP(#REF!,AB:AC,2,0)),"",VLOOKUP(#REF!,AB:AC,2,0))</f>
        <v/>
      </c>
      <c r="J115" s="7"/>
      <c r="K115" s="8"/>
      <c r="L115" s="15"/>
      <c r="M115" s="21"/>
      <c r="N115" s="21"/>
      <c r="O115" s="21"/>
      <c r="P115" s="21"/>
      <c r="Q115" s="1">
        <f t="shared" si="59"/>
        <v>0.60744618579017706</v>
      </c>
      <c r="R115" s="12">
        <f t="shared" ca="1" si="42"/>
        <v>2552</v>
      </c>
      <c r="S115" s="88">
        <f t="shared" si="50"/>
        <v>0</v>
      </c>
      <c r="T115" s="19">
        <f t="shared" si="51"/>
        <v>0</v>
      </c>
      <c r="U115" s="19">
        <f t="shared" si="47"/>
        <v>0</v>
      </c>
      <c r="V115" s="19">
        <f t="shared" si="64"/>
        <v>0</v>
      </c>
      <c r="W115" s="20">
        <f t="shared" ca="1" si="43"/>
        <v>0</v>
      </c>
      <c r="X115" s="19">
        <f t="shared" ca="1" si="44"/>
        <v>0</v>
      </c>
      <c r="Y115" s="19">
        <f t="shared" ca="1" si="45"/>
        <v>0</v>
      </c>
      <c r="Z115" s="20">
        <f t="shared" ca="1" si="46"/>
        <v>0</v>
      </c>
      <c r="AA115" s="1">
        <f t="shared" si="60"/>
        <v>5432.58</v>
      </c>
      <c r="AB115" s="89"/>
      <c r="AC115" s="90"/>
      <c r="AD115" s="101">
        <f t="shared" si="61"/>
        <v>43674</v>
      </c>
      <c r="AE115" s="103">
        <f t="shared" si="62"/>
        <v>0</v>
      </c>
      <c r="AG115" s="1">
        <f t="shared" si="52"/>
        <v>0</v>
      </c>
      <c r="AH115" s="1">
        <f t="shared" si="67"/>
        <v>0</v>
      </c>
      <c r="AI115" s="1">
        <f t="shared" si="63"/>
        <v>5432.58</v>
      </c>
      <c r="AJ115" s="20">
        <f t="shared" si="65"/>
        <v>0</v>
      </c>
      <c r="AK115" s="100">
        <f t="shared" si="68"/>
        <v>0</v>
      </c>
      <c r="AL115" s="100">
        <f t="shared" si="69"/>
        <v>0</v>
      </c>
      <c r="AN115" s="100">
        <f t="shared" si="70"/>
        <v>5201.2112474789419</v>
      </c>
      <c r="AO115" s="20">
        <f t="shared" si="71"/>
        <v>0</v>
      </c>
      <c r="AQ115" s="109">
        <f t="shared" si="53"/>
        <v>0</v>
      </c>
      <c r="AU115" s="109">
        <f t="shared" si="54"/>
        <v>26.857670315835694</v>
      </c>
      <c r="AV115" s="101">
        <f t="shared" si="48"/>
        <v>43704</v>
      </c>
      <c r="AW115" s="99">
        <f t="shared" si="49"/>
        <v>0</v>
      </c>
      <c r="AX115" s="1">
        <f t="shared" si="55"/>
        <v>0</v>
      </c>
      <c r="AY115" s="29">
        <f t="shared" si="56"/>
        <v>0</v>
      </c>
      <c r="AZ115" s="1">
        <f t="shared" si="57"/>
        <v>0</v>
      </c>
      <c r="CB115" s="20">
        <f t="shared" si="66"/>
        <v>0</v>
      </c>
      <c r="CC115" s="173">
        <f t="shared" si="58"/>
        <v>0</v>
      </c>
    </row>
    <row r="116" spans="2:81" x14ac:dyDescent="0.25">
      <c r="B116" s="41"/>
      <c r="C116" s="165"/>
      <c r="D116" s="166"/>
      <c r="E116" s="26"/>
      <c r="F116" s="26"/>
      <c r="G116" s="167"/>
      <c r="H116" s="81" t="str">
        <f>IF(ISERROR(VLOOKUP(#REF!,AB:AC,2,0)),"",VLOOKUP(#REF!,AB:AC,2,0))</f>
        <v/>
      </c>
      <c r="J116" s="9"/>
      <c r="K116" s="10"/>
      <c r="L116" s="14"/>
      <c r="M116" s="19"/>
      <c r="N116" s="19"/>
      <c r="O116" s="19"/>
      <c r="P116" s="19"/>
      <c r="Q116" s="1">
        <f t="shared" si="59"/>
        <v>0.60744618579017706</v>
      </c>
      <c r="R116" s="12">
        <f t="shared" ca="1" si="42"/>
        <v>2582</v>
      </c>
      <c r="S116" s="88">
        <f t="shared" si="50"/>
        <v>0</v>
      </c>
      <c r="T116" s="19">
        <f t="shared" si="51"/>
        <v>0</v>
      </c>
      <c r="U116" s="19">
        <f t="shared" si="47"/>
        <v>0</v>
      </c>
      <c r="V116" s="19">
        <f t="shared" si="64"/>
        <v>0</v>
      </c>
      <c r="W116" s="20">
        <f t="shared" ca="1" si="43"/>
        <v>0</v>
      </c>
      <c r="X116" s="19">
        <f t="shared" ca="1" si="44"/>
        <v>0</v>
      </c>
      <c r="Y116" s="19">
        <f t="shared" ca="1" si="45"/>
        <v>0</v>
      </c>
      <c r="Z116" s="20">
        <f t="shared" ca="1" si="46"/>
        <v>0</v>
      </c>
      <c r="AA116" s="1">
        <f t="shared" si="60"/>
        <v>5432.58</v>
      </c>
      <c r="AB116" s="87"/>
      <c r="AC116" s="88"/>
      <c r="AD116" s="101">
        <f t="shared" si="61"/>
        <v>43704</v>
      </c>
      <c r="AE116" s="103">
        <f t="shared" si="62"/>
        <v>0</v>
      </c>
      <c r="AG116" s="1">
        <f t="shared" si="52"/>
        <v>0</v>
      </c>
      <c r="AH116" s="1">
        <f t="shared" si="67"/>
        <v>0</v>
      </c>
      <c r="AI116" s="1">
        <f t="shared" si="63"/>
        <v>5432.58</v>
      </c>
      <c r="AJ116" s="20">
        <f t="shared" si="65"/>
        <v>0</v>
      </c>
      <c r="AK116" s="100">
        <f t="shared" si="68"/>
        <v>0</v>
      </c>
      <c r="AL116" s="100">
        <f t="shared" si="69"/>
        <v>0</v>
      </c>
      <c r="AN116" s="100">
        <f t="shared" si="70"/>
        <v>5198.5796996372164</v>
      </c>
      <c r="AO116" s="20">
        <f t="shared" si="71"/>
        <v>0</v>
      </c>
      <c r="AQ116" s="109">
        <f t="shared" si="53"/>
        <v>0</v>
      </c>
      <c r="AU116" s="109">
        <f t="shared" si="54"/>
        <v>26.855313016137615</v>
      </c>
      <c r="AV116" s="101">
        <f t="shared" si="48"/>
        <v>43734</v>
      </c>
      <c r="AW116" s="99">
        <f t="shared" si="49"/>
        <v>0</v>
      </c>
      <c r="AX116" s="1">
        <f t="shared" si="55"/>
        <v>0</v>
      </c>
      <c r="AY116" s="29">
        <f t="shared" si="56"/>
        <v>0</v>
      </c>
      <c r="AZ116" s="1">
        <f t="shared" si="57"/>
        <v>0</v>
      </c>
      <c r="CB116" s="20">
        <f t="shared" si="66"/>
        <v>0</v>
      </c>
      <c r="CC116" s="173">
        <f t="shared" si="58"/>
        <v>0</v>
      </c>
    </row>
    <row r="117" spans="2:81" x14ac:dyDescent="0.25">
      <c r="B117" s="41"/>
      <c r="C117" s="165"/>
      <c r="D117" s="166"/>
      <c r="E117" s="26"/>
      <c r="F117" s="26"/>
      <c r="G117" s="167"/>
      <c r="H117" s="81" t="str">
        <f>IF(ISERROR(VLOOKUP(#REF!,AB:AC,2,0)),"",VLOOKUP(#REF!,AB:AC,2,0))</f>
        <v/>
      </c>
      <c r="J117" s="7"/>
      <c r="K117" s="8"/>
      <c r="L117" s="15"/>
      <c r="M117" s="21"/>
      <c r="N117" s="21"/>
      <c r="O117" s="21"/>
      <c r="P117" s="21"/>
      <c r="Q117" s="1">
        <f t="shared" si="59"/>
        <v>0.60744618579017706</v>
      </c>
      <c r="R117" s="12">
        <f t="shared" ca="1" si="42"/>
        <v>2612</v>
      </c>
      <c r="S117" s="88">
        <f t="shared" si="50"/>
        <v>0</v>
      </c>
      <c r="T117" s="19">
        <f t="shared" si="51"/>
        <v>0</v>
      </c>
      <c r="U117" s="19">
        <f t="shared" si="47"/>
        <v>0</v>
      </c>
      <c r="V117" s="19">
        <f t="shared" si="64"/>
        <v>0</v>
      </c>
      <c r="W117" s="20">
        <f t="shared" ca="1" si="43"/>
        <v>0</v>
      </c>
      <c r="X117" s="19">
        <f t="shared" ca="1" si="44"/>
        <v>0</v>
      </c>
      <c r="Y117" s="19">
        <f t="shared" ca="1" si="45"/>
        <v>0</v>
      </c>
      <c r="Z117" s="20">
        <f t="shared" ca="1" si="46"/>
        <v>0</v>
      </c>
      <c r="AA117" s="1">
        <f t="shared" si="60"/>
        <v>5432.58</v>
      </c>
      <c r="AB117" s="89"/>
      <c r="AC117" s="90"/>
      <c r="AD117" s="101">
        <f t="shared" si="61"/>
        <v>43734</v>
      </c>
      <c r="AE117" s="103">
        <f t="shared" si="62"/>
        <v>0</v>
      </c>
      <c r="AG117" s="1">
        <f t="shared" si="52"/>
        <v>0</v>
      </c>
      <c r="AH117" s="1">
        <f t="shared" si="67"/>
        <v>0</v>
      </c>
      <c r="AI117" s="1">
        <f t="shared" si="63"/>
        <v>5432.58</v>
      </c>
      <c r="AJ117" s="20">
        <f t="shared" si="65"/>
        <v>0</v>
      </c>
      <c r="AK117" s="100">
        <f t="shared" si="68"/>
        <v>0</v>
      </c>
      <c r="AL117" s="100">
        <f t="shared" si="69"/>
        <v>0</v>
      </c>
      <c r="AN117" s="100">
        <f t="shared" si="70"/>
        <v>5195.9494832245973</v>
      </c>
      <c r="AO117" s="20">
        <f t="shared" si="71"/>
        <v>0</v>
      </c>
      <c r="AQ117" s="109">
        <f t="shared" si="53"/>
        <v>0</v>
      </c>
      <c r="AU117" s="109">
        <f t="shared" si="54"/>
        <v>26.852955923339906</v>
      </c>
      <c r="AV117" s="101">
        <f t="shared" si="48"/>
        <v>43764</v>
      </c>
      <c r="AW117" s="99">
        <f t="shared" si="49"/>
        <v>0</v>
      </c>
      <c r="AX117" s="1">
        <f t="shared" si="55"/>
        <v>0</v>
      </c>
      <c r="AY117" s="29">
        <f t="shared" si="56"/>
        <v>0</v>
      </c>
      <c r="AZ117" s="1">
        <f t="shared" si="57"/>
        <v>0</v>
      </c>
      <c r="CB117" s="20">
        <f t="shared" si="66"/>
        <v>0</v>
      </c>
      <c r="CC117" s="173">
        <f t="shared" si="58"/>
        <v>0</v>
      </c>
    </row>
    <row r="118" spans="2:81" x14ac:dyDescent="0.25">
      <c r="B118" s="41"/>
      <c r="C118" s="165"/>
      <c r="D118" s="166"/>
      <c r="E118" s="26"/>
      <c r="F118" s="26"/>
      <c r="G118" s="167"/>
      <c r="H118" s="81" t="str">
        <f>IF(ISERROR(VLOOKUP(#REF!,AB:AC,2,0)),"",VLOOKUP(#REF!,AB:AC,2,0))</f>
        <v/>
      </c>
      <c r="J118" s="9"/>
      <c r="K118" s="10"/>
      <c r="L118" s="14"/>
      <c r="M118" s="19"/>
      <c r="N118" s="19"/>
      <c r="O118" s="19"/>
      <c r="P118" s="19"/>
      <c r="Q118" s="1">
        <f t="shared" si="59"/>
        <v>0.60744618579017706</v>
      </c>
      <c r="R118" s="12">
        <f t="shared" ca="1" si="42"/>
        <v>2642</v>
      </c>
      <c r="S118" s="88">
        <f t="shared" si="50"/>
        <v>0</v>
      </c>
      <c r="T118" s="19">
        <f t="shared" si="51"/>
        <v>0</v>
      </c>
      <c r="U118" s="19">
        <f t="shared" si="47"/>
        <v>0</v>
      </c>
      <c r="V118" s="19">
        <f t="shared" si="64"/>
        <v>0</v>
      </c>
      <c r="W118" s="20">
        <f t="shared" ca="1" si="43"/>
        <v>0</v>
      </c>
      <c r="X118" s="19">
        <f t="shared" ca="1" si="44"/>
        <v>0</v>
      </c>
      <c r="Y118" s="19">
        <f t="shared" ca="1" si="45"/>
        <v>0</v>
      </c>
      <c r="Z118" s="20">
        <f t="shared" ca="1" si="46"/>
        <v>0</v>
      </c>
      <c r="AA118" s="1">
        <f t="shared" si="60"/>
        <v>5432.58</v>
      </c>
      <c r="AB118" s="87"/>
      <c r="AC118" s="88"/>
      <c r="AD118" s="101">
        <f t="shared" si="61"/>
        <v>43764</v>
      </c>
      <c r="AE118" s="103">
        <f t="shared" si="62"/>
        <v>0</v>
      </c>
      <c r="AG118" s="1">
        <f t="shared" si="52"/>
        <v>0</v>
      </c>
      <c r="AH118" s="1">
        <f t="shared" si="67"/>
        <v>0</v>
      </c>
      <c r="AI118" s="1">
        <f t="shared" si="63"/>
        <v>5432.58</v>
      </c>
      <c r="AJ118" s="20">
        <f t="shared" si="65"/>
        <v>0</v>
      </c>
      <c r="AK118" s="100">
        <f t="shared" si="68"/>
        <v>0</v>
      </c>
      <c r="AL118" s="100">
        <f t="shared" si="69"/>
        <v>0</v>
      </c>
      <c r="AN118" s="100">
        <f t="shared" si="70"/>
        <v>5193.3205975674473</v>
      </c>
      <c r="AO118" s="20">
        <f t="shared" si="71"/>
        <v>0</v>
      </c>
      <c r="AQ118" s="109">
        <f t="shared" si="53"/>
        <v>0</v>
      </c>
      <c r="AU118" s="109">
        <f t="shared" si="54"/>
        <v>26.850599037424399</v>
      </c>
      <c r="AV118" s="101">
        <f t="shared" si="48"/>
        <v>43794</v>
      </c>
      <c r="AW118" s="99">
        <f t="shared" si="49"/>
        <v>0</v>
      </c>
      <c r="AX118" s="1">
        <f t="shared" si="55"/>
        <v>0</v>
      </c>
      <c r="AY118" s="29">
        <f t="shared" si="56"/>
        <v>0</v>
      </c>
      <c r="AZ118" s="1">
        <f t="shared" si="57"/>
        <v>0</v>
      </c>
      <c r="CB118" s="20">
        <f t="shared" si="66"/>
        <v>0</v>
      </c>
      <c r="CC118" s="173">
        <f t="shared" si="58"/>
        <v>0</v>
      </c>
    </row>
    <row r="119" spans="2:81" x14ac:dyDescent="0.25">
      <c r="B119" s="41"/>
      <c r="C119" s="165"/>
      <c r="D119" s="166"/>
      <c r="E119" s="26"/>
      <c r="F119" s="26"/>
      <c r="G119" s="167"/>
      <c r="H119" s="81" t="str">
        <f>IF(ISERROR(VLOOKUP(#REF!,AB:AC,2,0)),"",VLOOKUP(#REF!,AB:AC,2,0))</f>
        <v/>
      </c>
      <c r="J119" s="7"/>
      <c r="K119" s="8"/>
      <c r="L119" s="15"/>
      <c r="M119" s="21"/>
      <c r="N119" s="21"/>
      <c r="O119" s="21"/>
      <c r="P119" s="21"/>
      <c r="Q119" s="1">
        <f t="shared" si="59"/>
        <v>0.60744618579017706</v>
      </c>
      <c r="R119" s="12">
        <f t="shared" ca="1" si="42"/>
        <v>2672</v>
      </c>
      <c r="S119" s="88">
        <f t="shared" si="50"/>
        <v>0</v>
      </c>
      <c r="T119" s="19">
        <f t="shared" si="51"/>
        <v>0</v>
      </c>
      <c r="U119" s="19">
        <f t="shared" si="47"/>
        <v>0</v>
      </c>
      <c r="V119" s="19">
        <f t="shared" si="64"/>
        <v>0</v>
      </c>
      <c r="W119" s="20">
        <f t="shared" ca="1" si="43"/>
        <v>0</v>
      </c>
      <c r="X119" s="19">
        <f t="shared" ca="1" si="44"/>
        <v>0</v>
      </c>
      <c r="Y119" s="19">
        <f t="shared" ca="1" si="45"/>
        <v>0</v>
      </c>
      <c r="Z119" s="20">
        <f t="shared" ca="1" si="46"/>
        <v>0</v>
      </c>
      <c r="AA119" s="1">
        <f t="shared" si="60"/>
        <v>5432.58</v>
      </c>
      <c r="AB119" s="89"/>
      <c r="AC119" s="90"/>
      <c r="AD119" s="101">
        <f t="shared" si="61"/>
        <v>43794</v>
      </c>
      <c r="AE119" s="103">
        <f t="shared" si="62"/>
        <v>0</v>
      </c>
      <c r="AG119" s="1">
        <f t="shared" si="52"/>
        <v>0</v>
      </c>
      <c r="AH119" s="1">
        <f t="shared" si="67"/>
        <v>0</v>
      </c>
      <c r="AI119" s="1">
        <f t="shared" si="63"/>
        <v>5432.58</v>
      </c>
      <c r="AJ119" s="20">
        <f t="shared" si="65"/>
        <v>0</v>
      </c>
      <c r="AK119" s="100">
        <f t="shared" si="68"/>
        <v>0</v>
      </c>
      <c r="AL119" s="100">
        <f t="shared" si="69"/>
        <v>0</v>
      </c>
      <c r="AN119" s="100">
        <f t="shared" si="70"/>
        <v>5190.6930419924747</v>
      </c>
      <c r="AO119" s="20">
        <f t="shared" si="71"/>
        <v>0</v>
      </c>
      <c r="AQ119" s="109">
        <f t="shared" si="53"/>
        <v>0</v>
      </c>
      <c r="AU119" s="109">
        <f t="shared" si="54"/>
        <v>26.848242358372946</v>
      </c>
      <c r="AV119" s="101">
        <f t="shared" si="48"/>
        <v>43824</v>
      </c>
      <c r="AW119" s="99">
        <f t="shared" si="49"/>
        <v>0</v>
      </c>
      <c r="AX119" s="1">
        <f t="shared" si="55"/>
        <v>0</v>
      </c>
      <c r="AY119" s="29">
        <f t="shared" si="56"/>
        <v>0</v>
      </c>
      <c r="AZ119" s="1">
        <f t="shared" si="57"/>
        <v>0</v>
      </c>
      <c r="CB119" s="20">
        <f t="shared" si="66"/>
        <v>0</v>
      </c>
      <c r="CC119" s="173">
        <f t="shared" si="58"/>
        <v>0</v>
      </c>
    </row>
    <row r="120" spans="2:81" x14ac:dyDescent="0.25">
      <c r="B120" s="41"/>
      <c r="C120" s="165"/>
      <c r="D120" s="166"/>
      <c r="E120" s="26"/>
      <c r="F120" s="26"/>
      <c r="G120" s="167"/>
      <c r="H120" s="81" t="str">
        <f>IF(ISERROR(VLOOKUP(#REF!,AB:AC,2,0)),"",VLOOKUP(#REF!,AB:AC,2,0))</f>
        <v/>
      </c>
      <c r="J120" s="9"/>
      <c r="K120" s="10"/>
      <c r="L120" s="14"/>
      <c r="M120" s="19"/>
      <c r="N120" s="19"/>
      <c r="O120" s="19"/>
      <c r="P120" s="19"/>
      <c r="Q120" s="1">
        <f t="shared" si="59"/>
        <v>0.60744618579017706</v>
      </c>
      <c r="R120" s="12">
        <f t="shared" ca="1" si="42"/>
        <v>2702</v>
      </c>
      <c r="S120" s="88">
        <f t="shared" si="50"/>
        <v>0</v>
      </c>
      <c r="T120" s="19">
        <f t="shared" si="51"/>
        <v>0</v>
      </c>
      <c r="U120" s="19">
        <f t="shared" si="47"/>
        <v>0</v>
      </c>
      <c r="V120" s="19">
        <f t="shared" si="64"/>
        <v>0</v>
      </c>
      <c r="W120" s="20">
        <f t="shared" ca="1" si="43"/>
        <v>0</v>
      </c>
      <c r="X120" s="19">
        <f t="shared" ca="1" si="44"/>
        <v>0</v>
      </c>
      <c r="Y120" s="19">
        <f t="shared" ca="1" si="45"/>
        <v>0</v>
      </c>
      <c r="Z120" s="20">
        <f t="shared" ca="1" si="46"/>
        <v>0</v>
      </c>
      <c r="AA120" s="1">
        <f t="shared" si="60"/>
        <v>5432.58</v>
      </c>
      <c r="AB120" s="87"/>
      <c r="AC120" s="88"/>
      <c r="AD120" s="101">
        <f t="shared" si="61"/>
        <v>43824</v>
      </c>
      <c r="AE120" s="103">
        <f t="shared" si="62"/>
        <v>0</v>
      </c>
      <c r="AG120" s="1">
        <f t="shared" si="52"/>
        <v>0</v>
      </c>
      <c r="AH120" s="1">
        <f t="shared" si="67"/>
        <v>0</v>
      </c>
      <c r="AI120" s="1">
        <f t="shared" si="63"/>
        <v>5432.58</v>
      </c>
      <c r="AJ120" s="20">
        <f t="shared" si="65"/>
        <v>0</v>
      </c>
      <c r="AK120" s="100">
        <f t="shared" si="68"/>
        <v>0</v>
      </c>
      <c r="AL120" s="100">
        <f t="shared" si="69"/>
        <v>0</v>
      </c>
      <c r="AN120" s="100">
        <f t="shared" si="70"/>
        <v>5188.0668158267263</v>
      </c>
      <c r="AO120" s="20">
        <f t="shared" si="71"/>
        <v>0</v>
      </c>
      <c r="AQ120" s="109">
        <f t="shared" si="53"/>
        <v>0</v>
      </c>
      <c r="AU120" s="109">
        <f t="shared" si="54"/>
        <v>26.845885886167384</v>
      </c>
      <c r="AV120" s="101">
        <f t="shared" si="48"/>
        <v>43854</v>
      </c>
      <c r="AW120" s="99">
        <f t="shared" si="49"/>
        <v>0</v>
      </c>
      <c r="AX120" s="1">
        <f t="shared" si="55"/>
        <v>0</v>
      </c>
      <c r="AY120" s="29">
        <f t="shared" si="56"/>
        <v>0</v>
      </c>
      <c r="AZ120" s="1">
        <f t="shared" si="57"/>
        <v>0</v>
      </c>
      <c r="CB120" s="20">
        <f t="shared" si="66"/>
        <v>0</v>
      </c>
      <c r="CC120" s="173">
        <f t="shared" si="58"/>
        <v>0</v>
      </c>
    </row>
    <row r="121" spans="2:81" x14ac:dyDescent="0.25">
      <c r="B121" s="41"/>
      <c r="C121" s="165"/>
      <c r="D121" s="166"/>
      <c r="E121" s="26"/>
      <c r="F121" s="26"/>
      <c r="G121" s="167"/>
      <c r="H121" s="81" t="str">
        <f>IF(ISERROR(VLOOKUP(#REF!,AB:AC,2,0)),"",VLOOKUP(#REF!,AB:AC,2,0))</f>
        <v/>
      </c>
      <c r="J121" s="7"/>
      <c r="K121" s="8"/>
      <c r="L121" s="15"/>
      <c r="M121" s="21"/>
      <c r="N121" s="21"/>
      <c r="O121" s="21"/>
      <c r="P121" s="21"/>
      <c r="Q121" s="1">
        <f t="shared" si="59"/>
        <v>0.60744618579017706</v>
      </c>
      <c r="R121" s="12">
        <f t="shared" ca="1" si="42"/>
        <v>2732</v>
      </c>
      <c r="S121" s="88">
        <f t="shared" si="50"/>
        <v>0</v>
      </c>
      <c r="T121" s="19">
        <f t="shared" si="51"/>
        <v>0</v>
      </c>
      <c r="U121" s="19">
        <f t="shared" si="47"/>
        <v>0</v>
      </c>
      <c r="V121" s="19">
        <f t="shared" si="64"/>
        <v>0</v>
      </c>
      <c r="W121" s="20">
        <f t="shared" ca="1" si="43"/>
        <v>0</v>
      </c>
      <c r="X121" s="19">
        <f t="shared" ca="1" si="44"/>
        <v>0</v>
      </c>
      <c r="Y121" s="19">
        <f t="shared" ca="1" si="45"/>
        <v>0</v>
      </c>
      <c r="Z121" s="20">
        <f t="shared" ca="1" si="46"/>
        <v>0</v>
      </c>
      <c r="AA121" s="1">
        <f t="shared" si="60"/>
        <v>5432.58</v>
      </c>
      <c r="AB121" s="89"/>
      <c r="AC121" s="90"/>
      <c r="AD121" s="101">
        <f t="shared" si="61"/>
        <v>43854</v>
      </c>
      <c r="AE121" s="103">
        <f t="shared" si="62"/>
        <v>0</v>
      </c>
      <c r="AG121" s="1">
        <f t="shared" si="52"/>
        <v>0</v>
      </c>
      <c r="AH121" s="1">
        <f t="shared" si="67"/>
        <v>0</v>
      </c>
      <c r="AI121" s="1">
        <f t="shared" si="63"/>
        <v>5432.58</v>
      </c>
      <c r="AJ121" s="20">
        <f t="shared" si="65"/>
        <v>0</v>
      </c>
      <c r="AK121" s="100">
        <f t="shared" si="68"/>
        <v>0</v>
      </c>
      <c r="AL121" s="100">
        <f t="shared" si="69"/>
        <v>0</v>
      </c>
      <c r="AN121" s="100">
        <f t="shared" si="70"/>
        <v>5185.4419183975861</v>
      </c>
      <c r="AO121" s="20">
        <f t="shared" si="71"/>
        <v>0</v>
      </c>
      <c r="AQ121" s="109">
        <f t="shared" si="53"/>
        <v>0</v>
      </c>
      <c r="AU121" s="109">
        <f t="shared" si="54"/>
        <v>26.843529620789568</v>
      </c>
      <c r="AV121" s="101">
        <f t="shared" si="48"/>
        <v>43884</v>
      </c>
      <c r="AW121" s="99">
        <f t="shared" si="49"/>
        <v>0</v>
      </c>
      <c r="AX121" s="1">
        <f t="shared" si="55"/>
        <v>0</v>
      </c>
      <c r="AY121" s="29">
        <f t="shared" si="56"/>
        <v>0</v>
      </c>
      <c r="AZ121" s="1">
        <f t="shared" si="57"/>
        <v>0</v>
      </c>
      <c r="CB121" s="20">
        <f t="shared" si="66"/>
        <v>0</v>
      </c>
      <c r="CC121" s="173">
        <f t="shared" si="58"/>
        <v>0</v>
      </c>
    </row>
    <row r="122" spans="2:81" x14ac:dyDescent="0.25">
      <c r="B122" s="41"/>
      <c r="C122" s="165"/>
      <c r="D122" s="166"/>
      <c r="E122" s="26"/>
      <c r="F122" s="26"/>
      <c r="G122" s="167"/>
      <c r="H122" s="81" t="str">
        <f>IF(ISERROR(VLOOKUP(#REF!,AB:AC,2,0)),"",VLOOKUP(#REF!,AB:AC,2,0))</f>
        <v/>
      </c>
      <c r="J122" s="9"/>
      <c r="K122" s="10"/>
      <c r="L122" s="14"/>
      <c r="M122" s="19"/>
      <c r="N122" s="19"/>
      <c r="O122" s="19"/>
      <c r="P122" s="19"/>
      <c r="Q122" s="1">
        <f t="shared" si="59"/>
        <v>0.60744618579017706</v>
      </c>
      <c r="R122" s="12">
        <f t="shared" ca="1" si="42"/>
        <v>2762</v>
      </c>
      <c r="S122" s="88">
        <f t="shared" si="50"/>
        <v>0</v>
      </c>
      <c r="T122" s="19">
        <f t="shared" si="51"/>
        <v>0</v>
      </c>
      <c r="U122" s="19">
        <f t="shared" si="47"/>
        <v>0</v>
      </c>
      <c r="V122" s="19">
        <f t="shared" si="64"/>
        <v>0</v>
      </c>
      <c r="W122" s="20">
        <f t="shared" ca="1" si="43"/>
        <v>0</v>
      </c>
      <c r="X122" s="19">
        <f t="shared" ca="1" si="44"/>
        <v>0</v>
      </c>
      <c r="Y122" s="19">
        <f t="shared" ca="1" si="45"/>
        <v>0</v>
      </c>
      <c r="Z122" s="20">
        <f t="shared" ca="1" si="46"/>
        <v>0</v>
      </c>
      <c r="AA122" s="1">
        <f t="shared" si="60"/>
        <v>5432.58</v>
      </c>
      <c r="AB122" s="87"/>
      <c r="AC122" s="88"/>
      <c r="AD122" s="101">
        <f t="shared" si="61"/>
        <v>43884</v>
      </c>
      <c r="AE122" s="103">
        <f t="shared" si="62"/>
        <v>0</v>
      </c>
      <c r="AG122" s="1">
        <f t="shared" si="52"/>
        <v>0</v>
      </c>
      <c r="AH122" s="1">
        <f t="shared" si="67"/>
        <v>0</v>
      </c>
      <c r="AI122" s="1">
        <f t="shared" si="63"/>
        <v>5432.58</v>
      </c>
      <c r="AJ122" s="20">
        <f t="shared" si="65"/>
        <v>0</v>
      </c>
      <c r="AK122" s="100">
        <f t="shared" si="68"/>
        <v>0</v>
      </c>
      <c r="AL122" s="100">
        <f t="shared" si="69"/>
        <v>0</v>
      </c>
      <c r="AN122" s="100">
        <f t="shared" si="70"/>
        <v>5182.8183490327829</v>
      </c>
      <c r="AO122" s="20">
        <f t="shared" si="71"/>
        <v>0</v>
      </c>
      <c r="AQ122" s="109">
        <f t="shared" si="53"/>
        <v>0</v>
      </c>
      <c r="AU122" s="109">
        <f t="shared" si="54"/>
        <v>26.841173562221329</v>
      </c>
      <c r="AV122" s="101">
        <f t="shared" si="48"/>
        <v>43914</v>
      </c>
      <c r="AW122" s="99">
        <f t="shared" si="49"/>
        <v>0</v>
      </c>
      <c r="AX122" s="1">
        <f t="shared" si="55"/>
        <v>0</v>
      </c>
      <c r="AY122" s="29">
        <f t="shared" si="56"/>
        <v>0</v>
      </c>
      <c r="AZ122" s="1">
        <f t="shared" si="57"/>
        <v>0</v>
      </c>
      <c r="CB122" s="20">
        <f t="shared" si="66"/>
        <v>0</v>
      </c>
      <c r="CC122" s="173">
        <f t="shared" si="58"/>
        <v>0</v>
      </c>
    </row>
    <row r="123" spans="2:81" x14ac:dyDescent="0.25">
      <c r="B123" s="41"/>
      <c r="C123" s="165"/>
      <c r="D123" s="166"/>
      <c r="E123" s="26"/>
      <c r="F123" s="26"/>
      <c r="G123" s="167"/>
      <c r="H123" s="81" t="str">
        <f>IF(ISERROR(VLOOKUP(#REF!,AB:AC,2,0)),"",VLOOKUP(#REF!,AB:AC,2,0))</f>
        <v/>
      </c>
      <c r="J123" s="7"/>
      <c r="K123" s="8"/>
      <c r="L123" s="15"/>
      <c r="M123" s="21"/>
      <c r="N123" s="21"/>
      <c r="O123" s="21"/>
      <c r="P123" s="21"/>
      <c r="Q123" s="1">
        <f t="shared" si="59"/>
        <v>0.60744618579017706</v>
      </c>
      <c r="R123" s="12">
        <f t="shared" ca="1" si="42"/>
        <v>2792</v>
      </c>
      <c r="S123" s="88">
        <f t="shared" si="50"/>
        <v>0</v>
      </c>
      <c r="T123" s="19">
        <f t="shared" si="51"/>
        <v>0</v>
      </c>
      <c r="U123" s="19">
        <f t="shared" si="47"/>
        <v>0</v>
      </c>
      <c r="V123" s="19">
        <f t="shared" si="64"/>
        <v>0</v>
      </c>
      <c r="W123" s="20">
        <f t="shared" ca="1" si="43"/>
        <v>0</v>
      </c>
      <c r="X123" s="19">
        <f t="shared" ca="1" si="44"/>
        <v>0</v>
      </c>
      <c r="Y123" s="19">
        <f t="shared" ca="1" si="45"/>
        <v>0</v>
      </c>
      <c r="Z123" s="20">
        <f t="shared" ca="1" si="46"/>
        <v>0</v>
      </c>
      <c r="AA123" s="1">
        <f t="shared" si="60"/>
        <v>5432.58</v>
      </c>
      <c r="AB123" s="89"/>
      <c r="AC123" s="90"/>
      <c r="AD123" s="101">
        <f t="shared" si="61"/>
        <v>43914</v>
      </c>
      <c r="AE123" s="103">
        <f t="shared" si="62"/>
        <v>0</v>
      </c>
      <c r="AG123" s="1">
        <f t="shared" si="52"/>
        <v>0</v>
      </c>
      <c r="AH123" s="1">
        <f t="shared" si="67"/>
        <v>0</v>
      </c>
      <c r="AI123" s="1">
        <f t="shared" si="63"/>
        <v>5432.58</v>
      </c>
      <c r="AJ123" s="20">
        <f t="shared" si="65"/>
        <v>0</v>
      </c>
      <c r="AK123" s="100">
        <f t="shared" si="68"/>
        <v>0</v>
      </c>
      <c r="AL123" s="100">
        <f t="shared" si="69"/>
        <v>0</v>
      </c>
      <c r="AN123" s="100">
        <f t="shared" si="70"/>
        <v>5180.196107060382</v>
      </c>
      <c r="AO123" s="20">
        <f t="shared" si="71"/>
        <v>0</v>
      </c>
      <c r="AQ123" s="109">
        <f t="shared" si="53"/>
        <v>0</v>
      </c>
      <c r="AU123" s="109">
        <f t="shared" si="54"/>
        <v>26.838817710444523</v>
      </c>
      <c r="AV123" s="101">
        <f t="shared" si="48"/>
        <v>43944</v>
      </c>
      <c r="AW123" s="99">
        <f t="shared" si="49"/>
        <v>0</v>
      </c>
      <c r="AX123" s="1">
        <f t="shared" si="55"/>
        <v>0</v>
      </c>
      <c r="AY123" s="29">
        <f t="shared" si="56"/>
        <v>0</v>
      </c>
      <c r="AZ123" s="1">
        <f t="shared" si="57"/>
        <v>0</v>
      </c>
      <c r="CB123" s="20">
        <f t="shared" si="66"/>
        <v>0</v>
      </c>
      <c r="CC123" s="173">
        <f t="shared" si="58"/>
        <v>0</v>
      </c>
    </row>
    <row r="124" spans="2:81" x14ac:dyDescent="0.25">
      <c r="B124" s="41"/>
      <c r="C124" s="165"/>
      <c r="D124" s="166"/>
      <c r="E124" s="26"/>
      <c r="F124" s="26"/>
      <c r="G124" s="167"/>
      <c r="H124" s="81" t="str">
        <f>IF(ISERROR(VLOOKUP(#REF!,AB:AC,2,0)),"",VLOOKUP(#REF!,AB:AC,2,0))</f>
        <v/>
      </c>
      <c r="J124" s="9"/>
      <c r="K124" s="10"/>
      <c r="L124" s="14"/>
      <c r="M124" s="19"/>
      <c r="N124" s="19"/>
      <c r="O124" s="19"/>
      <c r="P124" s="19"/>
      <c r="Q124" s="1">
        <f t="shared" si="59"/>
        <v>0.60744618579017706</v>
      </c>
      <c r="R124" s="12">
        <f t="shared" ca="1" si="42"/>
        <v>2822</v>
      </c>
      <c r="S124" s="88">
        <f t="shared" si="50"/>
        <v>0</v>
      </c>
      <c r="T124" s="19">
        <f t="shared" si="51"/>
        <v>0</v>
      </c>
      <c r="U124" s="19">
        <f t="shared" si="47"/>
        <v>0</v>
      </c>
      <c r="V124" s="19">
        <f t="shared" si="64"/>
        <v>0</v>
      </c>
      <c r="W124" s="20">
        <f t="shared" ca="1" si="43"/>
        <v>0</v>
      </c>
      <c r="X124" s="19">
        <f t="shared" ca="1" si="44"/>
        <v>0</v>
      </c>
      <c r="Y124" s="19">
        <f t="shared" ca="1" si="45"/>
        <v>0</v>
      </c>
      <c r="Z124" s="20">
        <f t="shared" ca="1" si="46"/>
        <v>0</v>
      </c>
      <c r="AA124" s="1">
        <f t="shared" si="60"/>
        <v>5432.58</v>
      </c>
      <c r="AB124" s="87"/>
      <c r="AC124" s="88"/>
      <c r="AD124" s="101">
        <f t="shared" si="61"/>
        <v>43944</v>
      </c>
      <c r="AE124" s="103">
        <f t="shared" si="62"/>
        <v>0</v>
      </c>
      <c r="AG124" s="1">
        <f t="shared" si="52"/>
        <v>0</v>
      </c>
      <c r="AH124" s="1">
        <f t="shared" si="67"/>
        <v>0</v>
      </c>
      <c r="AI124" s="1">
        <f t="shared" si="63"/>
        <v>5432.58</v>
      </c>
      <c r="AJ124" s="20">
        <f t="shared" si="65"/>
        <v>0</v>
      </c>
      <c r="AK124" s="100">
        <f t="shared" si="68"/>
        <v>0</v>
      </c>
      <c r="AL124" s="100">
        <f t="shared" si="69"/>
        <v>0</v>
      </c>
      <c r="AN124" s="100">
        <f t="shared" si="70"/>
        <v>5177.5751918087944</v>
      </c>
      <c r="AO124" s="20">
        <f t="shared" si="71"/>
        <v>0</v>
      </c>
      <c r="AQ124" s="109">
        <f t="shared" si="53"/>
        <v>0</v>
      </c>
      <c r="AU124" s="109">
        <f t="shared" si="54"/>
        <v>26.836462065441012</v>
      </c>
      <c r="AV124" s="101">
        <f t="shared" si="48"/>
        <v>43974</v>
      </c>
      <c r="AW124" s="99">
        <f t="shared" si="49"/>
        <v>0</v>
      </c>
      <c r="AX124" s="1">
        <f t="shared" si="55"/>
        <v>0</v>
      </c>
      <c r="AY124" s="29">
        <f t="shared" si="56"/>
        <v>0</v>
      </c>
      <c r="AZ124" s="1">
        <f t="shared" si="57"/>
        <v>0</v>
      </c>
      <c r="CB124" s="20">
        <f t="shared" si="66"/>
        <v>0</v>
      </c>
      <c r="CC124" s="173">
        <f t="shared" si="58"/>
        <v>0</v>
      </c>
    </row>
    <row r="125" spans="2:81" x14ac:dyDescent="0.25">
      <c r="B125" s="41"/>
      <c r="C125" s="165"/>
      <c r="D125" s="166"/>
      <c r="E125" s="26"/>
      <c r="F125" s="26"/>
      <c r="G125" s="167"/>
      <c r="H125" s="81" t="str">
        <f>IF(ISERROR(VLOOKUP(#REF!,AB:AC,2,0)),"",VLOOKUP(#REF!,AB:AC,2,0))</f>
        <v/>
      </c>
      <c r="J125" s="7"/>
      <c r="K125" s="8"/>
      <c r="L125" s="15"/>
      <c r="M125" s="21"/>
      <c r="N125" s="21"/>
      <c r="O125" s="21"/>
      <c r="P125" s="21"/>
      <c r="Q125" s="1">
        <f t="shared" si="59"/>
        <v>0.60744618579017706</v>
      </c>
      <c r="R125" s="12">
        <f t="shared" ca="1" si="42"/>
        <v>2852</v>
      </c>
      <c r="S125" s="88">
        <f t="shared" si="50"/>
        <v>0</v>
      </c>
      <c r="T125" s="19">
        <f t="shared" si="51"/>
        <v>0</v>
      </c>
      <c r="U125" s="19">
        <f t="shared" si="47"/>
        <v>0</v>
      </c>
      <c r="V125" s="19">
        <f t="shared" si="64"/>
        <v>0</v>
      </c>
      <c r="W125" s="20">
        <f t="shared" ca="1" si="43"/>
        <v>0</v>
      </c>
      <c r="X125" s="19">
        <f t="shared" ca="1" si="44"/>
        <v>0</v>
      </c>
      <c r="Y125" s="19">
        <f t="shared" ca="1" si="45"/>
        <v>0</v>
      </c>
      <c r="Z125" s="20">
        <f t="shared" ca="1" si="46"/>
        <v>0</v>
      </c>
      <c r="AA125" s="1">
        <f t="shared" si="60"/>
        <v>5432.58</v>
      </c>
      <c r="AB125" s="89"/>
      <c r="AC125" s="90"/>
      <c r="AD125" s="101">
        <f t="shared" si="61"/>
        <v>43974</v>
      </c>
      <c r="AE125" s="103">
        <f t="shared" si="62"/>
        <v>0</v>
      </c>
      <c r="AG125" s="1">
        <f t="shared" si="52"/>
        <v>0</v>
      </c>
      <c r="AH125" s="1">
        <f t="shared" si="67"/>
        <v>0</v>
      </c>
      <c r="AI125" s="1">
        <f t="shared" si="63"/>
        <v>5432.58</v>
      </c>
      <c r="AJ125" s="20">
        <f t="shared" si="65"/>
        <v>0</v>
      </c>
      <c r="AK125" s="100">
        <f t="shared" si="68"/>
        <v>0</v>
      </c>
      <c r="AL125" s="100">
        <f t="shared" si="69"/>
        <v>0</v>
      </c>
      <c r="AN125" s="100">
        <f t="shared" si="70"/>
        <v>5174.955602606763</v>
      </c>
      <c r="AO125" s="20">
        <f t="shared" si="71"/>
        <v>0</v>
      </c>
      <c r="AQ125" s="109">
        <f t="shared" si="53"/>
        <v>0</v>
      </c>
      <c r="AU125" s="109">
        <f t="shared" si="54"/>
        <v>26.834106627192625</v>
      </c>
      <c r="AV125" s="101">
        <f t="shared" si="48"/>
        <v>44004</v>
      </c>
      <c r="AW125" s="99">
        <f t="shared" si="49"/>
        <v>0</v>
      </c>
      <c r="AX125" s="1">
        <f t="shared" si="55"/>
        <v>0</v>
      </c>
      <c r="AY125" s="29">
        <f t="shared" si="56"/>
        <v>0</v>
      </c>
      <c r="AZ125" s="1">
        <f t="shared" si="57"/>
        <v>0</v>
      </c>
      <c r="CB125" s="20">
        <f t="shared" si="66"/>
        <v>0</v>
      </c>
      <c r="CC125" s="173">
        <f t="shared" si="58"/>
        <v>0</v>
      </c>
    </row>
    <row r="126" spans="2:81" x14ac:dyDescent="0.25">
      <c r="B126" s="41"/>
      <c r="C126" s="165"/>
      <c r="D126" s="166"/>
      <c r="E126" s="26"/>
      <c r="F126" s="26"/>
      <c r="G126" s="167"/>
      <c r="H126" s="81" t="str">
        <f>IF(ISERROR(VLOOKUP(#REF!,AB:AC,2,0)),"",VLOOKUP(#REF!,AB:AC,2,0))</f>
        <v/>
      </c>
      <c r="J126" s="9"/>
      <c r="K126" s="10"/>
      <c r="L126" s="14"/>
      <c r="M126" s="19"/>
      <c r="N126" s="19"/>
      <c r="O126" s="19"/>
      <c r="P126" s="19"/>
      <c r="Q126" s="1">
        <f t="shared" si="59"/>
        <v>0.60744618579017706</v>
      </c>
      <c r="R126" s="12">
        <f t="shared" ca="1" si="42"/>
        <v>2882</v>
      </c>
      <c r="S126" s="88">
        <f t="shared" si="50"/>
        <v>0</v>
      </c>
      <c r="T126" s="19">
        <f t="shared" si="51"/>
        <v>0</v>
      </c>
      <c r="U126" s="19">
        <f t="shared" si="47"/>
        <v>0</v>
      </c>
      <c r="V126" s="19">
        <f t="shared" si="64"/>
        <v>0</v>
      </c>
      <c r="W126" s="20">
        <f t="shared" ca="1" si="43"/>
        <v>0</v>
      </c>
      <c r="X126" s="19">
        <f t="shared" ca="1" si="44"/>
        <v>0</v>
      </c>
      <c r="Y126" s="19">
        <f t="shared" ca="1" si="45"/>
        <v>0</v>
      </c>
      <c r="Z126" s="20">
        <f t="shared" ca="1" si="46"/>
        <v>0</v>
      </c>
      <c r="AA126" s="1">
        <f t="shared" si="60"/>
        <v>5432.58</v>
      </c>
      <c r="AB126" s="87"/>
      <c r="AC126" s="88"/>
      <c r="AD126" s="101">
        <f t="shared" si="61"/>
        <v>44004</v>
      </c>
      <c r="AE126" s="103">
        <f t="shared" si="62"/>
        <v>0</v>
      </c>
      <c r="AG126" s="1">
        <f t="shared" si="52"/>
        <v>0</v>
      </c>
      <c r="AH126" s="1">
        <f t="shared" si="67"/>
        <v>0</v>
      </c>
      <c r="AI126" s="1">
        <f t="shared" si="63"/>
        <v>5432.58</v>
      </c>
      <c r="AJ126" s="20">
        <f t="shared" si="65"/>
        <v>0</v>
      </c>
      <c r="AK126" s="100">
        <f t="shared" si="68"/>
        <v>0</v>
      </c>
      <c r="AL126" s="100">
        <f t="shared" si="69"/>
        <v>0</v>
      </c>
      <c r="AN126" s="100">
        <f t="shared" si="70"/>
        <v>5172.3373387833763</v>
      </c>
      <c r="AO126" s="20">
        <f t="shared" si="71"/>
        <v>0</v>
      </c>
      <c r="AQ126" s="109">
        <f t="shared" si="53"/>
        <v>0</v>
      </c>
      <c r="AU126" s="109">
        <f t="shared" si="54"/>
        <v>26.831751395681227</v>
      </c>
      <c r="AV126" s="101">
        <f t="shared" si="48"/>
        <v>44034</v>
      </c>
      <c r="AW126" s="99">
        <f t="shared" si="49"/>
        <v>0</v>
      </c>
      <c r="AX126" s="1">
        <f t="shared" si="55"/>
        <v>0</v>
      </c>
      <c r="AY126" s="29">
        <f t="shared" si="56"/>
        <v>0</v>
      </c>
      <c r="AZ126" s="1">
        <f t="shared" si="57"/>
        <v>0</v>
      </c>
      <c r="CB126" s="20">
        <f t="shared" si="66"/>
        <v>0</v>
      </c>
      <c r="CC126" s="173">
        <f t="shared" si="58"/>
        <v>0</v>
      </c>
    </row>
    <row r="127" spans="2:81" x14ac:dyDescent="0.25">
      <c r="B127" s="41"/>
      <c r="C127" s="165"/>
      <c r="D127" s="166"/>
      <c r="E127" s="26"/>
      <c r="F127" s="26"/>
      <c r="G127" s="167"/>
      <c r="H127" s="81" t="str">
        <f>IF(ISERROR(VLOOKUP(#REF!,AB:AC,2,0)),"",VLOOKUP(#REF!,AB:AC,2,0))</f>
        <v/>
      </c>
      <c r="J127" s="7"/>
      <c r="K127" s="8"/>
      <c r="L127" s="15"/>
      <c r="M127" s="21"/>
      <c r="N127" s="21"/>
      <c r="O127" s="21"/>
      <c r="P127" s="21"/>
      <c r="Q127" s="1">
        <f t="shared" si="59"/>
        <v>0.60744618579017706</v>
      </c>
      <c r="R127" s="12">
        <f t="shared" ca="1" si="42"/>
        <v>2912</v>
      </c>
      <c r="S127" s="88">
        <f t="shared" si="50"/>
        <v>0</v>
      </c>
      <c r="T127" s="19">
        <f t="shared" si="51"/>
        <v>0</v>
      </c>
      <c r="U127" s="19">
        <f t="shared" si="47"/>
        <v>0</v>
      </c>
      <c r="V127" s="19">
        <f t="shared" si="64"/>
        <v>0</v>
      </c>
      <c r="W127" s="20">
        <f t="shared" ca="1" si="43"/>
        <v>0</v>
      </c>
      <c r="X127" s="19">
        <f t="shared" ca="1" si="44"/>
        <v>0</v>
      </c>
      <c r="Y127" s="19">
        <f t="shared" ca="1" si="45"/>
        <v>0</v>
      </c>
      <c r="Z127" s="20">
        <f t="shared" ca="1" si="46"/>
        <v>0</v>
      </c>
      <c r="AA127" s="1">
        <f t="shared" si="60"/>
        <v>5432.58</v>
      </c>
      <c r="AB127" s="89"/>
      <c r="AC127" s="90"/>
      <c r="AD127" s="101">
        <f t="shared" si="61"/>
        <v>44034</v>
      </c>
      <c r="AE127" s="103">
        <f t="shared" si="62"/>
        <v>0</v>
      </c>
      <c r="AG127" s="1">
        <f t="shared" si="52"/>
        <v>0</v>
      </c>
      <c r="AH127" s="1">
        <f t="shared" si="67"/>
        <v>0</v>
      </c>
      <c r="AI127" s="1">
        <f t="shared" si="63"/>
        <v>5432.58</v>
      </c>
      <c r="AJ127" s="20">
        <f t="shared" si="65"/>
        <v>0</v>
      </c>
      <c r="AK127" s="100">
        <f t="shared" si="68"/>
        <v>0</v>
      </c>
      <c r="AL127" s="100">
        <f t="shared" si="69"/>
        <v>0</v>
      </c>
      <c r="AN127" s="100">
        <f t="shared" si="70"/>
        <v>5169.7203996680591</v>
      </c>
      <c r="AO127" s="20">
        <f t="shared" si="71"/>
        <v>0</v>
      </c>
      <c r="AQ127" s="109">
        <f t="shared" si="53"/>
        <v>0</v>
      </c>
      <c r="AU127" s="109">
        <f t="shared" si="54"/>
        <v>26.829396370888684</v>
      </c>
      <c r="AV127" s="101">
        <f t="shared" si="48"/>
        <v>44064</v>
      </c>
      <c r="AW127" s="99">
        <f t="shared" si="49"/>
        <v>0</v>
      </c>
      <c r="AX127" s="1">
        <f t="shared" si="55"/>
        <v>0</v>
      </c>
      <c r="AY127" s="29">
        <f t="shared" si="56"/>
        <v>0</v>
      </c>
      <c r="AZ127" s="1">
        <f t="shared" si="57"/>
        <v>0</v>
      </c>
      <c r="CB127" s="20">
        <f t="shared" si="66"/>
        <v>0</v>
      </c>
      <c r="CC127" s="173">
        <f t="shared" si="58"/>
        <v>0</v>
      </c>
    </row>
    <row r="128" spans="2:81" x14ac:dyDescent="0.25">
      <c r="B128" s="41"/>
      <c r="C128" s="165"/>
      <c r="D128" s="166"/>
      <c r="E128" s="26"/>
      <c r="F128" s="26"/>
      <c r="G128" s="167"/>
      <c r="H128" s="81" t="str">
        <f>IF(ISERROR(VLOOKUP(#REF!,AB:AC,2,0)),"",VLOOKUP(#REF!,AB:AC,2,0))</f>
        <v/>
      </c>
      <c r="J128" s="9"/>
      <c r="K128" s="10"/>
      <c r="L128" s="14"/>
      <c r="M128" s="19"/>
      <c r="N128" s="19"/>
      <c r="O128" s="19"/>
      <c r="P128" s="19"/>
      <c r="Q128" s="1">
        <f t="shared" si="59"/>
        <v>0.60744618579017706</v>
      </c>
      <c r="R128" s="12">
        <f t="shared" ca="1" si="42"/>
        <v>2942</v>
      </c>
      <c r="S128" s="88">
        <f t="shared" si="50"/>
        <v>0</v>
      </c>
      <c r="T128" s="19">
        <f t="shared" si="51"/>
        <v>0</v>
      </c>
      <c r="U128" s="19">
        <f t="shared" si="47"/>
        <v>0</v>
      </c>
      <c r="V128" s="19">
        <f t="shared" si="64"/>
        <v>0</v>
      </c>
      <c r="W128" s="20">
        <f t="shared" ca="1" si="43"/>
        <v>0</v>
      </c>
      <c r="X128" s="19">
        <f t="shared" ca="1" si="44"/>
        <v>0</v>
      </c>
      <c r="Y128" s="19">
        <f t="shared" ca="1" si="45"/>
        <v>0</v>
      </c>
      <c r="Z128" s="20">
        <f t="shared" ca="1" si="46"/>
        <v>0</v>
      </c>
      <c r="AA128" s="1">
        <f t="shared" si="60"/>
        <v>5432.58</v>
      </c>
      <c r="AB128" s="87"/>
      <c r="AC128" s="88"/>
      <c r="AD128" s="101">
        <f t="shared" si="61"/>
        <v>44064</v>
      </c>
      <c r="AE128" s="103">
        <f t="shared" si="62"/>
        <v>0</v>
      </c>
      <c r="AG128" s="1">
        <f t="shared" si="52"/>
        <v>0</v>
      </c>
      <c r="AH128" s="1">
        <f t="shared" si="67"/>
        <v>0</v>
      </c>
      <c r="AI128" s="1">
        <f t="shared" si="63"/>
        <v>5432.58</v>
      </c>
      <c r="AJ128" s="20">
        <f t="shared" si="65"/>
        <v>0</v>
      </c>
      <c r="AK128" s="100">
        <f t="shared" si="68"/>
        <v>0</v>
      </c>
      <c r="AL128" s="100">
        <f t="shared" si="69"/>
        <v>0</v>
      </c>
      <c r="AN128" s="100">
        <f t="shared" si="70"/>
        <v>5167.1047845905769</v>
      </c>
      <c r="AO128" s="20">
        <f t="shared" si="71"/>
        <v>0</v>
      </c>
      <c r="AQ128" s="109">
        <f t="shared" si="53"/>
        <v>0</v>
      </c>
      <c r="AU128" s="109">
        <f t="shared" si="54"/>
        <v>26.827041552796828</v>
      </c>
      <c r="AV128" s="101">
        <f t="shared" si="48"/>
        <v>44094</v>
      </c>
      <c r="AW128" s="99">
        <f t="shared" si="49"/>
        <v>0</v>
      </c>
      <c r="AX128" s="1">
        <f t="shared" si="55"/>
        <v>0</v>
      </c>
      <c r="AY128" s="29">
        <f t="shared" si="56"/>
        <v>0</v>
      </c>
      <c r="AZ128" s="1">
        <f t="shared" si="57"/>
        <v>0</v>
      </c>
      <c r="CB128" s="20">
        <f t="shared" si="66"/>
        <v>0</v>
      </c>
      <c r="CC128" s="173">
        <f t="shared" si="58"/>
        <v>0</v>
      </c>
    </row>
    <row r="129" spans="2:81" x14ac:dyDescent="0.25">
      <c r="B129" s="41"/>
      <c r="C129" s="165"/>
      <c r="D129" s="166"/>
      <c r="E129" s="26"/>
      <c r="F129" s="26"/>
      <c r="G129" s="167"/>
      <c r="H129" s="81" t="str">
        <f>IF(ISERROR(VLOOKUP(#REF!,AB:AC,2,0)),"",VLOOKUP(#REF!,AB:AC,2,0))</f>
        <v/>
      </c>
      <c r="J129" s="7"/>
      <c r="K129" s="8"/>
      <c r="L129" s="15"/>
      <c r="M129" s="21"/>
      <c r="N129" s="21"/>
      <c r="O129" s="21"/>
      <c r="P129" s="21"/>
      <c r="Q129" s="1">
        <f t="shared" si="59"/>
        <v>0.60744618579017706</v>
      </c>
      <c r="R129" s="12">
        <f t="shared" ref="R129:R192" ca="1" si="72">IF(ROW()&gt;$T$20,R128+30,DAYS360(K128,K129)+R128)</f>
        <v>2972</v>
      </c>
      <c r="S129" s="88">
        <f t="shared" si="50"/>
        <v>0</v>
      </c>
      <c r="T129" s="19">
        <f t="shared" si="51"/>
        <v>0</v>
      </c>
      <c r="U129" s="19">
        <f t="shared" si="47"/>
        <v>0</v>
      </c>
      <c r="V129" s="19">
        <f t="shared" si="64"/>
        <v>0</v>
      </c>
      <c r="W129" s="20">
        <f t="shared" ref="W129:W192" ca="1" si="73">(T129)/(1+((1+$T$12)^$R129-1))</f>
        <v>0</v>
      </c>
      <c r="X129" s="19">
        <f t="shared" ref="X129:X192" ca="1" si="74">(U129)/(1+((1+$T$12)^$R129-1))</f>
        <v>0</v>
      </c>
      <c r="Y129" s="19">
        <f t="shared" ref="Y129:Y192" ca="1" si="75">P129/(1+((1+$T$12)^$R129-1))</f>
        <v>0</v>
      </c>
      <c r="Z129" s="20">
        <f t="shared" ref="Z129:Z192" ca="1" si="76">W129+X129</f>
        <v>0</v>
      </c>
      <c r="AA129" s="1">
        <f t="shared" si="60"/>
        <v>5432.58</v>
      </c>
      <c r="AB129" s="89"/>
      <c r="AC129" s="90"/>
      <c r="AD129" s="101">
        <f t="shared" si="61"/>
        <v>44094</v>
      </c>
      <c r="AE129" s="103">
        <f t="shared" si="62"/>
        <v>0</v>
      </c>
      <c r="AG129" s="1">
        <f t="shared" si="52"/>
        <v>0</v>
      </c>
      <c r="AH129" s="1">
        <f t="shared" si="67"/>
        <v>0</v>
      </c>
      <c r="AI129" s="1">
        <f t="shared" si="63"/>
        <v>5432.58</v>
      </c>
      <c r="AJ129" s="20">
        <f t="shared" si="65"/>
        <v>0</v>
      </c>
      <c r="AK129" s="100">
        <f t="shared" si="68"/>
        <v>0</v>
      </c>
      <c r="AL129" s="100">
        <f t="shared" si="69"/>
        <v>0</v>
      </c>
      <c r="AN129" s="100">
        <f t="shared" si="70"/>
        <v>5164.4904928810347</v>
      </c>
      <c r="AO129" s="20">
        <f t="shared" si="71"/>
        <v>0</v>
      </c>
      <c r="AQ129" s="109">
        <f t="shared" si="53"/>
        <v>0</v>
      </c>
      <c r="AU129" s="109">
        <f t="shared" si="54"/>
        <v>26.824686941387533</v>
      </c>
      <c r="AV129" s="101">
        <f t="shared" si="48"/>
        <v>44124</v>
      </c>
      <c r="AW129" s="99">
        <f t="shared" si="49"/>
        <v>0</v>
      </c>
      <c r="AX129" s="1">
        <f t="shared" si="55"/>
        <v>0</v>
      </c>
      <c r="AY129" s="29">
        <f t="shared" si="56"/>
        <v>0</v>
      </c>
      <c r="AZ129" s="1">
        <f t="shared" si="57"/>
        <v>0</v>
      </c>
      <c r="CB129" s="20">
        <f t="shared" si="66"/>
        <v>0</v>
      </c>
      <c r="CC129" s="173">
        <f t="shared" si="58"/>
        <v>0</v>
      </c>
    </row>
    <row r="130" spans="2:81" x14ac:dyDescent="0.25">
      <c r="B130" s="41"/>
      <c r="C130" s="165"/>
      <c r="D130" s="166"/>
      <c r="E130" s="26"/>
      <c r="F130" s="26"/>
      <c r="G130" s="167"/>
      <c r="H130" s="81" t="str">
        <f>IF(ISERROR(VLOOKUP(#REF!,AB:AC,2,0)),"",VLOOKUP(#REF!,AB:AC,2,0))</f>
        <v/>
      </c>
      <c r="J130" s="9"/>
      <c r="K130" s="10"/>
      <c r="L130" s="14"/>
      <c r="M130" s="19"/>
      <c r="N130" s="19"/>
      <c r="O130" s="19"/>
      <c r="P130" s="19"/>
      <c r="Q130" s="1">
        <f t="shared" si="59"/>
        <v>0.60744618579017706</v>
      </c>
      <c r="R130" s="12">
        <f t="shared" ca="1" si="72"/>
        <v>3002</v>
      </c>
      <c r="S130" s="88">
        <f t="shared" si="50"/>
        <v>0</v>
      </c>
      <c r="T130" s="19">
        <f t="shared" si="51"/>
        <v>0</v>
      </c>
      <c r="U130" s="19">
        <f t="shared" si="47"/>
        <v>0</v>
      </c>
      <c r="V130" s="19">
        <f t="shared" si="64"/>
        <v>0</v>
      </c>
      <c r="W130" s="20">
        <f t="shared" ca="1" si="73"/>
        <v>0</v>
      </c>
      <c r="X130" s="19">
        <f t="shared" ca="1" si="74"/>
        <v>0</v>
      </c>
      <c r="Y130" s="19">
        <f t="shared" ca="1" si="75"/>
        <v>0</v>
      </c>
      <c r="Z130" s="20">
        <f t="shared" ca="1" si="76"/>
        <v>0</v>
      </c>
      <c r="AA130" s="1">
        <f t="shared" si="60"/>
        <v>5432.58</v>
      </c>
      <c r="AB130" s="87"/>
      <c r="AC130" s="88"/>
      <c r="AD130" s="101">
        <f t="shared" si="61"/>
        <v>44124</v>
      </c>
      <c r="AE130" s="103">
        <f t="shared" si="62"/>
        <v>0</v>
      </c>
      <c r="AG130" s="1">
        <f t="shared" si="52"/>
        <v>0</v>
      </c>
      <c r="AH130" s="1">
        <f t="shared" si="67"/>
        <v>0</v>
      </c>
      <c r="AI130" s="1">
        <f t="shared" si="63"/>
        <v>5432.58</v>
      </c>
      <c r="AJ130" s="20">
        <f t="shared" si="65"/>
        <v>0</v>
      </c>
      <c r="AK130" s="100">
        <f t="shared" si="68"/>
        <v>0</v>
      </c>
      <c r="AL130" s="100">
        <f t="shared" si="69"/>
        <v>0</v>
      </c>
      <c r="AN130" s="100">
        <f t="shared" si="70"/>
        <v>5161.8775238698745</v>
      </c>
      <c r="AO130" s="20">
        <f t="shared" si="71"/>
        <v>0</v>
      </c>
      <c r="AQ130" s="109">
        <f t="shared" si="53"/>
        <v>0</v>
      </c>
      <c r="AU130" s="109">
        <f t="shared" si="54"/>
        <v>26.822332536642644</v>
      </c>
      <c r="AV130" s="101">
        <f t="shared" si="48"/>
        <v>44154</v>
      </c>
      <c r="AW130" s="99">
        <f t="shared" si="49"/>
        <v>0</v>
      </c>
      <c r="AX130" s="1">
        <f t="shared" si="55"/>
        <v>0</v>
      </c>
      <c r="AY130" s="29">
        <f t="shared" si="56"/>
        <v>0</v>
      </c>
      <c r="AZ130" s="1">
        <f t="shared" si="57"/>
        <v>0</v>
      </c>
      <c r="CB130" s="20">
        <f t="shared" si="66"/>
        <v>0</v>
      </c>
      <c r="CC130" s="173">
        <f t="shared" si="58"/>
        <v>0</v>
      </c>
    </row>
    <row r="131" spans="2:81" x14ac:dyDescent="0.25">
      <c r="B131" s="41"/>
      <c r="C131" s="165"/>
      <c r="D131" s="166"/>
      <c r="E131" s="26"/>
      <c r="F131" s="26"/>
      <c r="G131" s="167"/>
      <c r="H131" s="81" t="str">
        <f>IF(ISERROR(VLOOKUP(#REF!,AB:AC,2,0)),"",VLOOKUP(#REF!,AB:AC,2,0))</f>
        <v/>
      </c>
      <c r="J131" s="7"/>
      <c r="K131" s="8"/>
      <c r="L131" s="15"/>
      <c r="M131" s="21"/>
      <c r="N131" s="21"/>
      <c r="O131" s="21"/>
      <c r="P131" s="21"/>
      <c r="Q131" s="1">
        <f t="shared" si="59"/>
        <v>0.60744618579017706</v>
      </c>
      <c r="R131" s="12">
        <f t="shared" ca="1" si="72"/>
        <v>3032</v>
      </c>
      <c r="S131" s="88">
        <f t="shared" si="50"/>
        <v>0</v>
      </c>
      <c r="T131" s="19">
        <f t="shared" si="51"/>
        <v>0</v>
      </c>
      <c r="U131" s="19">
        <f t="shared" si="47"/>
        <v>0</v>
      </c>
      <c r="V131" s="19">
        <f t="shared" si="64"/>
        <v>0</v>
      </c>
      <c r="W131" s="20">
        <f t="shared" ca="1" si="73"/>
        <v>0</v>
      </c>
      <c r="X131" s="19">
        <f t="shared" ca="1" si="74"/>
        <v>0</v>
      </c>
      <c r="Y131" s="19">
        <f t="shared" ca="1" si="75"/>
        <v>0</v>
      </c>
      <c r="Z131" s="20">
        <f t="shared" ca="1" si="76"/>
        <v>0</v>
      </c>
      <c r="AA131" s="1">
        <f t="shared" si="60"/>
        <v>5432.58</v>
      </c>
      <c r="AB131" s="89"/>
      <c r="AC131" s="90"/>
      <c r="AD131" s="101">
        <f t="shared" si="61"/>
        <v>44154</v>
      </c>
      <c r="AE131" s="103">
        <f t="shared" si="62"/>
        <v>0</v>
      </c>
      <c r="AG131" s="1">
        <f t="shared" si="52"/>
        <v>0</v>
      </c>
      <c r="AH131" s="1">
        <f t="shared" si="67"/>
        <v>0</v>
      </c>
      <c r="AI131" s="1">
        <f t="shared" si="63"/>
        <v>5432.58</v>
      </c>
      <c r="AJ131" s="20">
        <f t="shared" si="65"/>
        <v>0</v>
      </c>
      <c r="AK131" s="100">
        <f t="shared" si="68"/>
        <v>0</v>
      </c>
      <c r="AL131" s="100">
        <f t="shared" si="69"/>
        <v>0</v>
      </c>
      <c r="AN131" s="100">
        <f t="shared" si="70"/>
        <v>5159.2658768878791</v>
      </c>
      <c r="AO131" s="20">
        <f t="shared" si="71"/>
        <v>0</v>
      </c>
      <c r="AQ131" s="109">
        <f t="shared" si="53"/>
        <v>0</v>
      </c>
      <c r="AU131" s="109">
        <f t="shared" si="54"/>
        <v>26.819978338544043</v>
      </c>
      <c r="AV131" s="101">
        <f t="shared" si="48"/>
        <v>44184</v>
      </c>
      <c r="AW131" s="99">
        <f t="shared" si="49"/>
        <v>0</v>
      </c>
      <c r="AX131" s="1">
        <f t="shared" si="55"/>
        <v>0</v>
      </c>
      <c r="AY131" s="29">
        <f t="shared" si="56"/>
        <v>0</v>
      </c>
      <c r="AZ131" s="1">
        <f t="shared" si="57"/>
        <v>0</v>
      </c>
      <c r="CB131" s="20">
        <f t="shared" si="66"/>
        <v>0</v>
      </c>
      <c r="CC131" s="173">
        <f t="shared" si="58"/>
        <v>0</v>
      </c>
    </row>
    <row r="132" spans="2:81" x14ac:dyDescent="0.25">
      <c r="B132" s="41"/>
      <c r="C132" s="165"/>
      <c r="D132" s="166"/>
      <c r="E132" s="26"/>
      <c r="F132" s="26"/>
      <c r="G132" s="167"/>
      <c r="H132" s="81" t="str">
        <f>IF(ISERROR(VLOOKUP(#REF!,AB:AC,2,0)),"",VLOOKUP(#REF!,AB:AC,2,0))</f>
        <v/>
      </c>
      <c r="J132" s="9"/>
      <c r="K132" s="10"/>
      <c r="L132" s="14"/>
      <c r="M132" s="19"/>
      <c r="N132" s="19"/>
      <c r="O132" s="19"/>
      <c r="P132" s="19"/>
      <c r="Q132" s="1">
        <f t="shared" si="59"/>
        <v>0.60744618579017706</v>
      </c>
      <c r="R132" s="12">
        <f t="shared" ca="1" si="72"/>
        <v>3062</v>
      </c>
      <c r="S132" s="88">
        <f t="shared" si="50"/>
        <v>0</v>
      </c>
      <c r="T132" s="19">
        <f t="shared" si="51"/>
        <v>0</v>
      </c>
      <c r="U132" s="19">
        <f t="shared" si="47"/>
        <v>0</v>
      </c>
      <c r="V132" s="19">
        <f t="shared" si="64"/>
        <v>0</v>
      </c>
      <c r="W132" s="20">
        <f t="shared" ca="1" si="73"/>
        <v>0</v>
      </c>
      <c r="X132" s="19">
        <f t="shared" ca="1" si="74"/>
        <v>0</v>
      </c>
      <c r="Y132" s="19">
        <f t="shared" ca="1" si="75"/>
        <v>0</v>
      </c>
      <c r="Z132" s="20">
        <f t="shared" ca="1" si="76"/>
        <v>0</v>
      </c>
      <c r="AA132" s="1">
        <f t="shared" si="60"/>
        <v>5432.58</v>
      </c>
      <c r="AB132" s="87"/>
      <c r="AC132" s="88"/>
      <c r="AD132" s="101">
        <f t="shared" si="61"/>
        <v>44184</v>
      </c>
      <c r="AE132" s="103">
        <f t="shared" si="62"/>
        <v>0</v>
      </c>
      <c r="AG132" s="1">
        <f t="shared" si="52"/>
        <v>0</v>
      </c>
      <c r="AH132" s="1">
        <f t="shared" si="67"/>
        <v>0</v>
      </c>
      <c r="AI132" s="1">
        <f t="shared" si="63"/>
        <v>5432.58</v>
      </c>
      <c r="AJ132" s="20">
        <f t="shared" si="65"/>
        <v>0</v>
      </c>
      <c r="AK132" s="100">
        <f t="shared" si="68"/>
        <v>0</v>
      </c>
      <c r="AL132" s="100">
        <f t="shared" si="69"/>
        <v>0</v>
      </c>
      <c r="AN132" s="100">
        <f t="shared" si="70"/>
        <v>5156.6555512661707</v>
      </c>
      <c r="AO132" s="20">
        <f t="shared" si="71"/>
        <v>0</v>
      </c>
      <c r="AQ132" s="109">
        <f t="shared" si="53"/>
        <v>0</v>
      </c>
      <c r="AU132" s="109">
        <f t="shared" si="54"/>
        <v>26.817624347073579</v>
      </c>
      <c r="AV132" s="101">
        <f t="shared" si="48"/>
        <v>44214</v>
      </c>
      <c r="AW132" s="99">
        <f t="shared" si="49"/>
        <v>0</v>
      </c>
      <c r="AX132" s="1">
        <f t="shared" si="55"/>
        <v>0</v>
      </c>
      <c r="AY132" s="29">
        <f t="shared" si="56"/>
        <v>0</v>
      </c>
      <c r="AZ132" s="1">
        <f t="shared" si="57"/>
        <v>0</v>
      </c>
      <c r="CB132" s="20">
        <f t="shared" si="66"/>
        <v>0</v>
      </c>
      <c r="CC132" s="173">
        <f t="shared" si="58"/>
        <v>0</v>
      </c>
    </row>
    <row r="133" spans="2:81" x14ac:dyDescent="0.25">
      <c r="B133" s="41"/>
      <c r="C133" s="165"/>
      <c r="D133" s="166"/>
      <c r="E133" s="26"/>
      <c r="F133" s="26"/>
      <c r="G133" s="167"/>
      <c r="H133" s="81" t="str">
        <f>IF(ISERROR(VLOOKUP(#REF!,AB:AC,2,0)),"",VLOOKUP(#REF!,AB:AC,2,0))</f>
        <v/>
      </c>
      <c r="J133" s="7"/>
      <c r="K133" s="8"/>
      <c r="L133" s="15"/>
      <c r="M133" s="21"/>
      <c r="N133" s="21"/>
      <c r="O133" s="21"/>
      <c r="P133" s="21"/>
      <c r="Q133" s="1">
        <f t="shared" si="59"/>
        <v>0.60744618579017706</v>
      </c>
      <c r="R133" s="12">
        <f t="shared" ca="1" si="72"/>
        <v>3092</v>
      </c>
      <c r="S133" s="88">
        <f t="shared" si="50"/>
        <v>0</v>
      </c>
      <c r="T133" s="19">
        <f t="shared" si="51"/>
        <v>0</v>
      </c>
      <c r="U133" s="19">
        <f t="shared" si="47"/>
        <v>0</v>
      </c>
      <c r="V133" s="19">
        <f t="shared" si="64"/>
        <v>0</v>
      </c>
      <c r="W133" s="20">
        <f t="shared" ca="1" si="73"/>
        <v>0</v>
      </c>
      <c r="X133" s="19">
        <f t="shared" ca="1" si="74"/>
        <v>0</v>
      </c>
      <c r="Y133" s="19">
        <f t="shared" ca="1" si="75"/>
        <v>0</v>
      </c>
      <c r="Z133" s="20">
        <f t="shared" ca="1" si="76"/>
        <v>0</v>
      </c>
      <c r="AA133" s="1">
        <f t="shared" si="60"/>
        <v>5432.58</v>
      </c>
      <c r="AB133" s="89"/>
      <c r="AC133" s="90"/>
      <c r="AD133" s="101">
        <f t="shared" si="61"/>
        <v>44214</v>
      </c>
      <c r="AE133" s="103">
        <f t="shared" si="62"/>
        <v>0</v>
      </c>
      <c r="AG133" s="1">
        <f t="shared" si="52"/>
        <v>0</v>
      </c>
      <c r="AH133" s="1">
        <f t="shared" si="67"/>
        <v>0</v>
      </c>
      <c r="AI133" s="1">
        <f t="shared" si="63"/>
        <v>5432.58</v>
      </c>
      <c r="AJ133" s="20">
        <f t="shared" si="65"/>
        <v>0</v>
      </c>
      <c r="AK133" s="100">
        <f t="shared" si="68"/>
        <v>0</v>
      </c>
      <c r="AL133" s="100">
        <f t="shared" si="69"/>
        <v>0</v>
      </c>
      <c r="AN133" s="100">
        <f t="shared" si="70"/>
        <v>5154.0465463362061</v>
      </c>
      <c r="AO133" s="20">
        <f t="shared" si="71"/>
        <v>0</v>
      </c>
      <c r="AQ133" s="109">
        <f t="shared" si="53"/>
        <v>0</v>
      </c>
      <c r="AU133" s="109">
        <f t="shared" si="54"/>
        <v>26.815270562213129</v>
      </c>
      <c r="AV133" s="101">
        <f t="shared" si="48"/>
        <v>44244</v>
      </c>
      <c r="AW133" s="99">
        <f t="shared" si="49"/>
        <v>0</v>
      </c>
      <c r="AX133" s="1">
        <f t="shared" si="55"/>
        <v>0</v>
      </c>
      <c r="AY133" s="29">
        <f t="shared" si="56"/>
        <v>0</v>
      </c>
      <c r="AZ133" s="1">
        <f t="shared" si="57"/>
        <v>0</v>
      </c>
      <c r="CB133" s="20">
        <f t="shared" si="66"/>
        <v>0</v>
      </c>
      <c r="CC133" s="173">
        <f t="shared" si="58"/>
        <v>0</v>
      </c>
    </row>
    <row r="134" spans="2:81" x14ac:dyDescent="0.25">
      <c r="B134" s="41"/>
      <c r="C134" s="165"/>
      <c r="D134" s="166"/>
      <c r="E134" s="26"/>
      <c r="F134" s="26"/>
      <c r="G134" s="167"/>
      <c r="H134" s="81" t="str">
        <f>IF(ISERROR(VLOOKUP(#REF!,AB:AC,2,0)),"",VLOOKUP(#REF!,AB:AC,2,0))</f>
        <v/>
      </c>
      <c r="J134" s="9"/>
      <c r="K134" s="10"/>
      <c r="L134" s="14"/>
      <c r="M134" s="19"/>
      <c r="N134" s="19"/>
      <c r="O134" s="19"/>
      <c r="P134" s="19"/>
      <c r="Q134" s="1">
        <f t="shared" si="59"/>
        <v>0.60744618579017706</v>
      </c>
      <c r="R134" s="12">
        <f t="shared" ca="1" si="72"/>
        <v>3122</v>
      </c>
      <c r="S134" s="88">
        <f t="shared" si="50"/>
        <v>0</v>
      </c>
      <c r="T134" s="19">
        <f t="shared" si="51"/>
        <v>0</v>
      </c>
      <c r="U134" s="19">
        <f t="shared" si="47"/>
        <v>0</v>
      </c>
      <c r="V134" s="19">
        <f t="shared" si="64"/>
        <v>0</v>
      </c>
      <c r="W134" s="20">
        <f t="shared" ca="1" si="73"/>
        <v>0</v>
      </c>
      <c r="X134" s="19">
        <f t="shared" ca="1" si="74"/>
        <v>0</v>
      </c>
      <c r="Y134" s="19">
        <f t="shared" ca="1" si="75"/>
        <v>0</v>
      </c>
      <c r="Z134" s="20">
        <f t="shared" ca="1" si="76"/>
        <v>0</v>
      </c>
      <c r="AA134" s="1">
        <f t="shared" si="60"/>
        <v>5432.58</v>
      </c>
      <c r="AB134" s="87"/>
      <c r="AC134" s="88"/>
      <c r="AD134" s="101">
        <f t="shared" si="61"/>
        <v>44244</v>
      </c>
      <c r="AE134" s="103">
        <f t="shared" si="62"/>
        <v>0</v>
      </c>
      <c r="AG134" s="1">
        <f t="shared" si="52"/>
        <v>0</v>
      </c>
      <c r="AH134" s="1">
        <f t="shared" si="67"/>
        <v>0</v>
      </c>
      <c r="AI134" s="1">
        <f t="shared" si="63"/>
        <v>5432.58</v>
      </c>
      <c r="AJ134" s="20">
        <f t="shared" si="65"/>
        <v>0</v>
      </c>
      <c r="AK134" s="100">
        <f t="shared" si="68"/>
        <v>0</v>
      </c>
      <c r="AL134" s="100">
        <f t="shared" si="69"/>
        <v>0</v>
      </c>
      <c r="AN134" s="100">
        <f t="shared" si="70"/>
        <v>5151.4388614297832</v>
      </c>
      <c r="AO134" s="20">
        <f t="shared" si="71"/>
        <v>0</v>
      </c>
      <c r="AQ134" s="109">
        <f t="shared" si="53"/>
        <v>0</v>
      </c>
      <c r="AU134" s="109">
        <f t="shared" si="54"/>
        <v>26.81291698394454</v>
      </c>
      <c r="AV134" s="101">
        <f t="shared" si="48"/>
        <v>44274</v>
      </c>
      <c r="AW134" s="99">
        <f t="shared" si="49"/>
        <v>0</v>
      </c>
      <c r="AX134" s="1">
        <f t="shared" si="55"/>
        <v>0</v>
      </c>
      <c r="AY134" s="29">
        <f t="shared" si="56"/>
        <v>0</v>
      </c>
      <c r="AZ134" s="1">
        <f t="shared" si="57"/>
        <v>0</v>
      </c>
      <c r="CB134" s="20">
        <f t="shared" si="66"/>
        <v>0</v>
      </c>
      <c r="CC134" s="173">
        <f t="shared" si="58"/>
        <v>0</v>
      </c>
    </row>
    <row r="135" spans="2:81" x14ac:dyDescent="0.25">
      <c r="B135" s="41"/>
      <c r="C135" s="165"/>
      <c r="D135" s="166"/>
      <c r="E135" s="26"/>
      <c r="F135" s="26"/>
      <c r="G135" s="167"/>
      <c r="H135" s="81" t="str">
        <f>IF(ISERROR(VLOOKUP(#REF!,AB:AC,2,0)),"",VLOOKUP(#REF!,AB:AC,2,0))</f>
        <v/>
      </c>
      <c r="J135" s="7"/>
      <c r="K135" s="8"/>
      <c r="L135" s="15"/>
      <c r="M135" s="21"/>
      <c r="N135" s="21"/>
      <c r="O135" s="21"/>
      <c r="P135" s="21"/>
      <c r="Q135" s="1">
        <f t="shared" si="59"/>
        <v>0.60744618579017706</v>
      </c>
      <c r="R135" s="12">
        <f t="shared" ca="1" si="72"/>
        <v>3152</v>
      </c>
      <c r="S135" s="88">
        <f t="shared" si="50"/>
        <v>0</v>
      </c>
      <c r="T135" s="19">
        <f t="shared" si="51"/>
        <v>0</v>
      </c>
      <c r="U135" s="19">
        <f t="shared" si="47"/>
        <v>0</v>
      </c>
      <c r="V135" s="19">
        <f t="shared" si="64"/>
        <v>0</v>
      </c>
      <c r="W135" s="20">
        <f t="shared" ca="1" si="73"/>
        <v>0</v>
      </c>
      <c r="X135" s="19">
        <f t="shared" ca="1" si="74"/>
        <v>0</v>
      </c>
      <c r="Y135" s="19">
        <f t="shared" ca="1" si="75"/>
        <v>0</v>
      </c>
      <c r="Z135" s="20">
        <f t="shared" ca="1" si="76"/>
        <v>0</v>
      </c>
      <c r="AA135" s="1">
        <f t="shared" si="60"/>
        <v>5432.58</v>
      </c>
      <c r="AB135" s="89"/>
      <c r="AC135" s="90"/>
      <c r="AD135" s="101">
        <f t="shared" si="61"/>
        <v>44274</v>
      </c>
      <c r="AE135" s="103">
        <f t="shared" si="62"/>
        <v>0</v>
      </c>
      <c r="AG135" s="1">
        <f t="shared" si="52"/>
        <v>0</v>
      </c>
      <c r="AH135" s="1">
        <f t="shared" si="67"/>
        <v>0</v>
      </c>
      <c r="AI135" s="1">
        <f t="shared" si="63"/>
        <v>5432.58</v>
      </c>
      <c r="AJ135" s="20">
        <f t="shared" si="65"/>
        <v>0</v>
      </c>
      <c r="AK135" s="100">
        <f t="shared" si="68"/>
        <v>0</v>
      </c>
      <c r="AL135" s="100">
        <f t="shared" si="69"/>
        <v>0</v>
      </c>
      <c r="AN135" s="100">
        <f t="shared" si="70"/>
        <v>5148.8324958790372</v>
      </c>
      <c r="AO135" s="20">
        <f t="shared" si="71"/>
        <v>0</v>
      </c>
      <c r="AQ135" s="109">
        <f t="shared" si="53"/>
        <v>0</v>
      </c>
      <c r="AU135" s="109">
        <f t="shared" si="54"/>
        <v>26.810563612249684</v>
      </c>
      <c r="AV135" s="101">
        <f t="shared" si="48"/>
        <v>44304</v>
      </c>
      <c r="AW135" s="99">
        <f t="shared" si="49"/>
        <v>0</v>
      </c>
      <c r="AX135" s="1">
        <f t="shared" si="55"/>
        <v>0</v>
      </c>
      <c r="AY135" s="29">
        <f t="shared" si="56"/>
        <v>0</v>
      </c>
      <c r="AZ135" s="1">
        <f t="shared" si="57"/>
        <v>0</v>
      </c>
      <c r="CB135" s="20">
        <f t="shared" si="66"/>
        <v>0</v>
      </c>
      <c r="CC135" s="173">
        <f t="shared" si="58"/>
        <v>0</v>
      </c>
    </row>
    <row r="136" spans="2:81" x14ac:dyDescent="0.25">
      <c r="B136" s="41"/>
      <c r="C136" s="165"/>
      <c r="D136" s="166"/>
      <c r="E136" s="26"/>
      <c r="F136" s="26"/>
      <c r="G136" s="167"/>
      <c r="H136" s="81" t="str">
        <f>IF(ISERROR(VLOOKUP(#REF!,AB:AC,2,0)),"",VLOOKUP(#REF!,AB:AC,2,0))</f>
        <v/>
      </c>
      <c r="J136" s="9"/>
      <c r="K136" s="10"/>
      <c r="L136" s="14"/>
      <c r="M136" s="19"/>
      <c r="N136" s="19"/>
      <c r="O136" s="19"/>
      <c r="P136" s="19"/>
      <c r="Q136" s="1">
        <f t="shared" si="59"/>
        <v>0.60744618579017706</v>
      </c>
      <c r="R136" s="12">
        <f t="shared" ca="1" si="72"/>
        <v>3182</v>
      </c>
      <c r="S136" s="88">
        <f t="shared" si="50"/>
        <v>0</v>
      </c>
      <c r="T136" s="19">
        <f t="shared" si="51"/>
        <v>0</v>
      </c>
      <c r="U136" s="19">
        <f t="shared" si="47"/>
        <v>0</v>
      </c>
      <c r="V136" s="19">
        <f t="shared" si="64"/>
        <v>0</v>
      </c>
      <c r="W136" s="20">
        <f t="shared" ca="1" si="73"/>
        <v>0</v>
      </c>
      <c r="X136" s="19">
        <f t="shared" ca="1" si="74"/>
        <v>0</v>
      </c>
      <c r="Y136" s="19">
        <f t="shared" ca="1" si="75"/>
        <v>0</v>
      </c>
      <c r="Z136" s="20">
        <f t="shared" ca="1" si="76"/>
        <v>0</v>
      </c>
      <c r="AA136" s="1">
        <f t="shared" si="60"/>
        <v>5432.58</v>
      </c>
      <c r="AB136" s="87"/>
      <c r="AC136" s="88"/>
      <c r="AD136" s="101">
        <f t="shared" si="61"/>
        <v>44304</v>
      </c>
      <c r="AE136" s="103">
        <f t="shared" si="62"/>
        <v>0</v>
      </c>
      <c r="AG136" s="1">
        <f t="shared" si="52"/>
        <v>0</v>
      </c>
      <c r="AH136" s="1">
        <f t="shared" si="67"/>
        <v>0</v>
      </c>
      <c r="AI136" s="1">
        <f t="shared" si="63"/>
        <v>5432.58</v>
      </c>
      <c r="AJ136" s="20">
        <f t="shared" si="65"/>
        <v>0</v>
      </c>
      <c r="AK136" s="100">
        <f t="shared" si="68"/>
        <v>0</v>
      </c>
      <c r="AL136" s="100">
        <f t="shared" si="69"/>
        <v>0</v>
      </c>
      <c r="AN136" s="100">
        <f t="shared" si="70"/>
        <v>5146.2274490164436</v>
      </c>
      <c r="AO136" s="20">
        <f t="shared" si="71"/>
        <v>0</v>
      </c>
      <c r="AQ136" s="109">
        <f t="shared" si="53"/>
        <v>0</v>
      </c>
      <c r="AU136" s="109">
        <f t="shared" si="54"/>
        <v>26.80821044711044</v>
      </c>
      <c r="AV136" s="101">
        <f t="shared" si="48"/>
        <v>44334</v>
      </c>
      <c r="AW136" s="99">
        <f t="shared" si="49"/>
        <v>0</v>
      </c>
      <c r="AX136" s="1">
        <f t="shared" si="55"/>
        <v>0</v>
      </c>
      <c r="AY136" s="29">
        <f t="shared" si="56"/>
        <v>0</v>
      </c>
      <c r="AZ136" s="1">
        <f t="shared" si="57"/>
        <v>0</v>
      </c>
      <c r="CB136" s="20">
        <f t="shared" si="66"/>
        <v>0</v>
      </c>
      <c r="CC136" s="173">
        <f t="shared" si="58"/>
        <v>0</v>
      </c>
    </row>
    <row r="137" spans="2:81" x14ac:dyDescent="0.25">
      <c r="B137" s="41"/>
      <c r="C137" s="165"/>
      <c r="D137" s="166"/>
      <c r="E137" s="26"/>
      <c r="F137" s="26"/>
      <c r="G137" s="167"/>
      <c r="H137" s="81" t="str">
        <f>IF(ISERROR(VLOOKUP(#REF!,AB:AC,2,0)),"",VLOOKUP(#REF!,AB:AC,2,0))</f>
        <v/>
      </c>
      <c r="J137" s="7"/>
      <c r="K137" s="8"/>
      <c r="L137" s="15"/>
      <c r="M137" s="21"/>
      <c r="N137" s="21"/>
      <c r="O137" s="21"/>
      <c r="P137" s="21"/>
      <c r="Q137" s="1">
        <f t="shared" si="59"/>
        <v>0.60744618579017706</v>
      </c>
      <c r="R137" s="12">
        <f t="shared" ca="1" si="72"/>
        <v>3212</v>
      </c>
      <c r="S137" s="88">
        <f t="shared" si="50"/>
        <v>0</v>
      </c>
      <c r="T137" s="19">
        <f t="shared" si="51"/>
        <v>0</v>
      </c>
      <c r="U137" s="19">
        <f t="shared" si="47"/>
        <v>0</v>
      </c>
      <c r="V137" s="19">
        <f t="shared" si="64"/>
        <v>0</v>
      </c>
      <c r="W137" s="20">
        <f t="shared" ca="1" si="73"/>
        <v>0</v>
      </c>
      <c r="X137" s="19">
        <f t="shared" ca="1" si="74"/>
        <v>0</v>
      </c>
      <c r="Y137" s="19">
        <f t="shared" ca="1" si="75"/>
        <v>0</v>
      </c>
      <c r="Z137" s="20">
        <f t="shared" ca="1" si="76"/>
        <v>0</v>
      </c>
      <c r="AA137" s="1">
        <f t="shared" si="60"/>
        <v>5432.58</v>
      </c>
      <c r="AB137" s="89"/>
      <c r="AC137" s="90"/>
      <c r="AD137" s="101">
        <f t="shared" si="61"/>
        <v>44334</v>
      </c>
      <c r="AE137" s="103">
        <f t="shared" si="62"/>
        <v>0</v>
      </c>
      <c r="AG137" s="1">
        <f t="shared" si="52"/>
        <v>0</v>
      </c>
      <c r="AH137" s="1">
        <f t="shared" si="67"/>
        <v>0</v>
      </c>
      <c r="AI137" s="1">
        <f t="shared" si="63"/>
        <v>5432.58</v>
      </c>
      <c r="AJ137" s="20">
        <f t="shared" si="65"/>
        <v>0</v>
      </c>
      <c r="AK137" s="100">
        <f t="shared" si="68"/>
        <v>0</v>
      </c>
      <c r="AL137" s="100">
        <f t="shared" si="69"/>
        <v>0</v>
      </c>
      <c r="AN137" s="100">
        <f t="shared" si="70"/>
        <v>5143.6237201748081</v>
      </c>
      <c r="AO137" s="20">
        <f t="shared" si="71"/>
        <v>0</v>
      </c>
      <c r="AQ137" s="109">
        <f t="shared" si="53"/>
        <v>0</v>
      </c>
      <c r="AU137" s="109">
        <f t="shared" si="54"/>
        <v>26.805857488508678</v>
      </c>
      <c r="AV137" s="101">
        <f t="shared" si="48"/>
        <v>44364</v>
      </c>
      <c r="AW137" s="99">
        <f t="shared" si="49"/>
        <v>0</v>
      </c>
      <c r="AX137" s="1">
        <f t="shared" si="55"/>
        <v>0</v>
      </c>
      <c r="AY137" s="29">
        <f t="shared" si="56"/>
        <v>0</v>
      </c>
      <c r="AZ137" s="1">
        <f t="shared" si="57"/>
        <v>0</v>
      </c>
      <c r="CB137" s="20">
        <f t="shared" si="66"/>
        <v>0</v>
      </c>
      <c r="CC137" s="173">
        <f t="shared" si="58"/>
        <v>0</v>
      </c>
    </row>
    <row r="138" spans="2:81" x14ac:dyDescent="0.25">
      <c r="B138" s="41"/>
      <c r="C138" s="165"/>
      <c r="D138" s="166"/>
      <c r="E138" s="26"/>
      <c r="F138" s="26"/>
      <c r="G138" s="167"/>
      <c r="H138" s="81" t="str">
        <f>IF(ISERROR(VLOOKUP(#REF!,AB:AC,2,0)),"",VLOOKUP(#REF!,AB:AC,2,0))</f>
        <v/>
      </c>
      <c r="J138" s="9"/>
      <c r="K138" s="10"/>
      <c r="L138" s="14"/>
      <c r="M138" s="19"/>
      <c r="N138" s="19"/>
      <c r="O138" s="19"/>
      <c r="P138" s="19"/>
      <c r="Q138" s="1">
        <f t="shared" si="59"/>
        <v>0.60744618579017706</v>
      </c>
      <c r="R138" s="12">
        <f t="shared" ca="1" si="72"/>
        <v>3242</v>
      </c>
      <c r="S138" s="88">
        <f t="shared" si="50"/>
        <v>0</v>
      </c>
      <c r="T138" s="19">
        <f t="shared" si="51"/>
        <v>0</v>
      </c>
      <c r="U138" s="19">
        <f t="shared" si="47"/>
        <v>0</v>
      </c>
      <c r="V138" s="19">
        <f t="shared" si="64"/>
        <v>0</v>
      </c>
      <c r="W138" s="20">
        <f t="shared" ca="1" si="73"/>
        <v>0</v>
      </c>
      <c r="X138" s="19">
        <f t="shared" ca="1" si="74"/>
        <v>0</v>
      </c>
      <c r="Y138" s="19">
        <f t="shared" ca="1" si="75"/>
        <v>0</v>
      </c>
      <c r="Z138" s="20">
        <f t="shared" ca="1" si="76"/>
        <v>0</v>
      </c>
      <c r="AA138" s="1">
        <f t="shared" si="60"/>
        <v>5432.58</v>
      </c>
      <c r="AB138" s="87"/>
      <c r="AC138" s="88"/>
      <c r="AD138" s="101">
        <f t="shared" si="61"/>
        <v>44364</v>
      </c>
      <c r="AE138" s="103">
        <f t="shared" si="62"/>
        <v>0</v>
      </c>
      <c r="AG138" s="1">
        <f t="shared" si="52"/>
        <v>0</v>
      </c>
      <c r="AH138" s="1">
        <f t="shared" si="67"/>
        <v>0</v>
      </c>
      <c r="AI138" s="1">
        <f t="shared" si="63"/>
        <v>5432.58</v>
      </c>
      <c r="AJ138" s="20">
        <f t="shared" si="65"/>
        <v>0</v>
      </c>
      <c r="AK138" s="100">
        <f t="shared" si="68"/>
        <v>0</v>
      </c>
      <c r="AL138" s="100">
        <f t="shared" si="69"/>
        <v>0</v>
      </c>
      <c r="AN138" s="100">
        <f t="shared" si="70"/>
        <v>5141.0213086872827</v>
      </c>
      <c r="AO138" s="20">
        <f t="shared" si="71"/>
        <v>0</v>
      </c>
      <c r="AQ138" s="109">
        <f t="shared" si="53"/>
        <v>0</v>
      </c>
      <c r="AU138" s="109">
        <f t="shared" si="54"/>
        <v>26.803504736426262</v>
      </c>
      <c r="AV138" s="101">
        <f t="shared" si="48"/>
        <v>44394</v>
      </c>
      <c r="AW138" s="99">
        <f t="shared" si="49"/>
        <v>0</v>
      </c>
      <c r="AX138" s="1">
        <f t="shared" si="55"/>
        <v>0</v>
      </c>
      <c r="AY138" s="29">
        <f t="shared" si="56"/>
        <v>0</v>
      </c>
      <c r="AZ138" s="1">
        <f t="shared" si="57"/>
        <v>0</v>
      </c>
      <c r="CB138" s="20">
        <f t="shared" si="66"/>
        <v>0</v>
      </c>
      <c r="CC138" s="173">
        <f t="shared" si="58"/>
        <v>0</v>
      </c>
    </row>
    <row r="139" spans="2:81" x14ac:dyDescent="0.25">
      <c r="B139" s="41"/>
      <c r="C139" s="165"/>
      <c r="D139" s="166"/>
      <c r="E139" s="26"/>
      <c r="F139" s="26"/>
      <c r="G139" s="167"/>
      <c r="H139" s="81" t="str">
        <f>IF(ISERROR(VLOOKUP(#REF!,AB:AC,2,0)),"",VLOOKUP(#REF!,AB:AC,2,0))</f>
        <v/>
      </c>
      <c r="J139" s="7"/>
      <c r="K139" s="8"/>
      <c r="L139" s="15"/>
      <c r="M139" s="21"/>
      <c r="N139" s="21"/>
      <c r="O139" s="21"/>
      <c r="P139" s="21"/>
      <c r="Q139" s="1">
        <f t="shared" si="59"/>
        <v>0.60744618579017706</v>
      </c>
      <c r="R139" s="12">
        <f t="shared" ca="1" si="72"/>
        <v>3272</v>
      </c>
      <c r="S139" s="88">
        <f t="shared" si="50"/>
        <v>0</v>
      </c>
      <c r="T139" s="19">
        <f t="shared" si="51"/>
        <v>0</v>
      </c>
      <c r="U139" s="19">
        <f t="shared" si="47"/>
        <v>0</v>
      </c>
      <c r="V139" s="19">
        <f t="shared" si="64"/>
        <v>0</v>
      </c>
      <c r="W139" s="20">
        <f t="shared" ca="1" si="73"/>
        <v>0</v>
      </c>
      <c r="X139" s="19">
        <f t="shared" ca="1" si="74"/>
        <v>0</v>
      </c>
      <c r="Y139" s="19">
        <f t="shared" ca="1" si="75"/>
        <v>0</v>
      </c>
      <c r="Z139" s="20">
        <f t="shared" ca="1" si="76"/>
        <v>0</v>
      </c>
      <c r="AA139" s="1">
        <f t="shared" si="60"/>
        <v>5432.58</v>
      </c>
      <c r="AB139" s="89"/>
      <c r="AC139" s="90"/>
      <c r="AD139" s="101">
        <f t="shared" si="61"/>
        <v>44394</v>
      </c>
      <c r="AE139" s="103">
        <f t="shared" si="62"/>
        <v>0</v>
      </c>
      <c r="AG139" s="1">
        <f t="shared" si="52"/>
        <v>0</v>
      </c>
      <c r="AH139" s="1">
        <f t="shared" si="67"/>
        <v>0</v>
      </c>
      <c r="AI139" s="1">
        <f t="shared" si="63"/>
        <v>5432.58</v>
      </c>
      <c r="AJ139" s="20">
        <f t="shared" si="65"/>
        <v>0</v>
      </c>
      <c r="AK139" s="100">
        <f t="shared" si="68"/>
        <v>0</v>
      </c>
      <c r="AL139" s="100">
        <f t="shared" si="69"/>
        <v>0</v>
      </c>
      <c r="AN139" s="100">
        <f t="shared" si="70"/>
        <v>5138.4202138873561</v>
      </c>
      <c r="AO139" s="20">
        <f t="shared" si="71"/>
        <v>0</v>
      </c>
      <c r="AQ139" s="109">
        <f t="shared" si="53"/>
        <v>0</v>
      </c>
      <c r="AU139" s="109">
        <f t="shared" si="54"/>
        <v>26.80115219084507</v>
      </c>
      <c r="AV139" s="101">
        <f t="shared" si="48"/>
        <v>44424</v>
      </c>
      <c r="AW139" s="99">
        <f t="shared" si="49"/>
        <v>0</v>
      </c>
      <c r="AX139" s="1">
        <f t="shared" si="55"/>
        <v>0</v>
      </c>
      <c r="AY139" s="29">
        <f t="shared" si="56"/>
        <v>0</v>
      </c>
      <c r="AZ139" s="1">
        <f t="shared" si="57"/>
        <v>0</v>
      </c>
      <c r="CB139" s="20">
        <f t="shared" si="66"/>
        <v>0</v>
      </c>
      <c r="CC139" s="173">
        <f t="shared" si="58"/>
        <v>0</v>
      </c>
    </row>
    <row r="140" spans="2:81" x14ac:dyDescent="0.25">
      <c r="B140" s="41"/>
      <c r="C140" s="165"/>
      <c r="D140" s="166"/>
      <c r="E140" s="26"/>
      <c r="F140" s="26"/>
      <c r="G140" s="167"/>
      <c r="H140" s="81" t="str">
        <f>IF(ISERROR(VLOOKUP(#REF!,AB:AC,2,0)),"",VLOOKUP(#REF!,AB:AC,2,0))</f>
        <v/>
      </c>
      <c r="J140" s="9"/>
      <c r="K140" s="10"/>
      <c r="L140" s="14"/>
      <c r="M140" s="19"/>
      <c r="N140" s="19"/>
      <c r="O140" s="19"/>
      <c r="P140" s="19"/>
      <c r="Q140" s="1">
        <f t="shared" si="59"/>
        <v>0.60744618579017706</v>
      </c>
      <c r="R140" s="12">
        <f t="shared" ca="1" si="72"/>
        <v>3302</v>
      </c>
      <c r="S140" s="88">
        <f t="shared" si="50"/>
        <v>0</v>
      </c>
      <c r="T140" s="19">
        <f t="shared" si="51"/>
        <v>0</v>
      </c>
      <c r="U140" s="19">
        <f t="shared" si="47"/>
        <v>0</v>
      </c>
      <c r="V140" s="19">
        <f t="shared" si="64"/>
        <v>0</v>
      </c>
      <c r="W140" s="20">
        <f t="shared" ca="1" si="73"/>
        <v>0</v>
      </c>
      <c r="X140" s="19">
        <f t="shared" ca="1" si="74"/>
        <v>0</v>
      </c>
      <c r="Y140" s="19">
        <f t="shared" ca="1" si="75"/>
        <v>0</v>
      </c>
      <c r="Z140" s="20">
        <f t="shared" ca="1" si="76"/>
        <v>0</v>
      </c>
      <c r="AA140" s="1">
        <f t="shared" si="60"/>
        <v>5432.58</v>
      </c>
      <c r="AB140" s="87"/>
      <c r="AC140" s="88"/>
      <c r="AD140" s="101">
        <f t="shared" si="61"/>
        <v>44424</v>
      </c>
      <c r="AE140" s="103">
        <f t="shared" si="62"/>
        <v>0</v>
      </c>
      <c r="AG140" s="1">
        <f t="shared" si="52"/>
        <v>0</v>
      </c>
      <c r="AH140" s="1">
        <f t="shared" si="67"/>
        <v>0</v>
      </c>
      <c r="AI140" s="1">
        <f t="shared" si="63"/>
        <v>5432.58</v>
      </c>
      <c r="AJ140" s="20">
        <f t="shared" si="65"/>
        <v>0</v>
      </c>
      <c r="AK140" s="100">
        <f t="shared" si="68"/>
        <v>0</v>
      </c>
      <c r="AL140" s="100">
        <f t="shared" si="69"/>
        <v>0</v>
      </c>
      <c r="AN140" s="100">
        <f t="shared" si="70"/>
        <v>5135.8204351088471</v>
      </c>
      <c r="AO140" s="20">
        <f t="shared" si="71"/>
        <v>0</v>
      </c>
      <c r="AQ140" s="109">
        <f t="shared" si="53"/>
        <v>0</v>
      </c>
      <c r="AU140" s="109">
        <f t="shared" si="54"/>
        <v>26.798799851746978</v>
      </c>
      <c r="AV140" s="101">
        <f t="shared" si="48"/>
        <v>44454</v>
      </c>
      <c r="AW140" s="99">
        <f t="shared" si="49"/>
        <v>0</v>
      </c>
      <c r="AX140" s="1">
        <f t="shared" si="55"/>
        <v>0</v>
      </c>
      <c r="AY140" s="29">
        <f t="shared" si="56"/>
        <v>0</v>
      </c>
      <c r="AZ140" s="1">
        <f t="shared" si="57"/>
        <v>0</v>
      </c>
      <c r="CB140" s="20">
        <f t="shared" si="66"/>
        <v>0</v>
      </c>
      <c r="CC140" s="173">
        <f t="shared" si="58"/>
        <v>0</v>
      </c>
    </row>
    <row r="141" spans="2:81" x14ac:dyDescent="0.25">
      <c r="B141" s="41"/>
      <c r="C141" s="165"/>
      <c r="D141" s="166"/>
      <c r="E141" s="26"/>
      <c r="F141" s="26"/>
      <c r="G141" s="167"/>
      <c r="H141" s="81" t="str">
        <f>IF(ISERROR(VLOOKUP(#REF!,AB:AC,2,0)),"",VLOOKUP(#REF!,AB:AC,2,0))</f>
        <v/>
      </c>
      <c r="J141" s="7"/>
      <c r="K141" s="8"/>
      <c r="L141" s="15"/>
      <c r="M141" s="21"/>
      <c r="N141" s="21"/>
      <c r="O141" s="21"/>
      <c r="P141" s="21"/>
      <c r="Q141" s="1">
        <f t="shared" si="59"/>
        <v>0.60744618579017706</v>
      </c>
      <c r="R141" s="12">
        <f t="shared" ca="1" si="72"/>
        <v>3332</v>
      </c>
      <c r="S141" s="88">
        <f t="shared" si="50"/>
        <v>0</v>
      </c>
      <c r="T141" s="19">
        <f t="shared" si="51"/>
        <v>0</v>
      </c>
      <c r="U141" s="19">
        <f t="shared" si="47"/>
        <v>0</v>
      </c>
      <c r="V141" s="19">
        <f t="shared" si="64"/>
        <v>0</v>
      </c>
      <c r="W141" s="20">
        <f t="shared" ca="1" si="73"/>
        <v>0</v>
      </c>
      <c r="X141" s="19">
        <f t="shared" ca="1" si="74"/>
        <v>0</v>
      </c>
      <c r="Y141" s="19">
        <f t="shared" ca="1" si="75"/>
        <v>0</v>
      </c>
      <c r="Z141" s="20">
        <f t="shared" ca="1" si="76"/>
        <v>0</v>
      </c>
      <c r="AA141" s="1">
        <f t="shared" si="60"/>
        <v>5432.58</v>
      </c>
      <c r="AB141" s="89"/>
      <c r="AC141" s="90"/>
      <c r="AD141" s="101">
        <f t="shared" si="61"/>
        <v>44454</v>
      </c>
      <c r="AE141" s="103">
        <f t="shared" si="62"/>
        <v>0</v>
      </c>
      <c r="AG141" s="1">
        <f t="shared" si="52"/>
        <v>0</v>
      </c>
      <c r="AH141" s="1">
        <f t="shared" si="67"/>
        <v>0</v>
      </c>
      <c r="AI141" s="1">
        <f t="shared" si="63"/>
        <v>5432.58</v>
      </c>
      <c r="AJ141" s="20">
        <f t="shared" si="65"/>
        <v>0</v>
      </c>
      <c r="AK141" s="100">
        <f t="shared" si="68"/>
        <v>0</v>
      </c>
      <c r="AL141" s="100">
        <f t="shared" si="69"/>
        <v>0</v>
      </c>
      <c r="AN141" s="100">
        <f t="shared" si="70"/>
        <v>5133.2219716859172</v>
      </c>
      <c r="AO141" s="20">
        <f t="shared" si="71"/>
        <v>0</v>
      </c>
      <c r="AQ141" s="109">
        <f t="shared" si="53"/>
        <v>0</v>
      </c>
      <c r="AU141" s="109">
        <f t="shared" si="54"/>
        <v>26.796447719113853</v>
      </c>
      <c r="AV141" s="101">
        <f t="shared" si="48"/>
        <v>44484</v>
      </c>
      <c r="AW141" s="99">
        <f t="shared" si="49"/>
        <v>0</v>
      </c>
      <c r="AX141" s="1">
        <f t="shared" si="55"/>
        <v>0</v>
      </c>
      <c r="AY141" s="29">
        <f t="shared" si="56"/>
        <v>0</v>
      </c>
      <c r="AZ141" s="1">
        <f t="shared" si="57"/>
        <v>0</v>
      </c>
      <c r="CB141" s="20">
        <f t="shared" si="66"/>
        <v>0</v>
      </c>
      <c r="CC141" s="173">
        <f t="shared" si="58"/>
        <v>0</v>
      </c>
    </row>
    <row r="142" spans="2:81" x14ac:dyDescent="0.25">
      <c r="B142" s="41"/>
      <c r="C142" s="165"/>
      <c r="D142" s="166"/>
      <c r="E142" s="26"/>
      <c r="F142" s="26"/>
      <c r="G142" s="167"/>
      <c r="H142" s="81" t="str">
        <f>IF(ISERROR(VLOOKUP(#REF!,AB:AC,2,0)),"",VLOOKUP(#REF!,AB:AC,2,0))</f>
        <v/>
      </c>
      <c r="J142" s="9"/>
      <c r="K142" s="10"/>
      <c r="L142" s="14"/>
      <c r="M142" s="19"/>
      <c r="N142" s="19"/>
      <c r="O142" s="19"/>
      <c r="P142" s="19"/>
      <c r="Q142" s="1">
        <f t="shared" si="59"/>
        <v>0.60744618579017706</v>
      </c>
      <c r="R142" s="12">
        <f t="shared" ca="1" si="72"/>
        <v>3362</v>
      </c>
      <c r="S142" s="88">
        <f t="shared" si="50"/>
        <v>0</v>
      </c>
      <c r="T142" s="19">
        <f t="shared" si="51"/>
        <v>0</v>
      </c>
      <c r="U142" s="19">
        <f t="shared" si="47"/>
        <v>0</v>
      </c>
      <c r="V142" s="19">
        <f t="shared" si="64"/>
        <v>0</v>
      </c>
      <c r="W142" s="20">
        <f t="shared" ca="1" si="73"/>
        <v>0</v>
      </c>
      <c r="X142" s="19">
        <f t="shared" ca="1" si="74"/>
        <v>0</v>
      </c>
      <c r="Y142" s="19">
        <f t="shared" ca="1" si="75"/>
        <v>0</v>
      </c>
      <c r="Z142" s="20">
        <f t="shared" ca="1" si="76"/>
        <v>0</v>
      </c>
      <c r="AA142" s="1">
        <f t="shared" si="60"/>
        <v>5432.58</v>
      </c>
      <c r="AB142" s="87"/>
      <c r="AC142" s="88"/>
      <c r="AD142" s="101">
        <f t="shared" si="61"/>
        <v>44484</v>
      </c>
      <c r="AE142" s="103">
        <f t="shared" si="62"/>
        <v>0</v>
      </c>
      <c r="AG142" s="1">
        <f t="shared" si="52"/>
        <v>0</v>
      </c>
      <c r="AH142" s="1">
        <f t="shared" si="67"/>
        <v>0</v>
      </c>
      <c r="AI142" s="1">
        <f t="shared" si="63"/>
        <v>5432.58</v>
      </c>
      <c r="AJ142" s="20">
        <f t="shared" si="65"/>
        <v>0</v>
      </c>
      <c r="AK142" s="100">
        <f t="shared" si="68"/>
        <v>0</v>
      </c>
      <c r="AL142" s="100">
        <f t="shared" si="69"/>
        <v>0</v>
      </c>
      <c r="AN142" s="100">
        <f t="shared" si="70"/>
        <v>5130.6248229530629</v>
      </c>
      <c r="AO142" s="20">
        <f t="shared" si="71"/>
        <v>0</v>
      </c>
      <c r="AQ142" s="109">
        <f t="shared" si="53"/>
        <v>0</v>
      </c>
      <c r="AU142" s="109">
        <f t="shared" si="54"/>
        <v>26.794095792927592</v>
      </c>
      <c r="AV142" s="101">
        <f t="shared" si="48"/>
        <v>44514</v>
      </c>
      <c r="AW142" s="99">
        <f t="shared" si="49"/>
        <v>0</v>
      </c>
      <c r="AX142" s="1">
        <f t="shared" si="55"/>
        <v>0</v>
      </c>
      <c r="AY142" s="29">
        <f t="shared" si="56"/>
        <v>0</v>
      </c>
      <c r="AZ142" s="1">
        <f t="shared" si="57"/>
        <v>0</v>
      </c>
      <c r="CB142" s="20">
        <f t="shared" si="66"/>
        <v>0</v>
      </c>
      <c r="CC142" s="173">
        <f t="shared" si="58"/>
        <v>0</v>
      </c>
    </row>
    <row r="143" spans="2:81" x14ac:dyDescent="0.25">
      <c r="B143" s="41"/>
      <c r="C143" s="165"/>
      <c r="D143" s="166"/>
      <c r="E143" s="26"/>
      <c r="F143" s="26"/>
      <c r="G143" s="167"/>
      <c r="H143" s="81" t="str">
        <f>IF(ISERROR(VLOOKUP(#REF!,AB:AC,2,0)),"",VLOOKUP(#REF!,AB:AC,2,0))</f>
        <v/>
      </c>
      <c r="J143" s="7"/>
      <c r="K143" s="8"/>
      <c r="L143" s="15"/>
      <c r="M143" s="21"/>
      <c r="N143" s="21"/>
      <c r="O143" s="21"/>
      <c r="P143" s="21"/>
      <c r="Q143" s="1">
        <f t="shared" si="59"/>
        <v>0.60744618579017706</v>
      </c>
      <c r="R143" s="12">
        <f t="shared" ca="1" si="72"/>
        <v>3392</v>
      </c>
      <c r="S143" s="88">
        <f t="shared" si="50"/>
        <v>0</v>
      </c>
      <c r="T143" s="19">
        <f t="shared" si="51"/>
        <v>0</v>
      </c>
      <c r="U143" s="19">
        <f t="shared" si="47"/>
        <v>0</v>
      </c>
      <c r="V143" s="19">
        <f t="shared" si="64"/>
        <v>0</v>
      </c>
      <c r="W143" s="20">
        <f t="shared" ca="1" si="73"/>
        <v>0</v>
      </c>
      <c r="X143" s="19">
        <f t="shared" ca="1" si="74"/>
        <v>0</v>
      </c>
      <c r="Y143" s="19">
        <f t="shared" ca="1" si="75"/>
        <v>0</v>
      </c>
      <c r="Z143" s="20">
        <f t="shared" ca="1" si="76"/>
        <v>0</v>
      </c>
      <c r="AA143" s="1">
        <f t="shared" si="60"/>
        <v>5432.58</v>
      </c>
      <c r="AB143" s="89"/>
      <c r="AC143" s="90"/>
      <c r="AD143" s="101">
        <f t="shared" si="61"/>
        <v>44514</v>
      </c>
      <c r="AE143" s="103">
        <f t="shared" si="62"/>
        <v>0</v>
      </c>
      <c r="AG143" s="1">
        <f t="shared" si="52"/>
        <v>0</v>
      </c>
      <c r="AH143" s="1">
        <f t="shared" si="67"/>
        <v>0</v>
      </c>
      <c r="AI143" s="1">
        <f t="shared" si="63"/>
        <v>5432.58</v>
      </c>
      <c r="AJ143" s="20">
        <f t="shared" si="65"/>
        <v>0</v>
      </c>
      <c r="AK143" s="100">
        <f t="shared" si="68"/>
        <v>0</v>
      </c>
      <c r="AL143" s="100">
        <f t="shared" si="69"/>
        <v>0</v>
      </c>
      <c r="AN143" s="100">
        <f t="shared" si="70"/>
        <v>5128.0289882451216</v>
      </c>
      <c r="AO143" s="20">
        <f t="shared" si="71"/>
        <v>0</v>
      </c>
      <c r="AQ143" s="109">
        <f t="shared" si="53"/>
        <v>0</v>
      </c>
      <c r="AU143" s="109">
        <f t="shared" si="54"/>
        <v>26.791744073170058</v>
      </c>
      <c r="AV143" s="101">
        <f t="shared" si="48"/>
        <v>44544</v>
      </c>
      <c r="AW143" s="99">
        <f t="shared" si="49"/>
        <v>0</v>
      </c>
      <c r="AX143" s="1">
        <f t="shared" si="55"/>
        <v>0</v>
      </c>
      <c r="AY143" s="29">
        <f t="shared" si="56"/>
        <v>0</v>
      </c>
      <c r="AZ143" s="1">
        <f t="shared" si="57"/>
        <v>0</v>
      </c>
      <c r="CB143" s="20">
        <f t="shared" si="66"/>
        <v>0</v>
      </c>
      <c r="CC143" s="173">
        <f t="shared" si="58"/>
        <v>0</v>
      </c>
    </row>
    <row r="144" spans="2:81" x14ac:dyDescent="0.25">
      <c r="B144" s="41"/>
      <c r="C144" s="165"/>
      <c r="D144" s="166"/>
      <c r="E144" s="26"/>
      <c r="F144" s="26"/>
      <c r="G144" s="167"/>
      <c r="H144" s="81" t="str">
        <f>IF(ISERROR(VLOOKUP(#REF!,AB:AC,2,0)),"",VLOOKUP(#REF!,AB:AC,2,0))</f>
        <v/>
      </c>
      <c r="J144" s="9"/>
      <c r="K144" s="10"/>
      <c r="L144" s="14"/>
      <c r="M144" s="19"/>
      <c r="N144" s="19"/>
      <c r="O144" s="19"/>
      <c r="P144" s="19"/>
      <c r="Q144" s="1">
        <f t="shared" si="59"/>
        <v>0.60744618579017706</v>
      </c>
      <c r="R144" s="12">
        <f t="shared" ca="1" si="72"/>
        <v>3422</v>
      </c>
      <c r="S144" s="88">
        <f t="shared" si="50"/>
        <v>0</v>
      </c>
      <c r="T144" s="19">
        <f t="shared" si="51"/>
        <v>0</v>
      </c>
      <c r="U144" s="19">
        <f t="shared" si="47"/>
        <v>0</v>
      </c>
      <c r="V144" s="19">
        <f t="shared" si="64"/>
        <v>0</v>
      </c>
      <c r="W144" s="20">
        <f t="shared" ca="1" si="73"/>
        <v>0</v>
      </c>
      <c r="X144" s="19">
        <f t="shared" ca="1" si="74"/>
        <v>0</v>
      </c>
      <c r="Y144" s="19">
        <f t="shared" ca="1" si="75"/>
        <v>0</v>
      </c>
      <c r="Z144" s="20">
        <f t="shared" ca="1" si="76"/>
        <v>0</v>
      </c>
      <c r="AA144" s="1">
        <f t="shared" si="60"/>
        <v>5432.58</v>
      </c>
      <c r="AB144" s="87"/>
      <c r="AC144" s="88"/>
      <c r="AD144" s="101">
        <f t="shared" si="61"/>
        <v>44544</v>
      </c>
      <c r="AE144" s="103">
        <f t="shared" si="62"/>
        <v>0</v>
      </c>
      <c r="AG144" s="1">
        <f t="shared" si="52"/>
        <v>0</v>
      </c>
      <c r="AH144" s="1">
        <f t="shared" si="67"/>
        <v>0</v>
      </c>
      <c r="AI144" s="1">
        <f t="shared" si="63"/>
        <v>5432.58</v>
      </c>
      <c r="AJ144" s="20">
        <f t="shared" si="65"/>
        <v>0</v>
      </c>
      <c r="AK144" s="100">
        <f t="shared" si="68"/>
        <v>0</v>
      </c>
      <c r="AL144" s="100">
        <f t="shared" si="69"/>
        <v>0</v>
      </c>
      <c r="AN144" s="100">
        <f t="shared" si="70"/>
        <v>5125.434466897259</v>
      </c>
      <c r="AO144" s="20">
        <f t="shared" si="71"/>
        <v>0</v>
      </c>
      <c r="AQ144" s="109">
        <f t="shared" si="53"/>
        <v>0</v>
      </c>
      <c r="AU144" s="109">
        <f t="shared" si="54"/>
        <v>26.789392559823145</v>
      </c>
      <c r="AV144" s="101">
        <f t="shared" si="48"/>
        <v>44574</v>
      </c>
      <c r="AW144" s="99">
        <f t="shared" si="49"/>
        <v>0</v>
      </c>
      <c r="AX144" s="1">
        <f t="shared" si="55"/>
        <v>0</v>
      </c>
      <c r="AY144" s="29">
        <f t="shared" si="56"/>
        <v>0</v>
      </c>
      <c r="AZ144" s="1">
        <f t="shared" si="57"/>
        <v>0</v>
      </c>
      <c r="CB144" s="20">
        <f t="shared" si="66"/>
        <v>0</v>
      </c>
      <c r="CC144" s="173">
        <f t="shared" si="58"/>
        <v>0</v>
      </c>
    </row>
    <row r="145" spans="2:81" x14ac:dyDescent="0.25">
      <c r="B145" s="41"/>
      <c r="C145" s="165"/>
      <c r="D145" s="166"/>
      <c r="E145" s="26"/>
      <c r="F145" s="26"/>
      <c r="G145" s="167"/>
      <c r="H145" s="81" t="str">
        <f>IF(ISERROR(VLOOKUP(#REF!,AB:AC,2,0)),"",VLOOKUP(#REF!,AB:AC,2,0))</f>
        <v/>
      </c>
      <c r="J145" s="7"/>
      <c r="K145" s="8"/>
      <c r="L145" s="15"/>
      <c r="M145" s="21"/>
      <c r="N145" s="21"/>
      <c r="O145" s="21"/>
      <c r="P145" s="21"/>
      <c r="Q145" s="1">
        <f t="shared" si="59"/>
        <v>0.60744618579017706</v>
      </c>
      <c r="R145" s="12">
        <f t="shared" ca="1" si="72"/>
        <v>3452</v>
      </c>
      <c r="S145" s="88">
        <f t="shared" si="50"/>
        <v>0</v>
      </c>
      <c r="T145" s="19">
        <f t="shared" si="51"/>
        <v>0</v>
      </c>
      <c r="U145" s="19">
        <f t="shared" si="47"/>
        <v>0</v>
      </c>
      <c r="V145" s="19">
        <f t="shared" si="64"/>
        <v>0</v>
      </c>
      <c r="W145" s="20">
        <f t="shared" ca="1" si="73"/>
        <v>0</v>
      </c>
      <c r="X145" s="19">
        <f t="shared" ca="1" si="74"/>
        <v>0</v>
      </c>
      <c r="Y145" s="19">
        <f t="shared" ca="1" si="75"/>
        <v>0</v>
      </c>
      <c r="Z145" s="20">
        <f t="shared" ca="1" si="76"/>
        <v>0</v>
      </c>
      <c r="AA145" s="1">
        <f t="shared" si="60"/>
        <v>5432.58</v>
      </c>
      <c r="AB145" s="89"/>
      <c r="AC145" s="90"/>
      <c r="AD145" s="101">
        <f t="shared" si="61"/>
        <v>44574</v>
      </c>
      <c r="AE145" s="103">
        <f t="shared" si="62"/>
        <v>0</v>
      </c>
      <c r="AG145" s="1">
        <f t="shared" si="52"/>
        <v>0</v>
      </c>
      <c r="AH145" s="1">
        <f t="shared" si="67"/>
        <v>0</v>
      </c>
      <c r="AI145" s="1">
        <f t="shared" si="63"/>
        <v>5432.58</v>
      </c>
      <c r="AJ145" s="20">
        <f t="shared" si="65"/>
        <v>0</v>
      </c>
      <c r="AK145" s="100">
        <f t="shared" si="68"/>
        <v>0</v>
      </c>
      <c r="AL145" s="100">
        <f t="shared" si="69"/>
        <v>0</v>
      </c>
      <c r="AN145" s="100">
        <f t="shared" si="70"/>
        <v>5122.8412582449828</v>
      </c>
      <c r="AO145" s="20">
        <f t="shared" si="71"/>
        <v>0</v>
      </c>
      <c r="AQ145" s="109">
        <f t="shared" si="53"/>
        <v>0</v>
      </c>
      <c r="AU145" s="109">
        <f t="shared" si="54"/>
        <v>26.787041252868732</v>
      </c>
      <c r="AV145" s="101">
        <f t="shared" si="48"/>
        <v>44604</v>
      </c>
      <c r="AW145" s="99">
        <f t="shared" si="49"/>
        <v>0</v>
      </c>
      <c r="AX145" s="1">
        <f t="shared" si="55"/>
        <v>0</v>
      </c>
      <c r="AY145" s="29">
        <f t="shared" si="56"/>
        <v>0</v>
      </c>
      <c r="AZ145" s="1">
        <f t="shared" si="57"/>
        <v>0</v>
      </c>
      <c r="CB145" s="20">
        <f t="shared" si="66"/>
        <v>0</v>
      </c>
      <c r="CC145" s="173">
        <f t="shared" si="58"/>
        <v>0</v>
      </c>
    </row>
    <row r="146" spans="2:81" x14ac:dyDescent="0.25">
      <c r="B146" s="41"/>
      <c r="C146" s="165"/>
      <c r="D146" s="166"/>
      <c r="E146" s="26"/>
      <c r="F146" s="26"/>
      <c r="G146" s="167"/>
      <c r="H146" s="81" t="str">
        <f>IF(ISERROR(VLOOKUP(#REF!,AB:AC,2,0)),"",VLOOKUP(#REF!,AB:AC,2,0))</f>
        <v/>
      </c>
      <c r="J146" s="9"/>
      <c r="K146" s="10"/>
      <c r="L146" s="14"/>
      <c r="M146" s="19"/>
      <c r="N146" s="19"/>
      <c r="O146" s="19"/>
      <c r="P146" s="19"/>
      <c r="Q146" s="1">
        <f t="shared" si="59"/>
        <v>0.60744618579017706</v>
      </c>
      <c r="R146" s="12">
        <f t="shared" ca="1" si="72"/>
        <v>3482</v>
      </c>
      <c r="S146" s="88">
        <f t="shared" si="50"/>
        <v>0</v>
      </c>
      <c r="T146" s="19">
        <f t="shared" si="51"/>
        <v>0</v>
      </c>
      <c r="U146" s="19">
        <f t="shared" si="47"/>
        <v>0</v>
      </c>
      <c r="V146" s="19">
        <f t="shared" si="64"/>
        <v>0</v>
      </c>
      <c r="W146" s="20">
        <f t="shared" ca="1" si="73"/>
        <v>0</v>
      </c>
      <c r="X146" s="19">
        <f t="shared" ca="1" si="74"/>
        <v>0</v>
      </c>
      <c r="Y146" s="19">
        <f t="shared" ca="1" si="75"/>
        <v>0</v>
      </c>
      <c r="Z146" s="20">
        <f t="shared" ca="1" si="76"/>
        <v>0</v>
      </c>
      <c r="AA146" s="1">
        <f t="shared" si="60"/>
        <v>5432.58</v>
      </c>
      <c r="AB146" s="87"/>
      <c r="AC146" s="88"/>
      <c r="AD146" s="101">
        <f t="shared" si="61"/>
        <v>44604</v>
      </c>
      <c r="AE146" s="103">
        <f t="shared" si="62"/>
        <v>0</v>
      </c>
      <c r="AG146" s="1">
        <f t="shared" si="52"/>
        <v>0</v>
      </c>
      <c r="AH146" s="1">
        <f t="shared" si="67"/>
        <v>0</v>
      </c>
      <c r="AI146" s="1">
        <f t="shared" si="63"/>
        <v>5432.58</v>
      </c>
      <c r="AJ146" s="20">
        <f t="shared" si="65"/>
        <v>0</v>
      </c>
      <c r="AK146" s="100">
        <f t="shared" si="68"/>
        <v>0</v>
      </c>
      <c r="AL146" s="100">
        <f t="shared" si="69"/>
        <v>0</v>
      </c>
      <c r="AN146" s="100">
        <f t="shared" si="70"/>
        <v>5120.24936162414</v>
      </c>
      <c r="AO146" s="20">
        <f t="shared" si="71"/>
        <v>0</v>
      </c>
      <c r="AQ146" s="109">
        <f t="shared" si="53"/>
        <v>0</v>
      </c>
      <c r="AU146" s="109">
        <f t="shared" si="54"/>
        <v>26.784690152288697</v>
      </c>
      <c r="AV146" s="101">
        <f t="shared" si="48"/>
        <v>44634</v>
      </c>
      <c r="AW146" s="99">
        <f t="shared" si="49"/>
        <v>0</v>
      </c>
      <c r="AX146" s="1">
        <f t="shared" si="55"/>
        <v>0</v>
      </c>
      <c r="AY146" s="29">
        <f t="shared" si="56"/>
        <v>0</v>
      </c>
      <c r="AZ146" s="1">
        <f t="shared" si="57"/>
        <v>0</v>
      </c>
      <c r="CB146" s="20">
        <f t="shared" si="66"/>
        <v>0</v>
      </c>
      <c r="CC146" s="173">
        <f t="shared" si="58"/>
        <v>0</v>
      </c>
    </row>
    <row r="147" spans="2:81" x14ac:dyDescent="0.25">
      <c r="B147" s="41"/>
      <c r="C147" s="165"/>
      <c r="D147" s="166"/>
      <c r="E147" s="26"/>
      <c r="F147" s="26"/>
      <c r="G147" s="167"/>
      <c r="H147" s="81" t="str">
        <f>IF(ISERROR(VLOOKUP(#REF!,AB:AC,2,0)),"",VLOOKUP(#REF!,AB:AC,2,0))</f>
        <v/>
      </c>
      <c r="J147" s="7"/>
      <c r="K147" s="8"/>
      <c r="L147" s="15"/>
      <c r="M147" s="21"/>
      <c r="N147" s="21"/>
      <c r="O147" s="21"/>
      <c r="P147" s="21"/>
      <c r="Q147" s="1">
        <f t="shared" si="59"/>
        <v>0.60744618579017706</v>
      </c>
      <c r="R147" s="12">
        <f t="shared" ca="1" si="72"/>
        <v>3512</v>
      </c>
      <c r="S147" s="88">
        <f t="shared" si="50"/>
        <v>0</v>
      </c>
      <c r="T147" s="19">
        <f t="shared" si="51"/>
        <v>0</v>
      </c>
      <c r="U147" s="19">
        <f t="shared" si="47"/>
        <v>0</v>
      </c>
      <c r="V147" s="19">
        <f t="shared" si="64"/>
        <v>0</v>
      </c>
      <c r="W147" s="20">
        <f t="shared" ca="1" si="73"/>
        <v>0</v>
      </c>
      <c r="X147" s="19">
        <f t="shared" ca="1" si="74"/>
        <v>0</v>
      </c>
      <c r="Y147" s="19">
        <f t="shared" ca="1" si="75"/>
        <v>0</v>
      </c>
      <c r="Z147" s="20">
        <f t="shared" ca="1" si="76"/>
        <v>0</v>
      </c>
      <c r="AA147" s="1">
        <f t="shared" si="60"/>
        <v>5432.58</v>
      </c>
      <c r="AB147" s="89"/>
      <c r="AC147" s="90"/>
      <c r="AD147" s="101">
        <f t="shared" si="61"/>
        <v>44634</v>
      </c>
      <c r="AE147" s="103">
        <f t="shared" si="62"/>
        <v>0</v>
      </c>
      <c r="AG147" s="1">
        <f t="shared" si="52"/>
        <v>0</v>
      </c>
      <c r="AH147" s="1">
        <f t="shared" si="67"/>
        <v>0</v>
      </c>
      <c r="AI147" s="1">
        <f t="shared" si="63"/>
        <v>5432.58</v>
      </c>
      <c r="AJ147" s="20">
        <f t="shared" si="65"/>
        <v>0</v>
      </c>
      <c r="AK147" s="100">
        <f t="shared" si="68"/>
        <v>0</v>
      </c>
      <c r="AL147" s="100">
        <f t="shared" si="69"/>
        <v>0</v>
      </c>
      <c r="AN147" s="100">
        <f t="shared" si="70"/>
        <v>5117.658776370904</v>
      </c>
      <c r="AO147" s="20">
        <f t="shared" si="71"/>
        <v>0</v>
      </c>
      <c r="AQ147" s="109">
        <f t="shared" si="53"/>
        <v>0</v>
      </c>
      <c r="AU147" s="109">
        <f t="shared" si="54"/>
        <v>26.782339258064937</v>
      </c>
      <c r="AV147" s="101">
        <f t="shared" si="48"/>
        <v>44664</v>
      </c>
      <c r="AW147" s="99">
        <f t="shared" si="49"/>
        <v>0</v>
      </c>
      <c r="AX147" s="1">
        <f t="shared" si="55"/>
        <v>0</v>
      </c>
      <c r="AY147" s="29">
        <f t="shared" si="56"/>
        <v>0</v>
      </c>
      <c r="AZ147" s="1">
        <f t="shared" si="57"/>
        <v>0</v>
      </c>
      <c r="CB147" s="20">
        <f t="shared" si="66"/>
        <v>0</v>
      </c>
      <c r="CC147" s="173">
        <f t="shared" si="58"/>
        <v>0</v>
      </c>
    </row>
    <row r="148" spans="2:81" x14ac:dyDescent="0.25">
      <c r="B148" s="41"/>
      <c r="C148" s="42"/>
      <c r="D148" s="43"/>
      <c r="E148" s="44"/>
      <c r="F148" s="44"/>
      <c r="G148" s="45"/>
      <c r="H148" s="81" t="str">
        <f>IF(ISERROR(VLOOKUP(#REF!,AB:AC,2,0)),"",VLOOKUP(#REF!,AB:AC,2,0))</f>
        <v/>
      </c>
      <c r="J148" s="9"/>
      <c r="K148" s="10"/>
      <c r="L148" s="14"/>
      <c r="M148" s="19"/>
      <c r="N148" s="19"/>
      <c r="O148" s="19"/>
      <c r="P148" s="19"/>
      <c r="Q148" s="1">
        <f t="shared" si="59"/>
        <v>0.60744618579017706</v>
      </c>
      <c r="R148" s="12">
        <f t="shared" ca="1" si="72"/>
        <v>3542</v>
      </c>
      <c r="S148" s="88">
        <f t="shared" si="50"/>
        <v>0</v>
      </c>
      <c r="T148" s="19">
        <f t="shared" si="51"/>
        <v>0</v>
      </c>
      <c r="U148" s="19">
        <f t="shared" si="47"/>
        <v>0</v>
      </c>
      <c r="V148" s="19">
        <f t="shared" si="64"/>
        <v>0</v>
      </c>
      <c r="W148" s="20">
        <f t="shared" ca="1" si="73"/>
        <v>0</v>
      </c>
      <c r="X148" s="19">
        <f t="shared" ca="1" si="74"/>
        <v>0</v>
      </c>
      <c r="Y148" s="19">
        <f t="shared" ca="1" si="75"/>
        <v>0</v>
      </c>
      <c r="Z148" s="20">
        <f t="shared" ca="1" si="76"/>
        <v>0</v>
      </c>
      <c r="AA148" s="1">
        <f t="shared" si="60"/>
        <v>5432.58</v>
      </c>
      <c r="AB148" s="87"/>
      <c r="AC148" s="88"/>
      <c r="AD148" s="101">
        <f t="shared" si="61"/>
        <v>44664</v>
      </c>
      <c r="AE148" s="103">
        <f t="shared" si="62"/>
        <v>0</v>
      </c>
      <c r="AG148" s="1">
        <f t="shared" si="52"/>
        <v>0</v>
      </c>
      <c r="AH148" s="1">
        <f t="shared" si="67"/>
        <v>0</v>
      </c>
      <c r="AI148" s="1">
        <f t="shared" si="63"/>
        <v>5432.58</v>
      </c>
      <c r="AJ148" s="20">
        <f t="shared" si="65"/>
        <v>0</v>
      </c>
      <c r="AK148" s="100">
        <f t="shared" si="68"/>
        <v>0</v>
      </c>
      <c r="AL148" s="100">
        <f t="shared" si="69"/>
        <v>0</v>
      </c>
      <c r="AN148" s="100">
        <f t="shared" si="70"/>
        <v>5115.0695018217921</v>
      </c>
      <c r="AO148" s="20">
        <f t="shared" si="71"/>
        <v>0</v>
      </c>
      <c r="AQ148" s="109">
        <f t="shared" si="53"/>
        <v>0</v>
      </c>
      <c r="AU148" s="109">
        <f t="shared" si="54"/>
        <v>26.779988570179331</v>
      </c>
      <c r="AV148" s="101">
        <f t="shared" si="48"/>
        <v>44694</v>
      </c>
      <c r="AW148" s="99">
        <f t="shared" si="49"/>
        <v>0</v>
      </c>
      <c r="AX148" s="1">
        <f t="shared" si="55"/>
        <v>0</v>
      </c>
      <c r="AY148" s="29">
        <f t="shared" si="56"/>
        <v>0</v>
      </c>
      <c r="AZ148" s="1">
        <f t="shared" si="57"/>
        <v>0</v>
      </c>
      <c r="CB148" s="20">
        <f t="shared" si="66"/>
        <v>0</v>
      </c>
      <c r="CC148" s="173">
        <f t="shared" si="58"/>
        <v>0</v>
      </c>
    </row>
    <row r="149" spans="2:81" x14ac:dyDescent="0.25">
      <c r="B149" s="41"/>
      <c r="C149" s="42"/>
      <c r="D149" s="43"/>
      <c r="E149" s="44"/>
      <c r="F149" s="44"/>
      <c r="G149" s="45"/>
      <c r="H149" s="81" t="str">
        <f>IF(ISERROR(VLOOKUP(#REF!,AB:AC,2,0)),"",VLOOKUP(#REF!,AB:AC,2,0))</f>
        <v/>
      </c>
      <c r="J149" s="7"/>
      <c r="K149" s="8"/>
      <c r="L149" s="15"/>
      <c r="M149" s="21"/>
      <c r="N149" s="21"/>
      <c r="O149" s="21"/>
      <c r="P149" s="21"/>
      <c r="Q149" s="1">
        <f t="shared" si="59"/>
        <v>0.60744618579017706</v>
      </c>
      <c r="R149" s="12">
        <f t="shared" ca="1" si="72"/>
        <v>3572</v>
      </c>
      <c r="S149" s="88">
        <f t="shared" si="50"/>
        <v>0</v>
      </c>
      <c r="T149" s="19">
        <f t="shared" si="51"/>
        <v>0</v>
      </c>
      <c r="U149" s="19">
        <f t="shared" si="47"/>
        <v>0</v>
      </c>
      <c r="V149" s="19">
        <f t="shared" si="64"/>
        <v>0</v>
      </c>
      <c r="W149" s="20">
        <f t="shared" ca="1" si="73"/>
        <v>0</v>
      </c>
      <c r="X149" s="19">
        <f t="shared" ca="1" si="74"/>
        <v>0</v>
      </c>
      <c r="Y149" s="19">
        <f t="shared" ca="1" si="75"/>
        <v>0</v>
      </c>
      <c r="Z149" s="20">
        <f t="shared" ca="1" si="76"/>
        <v>0</v>
      </c>
      <c r="AA149" s="1">
        <f t="shared" si="60"/>
        <v>5432.58</v>
      </c>
      <c r="AB149" s="89"/>
      <c r="AC149" s="90"/>
      <c r="AD149" s="101">
        <f t="shared" si="61"/>
        <v>44694</v>
      </c>
      <c r="AE149" s="103">
        <f t="shared" si="62"/>
        <v>0</v>
      </c>
      <c r="AG149" s="1">
        <f t="shared" si="52"/>
        <v>0</v>
      </c>
      <c r="AH149" s="1">
        <f t="shared" si="67"/>
        <v>0</v>
      </c>
      <c r="AI149" s="1">
        <f t="shared" si="63"/>
        <v>5432.58</v>
      </c>
      <c r="AJ149" s="20">
        <f t="shared" si="65"/>
        <v>0</v>
      </c>
      <c r="AK149" s="100">
        <f t="shared" si="68"/>
        <v>0</v>
      </c>
      <c r="AL149" s="100">
        <f t="shared" si="69"/>
        <v>0</v>
      </c>
      <c r="AN149" s="100">
        <f t="shared" si="70"/>
        <v>5112.4815373136544</v>
      </c>
      <c r="AO149" s="20">
        <f t="shared" si="71"/>
        <v>0</v>
      </c>
      <c r="AQ149" s="109">
        <f t="shared" si="53"/>
        <v>0</v>
      </c>
      <c r="AU149" s="109">
        <f t="shared" si="54"/>
        <v>26.777638088613784</v>
      </c>
      <c r="AV149" s="101">
        <f t="shared" si="48"/>
        <v>44724</v>
      </c>
      <c r="AW149" s="99">
        <f t="shared" si="49"/>
        <v>0</v>
      </c>
      <c r="AX149" s="1">
        <f t="shared" si="55"/>
        <v>0</v>
      </c>
      <c r="AY149" s="29">
        <f t="shared" si="56"/>
        <v>0</v>
      </c>
      <c r="AZ149" s="1">
        <f t="shared" si="57"/>
        <v>0</v>
      </c>
      <c r="CB149" s="20">
        <f t="shared" si="66"/>
        <v>0</v>
      </c>
      <c r="CC149" s="173">
        <f t="shared" si="58"/>
        <v>0</v>
      </c>
    </row>
    <row r="150" spans="2:81" x14ac:dyDescent="0.25">
      <c r="B150" s="41"/>
      <c r="C150" s="42"/>
      <c r="D150" s="43"/>
      <c r="E150" s="44"/>
      <c r="F150" s="44"/>
      <c r="G150" s="45"/>
      <c r="H150" s="81" t="str">
        <f t="shared" ref="H150:H213" si="77">IF(ISERROR(VLOOKUP(C148,AB:AC,2,0)),"",VLOOKUP(C148,AB:AC,2,0))</f>
        <v/>
      </c>
      <c r="J150" s="9"/>
      <c r="K150" s="10"/>
      <c r="L150" s="14"/>
      <c r="M150" s="19"/>
      <c r="N150" s="19"/>
      <c r="O150" s="19"/>
      <c r="P150" s="19"/>
      <c r="Q150" s="1">
        <f t="shared" si="59"/>
        <v>0.60744618579017706</v>
      </c>
      <c r="R150" s="12">
        <f t="shared" ca="1" si="72"/>
        <v>3602</v>
      </c>
      <c r="S150" s="88">
        <f t="shared" si="50"/>
        <v>0</v>
      </c>
      <c r="T150" s="19">
        <f t="shared" si="51"/>
        <v>0</v>
      </c>
      <c r="U150" s="19">
        <f t="shared" si="47"/>
        <v>0</v>
      </c>
      <c r="V150" s="19">
        <f t="shared" si="64"/>
        <v>0</v>
      </c>
      <c r="W150" s="20">
        <f t="shared" ca="1" si="73"/>
        <v>0</v>
      </c>
      <c r="X150" s="19">
        <f t="shared" ca="1" si="74"/>
        <v>0</v>
      </c>
      <c r="Y150" s="19">
        <f t="shared" ca="1" si="75"/>
        <v>0</v>
      </c>
      <c r="Z150" s="20">
        <f t="shared" ca="1" si="76"/>
        <v>0</v>
      </c>
      <c r="AA150" s="1">
        <f t="shared" si="60"/>
        <v>5432.58</v>
      </c>
      <c r="AB150" s="87"/>
      <c r="AC150" s="88"/>
      <c r="AD150" s="101">
        <f t="shared" si="61"/>
        <v>44724</v>
      </c>
      <c r="AE150" s="103">
        <f t="shared" si="62"/>
        <v>0</v>
      </c>
      <c r="AG150" s="1">
        <f t="shared" si="52"/>
        <v>0</v>
      </c>
      <c r="AH150" s="1">
        <f t="shared" si="67"/>
        <v>0</v>
      </c>
      <c r="AI150" s="1">
        <f t="shared" si="63"/>
        <v>5432.58</v>
      </c>
      <c r="AJ150" s="20">
        <f t="shared" si="65"/>
        <v>0</v>
      </c>
      <c r="AK150" s="100">
        <f t="shared" si="68"/>
        <v>0</v>
      </c>
      <c r="AL150" s="100">
        <f t="shared" si="69"/>
        <v>0</v>
      </c>
      <c r="AN150" s="100">
        <f t="shared" si="70"/>
        <v>5109.8948821836775</v>
      </c>
      <c r="AO150" s="20">
        <f t="shared" si="71"/>
        <v>0</v>
      </c>
      <c r="AQ150" s="109">
        <f t="shared" si="53"/>
        <v>0</v>
      </c>
      <c r="AU150" s="109">
        <f t="shared" si="54"/>
        <v>26.775287813350168</v>
      </c>
      <c r="AV150" s="101">
        <f t="shared" si="48"/>
        <v>44754</v>
      </c>
      <c r="AW150" s="99">
        <f t="shared" si="49"/>
        <v>0</v>
      </c>
      <c r="AX150" s="1">
        <f t="shared" si="55"/>
        <v>0</v>
      </c>
      <c r="AY150" s="29">
        <f t="shared" si="56"/>
        <v>0</v>
      </c>
      <c r="AZ150" s="1">
        <f t="shared" si="57"/>
        <v>0</v>
      </c>
      <c r="CB150" s="20">
        <f t="shared" si="66"/>
        <v>0</v>
      </c>
      <c r="CC150" s="173">
        <f t="shared" si="58"/>
        <v>0</v>
      </c>
    </row>
    <row r="151" spans="2:81" x14ac:dyDescent="0.25">
      <c r="B151" s="41"/>
      <c r="C151" s="42"/>
      <c r="D151" s="43"/>
      <c r="E151" s="44"/>
      <c r="F151" s="44"/>
      <c r="G151" s="45"/>
      <c r="H151" s="81" t="str">
        <f t="shared" si="77"/>
        <v/>
      </c>
      <c r="J151" s="7"/>
      <c r="K151" s="8"/>
      <c r="L151" s="15"/>
      <c r="M151" s="21"/>
      <c r="N151" s="21"/>
      <c r="O151" s="21"/>
      <c r="P151" s="21"/>
      <c r="Q151" s="1">
        <f t="shared" si="59"/>
        <v>0.60744618579017706</v>
      </c>
      <c r="R151" s="12">
        <f t="shared" ca="1" si="72"/>
        <v>3632</v>
      </c>
      <c r="S151" s="88">
        <f t="shared" si="50"/>
        <v>0</v>
      </c>
      <c r="T151" s="19">
        <f t="shared" si="51"/>
        <v>0</v>
      </c>
      <c r="U151" s="19">
        <f t="shared" si="47"/>
        <v>0</v>
      </c>
      <c r="V151" s="19">
        <f t="shared" si="64"/>
        <v>0</v>
      </c>
      <c r="W151" s="20">
        <f t="shared" ca="1" si="73"/>
        <v>0</v>
      </c>
      <c r="X151" s="19">
        <f t="shared" ca="1" si="74"/>
        <v>0</v>
      </c>
      <c r="Y151" s="19">
        <f t="shared" ca="1" si="75"/>
        <v>0</v>
      </c>
      <c r="Z151" s="20">
        <f t="shared" ca="1" si="76"/>
        <v>0</v>
      </c>
      <c r="AA151" s="1">
        <f t="shared" si="60"/>
        <v>5432.58</v>
      </c>
      <c r="AB151" s="89"/>
      <c r="AC151" s="90"/>
      <c r="AD151" s="101">
        <f t="shared" si="61"/>
        <v>44754</v>
      </c>
      <c r="AE151" s="103">
        <f t="shared" si="62"/>
        <v>0</v>
      </c>
      <c r="AG151" s="1">
        <f t="shared" si="52"/>
        <v>0</v>
      </c>
      <c r="AH151" s="1">
        <f t="shared" si="67"/>
        <v>0</v>
      </c>
      <c r="AI151" s="1">
        <f t="shared" si="63"/>
        <v>5432.58</v>
      </c>
      <c r="AJ151" s="20">
        <f t="shared" si="65"/>
        <v>0</v>
      </c>
      <c r="AK151" s="100">
        <f t="shared" si="68"/>
        <v>0</v>
      </c>
      <c r="AL151" s="100">
        <f t="shared" si="69"/>
        <v>0</v>
      </c>
      <c r="AN151" s="100">
        <f t="shared" si="70"/>
        <v>5107.3095357693837</v>
      </c>
      <c r="AO151" s="20">
        <f t="shared" si="71"/>
        <v>0</v>
      </c>
      <c r="AQ151" s="109">
        <f t="shared" si="53"/>
        <v>0</v>
      </c>
      <c r="AU151" s="109">
        <f t="shared" si="54"/>
        <v>26.772937744370392</v>
      </c>
      <c r="AV151" s="101">
        <f t="shared" si="48"/>
        <v>44784</v>
      </c>
      <c r="AW151" s="99">
        <f t="shared" si="49"/>
        <v>0</v>
      </c>
      <c r="AX151" s="1">
        <f t="shared" si="55"/>
        <v>0</v>
      </c>
      <c r="AY151" s="29">
        <f t="shared" si="56"/>
        <v>0</v>
      </c>
      <c r="AZ151" s="1">
        <f t="shared" si="57"/>
        <v>0</v>
      </c>
      <c r="CB151" s="20">
        <f t="shared" si="66"/>
        <v>0</v>
      </c>
      <c r="CC151" s="173">
        <f t="shared" si="58"/>
        <v>0</v>
      </c>
    </row>
    <row r="152" spans="2:81" x14ac:dyDescent="0.25">
      <c r="B152" s="41"/>
      <c r="C152" s="42"/>
      <c r="D152" s="43"/>
      <c r="E152" s="44"/>
      <c r="F152" s="44"/>
      <c r="G152" s="45"/>
      <c r="H152" s="81" t="str">
        <f t="shared" si="77"/>
        <v/>
      </c>
      <c r="J152" s="9"/>
      <c r="K152" s="10"/>
      <c r="L152" s="14"/>
      <c r="M152" s="19"/>
      <c r="N152" s="19"/>
      <c r="O152" s="19"/>
      <c r="P152" s="19"/>
      <c r="Q152" s="1">
        <f t="shared" si="59"/>
        <v>0.60744618579017706</v>
      </c>
      <c r="R152" s="12">
        <f t="shared" ca="1" si="72"/>
        <v>3662</v>
      </c>
      <c r="S152" s="88">
        <f t="shared" si="50"/>
        <v>0</v>
      </c>
      <c r="T152" s="19">
        <f t="shared" si="51"/>
        <v>0</v>
      </c>
      <c r="U152" s="19">
        <f t="shared" si="47"/>
        <v>0</v>
      </c>
      <c r="V152" s="19">
        <f t="shared" si="64"/>
        <v>0</v>
      </c>
      <c r="W152" s="20">
        <f t="shared" ca="1" si="73"/>
        <v>0</v>
      </c>
      <c r="X152" s="19">
        <f t="shared" ca="1" si="74"/>
        <v>0</v>
      </c>
      <c r="Y152" s="19">
        <f t="shared" ca="1" si="75"/>
        <v>0</v>
      </c>
      <c r="Z152" s="20">
        <f t="shared" ca="1" si="76"/>
        <v>0</v>
      </c>
      <c r="AA152" s="1">
        <f t="shared" si="60"/>
        <v>5432.58</v>
      </c>
      <c r="AB152" s="87"/>
      <c r="AC152" s="88"/>
      <c r="AD152" s="101">
        <f t="shared" si="61"/>
        <v>44784</v>
      </c>
      <c r="AE152" s="103">
        <f t="shared" si="62"/>
        <v>0</v>
      </c>
      <c r="AG152" s="1">
        <f t="shared" si="52"/>
        <v>0</v>
      </c>
      <c r="AH152" s="1">
        <f t="shared" si="67"/>
        <v>0</v>
      </c>
      <c r="AI152" s="1">
        <f t="shared" si="63"/>
        <v>5432.58</v>
      </c>
      <c r="AJ152" s="20">
        <f t="shared" si="65"/>
        <v>0</v>
      </c>
      <c r="AK152" s="100">
        <f t="shared" si="68"/>
        <v>0</v>
      </c>
      <c r="AL152" s="100">
        <f t="shared" si="69"/>
        <v>0</v>
      </c>
      <c r="AN152" s="100">
        <f t="shared" si="70"/>
        <v>5104.7254974086281</v>
      </c>
      <c r="AO152" s="20">
        <f t="shared" si="71"/>
        <v>0</v>
      </c>
      <c r="AQ152" s="109">
        <f t="shared" si="53"/>
        <v>0</v>
      </c>
      <c r="AU152" s="109">
        <f t="shared" si="54"/>
        <v>26.77058788165634</v>
      </c>
      <c r="AV152" s="101">
        <f t="shared" si="48"/>
        <v>44814</v>
      </c>
      <c r="AW152" s="99">
        <f t="shared" si="49"/>
        <v>0</v>
      </c>
      <c r="AX152" s="1">
        <f t="shared" si="55"/>
        <v>0</v>
      </c>
      <c r="AY152" s="29">
        <f t="shared" si="56"/>
        <v>0</v>
      </c>
      <c r="AZ152" s="1">
        <f t="shared" si="57"/>
        <v>0</v>
      </c>
      <c r="CB152" s="20">
        <f t="shared" si="66"/>
        <v>0</v>
      </c>
      <c r="CC152" s="173">
        <f t="shared" si="58"/>
        <v>0</v>
      </c>
    </row>
    <row r="153" spans="2:81" x14ac:dyDescent="0.25">
      <c r="B153" s="41"/>
      <c r="C153" s="42"/>
      <c r="D153" s="43"/>
      <c r="E153" s="44"/>
      <c r="F153" s="44"/>
      <c r="G153" s="45"/>
      <c r="H153" s="81" t="str">
        <f t="shared" si="77"/>
        <v/>
      </c>
      <c r="J153" s="7"/>
      <c r="K153" s="8"/>
      <c r="L153" s="15"/>
      <c r="M153" s="21"/>
      <c r="N153" s="21"/>
      <c r="O153" s="21"/>
      <c r="P153" s="21"/>
      <c r="Q153" s="1">
        <f t="shared" si="59"/>
        <v>0.60744618579017706</v>
      </c>
      <c r="R153" s="12">
        <f t="shared" ca="1" si="72"/>
        <v>3692</v>
      </c>
      <c r="S153" s="88">
        <f t="shared" si="50"/>
        <v>0</v>
      </c>
      <c r="T153" s="19">
        <f t="shared" si="51"/>
        <v>0</v>
      </c>
      <c r="U153" s="19">
        <f t="shared" si="47"/>
        <v>0</v>
      </c>
      <c r="V153" s="19">
        <f t="shared" si="64"/>
        <v>0</v>
      </c>
      <c r="W153" s="20">
        <f t="shared" ca="1" si="73"/>
        <v>0</v>
      </c>
      <c r="X153" s="19">
        <f t="shared" ca="1" si="74"/>
        <v>0</v>
      </c>
      <c r="Y153" s="19">
        <f t="shared" ca="1" si="75"/>
        <v>0</v>
      </c>
      <c r="Z153" s="20">
        <f t="shared" ca="1" si="76"/>
        <v>0</v>
      </c>
      <c r="AA153" s="1">
        <f t="shared" si="60"/>
        <v>5432.58</v>
      </c>
      <c r="AB153" s="89"/>
      <c r="AC153" s="90"/>
      <c r="AD153" s="101">
        <f t="shared" si="61"/>
        <v>44814</v>
      </c>
      <c r="AE153" s="103">
        <f t="shared" si="62"/>
        <v>0</v>
      </c>
      <c r="AG153" s="1">
        <f t="shared" si="52"/>
        <v>0</v>
      </c>
      <c r="AH153" s="1">
        <f t="shared" si="67"/>
        <v>0</v>
      </c>
      <c r="AI153" s="1">
        <f t="shared" si="63"/>
        <v>5432.58</v>
      </c>
      <c r="AJ153" s="20">
        <f t="shared" si="65"/>
        <v>0</v>
      </c>
      <c r="AK153" s="100">
        <f t="shared" si="68"/>
        <v>0</v>
      </c>
      <c r="AL153" s="100">
        <f t="shared" si="69"/>
        <v>0</v>
      </c>
      <c r="AN153" s="100">
        <f t="shared" si="70"/>
        <v>5102.1427664396006</v>
      </c>
      <c r="AO153" s="20">
        <f t="shared" si="71"/>
        <v>0</v>
      </c>
      <c r="AQ153" s="109">
        <f t="shared" si="53"/>
        <v>0</v>
      </c>
      <c r="AU153" s="109">
        <f t="shared" si="54"/>
        <v>26.768238225189908</v>
      </c>
      <c r="AV153" s="101">
        <f t="shared" si="48"/>
        <v>44844</v>
      </c>
      <c r="AW153" s="99">
        <f t="shared" si="49"/>
        <v>0</v>
      </c>
      <c r="AX153" s="1">
        <f t="shared" si="55"/>
        <v>0</v>
      </c>
      <c r="AY153" s="29">
        <f t="shared" si="56"/>
        <v>0</v>
      </c>
      <c r="AZ153" s="1">
        <f t="shared" si="57"/>
        <v>0</v>
      </c>
      <c r="CB153" s="20">
        <f t="shared" si="66"/>
        <v>0</v>
      </c>
      <c r="CC153" s="173">
        <f t="shared" si="58"/>
        <v>0</v>
      </c>
    </row>
    <row r="154" spans="2:81" x14ac:dyDescent="0.25">
      <c r="B154" s="41"/>
      <c r="C154" s="42"/>
      <c r="D154" s="43"/>
      <c r="E154" s="44"/>
      <c r="F154" s="44"/>
      <c r="G154" s="45"/>
      <c r="H154" s="81" t="str">
        <f t="shared" si="77"/>
        <v/>
      </c>
      <c r="J154" s="9"/>
      <c r="K154" s="10"/>
      <c r="L154" s="14"/>
      <c r="M154" s="19"/>
      <c r="N154" s="19"/>
      <c r="O154" s="19"/>
      <c r="P154" s="19"/>
      <c r="Q154" s="1">
        <f t="shared" si="59"/>
        <v>0.60744618579017706</v>
      </c>
      <c r="R154" s="12">
        <f t="shared" ca="1" si="72"/>
        <v>3722</v>
      </c>
      <c r="S154" s="88">
        <f t="shared" si="50"/>
        <v>0</v>
      </c>
      <c r="T154" s="19">
        <f t="shared" si="51"/>
        <v>0</v>
      </c>
      <c r="U154" s="19">
        <f t="shared" si="47"/>
        <v>0</v>
      </c>
      <c r="V154" s="19">
        <f t="shared" si="64"/>
        <v>0</v>
      </c>
      <c r="W154" s="20">
        <f t="shared" ca="1" si="73"/>
        <v>0</v>
      </c>
      <c r="X154" s="19">
        <f t="shared" ca="1" si="74"/>
        <v>0</v>
      </c>
      <c r="Y154" s="19">
        <f t="shared" ca="1" si="75"/>
        <v>0</v>
      </c>
      <c r="Z154" s="20">
        <f t="shared" ca="1" si="76"/>
        <v>0</v>
      </c>
      <c r="AA154" s="1">
        <f t="shared" si="60"/>
        <v>5432.58</v>
      </c>
      <c r="AB154" s="87"/>
      <c r="AC154" s="88"/>
      <c r="AD154" s="101">
        <f t="shared" si="61"/>
        <v>44844</v>
      </c>
      <c r="AE154" s="103">
        <f t="shared" si="62"/>
        <v>0</v>
      </c>
      <c r="AG154" s="1">
        <f t="shared" si="52"/>
        <v>0</v>
      </c>
      <c r="AH154" s="1">
        <f t="shared" si="67"/>
        <v>0</v>
      </c>
      <c r="AI154" s="1">
        <f t="shared" si="63"/>
        <v>5432.58</v>
      </c>
      <c r="AJ154" s="20">
        <f t="shared" si="65"/>
        <v>0</v>
      </c>
      <c r="AK154" s="100">
        <f t="shared" si="68"/>
        <v>0</v>
      </c>
      <c r="AL154" s="100">
        <f t="shared" si="69"/>
        <v>0</v>
      </c>
      <c r="AN154" s="100">
        <f t="shared" si="70"/>
        <v>5099.5613422008309</v>
      </c>
      <c r="AO154" s="20">
        <f t="shared" si="71"/>
        <v>0</v>
      </c>
      <c r="AQ154" s="109">
        <f t="shared" si="53"/>
        <v>0</v>
      </c>
      <c r="AU154" s="109">
        <f t="shared" si="54"/>
        <v>26.765888774953002</v>
      </c>
      <c r="AV154" s="101">
        <f t="shared" si="48"/>
        <v>44874</v>
      </c>
      <c r="AW154" s="99">
        <f t="shared" si="49"/>
        <v>0</v>
      </c>
      <c r="AX154" s="1">
        <f t="shared" si="55"/>
        <v>0</v>
      </c>
      <c r="AY154" s="29">
        <f t="shared" si="56"/>
        <v>0</v>
      </c>
      <c r="AZ154" s="1">
        <f t="shared" si="57"/>
        <v>0</v>
      </c>
      <c r="CB154" s="20">
        <f t="shared" si="66"/>
        <v>0</v>
      </c>
      <c r="CC154" s="173">
        <f t="shared" si="58"/>
        <v>0</v>
      </c>
    </row>
    <row r="155" spans="2:81" x14ac:dyDescent="0.25">
      <c r="B155" s="41"/>
      <c r="C155" s="42"/>
      <c r="D155" s="43"/>
      <c r="E155" s="44"/>
      <c r="F155" s="44"/>
      <c r="G155" s="45"/>
      <c r="H155" s="81" t="str">
        <f t="shared" si="77"/>
        <v/>
      </c>
      <c r="J155" s="7"/>
      <c r="K155" s="8"/>
      <c r="L155" s="15"/>
      <c r="M155" s="21"/>
      <c r="N155" s="21"/>
      <c r="O155" s="21"/>
      <c r="P155" s="21"/>
      <c r="Q155" s="1">
        <f t="shared" si="59"/>
        <v>0.60744618579017706</v>
      </c>
      <c r="R155" s="12">
        <f t="shared" ca="1" si="72"/>
        <v>3752</v>
      </c>
      <c r="S155" s="88">
        <f t="shared" si="50"/>
        <v>0</v>
      </c>
      <c r="T155" s="19">
        <f t="shared" si="51"/>
        <v>0</v>
      </c>
      <c r="U155" s="19">
        <f t="shared" si="47"/>
        <v>0</v>
      </c>
      <c r="V155" s="19">
        <f t="shared" si="64"/>
        <v>0</v>
      </c>
      <c r="W155" s="20">
        <f t="shared" ca="1" si="73"/>
        <v>0</v>
      </c>
      <c r="X155" s="19">
        <f t="shared" ca="1" si="74"/>
        <v>0</v>
      </c>
      <c r="Y155" s="19">
        <f t="shared" ca="1" si="75"/>
        <v>0</v>
      </c>
      <c r="Z155" s="20">
        <f t="shared" ca="1" si="76"/>
        <v>0</v>
      </c>
      <c r="AA155" s="1">
        <f t="shared" si="60"/>
        <v>5432.58</v>
      </c>
      <c r="AB155" s="89"/>
      <c r="AC155" s="90"/>
      <c r="AD155" s="101">
        <f t="shared" si="61"/>
        <v>44874</v>
      </c>
      <c r="AE155" s="103">
        <f t="shared" si="62"/>
        <v>0</v>
      </c>
      <c r="AG155" s="1">
        <f t="shared" si="52"/>
        <v>0</v>
      </c>
      <c r="AH155" s="1">
        <f t="shared" si="67"/>
        <v>0</v>
      </c>
      <c r="AI155" s="1">
        <f t="shared" si="63"/>
        <v>5432.58</v>
      </c>
      <c r="AJ155" s="20">
        <f t="shared" si="65"/>
        <v>0</v>
      </c>
      <c r="AK155" s="100">
        <f t="shared" si="68"/>
        <v>0</v>
      </c>
      <c r="AL155" s="100">
        <f t="shared" si="69"/>
        <v>0</v>
      </c>
      <c r="AN155" s="100">
        <f t="shared" si="70"/>
        <v>5096.9812240311785</v>
      </c>
      <c r="AO155" s="20">
        <f t="shared" si="71"/>
        <v>0</v>
      </c>
      <c r="AQ155" s="109">
        <f t="shared" si="53"/>
        <v>0</v>
      </c>
      <c r="AU155" s="109">
        <f t="shared" si="54"/>
        <v>26.763539530927506</v>
      </c>
      <c r="AV155" s="101">
        <f t="shared" si="48"/>
        <v>44904</v>
      </c>
      <c r="AW155" s="99">
        <f t="shared" si="49"/>
        <v>0</v>
      </c>
      <c r="AX155" s="1">
        <f t="shared" si="55"/>
        <v>0</v>
      </c>
      <c r="AY155" s="29">
        <f t="shared" si="56"/>
        <v>0</v>
      </c>
      <c r="AZ155" s="1">
        <f t="shared" si="57"/>
        <v>0</v>
      </c>
      <c r="CB155" s="20">
        <f t="shared" si="66"/>
        <v>0</v>
      </c>
      <c r="CC155" s="173">
        <f t="shared" si="58"/>
        <v>0</v>
      </c>
    </row>
    <row r="156" spans="2:81" x14ac:dyDescent="0.25">
      <c r="B156" s="41"/>
      <c r="C156" s="42"/>
      <c r="D156" s="43"/>
      <c r="E156" s="44"/>
      <c r="F156" s="44"/>
      <c r="G156" s="45"/>
      <c r="H156" s="81" t="str">
        <f t="shared" si="77"/>
        <v/>
      </c>
      <c r="J156" s="9"/>
      <c r="K156" s="10"/>
      <c r="L156" s="14"/>
      <c r="M156" s="19"/>
      <c r="N156" s="19"/>
      <c r="O156" s="19"/>
      <c r="P156" s="19"/>
      <c r="Q156" s="1">
        <f t="shared" si="59"/>
        <v>0.60744618579017706</v>
      </c>
      <c r="R156" s="12">
        <f t="shared" ca="1" si="72"/>
        <v>3782</v>
      </c>
      <c r="S156" s="88">
        <f t="shared" si="50"/>
        <v>0</v>
      </c>
      <c r="T156" s="19">
        <f t="shared" si="51"/>
        <v>0</v>
      </c>
      <c r="U156" s="19">
        <f t="shared" si="47"/>
        <v>0</v>
      </c>
      <c r="V156" s="19">
        <f t="shared" si="64"/>
        <v>0</v>
      </c>
      <c r="W156" s="20">
        <f t="shared" ca="1" si="73"/>
        <v>0</v>
      </c>
      <c r="X156" s="19">
        <f t="shared" ca="1" si="74"/>
        <v>0</v>
      </c>
      <c r="Y156" s="19">
        <f t="shared" ca="1" si="75"/>
        <v>0</v>
      </c>
      <c r="Z156" s="20">
        <f t="shared" ca="1" si="76"/>
        <v>0</v>
      </c>
      <c r="AA156" s="1">
        <f t="shared" si="60"/>
        <v>5432.58</v>
      </c>
      <c r="AB156" s="87"/>
      <c r="AC156" s="88"/>
      <c r="AD156" s="101">
        <f t="shared" si="61"/>
        <v>44904</v>
      </c>
      <c r="AE156" s="103">
        <f t="shared" si="62"/>
        <v>0</v>
      </c>
      <c r="AG156" s="1">
        <f t="shared" si="52"/>
        <v>0</v>
      </c>
      <c r="AH156" s="1">
        <f t="shared" si="67"/>
        <v>0</v>
      </c>
      <c r="AI156" s="1">
        <f t="shared" si="63"/>
        <v>5432.58</v>
      </c>
      <c r="AJ156" s="20">
        <f t="shared" si="65"/>
        <v>0</v>
      </c>
      <c r="AK156" s="100">
        <f t="shared" si="68"/>
        <v>0</v>
      </c>
      <c r="AL156" s="100">
        <f t="shared" si="69"/>
        <v>0</v>
      </c>
      <c r="AN156" s="100">
        <f t="shared" si="70"/>
        <v>5094.4024112698389</v>
      </c>
      <c r="AO156" s="20">
        <f t="shared" si="71"/>
        <v>0</v>
      </c>
      <c r="AQ156" s="109">
        <f t="shared" si="53"/>
        <v>0</v>
      </c>
      <c r="AU156" s="109">
        <f t="shared" si="54"/>
        <v>26.761190493095341</v>
      </c>
      <c r="AV156" s="101">
        <f t="shared" si="48"/>
        <v>44934</v>
      </c>
      <c r="AW156" s="99">
        <f t="shared" si="49"/>
        <v>0</v>
      </c>
      <c r="AX156" s="1">
        <f t="shared" si="55"/>
        <v>0</v>
      </c>
      <c r="AY156" s="29">
        <f t="shared" si="56"/>
        <v>0</v>
      </c>
      <c r="AZ156" s="1">
        <f t="shared" si="57"/>
        <v>0</v>
      </c>
      <c r="CB156" s="20">
        <f t="shared" si="66"/>
        <v>0</v>
      </c>
      <c r="CC156" s="173">
        <f t="shared" si="58"/>
        <v>0</v>
      </c>
    </row>
    <row r="157" spans="2:81" x14ac:dyDescent="0.25">
      <c r="B157" s="41"/>
      <c r="C157" s="42"/>
      <c r="D157" s="43"/>
      <c r="E157" s="44"/>
      <c r="F157" s="44"/>
      <c r="G157" s="45"/>
      <c r="H157" s="81" t="str">
        <f t="shared" si="77"/>
        <v/>
      </c>
      <c r="J157" s="7"/>
      <c r="K157" s="8"/>
      <c r="L157" s="15"/>
      <c r="M157" s="21"/>
      <c r="N157" s="21"/>
      <c r="O157" s="21"/>
      <c r="P157" s="21"/>
      <c r="Q157" s="1">
        <f t="shared" si="59"/>
        <v>0.60744618579017706</v>
      </c>
      <c r="R157" s="12">
        <f t="shared" ca="1" si="72"/>
        <v>3812</v>
      </c>
      <c r="S157" s="88">
        <f t="shared" si="50"/>
        <v>0</v>
      </c>
      <c r="T157" s="19">
        <f t="shared" si="51"/>
        <v>0</v>
      </c>
      <c r="U157" s="19">
        <f t="shared" si="47"/>
        <v>0</v>
      </c>
      <c r="V157" s="19">
        <f t="shared" si="64"/>
        <v>0</v>
      </c>
      <c r="W157" s="20">
        <f t="shared" ca="1" si="73"/>
        <v>0</v>
      </c>
      <c r="X157" s="19">
        <f t="shared" ca="1" si="74"/>
        <v>0</v>
      </c>
      <c r="Y157" s="19">
        <f t="shared" ca="1" si="75"/>
        <v>0</v>
      </c>
      <c r="Z157" s="20">
        <f t="shared" ca="1" si="76"/>
        <v>0</v>
      </c>
      <c r="AA157" s="1">
        <f t="shared" si="60"/>
        <v>5432.58</v>
      </c>
      <c r="AB157" s="89"/>
      <c r="AC157" s="90"/>
      <c r="AD157" s="101">
        <f t="shared" si="61"/>
        <v>44934</v>
      </c>
      <c r="AE157" s="103">
        <f t="shared" si="62"/>
        <v>0</v>
      </c>
      <c r="AG157" s="1">
        <f t="shared" si="52"/>
        <v>0</v>
      </c>
      <c r="AH157" s="1">
        <f t="shared" si="67"/>
        <v>0</v>
      </c>
      <c r="AI157" s="1">
        <f t="shared" si="63"/>
        <v>5432.58</v>
      </c>
      <c r="AJ157" s="20">
        <f t="shared" si="65"/>
        <v>0</v>
      </c>
      <c r="AK157" s="100">
        <f t="shared" si="68"/>
        <v>0</v>
      </c>
      <c r="AL157" s="100">
        <f t="shared" si="69"/>
        <v>0</v>
      </c>
      <c r="AN157" s="100">
        <f t="shared" si="70"/>
        <v>5091.8249032563444</v>
      </c>
      <c r="AO157" s="20">
        <f t="shared" si="71"/>
        <v>0</v>
      </c>
      <c r="AQ157" s="109">
        <f t="shared" si="53"/>
        <v>0</v>
      </c>
      <c r="AU157" s="109">
        <f t="shared" si="54"/>
        <v>26.758841661438396</v>
      </c>
      <c r="AV157" s="101">
        <f t="shared" si="48"/>
        <v>44964</v>
      </c>
      <c r="AW157" s="99">
        <f t="shared" si="49"/>
        <v>0</v>
      </c>
      <c r="AX157" s="1">
        <f t="shared" si="55"/>
        <v>0</v>
      </c>
      <c r="AY157" s="29">
        <f t="shared" si="56"/>
        <v>0</v>
      </c>
      <c r="AZ157" s="1">
        <f t="shared" si="57"/>
        <v>0</v>
      </c>
      <c r="CB157" s="20">
        <f t="shared" si="66"/>
        <v>0</v>
      </c>
      <c r="CC157" s="173">
        <f t="shared" si="58"/>
        <v>0</v>
      </c>
    </row>
    <row r="158" spans="2:81" x14ac:dyDescent="0.25">
      <c r="B158" s="41"/>
      <c r="C158" s="42"/>
      <c r="D158" s="43"/>
      <c r="E158" s="44"/>
      <c r="F158" s="44"/>
      <c r="G158" s="45"/>
      <c r="H158" s="81" t="str">
        <f t="shared" si="77"/>
        <v/>
      </c>
      <c r="J158" s="9"/>
      <c r="K158" s="10"/>
      <c r="L158" s="14"/>
      <c r="M158" s="19"/>
      <c r="N158" s="19"/>
      <c r="O158" s="19"/>
      <c r="P158" s="19"/>
      <c r="Q158" s="1">
        <f t="shared" si="59"/>
        <v>0.60744618579017706</v>
      </c>
      <c r="R158" s="12">
        <f t="shared" ca="1" si="72"/>
        <v>3842</v>
      </c>
      <c r="S158" s="88">
        <f t="shared" si="50"/>
        <v>0</v>
      </c>
      <c r="T158" s="19">
        <f t="shared" si="51"/>
        <v>0</v>
      </c>
      <c r="U158" s="19">
        <f t="shared" ref="U158:U221" si="78">AA158*(IF(ROW()-30&lt;$H$22,$H$21,0))</f>
        <v>0</v>
      </c>
      <c r="V158" s="19">
        <f t="shared" si="64"/>
        <v>0</v>
      </c>
      <c r="W158" s="20">
        <f t="shared" ca="1" si="73"/>
        <v>0</v>
      </c>
      <c r="X158" s="19">
        <f t="shared" ca="1" si="74"/>
        <v>0</v>
      </c>
      <c r="Y158" s="19">
        <f t="shared" ca="1" si="75"/>
        <v>0</v>
      </c>
      <c r="Z158" s="20">
        <f t="shared" ca="1" si="76"/>
        <v>0</v>
      </c>
      <c r="AA158" s="1">
        <f t="shared" si="60"/>
        <v>5432.58</v>
      </c>
      <c r="AB158" s="87"/>
      <c r="AC158" s="88"/>
      <c r="AD158" s="101">
        <f t="shared" si="61"/>
        <v>44964</v>
      </c>
      <c r="AE158" s="103">
        <f t="shared" si="62"/>
        <v>0</v>
      </c>
      <c r="AG158" s="1">
        <f t="shared" si="52"/>
        <v>0</v>
      </c>
      <c r="AH158" s="1">
        <f t="shared" si="67"/>
        <v>0</v>
      </c>
      <c r="AI158" s="1">
        <f t="shared" si="63"/>
        <v>5432.58</v>
      </c>
      <c r="AJ158" s="20">
        <f t="shared" si="65"/>
        <v>0</v>
      </c>
      <c r="AK158" s="100">
        <f t="shared" si="68"/>
        <v>0</v>
      </c>
      <c r="AL158" s="100">
        <f t="shared" si="69"/>
        <v>0</v>
      </c>
      <c r="AN158" s="100">
        <f t="shared" si="70"/>
        <v>5089.2486993305556</v>
      </c>
      <c r="AO158" s="20">
        <f t="shared" si="71"/>
        <v>0</v>
      </c>
      <c r="AQ158" s="109">
        <f t="shared" si="53"/>
        <v>0</v>
      </c>
      <c r="AU158" s="109">
        <f t="shared" si="54"/>
        <v>26.756493035938583</v>
      </c>
      <c r="AV158" s="101">
        <f t="shared" ref="AV158:AV221" si="79">AD159</f>
        <v>44994</v>
      </c>
      <c r="AW158" s="99">
        <f t="shared" ref="AW158:AW221" si="80">IF(AJ159&lt;0,0,AJ159)</f>
        <v>0</v>
      </c>
      <c r="AX158" s="1">
        <f t="shared" si="55"/>
        <v>0</v>
      </c>
      <c r="AY158" s="29">
        <f t="shared" si="56"/>
        <v>0</v>
      </c>
      <c r="AZ158" s="1">
        <f t="shared" si="57"/>
        <v>0</v>
      </c>
      <c r="CB158" s="20">
        <f t="shared" si="66"/>
        <v>0</v>
      </c>
      <c r="CC158" s="173">
        <f t="shared" si="58"/>
        <v>0</v>
      </c>
    </row>
    <row r="159" spans="2:81" x14ac:dyDescent="0.25">
      <c r="B159" s="41"/>
      <c r="C159" s="42"/>
      <c r="D159" s="43"/>
      <c r="E159" s="44"/>
      <c r="F159" s="44"/>
      <c r="G159" s="45"/>
      <c r="H159" s="81" t="str">
        <f t="shared" si="77"/>
        <v/>
      </c>
      <c r="J159" s="7"/>
      <c r="K159" s="8"/>
      <c r="L159" s="15"/>
      <c r="M159" s="21"/>
      <c r="N159" s="21"/>
      <c r="O159" s="21"/>
      <c r="P159" s="21"/>
      <c r="Q159" s="1">
        <f t="shared" si="59"/>
        <v>0.60744618579017706</v>
      </c>
      <c r="R159" s="12">
        <f t="shared" ca="1" si="72"/>
        <v>3872</v>
      </c>
      <c r="S159" s="88">
        <f t="shared" ref="S159:S222" si="81">N159+M159</f>
        <v>0</v>
      </c>
      <c r="T159" s="19">
        <f t="shared" ref="T159:T222" si="82">IF(ISERROR((previousBalance*Q159/1200)*(IF(ROW()-30&lt;$G$22,$G$21,0))),0,(previousBalance*Q159/1200)*(IF(ROW()-30&lt;$G$22,$G$21,0)))</f>
        <v>0</v>
      </c>
      <c r="U159" s="19">
        <f t="shared" si="78"/>
        <v>0</v>
      </c>
      <c r="V159" s="19">
        <f t="shared" si="64"/>
        <v>0</v>
      </c>
      <c r="W159" s="20">
        <f t="shared" ca="1" si="73"/>
        <v>0</v>
      </c>
      <c r="X159" s="19">
        <f t="shared" ca="1" si="74"/>
        <v>0</v>
      </c>
      <c r="Y159" s="19">
        <f t="shared" ca="1" si="75"/>
        <v>0</v>
      </c>
      <c r="Z159" s="20">
        <f t="shared" ca="1" si="76"/>
        <v>0</v>
      </c>
      <c r="AA159" s="1">
        <f t="shared" si="60"/>
        <v>5432.58</v>
      </c>
      <c r="AB159" s="89"/>
      <c r="AC159" s="90"/>
      <c r="AD159" s="101">
        <f t="shared" si="61"/>
        <v>44994</v>
      </c>
      <c r="AE159" s="103">
        <f t="shared" si="62"/>
        <v>0</v>
      </c>
      <c r="AG159" s="1">
        <f t="shared" ref="AG159:AG222" si="83">AE159/360</f>
        <v>0</v>
      </c>
      <c r="AH159" s="1">
        <f t="shared" si="67"/>
        <v>0</v>
      </c>
      <c r="AI159" s="1">
        <f t="shared" si="63"/>
        <v>5432.58</v>
      </c>
      <c r="AJ159" s="20">
        <f t="shared" si="65"/>
        <v>0</v>
      </c>
      <c r="AK159" s="100">
        <f t="shared" si="68"/>
        <v>0</v>
      </c>
      <c r="AL159" s="100">
        <f t="shared" si="69"/>
        <v>0</v>
      </c>
      <c r="AN159" s="100">
        <f t="shared" si="70"/>
        <v>5086.6737988326722</v>
      </c>
      <c r="AO159" s="20">
        <f t="shared" si="71"/>
        <v>0</v>
      </c>
      <c r="AQ159" s="109">
        <f t="shared" ref="AQ159:AQ222" si="84">AO159/(1+((1+$AM$27)^((ROW()-29)*30)-1))</f>
        <v>0</v>
      </c>
      <c r="AU159" s="109">
        <f t="shared" ref="AU159:AU222" si="85">(($AT$27/(1+((1+$AM$27)^(ROW()-29)*30)-1))/292)*0.32</f>
        <v>26.754144616577797</v>
      </c>
      <c r="AV159" s="101">
        <f t="shared" si="79"/>
        <v>45024</v>
      </c>
      <c r="AW159" s="99">
        <f t="shared" si="80"/>
        <v>0</v>
      </c>
      <c r="AX159" s="1">
        <f t="shared" ref="AX159:AX222" si="86">IF(AG159&gt;0,AA159,0)</f>
        <v>0</v>
      </c>
      <c r="AY159" s="29">
        <f t="shared" ref="AY159:AY222" si="87">AE159</f>
        <v>0</v>
      </c>
      <c r="AZ159" s="1">
        <f t="shared" ref="AZ159:AZ222" si="88">AY159/360</f>
        <v>0</v>
      </c>
      <c r="CB159" s="20">
        <f t="shared" si="66"/>
        <v>0</v>
      </c>
      <c r="CC159" s="173">
        <f t="shared" ref="CC159:CC222" si="89">AJ159+U159+T159</f>
        <v>0</v>
      </c>
    </row>
    <row r="160" spans="2:81" x14ac:dyDescent="0.25">
      <c r="B160" s="41"/>
      <c r="C160" s="42"/>
      <c r="D160" s="43"/>
      <c r="E160" s="44"/>
      <c r="F160" s="44"/>
      <c r="G160" s="45"/>
      <c r="H160" s="81" t="str">
        <f t="shared" si="77"/>
        <v/>
      </c>
      <c r="J160" s="9"/>
      <c r="K160" s="10"/>
      <c r="L160" s="14"/>
      <c r="M160" s="19"/>
      <c r="N160" s="19"/>
      <c r="O160" s="19"/>
      <c r="P160" s="19"/>
      <c r="Q160" s="1">
        <f t="shared" ref="Q160:Q223" si="90">IF(M160=0,Q159,(M160*1200)/O159)</f>
        <v>0.60744618579017706</v>
      </c>
      <c r="R160" s="12">
        <f t="shared" ca="1" si="72"/>
        <v>3902</v>
      </c>
      <c r="S160" s="88">
        <f t="shared" si="81"/>
        <v>0</v>
      </c>
      <c r="T160" s="19">
        <f t="shared" si="82"/>
        <v>0</v>
      </c>
      <c r="U160" s="19">
        <f t="shared" si="78"/>
        <v>0</v>
      </c>
      <c r="V160" s="19">
        <f t="shared" si="64"/>
        <v>0</v>
      </c>
      <c r="W160" s="20">
        <f t="shared" ca="1" si="73"/>
        <v>0</v>
      </c>
      <c r="X160" s="19">
        <f t="shared" ca="1" si="74"/>
        <v>0</v>
      </c>
      <c r="Y160" s="19">
        <f t="shared" ca="1" si="75"/>
        <v>0</v>
      </c>
      <c r="Z160" s="20">
        <f t="shared" ca="1" si="76"/>
        <v>0</v>
      </c>
      <c r="AA160" s="1">
        <f t="shared" ref="AA160:AA223" si="91">IF(S160=0,AA159,N160)</f>
        <v>5432.58</v>
      </c>
      <c r="AB160" s="87"/>
      <c r="AC160" s="88"/>
      <c r="AD160" s="101">
        <f t="shared" ref="AD160:AD223" si="92">IF(M160=0,AD159+30,K160)</f>
        <v>45024</v>
      </c>
      <c r="AE160" s="103">
        <f t="shared" ref="AE160:AE223" si="93">IF(V160=0,0,R160)</f>
        <v>0</v>
      </c>
      <c r="AG160" s="1">
        <f t="shared" si="83"/>
        <v>0</v>
      </c>
      <c r="AH160" s="1">
        <f t="shared" si="67"/>
        <v>0</v>
      </c>
      <c r="AI160" s="1">
        <f t="shared" ref="AI160:AI223" si="94">IF(M160-1=0,IF(M160=0,IF(V160=0,N160,AI159),AA160),AA160)</f>
        <v>5432.58</v>
      </c>
      <c r="AJ160" s="20">
        <f t="shared" si="65"/>
        <v>0</v>
      </c>
      <c r="AK160" s="100">
        <f t="shared" si="68"/>
        <v>0</v>
      </c>
      <c r="AL160" s="100">
        <f t="shared" si="69"/>
        <v>0</v>
      </c>
      <c r="AN160" s="100">
        <f t="shared" si="70"/>
        <v>5084.1002011032251</v>
      </c>
      <c r="AO160" s="20">
        <f t="shared" si="71"/>
        <v>0</v>
      </c>
      <c r="AQ160" s="109">
        <f t="shared" si="84"/>
        <v>0</v>
      </c>
      <c r="AU160" s="109">
        <f t="shared" si="85"/>
        <v>26.751796403337949</v>
      </c>
      <c r="AV160" s="101">
        <f t="shared" si="79"/>
        <v>45054</v>
      </c>
      <c r="AW160" s="99">
        <f t="shared" si="80"/>
        <v>0</v>
      </c>
      <c r="AX160" s="1">
        <f t="shared" si="86"/>
        <v>0</v>
      </c>
      <c r="AY160" s="29">
        <f t="shared" si="87"/>
        <v>0</v>
      </c>
      <c r="AZ160" s="1">
        <f t="shared" si="88"/>
        <v>0</v>
      </c>
      <c r="CB160" s="20">
        <f t="shared" si="66"/>
        <v>0</v>
      </c>
      <c r="CC160" s="173">
        <f t="shared" si="89"/>
        <v>0</v>
      </c>
    </row>
    <row r="161" spans="2:81" x14ac:dyDescent="0.25">
      <c r="B161" s="41"/>
      <c r="C161" s="42"/>
      <c r="D161" s="43"/>
      <c r="E161" s="44"/>
      <c r="F161" s="44"/>
      <c r="G161" s="45"/>
      <c r="H161" s="81" t="str">
        <f t="shared" si="77"/>
        <v/>
      </c>
      <c r="J161" s="7"/>
      <c r="K161" s="8"/>
      <c r="L161" s="15"/>
      <c r="M161" s="21"/>
      <c r="N161" s="21"/>
      <c r="O161" s="21"/>
      <c r="P161" s="21"/>
      <c r="Q161" s="1">
        <f t="shared" si="90"/>
        <v>0.60744618579017706</v>
      </c>
      <c r="R161" s="12">
        <f t="shared" ca="1" si="72"/>
        <v>3932</v>
      </c>
      <c r="S161" s="88">
        <f t="shared" si="81"/>
        <v>0</v>
      </c>
      <c r="T161" s="19">
        <f t="shared" si="82"/>
        <v>0</v>
      </c>
      <c r="U161" s="19">
        <f t="shared" si="78"/>
        <v>0</v>
      </c>
      <c r="V161" s="19">
        <f t="shared" si="64"/>
        <v>0</v>
      </c>
      <c r="W161" s="20">
        <f t="shared" ca="1" si="73"/>
        <v>0</v>
      </c>
      <c r="X161" s="19">
        <f t="shared" ca="1" si="74"/>
        <v>0</v>
      </c>
      <c r="Y161" s="19">
        <f t="shared" ca="1" si="75"/>
        <v>0</v>
      </c>
      <c r="Z161" s="20">
        <f t="shared" ca="1" si="76"/>
        <v>0</v>
      </c>
      <c r="AA161" s="1">
        <f t="shared" si="91"/>
        <v>5432.58</v>
      </c>
      <c r="AB161" s="89"/>
      <c r="AC161" s="90"/>
      <c r="AD161" s="101">
        <f t="shared" si="92"/>
        <v>45054</v>
      </c>
      <c r="AE161" s="103">
        <f t="shared" si="93"/>
        <v>0</v>
      </c>
      <c r="AG161" s="1">
        <f t="shared" si="83"/>
        <v>0</v>
      </c>
      <c r="AH161" s="1">
        <f t="shared" si="67"/>
        <v>0</v>
      </c>
      <c r="AI161" s="1">
        <f t="shared" si="94"/>
        <v>5432.58</v>
      </c>
      <c r="AJ161" s="20">
        <f t="shared" si="65"/>
        <v>0</v>
      </c>
      <c r="AK161" s="100">
        <f t="shared" si="68"/>
        <v>0</v>
      </c>
      <c r="AL161" s="100">
        <f t="shared" si="69"/>
        <v>0</v>
      </c>
      <c r="AN161" s="100">
        <f t="shared" si="70"/>
        <v>5081.5279054830817</v>
      </c>
      <c r="AO161" s="20">
        <f t="shared" si="71"/>
        <v>0</v>
      </c>
      <c r="AQ161" s="109">
        <f t="shared" si="84"/>
        <v>0</v>
      </c>
      <c r="AU161" s="109">
        <f t="shared" si="85"/>
        <v>26.74944839620095</v>
      </c>
      <c r="AV161" s="101">
        <f t="shared" si="79"/>
        <v>45084</v>
      </c>
      <c r="AW161" s="99">
        <f t="shared" si="80"/>
        <v>0</v>
      </c>
      <c r="AX161" s="1">
        <f t="shared" si="86"/>
        <v>0</v>
      </c>
      <c r="AY161" s="29">
        <f t="shared" si="87"/>
        <v>0</v>
      </c>
      <c r="AZ161" s="1">
        <f t="shared" si="88"/>
        <v>0</v>
      </c>
      <c r="CB161" s="20">
        <f t="shared" si="66"/>
        <v>0</v>
      </c>
      <c r="CC161" s="173">
        <f t="shared" si="89"/>
        <v>0</v>
      </c>
    </row>
    <row r="162" spans="2:81" x14ac:dyDescent="0.25">
      <c r="B162" s="41"/>
      <c r="C162" s="42"/>
      <c r="D162" s="43"/>
      <c r="E162" s="44"/>
      <c r="F162" s="44"/>
      <c r="G162" s="45"/>
      <c r="H162" s="81" t="str">
        <f t="shared" si="77"/>
        <v/>
      </c>
      <c r="J162" s="9"/>
      <c r="K162" s="10"/>
      <c r="L162" s="14"/>
      <c r="M162" s="19"/>
      <c r="N162" s="19"/>
      <c r="O162" s="19"/>
      <c r="P162" s="19"/>
      <c r="Q162" s="1">
        <f t="shared" si="90"/>
        <v>0.60744618579017706</v>
      </c>
      <c r="R162" s="12">
        <f t="shared" ca="1" si="72"/>
        <v>3962</v>
      </c>
      <c r="S162" s="88">
        <f t="shared" si="81"/>
        <v>0</v>
      </c>
      <c r="T162" s="19">
        <f t="shared" si="82"/>
        <v>0</v>
      </c>
      <c r="U162" s="19">
        <f t="shared" si="78"/>
        <v>0</v>
      </c>
      <c r="V162" s="19">
        <f t="shared" ref="V162:V225" si="95">IF(ISERROR(IF(V161+U162+T162+(V161*Q162/1200)-AA162-P162&lt;0,0,V161+U162+T162-AA162-P162)),0,IF(V161+U162+T162+(V161*Q162/1200)-AA162-CB162&lt;0,0,V161+U162+T162-AA162-CB162))</f>
        <v>0</v>
      </c>
      <c r="W162" s="20">
        <f t="shared" ca="1" si="73"/>
        <v>0</v>
      </c>
      <c r="X162" s="19">
        <f t="shared" ca="1" si="74"/>
        <v>0</v>
      </c>
      <c r="Y162" s="19">
        <f t="shared" ca="1" si="75"/>
        <v>0</v>
      </c>
      <c r="Z162" s="20">
        <f t="shared" ca="1" si="76"/>
        <v>0</v>
      </c>
      <c r="AA162" s="1">
        <f t="shared" si="91"/>
        <v>5432.58</v>
      </c>
      <c r="AB162" s="87"/>
      <c r="AC162" s="88"/>
      <c r="AD162" s="101">
        <f t="shared" si="92"/>
        <v>45084</v>
      </c>
      <c r="AE162" s="103">
        <f t="shared" si="93"/>
        <v>0</v>
      </c>
      <c r="AG162" s="1">
        <f t="shared" si="83"/>
        <v>0</v>
      </c>
      <c r="AH162" s="1">
        <f t="shared" si="67"/>
        <v>0</v>
      </c>
      <c r="AI162" s="1">
        <f t="shared" si="94"/>
        <v>5432.58</v>
      </c>
      <c r="AJ162" s="20">
        <f t="shared" si="65"/>
        <v>0</v>
      </c>
      <c r="AK162" s="100">
        <f t="shared" si="68"/>
        <v>0</v>
      </c>
      <c r="AL162" s="100">
        <f t="shared" si="69"/>
        <v>0</v>
      </c>
      <c r="AN162" s="100">
        <f t="shared" si="70"/>
        <v>5078.9569113134394</v>
      </c>
      <c r="AO162" s="20">
        <f t="shared" si="71"/>
        <v>0</v>
      </c>
      <c r="AQ162" s="109">
        <f t="shared" si="84"/>
        <v>0</v>
      </c>
      <c r="AU162" s="109">
        <f t="shared" si="85"/>
        <v>26.747100595148719</v>
      </c>
      <c r="AV162" s="101">
        <f t="shared" si="79"/>
        <v>45114</v>
      </c>
      <c r="AW162" s="99">
        <f t="shared" si="80"/>
        <v>0</v>
      </c>
      <c r="AX162" s="1">
        <f t="shared" si="86"/>
        <v>0</v>
      </c>
      <c r="AY162" s="29">
        <f t="shared" si="87"/>
        <v>0</v>
      </c>
      <c r="AZ162" s="1">
        <f t="shared" si="88"/>
        <v>0</v>
      </c>
      <c r="CB162" s="20">
        <f t="shared" si="66"/>
        <v>0</v>
      </c>
      <c r="CC162" s="173">
        <f t="shared" si="89"/>
        <v>0</v>
      </c>
    </row>
    <row r="163" spans="2:81" x14ac:dyDescent="0.25">
      <c r="B163" s="41"/>
      <c r="C163" s="42"/>
      <c r="D163" s="43"/>
      <c r="E163" s="44"/>
      <c r="F163" s="44"/>
      <c r="G163" s="45"/>
      <c r="H163" s="81" t="str">
        <f t="shared" si="77"/>
        <v/>
      </c>
      <c r="J163" s="7"/>
      <c r="K163" s="8"/>
      <c r="L163" s="15"/>
      <c r="M163" s="21"/>
      <c r="N163" s="21"/>
      <c r="O163" s="21"/>
      <c r="P163" s="21"/>
      <c r="Q163" s="1">
        <f t="shared" si="90"/>
        <v>0.60744618579017706</v>
      </c>
      <c r="R163" s="12">
        <f t="shared" ca="1" si="72"/>
        <v>3992</v>
      </c>
      <c r="S163" s="88">
        <f t="shared" si="81"/>
        <v>0</v>
      </c>
      <c r="T163" s="19">
        <f t="shared" si="82"/>
        <v>0</v>
      </c>
      <c r="U163" s="19">
        <f t="shared" si="78"/>
        <v>0</v>
      </c>
      <c r="V163" s="19">
        <f t="shared" si="95"/>
        <v>0</v>
      </c>
      <c r="W163" s="20">
        <f t="shared" ca="1" si="73"/>
        <v>0</v>
      </c>
      <c r="X163" s="19">
        <f t="shared" ca="1" si="74"/>
        <v>0</v>
      </c>
      <c r="Y163" s="19">
        <f t="shared" ca="1" si="75"/>
        <v>0</v>
      </c>
      <c r="Z163" s="20">
        <f t="shared" ca="1" si="76"/>
        <v>0</v>
      </c>
      <c r="AA163" s="1">
        <f t="shared" si="91"/>
        <v>5432.58</v>
      </c>
      <c r="AB163" s="89"/>
      <c r="AC163" s="90"/>
      <c r="AD163" s="101">
        <f t="shared" si="92"/>
        <v>45114</v>
      </c>
      <c r="AE163" s="103">
        <f t="shared" si="93"/>
        <v>0</v>
      </c>
      <c r="AG163" s="1">
        <f t="shared" si="83"/>
        <v>0</v>
      </c>
      <c r="AH163" s="1">
        <f t="shared" si="67"/>
        <v>0</v>
      </c>
      <c r="AI163" s="1">
        <f t="shared" si="94"/>
        <v>5432.58</v>
      </c>
      <c r="AJ163" s="20">
        <f t="shared" si="65"/>
        <v>0</v>
      </c>
      <c r="AK163" s="100">
        <f t="shared" si="68"/>
        <v>0</v>
      </c>
      <c r="AL163" s="100">
        <f t="shared" si="69"/>
        <v>0</v>
      </c>
      <c r="AN163" s="100">
        <f t="shared" si="70"/>
        <v>5076.3872179358304</v>
      </c>
      <c r="AO163" s="20">
        <f t="shared" si="71"/>
        <v>0</v>
      </c>
      <c r="AQ163" s="109">
        <f t="shared" si="84"/>
        <v>0</v>
      </c>
      <c r="AU163" s="109">
        <f t="shared" si="85"/>
        <v>26.744753000163151</v>
      </c>
      <c r="AV163" s="101">
        <f t="shared" si="79"/>
        <v>45144</v>
      </c>
      <c r="AW163" s="99">
        <f t="shared" si="80"/>
        <v>0</v>
      </c>
      <c r="AX163" s="1">
        <f t="shared" si="86"/>
        <v>0</v>
      </c>
      <c r="AY163" s="29">
        <f t="shared" si="87"/>
        <v>0</v>
      </c>
      <c r="AZ163" s="1">
        <f t="shared" si="88"/>
        <v>0</v>
      </c>
      <c r="CB163" s="20">
        <f t="shared" si="66"/>
        <v>0</v>
      </c>
      <c r="CC163" s="173">
        <f t="shared" si="89"/>
        <v>0</v>
      </c>
    </row>
    <row r="164" spans="2:81" x14ac:dyDescent="0.25">
      <c r="B164" s="41"/>
      <c r="C164" s="42"/>
      <c r="D164" s="43"/>
      <c r="E164" s="44"/>
      <c r="F164" s="44"/>
      <c r="G164" s="45"/>
      <c r="H164" s="81" t="str">
        <f t="shared" si="77"/>
        <v/>
      </c>
      <c r="J164" s="9"/>
      <c r="K164" s="10"/>
      <c r="L164" s="14"/>
      <c r="M164" s="19"/>
      <c r="N164" s="19"/>
      <c r="O164" s="19"/>
      <c r="P164" s="19"/>
      <c r="Q164" s="1">
        <f t="shared" si="90"/>
        <v>0.60744618579017706</v>
      </c>
      <c r="R164" s="12">
        <f t="shared" ca="1" si="72"/>
        <v>4022</v>
      </c>
      <c r="S164" s="88">
        <f t="shared" si="81"/>
        <v>0</v>
      </c>
      <c r="T164" s="19">
        <f t="shared" si="82"/>
        <v>0</v>
      </c>
      <c r="U164" s="19">
        <f t="shared" si="78"/>
        <v>0</v>
      </c>
      <c r="V164" s="19">
        <f t="shared" si="95"/>
        <v>0</v>
      </c>
      <c r="W164" s="20">
        <f t="shared" ca="1" si="73"/>
        <v>0</v>
      </c>
      <c r="X164" s="19">
        <f t="shared" ca="1" si="74"/>
        <v>0</v>
      </c>
      <c r="Y164" s="19">
        <f t="shared" ca="1" si="75"/>
        <v>0</v>
      </c>
      <c r="Z164" s="20">
        <f t="shared" ca="1" si="76"/>
        <v>0</v>
      </c>
      <c r="AA164" s="1">
        <f t="shared" si="91"/>
        <v>5432.58</v>
      </c>
      <c r="AB164" s="87"/>
      <c r="AC164" s="88"/>
      <c r="AD164" s="101">
        <f t="shared" si="92"/>
        <v>45144</v>
      </c>
      <c r="AE164" s="103">
        <f t="shared" si="93"/>
        <v>0</v>
      </c>
      <c r="AG164" s="1">
        <f t="shared" si="83"/>
        <v>0</v>
      </c>
      <c r="AH164" s="1">
        <f t="shared" si="67"/>
        <v>0</v>
      </c>
      <c r="AI164" s="1">
        <f t="shared" si="94"/>
        <v>5432.58</v>
      </c>
      <c r="AJ164" s="20">
        <f t="shared" si="65"/>
        <v>0</v>
      </c>
      <c r="AK164" s="100">
        <f t="shared" si="68"/>
        <v>0</v>
      </c>
      <c r="AL164" s="100">
        <f t="shared" si="69"/>
        <v>0</v>
      </c>
      <c r="AN164" s="100">
        <f t="shared" si="70"/>
        <v>5073.8188246921218</v>
      </c>
      <c r="AO164" s="20">
        <f t="shared" si="71"/>
        <v>0</v>
      </c>
      <c r="AQ164" s="109">
        <f t="shared" si="84"/>
        <v>0</v>
      </c>
      <c r="AU164" s="109">
        <f t="shared" si="85"/>
        <v>26.742405611226168</v>
      </c>
      <c r="AV164" s="101">
        <f t="shared" si="79"/>
        <v>45174</v>
      </c>
      <c r="AW164" s="99">
        <f t="shared" si="80"/>
        <v>0</v>
      </c>
      <c r="AX164" s="1">
        <f t="shared" si="86"/>
        <v>0</v>
      </c>
      <c r="AY164" s="29">
        <f t="shared" si="87"/>
        <v>0</v>
      </c>
      <c r="AZ164" s="1">
        <f t="shared" si="88"/>
        <v>0</v>
      </c>
      <c r="CB164" s="20">
        <f t="shared" si="66"/>
        <v>0</v>
      </c>
      <c r="CC164" s="173">
        <f t="shared" si="89"/>
        <v>0</v>
      </c>
    </row>
    <row r="165" spans="2:81" x14ac:dyDescent="0.25">
      <c r="B165" s="41"/>
      <c r="C165" s="42"/>
      <c r="D165" s="43"/>
      <c r="E165" s="44"/>
      <c r="F165" s="44"/>
      <c r="G165" s="45"/>
      <c r="H165" s="81" t="str">
        <f t="shared" si="77"/>
        <v/>
      </c>
      <c r="J165" s="7"/>
      <c r="K165" s="8"/>
      <c r="L165" s="15"/>
      <c r="M165" s="21"/>
      <c r="N165" s="21"/>
      <c r="O165" s="21"/>
      <c r="P165" s="21"/>
      <c r="Q165" s="1">
        <f t="shared" si="90"/>
        <v>0.60744618579017706</v>
      </c>
      <c r="R165" s="12">
        <f t="shared" ca="1" si="72"/>
        <v>4052</v>
      </c>
      <c r="S165" s="88">
        <f t="shared" si="81"/>
        <v>0</v>
      </c>
      <c r="T165" s="19">
        <f t="shared" si="82"/>
        <v>0</v>
      </c>
      <c r="U165" s="19">
        <f t="shared" si="78"/>
        <v>0</v>
      </c>
      <c r="V165" s="19">
        <f t="shared" si="95"/>
        <v>0</v>
      </c>
      <c r="W165" s="20">
        <f t="shared" ca="1" si="73"/>
        <v>0</v>
      </c>
      <c r="X165" s="19">
        <f t="shared" ca="1" si="74"/>
        <v>0</v>
      </c>
      <c r="Y165" s="19">
        <f t="shared" ca="1" si="75"/>
        <v>0</v>
      </c>
      <c r="Z165" s="20">
        <f t="shared" ca="1" si="76"/>
        <v>0</v>
      </c>
      <c r="AA165" s="1">
        <f t="shared" si="91"/>
        <v>5432.58</v>
      </c>
      <c r="AB165" s="89"/>
      <c r="AC165" s="90"/>
      <c r="AD165" s="101">
        <f t="shared" si="92"/>
        <v>45174</v>
      </c>
      <c r="AE165" s="103">
        <f t="shared" si="93"/>
        <v>0</v>
      </c>
      <c r="AG165" s="1">
        <f t="shared" si="83"/>
        <v>0</v>
      </c>
      <c r="AH165" s="1">
        <f t="shared" si="67"/>
        <v>0</v>
      </c>
      <c r="AI165" s="1">
        <f t="shared" si="94"/>
        <v>5432.58</v>
      </c>
      <c r="AJ165" s="20">
        <f t="shared" si="65"/>
        <v>0</v>
      </c>
      <c r="AK165" s="100">
        <f t="shared" si="68"/>
        <v>0</v>
      </c>
      <c r="AL165" s="100">
        <f t="shared" si="69"/>
        <v>0</v>
      </c>
      <c r="AN165" s="100">
        <f t="shared" si="70"/>
        <v>5071.2517309245122</v>
      </c>
      <c r="AO165" s="20">
        <f t="shared" si="71"/>
        <v>0</v>
      </c>
      <c r="AQ165" s="109">
        <f t="shared" si="84"/>
        <v>0</v>
      </c>
      <c r="AU165" s="109">
        <f t="shared" si="85"/>
        <v>26.740058428319685</v>
      </c>
      <c r="AV165" s="101">
        <f t="shared" si="79"/>
        <v>45204</v>
      </c>
      <c r="AW165" s="99">
        <f t="shared" si="80"/>
        <v>0</v>
      </c>
      <c r="AX165" s="1">
        <f t="shared" si="86"/>
        <v>0</v>
      </c>
      <c r="AY165" s="29">
        <f t="shared" si="87"/>
        <v>0</v>
      </c>
      <c r="AZ165" s="1">
        <f t="shared" si="88"/>
        <v>0</v>
      </c>
      <c r="CB165" s="20">
        <f t="shared" si="66"/>
        <v>0</v>
      </c>
      <c r="CC165" s="173">
        <f t="shared" si="89"/>
        <v>0</v>
      </c>
    </row>
    <row r="166" spans="2:81" x14ac:dyDescent="0.25">
      <c r="B166" s="41"/>
      <c r="C166" s="42"/>
      <c r="D166" s="43"/>
      <c r="E166" s="44"/>
      <c r="F166" s="44"/>
      <c r="G166" s="45"/>
      <c r="H166" s="81" t="str">
        <f t="shared" si="77"/>
        <v/>
      </c>
      <c r="J166" s="9"/>
      <c r="K166" s="10"/>
      <c r="L166" s="14"/>
      <c r="M166" s="19"/>
      <c r="N166" s="19"/>
      <c r="O166" s="19"/>
      <c r="P166" s="19"/>
      <c r="Q166" s="1">
        <f t="shared" si="90"/>
        <v>0.60744618579017706</v>
      </c>
      <c r="R166" s="12">
        <f t="shared" ca="1" si="72"/>
        <v>4082</v>
      </c>
      <c r="S166" s="88">
        <f t="shared" si="81"/>
        <v>0</v>
      </c>
      <c r="T166" s="19">
        <f t="shared" si="82"/>
        <v>0</v>
      </c>
      <c r="U166" s="19">
        <f t="shared" si="78"/>
        <v>0</v>
      </c>
      <c r="V166" s="19">
        <f t="shared" si="95"/>
        <v>0</v>
      </c>
      <c r="W166" s="20">
        <f t="shared" ca="1" si="73"/>
        <v>0</v>
      </c>
      <c r="X166" s="19">
        <f t="shared" ca="1" si="74"/>
        <v>0</v>
      </c>
      <c r="Y166" s="19">
        <f t="shared" ca="1" si="75"/>
        <v>0</v>
      </c>
      <c r="Z166" s="20">
        <f t="shared" ca="1" si="76"/>
        <v>0</v>
      </c>
      <c r="AA166" s="1">
        <f t="shared" si="91"/>
        <v>5432.58</v>
      </c>
      <c r="AB166" s="87"/>
      <c r="AC166" s="88"/>
      <c r="AD166" s="101">
        <f t="shared" si="92"/>
        <v>45204</v>
      </c>
      <c r="AE166" s="103">
        <f t="shared" si="93"/>
        <v>0</v>
      </c>
      <c r="AG166" s="1">
        <f t="shared" si="83"/>
        <v>0</v>
      </c>
      <c r="AH166" s="1">
        <f t="shared" si="67"/>
        <v>0</v>
      </c>
      <c r="AI166" s="1">
        <f t="shared" si="94"/>
        <v>5432.58</v>
      </c>
      <c r="AJ166" s="20">
        <f t="shared" si="65"/>
        <v>0</v>
      </c>
      <c r="AK166" s="100">
        <f t="shared" si="68"/>
        <v>0</v>
      </c>
      <c r="AL166" s="100">
        <f t="shared" si="69"/>
        <v>0</v>
      </c>
      <c r="AN166" s="100">
        <f t="shared" si="70"/>
        <v>5068.6859359755299</v>
      </c>
      <c r="AO166" s="20">
        <f t="shared" si="71"/>
        <v>0</v>
      </c>
      <c r="AQ166" s="109">
        <f t="shared" si="84"/>
        <v>0</v>
      </c>
      <c r="AU166" s="109">
        <f t="shared" si="85"/>
        <v>26.737711451425618</v>
      </c>
      <c r="AV166" s="101">
        <f t="shared" si="79"/>
        <v>45234</v>
      </c>
      <c r="AW166" s="99">
        <f t="shared" si="80"/>
        <v>0</v>
      </c>
      <c r="AX166" s="1">
        <f t="shared" si="86"/>
        <v>0</v>
      </c>
      <c r="AY166" s="29">
        <f t="shared" si="87"/>
        <v>0</v>
      </c>
      <c r="AZ166" s="1">
        <f t="shared" si="88"/>
        <v>0</v>
      </c>
      <c r="CB166" s="20">
        <f t="shared" si="66"/>
        <v>0</v>
      </c>
      <c r="CC166" s="173">
        <f t="shared" si="89"/>
        <v>0</v>
      </c>
    </row>
    <row r="167" spans="2:81" x14ac:dyDescent="0.25">
      <c r="B167" s="41"/>
      <c r="C167" s="42"/>
      <c r="D167" s="43"/>
      <c r="E167" s="44"/>
      <c r="F167" s="44"/>
      <c r="G167" s="45"/>
      <c r="H167" s="81" t="str">
        <f t="shared" si="77"/>
        <v/>
      </c>
      <c r="J167" s="7"/>
      <c r="K167" s="8"/>
      <c r="L167" s="15"/>
      <c r="M167" s="21"/>
      <c r="N167" s="21"/>
      <c r="O167" s="21"/>
      <c r="P167" s="21"/>
      <c r="Q167" s="1">
        <f t="shared" si="90"/>
        <v>0.60744618579017706</v>
      </c>
      <c r="R167" s="12">
        <f t="shared" ca="1" si="72"/>
        <v>4112</v>
      </c>
      <c r="S167" s="88">
        <f t="shared" si="81"/>
        <v>0</v>
      </c>
      <c r="T167" s="19">
        <f t="shared" si="82"/>
        <v>0</v>
      </c>
      <c r="U167" s="19">
        <f t="shared" si="78"/>
        <v>0</v>
      </c>
      <c r="V167" s="19">
        <f t="shared" si="95"/>
        <v>0</v>
      </c>
      <c r="W167" s="20">
        <f t="shared" ca="1" si="73"/>
        <v>0</v>
      </c>
      <c r="X167" s="19">
        <f t="shared" ca="1" si="74"/>
        <v>0</v>
      </c>
      <c r="Y167" s="19">
        <f t="shared" ca="1" si="75"/>
        <v>0</v>
      </c>
      <c r="Z167" s="20">
        <f t="shared" ca="1" si="76"/>
        <v>0</v>
      </c>
      <c r="AA167" s="1">
        <f t="shared" si="91"/>
        <v>5432.58</v>
      </c>
      <c r="AB167" s="89"/>
      <c r="AC167" s="90"/>
      <c r="AD167" s="101">
        <f t="shared" si="92"/>
        <v>45234</v>
      </c>
      <c r="AE167" s="103">
        <f t="shared" si="93"/>
        <v>0</v>
      </c>
      <c r="AG167" s="1">
        <f t="shared" si="83"/>
        <v>0</v>
      </c>
      <c r="AH167" s="1">
        <f t="shared" si="67"/>
        <v>0</v>
      </c>
      <c r="AI167" s="1">
        <f t="shared" si="94"/>
        <v>5432.58</v>
      </c>
      <c r="AJ167" s="20">
        <f t="shared" si="65"/>
        <v>0</v>
      </c>
      <c r="AK167" s="100">
        <f t="shared" si="68"/>
        <v>0</v>
      </c>
      <c r="AL167" s="100">
        <f t="shared" si="69"/>
        <v>0</v>
      </c>
      <c r="AN167" s="100">
        <f t="shared" si="70"/>
        <v>5066.1214391880421</v>
      </c>
      <c r="AO167" s="20">
        <f t="shared" si="71"/>
        <v>0</v>
      </c>
      <c r="AQ167" s="109">
        <f t="shared" si="84"/>
        <v>0</v>
      </c>
      <c r="AU167" s="109">
        <f t="shared" si="85"/>
        <v>26.735364680525887</v>
      </c>
      <c r="AV167" s="101">
        <f t="shared" si="79"/>
        <v>45264</v>
      </c>
      <c r="AW167" s="99">
        <f t="shared" si="80"/>
        <v>0</v>
      </c>
      <c r="AX167" s="1">
        <f t="shared" si="86"/>
        <v>0</v>
      </c>
      <c r="AY167" s="29">
        <f t="shared" si="87"/>
        <v>0</v>
      </c>
      <c r="AZ167" s="1">
        <f t="shared" si="88"/>
        <v>0</v>
      </c>
      <c r="CB167" s="20">
        <f t="shared" si="66"/>
        <v>0</v>
      </c>
      <c r="CC167" s="173">
        <f t="shared" si="89"/>
        <v>0</v>
      </c>
    </row>
    <row r="168" spans="2:81" x14ac:dyDescent="0.25">
      <c r="B168" s="41"/>
      <c r="C168" s="42"/>
      <c r="D168" s="43"/>
      <c r="E168" s="44"/>
      <c r="F168" s="44"/>
      <c r="G168" s="45"/>
      <c r="H168" s="81" t="str">
        <f t="shared" si="77"/>
        <v/>
      </c>
      <c r="J168" s="9"/>
      <c r="K168" s="10"/>
      <c r="L168" s="14"/>
      <c r="M168" s="19"/>
      <c r="N168" s="19"/>
      <c r="O168" s="19"/>
      <c r="P168" s="19"/>
      <c r="Q168" s="1">
        <f t="shared" si="90"/>
        <v>0.60744618579017706</v>
      </c>
      <c r="R168" s="12">
        <f t="shared" ca="1" si="72"/>
        <v>4142</v>
      </c>
      <c r="S168" s="88">
        <f t="shared" si="81"/>
        <v>0</v>
      </c>
      <c r="T168" s="19">
        <f t="shared" si="82"/>
        <v>0</v>
      </c>
      <c r="U168" s="19">
        <f t="shared" si="78"/>
        <v>0</v>
      </c>
      <c r="V168" s="19">
        <f t="shared" si="95"/>
        <v>0</v>
      </c>
      <c r="W168" s="20">
        <f t="shared" ca="1" si="73"/>
        <v>0</v>
      </c>
      <c r="X168" s="19">
        <f t="shared" ca="1" si="74"/>
        <v>0</v>
      </c>
      <c r="Y168" s="19">
        <f t="shared" ca="1" si="75"/>
        <v>0</v>
      </c>
      <c r="Z168" s="20">
        <f t="shared" ca="1" si="76"/>
        <v>0</v>
      </c>
      <c r="AA168" s="1">
        <f t="shared" si="91"/>
        <v>5432.58</v>
      </c>
      <c r="AB168" s="87"/>
      <c r="AC168" s="88"/>
      <c r="AD168" s="101">
        <f t="shared" si="92"/>
        <v>45264</v>
      </c>
      <c r="AE168" s="103">
        <f t="shared" si="93"/>
        <v>0</v>
      </c>
      <c r="AG168" s="1">
        <f t="shared" si="83"/>
        <v>0</v>
      </c>
      <c r="AH168" s="1">
        <f t="shared" si="67"/>
        <v>0</v>
      </c>
      <c r="AI168" s="1">
        <f t="shared" si="94"/>
        <v>5432.58</v>
      </c>
      <c r="AJ168" s="20">
        <f t="shared" ref="AJ168:AJ231" si="96">IF(ISERROR(IF(V167+U168+T168+(V167*Q168/1200)-AA168-P168&lt;0,V167,-(U168+T168-AA168+P168-AH168))),0,IF(V167+U168+T168+(V167*Q168/1200)-AA168-P168&lt;0,0,-(U168+T168-AA168-AH168)))</f>
        <v>0</v>
      </c>
      <c r="AK168" s="100">
        <f t="shared" si="68"/>
        <v>0</v>
      </c>
      <c r="AL168" s="100">
        <f t="shared" si="69"/>
        <v>0</v>
      </c>
      <c r="AN168" s="100">
        <f t="shared" si="70"/>
        <v>5063.5582399052455</v>
      </c>
      <c r="AO168" s="20">
        <f t="shared" si="71"/>
        <v>0</v>
      </c>
      <c r="AQ168" s="109">
        <f t="shared" si="84"/>
        <v>0</v>
      </c>
      <c r="AU168" s="109">
        <f t="shared" si="85"/>
        <v>26.733018115602409</v>
      </c>
      <c r="AV168" s="101">
        <f t="shared" si="79"/>
        <v>45294</v>
      </c>
      <c r="AW168" s="99">
        <f t="shared" si="80"/>
        <v>0</v>
      </c>
      <c r="AX168" s="1">
        <f t="shared" si="86"/>
        <v>0</v>
      </c>
      <c r="AY168" s="29">
        <f t="shared" si="87"/>
        <v>0</v>
      </c>
      <c r="AZ168" s="1">
        <f t="shared" si="88"/>
        <v>0</v>
      </c>
      <c r="CB168" s="20">
        <f t="shared" si="66"/>
        <v>0</v>
      </c>
      <c r="CC168" s="173">
        <f t="shared" si="89"/>
        <v>0</v>
      </c>
    </row>
    <row r="169" spans="2:81" x14ac:dyDescent="0.25">
      <c r="B169" s="41"/>
      <c r="C169" s="42"/>
      <c r="D169" s="43"/>
      <c r="E169" s="44"/>
      <c r="F169" s="44"/>
      <c r="G169" s="45"/>
      <c r="H169" s="81" t="str">
        <f t="shared" si="77"/>
        <v/>
      </c>
      <c r="J169" s="7"/>
      <c r="K169" s="8"/>
      <c r="L169" s="15"/>
      <c r="M169" s="21"/>
      <c r="N169" s="21"/>
      <c r="O169" s="21"/>
      <c r="P169" s="21"/>
      <c r="Q169" s="1">
        <f t="shared" si="90"/>
        <v>0.60744618579017706</v>
      </c>
      <c r="R169" s="12">
        <f t="shared" ca="1" si="72"/>
        <v>4172</v>
      </c>
      <c r="S169" s="88">
        <f t="shared" si="81"/>
        <v>0</v>
      </c>
      <c r="T169" s="19">
        <f t="shared" si="82"/>
        <v>0</v>
      </c>
      <c r="U169" s="19">
        <f t="shared" si="78"/>
        <v>0</v>
      </c>
      <c r="V169" s="19">
        <f t="shared" si="95"/>
        <v>0</v>
      </c>
      <c r="W169" s="20">
        <f t="shared" ca="1" si="73"/>
        <v>0</v>
      </c>
      <c r="X169" s="19">
        <f t="shared" ca="1" si="74"/>
        <v>0</v>
      </c>
      <c r="Y169" s="19">
        <f t="shared" ca="1" si="75"/>
        <v>0</v>
      </c>
      <c r="Z169" s="20">
        <f t="shared" ca="1" si="76"/>
        <v>0</v>
      </c>
      <c r="AA169" s="1">
        <f t="shared" si="91"/>
        <v>5432.58</v>
      </c>
      <c r="AB169" s="89"/>
      <c r="AC169" s="90"/>
      <c r="AD169" s="101">
        <f t="shared" si="92"/>
        <v>45294</v>
      </c>
      <c r="AE169" s="103">
        <f t="shared" si="93"/>
        <v>0</v>
      </c>
      <c r="AG169" s="1">
        <f t="shared" si="83"/>
        <v>0</v>
      </c>
      <c r="AH169" s="1">
        <f t="shared" si="67"/>
        <v>0</v>
      </c>
      <c r="AI169" s="1">
        <f t="shared" si="94"/>
        <v>5432.58</v>
      </c>
      <c r="AJ169" s="20">
        <f t="shared" si="96"/>
        <v>0</v>
      </c>
      <c r="AK169" s="100">
        <f t="shared" si="68"/>
        <v>0</v>
      </c>
      <c r="AL169" s="100">
        <f t="shared" si="69"/>
        <v>0</v>
      </c>
      <c r="AN169" s="100">
        <f t="shared" si="70"/>
        <v>5060.9963374706658</v>
      </c>
      <c r="AO169" s="20">
        <f t="shared" si="71"/>
        <v>0</v>
      </c>
      <c r="AQ169" s="109">
        <f t="shared" si="84"/>
        <v>0</v>
      </c>
      <c r="AU169" s="109">
        <f t="shared" si="85"/>
        <v>26.730671756637108</v>
      </c>
      <c r="AV169" s="101">
        <f t="shared" si="79"/>
        <v>45324</v>
      </c>
      <c r="AW169" s="99">
        <f t="shared" si="80"/>
        <v>0</v>
      </c>
      <c r="AX169" s="1">
        <f t="shared" si="86"/>
        <v>0</v>
      </c>
      <c r="AY169" s="29">
        <f t="shared" si="87"/>
        <v>0</v>
      </c>
      <c r="AZ169" s="1">
        <f t="shared" si="88"/>
        <v>0</v>
      </c>
      <c r="CB169" s="20">
        <f t="shared" si="66"/>
        <v>0</v>
      </c>
      <c r="CC169" s="173">
        <f t="shared" si="89"/>
        <v>0</v>
      </c>
    </row>
    <row r="170" spans="2:81" x14ac:dyDescent="0.25">
      <c r="B170" s="41"/>
      <c r="C170" s="42"/>
      <c r="D170" s="43"/>
      <c r="E170" s="44"/>
      <c r="F170" s="44"/>
      <c r="G170" s="45"/>
      <c r="H170" s="81" t="str">
        <f t="shared" si="77"/>
        <v/>
      </c>
      <c r="J170" s="9"/>
      <c r="K170" s="10"/>
      <c r="L170" s="14"/>
      <c r="M170" s="19"/>
      <c r="N170" s="19"/>
      <c r="O170" s="19"/>
      <c r="P170" s="19"/>
      <c r="Q170" s="1">
        <f t="shared" si="90"/>
        <v>0.60744618579017706</v>
      </c>
      <c r="R170" s="12">
        <f t="shared" ca="1" si="72"/>
        <v>4202</v>
      </c>
      <c r="S170" s="88">
        <f t="shared" si="81"/>
        <v>0</v>
      </c>
      <c r="T170" s="19">
        <f t="shared" si="82"/>
        <v>0</v>
      </c>
      <c r="U170" s="19">
        <f t="shared" si="78"/>
        <v>0</v>
      </c>
      <c r="V170" s="19">
        <f t="shared" si="95"/>
        <v>0</v>
      </c>
      <c r="W170" s="20">
        <f t="shared" ca="1" si="73"/>
        <v>0</v>
      </c>
      <c r="X170" s="19">
        <f t="shared" ca="1" si="74"/>
        <v>0</v>
      </c>
      <c r="Y170" s="19">
        <f t="shared" ca="1" si="75"/>
        <v>0</v>
      </c>
      <c r="Z170" s="20">
        <f t="shared" ca="1" si="76"/>
        <v>0</v>
      </c>
      <c r="AA170" s="1">
        <f t="shared" si="91"/>
        <v>5432.58</v>
      </c>
      <c r="AB170" s="87"/>
      <c r="AC170" s="88"/>
      <c r="AD170" s="101">
        <f t="shared" si="92"/>
        <v>45324</v>
      </c>
      <c r="AE170" s="103">
        <f t="shared" si="93"/>
        <v>0</v>
      </c>
      <c r="AG170" s="1">
        <f t="shared" si="83"/>
        <v>0</v>
      </c>
      <c r="AH170" s="1">
        <f t="shared" si="67"/>
        <v>0</v>
      </c>
      <c r="AI170" s="1">
        <f t="shared" si="94"/>
        <v>5432.58</v>
      </c>
      <c r="AJ170" s="20">
        <f t="shared" si="96"/>
        <v>0</v>
      </c>
      <c r="AK170" s="100">
        <f t="shared" si="68"/>
        <v>0</v>
      </c>
      <c r="AL170" s="100">
        <f t="shared" si="69"/>
        <v>0</v>
      </c>
      <c r="AN170" s="100">
        <f t="shared" si="70"/>
        <v>5058.4357312281654</v>
      </c>
      <c r="AO170" s="20">
        <f t="shared" si="71"/>
        <v>0</v>
      </c>
      <c r="AQ170" s="109">
        <f t="shared" si="84"/>
        <v>0</v>
      </c>
      <c r="AU170" s="109">
        <f t="shared" si="85"/>
        <v>26.728325603611903</v>
      </c>
      <c r="AV170" s="101">
        <f t="shared" si="79"/>
        <v>45354</v>
      </c>
      <c r="AW170" s="99">
        <f t="shared" si="80"/>
        <v>0</v>
      </c>
      <c r="AX170" s="1">
        <f t="shared" si="86"/>
        <v>0</v>
      </c>
      <c r="AY170" s="29">
        <f t="shared" si="87"/>
        <v>0</v>
      </c>
      <c r="AZ170" s="1">
        <f t="shared" si="88"/>
        <v>0</v>
      </c>
      <c r="CB170" s="20">
        <f t="shared" si="66"/>
        <v>0</v>
      </c>
      <c r="CC170" s="173">
        <f t="shared" si="89"/>
        <v>0</v>
      </c>
    </row>
    <row r="171" spans="2:81" x14ac:dyDescent="0.25">
      <c r="B171" s="41"/>
      <c r="C171" s="42"/>
      <c r="D171" s="43"/>
      <c r="E171" s="44"/>
      <c r="F171" s="44"/>
      <c r="G171" s="45"/>
      <c r="H171" s="81" t="str">
        <f t="shared" si="77"/>
        <v/>
      </c>
      <c r="J171" s="7"/>
      <c r="K171" s="8"/>
      <c r="L171" s="15"/>
      <c r="M171" s="21"/>
      <c r="N171" s="21"/>
      <c r="O171" s="21"/>
      <c r="P171" s="21"/>
      <c r="Q171" s="1">
        <f t="shared" si="90"/>
        <v>0.60744618579017706</v>
      </c>
      <c r="R171" s="12">
        <f t="shared" ca="1" si="72"/>
        <v>4232</v>
      </c>
      <c r="S171" s="88">
        <f t="shared" si="81"/>
        <v>0</v>
      </c>
      <c r="T171" s="19">
        <f t="shared" si="82"/>
        <v>0</v>
      </c>
      <c r="U171" s="19">
        <f t="shared" si="78"/>
        <v>0</v>
      </c>
      <c r="V171" s="19">
        <f t="shared" si="95"/>
        <v>0</v>
      </c>
      <c r="W171" s="20">
        <f t="shared" ca="1" si="73"/>
        <v>0</v>
      </c>
      <c r="X171" s="19">
        <f t="shared" ca="1" si="74"/>
        <v>0</v>
      </c>
      <c r="Y171" s="19">
        <f t="shared" ca="1" si="75"/>
        <v>0</v>
      </c>
      <c r="Z171" s="20">
        <f t="shared" ca="1" si="76"/>
        <v>0</v>
      </c>
      <c r="AA171" s="1">
        <f t="shared" si="91"/>
        <v>5432.58</v>
      </c>
      <c r="AB171" s="89"/>
      <c r="AC171" s="90"/>
      <c r="AD171" s="101">
        <f t="shared" si="92"/>
        <v>45354</v>
      </c>
      <c r="AE171" s="103">
        <f t="shared" si="93"/>
        <v>0</v>
      </c>
      <c r="AG171" s="1">
        <f t="shared" si="83"/>
        <v>0</v>
      </c>
      <c r="AH171" s="1">
        <f t="shared" si="67"/>
        <v>0</v>
      </c>
      <c r="AI171" s="1">
        <f t="shared" si="94"/>
        <v>5432.58</v>
      </c>
      <c r="AJ171" s="20">
        <f t="shared" si="96"/>
        <v>0</v>
      </c>
      <c r="AK171" s="100">
        <f t="shared" si="68"/>
        <v>0</v>
      </c>
      <c r="AL171" s="100">
        <f t="shared" si="69"/>
        <v>0</v>
      </c>
      <c r="AN171" s="100">
        <f t="shared" si="70"/>
        <v>5055.8764205219377</v>
      </c>
      <c r="AO171" s="20">
        <f t="shared" si="71"/>
        <v>0</v>
      </c>
      <c r="AQ171" s="109">
        <f t="shared" si="84"/>
        <v>0</v>
      </c>
      <c r="AU171" s="109">
        <f t="shared" si="85"/>
        <v>26.725979656508731</v>
      </c>
      <c r="AV171" s="101">
        <f t="shared" si="79"/>
        <v>45384</v>
      </c>
      <c r="AW171" s="99">
        <f t="shared" si="80"/>
        <v>0</v>
      </c>
      <c r="AX171" s="1">
        <f t="shared" si="86"/>
        <v>0</v>
      </c>
      <c r="AY171" s="29">
        <f t="shared" si="87"/>
        <v>0</v>
      </c>
      <c r="AZ171" s="1">
        <f t="shared" si="88"/>
        <v>0</v>
      </c>
      <c r="CB171" s="20">
        <f t="shared" si="66"/>
        <v>0</v>
      </c>
      <c r="CC171" s="173">
        <f t="shared" si="89"/>
        <v>0</v>
      </c>
    </row>
    <row r="172" spans="2:81" x14ac:dyDescent="0.25">
      <c r="B172" s="41"/>
      <c r="C172" s="42"/>
      <c r="D172" s="43"/>
      <c r="E172" s="44"/>
      <c r="F172" s="44"/>
      <c r="G172" s="45"/>
      <c r="H172" s="81" t="str">
        <f t="shared" si="77"/>
        <v/>
      </c>
      <c r="J172" s="9"/>
      <c r="K172" s="10"/>
      <c r="L172" s="14"/>
      <c r="M172" s="19"/>
      <c r="N172" s="19"/>
      <c r="O172" s="19"/>
      <c r="P172" s="19"/>
      <c r="Q172" s="1">
        <f t="shared" si="90"/>
        <v>0.60744618579017706</v>
      </c>
      <c r="R172" s="12">
        <f t="shared" ca="1" si="72"/>
        <v>4262</v>
      </c>
      <c r="S172" s="88">
        <f t="shared" si="81"/>
        <v>0</v>
      </c>
      <c r="T172" s="19">
        <f t="shared" si="82"/>
        <v>0</v>
      </c>
      <c r="U172" s="19">
        <f t="shared" si="78"/>
        <v>0</v>
      </c>
      <c r="V172" s="19">
        <f t="shared" si="95"/>
        <v>0</v>
      </c>
      <c r="W172" s="20">
        <f t="shared" ca="1" si="73"/>
        <v>0</v>
      </c>
      <c r="X172" s="19">
        <f t="shared" ca="1" si="74"/>
        <v>0</v>
      </c>
      <c r="Y172" s="19">
        <f t="shared" ca="1" si="75"/>
        <v>0</v>
      </c>
      <c r="Z172" s="20">
        <f t="shared" ca="1" si="76"/>
        <v>0</v>
      </c>
      <c r="AA172" s="1">
        <f t="shared" si="91"/>
        <v>5432.58</v>
      </c>
      <c r="AB172" s="87"/>
      <c r="AC172" s="88"/>
      <c r="AD172" s="101">
        <f t="shared" si="92"/>
        <v>45384</v>
      </c>
      <c r="AE172" s="103">
        <f t="shared" si="93"/>
        <v>0</v>
      </c>
      <c r="AG172" s="1">
        <f t="shared" si="83"/>
        <v>0</v>
      </c>
      <c r="AH172" s="1">
        <f t="shared" si="67"/>
        <v>0</v>
      </c>
      <c r="AI172" s="1">
        <f t="shared" si="94"/>
        <v>5432.58</v>
      </c>
      <c r="AJ172" s="20">
        <f t="shared" si="96"/>
        <v>0</v>
      </c>
      <c r="AK172" s="100">
        <f t="shared" si="68"/>
        <v>0</v>
      </c>
      <c r="AL172" s="100">
        <f t="shared" si="69"/>
        <v>0</v>
      </c>
      <c r="AN172" s="100">
        <f t="shared" si="70"/>
        <v>5053.3184046965071</v>
      </c>
      <c r="AO172" s="20">
        <f t="shared" si="71"/>
        <v>0</v>
      </c>
      <c r="AQ172" s="109">
        <f t="shared" si="84"/>
        <v>0</v>
      </c>
      <c r="AU172" s="109">
        <f t="shared" si="85"/>
        <v>26.723633915309499</v>
      </c>
      <c r="AV172" s="101">
        <f t="shared" si="79"/>
        <v>45414</v>
      </c>
      <c r="AW172" s="99">
        <f t="shared" si="80"/>
        <v>0</v>
      </c>
      <c r="AX172" s="1">
        <f t="shared" si="86"/>
        <v>0</v>
      </c>
      <c r="AY172" s="29">
        <f t="shared" si="87"/>
        <v>0</v>
      </c>
      <c r="AZ172" s="1">
        <f t="shared" si="88"/>
        <v>0</v>
      </c>
      <c r="CB172" s="20">
        <f t="shared" si="66"/>
        <v>0</v>
      </c>
      <c r="CC172" s="173">
        <f t="shared" si="89"/>
        <v>0</v>
      </c>
    </row>
    <row r="173" spans="2:81" x14ac:dyDescent="0.25">
      <c r="B173" s="41"/>
      <c r="C173" s="42"/>
      <c r="D173" s="43"/>
      <c r="E173" s="44"/>
      <c r="F173" s="44"/>
      <c r="G173" s="45"/>
      <c r="H173" s="81" t="str">
        <f t="shared" si="77"/>
        <v/>
      </c>
      <c r="J173" s="7"/>
      <c r="K173" s="8"/>
      <c r="L173" s="15"/>
      <c r="M173" s="21"/>
      <c r="N173" s="21"/>
      <c r="O173" s="21"/>
      <c r="P173" s="21"/>
      <c r="Q173" s="1">
        <f t="shared" si="90"/>
        <v>0.60744618579017706</v>
      </c>
      <c r="R173" s="12">
        <f t="shared" ca="1" si="72"/>
        <v>4292</v>
      </c>
      <c r="S173" s="88">
        <f t="shared" si="81"/>
        <v>0</v>
      </c>
      <c r="T173" s="19">
        <f t="shared" si="82"/>
        <v>0</v>
      </c>
      <c r="U173" s="19">
        <f t="shared" si="78"/>
        <v>0</v>
      </c>
      <c r="V173" s="19">
        <f t="shared" si="95"/>
        <v>0</v>
      </c>
      <c r="W173" s="20">
        <f t="shared" ca="1" si="73"/>
        <v>0</v>
      </c>
      <c r="X173" s="19">
        <f t="shared" ca="1" si="74"/>
        <v>0</v>
      </c>
      <c r="Y173" s="19">
        <f t="shared" ca="1" si="75"/>
        <v>0</v>
      </c>
      <c r="Z173" s="20">
        <f t="shared" ca="1" si="76"/>
        <v>0</v>
      </c>
      <c r="AA173" s="1">
        <f t="shared" si="91"/>
        <v>5432.58</v>
      </c>
      <c r="AB173" s="89"/>
      <c r="AC173" s="90"/>
      <c r="AD173" s="101">
        <f t="shared" si="92"/>
        <v>45414</v>
      </c>
      <c r="AE173" s="103">
        <f t="shared" si="93"/>
        <v>0</v>
      </c>
      <c r="AG173" s="1">
        <f t="shared" si="83"/>
        <v>0</v>
      </c>
      <c r="AH173" s="1">
        <f t="shared" si="67"/>
        <v>0</v>
      </c>
      <c r="AI173" s="1">
        <f t="shared" si="94"/>
        <v>5432.58</v>
      </c>
      <c r="AJ173" s="20">
        <f t="shared" si="96"/>
        <v>0</v>
      </c>
      <c r="AK173" s="100">
        <f t="shared" si="68"/>
        <v>0</v>
      </c>
      <c r="AL173" s="100">
        <f t="shared" si="69"/>
        <v>0</v>
      </c>
      <c r="AN173" s="100">
        <f t="shared" si="70"/>
        <v>5050.7616830967299</v>
      </c>
      <c r="AO173" s="20">
        <f t="shared" si="71"/>
        <v>0</v>
      </c>
      <c r="AQ173" s="109">
        <f t="shared" si="84"/>
        <v>0</v>
      </c>
      <c r="AU173" s="109">
        <f t="shared" si="85"/>
        <v>26.721288379996146</v>
      </c>
      <c r="AV173" s="101">
        <f t="shared" si="79"/>
        <v>45444</v>
      </c>
      <c r="AW173" s="99">
        <f t="shared" si="80"/>
        <v>0</v>
      </c>
      <c r="AX173" s="1">
        <f t="shared" si="86"/>
        <v>0</v>
      </c>
      <c r="AY173" s="29">
        <f t="shared" si="87"/>
        <v>0</v>
      </c>
      <c r="AZ173" s="1">
        <f t="shared" si="88"/>
        <v>0</v>
      </c>
      <c r="CB173" s="20">
        <f t="shared" si="66"/>
        <v>0</v>
      </c>
      <c r="CC173" s="173">
        <f t="shared" si="89"/>
        <v>0</v>
      </c>
    </row>
    <row r="174" spans="2:81" x14ac:dyDescent="0.25">
      <c r="B174" s="41"/>
      <c r="C174" s="42"/>
      <c r="D174" s="43"/>
      <c r="E174" s="44"/>
      <c r="F174" s="44"/>
      <c r="G174" s="45"/>
      <c r="H174" s="81" t="str">
        <f t="shared" si="77"/>
        <v/>
      </c>
      <c r="J174" s="9"/>
      <c r="K174" s="10"/>
      <c r="L174" s="14"/>
      <c r="M174" s="19"/>
      <c r="N174" s="19"/>
      <c r="O174" s="19"/>
      <c r="P174" s="19"/>
      <c r="Q174" s="1">
        <f t="shared" si="90"/>
        <v>0.60744618579017706</v>
      </c>
      <c r="R174" s="12">
        <f t="shared" ca="1" si="72"/>
        <v>4322</v>
      </c>
      <c r="S174" s="88">
        <f t="shared" si="81"/>
        <v>0</v>
      </c>
      <c r="T174" s="19">
        <f t="shared" si="82"/>
        <v>0</v>
      </c>
      <c r="U174" s="19">
        <f t="shared" si="78"/>
        <v>0</v>
      </c>
      <c r="V174" s="19">
        <f t="shared" si="95"/>
        <v>0</v>
      </c>
      <c r="W174" s="20">
        <f t="shared" ca="1" si="73"/>
        <v>0</v>
      </c>
      <c r="X174" s="19">
        <f t="shared" ca="1" si="74"/>
        <v>0</v>
      </c>
      <c r="Y174" s="19">
        <f t="shared" ca="1" si="75"/>
        <v>0</v>
      </c>
      <c r="Z174" s="20">
        <f t="shared" ca="1" si="76"/>
        <v>0</v>
      </c>
      <c r="AA174" s="1">
        <f t="shared" si="91"/>
        <v>5432.58</v>
      </c>
      <c r="AB174" s="87"/>
      <c r="AC174" s="88"/>
      <c r="AD174" s="101">
        <f t="shared" si="92"/>
        <v>45444</v>
      </c>
      <c r="AE174" s="103">
        <f t="shared" si="93"/>
        <v>0</v>
      </c>
      <c r="AG174" s="1">
        <f t="shared" si="83"/>
        <v>0</v>
      </c>
      <c r="AH174" s="1">
        <f t="shared" si="67"/>
        <v>0</v>
      </c>
      <c r="AI174" s="1">
        <f t="shared" si="94"/>
        <v>5432.58</v>
      </c>
      <c r="AJ174" s="20">
        <f t="shared" si="96"/>
        <v>0</v>
      </c>
      <c r="AK174" s="100">
        <f t="shared" si="68"/>
        <v>0</v>
      </c>
      <c r="AL174" s="100">
        <f t="shared" si="69"/>
        <v>0</v>
      </c>
      <c r="AN174" s="100">
        <f t="shared" si="70"/>
        <v>5048.2062550677929</v>
      </c>
      <c r="AO174" s="20">
        <f t="shared" si="71"/>
        <v>0</v>
      </c>
      <c r="AQ174" s="109">
        <f t="shared" si="84"/>
        <v>0</v>
      </c>
      <c r="AU174" s="109">
        <f t="shared" si="85"/>
        <v>26.718943050550596</v>
      </c>
      <c r="AV174" s="101">
        <f t="shared" si="79"/>
        <v>45474</v>
      </c>
      <c r="AW174" s="99">
        <f t="shared" si="80"/>
        <v>0</v>
      </c>
      <c r="AX174" s="1">
        <f t="shared" si="86"/>
        <v>0</v>
      </c>
      <c r="AY174" s="29">
        <f t="shared" si="87"/>
        <v>0</v>
      </c>
      <c r="AZ174" s="1">
        <f t="shared" si="88"/>
        <v>0</v>
      </c>
      <c r="CB174" s="20">
        <f t="shared" ref="CB174:CB237" si="97">IF(O174=0,IF(P174&gt;0,V173,IF(O173=0,0,P174)),IF(O173=0,0,P174))</f>
        <v>0</v>
      </c>
      <c r="CC174" s="173">
        <f t="shared" si="89"/>
        <v>0</v>
      </c>
    </row>
    <row r="175" spans="2:81" x14ac:dyDescent="0.25">
      <c r="B175" s="41"/>
      <c r="C175" s="42"/>
      <c r="D175" s="43"/>
      <c r="E175" s="44"/>
      <c r="F175" s="44"/>
      <c r="G175" s="45"/>
      <c r="H175" s="81" t="str">
        <f t="shared" si="77"/>
        <v/>
      </c>
      <c r="J175" s="7"/>
      <c r="K175" s="8"/>
      <c r="L175" s="15"/>
      <c r="M175" s="21"/>
      <c r="N175" s="21"/>
      <c r="O175" s="21"/>
      <c r="P175" s="21"/>
      <c r="Q175" s="1">
        <f t="shared" si="90"/>
        <v>0.60744618579017706</v>
      </c>
      <c r="R175" s="12">
        <f t="shared" ca="1" si="72"/>
        <v>4352</v>
      </c>
      <c r="S175" s="88">
        <f t="shared" si="81"/>
        <v>0</v>
      </c>
      <c r="T175" s="19">
        <f t="shared" si="82"/>
        <v>0</v>
      </c>
      <c r="U175" s="19">
        <f t="shared" si="78"/>
        <v>0</v>
      </c>
      <c r="V175" s="19">
        <f t="shared" si="95"/>
        <v>0</v>
      </c>
      <c r="W175" s="20">
        <f t="shared" ca="1" si="73"/>
        <v>0</v>
      </c>
      <c r="X175" s="19">
        <f t="shared" ca="1" si="74"/>
        <v>0</v>
      </c>
      <c r="Y175" s="19">
        <f t="shared" ca="1" si="75"/>
        <v>0</v>
      </c>
      <c r="Z175" s="20">
        <f t="shared" ca="1" si="76"/>
        <v>0</v>
      </c>
      <c r="AA175" s="1">
        <f t="shared" si="91"/>
        <v>5432.58</v>
      </c>
      <c r="AB175" s="89"/>
      <c r="AC175" s="90"/>
      <c r="AD175" s="101">
        <f t="shared" si="92"/>
        <v>45474</v>
      </c>
      <c r="AE175" s="103">
        <f t="shared" si="93"/>
        <v>0</v>
      </c>
      <c r="AG175" s="1">
        <f t="shared" si="83"/>
        <v>0</v>
      </c>
      <c r="AH175" s="1">
        <f t="shared" ref="AH175:AH238" si="98">IF(ISERROR(IF(V174+U175+T175+(V174*Q175/1200)-AA175-P175&lt;0,0,(V174*Q175/1200))),0,IF(V174+U175+T175+(V174*Q175/1200)-AA175-P175&lt;0,0,(V174*Q175/1200)))</f>
        <v>0</v>
      </c>
      <c r="AI175" s="1">
        <f t="shared" si="94"/>
        <v>5432.58</v>
      </c>
      <c r="AJ175" s="20">
        <f t="shared" si="96"/>
        <v>0</v>
      </c>
      <c r="AK175" s="100">
        <f t="shared" ref="AK175:AK238" si="99">IF(ISERROR(AJ175/(1+(Q175)/1200)^(ROW()-29)),0,AJ175/(1+(Q175)/1200)^(ROW()-29))</f>
        <v>0</v>
      </c>
      <c r="AL175" s="100">
        <f t="shared" ref="AL175:AL238" si="100">IF(ISERROR((Q175/1200)*O175),0,(Q175/1200)*O175)</f>
        <v>0</v>
      </c>
      <c r="AN175" s="100">
        <f t="shared" ref="AN175:AN238" si="101">IF(ISERROR(AA175/(1+(Q175)/1200)^(ROW()-29)),0,AA175/(1+(Q175)/1200)^(ROW()-29))</f>
        <v>5045.6521199552171</v>
      </c>
      <c r="AO175" s="20">
        <f t="shared" ref="AO175:AO238" si="102">IF(ISERROR(V174+U175+T175+(V174*Q175/1200)-AA175-P175),0,IF(V174+U175+T175+(V174*Q175/1200)-AA175-P175&lt;0,V174,-(U175+T175-AA175+P175-AH175)))</f>
        <v>0</v>
      </c>
      <c r="AQ175" s="109">
        <f t="shared" si="84"/>
        <v>0</v>
      </c>
      <c r="AU175" s="109">
        <f t="shared" si="85"/>
        <v>26.716597926954798</v>
      </c>
      <c r="AV175" s="101">
        <f t="shared" si="79"/>
        <v>45504</v>
      </c>
      <c r="AW175" s="99">
        <f t="shared" si="80"/>
        <v>0</v>
      </c>
      <c r="AX175" s="1">
        <f t="shared" si="86"/>
        <v>0</v>
      </c>
      <c r="AY175" s="29">
        <f t="shared" si="87"/>
        <v>0</v>
      </c>
      <c r="AZ175" s="1">
        <f t="shared" si="88"/>
        <v>0</v>
      </c>
      <c r="CB175" s="20">
        <f t="shared" si="97"/>
        <v>0</v>
      </c>
      <c r="CC175" s="173">
        <f t="shared" si="89"/>
        <v>0</v>
      </c>
    </row>
    <row r="176" spans="2:81" x14ac:dyDescent="0.25">
      <c r="B176" s="41"/>
      <c r="C176" s="42"/>
      <c r="D176" s="43"/>
      <c r="E176" s="44"/>
      <c r="F176" s="44"/>
      <c r="G176" s="45"/>
      <c r="H176" s="81" t="str">
        <f t="shared" si="77"/>
        <v/>
      </c>
      <c r="J176" s="9"/>
      <c r="K176" s="10"/>
      <c r="L176" s="14"/>
      <c r="M176" s="19"/>
      <c r="N176" s="19"/>
      <c r="O176" s="19"/>
      <c r="P176" s="19"/>
      <c r="Q176" s="1">
        <f t="shared" si="90"/>
        <v>0.60744618579017706</v>
      </c>
      <c r="R176" s="12">
        <f t="shared" ca="1" si="72"/>
        <v>4382</v>
      </c>
      <c r="S176" s="88">
        <f t="shared" si="81"/>
        <v>0</v>
      </c>
      <c r="T176" s="19">
        <f t="shared" si="82"/>
        <v>0</v>
      </c>
      <c r="U176" s="19">
        <f t="shared" si="78"/>
        <v>0</v>
      </c>
      <c r="V176" s="19">
        <f t="shared" si="95"/>
        <v>0</v>
      </c>
      <c r="W176" s="20">
        <f t="shared" ca="1" si="73"/>
        <v>0</v>
      </c>
      <c r="X176" s="19">
        <f t="shared" ca="1" si="74"/>
        <v>0</v>
      </c>
      <c r="Y176" s="19">
        <f t="shared" ca="1" si="75"/>
        <v>0</v>
      </c>
      <c r="Z176" s="20">
        <f t="shared" ca="1" si="76"/>
        <v>0</v>
      </c>
      <c r="AA176" s="1">
        <f t="shared" si="91"/>
        <v>5432.58</v>
      </c>
      <c r="AB176" s="87"/>
      <c r="AC176" s="88"/>
      <c r="AD176" s="101">
        <f t="shared" si="92"/>
        <v>45504</v>
      </c>
      <c r="AE176" s="103">
        <f t="shared" si="93"/>
        <v>0</v>
      </c>
      <c r="AG176" s="1">
        <f t="shared" si="83"/>
        <v>0</v>
      </c>
      <c r="AH176" s="1">
        <f t="shared" si="98"/>
        <v>0</v>
      </c>
      <c r="AI176" s="1">
        <f t="shared" si="94"/>
        <v>5432.58</v>
      </c>
      <c r="AJ176" s="20">
        <f t="shared" si="96"/>
        <v>0</v>
      </c>
      <c r="AK176" s="100">
        <f t="shared" si="99"/>
        <v>0</v>
      </c>
      <c r="AL176" s="100">
        <f t="shared" si="100"/>
        <v>0</v>
      </c>
      <c r="AN176" s="100">
        <f t="shared" si="101"/>
        <v>5043.0992771048523</v>
      </c>
      <c r="AO176" s="20">
        <f t="shared" si="102"/>
        <v>0</v>
      </c>
      <c r="AQ176" s="109">
        <f t="shared" si="84"/>
        <v>0</v>
      </c>
      <c r="AU176" s="109">
        <f t="shared" si="85"/>
        <v>26.714253009190656</v>
      </c>
      <c r="AV176" s="101">
        <f t="shared" si="79"/>
        <v>45534</v>
      </c>
      <c r="AW176" s="99">
        <f t="shared" si="80"/>
        <v>0</v>
      </c>
      <c r="AX176" s="1">
        <f t="shared" si="86"/>
        <v>0</v>
      </c>
      <c r="AY176" s="29">
        <f t="shared" si="87"/>
        <v>0</v>
      </c>
      <c r="AZ176" s="1">
        <f t="shared" si="88"/>
        <v>0</v>
      </c>
      <c r="CB176" s="20">
        <f t="shared" si="97"/>
        <v>0</v>
      </c>
      <c r="CC176" s="173">
        <f t="shared" si="89"/>
        <v>0</v>
      </c>
    </row>
    <row r="177" spans="2:81" x14ac:dyDescent="0.25">
      <c r="B177" s="41"/>
      <c r="C177" s="42"/>
      <c r="D177" s="43"/>
      <c r="E177" s="44"/>
      <c r="F177" s="44"/>
      <c r="G177" s="45"/>
      <c r="H177" s="81" t="str">
        <f t="shared" si="77"/>
        <v/>
      </c>
      <c r="J177" s="7"/>
      <c r="K177" s="8"/>
      <c r="L177" s="15"/>
      <c r="M177" s="21"/>
      <c r="N177" s="21"/>
      <c r="O177" s="21"/>
      <c r="P177" s="21"/>
      <c r="Q177" s="1">
        <f t="shared" si="90"/>
        <v>0.60744618579017706</v>
      </c>
      <c r="R177" s="12">
        <f t="shared" ca="1" si="72"/>
        <v>4412</v>
      </c>
      <c r="S177" s="88">
        <f t="shared" si="81"/>
        <v>0</v>
      </c>
      <c r="T177" s="19">
        <f t="shared" si="82"/>
        <v>0</v>
      </c>
      <c r="U177" s="19">
        <f t="shared" si="78"/>
        <v>0</v>
      </c>
      <c r="V177" s="19">
        <f t="shared" si="95"/>
        <v>0</v>
      </c>
      <c r="W177" s="20">
        <f t="shared" ca="1" si="73"/>
        <v>0</v>
      </c>
      <c r="X177" s="19">
        <f t="shared" ca="1" si="74"/>
        <v>0</v>
      </c>
      <c r="Y177" s="19">
        <f t="shared" ca="1" si="75"/>
        <v>0</v>
      </c>
      <c r="Z177" s="20">
        <f t="shared" ca="1" si="76"/>
        <v>0</v>
      </c>
      <c r="AA177" s="1">
        <f t="shared" si="91"/>
        <v>5432.58</v>
      </c>
      <c r="AB177" s="89"/>
      <c r="AC177" s="90"/>
      <c r="AD177" s="101">
        <f t="shared" si="92"/>
        <v>45534</v>
      </c>
      <c r="AE177" s="103">
        <f t="shared" si="93"/>
        <v>0</v>
      </c>
      <c r="AG177" s="1">
        <f t="shared" si="83"/>
        <v>0</v>
      </c>
      <c r="AH177" s="1">
        <f t="shared" si="98"/>
        <v>0</v>
      </c>
      <c r="AI177" s="1">
        <f t="shared" si="94"/>
        <v>5432.58</v>
      </c>
      <c r="AJ177" s="20">
        <f t="shared" si="96"/>
        <v>0</v>
      </c>
      <c r="AK177" s="100">
        <f t="shared" si="99"/>
        <v>0</v>
      </c>
      <c r="AL177" s="100">
        <f t="shared" si="100"/>
        <v>0</v>
      </c>
      <c r="AN177" s="100">
        <f t="shared" si="101"/>
        <v>5040.5477258628771</v>
      </c>
      <c r="AO177" s="20">
        <f t="shared" si="102"/>
        <v>0</v>
      </c>
      <c r="AQ177" s="109">
        <f t="shared" si="84"/>
        <v>0</v>
      </c>
      <c r="AU177" s="109">
        <f t="shared" si="85"/>
        <v>26.711908297240122</v>
      </c>
      <c r="AV177" s="101">
        <f t="shared" si="79"/>
        <v>45564</v>
      </c>
      <c r="AW177" s="99">
        <f t="shared" si="80"/>
        <v>0</v>
      </c>
      <c r="AX177" s="1">
        <f t="shared" si="86"/>
        <v>0</v>
      </c>
      <c r="AY177" s="29">
        <f t="shared" si="87"/>
        <v>0</v>
      </c>
      <c r="AZ177" s="1">
        <f t="shared" si="88"/>
        <v>0</v>
      </c>
      <c r="CB177" s="20">
        <f t="shared" si="97"/>
        <v>0</v>
      </c>
      <c r="CC177" s="173">
        <f t="shared" si="89"/>
        <v>0</v>
      </c>
    </row>
    <row r="178" spans="2:81" x14ac:dyDescent="0.25">
      <c r="B178" s="41"/>
      <c r="C178" s="42"/>
      <c r="D178" s="43"/>
      <c r="E178" s="44"/>
      <c r="F178" s="44"/>
      <c r="G178" s="45"/>
      <c r="H178" s="81" t="str">
        <f t="shared" si="77"/>
        <v/>
      </c>
      <c r="J178" s="9"/>
      <c r="K178" s="10"/>
      <c r="L178" s="14"/>
      <c r="M178" s="19"/>
      <c r="N178" s="19"/>
      <c r="O178" s="19"/>
      <c r="P178" s="19"/>
      <c r="Q178" s="1">
        <f t="shared" si="90"/>
        <v>0.60744618579017706</v>
      </c>
      <c r="R178" s="12">
        <f t="shared" ca="1" si="72"/>
        <v>4442</v>
      </c>
      <c r="S178" s="88">
        <f t="shared" si="81"/>
        <v>0</v>
      </c>
      <c r="T178" s="19">
        <f t="shared" si="82"/>
        <v>0</v>
      </c>
      <c r="U178" s="19">
        <f t="shared" si="78"/>
        <v>0</v>
      </c>
      <c r="V178" s="19">
        <f t="shared" si="95"/>
        <v>0</v>
      </c>
      <c r="W178" s="20">
        <f t="shared" ca="1" si="73"/>
        <v>0</v>
      </c>
      <c r="X178" s="19">
        <f t="shared" ca="1" si="74"/>
        <v>0</v>
      </c>
      <c r="Y178" s="19">
        <f t="shared" ca="1" si="75"/>
        <v>0</v>
      </c>
      <c r="Z178" s="20">
        <f t="shared" ca="1" si="76"/>
        <v>0</v>
      </c>
      <c r="AA178" s="1">
        <f t="shared" si="91"/>
        <v>5432.58</v>
      </c>
      <c r="AB178" s="87"/>
      <c r="AC178" s="88"/>
      <c r="AD178" s="101">
        <f t="shared" si="92"/>
        <v>45564</v>
      </c>
      <c r="AE178" s="103">
        <f t="shared" si="93"/>
        <v>0</v>
      </c>
      <c r="AG178" s="1">
        <f t="shared" si="83"/>
        <v>0</v>
      </c>
      <c r="AH178" s="1">
        <f t="shared" si="98"/>
        <v>0</v>
      </c>
      <c r="AI178" s="1">
        <f t="shared" si="94"/>
        <v>5432.58</v>
      </c>
      <c r="AJ178" s="20">
        <f t="shared" si="96"/>
        <v>0</v>
      </c>
      <c r="AK178" s="100">
        <f t="shared" si="99"/>
        <v>0</v>
      </c>
      <c r="AL178" s="100">
        <f t="shared" si="100"/>
        <v>0</v>
      </c>
      <c r="AN178" s="100">
        <f t="shared" si="101"/>
        <v>5037.9974655758069</v>
      </c>
      <c r="AO178" s="20">
        <f t="shared" si="102"/>
        <v>0</v>
      </c>
      <c r="AQ178" s="109">
        <f t="shared" si="84"/>
        <v>0</v>
      </c>
      <c r="AU178" s="109">
        <f t="shared" si="85"/>
        <v>26.709563791085124</v>
      </c>
      <c r="AV178" s="101">
        <f t="shared" si="79"/>
        <v>45594</v>
      </c>
      <c r="AW178" s="99">
        <f t="shared" si="80"/>
        <v>0</v>
      </c>
      <c r="AX178" s="1">
        <f t="shared" si="86"/>
        <v>0</v>
      </c>
      <c r="AY178" s="29">
        <f t="shared" si="87"/>
        <v>0</v>
      </c>
      <c r="AZ178" s="1">
        <f t="shared" si="88"/>
        <v>0</v>
      </c>
      <c r="CB178" s="20">
        <f t="shared" si="97"/>
        <v>0</v>
      </c>
      <c r="CC178" s="173">
        <f t="shared" si="89"/>
        <v>0</v>
      </c>
    </row>
    <row r="179" spans="2:81" x14ac:dyDescent="0.25">
      <c r="B179" s="41"/>
      <c r="C179" s="42"/>
      <c r="D179" s="43"/>
      <c r="E179" s="44"/>
      <c r="F179" s="44"/>
      <c r="G179" s="45"/>
      <c r="H179" s="81" t="str">
        <f t="shared" si="77"/>
        <v/>
      </c>
      <c r="J179" s="7"/>
      <c r="K179" s="8"/>
      <c r="L179" s="15"/>
      <c r="M179" s="21"/>
      <c r="N179" s="21"/>
      <c r="O179" s="21"/>
      <c r="P179" s="21"/>
      <c r="Q179" s="1">
        <f t="shared" si="90"/>
        <v>0.60744618579017706</v>
      </c>
      <c r="R179" s="12">
        <f t="shared" ca="1" si="72"/>
        <v>4472</v>
      </c>
      <c r="S179" s="88">
        <f t="shared" si="81"/>
        <v>0</v>
      </c>
      <c r="T179" s="19">
        <f t="shared" si="82"/>
        <v>0</v>
      </c>
      <c r="U179" s="19">
        <f t="shared" si="78"/>
        <v>0</v>
      </c>
      <c r="V179" s="19">
        <f t="shared" si="95"/>
        <v>0</v>
      </c>
      <c r="W179" s="20">
        <f t="shared" ca="1" si="73"/>
        <v>0</v>
      </c>
      <c r="X179" s="19">
        <f t="shared" ca="1" si="74"/>
        <v>0</v>
      </c>
      <c r="Y179" s="19">
        <f t="shared" ca="1" si="75"/>
        <v>0</v>
      </c>
      <c r="Z179" s="20">
        <f t="shared" ca="1" si="76"/>
        <v>0</v>
      </c>
      <c r="AA179" s="1">
        <f t="shared" si="91"/>
        <v>5432.58</v>
      </c>
      <c r="AB179" s="89"/>
      <c r="AC179" s="90"/>
      <c r="AD179" s="101">
        <f t="shared" si="92"/>
        <v>45594</v>
      </c>
      <c r="AE179" s="103">
        <f t="shared" si="93"/>
        <v>0</v>
      </c>
      <c r="AG179" s="1">
        <f t="shared" si="83"/>
        <v>0</v>
      </c>
      <c r="AH179" s="1">
        <f t="shared" si="98"/>
        <v>0</v>
      </c>
      <c r="AI179" s="1">
        <f t="shared" si="94"/>
        <v>5432.58</v>
      </c>
      <c r="AJ179" s="20">
        <f t="shared" si="96"/>
        <v>0</v>
      </c>
      <c r="AK179" s="100">
        <f t="shared" si="99"/>
        <v>0</v>
      </c>
      <c r="AL179" s="100">
        <f t="shared" si="100"/>
        <v>0</v>
      </c>
      <c r="AN179" s="100">
        <f t="shared" si="101"/>
        <v>5035.44849559048</v>
      </c>
      <c r="AO179" s="20">
        <f t="shared" si="102"/>
        <v>0</v>
      </c>
      <c r="AQ179" s="109">
        <f t="shared" si="84"/>
        <v>0</v>
      </c>
      <c r="AU179" s="109">
        <f t="shared" si="85"/>
        <v>26.707219490707615</v>
      </c>
      <c r="AV179" s="101">
        <f t="shared" si="79"/>
        <v>45624</v>
      </c>
      <c r="AW179" s="99">
        <f t="shared" si="80"/>
        <v>0</v>
      </c>
      <c r="AX179" s="1">
        <f t="shared" si="86"/>
        <v>0</v>
      </c>
      <c r="AY179" s="29">
        <f t="shared" si="87"/>
        <v>0</v>
      </c>
      <c r="AZ179" s="1">
        <f t="shared" si="88"/>
        <v>0</v>
      </c>
      <c r="CB179" s="20">
        <f t="shared" si="97"/>
        <v>0</v>
      </c>
      <c r="CC179" s="173">
        <f t="shared" si="89"/>
        <v>0</v>
      </c>
    </row>
    <row r="180" spans="2:81" x14ac:dyDescent="0.25">
      <c r="B180" s="41"/>
      <c r="C180" s="42"/>
      <c r="D180" s="43"/>
      <c r="E180" s="44"/>
      <c r="F180" s="44"/>
      <c r="G180" s="45"/>
      <c r="H180" s="81" t="str">
        <f t="shared" si="77"/>
        <v/>
      </c>
      <c r="J180" s="9"/>
      <c r="K180" s="10"/>
      <c r="L180" s="14"/>
      <c r="M180" s="19"/>
      <c r="N180" s="19"/>
      <c r="O180" s="19"/>
      <c r="P180" s="19"/>
      <c r="Q180" s="1">
        <f t="shared" si="90"/>
        <v>0.60744618579017706</v>
      </c>
      <c r="R180" s="12">
        <f t="shared" ca="1" si="72"/>
        <v>4502</v>
      </c>
      <c r="S180" s="88">
        <f t="shared" si="81"/>
        <v>0</v>
      </c>
      <c r="T180" s="19">
        <f t="shared" si="82"/>
        <v>0</v>
      </c>
      <c r="U180" s="19">
        <f t="shared" si="78"/>
        <v>0</v>
      </c>
      <c r="V180" s="19">
        <f t="shared" si="95"/>
        <v>0</v>
      </c>
      <c r="W180" s="20">
        <f t="shared" ca="1" si="73"/>
        <v>0</v>
      </c>
      <c r="X180" s="19">
        <f t="shared" ca="1" si="74"/>
        <v>0</v>
      </c>
      <c r="Y180" s="19">
        <f t="shared" ca="1" si="75"/>
        <v>0</v>
      </c>
      <c r="Z180" s="20">
        <f t="shared" ca="1" si="76"/>
        <v>0</v>
      </c>
      <c r="AA180" s="1">
        <f t="shared" si="91"/>
        <v>5432.58</v>
      </c>
      <c r="AB180" s="87"/>
      <c r="AC180" s="88"/>
      <c r="AD180" s="101">
        <f t="shared" si="92"/>
        <v>45624</v>
      </c>
      <c r="AE180" s="103">
        <f t="shared" si="93"/>
        <v>0</v>
      </c>
      <c r="AG180" s="1">
        <f t="shared" si="83"/>
        <v>0</v>
      </c>
      <c r="AH180" s="1">
        <f t="shared" si="98"/>
        <v>0</v>
      </c>
      <c r="AI180" s="1">
        <f t="shared" si="94"/>
        <v>5432.58</v>
      </c>
      <c r="AJ180" s="20">
        <f t="shared" si="96"/>
        <v>0</v>
      </c>
      <c r="AK180" s="100">
        <f t="shared" si="99"/>
        <v>0</v>
      </c>
      <c r="AL180" s="100">
        <f t="shared" si="100"/>
        <v>0</v>
      </c>
      <c r="AN180" s="100">
        <f t="shared" si="101"/>
        <v>5032.9008152540755</v>
      </c>
      <c r="AO180" s="20">
        <f t="shared" si="102"/>
        <v>0</v>
      </c>
      <c r="AQ180" s="109">
        <f t="shared" si="84"/>
        <v>0</v>
      </c>
      <c r="AU180" s="109">
        <f t="shared" si="85"/>
        <v>26.704875396089516</v>
      </c>
      <c r="AV180" s="101">
        <f t="shared" si="79"/>
        <v>45654</v>
      </c>
      <c r="AW180" s="99">
        <f t="shared" si="80"/>
        <v>0</v>
      </c>
      <c r="AX180" s="1">
        <f t="shared" si="86"/>
        <v>0</v>
      </c>
      <c r="AY180" s="29">
        <f t="shared" si="87"/>
        <v>0</v>
      </c>
      <c r="AZ180" s="1">
        <f t="shared" si="88"/>
        <v>0</v>
      </c>
      <c r="CB180" s="20">
        <f t="shared" si="97"/>
        <v>0</v>
      </c>
      <c r="CC180" s="173">
        <f t="shared" si="89"/>
        <v>0</v>
      </c>
    </row>
    <row r="181" spans="2:81" x14ac:dyDescent="0.25">
      <c r="B181" s="41"/>
      <c r="C181" s="42"/>
      <c r="D181" s="43"/>
      <c r="E181" s="44"/>
      <c r="F181" s="44"/>
      <c r="G181" s="45"/>
      <c r="H181" s="81" t="str">
        <f t="shared" si="77"/>
        <v/>
      </c>
      <c r="J181" s="7"/>
      <c r="K181" s="8"/>
      <c r="L181" s="15"/>
      <c r="M181" s="21"/>
      <c r="N181" s="21"/>
      <c r="O181" s="21"/>
      <c r="P181" s="21"/>
      <c r="Q181" s="1">
        <f t="shared" si="90"/>
        <v>0.60744618579017706</v>
      </c>
      <c r="R181" s="12">
        <f t="shared" ca="1" si="72"/>
        <v>4532</v>
      </c>
      <c r="S181" s="88">
        <f t="shared" si="81"/>
        <v>0</v>
      </c>
      <c r="T181" s="19">
        <f t="shared" si="82"/>
        <v>0</v>
      </c>
      <c r="U181" s="19">
        <f t="shared" si="78"/>
        <v>0</v>
      </c>
      <c r="V181" s="19">
        <f t="shared" si="95"/>
        <v>0</v>
      </c>
      <c r="W181" s="20">
        <f t="shared" ca="1" si="73"/>
        <v>0</v>
      </c>
      <c r="X181" s="19">
        <f t="shared" ca="1" si="74"/>
        <v>0</v>
      </c>
      <c r="Y181" s="19">
        <f t="shared" ca="1" si="75"/>
        <v>0</v>
      </c>
      <c r="Z181" s="20">
        <f t="shared" ca="1" si="76"/>
        <v>0</v>
      </c>
      <c r="AA181" s="1">
        <f t="shared" si="91"/>
        <v>5432.58</v>
      </c>
      <c r="AB181" s="89"/>
      <c r="AC181" s="90"/>
      <c r="AD181" s="101">
        <f t="shared" si="92"/>
        <v>45654</v>
      </c>
      <c r="AE181" s="103">
        <f t="shared" si="93"/>
        <v>0</v>
      </c>
      <c r="AG181" s="1">
        <f t="shared" si="83"/>
        <v>0</v>
      </c>
      <c r="AH181" s="1">
        <f t="shared" si="98"/>
        <v>0</v>
      </c>
      <c r="AI181" s="1">
        <f t="shared" si="94"/>
        <v>5432.58</v>
      </c>
      <c r="AJ181" s="20">
        <f t="shared" si="96"/>
        <v>0</v>
      </c>
      <c r="AK181" s="100">
        <f t="shared" si="99"/>
        <v>0</v>
      </c>
      <c r="AL181" s="100">
        <f t="shared" si="100"/>
        <v>0</v>
      </c>
      <c r="AN181" s="100">
        <f t="shared" si="101"/>
        <v>5030.3544239140929</v>
      </c>
      <c r="AO181" s="20">
        <f t="shared" si="102"/>
        <v>0</v>
      </c>
      <c r="AQ181" s="109">
        <f t="shared" si="84"/>
        <v>0</v>
      </c>
      <c r="AU181" s="109">
        <f t="shared" si="85"/>
        <v>26.702531507212775</v>
      </c>
      <c r="AV181" s="101">
        <f t="shared" si="79"/>
        <v>45684</v>
      </c>
      <c r="AW181" s="99">
        <f t="shared" si="80"/>
        <v>0</v>
      </c>
      <c r="AX181" s="1">
        <f t="shared" si="86"/>
        <v>0</v>
      </c>
      <c r="AY181" s="29">
        <f t="shared" si="87"/>
        <v>0</v>
      </c>
      <c r="AZ181" s="1">
        <f t="shared" si="88"/>
        <v>0</v>
      </c>
      <c r="CB181" s="20">
        <f t="shared" si="97"/>
        <v>0</v>
      </c>
      <c r="CC181" s="173">
        <f t="shared" si="89"/>
        <v>0</v>
      </c>
    </row>
    <row r="182" spans="2:81" x14ac:dyDescent="0.25">
      <c r="B182" s="41"/>
      <c r="C182" s="42"/>
      <c r="D182" s="43"/>
      <c r="E182" s="44"/>
      <c r="F182" s="44"/>
      <c r="G182" s="45"/>
      <c r="H182" s="81" t="str">
        <f t="shared" si="77"/>
        <v/>
      </c>
      <c r="J182" s="9"/>
      <c r="K182" s="10"/>
      <c r="L182" s="14"/>
      <c r="M182" s="19"/>
      <c r="N182" s="19"/>
      <c r="O182" s="19"/>
      <c r="P182" s="19"/>
      <c r="Q182" s="1">
        <f t="shared" si="90"/>
        <v>0.60744618579017706</v>
      </c>
      <c r="R182" s="12">
        <f t="shared" ca="1" si="72"/>
        <v>4562</v>
      </c>
      <c r="S182" s="88">
        <f t="shared" si="81"/>
        <v>0</v>
      </c>
      <c r="T182" s="19">
        <f t="shared" si="82"/>
        <v>0</v>
      </c>
      <c r="U182" s="19">
        <f t="shared" si="78"/>
        <v>0</v>
      </c>
      <c r="V182" s="19">
        <f t="shared" si="95"/>
        <v>0</v>
      </c>
      <c r="W182" s="20">
        <f t="shared" ca="1" si="73"/>
        <v>0</v>
      </c>
      <c r="X182" s="19">
        <f t="shared" ca="1" si="74"/>
        <v>0</v>
      </c>
      <c r="Y182" s="19">
        <f t="shared" ca="1" si="75"/>
        <v>0</v>
      </c>
      <c r="Z182" s="20">
        <f t="shared" ca="1" si="76"/>
        <v>0</v>
      </c>
      <c r="AA182" s="1">
        <f t="shared" si="91"/>
        <v>5432.58</v>
      </c>
      <c r="AB182" s="87"/>
      <c r="AC182" s="88"/>
      <c r="AD182" s="101">
        <f t="shared" si="92"/>
        <v>45684</v>
      </c>
      <c r="AE182" s="103">
        <f t="shared" si="93"/>
        <v>0</v>
      </c>
      <c r="AG182" s="1">
        <f t="shared" si="83"/>
        <v>0</v>
      </c>
      <c r="AH182" s="1">
        <f t="shared" si="98"/>
        <v>0</v>
      </c>
      <c r="AI182" s="1">
        <f t="shared" si="94"/>
        <v>5432.58</v>
      </c>
      <c r="AJ182" s="20">
        <f t="shared" si="96"/>
        <v>0</v>
      </c>
      <c r="AK182" s="100">
        <f t="shared" si="99"/>
        <v>0</v>
      </c>
      <c r="AL182" s="100">
        <f t="shared" si="100"/>
        <v>0</v>
      </c>
      <c r="AN182" s="100">
        <f t="shared" si="101"/>
        <v>5027.8093209183644</v>
      </c>
      <c r="AO182" s="20">
        <f t="shared" si="102"/>
        <v>0</v>
      </c>
      <c r="AQ182" s="109">
        <f t="shared" si="84"/>
        <v>0</v>
      </c>
      <c r="AU182" s="109">
        <f t="shared" si="85"/>
        <v>26.700187824059331</v>
      </c>
      <c r="AV182" s="101">
        <f t="shared" si="79"/>
        <v>45714</v>
      </c>
      <c r="AW182" s="99">
        <f t="shared" si="80"/>
        <v>0</v>
      </c>
      <c r="AX182" s="1">
        <f t="shared" si="86"/>
        <v>0</v>
      </c>
      <c r="AY182" s="29">
        <f t="shared" si="87"/>
        <v>0</v>
      </c>
      <c r="AZ182" s="1">
        <f t="shared" si="88"/>
        <v>0</v>
      </c>
      <c r="CB182" s="20">
        <f t="shared" si="97"/>
        <v>0</v>
      </c>
      <c r="CC182" s="173">
        <f t="shared" si="89"/>
        <v>0</v>
      </c>
    </row>
    <row r="183" spans="2:81" x14ac:dyDescent="0.25">
      <c r="B183" s="41"/>
      <c r="C183" s="42"/>
      <c r="D183" s="43"/>
      <c r="E183" s="44"/>
      <c r="F183" s="44"/>
      <c r="G183" s="45"/>
      <c r="H183" s="81" t="str">
        <f t="shared" si="77"/>
        <v/>
      </c>
      <c r="J183" s="7"/>
      <c r="K183" s="8"/>
      <c r="L183" s="15"/>
      <c r="M183" s="21"/>
      <c r="N183" s="21"/>
      <c r="O183" s="21"/>
      <c r="P183" s="21"/>
      <c r="Q183" s="1">
        <f t="shared" si="90"/>
        <v>0.60744618579017706</v>
      </c>
      <c r="R183" s="12">
        <f t="shared" ca="1" si="72"/>
        <v>4592</v>
      </c>
      <c r="S183" s="88">
        <f t="shared" si="81"/>
        <v>0</v>
      </c>
      <c r="T183" s="19">
        <f t="shared" si="82"/>
        <v>0</v>
      </c>
      <c r="U183" s="19">
        <f t="shared" si="78"/>
        <v>0</v>
      </c>
      <c r="V183" s="19">
        <f t="shared" si="95"/>
        <v>0</v>
      </c>
      <c r="W183" s="20">
        <f t="shared" ca="1" si="73"/>
        <v>0</v>
      </c>
      <c r="X183" s="19">
        <f t="shared" ca="1" si="74"/>
        <v>0</v>
      </c>
      <c r="Y183" s="19">
        <f t="shared" ca="1" si="75"/>
        <v>0</v>
      </c>
      <c r="Z183" s="20">
        <f t="shared" ca="1" si="76"/>
        <v>0</v>
      </c>
      <c r="AA183" s="1">
        <f t="shared" si="91"/>
        <v>5432.58</v>
      </c>
      <c r="AB183" s="89"/>
      <c r="AC183" s="90"/>
      <c r="AD183" s="101">
        <f t="shared" si="92"/>
        <v>45714</v>
      </c>
      <c r="AE183" s="103">
        <f t="shared" si="93"/>
        <v>0</v>
      </c>
      <c r="AG183" s="1">
        <f t="shared" si="83"/>
        <v>0</v>
      </c>
      <c r="AH183" s="1">
        <f t="shared" si="98"/>
        <v>0</v>
      </c>
      <c r="AI183" s="1">
        <f t="shared" si="94"/>
        <v>5432.58</v>
      </c>
      <c r="AJ183" s="20">
        <f t="shared" si="96"/>
        <v>0</v>
      </c>
      <c r="AK183" s="100">
        <f t="shared" si="99"/>
        <v>0</v>
      </c>
      <c r="AL183" s="100">
        <f t="shared" si="100"/>
        <v>0</v>
      </c>
      <c r="AN183" s="100">
        <f t="shared" si="101"/>
        <v>5025.2655056150561</v>
      </c>
      <c r="AO183" s="20">
        <f t="shared" si="102"/>
        <v>0</v>
      </c>
      <c r="AQ183" s="109">
        <f t="shared" si="84"/>
        <v>0</v>
      </c>
      <c r="AU183" s="109">
        <f t="shared" si="85"/>
        <v>26.697844346611134</v>
      </c>
      <c r="AV183" s="101">
        <f t="shared" si="79"/>
        <v>45744</v>
      </c>
      <c r="AW183" s="99">
        <f t="shared" si="80"/>
        <v>0</v>
      </c>
      <c r="AX183" s="1">
        <f t="shared" si="86"/>
        <v>0</v>
      </c>
      <c r="AY183" s="29">
        <f t="shared" si="87"/>
        <v>0</v>
      </c>
      <c r="AZ183" s="1">
        <f t="shared" si="88"/>
        <v>0</v>
      </c>
      <c r="CB183" s="20">
        <f t="shared" si="97"/>
        <v>0</v>
      </c>
      <c r="CC183" s="173">
        <f t="shared" si="89"/>
        <v>0</v>
      </c>
    </row>
    <row r="184" spans="2:81" x14ac:dyDescent="0.25">
      <c r="B184" s="41"/>
      <c r="C184" s="42"/>
      <c r="D184" s="43"/>
      <c r="E184" s="44"/>
      <c r="F184" s="44"/>
      <c r="G184" s="45"/>
      <c r="H184" s="81" t="str">
        <f t="shared" si="77"/>
        <v/>
      </c>
      <c r="J184" s="9"/>
      <c r="K184" s="10"/>
      <c r="L184" s="14"/>
      <c r="M184" s="19"/>
      <c r="N184" s="19"/>
      <c r="O184" s="19"/>
      <c r="P184" s="19"/>
      <c r="Q184" s="1">
        <f t="shared" si="90"/>
        <v>0.60744618579017706</v>
      </c>
      <c r="R184" s="12">
        <f t="shared" ca="1" si="72"/>
        <v>4622</v>
      </c>
      <c r="S184" s="88">
        <f t="shared" si="81"/>
        <v>0</v>
      </c>
      <c r="T184" s="19">
        <f t="shared" si="82"/>
        <v>0</v>
      </c>
      <c r="U184" s="19">
        <f t="shared" si="78"/>
        <v>0</v>
      </c>
      <c r="V184" s="19">
        <f t="shared" si="95"/>
        <v>0</v>
      </c>
      <c r="W184" s="20">
        <f t="shared" ca="1" si="73"/>
        <v>0</v>
      </c>
      <c r="X184" s="19">
        <f t="shared" ca="1" si="74"/>
        <v>0</v>
      </c>
      <c r="Y184" s="19">
        <f t="shared" ca="1" si="75"/>
        <v>0</v>
      </c>
      <c r="Z184" s="20">
        <f t="shared" ca="1" si="76"/>
        <v>0</v>
      </c>
      <c r="AA184" s="1">
        <f t="shared" si="91"/>
        <v>5432.58</v>
      </c>
      <c r="AB184" s="87"/>
      <c r="AC184" s="88"/>
      <c r="AD184" s="101">
        <f t="shared" si="92"/>
        <v>45744</v>
      </c>
      <c r="AE184" s="103">
        <f t="shared" si="93"/>
        <v>0</v>
      </c>
      <c r="AG184" s="1">
        <f t="shared" si="83"/>
        <v>0</v>
      </c>
      <c r="AH184" s="1">
        <f t="shared" si="98"/>
        <v>0</v>
      </c>
      <c r="AI184" s="1">
        <f t="shared" si="94"/>
        <v>5432.58</v>
      </c>
      <c r="AJ184" s="20">
        <f t="shared" si="96"/>
        <v>0</v>
      </c>
      <c r="AK184" s="100">
        <f t="shared" si="99"/>
        <v>0</v>
      </c>
      <c r="AL184" s="100">
        <f t="shared" si="100"/>
        <v>0</v>
      </c>
      <c r="AN184" s="100">
        <f t="shared" si="101"/>
        <v>5022.7229773526615</v>
      </c>
      <c r="AO184" s="20">
        <f t="shared" si="102"/>
        <v>0</v>
      </c>
      <c r="AQ184" s="109">
        <f t="shared" si="84"/>
        <v>0</v>
      </c>
      <c r="AU184" s="109">
        <f t="shared" si="85"/>
        <v>26.695501074850117</v>
      </c>
      <c r="AV184" s="101">
        <f t="shared" si="79"/>
        <v>45774</v>
      </c>
      <c r="AW184" s="99">
        <f t="shared" si="80"/>
        <v>0</v>
      </c>
      <c r="AX184" s="1">
        <f t="shared" si="86"/>
        <v>0</v>
      </c>
      <c r="AY184" s="29">
        <f t="shared" si="87"/>
        <v>0</v>
      </c>
      <c r="AZ184" s="1">
        <f t="shared" si="88"/>
        <v>0</v>
      </c>
      <c r="CB184" s="20">
        <f t="shared" si="97"/>
        <v>0</v>
      </c>
      <c r="CC184" s="173">
        <f t="shared" si="89"/>
        <v>0</v>
      </c>
    </row>
    <row r="185" spans="2:81" x14ac:dyDescent="0.25">
      <c r="B185" s="41"/>
      <c r="C185" s="42"/>
      <c r="D185" s="43"/>
      <c r="E185" s="44"/>
      <c r="F185" s="44"/>
      <c r="G185" s="45"/>
      <c r="H185" s="81" t="str">
        <f t="shared" si="77"/>
        <v/>
      </c>
      <c r="J185" s="7"/>
      <c r="K185" s="8"/>
      <c r="L185" s="15"/>
      <c r="M185" s="21"/>
      <c r="N185" s="21"/>
      <c r="O185" s="21"/>
      <c r="P185" s="21"/>
      <c r="Q185" s="1">
        <f t="shared" si="90"/>
        <v>0.60744618579017706</v>
      </c>
      <c r="R185" s="12">
        <f t="shared" ca="1" si="72"/>
        <v>4652</v>
      </c>
      <c r="S185" s="88">
        <f t="shared" si="81"/>
        <v>0</v>
      </c>
      <c r="T185" s="19">
        <f t="shared" si="82"/>
        <v>0</v>
      </c>
      <c r="U185" s="19">
        <f t="shared" si="78"/>
        <v>0</v>
      </c>
      <c r="V185" s="19">
        <f t="shared" si="95"/>
        <v>0</v>
      </c>
      <c r="W185" s="20">
        <f t="shared" ca="1" si="73"/>
        <v>0</v>
      </c>
      <c r="X185" s="19">
        <f t="shared" ca="1" si="74"/>
        <v>0</v>
      </c>
      <c r="Y185" s="19">
        <f t="shared" ca="1" si="75"/>
        <v>0</v>
      </c>
      <c r="Z185" s="20">
        <f t="shared" ca="1" si="76"/>
        <v>0</v>
      </c>
      <c r="AA185" s="1">
        <f t="shared" si="91"/>
        <v>5432.58</v>
      </c>
      <c r="AB185" s="89"/>
      <c r="AC185" s="90"/>
      <c r="AD185" s="101">
        <f t="shared" si="92"/>
        <v>45774</v>
      </c>
      <c r="AE185" s="103">
        <f t="shared" si="93"/>
        <v>0</v>
      </c>
      <c r="AG185" s="1">
        <f t="shared" si="83"/>
        <v>0</v>
      </c>
      <c r="AH185" s="1">
        <f t="shared" si="98"/>
        <v>0</v>
      </c>
      <c r="AI185" s="1">
        <f t="shared" si="94"/>
        <v>5432.58</v>
      </c>
      <c r="AJ185" s="20">
        <f t="shared" si="96"/>
        <v>0</v>
      </c>
      <c r="AK185" s="100">
        <f t="shared" si="99"/>
        <v>0</v>
      </c>
      <c r="AL185" s="100">
        <f t="shared" si="100"/>
        <v>0</v>
      </c>
      <c r="AN185" s="100">
        <f t="shared" si="101"/>
        <v>5020.1817354800014</v>
      </c>
      <c r="AO185" s="20">
        <f t="shared" si="102"/>
        <v>0</v>
      </c>
      <c r="AQ185" s="109">
        <f t="shared" si="84"/>
        <v>0</v>
      </c>
      <c r="AU185" s="109">
        <f t="shared" si="85"/>
        <v>26.693158008758246</v>
      </c>
      <c r="AV185" s="101">
        <f t="shared" si="79"/>
        <v>45804</v>
      </c>
      <c r="AW185" s="99">
        <f t="shared" si="80"/>
        <v>0</v>
      </c>
      <c r="AX185" s="1">
        <f t="shared" si="86"/>
        <v>0</v>
      </c>
      <c r="AY185" s="29">
        <f t="shared" si="87"/>
        <v>0</v>
      </c>
      <c r="AZ185" s="1">
        <f t="shared" si="88"/>
        <v>0</v>
      </c>
      <c r="CB185" s="20">
        <f t="shared" si="97"/>
        <v>0</v>
      </c>
      <c r="CC185" s="173">
        <f t="shared" si="89"/>
        <v>0</v>
      </c>
    </row>
    <row r="186" spans="2:81" x14ac:dyDescent="0.25">
      <c r="B186" s="41"/>
      <c r="C186" s="42"/>
      <c r="D186" s="43"/>
      <c r="E186" s="44"/>
      <c r="F186" s="44"/>
      <c r="G186" s="45"/>
      <c r="H186" s="81" t="str">
        <f t="shared" si="77"/>
        <v/>
      </c>
      <c r="J186" s="9"/>
      <c r="K186" s="10"/>
      <c r="L186" s="14"/>
      <c r="M186" s="19"/>
      <c r="N186" s="19"/>
      <c r="O186" s="19"/>
      <c r="P186" s="19"/>
      <c r="Q186" s="1">
        <f t="shared" si="90"/>
        <v>0.60744618579017706</v>
      </c>
      <c r="R186" s="12">
        <f t="shared" ca="1" si="72"/>
        <v>4682</v>
      </c>
      <c r="S186" s="88">
        <f t="shared" si="81"/>
        <v>0</v>
      </c>
      <c r="T186" s="19">
        <f t="shared" si="82"/>
        <v>0</v>
      </c>
      <c r="U186" s="19">
        <f t="shared" si="78"/>
        <v>0</v>
      </c>
      <c r="V186" s="19">
        <f t="shared" si="95"/>
        <v>0</v>
      </c>
      <c r="W186" s="20">
        <f t="shared" ca="1" si="73"/>
        <v>0</v>
      </c>
      <c r="X186" s="19">
        <f t="shared" ca="1" si="74"/>
        <v>0</v>
      </c>
      <c r="Y186" s="19">
        <f t="shared" ca="1" si="75"/>
        <v>0</v>
      </c>
      <c r="Z186" s="20">
        <f t="shared" ca="1" si="76"/>
        <v>0</v>
      </c>
      <c r="AA186" s="1">
        <f t="shared" si="91"/>
        <v>5432.58</v>
      </c>
      <c r="AB186" s="87"/>
      <c r="AC186" s="88"/>
      <c r="AD186" s="101">
        <f t="shared" si="92"/>
        <v>45804</v>
      </c>
      <c r="AE186" s="103">
        <f t="shared" si="93"/>
        <v>0</v>
      </c>
      <c r="AG186" s="1">
        <f t="shared" si="83"/>
        <v>0</v>
      </c>
      <c r="AH186" s="1">
        <f t="shared" si="98"/>
        <v>0</v>
      </c>
      <c r="AI186" s="1">
        <f t="shared" si="94"/>
        <v>5432.58</v>
      </c>
      <c r="AJ186" s="20">
        <f t="shared" si="96"/>
        <v>0</v>
      </c>
      <c r="AK186" s="100">
        <f t="shared" si="99"/>
        <v>0</v>
      </c>
      <c r="AL186" s="100">
        <f t="shared" si="100"/>
        <v>0</v>
      </c>
      <c r="AN186" s="100">
        <f t="shared" si="101"/>
        <v>5017.6417793462297</v>
      </c>
      <c r="AO186" s="20">
        <f t="shared" si="102"/>
        <v>0</v>
      </c>
      <c r="AQ186" s="109">
        <f t="shared" si="84"/>
        <v>0</v>
      </c>
      <c r="AU186" s="109">
        <f t="shared" si="85"/>
        <v>26.690815148317451</v>
      </c>
      <c r="AV186" s="101">
        <f t="shared" si="79"/>
        <v>45834</v>
      </c>
      <c r="AW186" s="99">
        <f t="shared" si="80"/>
        <v>0</v>
      </c>
      <c r="AX186" s="1">
        <f t="shared" si="86"/>
        <v>0</v>
      </c>
      <c r="AY186" s="29">
        <f t="shared" si="87"/>
        <v>0</v>
      </c>
      <c r="AZ186" s="1">
        <f t="shared" si="88"/>
        <v>0</v>
      </c>
      <c r="CB186" s="20">
        <f t="shared" si="97"/>
        <v>0</v>
      </c>
      <c r="CC186" s="173">
        <f t="shared" si="89"/>
        <v>0</v>
      </c>
    </row>
    <row r="187" spans="2:81" x14ac:dyDescent="0.25">
      <c r="B187" s="41"/>
      <c r="C187" s="42"/>
      <c r="D187" s="43"/>
      <c r="E187" s="44"/>
      <c r="F187" s="44"/>
      <c r="G187" s="45"/>
      <c r="H187" s="81" t="str">
        <f t="shared" si="77"/>
        <v/>
      </c>
      <c r="J187" s="7"/>
      <c r="K187" s="8"/>
      <c r="L187" s="15"/>
      <c r="M187" s="21"/>
      <c r="N187" s="21"/>
      <c r="O187" s="21"/>
      <c r="P187" s="21"/>
      <c r="Q187" s="1">
        <f t="shared" si="90"/>
        <v>0.60744618579017706</v>
      </c>
      <c r="R187" s="12">
        <f t="shared" ca="1" si="72"/>
        <v>4712</v>
      </c>
      <c r="S187" s="88">
        <f t="shared" si="81"/>
        <v>0</v>
      </c>
      <c r="T187" s="19">
        <f t="shared" si="82"/>
        <v>0</v>
      </c>
      <c r="U187" s="19">
        <f t="shared" si="78"/>
        <v>0</v>
      </c>
      <c r="V187" s="19">
        <f t="shared" si="95"/>
        <v>0</v>
      </c>
      <c r="W187" s="20">
        <f t="shared" ca="1" si="73"/>
        <v>0</v>
      </c>
      <c r="X187" s="19">
        <f t="shared" ca="1" si="74"/>
        <v>0</v>
      </c>
      <c r="Y187" s="19">
        <f t="shared" ca="1" si="75"/>
        <v>0</v>
      </c>
      <c r="Z187" s="20">
        <f t="shared" ca="1" si="76"/>
        <v>0</v>
      </c>
      <c r="AA187" s="1">
        <f t="shared" si="91"/>
        <v>5432.58</v>
      </c>
      <c r="AB187" s="89"/>
      <c r="AC187" s="90"/>
      <c r="AD187" s="101">
        <f t="shared" si="92"/>
        <v>45834</v>
      </c>
      <c r="AE187" s="103">
        <f t="shared" si="93"/>
        <v>0</v>
      </c>
      <c r="AG187" s="1">
        <f t="shared" si="83"/>
        <v>0</v>
      </c>
      <c r="AH187" s="1">
        <f t="shared" si="98"/>
        <v>0</v>
      </c>
      <c r="AI187" s="1">
        <f t="shared" si="94"/>
        <v>5432.58</v>
      </c>
      <c r="AJ187" s="20">
        <f t="shared" si="96"/>
        <v>0</v>
      </c>
      <c r="AK187" s="100">
        <f t="shared" si="99"/>
        <v>0</v>
      </c>
      <c r="AL187" s="100">
        <f t="shared" si="100"/>
        <v>0</v>
      </c>
      <c r="AN187" s="100">
        <f t="shared" si="101"/>
        <v>5015.1031083008274</v>
      </c>
      <c r="AO187" s="20">
        <f t="shared" si="102"/>
        <v>0</v>
      </c>
      <c r="AQ187" s="109">
        <f t="shared" si="84"/>
        <v>0</v>
      </c>
      <c r="AU187" s="109">
        <f t="shared" si="85"/>
        <v>26.688472493509689</v>
      </c>
      <c r="AV187" s="101">
        <f t="shared" si="79"/>
        <v>45864</v>
      </c>
      <c r="AW187" s="99">
        <f t="shared" si="80"/>
        <v>0</v>
      </c>
      <c r="AX187" s="1">
        <f t="shared" si="86"/>
        <v>0</v>
      </c>
      <c r="AY187" s="29">
        <f t="shared" si="87"/>
        <v>0</v>
      </c>
      <c r="AZ187" s="1">
        <f t="shared" si="88"/>
        <v>0</v>
      </c>
      <c r="CB187" s="20">
        <f t="shared" si="97"/>
        <v>0</v>
      </c>
      <c r="CC187" s="173">
        <f t="shared" si="89"/>
        <v>0</v>
      </c>
    </row>
    <row r="188" spans="2:81" x14ac:dyDescent="0.25">
      <c r="B188" s="41"/>
      <c r="C188" s="42"/>
      <c r="D188" s="43"/>
      <c r="E188" s="44"/>
      <c r="F188" s="44"/>
      <c r="G188" s="45"/>
      <c r="H188" s="81" t="str">
        <f t="shared" si="77"/>
        <v/>
      </c>
      <c r="J188" s="9"/>
      <c r="K188" s="10"/>
      <c r="L188" s="14"/>
      <c r="M188" s="19"/>
      <c r="N188" s="19"/>
      <c r="O188" s="19"/>
      <c r="P188" s="19"/>
      <c r="Q188" s="1">
        <f t="shared" si="90"/>
        <v>0.60744618579017706</v>
      </c>
      <c r="R188" s="12">
        <f t="shared" ca="1" si="72"/>
        <v>4742</v>
      </c>
      <c r="S188" s="88">
        <f t="shared" si="81"/>
        <v>0</v>
      </c>
      <c r="T188" s="19">
        <f t="shared" si="82"/>
        <v>0</v>
      </c>
      <c r="U188" s="19">
        <f t="shared" si="78"/>
        <v>0</v>
      </c>
      <c r="V188" s="19">
        <f t="shared" si="95"/>
        <v>0</v>
      </c>
      <c r="W188" s="20">
        <f t="shared" ca="1" si="73"/>
        <v>0</v>
      </c>
      <c r="X188" s="19">
        <f t="shared" ca="1" si="74"/>
        <v>0</v>
      </c>
      <c r="Y188" s="19">
        <f t="shared" ca="1" si="75"/>
        <v>0</v>
      </c>
      <c r="Z188" s="20">
        <f t="shared" ca="1" si="76"/>
        <v>0</v>
      </c>
      <c r="AA188" s="1">
        <f t="shared" si="91"/>
        <v>5432.58</v>
      </c>
      <c r="AB188" s="87"/>
      <c r="AC188" s="88"/>
      <c r="AD188" s="101">
        <f t="shared" si="92"/>
        <v>45864</v>
      </c>
      <c r="AE188" s="103">
        <f t="shared" si="93"/>
        <v>0</v>
      </c>
      <c r="AG188" s="1">
        <f t="shared" si="83"/>
        <v>0</v>
      </c>
      <c r="AH188" s="1">
        <f t="shared" si="98"/>
        <v>0</v>
      </c>
      <c r="AI188" s="1">
        <f t="shared" si="94"/>
        <v>5432.58</v>
      </c>
      <c r="AJ188" s="20">
        <f t="shared" si="96"/>
        <v>0</v>
      </c>
      <c r="AK188" s="100">
        <f t="shared" si="99"/>
        <v>0</v>
      </c>
      <c r="AL188" s="100">
        <f t="shared" si="100"/>
        <v>0</v>
      </c>
      <c r="AN188" s="100">
        <f t="shared" si="101"/>
        <v>5012.5657216936061</v>
      </c>
      <c r="AO188" s="20">
        <f t="shared" si="102"/>
        <v>0</v>
      </c>
      <c r="AQ188" s="109">
        <f t="shared" si="84"/>
        <v>0</v>
      </c>
      <c r="AU188" s="109">
        <f t="shared" si="85"/>
        <v>26.686130044316918</v>
      </c>
      <c r="AV188" s="101">
        <f t="shared" si="79"/>
        <v>45894</v>
      </c>
      <c r="AW188" s="99">
        <f t="shared" si="80"/>
        <v>0</v>
      </c>
      <c r="AX188" s="1">
        <f t="shared" si="86"/>
        <v>0</v>
      </c>
      <c r="AY188" s="29">
        <f t="shared" si="87"/>
        <v>0</v>
      </c>
      <c r="AZ188" s="1">
        <f t="shared" si="88"/>
        <v>0</v>
      </c>
      <c r="CB188" s="20">
        <f t="shared" si="97"/>
        <v>0</v>
      </c>
      <c r="CC188" s="173">
        <f t="shared" si="89"/>
        <v>0</v>
      </c>
    </row>
    <row r="189" spans="2:81" x14ac:dyDescent="0.25">
      <c r="B189" s="41"/>
      <c r="C189" s="42"/>
      <c r="D189" s="43"/>
      <c r="E189" s="44"/>
      <c r="F189" s="44"/>
      <c r="G189" s="45"/>
      <c r="H189" s="81" t="str">
        <f t="shared" si="77"/>
        <v/>
      </c>
      <c r="J189" s="7"/>
      <c r="K189" s="8"/>
      <c r="L189" s="15"/>
      <c r="M189" s="21"/>
      <c r="N189" s="21"/>
      <c r="O189" s="21"/>
      <c r="P189" s="21"/>
      <c r="Q189" s="1">
        <f t="shared" si="90"/>
        <v>0.60744618579017706</v>
      </c>
      <c r="R189" s="12">
        <f t="shared" ca="1" si="72"/>
        <v>4772</v>
      </c>
      <c r="S189" s="88">
        <f t="shared" si="81"/>
        <v>0</v>
      </c>
      <c r="T189" s="19">
        <f t="shared" si="82"/>
        <v>0</v>
      </c>
      <c r="U189" s="19">
        <f t="shared" si="78"/>
        <v>0</v>
      </c>
      <c r="V189" s="19">
        <f t="shared" si="95"/>
        <v>0</v>
      </c>
      <c r="W189" s="20">
        <f t="shared" ca="1" si="73"/>
        <v>0</v>
      </c>
      <c r="X189" s="19">
        <f t="shared" ca="1" si="74"/>
        <v>0</v>
      </c>
      <c r="Y189" s="19">
        <f t="shared" ca="1" si="75"/>
        <v>0</v>
      </c>
      <c r="Z189" s="20">
        <f t="shared" ca="1" si="76"/>
        <v>0</v>
      </c>
      <c r="AA189" s="1">
        <f t="shared" si="91"/>
        <v>5432.58</v>
      </c>
      <c r="AB189" s="89"/>
      <c r="AC189" s="90"/>
      <c r="AD189" s="101">
        <f t="shared" si="92"/>
        <v>45894</v>
      </c>
      <c r="AE189" s="103">
        <f t="shared" si="93"/>
        <v>0</v>
      </c>
      <c r="AG189" s="1">
        <f t="shared" si="83"/>
        <v>0</v>
      </c>
      <c r="AH189" s="1">
        <f t="shared" si="98"/>
        <v>0</v>
      </c>
      <c r="AI189" s="1">
        <f t="shared" si="94"/>
        <v>5432.58</v>
      </c>
      <c r="AJ189" s="20">
        <f t="shared" si="96"/>
        <v>0</v>
      </c>
      <c r="AK189" s="100">
        <f t="shared" si="99"/>
        <v>0</v>
      </c>
      <c r="AL189" s="100">
        <f t="shared" si="100"/>
        <v>0</v>
      </c>
      <c r="AN189" s="100">
        <f t="shared" si="101"/>
        <v>5010.0296188747052</v>
      </c>
      <c r="AO189" s="20">
        <f t="shared" si="102"/>
        <v>0</v>
      </c>
      <c r="AQ189" s="109">
        <f t="shared" si="84"/>
        <v>0</v>
      </c>
      <c r="AU189" s="109">
        <f t="shared" si="85"/>
        <v>26.683787800721085</v>
      </c>
      <c r="AV189" s="101">
        <f t="shared" si="79"/>
        <v>45924</v>
      </c>
      <c r="AW189" s="99">
        <f t="shared" si="80"/>
        <v>0</v>
      </c>
      <c r="AX189" s="1">
        <f t="shared" si="86"/>
        <v>0</v>
      </c>
      <c r="AY189" s="29">
        <f t="shared" si="87"/>
        <v>0</v>
      </c>
      <c r="AZ189" s="1">
        <f t="shared" si="88"/>
        <v>0</v>
      </c>
      <c r="CB189" s="20">
        <f t="shared" si="97"/>
        <v>0</v>
      </c>
      <c r="CC189" s="173">
        <f t="shared" si="89"/>
        <v>0</v>
      </c>
    </row>
    <row r="190" spans="2:81" x14ac:dyDescent="0.25">
      <c r="B190" s="41"/>
      <c r="C190" s="42"/>
      <c r="D190" s="43"/>
      <c r="E190" s="44"/>
      <c r="F190" s="44"/>
      <c r="G190" s="45"/>
      <c r="H190" s="81" t="str">
        <f t="shared" si="77"/>
        <v/>
      </c>
      <c r="J190" s="9"/>
      <c r="K190" s="10"/>
      <c r="L190" s="14"/>
      <c r="M190" s="19"/>
      <c r="N190" s="19"/>
      <c r="O190" s="19"/>
      <c r="P190" s="19"/>
      <c r="Q190" s="1">
        <f t="shared" si="90"/>
        <v>0.60744618579017706</v>
      </c>
      <c r="R190" s="12">
        <f t="shared" ca="1" si="72"/>
        <v>4802</v>
      </c>
      <c r="S190" s="88">
        <f t="shared" si="81"/>
        <v>0</v>
      </c>
      <c r="T190" s="19">
        <f t="shared" si="82"/>
        <v>0</v>
      </c>
      <c r="U190" s="19">
        <f t="shared" si="78"/>
        <v>0</v>
      </c>
      <c r="V190" s="19">
        <f t="shared" si="95"/>
        <v>0</v>
      </c>
      <c r="W190" s="20">
        <f t="shared" ca="1" si="73"/>
        <v>0</v>
      </c>
      <c r="X190" s="19">
        <f t="shared" ca="1" si="74"/>
        <v>0</v>
      </c>
      <c r="Y190" s="19">
        <f t="shared" ca="1" si="75"/>
        <v>0</v>
      </c>
      <c r="Z190" s="20">
        <f t="shared" ca="1" si="76"/>
        <v>0</v>
      </c>
      <c r="AA190" s="1">
        <f t="shared" si="91"/>
        <v>5432.58</v>
      </c>
      <c r="AB190" s="87"/>
      <c r="AC190" s="88"/>
      <c r="AD190" s="101">
        <f t="shared" si="92"/>
        <v>45924</v>
      </c>
      <c r="AE190" s="103">
        <f t="shared" si="93"/>
        <v>0</v>
      </c>
      <c r="AG190" s="1">
        <f t="shared" si="83"/>
        <v>0</v>
      </c>
      <c r="AH190" s="1">
        <f t="shared" si="98"/>
        <v>0</v>
      </c>
      <c r="AI190" s="1">
        <f t="shared" si="94"/>
        <v>5432.58</v>
      </c>
      <c r="AJ190" s="20">
        <f t="shared" si="96"/>
        <v>0</v>
      </c>
      <c r="AK190" s="100">
        <f t="shared" si="99"/>
        <v>0</v>
      </c>
      <c r="AL190" s="100">
        <f t="shared" si="100"/>
        <v>0</v>
      </c>
      <c r="AN190" s="100">
        <f t="shared" si="101"/>
        <v>5007.4947991945919</v>
      </c>
      <c r="AO190" s="20">
        <f t="shared" si="102"/>
        <v>0</v>
      </c>
      <c r="AQ190" s="109">
        <f t="shared" si="84"/>
        <v>0</v>
      </c>
      <c r="AU190" s="109">
        <f t="shared" si="85"/>
        <v>26.681445762704133</v>
      </c>
      <c r="AV190" s="101">
        <f t="shared" si="79"/>
        <v>45954</v>
      </c>
      <c r="AW190" s="99">
        <f t="shared" si="80"/>
        <v>0</v>
      </c>
      <c r="AX190" s="1">
        <f t="shared" si="86"/>
        <v>0</v>
      </c>
      <c r="AY190" s="29">
        <f t="shared" si="87"/>
        <v>0</v>
      </c>
      <c r="AZ190" s="1">
        <f t="shared" si="88"/>
        <v>0</v>
      </c>
      <c r="CB190" s="20">
        <f t="shared" si="97"/>
        <v>0</v>
      </c>
      <c r="CC190" s="173">
        <f t="shared" si="89"/>
        <v>0</v>
      </c>
    </row>
    <row r="191" spans="2:81" x14ac:dyDescent="0.25">
      <c r="B191" s="41"/>
      <c r="C191" s="42"/>
      <c r="D191" s="43"/>
      <c r="E191" s="44"/>
      <c r="F191" s="44"/>
      <c r="G191" s="45"/>
      <c r="H191" s="81" t="str">
        <f t="shared" si="77"/>
        <v/>
      </c>
      <c r="J191" s="7"/>
      <c r="K191" s="8"/>
      <c r="L191" s="15"/>
      <c r="M191" s="21"/>
      <c r="N191" s="21"/>
      <c r="O191" s="21"/>
      <c r="P191" s="21"/>
      <c r="Q191" s="1">
        <f t="shared" si="90"/>
        <v>0.60744618579017706</v>
      </c>
      <c r="R191" s="12">
        <f t="shared" ca="1" si="72"/>
        <v>4832</v>
      </c>
      <c r="S191" s="88">
        <f t="shared" si="81"/>
        <v>0</v>
      </c>
      <c r="T191" s="19">
        <f t="shared" si="82"/>
        <v>0</v>
      </c>
      <c r="U191" s="19">
        <f t="shared" si="78"/>
        <v>0</v>
      </c>
      <c r="V191" s="19">
        <f t="shared" si="95"/>
        <v>0</v>
      </c>
      <c r="W191" s="20">
        <f t="shared" ca="1" si="73"/>
        <v>0</v>
      </c>
      <c r="X191" s="19">
        <f t="shared" ca="1" si="74"/>
        <v>0</v>
      </c>
      <c r="Y191" s="19">
        <f t="shared" ca="1" si="75"/>
        <v>0</v>
      </c>
      <c r="Z191" s="20">
        <f t="shared" ca="1" si="76"/>
        <v>0</v>
      </c>
      <c r="AA191" s="1">
        <f t="shared" si="91"/>
        <v>5432.58</v>
      </c>
      <c r="AB191" s="89"/>
      <c r="AC191" s="90"/>
      <c r="AD191" s="101">
        <f t="shared" si="92"/>
        <v>45954</v>
      </c>
      <c r="AE191" s="103">
        <f t="shared" si="93"/>
        <v>0</v>
      </c>
      <c r="AG191" s="1">
        <f t="shared" si="83"/>
        <v>0</v>
      </c>
      <c r="AH191" s="1">
        <f t="shared" si="98"/>
        <v>0</v>
      </c>
      <c r="AI191" s="1">
        <f t="shared" si="94"/>
        <v>5432.58</v>
      </c>
      <c r="AJ191" s="20">
        <f t="shared" si="96"/>
        <v>0</v>
      </c>
      <c r="AK191" s="100">
        <f t="shared" si="99"/>
        <v>0</v>
      </c>
      <c r="AL191" s="100">
        <f t="shared" si="100"/>
        <v>0</v>
      </c>
      <c r="AN191" s="100">
        <f t="shared" si="101"/>
        <v>5004.9612620040643</v>
      </c>
      <c r="AO191" s="20">
        <f t="shared" si="102"/>
        <v>0</v>
      </c>
      <c r="AQ191" s="109">
        <f t="shared" si="84"/>
        <v>0</v>
      </c>
      <c r="AU191" s="109">
        <f t="shared" si="85"/>
        <v>26.67910393024804</v>
      </c>
      <c r="AV191" s="101">
        <f t="shared" si="79"/>
        <v>45984</v>
      </c>
      <c r="AW191" s="99">
        <f t="shared" si="80"/>
        <v>0</v>
      </c>
      <c r="AX191" s="1">
        <f t="shared" si="86"/>
        <v>0</v>
      </c>
      <c r="AY191" s="29">
        <f t="shared" si="87"/>
        <v>0</v>
      </c>
      <c r="AZ191" s="1">
        <f t="shared" si="88"/>
        <v>0</v>
      </c>
      <c r="CB191" s="20">
        <f t="shared" si="97"/>
        <v>0</v>
      </c>
      <c r="CC191" s="173">
        <f t="shared" si="89"/>
        <v>0</v>
      </c>
    </row>
    <row r="192" spans="2:81" x14ac:dyDescent="0.25">
      <c r="B192" s="41"/>
      <c r="C192" s="42"/>
      <c r="D192" s="43"/>
      <c r="E192" s="44"/>
      <c r="F192" s="44"/>
      <c r="G192" s="45"/>
      <c r="H192" s="81" t="str">
        <f t="shared" si="77"/>
        <v/>
      </c>
      <c r="J192" s="9"/>
      <c r="K192" s="10"/>
      <c r="L192" s="14"/>
      <c r="M192" s="19"/>
      <c r="N192" s="19"/>
      <c r="O192" s="19"/>
      <c r="P192" s="19"/>
      <c r="Q192" s="1">
        <f t="shared" si="90"/>
        <v>0.60744618579017706</v>
      </c>
      <c r="R192" s="12">
        <f t="shared" ca="1" si="72"/>
        <v>4862</v>
      </c>
      <c r="S192" s="88">
        <f t="shared" si="81"/>
        <v>0</v>
      </c>
      <c r="T192" s="19">
        <f t="shared" si="82"/>
        <v>0</v>
      </c>
      <c r="U192" s="19">
        <f t="shared" si="78"/>
        <v>0</v>
      </c>
      <c r="V192" s="19">
        <f t="shared" si="95"/>
        <v>0</v>
      </c>
      <c r="W192" s="20">
        <f t="shared" ca="1" si="73"/>
        <v>0</v>
      </c>
      <c r="X192" s="19">
        <f t="shared" ca="1" si="74"/>
        <v>0</v>
      </c>
      <c r="Y192" s="19">
        <f t="shared" ca="1" si="75"/>
        <v>0</v>
      </c>
      <c r="Z192" s="20">
        <f t="shared" ca="1" si="76"/>
        <v>0</v>
      </c>
      <c r="AA192" s="1">
        <f t="shared" si="91"/>
        <v>5432.58</v>
      </c>
      <c r="AB192" s="87"/>
      <c r="AC192" s="88"/>
      <c r="AD192" s="101">
        <f t="shared" si="92"/>
        <v>45984</v>
      </c>
      <c r="AE192" s="103">
        <f t="shared" si="93"/>
        <v>0</v>
      </c>
      <c r="AG192" s="1">
        <f t="shared" si="83"/>
        <v>0</v>
      </c>
      <c r="AH192" s="1">
        <f t="shared" si="98"/>
        <v>0</v>
      </c>
      <c r="AI192" s="1">
        <f t="shared" si="94"/>
        <v>5432.58</v>
      </c>
      <c r="AJ192" s="20">
        <f t="shared" si="96"/>
        <v>0</v>
      </c>
      <c r="AK192" s="100">
        <f t="shared" si="99"/>
        <v>0</v>
      </c>
      <c r="AL192" s="100">
        <f t="shared" si="100"/>
        <v>0</v>
      </c>
      <c r="AN192" s="100">
        <f t="shared" si="101"/>
        <v>5002.4290066542499</v>
      </c>
      <c r="AO192" s="20">
        <f t="shared" si="102"/>
        <v>0</v>
      </c>
      <c r="AQ192" s="109">
        <f t="shared" si="84"/>
        <v>0</v>
      </c>
      <c r="AU192" s="109">
        <f t="shared" si="85"/>
        <v>26.676762303334751</v>
      </c>
      <c r="AV192" s="101">
        <f t="shared" si="79"/>
        <v>46014</v>
      </c>
      <c r="AW192" s="99">
        <f t="shared" si="80"/>
        <v>0</v>
      </c>
      <c r="AX192" s="1">
        <f t="shared" si="86"/>
        <v>0</v>
      </c>
      <c r="AY192" s="29">
        <f t="shared" si="87"/>
        <v>0</v>
      </c>
      <c r="AZ192" s="1">
        <f t="shared" si="88"/>
        <v>0</v>
      </c>
      <c r="CB192" s="20">
        <f t="shared" si="97"/>
        <v>0</v>
      </c>
      <c r="CC192" s="173">
        <f t="shared" si="89"/>
        <v>0</v>
      </c>
    </row>
    <row r="193" spans="2:81" x14ac:dyDescent="0.25">
      <c r="B193" s="41"/>
      <c r="C193" s="42"/>
      <c r="D193" s="43"/>
      <c r="E193" s="44"/>
      <c r="F193" s="44"/>
      <c r="G193" s="45"/>
      <c r="H193" s="81" t="str">
        <f t="shared" si="77"/>
        <v/>
      </c>
      <c r="J193" s="7"/>
      <c r="K193" s="8"/>
      <c r="L193" s="15"/>
      <c r="M193" s="21"/>
      <c r="N193" s="21"/>
      <c r="O193" s="21"/>
      <c r="P193" s="21"/>
      <c r="Q193" s="1">
        <f t="shared" si="90"/>
        <v>0.60744618579017706</v>
      </c>
      <c r="R193" s="12">
        <f t="shared" ref="R193:R256" ca="1" si="103">IF(ROW()&gt;$T$20,R192+30,DAYS360(K192,K193)+R192)</f>
        <v>4892</v>
      </c>
      <c r="S193" s="88">
        <f t="shared" si="81"/>
        <v>0</v>
      </c>
      <c r="T193" s="19">
        <f t="shared" si="82"/>
        <v>0</v>
      </c>
      <c r="U193" s="19">
        <f t="shared" si="78"/>
        <v>0</v>
      </c>
      <c r="V193" s="19">
        <f t="shared" si="95"/>
        <v>0</v>
      </c>
      <c r="W193" s="20">
        <f t="shared" ref="W193:W256" ca="1" si="104">(T193)/(1+((1+$T$12)^$R193-1))</f>
        <v>0</v>
      </c>
      <c r="X193" s="19">
        <f t="shared" ref="X193:X256" ca="1" si="105">(U193)/(1+((1+$T$12)^$R193-1))</f>
        <v>0</v>
      </c>
      <c r="Y193" s="19">
        <f t="shared" ref="Y193:Y256" ca="1" si="106">P193/(1+((1+$T$12)^$R193-1))</f>
        <v>0</v>
      </c>
      <c r="Z193" s="20">
        <f t="shared" ref="Z193:Z256" ca="1" si="107">W193+X193</f>
        <v>0</v>
      </c>
      <c r="AA193" s="1">
        <f t="shared" si="91"/>
        <v>5432.58</v>
      </c>
      <c r="AB193" s="89"/>
      <c r="AC193" s="90"/>
      <c r="AD193" s="101">
        <f t="shared" si="92"/>
        <v>46014</v>
      </c>
      <c r="AE193" s="103">
        <f t="shared" si="93"/>
        <v>0</v>
      </c>
      <c r="AG193" s="1">
        <f t="shared" si="83"/>
        <v>0</v>
      </c>
      <c r="AH193" s="1">
        <f t="shared" si="98"/>
        <v>0</v>
      </c>
      <c r="AI193" s="1">
        <f t="shared" si="94"/>
        <v>5432.58</v>
      </c>
      <c r="AJ193" s="20">
        <f t="shared" si="96"/>
        <v>0</v>
      </c>
      <c r="AK193" s="100">
        <f t="shared" si="99"/>
        <v>0</v>
      </c>
      <c r="AL193" s="100">
        <f t="shared" si="100"/>
        <v>0</v>
      </c>
      <c r="AN193" s="100">
        <f t="shared" si="101"/>
        <v>4999.8980324965987</v>
      </c>
      <c r="AO193" s="20">
        <f t="shared" si="102"/>
        <v>0</v>
      </c>
      <c r="AQ193" s="109">
        <f t="shared" si="84"/>
        <v>0</v>
      </c>
      <c r="AU193" s="109">
        <f t="shared" si="85"/>
        <v>26.674420881946226</v>
      </c>
      <c r="AV193" s="101">
        <f t="shared" si="79"/>
        <v>46044</v>
      </c>
      <c r="AW193" s="99">
        <f t="shared" si="80"/>
        <v>0</v>
      </c>
      <c r="AX193" s="1">
        <f t="shared" si="86"/>
        <v>0</v>
      </c>
      <c r="AY193" s="29">
        <f t="shared" si="87"/>
        <v>0</v>
      </c>
      <c r="AZ193" s="1">
        <f t="shared" si="88"/>
        <v>0</v>
      </c>
      <c r="CB193" s="20">
        <f t="shared" si="97"/>
        <v>0</v>
      </c>
      <c r="CC193" s="173">
        <f t="shared" si="89"/>
        <v>0</v>
      </c>
    </row>
    <row r="194" spans="2:81" x14ac:dyDescent="0.25">
      <c r="B194" s="41"/>
      <c r="C194" s="42"/>
      <c r="D194" s="43"/>
      <c r="E194" s="44"/>
      <c r="F194" s="44"/>
      <c r="G194" s="45"/>
      <c r="H194" s="81" t="str">
        <f t="shared" si="77"/>
        <v/>
      </c>
      <c r="J194" s="9"/>
      <c r="K194" s="10"/>
      <c r="L194" s="14"/>
      <c r="M194" s="19"/>
      <c r="N194" s="19"/>
      <c r="O194" s="19"/>
      <c r="P194" s="19"/>
      <c r="Q194" s="1">
        <f t="shared" si="90"/>
        <v>0.60744618579017706</v>
      </c>
      <c r="R194" s="12">
        <f t="shared" ca="1" si="103"/>
        <v>4922</v>
      </c>
      <c r="S194" s="88">
        <f t="shared" si="81"/>
        <v>0</v>
      </c>
      <c r="T194" s="19">
        <f t="shared" si="82"/>
        <v>0</v>
      </c>
      <c r="U194" s="19">
        <f t="shared" si="78"/>
        <v>0</v>
      </c>
      <c r="V194" s="19">
        <f t="shared" si="95"/>
        <v>0</v>
      </c>
      <c r="W194" s="20">
        <f t="shared" ca="1" si="104"/>
        <v>0</v>
      </c>
      <c r="X194" s="19">
        <f t="shared" ca="1" si="105"/>
        <v>0</v>
      </c>
      <c r="Y194" s="19">
        <f t="shared" ca="1" si="106"/>
        <v>0</v>
      </c>
      <c r="Z194" s="20">
        <f t="shared" ca="1" si="107"/>
        <v>0</v>
      </c>
      <c r="AA194" s="1">
        <f t="shared" si="91"/>
        <v>5432.58</v>
      </c>
      <c r="AB194" s="87"/>
      <c r="AC194" s="88"/>
      <c r="AD194" s="101">
        <f t="shared" si="92"/>
        <v>46044</v>
      </c>
      <c r="AE194" s="103">
        <f t="shared" si="93"/>
        <v>0</v>
      </c>
      <c r="AG194" s="1">
        <f t="shared" si="83"/>
        <v>0</v>
      </c>
      <c r="AH194" s="1">
        <f t="shared" si="98"/>
        <v>0</v>
      </c>
      <c r="AI194" s="1">
        <f t="shared" si="94"/>
        <v>5432.58</v>
      </c>
      <c r="AJ194" s="20">
        <f t="shared" si="96"/>
        <v>0</v>
      </c>
      <c r="AK194" s="100">
        <f t="shared" si="99"/>
        <v>0</v>
      </c>
      <c r="AL194" s="100">
        <f t="shared" si="100"/>
        <v>0</v>
      </c>
      <c r="AN194" s="100">
        <f t="shared" si="101"/>
        <v>4997.3683388828968</v>
      </c>
      <c r="AO194" s="20">
        <f t="shared" si="102"/>
        <v>0</v>
      </c>
      <c r="AQ194" s="109">
        <f t="shared" si="84"/>
        <v>0</v>
      </c>
      <c r="AU194" s="109">
        <f t="shared" si="85"/>
        <v>26.67207966606443</v>
      </c>
      <c r="AV194" s="101">
        <f t="shared" si="79"/>
        <v>46074</v>
      </c>
      <c r="AW194" s="99">
        <f t="shared" si="80"/>
        <v>0</v>
      </c>
      <c r="AX194" s="1">
        <f t="shared" si="86"/>
        <v>0</v>
      </c>
      <c r="AY194" s="29">
        <f t="shared" si="87"/>
        <v>0</v>
      </c>
      <c r="AZ194" s="1">
        <f t="shared" si="88"/>
        <v>0</v>
      </c>
      <c r="CB194" s="20">
        <f t="shared" si="97"/>
        <v>0</v>
      </c>
      <c r="CC194" s="173">
        <f t="shared" si="89"/>
        <v>0</v>
      </c>
    </row>
    <row r="195" spans="2:81" x14ac:dyDescent="0.25">
      <c r="B195" s="41"/>
      <c r="C195" s="42"/>
      <c r="D195" s="43"/>
      <c r="E195" s="44"/>
      <c r="F195" s="44"/>
      <c r="G195" s="45"/>
      <c r="H195" s="81" t="str">
        <f t="shared" si="77"/>
        <v/>
      </c>
      <c r="J195" s="7"/>
      <c r="K195" s="8"/>
      <c r="L195" s="15"/>
      <c r="M195" s="21"/>
      <c r="N195" s="21"/>
      <c r="O195" s="21"/>
      <c r="P195" s="21"/>
      <c r="Q195" s="1">
        <f t="shared" si="90"/>
        <v>0.60744618579017706</v>
      </c>
      <c r="R195" s="12">
        <f t="shared" ca="1" si="103"/>
        <v>4952</v>
      </c>
      <c r="S195" s="88">
        <f t="shared" si="81"/>
        <v>0</v>
      </c>
      <c r="T195" s="19">
        <f t="shared" si="82"/>
        <v>0</v>
      </c>
      <c r="U195" s="19">
        <f t="shared" si="78"/>
        <v>0</v>
      </c>
      <c r="V195" s="19">
        <f t="shared" si="95"/>
        <v>0</v>
      </c>
      <c r="W195" s="20">
        <f t="shared" ca="1" si="104"/>
        <v>0</v>
      </c>
      <c r="X195" s="19">
        <f t="shared" ca="1" si="105"/>
        <v>0</v>
      </c>
      <c r="Y195" s="19">
        <f t="shared" ca="1" si="106"/>
        <v>0</v>
      </c>
      <c r="Z195" s="20">
        <f t="shared" ca="1" si="107"/>
        <v>0</v>
      </c>
      <c r="AA195" s="1">
        <f t="shared" si="91"/>
        <v>5432.58</v>
      </c>
      <c r="AB195" s="89"/>
      <c r="AC195" s="90"/>
      <c r="AD195" s="101">
        <f t="shared" si="92"/>
        <v>46074</v>
      </c>
      <c r="AE195" s="103">
        <f t="shared" si="93"/>
        <v>0</v>
      </c>
      <c r="AG195" s="1">
        <f t="shared" si="83"/>
        <v>0</v>
      </c>
      <c r="AH195" s="1">
        <f t="shared" si="98"/>
        <v>0</v>
      </c>
      <c r="AI195" s="1">
        <f t="shared" si="94"/>
        <v>5432.58</v>
      </c>
      <c r="AJ195" s="20">
        <f t="shared" si="96"/>
        <v>0</v>
      </c>
      <c r="AK195" s="100">
        <f t="shared" si="99"/>
        <v>0</v>
      </c>
      <c r="AL195" s="100">
        <f t="shared" si="100"/>
        <v>0</v>
      </c>
      <c r="AN195" s="100">
        <f t="shared" si="101"/>
        <v>4994.83992516525</v>
      </c>
      <c r="AO195" s="20">
        <f t="shared" si="102"/>
        <v>0</v>
      </c>
      <c r="AQ195" s="109">
        <f t="shared" si="84"/>
        <v>0</v>
      </c>
      <c r="AU195" s="109">
        <f t="shared" si="85"/>
        <v>26.669738655671324</v>
      </c>
      <c r="AV195" s="101">
        <f t="shared" si="79"/>
        <v>46104</v>
      </c>
      <c r="AW195" s="99">
        <f t="shared" si="80"/>
        <v>0</v>
      </c>
      <c r="AX195" s="1">
        <f t="shared" si="86"/>
        <v>0</v>
      </c>
      <c r="AY195" s="29">
        <f t="shared" si="87"/>
        <v>0</v>
      </c>
      <c r="AZ195" s="1">
        <f t="shared" si="88"/>
        <v>0</v>
      </c>
      <c r="CB195" s="20">
        <f t="shared" si="97"/>
        <v>0</v>
      </c>
      <c r="CC195" s="173">
        <f t="shared" si="89"/>
        <v>0</v>
      </c>
    </row>
    <row r="196" spans="2:81" x14ac:dyDescent="0.25">
      <c r="B196" s="41"/>
      <c r="C196" s="42"/>
      <c r="D196" s="43"/>
      <c r="E196" s="44"/>
      <c r="F196" s="44"/>
      <c r="G196" s="45"/>
      <c r="H196" s="81" t="str">
        <f t="shared" si="77"/>
        <v/>
      </c>
      <c r="J196" s="9"/>
      <c r="K196" s="10"/>
      <c r="L196" s="14"/>
      <c r="M196" s="19"/>
      <c r="N196" s="19"/>
      <c r="O196" s="19"/>
      <c r="P196" s="19"/>
      <c r="Q196" s="1">
        <f t="shared" si="90"/>
        <v>0.60744618579017706</v>
      </c>
      <c r="R196" s="12">
        <f t="shared" ca="1" si="103"/>
        <v>4982</v>
      </c>
      <c r="S196" s="88">
        <f t="shared" si="81"/>
        <v>0</v>
      </c>
      <c r="T196" s="19">
        <f t="shared" si="82"/>
        <v>0</v>
      </c>
      <c r="U196" s="19">
        <f t="shared" si="78"/>
        <v>0</v>
      </c>
      <c r="V196" s="19">
        <f t="shared" si="95"/>
        <v>0</v>
      </c>
      <c r="W196" s="20">
        <f t="shared" ca="1" si="104"/>
        <v>0</v>
      </c>
      <c r="X196" s="19">
        <f t="shared" ca="1" si="105"/>
        <v>0</v>
      </c>
      <c r="Y196" s="19">
        <f t="shared" ca="1" si="106"/>
        <v>0</v>
      </c>
      <c r="Z196" s="20">
        <f t="shared" ca="1" si="107"/>
        <v>0</v>
      </c>
      <c r="AA196" s="1">
        <f t="shared" si="91"/>
        <v>5432.58</v>
      </c>
      <c r="AB196" s="87"/>
      <c r="AC196" s="88"/>
      <c r="AD196" s="101">
        <f t="shared" si="92"/>
        <v>46104</v>
      </c>
      <c r="AE196" s="103">
        <f t="shared" si="93"/>
        <v>0</v>
      </c>
      <c r="AG196" s="1">
        <f t="shared" si="83"/>
        <v>0</v>
      </c>
      <c r="AH196" s="1">
        <f t="shared" si="98"/>
        <v>0</v>
      </c>
      <c r="AI196" s="1">
        <f t="shared" si="94"/>
        <v>5432.58</v>
      </c>
      <c r="AJ196" s="20">
        <f t="shared" si="96"/>
        <v>0</v>
      </c>
      <c r="AK196" s="100">
        <f t="shared" si="99"/>
        <v>0</v>
      </c>
      <c r="AL196" s="100">
        <f t="shared" si="100"/>
        <v>0</v>
      </c>
      <c r="AN196" s="100">
        <f t="shared" si="101"/>
        <v>4992.312790696099</v>
      </c>
      <c r="AO196" s="20">
        <f t="shared" si="102"/>
        <v>0</v>
      </c>
      <c r="AQ196" s="109">
        <f t="shared" si="84"/>
        <v>0</v>
      </c>
      <c r="AU196" s="109">
        <f t="shared" si="85"/>
        <v>26.667397850748877</v>
      </c>
      <c r="AV196" s="101">
        <f t="shared" si="79"/>
        <v>46134</v>
      </c>
      <c r="AW196" s="99">
        <f t="shared" si="80"/>
        <v>0</v>
      </c>
      <c r="AX196" s="1">
        <f t="shared" si="86"/>
        <v>0</v>
      </c>
      <c r="AY196" s="29">
        <f t="shared" si="87"/>
        <v>0</v>
      </c>
      <c r="AZ196" s="1">
        <f t="shared" si="88"/>
        <v>0</v>
      </c>
      <c r="CB196" s="20">
        <f t="shared" si="97"/>
        <v>0</v>
      </c>
      <c r="CC196" s="173">
        <f t="shared" si="89"/>
        <v>0</v>
      </c>
    </row>
    <row r="197" spans="2:81" x14ac:dyDescent="0.25">
      <c r="B197" s="41"/>
      <c r="C197" s="42"/>
      <c r="D197" s="43"/>
      <c r="E197" s="44"/>
      <c r="F197" s="44"/>
      <c r="G197" s="45"/>
      <c r="H197" s="81" t="str">
        <f t="shared" si="77"/>
        <v/>
      </c>
      <c r="J197" s="7"/>
      <c r="K197" s="8"/>
      <c r="L197" s="15"/>
      <c r="M197" s="21"/>
      <c r="N197" s="21"/>
      <c r="O197" s="21"/>
      <c r="P197" s="21"/>
      <c r="Q197" s="1">
        <f t="shared" si="90"/>
        <v>0.60744618579017706</v>
      </c>
      <c r="R197" s="12">
        <f t="shared" ca="1" si="103"/>
        <v>5012</v>
      </c>
      <c r="S197" s="88">
        <f t="shared" si="81"/>
        <v>0</v>
      </c>
      <c r="T197" s="19">
        <f t="shared" si="82"/>
        <v>0</v>
      </c>
      <c r="U197" s="19">
        <f t="shared" si="78"/>
        <v>0</v>
      </c>
      <c r="V197" s="19">
        <f t="shared" si="95"/>
        <v>0</v>
      </c>
      <c r="W197" s="20">
        <f t="shared" ca="1" si="104"/>
        <v>0</v>
      </c>
      <c r="X197" s="19">
        <f t="shared" ca="1" si="105"/>
        <v>0</v>
      </c>
      <c r="Y197" s="19">
        <f t="shared" ca="1" si="106"/>
        <v>0</v>
      </c>
      <c r="Z197" s="20">
        <f t="shared" ca="1" si="107"/>
        <v>0</v>
      </c>
      <c r="AA197" s="1">
        <f t="shared" si="91"/>
        <v>5432.58</v>
      </c>
      <c r="AB197" s="89"/>
      <c r="AC197" s="90"/>
      <c r="AD197" s="101">
        <f t="shared" si="92"/>
        <v>46134</v>
      </c>
      <c r="AE197" s="103">
        <f t="shared" si="93"/>
        <v>0</v>
      </c>
      <c r="AG197" s="1">
        <f t="shared" si="83"/>
        <v>0</v>
      </c>
      <c r="AH197" s="1">
        <f t="shared" si="98"/>
        <v>0</v>
      </c>
      <c r="AI197" s="1">
        <f t="shared" si="94"/>
        <v>5432.58</v>
      </c>
      <c r="AJ197" s="20">
        <f t="shared" si="96"/>
        <v>0</v>
      </c>
      <c r="AK197" s="100">
        <f t="shared" si="99"/>
        <v>0</v>
      </c>
      <c r="AL197" s="100">
        <f t="shared" si="100"/>
        <v>0</v>
      </c>
      <c r="AN197" s="100">
        <f t="shared" si="101"/>
        <v>4989.7869348282102</v>
      </c>
      <c r="AO197" s="20">
        <f t="shared" si="102"/>
        <v>0</v>
      </c>
      <c r="AQ197" s="109">
        <f t="shared" si="84"/>
        <v>0</v>
      </c>
      <c r="AU197" s="109">
        <f t="shared" si="85"/>
        <v>26.665057251279041</v>
      </c>
      <c r="AV197" s="101">
        <f t="shared" si="79"/>
        <v>46164</v>
      </c>
      <c r="AW197" s="99">
        <f t="shared" si="80"/>
        <v>0</v>
      </c>
      <c r="AX197" s="1">
        <f t="shared" si="86"/>
        <v>0</v>
      </c>
      <c r="AY197" s="29">
        <f t="shared" si="87"/>
        <v>0</v>
      </c>
      <c r="AZ197" s="1">
        <f t="shared" si="88"/>
        <v>0</v>
      </c>
      <c r="CB197" s="20">
        <f t="shared" si="97"/>
        <v>0</v>
      </c>
      <c r="CC197" s="173">
        <f t="shared" si="89"/>
        <v>0</v>
      </c>
    </row>
    <row r="198" spans="2:81" x14ac:dyDescent="0.25">
      <c r="B198" s="41"/>
      <c r="C198" s="42"/>
      <c r="D198" s="43"/>
      <c r="E198" s="44"/>
      <c r="F198" s="44"/>
      <c r="G198" s="45"/>
      <c r="H198" s="81" t="str">
        <f t="shared" si="77"/>
        <v/>
      </c>
      <c r="J198" s="9"/>
      <c r="K198" s="10"/>
      <c r="L198" s="14"/>
      <c r="M198" s="19"/>
      <c r="N198" s="19"/>
      <c r="O198" s="19"/>
      <c r="P198" s="19"/>
      <c r="Q198" s="1">
        <f t="shared" si="90"/>
        <v>0.60744618579017706</v>
      </c>
      <c r="R198" s="12">
        <f t="shared" ca="1" si="103"/>
        <v>5042</v>
      </c>
      <c r="S198" s="88">
        <f t="shared" si="81"/>
        <v>0</v>
      </c>
      <c r="T198" s="19">
        <f t="shared" si="82"/>
        <v>0</v>
      </c>
      <c r="U198" s="19">
        <f t="shared" si="78"/>
        <v>0</v>
      </c>
      <c r="V198" s="19">
        <f t="shared" si="95"/>
        <v>0</v>
      </c>
      <c r="W198" s="20">
        <f t="shared" ca="1" si="104"/>
        <v>0</v>
      </c>
      <c r="X198" s="19">
        <f t="shared" ca="1" si="105"/>
        <v>0</v>
      </c>
      <c r="Y198" s="19">
        <f t="shared" ca="1" si="106"/>
        <v>0</v>
      </c>
      <c r="Z198" s="20">
        <f t="shared" ca="1" si="107"/>
        <v>0</v>
      </c>
      <c r="AA198" s="1">
        <f t="shared" si="91"/>
        <v>5432.58</v>
      </c>
      <c r="AB198" s="87"/>
      <c r="AC198" s="88"/>
      <c r="AD198" s="101">
        <f t="shared" si="92"/>
        <v>46164</v>
      </c>
      <c r="AE198" s="103">
        <f t="shared" si="93"/>
        <v>0</v>
      </c>
      <c r="AG198" s="1">
        <f t="shared" si="83"/>
        <v>0</v>
      </c>
      <c r="AH198" s="1">
        <f t="shared" si="98"/>
        <v>0</v>
      </c>
      <c r="AI198" s="1">
        <f t="shared" si="94"/>
        <v>5432.58</v>
      </c>
      <c r="AJ198" s="20">
        <f t="shared" si="96"/>
        <v>0</v>
      </c>
      <c r="AK198" s="100">
        <f t="shared" si="99"/>
        <v>0</v>
      </c>
      <c r="AL198" s="100">
        <f t="shared" si="100"/>
        <v>0</v>
      </c>
      <c r="AN198" s="100">
        <f t="shared" si="101"/>
        <v>4987.2623569146735</v>
      </c>
      <c r="AO198" s="20">
        <f t="shared" si="102"/>
        <v>0</v>
      </c>
      <c r="AQ198" s="109">
        <f t="shared" si="84"/>
        <v>0</v>
      </c>
      <c r="AU198" s="109">
        <f t="shared" si="85"/>
        <v>26.662716857243801</v>
      </c>
      <c r="AV198" s="101">
        <f t="shared" si="79"/>
        <v>46194</v>
      </c>
      <c r="AW198" s="99">
        <f t="shared" si="80"/>
        <v>0</v>
      </c>
      <c r="AX198" s="1">
        <f t="shared" si="86"/>
        <v>0</v>
      </c>
      <c r="AY198" s="29">
        <f t="shared" si="87"/>
        <v>0</v>
      </c>
      <c r="AZ198" s="1">
        <f t="shared" si="88"/>
        <v>0</v>
      </c>
      <c r="CB198" s="20">
        <f t="shared" si="97"/>
        <v>0</v>
      </c>
      <c r="CC198" s="173">
        <f t="shared" si="89"/>
        <v>0</v>
      </c>
    </row>
    <row r="199" spans="2:81" x14ac:dyDescent="0.25">
      <c r="B199" s="41"/>
      <c r="C199" s="42"/>
      <c r="D199" s="43"/>
      <c r="E199" s="44"/>
      <c r="F199" s="44"/>
      <c r="G199" s="45"/>
      <c r="H199" s="81" t="str">
        <f t="shared" si="77"/>
        <v/>
      </c>
      <c r="J199" s="7"/>
      <c r="K199" s="8"/>
      <c r="L199" s="15"/>
      <c r="M199" s="21"/>
      <c r="N199" s="21"/>
      <c r="O199" s="21"/>
      <c r="P199" s="21"/>
      <c r="Q199" s="1">
        <f t="shared" si="90"/>
        <v>0.60744618579017706</v>
      </c>
      <c r="R199" s="12">
        <f t="shared" ca="1" si="103"/>
        <v>5072</v>
      </c>
      <c r="S199" s="88">
        <f t="shared" si="81"/>
        <v>0</v>
      </c>
      <c r="T199" s="19">
        <f t="shared" si="82"/>
        <v>0</v>
      </c>
      <c r="U199" s="19">
        <f t="shared" si="78"/>
        <v>0</v>
      </c>
      <c r="V199" s="19">
        <f t="shared" si="95"/>
        <v>0</v>
      </c>
      <c r="W199" s="20">
        <f t="shared" ca="1" si="104"/>
        <v>0</v>
      </c>
      <c r="X199" s="19">
        <f t="shared" ca="1" si="105"/>
        <v>0</v>
      </c>
      <c r="Y199" s="19">
        <f t="shared" ca="1" si="106"/>
        <v>0</v>
      </c>
      <c r="Z199" s="20">
        <f t="shared" ca="1" si="107"/>
        <v>0</v>
      </c>
      <c r="AA199" s="1">
        <f t="shared" si="91"/>
        <v>5432.58</v>
      </c>
      <c r="AB199" s="89"/>
      <c r="AC199" s="90"/>
      <c r="AD199" s="101">
        <f t="shared" si="92"/>
        <v>46194</v>
      </c>
      <c r="AE199" s="103">
        <f t="shared" si="93"/>
        <v>0</v>
      </c>
      <c r="AG199" s="1">
        <f t="shared" si="83"/>
        <v>0</v>
      </c>
      <c r="AH199" s="1">
        <f t="shared" si="98"/>
        <v>0</v>
      </c>
      <c r="AI199" s="1">
        <f t="shared" si="94"/>
        <v>5432.58</v>
      </c>
      <c r="AJ199" s="20">
        <f t="shared" si="96"/>
        <v>0</v>
      </c>
      <c r="AK199" s="100">
        <f t="shared" si="99"/>
        <v>0</v>
      </c>
      <c r="AL199" s="100">
        <f t="shared" si="100"/>
        <v>0</v>
      </c>
      <c r="AN199" s="100">
        <f t="shared" si="101"/>
        <v>4984.739056308912</v>
      </c>
      <c r="AO199" s="20">
        <f t="shared" si="102"/>
        <v>0</v>
      </c>
      <c r="AQ199" s="109">
        <f t="shared" si="84"/>
        <v>0</v>
      </c>
      <c r="AU199" s="109">
        <f t="shared" si="85"/>
        <v>26.660376668625112</v>
      </c>
      <c r="AV199" s="101">
        <f t="shared" si="79"/>
        <v>46224</v>
      </c>
      <c r="AW199" s="99">
        <f t="shared" si="80"/>
        <v>0</v>
      </c>
      <c r="AX199" s="1">
        <f t="shared" si="86"/>
        <v>0</v>
      </c>
      <c r="AY199" s="29">
        <f t="shared" si="87"/>
        <v>0</v>
      </c>
      <c r="AZ199" s="1">
        <f t="shared" si="88"/>
        <v>0</v>
      </c>
      <c r="CB199" s="20">
        <f t="shared" si="97"/>
        <v>0</v>
      </c>
      <c r="CC199" s="173">
        <f t="shared" si="89"/>
        <v>0</v>
      </c>
    </row>
    <row r="200" spans="2:81" x14ac:dyDescent="0.25">
      <c r="B200" s="41"/>
      <c r="C200" s="42"/>
      <c r="D200" s="43"/>
      <c r="E200" s="44"/>
      <c r="F200" s="44"/>
      <c r="G200" s="45"/>
      <c r="H200" s="81" t="str">
        <f t="shared" si="77"/>
        <v/>
      </c>
      <c r="J200" s="9"/>
      <c r="K200" s="10"/>
      <c r="L200" s="14"/>
      <c r="M200" s="19"/>
      <c r="N200" s="19"/>
      <c r="O200" s="19"/>
      <c r="P200" s="19"/>
      <c r="Q200" s="1">
        <f t="shared" si="90"/>
        <v>0.60744618579017706</v>
      </c>
      <c r="R200" s="12">
        <f t="shared" ca="1" si="103"/>
        <v>5102</v>
      </c>
      <c r="S200" s="88">
        <f t="shared" si="81"/>
        <v>0</v>
      </c>
      <c r="T200" s="19">
        <f t="shared" si="82"/>
        <v>0</v>
      </c>
      <c r="U200" s="19">
        <f t="shared" si="78"/>
        <v>0</v>
      </c>
      <c r="V200" s="19">
        <f t="shared" si="95"/>
        <v>0</v>
      </c>
      <c r="W200" s="20">
        <f t="shared" ca="1" si="104"/>
        <v>0</v>
      </c>
      <c r="X200" s="19">
        <f t="shared" ca="1" si="105"/>
        <v>0</v>
      </c>
      <c r="Y200" s="19">
        <f t="shared" ca="1" si="106"/>
        <v>0</v>
      </c>
      <c r="Z200" s="20">
        <f t="shared" ca="1" si="107"/>
        <v>0</v>
      </c>
      <c r="AA200" s="1">
        <f t="shared" si="91"/>
        <v>5432.58</v>
      </c>
      <c r="AB200" s="87"/>
      <c r="AC200" s="88"/>
      <c r="AD200" s="101">
        <f t="shared" si="92"/>
        <v>46224</v>
      </c>
      <c r="AE200" s="103">
        <f t="shared" si="93"/>
        <v>0</v>
      </c>
      <c r="AG200" s="1">
        <f t="shared" si="83"/>
        <v>0</v>
      </c>
      <c r="AH200" s="1">
        <f t="shared" si="98"/>
        <v>0</v>
      </c>
      <c r="AI200" s="1">
        <f t="shared" si="94"/>
        <v>5432.58</v>
      </c>
      <c r="AJ200" s="20">
        <f t="shared" si="96"/>
        <v>0</v>
      </c>
      <c r="AK200" s="100">
        <f t="shared" si="99"/>
        <v>0</v>
      </c>
      <c r="AL200" s="100">
        <f t="shared" si="100"/>
        <v>0</v>
      </c>
      <c r="AN200" s="100">
        <f t="shared" si="101"/>
        <v>4982.2170323646706</v>
      </c>
      <c r="AO200" s="20">
        <f t="shared" si="102"/>
        <v>0</v>
      </c>
      <c r="AQ200" s="109">
        <f t="shared" si="84"/>
        <v>0</v>
      </c>
      <c r="AU200" s="109">
        <f t="shared" si="85"/>
        <v>26.658036685404952</v>
      </c>
      <c r="AV200" s="101">
        <f t="shared" si="79"/>
        <v>46254</v>
      </c>
      <c r="AW200" s="99">
        <f t="shared" si="80"/>
        <v>0</v>
      </c>
      <c r="AX200" s="1">
        <f t="shared" si="86"/>
        <v>0</v>
      </c>
      <c r="AY200" s="29">
        <f t="shared" si="87"/>
        <v>0</v>
      </c>
      <c r="AZ200" s="1">
        <f t="shared" si="88"/>
        <v>0</v>
      </c>
      <c r="CB200" s="20">
        <f t="shared" si="97"/>
        <v>0</v>
      </c>
      <c r="CC200" s="173">
        <f t="shared" si="89"/>
        <v>0</v>
      </c>
    </row>
    <row r="201" spans="2:81" x14ac:dyDescent="0.25">
      <c r="B201" s="41"/>
      <c r="C201" s="42"/>
      <c r="D201" s="43"/>
      <c r="E201" s="44"/>
      <c r="F201" s="44"/>
      <c r="G201" s="45"/>
      <c r="H201" s="81" t="str">
        <f t="shared" si="77"/>
        <v/>
      </c>
      <c r="J201" s="7"/>
      <c r="K201" s="8"/>
      <c r="L201" s="15"/>
      <c r="M201" s="21"/>
      <c r="N201" s="21"/>
      <c r="O201" s="21"/>
      <c r="P201" s="21"/>
      <c r="Q201" s="1">
        <f t="shared" si="90"/>
        <v>0.60744618579017706</v>
      </c>
      <c r="R201" s="12">
        <f t="shared" ca="1" si="103"/>
        <v>5132</v>
      </c>
      <c r="S201" s="88">
        <f t="shared" si="81"/>
        <v>0</v>
      </c>
      <c r="T201" s="19">
        <f t="shared" si="82"/>
        <v>0</v>
      </c>
      <c r="U201" s="19">
        <f t="shared" si="78"/>
        <v>0</v>
      </c>
      <c r="V201" s="19">
        <f t="shared" si="95"/>
        <v>0</v>
      </c>
      <c r="W201" s="20">
        <f t="shared" ca="1" si="104"/>
        <v>0</v>
      </c>
      <c r="X201" s="19">
        <f t="shared" ca="1" si="105"/>
        <v>0</v>
      </c>
      <c r="Y201" s="19">
        <f t="shared" ca="1" si="106"/>
        <v>0</v>
      </c>
      <c r="Z201" s="20">
        <f t="shared" ca="1" si="107"/>
        <v>0</v>
      </c>
      <c r="AA201" s="1">
        <f t="shared" si="91"/>
        <v>5432.58</v>
      </c>
      <c r="AB201" s="89"/>
      <c r="AC201" s="90"/>
      <c r="AD201" s="101">
        <f t="shared" si="92"/>
        <v>46254</v>
      </c>
      <c r="AE201" s="103">
        <f t="shared" si="93"/>
        <v>0</v>
      </c>
      <c r="AG201" s="1">
        <f t="shared" si="83"/>
        <v>0</v>
      </c>
      <c r="AH201" s="1">
        <f t="shared" si="98"/>
        <v>0</v>
      </c>
      <c r="AI201" s="1">
        <f t="shared" si="94"/>
        <v>5432.58</v>
      </c>
      <c r="AJ201" s="20">
        <f t="shared" si="96"/>
        <v>0</v>
      </c>
      <c r="AK201" s="100">
        <f t="shared" si="99"/>
        <v>0</v>
      </c>
      <c r="AL201" s="100">
        <f t="shared" si="100"/>
        <v>0</v>
      </c>
      <c r="AN201" s="100">
        <f t="shared" si="101"/>
        <v>4979.6962844360251</v>
      </c>
      <c r="AO201" s="20">
        <f t="shared" si="102"/>
        <v>0</v>
      </c>
      <c r="AQ201" s="109">
        <f t="shared" si="84"/>
        <v>0</v>
      </c>
      <c r="AU201" s="109">
        <f t="shared" si="85"/>
        <v>26.655696907565289</v>
      </c>
      <c r="AV201" s="101">
        <f t="shared" si="79"/>
        <v>46284</v>
      </c>
      <c r="AW201" s="99">
        <f t="shared" si="80"/>
        <v>0</v>
      </c>
      <c r="AX201" s="1">
        <f t="shared" si="86"/>
        <v>0</v>
      </c>
      <c r="AY201" s="29">
        <f t="shared" si="87"/>
        <v>0</v>
      </c>
      <c r="AZ201" s="1">
        <f t="shared" si="88"/>
        <v>0</v>
      </c>
      <c r="CB201" s="20">
        <f t="shared" si="97"/>
        <v>0</v>
      </c>
      <c r="CC201" s="173">
        <f t="shared" si="89"/>
        <v>0</v>
      </c>
    </row>
    <row r="202" spans="2:81" x14ac:dyDescent="0.25">
      <c r="B202" s="41"/>
      <c r="C202" s="42"/>
      <c r="D202" s="43"/>
      <c r="E202" s="44"/>
      <c r="F202" s="44"/>
      <c r="G202" s="45"/>
      <c r="H202" s="81" t="str">
        <f t="shared" si="77"/>
        <v/>
      </c>
      <c r="J202" s="9"/>
      <c r="K202" s="10"/>
      <c r="L202" s="14"/>
      <c r="M202" s="19"/>
      <c r="N202" s="19"/>
      <c r="O202" s="19"/>
      <c r="P202" s="19"/>
      <c r="Q202" s="1">
        <f t="shared" si="90"/>
        <v>0.60744618579017706</v>
      </c>
      <c r="R202" s="12">
        <f t="shared" ca="1" si="103"/>
        <v>5162</v>
      </c>
      <c r="S202" s="88">
        <f t="shared" si="81"/>
        <v>0</v>
      </c>
      <c r="T202" s="19">
        <f t="shared" si="82"/>
        <v>0</v>
      </c>
      <c r="U202" s="19">
        <f t="shared" si="78"/>
        <v>0</v>
      </c>
      <c r="V202" s="19">
        <f t="shared" si="95"/>
        <v>0</v>
      </c>
      <c r="W202" s="20">
        <f t="shared" ca="1" si="104"/>
        <v>0</v>
      </c>
      <c r="X202" s="19">
        <f t="shared" ca="1" si="105"/>
        <v>0</v>
      </c>
      <c r="Y202" s="19">
        <f t="shared" ca="1" si="106"/>
        <v>0</v>
      </c>
      <c r="Z202" s="20">
        <f t="shared" ca="1" si="107"/>
        <v>0</v>
      </c>
      <c r="AA202" s="1">
        <f t="shared" si="91"/>
        <v>5432.58</v>
      </c>
      <c r="AB202" s="87"/>
      <c r="AC202" s="88"/>
      <c r="AD202" s="101">
        <f t="shared" si="92"/>
        <v>46284</v>
      </c>
      <c r="AE202" s="103">
        <f t="shared" si="93"/>
        <v>0</v>
      </c>
      <c r="AG202" s="1">
        <f t="shared" si="83"/>
        <v>0</v>
      </c>
      <c r="AH202" s="1">
        <f t="shared" si="98"/>
        <v>0</v>
      </c>
      <c r="AI202" s="1">
        <f t="shared" si="94"/>
        <v>5432.58</v>
      </c>
      <c r="AJ202" s="20">
        <f t="shared" si="96"/>
        <v>0</v>
      </c>
      <c r="AK202" s="100">
        <f t="shared" si="99"/>
        <v>0</v>
      </c>
      <c r="AL202" s="100">
        <f t="shared" si="100"/>
        <v>0</v>
      </c>
      <c r="AN202" s="100">
        <f t="shared" si="101"/>
        <v>4977.1768118773753</v>
      </c>
      <c r="AO202" s="20">
        <f t="shared" si="102"/>
        <v>0</v>
      </c>
      <c r="AQ202" s="109">
        <f t="shared" si="84"/>
        <v>0</v>
      </c>
      <c r="AU202" s="109">
        <f t="shared" si="85"/>
        <v>26.653357335088099</v>
      </c>
      <c r="AV202" s="101">
        <f t="shared" si="79"/>
        <v>46314</v>
      </c>
      <c r="AW202" s="99">
        <f t="shared" si="80"/>
        <v>0</v>
      </c>
      <c r="AX202" s="1">
        <f t="shared" si="86"/>
        <v>0</v>
      </c>
      <c r="AY202" s="29">
        <f t="shared" si="87"/>
        <v>0</v>
      </c>
      <c r="AZ202" s="1">
        <f t="shared" si="88"/>
        <v>0</v>
      </c>
      <c r="CB202" s="20">
        <f t="shared" si="97"/>
        <v>0</v>
      </c>
      <c r="CC202" s="173">
        <f t="shared" si="89"/>
        <v>0</v>
      </c>
    </row>
    <row r="203" spans="2:81" x14ac:dyDescent="0.25">
      <c r="B203" s="41"/>
      <c r="C203" s="42"/>
      <c r="D203" s="43"/>
      <c r="E203" s="44"/>
      <c r="F203" s="44"/>
      <c r="G203" s="45"/>
      <c r="H203" s="81" t="str">
        <f t="shared" si="77"/>
        <v/>
      </c>
      <c r="J203" s="7"/>
      <c r="K203" s="8"/>
      <c r="L203" s="15"/>
      <c r="M203" s="21"/>
      <c r="N203" s="21"/>
      <c r="O203" s="21"/>
      <c r="P203" s="21"/>
      <c r="Q203" s="1">
        <f t="shared" si="90"/>
        <v>0.60744618579017706</v>
      </c>
      <c r="R203" s="12">
        <f t="shared" ca="1" si="103"/>
        <v>5192</v>
      </c>
      <c r="S203" s="88">
        <f t="shared" si="81"/>
        <v>0</v>
      </c>
      <c r="T203" s="19">
        <f t="shared" si="82"/>
        <v>0</v>
      </c>
      <c r="U203" s="19">
        <f t="shared" si="78"/>
        <v>0</v>
      </c>
      <c r="V203" s="19">
        <f t="shared" si="95"/>
        <v>0</v>
      </c>
      <c r="W203" s="20">
        <f t="shared" ca="1" si="104"/>
        <v>0</v>
      </c>
      <c r="X203" s="19">
        <f t="shared" ca="1" si="105"/>
        <v>0</v>
      </c>
      <c r="Y203" s="19">
        <f t="shared" ca="1" si="106"/>
        <v>0</v>
      </c>
      <c r="Z203" s="20">
        <f t="shared" ca="1" si="107"/>
        <v>0</v>
      </c>
      <c r="AA203" s="1">
        <f t="shared" si="91"/>
        <v>5432.58</v>
      </c>
      <c r="AB203" s="89"/>
      <c r="AC203" s="90"/>
      <c r="AD203" s="101">
        <f t="shared" si="92"/>
        <v>46314</v>
      </c>
      <c r="AE203" s="103">
        <f t="shared" si="93"/>
        <v>0</v>
      </c>
      <c r="AG203" s="1">
        <f t="shared" si="83"/>
        <v>0</v>
      </c>
      <c r="AH203" s="1">
        <f t="shared" si="98"/>
        <v>0</v>
      </c>
      <c r="AI203" s="1">
        <f t="shared" si="94"/>
        <v>5432.58</v>
      </c>
      <c r="AJ203" s="20">
        <f t="shared" si="96"/>
        <v>0</v>
      </c>
      <c r="AK203" s="100">
        <f t="shared" si="99"/>
        <v>0</v>
      </c>
      <c r="AL203" s="100">
        <f t="shared" si="100"/>
        <v>0</v>
      </c>
      <c r="AN203" s="100">
        <f t="shared" si="101"/>
        <v>4974.6586140434501</v>
      </c>
      <c r="AO203" s="20">
        <f t="shared" si="102"/>
        <v>0</v>
      </c>
      <c r="AQ203" s="109">
        <f t="shared" si="84"/>
        <v>0</v>
      </c>
      <c r="AU203" s="109">
        <f t="shared" si="85"/>
        <v>26.651017967955365</v>
      </c>
      <c r="AV203" s="101">
        <f t="shared" si="79"/>
        <v>46344</v>
      </c>
      <c r="AW203" s="99">
        <f t="shared" si="80"/>
        <v>0</v>
      </c>
      <c r="AX203" s="1">
        <f t="shared" si="86"/>
        <v>0</v>
      </c>
      <c r="AY203" s="29">
        <f t="shared" si="87"/>
        <v>0</v>
      </c>
      <c r="AZ203" s="1">
        <f t="shared" si="88"/>
        <v>0</v>
      </c>
      <c r="CB203" s="20">
        <f t="shared" si="97"/>
        <v>0</v>
      </c>
      <c r="CC203" s="173">
        <f t="shared" si="89"/>
        <v>0</v>
      </c>
    </row>
    <row r="204" spans="2:81" x14ac:dyDescent="0.25">
      <c r="B204" s="41"/>
      <c r="C204" s="42"/>
      <c r="D204" s="43"/>
      <c r="E204" s="44"/>
      <c r="F204" s="44"/>
      <c r="G204" s="45"/>
      <c r="H204" s="81" t="str">
        <f t="shared" si="77"/>
        <v/>
      </c>
      <c r="J204" s="9"/>
      <c r="K204" s="10"/>
      <c r="L204" s="14"/>
      <c r="M204" s="19"/>
      <c r="N204" s="19"/>
      <c r="O204" s="19"/>
      <c r="P204" s="19"/>
      <c r="Q204" s="1">
        <f t="shared" si="90"/>
        <v>0.60744618579017706</v>
      </c>
      <c r="R204" s="12">
        <f t="shared" ca="1" si="103"/>
        <v>5222</v>
      </c>
      <c r="S204" s="88">
        <f t="shared" si="81"/>
        <v>0</v>
      </c>
      <c r="T204" s="19">
        <f t="shared" si="82"/>
        <v>0</v>
      </c>
      <c r="U204" s="19">
        <f t="shared" si="78"/>
        <v>0</v>
      </c>
      <c r="V204" s="19">
        <f t="shared" si="95"/>
        <v>0</v>
      </c>
      <c r="W204" s="20">
        <f t="shared" ca="1" si="104"/>
        <v>0</v>
      </c>
      <c r="X204" s="19">
        <f t="shared" ca="1" si="105"/>
        <v>0</v>
      </c>
      <c r="Y204" s="19">
        <f t="shared" ca="1" si="106"/>
        <v>0</v>
      </c>
      <c r="Z204" s="20">
        <f t="shared" ca="1" si="107"/>
        <v>0</v>
      </c>
      <c r="AA204" s="1">
        <f t="shared" si="91"/>
        <v>5432.58</v>
      </c>
      <c r="AB204" s="87"/>
      <c r="AC204" s="88"/>
      <c r="AD204" s="101">
        <f t="shared" si="92"/>
        <v>46344</v>
      </c>
      <c r="AE204" s="103">
        <f t="shared" si="93"/>
        <v>0</v>
      </c>
      <c r="AG204" s="1">
        <f t="shared" si="83"/>
        <v>0</v>
      </c>
      <c r="AH204" s="1">
        <f t="shared" si="98"/>
        <v>0</v>
      </c>
      <c r="AI204" s="1">
        <f t="shared" si="94"/>
        <v>5432.58</v>
      </c>
      <c r="AJ204" s="20">
        <f t="shared" si="96"/>
        <v>0</v>
      </c>
      <c r="AK204" s="100">
        <f t="shared" si="99"/>
        <v>0</v>
      </c>
      <c r="AL204" s="100">
        <f t="shared" si="100"/>
        <v>0</v>
      </c>
      <c r="AN204" s="100">
        <f t="shared" si="101"/>
        <v>4972.1416902893043</v>
      </c>
      <c r="AO204" s="20">
        <f t="shared" si="102"/>
        <v>0</v>
      </c>
      <c r="AQ204" s="109">
        <f t="shared" si="84"/>
        <v>0</v>
      </c>
      <c r="AU204" s="109">
        <f t="shared" si="85"/>
        <v>26.64867880614905</v>
      </c>
      <c r="AV204" s="101">
        <f t="shared" si="79"/>
        <v>46374</v>
      </c>
      <c r="AW204" s="99">
        <f t="shared" si="80"/>
        <v>0</v>
      </c>
      <c r="AX204" s="1">
        <f t="shared" si="86"/>
        <v>0</v>
      </c>
      <c r="AY204" s="29">
        <f t="shared" si="87"/>
        <v>0</v>
      </c>
      <c r="AZ204" s="1">
        <f t="shared" si="88"/>
        <v>0</v>
      </c>
      <c r="CB204" s="20">
        <f t="shared" si="97"/>
        <v>0</v>
      </c>
      <c r="CC204" s="173">
        <f t="shared" si="89"/>
        <v>0</v>
      </c>
    </row>
    <row r="205" spans="2:81" x14ac:dyDescent="0.25">
      <c r="B205" s="41"/>
      <c r="C205" s="42"/>
      <c r="D205" s="43"/>
      <c r="E205" s="44"/>
      <c r="F205" s="44"/>
      <c r="G205" s="45"/>
      <c r="H205" s="81" t="str">
        <f t="shared" si="77"/>
        <v/>
      </c>
      <c r="J205" s="7"/>
      <c r="K205" s="8"/>
      <c r="L205" s="15"/>
      <c r="M205" s="21"/>
      <c r="N205" s="21"/>
      <c r="O205" s="21"/>
      <c r="P205" s="21"/>
      <c r="Q205" s="1">
        <f t="shared" si="90"/>
        <v>0.60744618579017706</v>
      </c>
      <c r="R205" s="12">
        <f t="shared" ca="1" si="103"/>
        <v>5252</v>
      </c>
      <c r="S205" s="88">
        <f t="shared" si="81"/>
        <v>0</v>
      </c>
      <c r="T205" s="19">
        <f t="shared" si="82"/>
        <v>0</v>
      </c>
      <c r="U205" s="19">
        <f t="shared" si="78"/>
        <v>0</v>
      </c>
      <c r="V205" s="19">
        <f t="shared" si="95"/>
        <v>0</v>
      </c>
      <c r="W205" s="20">
        <f t="shared" ca="1" si="104"/>
        <v>0</v>
      </c>
      <c r="X205" s="19">
        <f t="shared" ca="1" si="105"/>
        <v>0</v>
      </c>
      <c r="Y205" s="19">
        <f t="shared" ca="1" si="106"/>
        <v>0</v>
      </c>
      <c r="Z205" s="20">
        <f t="shared" ca="1" si="107"/>
        <v>0</v>
      </c>
      <c r="AA205" s="1">
        <f t="shared" si="91"/>
        <v>5432.58</v>
      </c>
      <c r="AB205" s="89"/>
      <c r="AC205" s="90"/>
      <c r="AD205" s="101">
        <f t="shared" si="92"/>
        <v>46374</v>
      </c>
      <c r="AE205" s="103">
        <f t="shared" si="93"/>
        <v>0</v>
      </c>
      <c r="AG205" s="1">
        <f t="shared" si="83"/>
        <v>0</v>
      </c>
      <c r="AH205" s="1">
        <f t="shared" si="98"/>
        <v>0</v>
      </c>
      <c r="AI205" s="1">
        <f t="shared" si="94"/>
        <v>5432.58</v>
      </c>
      <c r="AJ205" s="20">
        <f t="shared" si="96"/>
        <v>0</v>
      </c>
      <c r="AK205" s="100">
        <f t="shared" si="99"/>
        <v>0</v>
      </c>
      <c r="AL205" s="100">
        <f t="shared" si="100"/>
        <v>0</v>
      </c>
      <c r="AN205" s="100">
        <f t="shared" si="101"/>
        <v>4969.6260399703178</v>
      </c>
      <c r="AO205" s="20">
        <f t="shared" si="102"/>
        <v>0</v>
      </c>
      <c r="AQ205" s="109">
        <f t="shared" si="84"/>
        <v>0</v>
      </c>
      <c r="AU205" s="109">
        <f t="shared" si="85"/>
        <v>26.646339849651131</v>
      </c>
      <c r="AV205" s="101">
        <f t="shared" si="79"/>
        <v>46404</v>
      </c>
      <c r="AW205" s="99">
        <f t="shared" si="80"/>
        <v>0</v>
      </c>
      <c r="AX205" s="1">
        <f t="shared" si="86"/>
        <v>0</v>
      </c>
      <c r="AY205" s="29">
        <f t="shared" si="87"/>
        <v>0</v>
      </c>
      <c r="AZ205" s="1">
        <f t="shared" si="88"/>
        <v>0</v>
      </c>
      <c r="CB205" s="20">
        <f t="shared" si="97"/>
        <v>0</v>
      </c>
      <c r="CC205" s="173">
        <f t="shared" si="89"/>
        <v>0</v>
      </c>
    </row>
    <row r="206" spans="2:81" x14ac:dyDescent="0.25">
      <c r="B206" s="41"/>
      <c r="C206" s="42"/>
      <c r="D206" s="43"/>
      <c r="E206" s="44"/>
      <c r="F206" s="44"/>
      <c r="G206" s="45"/>
      <c r="H206" s="81" t="str">
        <f t="shared" si="77"/>
        <v/>
      </c>
      <c r="J206" s="9"/>
      <c r="K206" s="10"/>
      <c r="L206" s="14"/>
      <c r="M206" s="19"/>
      <c r="N206" s="19"/>
      <c r="O206" s="19"/>
      <c r="P206" s="19"/>
      <c r="Q206" s="1">
        <f t="shared" si="90"/>
        <v>0.60744618579017706</v>
      </c>
      <c r="R206" s="12">
        <f t="shared" ca="1" si="103"/>
        <v>5282</v>
      </c>
      <c r="S206" s="88">
        <f t="shared" si="81"/>
        <v>0</v>
      </c>
      <c r="T206" s="19">
        <f t="shared" si="82"/>
        <v>0</v>
      </c>
      <c r="U206" s="19">
        <f t="shared" si="78"/>
        <v>0</v>
      </c>
      <c r="V206" s="19">
        <f t="shared" si="95"/>
        <v>0</v>
      </c>
      <c r="W206" s="20">
        <f t="shared" ca="1" si="104"/>
        <v>0</v>
      </c>
      <c r="X206" s="19">
        <f t="shared" ca="1" si="105"/>
        <v>0</v>
      </c>
      <c r="Y206" s="19">
        <f t="shared" ca="1" si="106"/>
        <v>0</v>
      </c>
      <c r="Z206" s="20">
        <f t="shared" ca="1" si="107"/>
        <v>0</v>
      </c>
      <c r="AA206" s="1">
        <f t="shared" si="91"/>
        <v>5432.58</v>
      </c>
      <c r="AB206" s="87"/>
      <c r="AC206" s="88"/>
      <c r="AD206" s="101">
        <f t="shared" si="92"/>
        <v>46404</v>
      </c>
      <c r="AE206" s="103">
        <f t="shared" si="93"/>
        <v>0</v>
      </c>
      <c r="AG206" s="1">
        <f t="shared" si="83"/>
        <v>0</v>
      </c>
      <c r="AH206" s="1">
        <f t="shared" si="98"/>
        <v>0</v>
      </c>
      <c r="AI206" s="1">
        <f t="shared" si="94"/>
        <v>5432.58</v>
      </c>
      <c r="AJ206" s="20">
        <f t="shared" si="96"/>
        <v>0</v>
      </c>
      <c r="AK206" s="100">
        <f t="shared" si="99"/>
        <v>0</v>
      </c>
      <c r="AL206" s="100">
        <f t="shared" si="100"/>
        <v>0</v>
      </c>
      <c r="AN206" s="100">
        <f t="shared" si="101"/>
        <v>4967.1116624421966</v>
      </c>
      <c r="AO206" s="20">
        <f t="shared" si="102"/>
        <v>0</v>
      </c>
      <c r="AQ206" s="109">
        <f t="shared" si="84"/>
        <v>0</v>
      </c>
      <c r="AU206" s="109">
        <f t="shared" si="85"/>
        <v>26.64400109844361</v>
      </c>
      <c r="AV206" s="101">
        <f t="shared" si="79"/>
        <v>46434</v>
      </c>
      <c r="AW206" s="99">
        <f t="shared" si="80"/>
        <v>0</v>
      </c>
      <c r="AX206" s="1">
        <f t="shared" si="86"/>
        <v>0</v>
      </c>
      <c r="AY206" s="29">
        <f t="shared" si="87"/>
        <v>0</v>
      </c>
      <c r="AZ206" s="1">
        <f t="shared" si="88"/>
        <v>0</v>
      </c>
      <c r="CB206" s="20">
        <f t="shared" si="97"/>
        <v>0</v>
      </c>
      <c r="CC206" s="173">
        <f t="shared" si="89"/>
        <v>0</v>
      </c>
    </row>
    <row r="207" spans="2:81" x14ac:dyDescent="0.25">
      <c r="B207" s="41"/>
      <c r="C207" s="42"/>
      <c r="D207" s="43"/>
      <c r="E207" s="44"/>
      <c r="F207" s="44"/>
      <c r="G207" s="45"/>
      <c r="H207" s="81" t="str">
        <f t="shared" si="77"/>
        <v/>
      </c>
      <c r="J207" s="7"/>
      <c r="K207" s="8"/>
      <c r="L207" s="15"/>
      <c r="M207" s="21"/>
      <c r="N207" s="21"/>
      <c r="O207" s="21"/>
      <c r="P207" s="21"/>
      <c r="Q207" s="1">
        <f t="shared" si="90"/>
        <v>0.60744618579017706</v>
      </c>
      <c r="R207" s="12">
        <f t="shared" ca="1" si="103"/>
        <v>5312</v>
      </c>
      <c r="S207" s="88">
        <f t="shared" si="81"/>
        <v>0</v>
      </c>
      <c r="T207" s="19">
        <f t="shared" si="82"/>
        <v>0</v>
      </c>
      <c r="U207" s="19">
        <f t="shared" si="78"/>
        <v>0</v>
      </c>
      <c r="V207" s="19">
        <f t="shared" si="95"/>
        <v>0</v>
      </c>
      <c r="W207" s="20">
        <f t="shared" ca="1" si="104"/>
        <v>0</v>
      </c>
      <c r="X207" s="19">
        <f t="shared" ca="1" si="105"/>
        <v>0</v>
      </c>
      <c r="Y207" s="19">
        <f t="shared" ca="1" si="106"/>
        <v>0</v>
      </c>
      <c r="Z207" s="20">
        <f t="shared" ca="1" si="107"/>
        <v>0</v>
      </c>
      <c r="AA207" s="1">
        <f t="shared" si="91"/>
        <v>5432.58</v>
      </c>
      <c r="AB207" s="89"/>
      <c r="AC207" s="90"/>
      <c r="AD207" s="101">
        <f t="shared" si="92"/>
        <v>46434</v>
      </c>
      <c r="AE207" s="103">
        <f t="shared" si="93"/>
        <v>0</v>
      </c>
      <c r="AG207" s="1">
        <f t="shared" si="83"/>
        <v>0</v>
      </c>
      <c r="AH207" s="1">
        <f t="shared" si="98"/>
        <v>0</v>
      </c>
      <c r="AI207" s="1">
        <f t="shared" si="94"/>
        <v>5432.58</v>
      </c>
      <c r="AJ207" s="20">
        <f t="shared" si="96"/>
        <v>0</v>
      </c>
      <c r="AK207" s="100">
        <f t="shared" si="99"/>
        <v>0</v>
      </c>
      <c r="AL207" s="100">
        <f t="shared" si="100"/>
        <v>0</v>
      </c>
      <c r="AN207" s="100">
        <f t="shared" si="101"/>
        <v>4964.5985570609755</v>
      </c>
      <c r="AO207" s="20">
        <f t="shared" si="102"/>
        <v>0</v>
      </c>
      <c r="AQ207" s="109">
        <f t="shared" si="84"/>
        <v>0</v>
      </c>
      <c r="AU207" s="109">
        <f t="shared" si="85"/>
        <v>26.641662552508446</v>
      </c>
      <c r="AV207" s="101">
        <f t="shared" si="79"/>
        <v>46464</v>
      </c>
      <c r="AW207" s="99">
        <f t="shared" si="80"/>
        <v>0</v>
      </c>
      <c r="AX207" s="1">
        <f t="shared" si="86"/>
        <v>0</v>
      </c>
      <c r="AY207" s="29">
        <f t="shared" si="87"/>
        <v>0</v>
      </c>
      <c r="AZ207" s="1">
        <f t="shared" si="88"/>
        <v>0</v>
      </c>
      <c r="CB207" s="20">
        <f t="shared" si="97"/>
        <v>0</v>
      </c>
      <c r="CC207" s="173">
        <f t="shared" si="89"/>
        <v>0</v>
      </c>
    </row>
    <row r="208" spans="2:81" x14ac:dyDescent="0.25">
      <c r="B208" s="41"/>
      <c r="C208" s="42"/>
      <c r="D208" s="43"/>
      <c r="E208" s="44"/>
      <c r="F208" s="44"/>
      <c r="G208" s="45"/>
      <c r="H208" s="81" t="str">
        <f t="shared" si="77"/>
        <v/>
      </c>
      <c r="J208" s="9"/>
      <c r="K208" s="10"/>
      <c r="L208" s="14"/>
      <c r="M208" s="19"/>
      <c r="N208" s="19"/>
      <c r="O208" s="19"/>
      <c r="P208" s="19"/>
      <c r="Q208" s="1">
        <f t="shared" si="90"/>
        <v>0.60744618579017706</v>
      </c>
      <c r="R208" s="12">
        <f t="shared" ca="1" si="103"/>
        <v>5342</v>
      </c>
      <c r="S208" s="88">
        <f t="shared" si="81"/>
        <v>0</v>
      </c>
      <c r="T208" s="19">
        <f t="shared" si="82"/>
        <v>0</v>
      </c>
      <c r="U208" s="19">
        <f t="shared" si="78"/>
        <v>0</v>
      </c>
      <c r="V208" s="19">
        <f t="shared" si="95"/>
        <v>0</v>
      </c>
      <c r="W208" s="20">
        <f t="shared" ca="1" si="104"/>
        <v>0</v>
      </c>
      <c r="X208" s="19">
        <f t="shared" ca="1" si="105"/>
        <v>0</v>
      </c>
      <c r="Y208" s="19">
        <f t="shared" ca="1" si="106"/>
        <v>0</v>
      </c>
      <c r="Z208" s="20">
        <f t="shared" ca="1" si="107"/>
        <v>0</v>
      </c>
      <c r="AA208" s="1">
        <f t="shared" si="91"/>
        <v>5432.58</v>
      </c>
      <c r="AB208" s="87"/>
      <c r="AC208" s="88"/>
      <c r="AD208" s="101">
        <f t="shared" si="92"/>
        <v>46464</v>
      </c>
      <c r="AE208" s="103">
        <f t="shared" si="93"/>
        <v>0</v>
      </c>
      <c r="AG208" s="1">
        <f t="shared" si="83"/>
        <v>0</v>
      </c>
      <c r="AH208" s="1">
        <f t="shared" si="98"/>
        <v>0</v>
      </c>
      <c r="AI208" s="1">
        <f t="shared" si="94"/>
        <v>5432.58</v>
      </c>
      <c r="AJ208" s="20">
        <f t="shared" si="96"/>
        <v>0</v>
      </c>
      <c r="AK208" s="100">
        <f t="shared" si="99"/>
        <v>0</v>
      </c>
      <c r="AL208" s="100">
        <f t="shared" si="100"/>
        <v>0</v>
      </c>
      <c r="AN208" s="100">
        <f t="shared" si="101"/>
        <v>4962.0867231830098</v>
      </c>
      <c r="AO208" s="20">
        <f t="shared" si="102"/>
        <v>0</v>
      </c>
      <c r="AQ208" s="109">
        <f t="shared" si="84"/>
        <v>0</v>
      </c>
      <c r="AU208" s="109">
        <f t="shared" si="85"/>
        <v>26.639324211827638</v>
      </c>
      <c r="AV208" s="101">
        <f t="shared" si="79"/>
        <v>46494</v>
      </c>
      <c r="AW208" s="99">
        <f t="shared" si="80"/>
        <v>0</v>
      </c>
      <c r="AX208" s="1">
        <f t="shared" si="86"/>
        <v>0</v>
      </c>
      <c r="AY208" s="29">
        <f t="shared" si="87"/>
        <v>0</v>
      </c>
      <c r="AZ208" s="1">
        <f t="shared" si="88"/>
        <v>0</v>
      </c>
      <c r="CB208" s="20">
        <f t="shared" si="97"/>
        <v>0</v>
      </c>
      <c r="CC208" s="173">
        <f t="shared" si="89"/>
        <v>0</v>
      </c>
    </row>
    <row r="209" spans="2:81" x14ac:dyDescent="0.25">
      <c r="B209" s="41"/>
      <c r="C209" s="42"/>
      <c r="D209" s="43"/>
      <c r="E209" s="44"/>
      <c r="F209" s="44"/>
      <c r="G209" s="45"/>
      <c r="H209" s="81" t="str">
        <f t="shared" si="77"/>
        <v/>
      </c>
      <c r="J209" s="7"/>
      <c r="K209" s="8"/>
      <c r="L209" s="15"/>
      <c r="M209" s="21"/>
      <c r="N209" s="21"/>
      <c r="O209" s="21"/>
      <c r="P209" s="21"/>
      <c r="Q209" s="1">
        <f t="shared" si="90"/>
        <v>0.60744618579017706</v>
      </c>
      <c r="R209" s="12">
        <f t="shared" ca="1" si="103"/>
        <v>5372</v>
      </c>
      <c r="S209" s="88">
        <f t="shared" si="81"/>
        <v>0</v>
      </c>
      <c r="T209" s="19">
        <f t="shared" si="82"/>
        <v>0</v>
      </c>
      <c r="U209" s="19">
        <f t="shared" si="78"/>
        <v>0</v>
      </c>
      <c r="V209" s="19">
        <f t="shared" si="95"/>
        <v>0</v>
      </c>
      <c r="W209" s="20">
        <f t="shared" ca="1" si="104"/>
        <v>0</v>
      </c>
      <c r="X209" s="19">
        <f t="shared" ca="1" si="105"/>
        <v>0</v>
      </c>
      <c r="Y209" s="19">
        <f t="shared" ca="1" si="106"/>
        <v>0</v>
      </c>
      <c r="Z209" s="20">
        <f t="shared" ca="1" si="107"/>
        <v>0</v>
      </c>
      <c r="AA209" s="1">
        <f t="shared" si="91"/>
        <v>5432.58</v>
      </c>
      <c r="AB209" s="89"/>
      <c r="AC209" s="90"/>
      <c r="AD209" s="101">
        <f t="shared" si="92"/>
        <v>46494</v>
      </c>
      <c r="AE209" s="103">
        <f t="shared" si="93"/>
        <v>0</v>
      </c>
      <c r="AG209" s="1">
        <f t="shared" si="83"/>
        <v>0</v>
      </c>
      <c r="AH209" s="1">
        <f t="shared" si="98"/>
        <v>0</v>
      </c>
      <c r="AI209" s="1">
        <f t="shared" si="94"/>
        <v>5432.58</v>
      </c>
      <c r="AJ209" s="20">
        <f t="shared" si="96"/>
        <v>0</v>
      </c>
      <c r="AK209" s="100">
        <f t="shared" si="99"/>
        <v>0</v>
      </c>
      <c r="AL209" s="100">
        <f t="shared" si="100"/>
        <v>0</v>
      </c>
      <c r="AN209" s="100">
        <f t="shared" si="101"/>
        <v>4959.5761601649847</v>
      </c>
      <c r="AO209" s="20">
        <f t="shared" si="102"/>
        <v>0</v>
      </c>
      <c r="AQ209" s="109">
        <f t="shared" si="84"/>
        <v>0</v>
      </c>
      <c r="AU209" s="109">
        <f t="shared" si="85"/>
        <v>26.636986076383153</v>
      </c>
      <c r="AV209" s="101">
        <f t="shared" si="79"/>
        <v>46524</v>
      </c>
      <c r="AW209" s="99">
        <f t="shared" si="80"/>
        <v>0</v>
      </c>
      <c r="AX209" s="1">
        <f t="shared" si="86"/>
        <v>0</v>
      </c>
      <c r="AY209" s="29">
        <f t="shared" si="87"/>
        <v>0</v>
      </c>
      <c r="AZ209" s="1">
        <f t="shared" si="88"/>
        <v>0</v>
      </c>
      <c r="CB209" s="20">
        <f t="shared" si="97"/>
        <v>0</v>
      </c>
      <c r="CC209" s="173">
        <f t="shared" si="89"/>
        <v>0</v>
      </c>
    </row>
    <row r="210" spans="2:81" x14ac:dyDescent="0.25">
      <c r="B210" s="41"/>
      <c r="C210" s="42"/>
      <c r="D210" s="43"/>
      <c r="E210" s="44"/>
      <c r="F210" s="44"/>
      <c r="G210" s="45"/>
      <c r="H210" s="81" t="str">
        <f t="shared" si="77"/>
        <v/>
      </c>
      <c r="J210" s="9"/>
      <c r="K210" s="10"/>
      <c r="L210" s="14"/>
      <c r="M210" s="19"/>
      <c r="N210" s="19"/>
      <c r="O210" s="19"/>
      <c r="P210" s="19"/>
      <c r="Q210" s="1">
        <f t="shared" si="90"/>
        <v>0.60744618579017706</v>
      </c>
      <c r="R210" s="12">
        <f t="shared" ca="1" si="103"/>
        <v>5402</v>
      </c>
      <c r="S210" s="88">
        <f t="shared" si="81"/>
        <v>0</v>
      </c>
      <c r="T210" s="19">
        <f t="shared" si="82"/>
        <v>0</v>
      </c>
      <c r="U210" s="19">
        <f t="shared" si="78"/>
        <v>0</v>
      </c>
      <c r="V210" s="19">
        <f t="shared" si="95"/>
        <v>0</v>
      </c>
      <c r="W210" s="20">
        <f t="shared" ca="1" si="104"/>
        <v>0</v>
      </c>
      <c r="X210" s="19">
        <f t="shared" ca="1" si="105"/>
        <v>0</v>
      </c>
      <c r="Y210" s="19">
        <f t="shared" ca="1" si="106"/>
        <v>0</v>
      </c>
      <c r="Z210" s="20">
        <f t="shared" ca="1" si="107"/>
        <v>0</v>
      </c>
      <c r="AA210" s="1">
        <f t="shared" si="91"/>
        <v>5432.58</v>
      </c>
      <c r="AB210" s="87"/>
      <c r="AC210" s="88"/>
      <c r="AD210" s="101">
        <f t="shared" si="92"/>
        <v>46524</v>
      </c>
      <c r="AE210" s="103">
        <f t="shared" si="93"/>
        <v>0</v>
      </c>
      <c r="AG210" s="1">
        <f t="shared" si="83"/>
        <v>0</v>
      </c>
      <c r="AH210" s="1">
        <f t="shared" si="98"/>
        <v>0</v>
      </c>
      <c r="AI210" s="1">
        <f t="shared" si="94"/>
        <v>5432.58</v>
      </c>
      <c r="AJ210" s="20">
        <f t="shared" si="96"/>
        <v>0</v>
      </c>
      <c r="AK210" s="100">
        <f t="shared" si="99"/>
        <v>0</v>
      </c>
      <c r="AL210" s="100">
        <f t="shared" si="100"/>
        <v>0</v>
      </c>
      <c r="AN210" s="100">
        <f t="shared" si="101"/>
        <v>4957.0668673639138</v>
      </c>
      <c r="AO210" s="20">
        <f t="shared" si="102"/>
        <v>0</v>
      </c>
      <c r="AQ210" s="109">
        <f t="shared" si="84"/>
        <v>0</v>
      </c>
      <c r="AU210" s="109">
        <f t="shared" si="85"/>
        <v>26.634648146156991</v>
      </c>
      <c r="AV210" s="101">
        <f t="shared" si="79"/>
        <v>46554</v>
      </c>
      <c r="AW210" s="99">
        <f t="shared" si="80"/>
        <v>0</v>
      </c>
      <c r="AX210" s="1">
        <f t="shared" si="86"/>
        <v>0</v>
      </c>
      <c r="AY210" s="29">
        <f t="shared" si="87"/>
        <v>0</v>
      </c>
      <c r="AZ210" s="1">
        <f t="shared" si="88"/>
        <v>0</v>
      </c>
      <c r="CB210" s="20">
        <f t="shared" si="97"/>
        <v>0</v>
      </c>
      <c r="CC210" s="173">
        <f t="shared" si="89"/>
        <v>0</v>
      </c>
    </row>
    <row r="211" spans="2:81" x14ac:dyDescent="0.25">
      <c r="B211" s="41"/>
      <c r="C211" s="42"/>
      <c r="D211" s="43"/>
      <c r="E211" s="44"/>
      <c r="F211" s="44"/>
      <c r="G211" s="45"/>
      <c r="H211" s="81" t="str">
        <f t="shared" si="77"/>
        <v/>
      </c>
      <c r="J211" s="7"/>
      <c r="K211" s="8"/>
      <c r="L211" s="15"/>
      <c r="M211" s="21"/>
      <c r="N211" s="21"/>
      <c r="O211" s="21"/>
      <c r="P211" s="21"/>
      <c r="Q211" s="1">
        <f t="shared" si="90"/>
        <v>0.60744618579017706</v>
      </c>
      <c r="R211" s="12">
        <f t="shared" ca="1" si="103"/>
        <v>5432</v>
      </c>
      <c r="S211" s="88">
        <f t="shared" si="81"/>
        <v>0</v>
      </c>
      <c r="T211" s="19">
        <f t="shared" si="82"/>
        <v>0</v>
      </c>
      <c r="U211" s="19">
        <f t="shared" si="78"/>
        <v>0</v>
      </c>
      <c r="V211" s="19">
        <f t="shared" si="95"/>
        <v>0</v>
      </c>
      <c r="W211" s="20">
        <f t="shared" ca="1" si="104"/>
        <v>0</v>
      </c>
      <c r="X211" s="19">
        <f t="shared" ca="1" si="105"/>
        <v>0</v>
      </c>
      <c r="Y211" s="19">
        <f t="shared" ca="1" si="106"/>
        <v>0</v>
      </c>
      <c r="Z211" s="20">
        <f t="shared" ca="1" si="107"/>
        <v>0</v>
      </c>
      <c r="AA211" s="1">
        <f t="shared" si="91"/>
        <v>5432.58</v>
      </c>
      <c r="AB211" s="89"/>
      <c r="AC211" s="90"/>
      <c r="AD211" s="101">
        <f t="shared" si="92"/>
        <v>46554</v>
      </c>
      <c r="AE211" s="103">
        <f t="shared" si="93"/>
        <v>0</v>
      </c>
      <c r="AG211" s="1">
        <f t="shared" si="83"/>
        <v>0</v>
      </c>
      <c r="AH211" s="1">
        <f t="shared" si="98"/>
        <v>0</v>
      </c>
      <c r="AI211" s="1">
        <f t="shared" si="94"/>
        <v>5432.58</v>
      </c>
      <c r="AJ211" s="20">
        <f t="shared" si="96"/>
        <v>0</v>
      </c>
      <c r="AK211" s="100">
        <f t="shared" si="99"/>
        <v>0</v>
      </c>
      <c r="AL211" s="100">
        <f t="shared" si="100"/>
        <v>0</v>
      </c>
      <c r="AN211" s="100">
        <f t="shared" si="101"/>
        <v>4954.5588441371256</v>
      </c>
      <c r="AO211" s="20">
        <f t="shared" si="102"/>
        <v>0</v>
      </c>
      <c r="AQ211" s="109">
        <f t="shared" si="84"/>
        <v>0</v>
      </c>
      <c r="AU211" s="109">
        <f t="shared" si="85"/>
        <v>26.632310421131141</v>
      </c>
      <c r="AV211" s="101">
        <f t="shared" si="79"/>
        <v>46584</v>
      </c>
      <c r="AW211" s="99">
        <f t="shared" si="80"/>
        <v>0</v>
      </c>
      <c r="AX211" s="1">
        <f t="shared" si="86"/>
        <v>0</v>
      </c>
      <c r="AY211" s="29">
        <f t="shared" si="87"/>
        <v>0</v>
      </c>
      <c r="AZ211" s="1">
        <f t="shared" si="88"/>
        <v>0</v>
      </c>
      <c r="CB211" s="20">
        <f t="shared" si="97"/>
        <v>0</v>
      </c>
      <c r="CC211" s="173">
        <f t="shared" si="89"/>
        <v>0</v>
      </c>
    </row>
    <row r="212" spans="2:81" x14ac:dyDescent="0.25">
      <c r="B212" s="41"/>
      <c r="C212" s="42"/>
      <c r="D212" s="43"/>
      <c r="E212" s="44"/>
      <c r="F212" s="44"/>
      <c r="G212" s="45"/>
      <c r="H212" s="81" t="str">
        <f t="shared" si="77"/>
        <v/>
      </c>
      <c r="J212" s="9"/>
      <c r="K212" s="10"/>
      <c r="L212" s="14"/>
      <c r="M212" s="19"/>
      <c r="N212" s="19"/>
      <c r="O212" s="19"/>
      <c r="P212" s="19"/>
      <c r="Q212" s="1">
        <f t="shared" si="90"/>
        <v>0.60744618579017706</v>
      </c>
      <c r="R212" s="12">
        <f t="shared" ca="1" si="103"/>
        <v>5462</v>
      </c>
      <c r="S212" s="88">
        <f t="shared" si="81"/>
        <v>0</v>
      </c>
      <c r="T212" s="19">
        <f t="shared" si="82"/>
        <v>0</v>
      </c>
      <c r="U212" s="19">
        <f t="shared" si="78"/>
        <v>0</v>
      </c>
      <c r="V212" s="19">
        <f t="shared" si="95"/>
        <v>0</v>
      </c>
      <c r="W212" s="20">
        <f t="shared" ca="1" si="104"/>
        <v>0</v>
      </c>
      <c r="X212" s="19">
        <f t="shared" ca="1" si="105"/>
        <v>0</v>
      </c>
      <c r="Y212" s="19">
        <f t="shared" ca="1" si="106"/>
        <v>0</v>
      </c>
      <c r="Z212" s="20">
        <f t="shared" ca="1" si="107"/>
        <v>0</v>
      </c>
      <c r="AA212" s="1">
        <f t="shared" si="91"/>
        <v>5432.58</v>
      </c>
      <c r="AB212" s="87"/>
      <c r="AC212" s="88"/>
      <c r="AD212" s="101">
        <f t="shared" si="92"/>
        <v>46584</v>
      </c>
      <c r="AE212" s="103">
        <f t="shared" si="93"/>
        <v>0</v>
      </c>
      <c r="AG212" s="1">
        <f t="shared" si="83"/>
        <v>0</v>
      </c>
      <c r="AH212" s="1">
        <f t="shared" si="98"/>
        <v>0</v>
      </c>
      <c r="AI212" s="1">
        <f t="shared" si="94"/>
        <v>5432.58</v>
      </c>
      <c r="AJ212" s="20">
        <f t="shared" si="96"/>
        <v>0</v>
      </c>
      <c r="AK212" s="100">
        <f t="shared" si="99"/>
        <v>0</v>
      </c>
      <c r="AL212" s="100">
        <f t="shared" si="100"/>
        <v>0</v>
      </c>
      <c r="AN212" s="100">
        <f t="shared" si="101"/>
        <v>4952.0520898422847</v>
      </c>
      <c r="AO212" s="20">
        <f t="shared" si="102"/>
        <v>0</v>
      </c>
      <c r="AQ212" s="109">
        <f t="shared" si="84"/>
        <v>0</v>
      </c>
      <c r="AU212" s="109">
        <f t="shared" si="85"/>
        <v>26.629972901287587</v>
      </c>
      <c r="AV212" s="101">
        <f t="shared" si="79"/>
        <v>46614</v>
      </c>
      <c r="AW212" s="99">
        <f t="shared" si="80"/>
        <v>0</v>
      </c>
      <c r="AX212" s="1">
        <f t="shared" si="86"/>
        <v>0</v>
      </c>
      <c r="AY212" s="29">
        <f t="shared" si="87"/>
        <v>0</v>
      </c>
      <c r="AZ212" s="1">
        <f t="shared" si="88"/>
        <v>0</v>
      </c>
      <c r="CB212" s="20">
        <f t="shared" si="97"/>
        <v>0</v>
      </c>
      <c r="CC212" s="173">
        <f t="shared" si="89"/>
        <v>0</v>
      </c>
    </row>
    <row r="213" spans="2:81" x14ac:dyDescent="0.25">
      <c r="B213" s="41"/>
      <c r="C213" s="42"/>
      <c r="D213" s="43"/>
      <c r="E213" s="44"/>
      <c r="F213" s="44"/>
      <c r="G213" s="45"/>
      <c r="H213" s="81" t="str">
        <f t="shared" si="77"/>
        <v/>
      </c>
      <c r="J213" s="7"/>
      <c r="K213" s="8"/>
      <c r="L213" s="15"/>
      <c r="M213" s="21"/>
      <c r="N213" s="21"/>
      <c r="O213" s="21"/>
      <c r="P213" s="21"/>
      <c r="Q213" s="1">
        <f t="shared" si="90"/>
        <v>0.60744618579017706</v>
      </c>
      <c r="R213" s="12">
        <f t="shared" ca="1" si="103"/>
        <v>5492</v>
      </c>
      <c r="S213" s="88">
        <f t="shared" si="81"/>
        <v>0</v>
      </c>
      <c r="T213" s="19">
        <f t="shared" si="82"/>
        <v>0</v>
      </c>
      <c r="U213" s="19">
        <f t="shared" si="78"/>
        <v>0</v>
      </c>
      <c r="V213" s="19">
        <f t="shared" si="95"/>
        <v>0</v>
      </c>
      <c r="W213" s="20">
        <f t="shared" ca="1" si="104"/>
        <v>0</v>
      </c>
      <c r="X213" s="19">
        <f t="shared" ca="1" si="105"/>
        <v>0</v>
      </c>
      <c r="Y213" s="19">
        <f t="shared" ca="1" si="106"/>
        <v>0</v>
      </c>
      <c r="Z213" s="20">
        <f t="shared" ca="1" si="107"/>
        <v>0</v>
      </c>
      <c r="AA213" s="1">
        <f t="shared" si="91"/>
        <v>5432.58</v>
      </c>
      <c r="AB213" s="89"/>
      <c r="AC213" s="90"/>
      <c r="AD213" s="101">
        <f t="shared" si="92"/>
        <v>46614</v>
      </c>
      <c r="AE213" s="103">
        <f t="shared" si="93"/>
        <v>0</v>
      </c>
      <c r="AG213" s="1">
        <f t="shared" si="83"/>
        <v>0</v>
      </c>
      <c r="AH213" s="1">
        <f t="shared" si="98"/>
        <v>0</v>
      </c>
      <c r="AI213" s="1">
        <f t="shared" si="94"/>
        <v>5432.58</v>
      </c>
      <c r="AJ213" s="20">
        <f t="shared" si="96"/>
        <v>0</v>
      </c>
      <c r="AK213" s="100">
        <f t="shared" si="99"/>
        <v>0</v>
      </c>
      <c r="AL213" s="100">
        <f t="shared" si="100"/>
        <v>0</v>
      </c>
      <c r="AN213" s="100">
        <f t="shared" si="101"/>
        <v>4949.5466038373743</v>
      </c>
      <c r="AO213" s="20">
        <f t="shared" si="102"/>
        <v>0</v>
      </c>
      <c r="AQ213" s="109">
        <f t="shared" si="84"/>
        <v>0</v>
      </c>
      <c r="AU213" s="109">
        <f t="shared" si="85"/>
        <v>26.627635586608328</v>
      </c>
      <c r="AV213" s="101">
        <f t="shared" si="79"/>
        <v>46644</v>
      </c>
      <c r="AW213" s="99">
        <f t="shared" si="80"/>
        <v>0</v>
      </c>
      <c r="AX213" s="1">
        <f t="shared" si="86"/>
        <v>0</v>
      </c>
      <c r="AY213" s="29">
        <f t="shared" si="87"/>
        <v>0</v>
      </c>
      <c r="AZ213" s="1">
        <f t="shared" si="88"/>
        <v>0</v>
      </c>
      <c r="CB213" s="20">
        <f t="shared" si="97"/>
        <v>0</v>
      </c>
      <c r="CC213" s="173">
        <f t="shared" si="89"/>
        <v>0</v>
      </c>
    </row>
    <row r="214" spans="2:81" x14ac:dyDescent="0.25">
      <c r="B214" s="41"/>
      <c r="C214" s="42"/>
      <c r="D214" s="43"/>
      <c r="E214" s="44"/>
      <c r="F214" s="44"/>
      <c r="G214" s="45"/>
      <c r="H214" s="81" t="str">
        <f t="shared" ref="H214:H277" si="108">IF(ISERROR(VLOOKUP(C212,AB:AC,2,0)),"",VLOOKUP(C212,AB:AC,2,0))</f>
        <v/>
      </c>
      <c r="J214" s="9"/>
      <c r="K214" s="10"/>
      <c r="L214" s="14"/>
      <c r="M214" s="19"/>
      <c r="N214" s="19"/>
      <c r="O214" s="19"/>
      <c r="P214" s="19"/>
      <c r="Q214" s="1">
        <f t="shared" si="90"/>
        <v>0.60744618579017706</v>
      </c>
      <c r="R214" s="12">
        <f t="shared" ca="1" si="103"/>
        <v>5522</v>
      </c>
      <c r="S214" s="88">
        <f t="shared" si="81"/>
        <v>0</v>
      </c>
      <c r="T214" s="19">
        <f t="shared" si="82"/>
        <v>0</v>
      </c>
      <c r="U214" s="19">
        <f t="shared" si="78"/>
        <v>0</v>
      </c>
      <c r="V214" s="19">
        <f t="shared" si="95"/>
        <v>0</v>
      </c>
      <c r="W214" s="20">
        <f t="shared" ca="1" si="104"/>
        <v>0</v>
      </c>
      <c r="X214" s="19">
        <f t="shared" ca="1" si="105"/>
        <v>0</v>
      </c>
      <c r="Y214" s="19">
        <f t="shared" ca="1" si="106"/>
        <v>0</v>
      </c>
      <c r="Z214" s="20">
        <f t="shared" ca="1" si="107"/>
        <v>0</v>
      </c>
      <c r="AA214" s="1">
        <f t="shared" si="91"/>
        <v>5432.58</v>
      </c>
      <c r="AB214" s="87"/>
      <c r="AC214" s="88"/>
      <c r="AD214" s="101">
        <f t="shared" si="92"/>
        <v>46644</v>
      </c>
      <c r="AE214" s="103">
        <f t="shared" si="93"/>
        <v>0</v>
      </c>
      <c r="AG214" s="1">
        <f t="shared" si="83"/>
        <v>0</v>
      </c>
      <c r="AH214" s="1">
        <f t="shared" si="98"/>
        <v>0</v>
      </c>
      <c r="AI214" s="1">
        <f t="shared" si="94"/>
        <v>5432.58</v>
      </c>
      <c r="AJ214" s="20">
        <f t="shared" si="96"/>
        <v>0</v>
      </c>
      <c r="AK214" s="100">
        <f t="shared" si="99"/>
        <v>0</v>
      </c>
      <c r="AL214" s="100">
        <f t="shared" si="100"/>
        <v>0</v>
      </c>
      <c r="AN214" s="100">
        <f t="shared" si="101"/>
        <v>4947.0423854807041</v>
      </c>
      <c r="AO214" s="20">
        <f t="shared" si="102"/>
        <v>0</v>
      </c>
      <c r="AQ214" s="109">
        <f t="shared" si="84"/>
        <v>0</v>
      </c>
      <c r="AU214" s="109">
        <f t="shared" si="85"/>
        <v>26.625298477075336</v>
      </c>
      <c r="AV214" s="101">
        <f t="shared" si="79"/>
        <v>46674</v>
      </c>
      <c r="AW214" s="99">
        <f t="shared" si="80"/>
        <v>0</v>
      </c>
      <c r="AX214" s="1">
        <f t="shared" si="86"/>
        <v>0</v>
      </c>
      <c r="AY214" s="29">
        <f t="shared" si="87"/>
        <v>0</v>
      </c>
      <c r="AZ214" s="1">
        <f t="shared" si="88"/>
        <v>0</v>
      </c>
      <c r="CB214" s="20">
        <f t="shared" si="97"/>
        <v>0</v>
      </c>
      <c r="CC214" s="173">
        <f t="shared" si="89"/>
        <v>0</v>
      </c>
    </row>
    <row r="215" spans="2:81" x14ac:dyDescent="0.25">
      <c r="B215" s="41"/>
      <c r="C215" s="42"/>
      <c r="D215" s="43"/>
      <c r="E215" s="44"/>
      <c r="F215" s="44"/>
      <c r="G215" s="45"/>
      <c r="H215" s="81" t="str">
        <f t="shared" si="108"/>
        <v/>
      </c>
      <c r="J215" s="7"/>
      <c r="K215" s="8"/>
      <c r="L215" s="15"/>
      <c r="M215" s="21"/>
      <c r="N215" s="21"/>
      <c r="O215" s="21"/>
      <c r="P215" s="21"/>
      <c r="Q215" s="1">
        <f t="shared" si="90"/>
        <v>0.60744618579017706</v>
      </c>
      <c r="R215" s="12">
        <f t="shared" ca="1" si="103"/>
        <v>5552</v>
      </c>
      <c r="S215" s="88">
        <f t="shared" si="81"/>
        <v>0</v>
      </c>
      <c r="T215" s="19">
        <f t="shared" si="82"/>
        <v>0</v>
      </c>
      <c r="U215" s="19">
        <f t="shared" si="78"/>
        <v>0</v>
      </c>
      <c r="V215" s="19">
        <f t="shared" si="95"/>
        <v>0</v>
      </c>
      <c r="W215" s="20">
        <f t="shared" ca="1" si="104"/>
        <v>0</v>
      </c>
      <c r="X215" s="19">
        <f t="shared" ca="1" si="105"/>
        <v>0</v>
      </c>
      <c r="Y215" s="19">
        <f t="shared" ca="1" si="106"/>
        <v>0</v>
      </c>
      <c r="Z215" s="20">
        <f t="shared" ca="1" si="107"/>
        <v>0</v>
      </c>
      <c r="AA215" s="1">
        <f t="shared" si="91"/>
        <v>5432.58</v>
      </c>
      <c r="AB215" s="89"/>
      <c r="AC215" s="90"/>
      <c r="AD215" s="101">
        <f t="shared" si="92"/>
        <v>46674</v>
      </c>
      <c r="AE215" s="103">
        <f t="shared" si="93"/>
        <v>0</v>
      </c>
      <c r="AG215" s="1">
        <f t="shared" si="83"/>
        <v>0</v>
      </c>
      <c r="AH215" s="1">
        <f t="shared" si="98"/>
        <v>0</v>
      </c>
      <c r="AI215" s="1">
        <f t="shared" si="94"/>
        <v>5432.58</v>
      </c>
      <c r="AJ215" s="20">
        <f t="shared" si="96"/>
        <v>0</v>
      </c>
      <c r="AK215" s="100">
        <f t="shared" si="99"/>
        <v>0</v>
      </c>
      <c r="AL215" s="100">
        <f t="shared" si="100"/>
        <v>0</v>
      </c>
      <c r="AN215" s="100">
        <f t="shared" si="101"/>
        <v>4944.5394341309102</v>
      </c>
      <c r="AO215" s="20">
        <f t="shared" si="102"/>
        <v>0</v>
      </c>
      <c r="AQ215" s="109">
        <f t="shared" si="84"/>
        <v>0</v>
      </c>
      <c r="AU215" s="109">
        <f t="shared" si="85"/>
        <v>26.622961572670629</v>
      </c>
      <c r="AV215" s="101">
        <f t="shared" si="79"/>
        <v>46704</v>
      </c>
      <c r="AW215" s="99">
        <f t="shared" si="80"/>
        <v>0</v>
      </c>
      <c r="AX215" s="1">
        <f t="shared" si="86"/>
        <v>0</v>
      </c>
      <c r="AY215" s="29">
        <f t="shared" si="87"/>
        <v>0</v>
      </c>
      <c r="AZ215" s="1">
        <f t="shared" si="88"/>
        <v>0</v>
      </c>
      <c r="CB215" s="20">
        <f t="shared" si="97"/>
        <v>0</v>
      </c>
      <c r="CC215" s="173">
        <f t="shared" si="89"/>
        <v>0</v>
      </c>
    </row>
    <row r="216" spans="2:81" x14ac:dyDescent="0.25">
      <c r="B216" s="41"/>
      <c r="C216" s="42"/>
      <c r="D216" s="43"/>
      <c r="E216" s="44"/>
      <c r="F216" s="44"/>
      <c r="G216" s="45"/>
      <c r="H216" s="81" t="str">
        <f t="shared" si="108"/>
        <v/>
      </c>
      <c r="J216" s="9"/>
      <c r="K216" s="10"/>
      <c r="L216" s="14"/>
      <c r="M216" s="19"/>
      <c r="N216" s="19"/>
      <c r="O216" s="19"/>
      <c r="P216" s="19"/>
      <c r="Q216" s="1">
        <f t="shared" si="90"/>
        <v>0.60744618579017706</v>
      </c>
      <c r="R216" s="12">
        <f t="shared" ca="1" si="103"/>
        <v>5582</v>
      </c>
      <c r="S216" s="88">
        <f t="shared" si="81"/>
        <v>0</v>
      </c>
      <c r="T216" s="19">
        <f t="shared" si="82"/>
        <v>0</v>
      </c>
      <c r="U216" s="19">
        <f t="shared" si="78"/>
        <v>0</v>
      </c>
      <c r="V216" s="19">
        <f t="shared" si="95"/>
        <v>0</v>
      </c>
      <c r="W216" s="20">
        <f t="shared" ca="1" si="104"/>
        <v>0</v>
      </c>
      <c r="X216" s="19">
        <f t="shared" ca="1" si="105"/>
        <v>0</v>
      </c>
      <c r="Y216" s="19">
        <f t="shared" ca="1" si="106"/>
        <v>0</v>
      </c>
      <c r="Z216" s="20">
        <f t="shared" ca="1" si="107"/>
        <v>0</v>
      </c>
      <c r="AA216" s="1">
        <f t="shared" si="91"/>
        <v>5432.58</v>
      </c>
      <c r="AB216" s="87"/>
      <c r="AC216" s="88"/>
      <c r="AD216" s="101">
        <f t="shared" si="92"/>
        <v>46704</v>
      </c>
      <c r="AE216" s="103">
        <f t="shared" si="93"/>
        <v>0</v>
      </c>
      <c r="AG216" s="1">
        <f t="shared" si="83"/>
        <v>0</v>
      </c>
      <c r="AH216" s="1">
        <f t="shared" si="98"/>
        <v>0</v>
      </c>
      <c r="AI216" s="1">
        <f t="shared" si="94"/>
        <v>5432.58</v>
      </c>
      <c r="AJ216" s="20">
        <f t="shared" si="96"/>
        <v>0</v>
      </c>
      <c r="AK216" s="100">
        <f t="shared" si="99"/>
        <v>0</v>
      </c>
      <c r="AL216" s="100">
        <f t="shared" si="100"/>
        <v>0</v>
      </c>
      <c r="AN216" s="100">
        <f t="shared" si="101"/>
        <v>4942.0377491469526</v>
      </c>
      <c r="AO216" s="20">
        <f t="shared" si="102"/>
        <v>0</v>
      </c>
      <c r="AQ216" s="109">
        <f t="shared" si="84"/>
        <v>0</v>
      </c>
      <c r="AU216" s="109">
        <f t="shared" si="85"/>
        <v>26.620624873376197</v>
      </c>
      <c r="AV216" s="101">
        <f t="shared" si="79"/>
        <v>46734</v>
      </c>
      <c r="AW216" s="99">
        <f t="shared" si="80"/>
        <v>0</v>
      </c>
      <c r="AX216" s="1">
        <f t="shared" si="86"/>
        <v>0</v>
      </c>
      <c r="AY216" s="29">
        <f t="shared" si="87"/>
        <v>0</v>
      </c>
      <c r="AZ216" s="1">
        <f t="shared" si="88"/>
        <v>0</v>
      </c>
      <c r="CB216" s="20">
        <f t="shared" si="97"/>
        <v>0</v>
      </c>
      <c r="CC216" s="173">
        <f t="shared" si="89"/>
        <v>0</v>
      </c>
    </row>
    <row r="217" spans="2:81" x14ac:dyDescent="0.25">
      <c r="B217" s="41"/>
      <c r="C217" s="42"/>
      <c r="D217" s="43"/>
      <c r="E217" s="44"/>
      <c r="F217" s="44"/>
      <c r="G217" s="45"/>
      <c r="H217" s="81" t="str">
        <f t="shared" si="108"/>
        <v/>
      </c>
      <c r="J217" s="7"/>
      <c r="K217" s="8"/>
      <c r="L217" s="15"/>
      <c r="M217" s="21"/>
      <c r="N217" s="21"/>
      <c r="O217" s="21"/>
      <c r="P217" s="21"/>
      <c r="Q217" s="1">
        <f t="shared" si="90"/>
        <v>0.60744618579017706</v>
      </c>
      <c r="R217" s="12">
        <f t="shared" ca="1" si="103"/>
        <v>5612</v>
      </c>
      <c r="S217" s="88">
        <f t="shared" si="81"/>
        <v>0</v>
      </c>
      <c r="T217" s="19">
        <f t="shared" si="82"/>
        <v>0</v>
      </c>
      <c r="U217" s="19">
        <f t="shared" si="78"/>
        <v>0</v>
      </c>
      <c r="V217" s="19">
        <f t="shared" si="95"/>
        <v>0</v>
      </c>
      <c r="W217" s="20">
        <f t="shared" ca="1" si="104"/>
        <v>0</v>
      </c>
      <c r="X217" s="19">
        <f t="shared" ca="1" si="105"/>
        <v>0</v>
      </c>
      <c r="Y217" s="19">
        <f t="shared" ca="1" si="106"/>
        <v>0</v>
      </c>
      <c r="Z217" s="20">
        <f t="shared" ca="1" si="107"/>
        <v>0</v>
      </c>
      <c r="AA217" s="1">
        <f t="shared" si="91"/>
        <v>5432.58</v>
      </c>
      <c r="AB217" s="89"/>
      <c r="AC217" s="90"/>
      <c r="AD217" s="101">
        <f t="shared" si="92"/>
        <v>46734</v>
      </c>
      <c r="AE217" s="103">
        <f t="shared" si="93"/>
        <v>0</v>
      </c>
      <c r="AG217" s="1">
        <f t="shared" si="83"/>
        <v>0</v>
      </c>
      <c r="AH217" s="1">
        <f t="shared" si="98"/>
        <v>0</v>
      </c>
      <c r="AI217" s="1">
        <f t="shared" si="94"/>
        <v>5432.58</v>
      </c>
      <c r="AJ217" s="20">
        <f t="shared" si="96"/>
        <v>0</v>
      </c>
      <c r="AK217" s="100">
        <f t="shared" si="99"/>
        <v>0</v>
      </c>
      <c r="AL217" s="100">
        <f t="shared" si="100"/>
        <v>0</v>
      </c>
      <c r="AN217" s="100">
        <f t="shared" si="101"/>
        <v>4939.5373298881095</v>
      </c>
      <c r="AO217" s="20">
        <f t="shared" si="102"/>
        <v>0</v>
      </c>
      <c r="AQ217" s="109">
        <f t="shared" si="84"/>
        <v>0</v>
      </c>
      <c r="AU217" s="109">
        <f t="shared" si="85"/>
        <v>26.618288379174029</v>
      </c>
      <c r="AV217" s="101">
        <f t="shared" si="79"/>
        <v>46764</v>
      </c>
      <c r="AW217" s="99">
        <f t="shared" si="80"/>
        <v>0</v>
      </c>
      <c r="AX217" s="1">
        <f t="shared" si="86"/>
        <v>0</v>
      </c>
      <c r="AY217" s="29">
        <f t="shared" si="87"/>
        <v>0</v>
      </c>
      <c r="AZ217" s="1">
        <f t="shared" si="88"/>
        <v>0</v>
      </c>
      <c r="CB217" s="20">
        <f t="shared" si="97"/>
        <v>0</v>
      </c>
      <c r="CC217" s="173">
        <f t="shared" si="89"/>
        <v>0</v>
      </c>
    </row>
    <row r="218" spans="2:81" x14ac:dyDescent="0.25">
      <c r="B218" s="41"/>
      <c r="C218" s="42"/>
      <c r="D218" s="43"/>
      <c r="E218" s="44"/>
      <c r="F218" s="44"/>
      <c r="G218" s="45"/>
      <c r="H218" s="81" t="str">
        <f t="shared" si="108"/>
        <v/>
      </c>
      <c r="J218" s="9"/>
      <c r="K218" s="10"/>
      <c r="L218" s="14"/>
      <c r="M218" s="19"/>
      <c r="N218" s="19"/>
      <c r="O218" s="19"/>
      <c r="P218" s="19"/>
      <c r="Q218" s="1">
        <f t="shared" si="90"/>
        <v>0.60744618579017706</v>
      </c>
      <c r="R218" s="12">
        <f t="shared" ca="1" si="103"/>
        <v>5642</v>
      </c>
      <c r="S218" s="88">
        <f t="shared" si="81"/>
        <v>0</v>
      </c>
      <c r="T218" s="19">
        <f t="shared" si="82"/>
        <v>0</v>
      </c>
      <c r="U218" s="19">
        <f t="shared" si="78"/>
        <v>0</v>
      </c>
      <c r="V218" s="19">
        <f t="shared" si="95"/>
        <v>0</v>
      </c>
      <c r="W218" s="20">
        <f t="shared" ca="1" si="104"/>
        <v>0</v>
      </c>
      <c r="X218" s="19">
        <f t="shared" ca="1" si="105"/>
        <v>0</v>
      </c>
      <c r="Y218" s="19">
        <f t="shared" ca="1" si="106"/>
        <v>0</v>
      </c>
      <c r="Z218" s="20">
        <f t="shared" ca="1" si="107"/>
        <v>0</v>
      </c>
      <c r="AA218" s="1">
        <f t="shared" si="91"/>
        <v>5432.58</v>
      </c>
      <c r="AB218" s="87"/>
      <c r="AC218" s="88"/>
      <c r="AD218" s="101">
        <f t="shared" si="92"/>
        <v>46764</v>
      </c>
      <c r="AE218" s="103">
        <f t="shared" si="93"/>
        <v>0</v>
      </c>
      <c r="AG218" s="1">
        <f t="shared" si="83"/>
        <v>0</v>
      </c>
      <c r="AH218" s="1">
        <f t="shared" si="98"/>
        <v>0</v>
      </c>
      <c r="AI218" s="1">
        <f t="shared" si="94"/>
        <v>5432.58</v>
      </c>
      <c r="AJ218" s="20">
        <f t="shared" si="96"/>
        <v>0</v>
      </c>
      <c r="AK218" s="100">
        <f t="shared" si="99"/>
        <v>0</v>
      </c>
      <c r="AL218" s="100">
        <f t="shared" si="100"/>
        <v>0</v>
      </c>
      <c r="AN218" s="100">
        <f t="shared" si="101"/>
        <v>4937.038175713994</v>
      </c>
      <c r="AO218" s="20">
        <f t="shared" si="102"/>
        <v>0</v>
      </c>
      <c r="AQ218" s="109">
        <f t="shared" si="84"/>
        <v>0</v>
      </c>
      <c r="AU218" s="109">
        <f t="shared" si="85"/>
        <v>26.615952090046122</v>
      </c>
      <c r="AV218" s="101">
        <f t="shared" si="79"/>
        <v>46794</v>
      </c>
      <c r="AW218" s="99">
        <f t="shared" si="80"/>
        <v>0</v>
      </c>
      <c r="AX218" s="1">
        <f t="shared" si="86"/>
        <v>0</v>
      </c>
      <c r="AY218" s="29">
        <f t="shared" si="87"/>
        <v>0</v>
      </c>
      <c r="AZ218" s="1">
        <f t="shared" si="88"/>
        <v>0</v>
      </c>
      <c r="CB218" s="20">
        <f t="shared" si="97"/>
        <v>0</v>
      </c>
      <c r="CC218" s="173">
        <f t="shared" si="89"/>
        <v>0</v>
      </c>
    </row>
    <row r="219" spans="2:81" x14ac:dyDescent="0.25">
      <c r="B219" s="41"/>
      <c r="C219" s="42"/>
      <c r="D219" s="43"/>
      <c r="E219" s="44"/>
      <c r="F219" s="44"/>
      <c r="G219" s="45"/>
      <c r="H219" s="81" t="str">
        <f t="shared" si="108"/>
        <v/>
      </c>
      <c r="J219" s="7"/>
      <c r="K219" s="8"/>
      <c r="L219" s="15"/>
      <c r="M219" s="21"/>
      <c r="N219" s="21"/>
      <c r="O219" s="21"/>
      <c r="P219" s="21"/>
      <c r="Q219" s="1">
        <f t="shared" si="90"/>
        <v>0.60744618579017706</v>
      </c>
      <c r="R219" s="12">
        <f t="shared" ca="1" si="103"/>
        <v>5672</v>
      </c>
      <c r="S219" s="88">
        <f t="shared" si="81"/>
        <v>0</v>
      </c>
      <c r="T219" s="19">
        <f t="shared" si="82"/>
        <v>0</v>
      </c>
      <c r="U219" s="19">
        <f t="shared" si="78"/>
        <v>0</v>
      </c>
      <c r="V219" s="19">
        <f t="shared" si="95"/>
        <v>0</v>
      </c>
      <c r="W219" s="20">
        <f t="shared" ca="1" si="104"/>
        <v>0</v>
      </c>
      <c r="X219" s="19">
        <f t="shared" ca="1" si="105"/>
        <v>0</v>
      </c>
      <c r="Y219" s="19">
        <f t="shared" ca="1" si="106"/>
        <v>0</v>
      </c>
      <c r="Z219" s="20">
        <f t="shared" ca="1" si="107"/>
        <v>0</v>
      </c>
      <c r="AA219" s="1">
        <f t="shared" si="91"/>
        <v>5432.58</v>
      </c>
      <c r="AB219" s="89"/>
      <c r="AC219" s="90"/>
      <c r="AD219" s="101">
        <f t="shared" si="92"/>
        <v>46794</v>
      </c>
      <c r="AE219" s="103">
        <f t="shared" si="93"/>
        <v>0</v>
      </c>
      <c r="AG219" s="1">
        <f t="shared" si="83"/>
        <v>0</v>
      </c>
      <c r="AH219" s="1">
        <f t="shared" si="98"/>
        <v>0</v>
      </c>
      <c r="AI219" s="1">
        <f t="shared" si="94"/>
        <v>5432.58</v>
      </c>
      <c r="AJ219" s="20">
        <f t="shared" si="96"/>
        <v>0</v>
      </c>
      <c r="AK219" s="100">
        <f t="shared" si="99"/>
        <v>0</v>
      </c>
      <c r="AL219" s="100">
        <f t="shared" si="100"/>
        <v>0</v>
      </c>
      <c r="AN219" s="100">
        <f t="shared" si="101"/>
        <v>4934.5402859845353</v>
      </c>
      <c r="AO219" s="20">
        <f t="shared" si="102"/>
        <v>0</v>
      </c>
      <c r="AQ219" s="109">
        <f t="shared" si="84"/>
        <v>0</v>
      </c>
      <c r="AU219" s="109">
        <f t="shared" si="85"/>
        <v>26.613616005974485</v>
      </c>
      <c r="AV219" s="101">
        <f t="shared" si="79"/>
        <v>46824</v>
      </c>
      <c r="AW219" s="99">
        <f t="shared" si="80"/>
        <v>0</v>
      </c>
      <c r="AX219" s="1">
        <f t="shared" si="86"/>
        <v>0</v>
      </c>
      <c r="AY219" s="29">
        <f t="shared" si="87"/>
        <v>0</v>
      </c>
      <c r="AZ219" s="1">
        <f t="shared" si="88"/>
        <v>0</v>
      </c>
      <c r="CB219" s="20">
        <f t="shared" si="97"/>
        <v>0</v>
      </c>
      <c r="CC219" s="173">
        <f t="shared" si="89"/>
        <v>0</v>
      </c>
    </row>
    <row r="220" spans="2:81" x14ac:dyDescent="0.25">
      <c r="B220" s="41"/>
      <c r="C220" s="42"/>
      <c r="D220" s="43"/>
      <c r="E220" s="44"/>
      <c r="F220" s="44"/>
      <c r="G220" s="45"/>
      <c r="H220" s="81" t="str">
        <f t="shared" si="108"/>
        <v/>
      </c>
      <c r="J220" s="9"/>
      <c r="K220" s="10"/>
      <c r="L220" s="14"/>
      <c r="M220" s="19"/>
      <c r="N220" s="19"/>
      <c r="O220" s="19"/>
      <c r="P220" s="19"/>
      <c r="Q220" s="1">
        <f t="shared" si="90"/>
        <v>0.60744618579017706</v>
      </c>
      <c r="R220" s="12">
        <f t="shared" ca="1" si="103"/>
        <v>5702</v>
      </c>
      <c r="S220" s="88">
        <f t="shared" si="81"/>
        <v>0</v>
      </c>
      <c r="T220" s="19">
        <f t="shared" si="82"/>
        <v>0</v>
      </c>
      <c r="U220" s="19">
        <f t="shared" si="78"/>
        <v>0</v>
      </c>
      <c r="V220" s="19">
        <f t="shared" si="95"/>
        <v>0</v>
      </c>
      <c r="W220" s="20">
        <f t="shared" ca="1" si="104"/>
        <v>0</v>
      </c>
      <c r="X220" s="19">
        <f t="shared" ca="1" si="105"/>
        <v>0</v>
      </c>
      <c r="Y220" s="19">
        <f t="shared" ca="1" si="106"/>
        <v>0</v>
      </c>
      <c r="Z220" s="20">
        <f t="shared" ca="1" si="107"/>
        <v>0</v>
      </c>
      <c r="AA220" s="1">
        <f t="shared" si="91"/>
        <v>5432.58</v>
      </c>
      <c r="AB220" s="87"/>
      <c r="AC220" s="88"/>
      <c r="AD220" s="101">
        <f t="shared" si="92"/>
        <v>46824</v>
      </c>
      <c r="AE220" s="103">
        <f t="shared" si="93"/>
        <v>0</v>
      </c>
      <c r="AG220" s="1">
        <f t="shared" si="83"/>
        <v>0</v>
      </c>
      <c r="AH220" s="1">
        <f t="shared" si="98"/>
        <v>0</v>
      </c>
      <c r="AI220" s="1">
        <f t="shared" si="94"/>
        <v>5432.58</v>
      </c>
      <c r="AJ220" s="20">
        <f t="shared" si="96"/>
        <v>0</v>
      </c>
      <c r="AK220" s="100">
        <f t="shared" si="99"/>
        <v>0</v>
      </c>
      <c r="AL220" s="100">
        <f t="shared" si="100"/>
        <v>0</v>
      </c>
      <c r="AN220" s="100">
        <f t="shared" si="101"/>
        <v>4932.0436600599896</v>
      </c>
      <c r="AO220" s="20">
        <f t="shared" si="102"/>
        <v>0</v>
      </c>
      <c r="AQ220" s="109">
        <f t="shared" si="84"/>
        <v>0</v>
      </c>
      <c r="AU220" s="109">
        <f t="shared" si="85"/>
        <v>26.611280126941129</v>
      </c>
      <c r="AV220" s="101">
        <f t="shared" si="79"/>
        <v>46854</v>
      </c>
      <c r="AW220" s="99">
        <f t="shared" si="80"/>
        <v>0</v>
      </c>
      <c r="AX220" s="1">
        <f t="shared" si="86"/>
        <v>0</v>
      </c>
      <c r="AY220" s="29">
        <f t="shared" si="87"/>
        <v>0</v>
      </c>
      <c r="AZ220" s="1">
        <f t="shared" si="88"/>
        <v>0</v>
      </c>
      <c r="CB220" s="20">
        <f t="shared" si="97"/>
        <v>0</v>
      </c>
      <c r="CC220" s="173">
        <f t="shared" si="89"/>
        <v>0</v>
      </c>
    </row>
    <row r="221" spans="2:81" x14ac:dyDescent="0.25">
      <c r="B221" s="41"/>
      <c r="C221" s="42"/>
      <c r="D221" s="43"/>
      <c r="E221" s="44"/>
      <c r="F221" s="44"/>
      <c r="G221" s="45"/>
      <c r="H221" s="81" t="str">
        <f t="shared" si="108"/>
        <v/>
      </c>
      <c r="J221" s="7"/>
      <c r="K221" s="8"/>
      <c r="L221" s="15"/>
      <c r="M221" s="21"/>
      <c r="N221" s="21"/>
      <c r="O221" s="21"/>
      <c r="P221" s="21"/>
      <c r="Q221" s="1">
        <f t="shared" si="90"/>
        <v>0.60744618579017706</v>
      </c>
      <c r="R221" s="12">
        <f t="shared" ca="1" si="103"/>
        <v>5732</v>
      </c>
      <c r="S221" s="88">
        <f t="shared" si="81"/>
        <v>0</v>
      </c>
      <c r="T221" s="19">
        <f t="shared" si="82"/>
        <v>0</v>
      </c>
      <c r="U221" s="19">
        <f t="shared" si="78"/>
        <v>0</v>
      </c>
      <c r="V221" s="19">
        <f t="shared" si="95"/>
        <v>0</v>
      </c>
      <c r="W221" s="20">
        <f t="shared" ca="1" si="104"/>
        <v>0</v>
      </c>
      <c r="X221" s="19">
        <f t="shared" ca="1" si="105"/>
        <v>0</v>
      </c>
      <c r="Y221" s="19">
        <f t="shared" ca="1" si="106"/>
        <v>0</v>
      </c>
      <c r="Z221" s="20">
        <f t="shared" ca="1" si="107"/>
        <v>0</v>
      </c>
      <c r="AA221" s="1">
        <f t="shared" si="91"/>
        <v>5432.58</v>
      </c>
      <c r="AB221" s="89"/>
      <c r="AC221" s="90"/>
      <c r="AD221" s="101">
        <f t="shared" si="92"/>
        <v>46854</v>
      </c>
      <c r="AE221" s="103">
        <f t="shared" si="93"/>
        <v>0</v>
      </c>
      <c r="AG221" s="1">
        <f t="shared" si="83"/>
        <v>0</v>
      </c>
      <c r="AH221" s="1">
        <f t="shared" si="98"/>
        <v>0</v>
      </c>
      <c r="AI221" s="1">
        <f t="shared" si="94"/>
        <v>5432.58</v>
      </c>
      <c r="AJ221" s="20">
        <f t="shared" si="96"/>
        <v>0</v>
      </c>
      <c r="AK221" s="100">
        <f t="shared" si="99"/>
        <v>0</v>
      </c>
      <c r="AL221" s="100">
        <f t="shared" si="100"/>
        <v>0</v>
      </c>
      <c r="AN221" s="100">
        <f t="shared" si="101"/>
        <v>4929.5482973009375</v>
      </c>
      <c r="AO221" s="20">
        <f t="shared" si="102"/>
        <v>0</v>
      </c>
      <c r="AQ221" s="109">
        <f t="shared" si="84"/>
        <v>0</v>
      </c>
      <c r="AU221" s="109">
        <f t="shared" si="85"/>
        <v>26.608944452928046</v>
      </c>
      <c r="AV221" s="101">
        <f t="shared" si="79"/>
        <v>46884</v>
      </c>
      <c r="AW221" s="99">
        <f t="shared" si="80"/>
        <v>0</v>
      </c>
      <c r="AX221" s="1">
        <f t="shared" si="86"/>
        <v>0</v>
      </c>
      <c r="AY221" s="29">
        <f t="shared" si="87"/>
        <v>0</v>
      </c>
      <c r="AZ221" s="1">
        <f t="shared" si="88"/>
        <v>0</v>
      </c>
      <c r="CB221" s="20">
        <f t="shared" si="97"/>
        <v>0</v>
      </c>
      <c r="CC221" s="173">
        <f t="shared" si="89"/>
        <v>0</v>
      </c>
    </row>
    <row r="222" spans="2:81" x14ac:dyDescent="0.25">
      <c r="B222" s="41"/>
      <c r="C222" s="42"/>
      <c r="D222" s="43"/>
      <c r="E222" s="44"/>
      <c r="F222" s="44"/>
      <c r="G222" s="45"/>
      <c r="H222" s="81" t="str">
        <f t="shared" si="108"/>
        <v/>
      </c>
      <c r="J222" s="9"/>
      <c r="K222" s="10"/>
      <c r="L222" s="14"/>
      <c r="M222" s="19"/>
      <c r="N222" s="19"/>
      <c r="O222" s="19"/>
      <c r="P222" s="19"/>
      <c r="Q222" s="1">
        <f t="shared" si="90"/>
        <v>0.60744618579017706</v>
      </c>
      <c r="R222" s="12">
        <f t="shared" ca="1" si="103"/>
        <v>5762</v>
      </c>
      <c r="S222" s="88">
        <f t="shared" si="81"/>
        <v>0</v>
      </c>
      <c r="T222" s="19">
        <f t="shared" si="82"/>
        <v>0</v>
      </c>
      <c r="U222" s="19">
        <f t="shared" ref="U222:U285" si="109">AA222*(IF(ROW()-30&lt;$H$22,$H$21,0))</f>
        <v>0</v>
      </c>
      <c r="V222" s="19">
        <f t="shared" si="95"/>
        <v>0</v>
      </c>
      <c r="W222" s="20">
        <f t="shared" ca="1" si="104"/>
        <v>0</v>
      </c>
      <c r="X222" s="19">
        <f t="shared" ca="1" si="105"/>
        <v>0</v>
      </c>
      <c r="Y222" s="19">
        <f t="shared" ca="1" si="106"/>
        <v>0</v>
      </c>
      <c r="Z222" s="20">
        <f t="shared" ca="1" si="107"/>
        <v>0</v>
      </c>
      <c r="AA222" s="1">
        <f t="shared" si="91"/>
        <v>5432.58</v>
      </c>
      <c r="AB222" s="87"/>
      <c r="AC222" s="88"/>
      <c r="AD222" s="101">
        <f t="shared" si="92"/>
        <v>46884</v>
      </c>
      <c r="AE222" s="103">
        <f t="shared" si="93"/>
        <v>0</v>
      </c>
      <c r="AG222" s="1">
        <f t="shared" si="83"/>
        <v>0</v>
      </c>
      <c r="AH222" s="1">
        <f t="shared" si="98"/>
        <v>0</v>
      </c>
      <c r="AI222" s="1">
        <f t="shared" si="94"/>
        <v>5432.58</v>
      </c>
      <c r="AJ222" s="20">
        <f t="shared" si="96"/>
        <v>0</v>
      </c>
      <c r="AK222" s="100">
        <f t="shared" si="99"/>
        <v>0</v>
      </c>
      <c r="AL222" s="100">
        <f t="shared" si="100"/>
        <v>0</v>
      </c>
      <c r="AN222" s="100">
        <f t="shared" si="101"/>
        <v>4927.054197068278</v>
      </c>
      <c r="AO222" s="20">
        <f t="shared" si="102"/>
        <v>0</v>
      </c>
      <c r="AQ222" s="109">
        <f t="shared" si="84"/>
        <v>0</v>
      </c>
      <c r="AU222" s="109">
        <f t="shared" si="85"/>
        <v>26.60660898391723</v>
      </c>
      <c r="AV222" s="101">
        <f t="shared" ref="AV222:AV285" si="110">AD223</f>
        <v>46914</v>
      </c>
      <c r="AW222" s="99">
        <f t="shared" ref="AW222:AW271" si="111">IF(AJ223&lt;0,0,AJ223)</f>
        <v>0</v>
      </c>
      <c r="AX222" s="1">
        <f t="shared" si="86"/>
        <v>0</v>
      </c>
      <c r="AY222" s="29">
        <f t="shared" si="87"/>
        <v>0</v>
      </c>
      <c r="AZ222" s="1">
        <f t="shared" si="88"/>
        <v>0</v>
      </c>
      <c r="CB222" s="20">
        <f t="shared" si="97"/>
        <v>0</v>
      </c>
      <c r="CC222" s="173">
        <f t="shared" si="89"/>
        <v>0</v>
      </c>
    </row>
    <row r="223" spans="2:81" x14ac:dyDescent="0.25">
      <c r="B223" s="41"/>
      <c r="C223" s="42"/>
      <c r="D223" s="43"/>
      <c r="E223" s="44"/>
      <c r="F223" s="44"/>
      <c r="G223" s="45"/>
      <c r="H223" s="81" t="str">
        <f t="shared" si="108"/>
        <v/>
      </c>
      <c r="J223" s="7"/>
      <c r="K223" s="8"/>
      <c r="L223" s="15"/>
      <c r="M223" s="21"/>
      <c r="N223" s="21"/>
      <c r="O223" s="21"/>
      <c r="P223" s="21"/>
      <c r="Q223" s="1">
        <f t="shared" si="90"/>
        <v>0.60744618579017706</v>
      </c>
      <c r="R223" s="12">
        <f t="shared" ca="1" si="103"/>
        <v>5792</v>
      </c>
      <c r="S223" s="88">
        <f t="shared" ref="S223:S286" si="112">N223+M223</f>
        <v>0</v>
      </c>
      <c r="T223" s="19">
        <f t="shared" ref="T223:T286" si="113">IF(ISERROR((previousBalance*Q223/1200)*(IF(ROW()-30&lt;$G$22,$G$21,0))),0,(previousBalance*Q223/1200)*(IF(ROW()-30&lt;$G$22,$G$21,0)))</f>
        <v>0</v>
      </c>
      <c r="U223" s="19">
        <f t="shared" si="109"/>
        <v>0</v>
      </c>
      <c r="V223" s="19">
        <f t="shared" si="95"/>
        <v>0</v>
      </c>
      <c r="W223" s="20">
        <f t="shared" ca="1" si="104"/>
        <v>0</v>
      </c>
      <c r="X223" s="19">
        <f t="shared" ca="1" si="105"/>
        <v>0</v>
      </c>
      <c r="Y223" s="19">
        <f t="shared" ca="1" si="106"/>
        <v>0</v>
      </c>
      <c r="Z223" s="20">
        <f t="shared" ca="1" si="107"/>
        <v>0</v>
      </c>
      <c r="AA223" s="1">
        <f t="shared" si="91"/>
        <v>5432.58</v>
      </c>
      <c r="AB223" s="89"/>
      <c r="AC223" s="90"/>
      <c r="AD223" s="101">
        <f t="shared" si="92"/>
        <v>46914</v>
      </c>
      <c r="AE223" s="103">
        <f t="shared" si="93"/>
        <v>0</v>
      </c>
      <c r="AG223" s="1">
        <f t="shared" ref="AG223:AG286" si="114">AE223/360</f>
        <v>0</v>
      </c>
      <c r="AH223" s="1">
        <f t="shared" si="98"/>
        <v>0</v>
      </c>
      <c r="AI223" s="1">
        <f t="shared" si="94"/>
        <v>5432.58</v>
      </c>
      <c r="AJ223" s="20">
        <f t="shared" si="96"/>
        <v>0</v>
      </c>
      <c r="AK223" s="100">
        <f t="shared" si="99"/>
        <v>0</v>
      </c>
      <c r="AL223" s="100">
        <f t="shared" si="100"/>
        <v>0</v>
      </c>
      <c r="AN223" s="100">
        <f t="shared" si="101"/>
        <v>4924.5613587232392</v>
      </c>
      <c r="AO223" s="20">
        <f t="shared" si="102"/>
        <v>0</v>
      </c>
      <c r="AQ223" s="109">
        <f t="shared" ref="AQ223:AQ286" si="115">AO223/(1+((1+$AM$27)^((ROW()-29)*30)-1))</f>
        <v>0</v>
      </c>
      <c r="AU223" s="109">
        <f t="shared" ref="AU223:AU286" si="116">(($AT$27/(1+((1+$AM$27)^(ROW()-29)*30)-1))/292)*0.32</f>
        <v>26.60427371989072</v>
      </c>
      <c r="AV223" s="101">
        <f t="shared" si="110"/>
        <v>46944</v>
      </c>
      <c r="AW223" s="99">
        <f t="shared" si="111"/>
        <v>0</v>
      </c>
      <c r="AX223" s="1">
        <f t="shared" ref="AX223:AX286" si="117">IF(AG223&gt;0,AA223,0)</f>
        <v>0</v>
      </c>
      <c r="AY223" s="29">
        <f t="shared" ref="AY223:AY286" si="118">AE223</f>
        <v>0</v>
      </c>
      <c r="AZ223" s="1">
        <f t="shared" ref="AZ223:AZ286" si="119">AY223/360</f>
        <v>0</v>
      </c>
      <c r="CB223" s="20">
        <f t="shared" si="97"/>
        <v>0</v>
      </c>
      <c r="CC223" s="173">
        <f t="shared" ref="CC223:CC286" si="120">AJ223+U223+T223</f>
        <v>0</v>
      </c>
    </row>
    <row r="224" spans="2:81" x14ac:dyDescent="0.25">
      <c r="B224" s="41"/>
      <c r="C224" s="42"/>
      <c r="D224" s="43"/>
      <c r="E224" s="44"/>
      <c r="F224" s="44"/>
      <c r="G224" s="45"/>
      <c r="H224" s="81" t="str">
        <f t="shared" si="108"/>
        <v/>
      </c>
      <c r="J224" s="9"/>
      <c r="K224" s="10"/>
      <c r="L224" s="14"/>
      <c r="M224" s="19"/>
      <c r="N224" s="19"/>
      <c r="O224" s="19"/>
      <c r="P224" s="19"/>
      <c r="Q224" s="1">
        <f t="shared" ref="Q224:Q287" si="121">IF(M224=0,Q223,(M224*1200)/O223)</f>
        <v>0.60744618579017706</v>
      </c>
      <c r="R224" s="12">
        <f t="shared" ca="1" si="103"/>
        <v>5822</v>
      </c>
      <c r="S224" s="88">
        <f t="shared" si="112"/>
        <v>0</v>
      </c>
      <c r="T224" s="19">
        <f t="shared" si="113"/>
        <v>0</v>
      </c>
      <c r="U224" s="19">
        <f t="shared" si="109"/>
        <v>0</v>
      </c>
      <c r="V224" s="19">
        <f t="shared" si="95"/>
        <v>0</v>
      </c>
      <c r="W224" s="20">
        <f t="shared" ca="1" si="104"/>
        <v>0</v>
      </c>
      <c r="X224" s="19">
        <f t="shared" ca="1" si="105"/>
        <v>0</v>
      </c>
      <c r="Y224" s="19">
        <f t="shared" ca="1" si="106"/>
        <v>0</v>
      </c>
      <c r="Z224" s="20">
        <f t="shared" ca="1" si="107"/>
        <v>0</v>
      </c>
      <c r="AA224" s="1">
        <f t="shared" ref="AA224:AA287" si="122">IF(S224=0,AA223,N224)</f>
        <v>5432.58</v>
      </c>
      <c r="AB224" s="87"/>
      <c r="AC224" s="88"/>
      <c r="AD224" s="101">
        <f t="shared" ref="AD224:AD287" si="123">IF(M224=0,AD223+30,K224)</f>
        <v>46944</v>
      </c>
      <c r="AE224" s="103">
        <f t="shared" ref="AE224:AE287" si="124">IF(V224=0,0,R224)</f>
        <v>0</v>
      </c>
      <c r="AG224" s="1">
        <f t="shared" si="114"/>
        <v>0</v>
      </c>
      <c r="AH224" s="1">
        <f t="shared" si="98"/>
        <v>0</v>
      </c>
      <c r="AI224" s="1">
        <f t="shared" ref="AI224:AI287" si="125">IF(M224-1=0,IF(M224=0,IF(V224=0,N224,AI223),AA224),AA224)</f>
        <v>5432.58</v>
      </c>
      <c r="AJ224" s="20">
        <f t="shared" si="96"/>
        <v>0</v>
      </c>
      <c r="AK224" s="100">
        <f t="shared" si="99"/>
        <v>0</v>
      </c>
      <c r="AL224" s="100">
        <f t="shared" si="100"/>
        <v>0</v>
      </c>
      <c r="AN224" s="100">
        <f t="shared" si="101"/>
        <v>4922.0697816273696</v>
      </c>
      <c r="AO224" s="20">
        <f t="shared" si="102"/>
        <v>0</v>
      </c>
      <c r="AQ224" s="109">
        <f t="shared" si="115"/>
        <v>0</v>
      </c>
      <c r="AU224" s="109">
        <f t="shared" si="116"/>
        <v>26.601938660830488</v>
      </c>
      <c r="AV224" s="101">
        <f t="shared" si="110"/>
        <v>46974</v>
      </c>
      <c r="AW224" s="99">
        <f t="shared" si="111"/>
        <v>0</v>
      </c>
      <c r="AX224" s="1">
        <f t="shared" si="117"/>
        <v>0</v>
      </c>
      <c r="AY224" s="29">
        <f t="shared" si="118"/>
        <v>0</v>
      </c>
      <c r="AZ224" s="1">
        <f t="shared" si="119"/>
        <v>0</v>
      </c>
      <c r="CB224" s="20">
        <f t="shared" si="97"/>
        <v>0</v>
      </c>
      <c r="CC224" s="173">
        <f t="shared" si="120"/>
        <v>0</v>
      </c>
    </row>
    <row r="225" spans="2:81" x14ac:dyDescent="0.25">
      <c r="B225" s="41"/>
      <c r="C225" s="42"/>
      <c r="D225" s="43"/>
      <c r="E225" s="44"/>
      <c r="F225" s="44"/>
      <c r="G225" s="45"/>
      <c r="H225" s="81" t="str">
        <f t="shared" si="108"/>
        <v/>
      </c>
      <c r="J225" s="7"/>
      <c r="K225" s="8"/>
      <c r="L225" s="15"/>
      <c r="M225" s="21"/>
      <c r="N225" s="21"/>
      <c r="O225" s="21"/>
      <c r="P225" s="21"/>
      <c r="Q225" s="1">
        <f t="shared" si="121"/>
        <v>0.60744618579017706</v>
      </c>
      <c r="R225" s="12">
        <f t="shared" ca="1" si="103"/>
        <v>5852</v>
      </c>
      <c r="S225" s="88">
        <f t="shared" si="112"/>
        <v>0</v>
      </c>
      <c r="T225" s="19">
        <f t="shared" si="113"/>
        <v>0</v>
      </c>
      <c r="U225" s="19">
        <f t="shared" si="109"/>
        <v>0</v>
      </c>
      <c r="V225" s="19">
        <f t="shared" si="95"/>
        <v>0</v>
      </c>
      <c r="W225" s="20">
        <f t="shared" ca="1" si="104"/>
        <v>0</v>
      </c>
      <c r="X225" s="19">
        <f t="shared" ca="1" si="105"/>
        <v>0</v>
      </c>
      <c r="Y225" s="19">
        <f t="shared" ca="1" si="106"/>
        <v>0</v>
      </c>
      <c r="Z225" s="20">
        <f t="shared" ca="1" si="107"/>
        <v>0</v>
      </c>
      <c r="AA225" s="1">
        <f t="shared" si="122"/>
        <v>5432.58</v>
      </c>
      <c r="AB225" s="89"/>
      <c r="AC225" s="90"/>
      <c r="AD225" s="101">
        <f t="shared" si="123"/>
        <v>46974</v>
      </c>
      <c r="AE225" s="103">
        <f t="shared" si="124"/>
        <v>0</v>
      </c>
      <c r="AG225" s="1">
        <f t="shared" si="114"/>
        <v>0</v>
      </c>
      <c r="AH225" s="1">
        <f t="shared" si="98"/>
        <v>0</v>
      </c>
      <c r="AI225" s="1">
        <f t="shared" si="125"/>
        <v>5432.58</v>
      </c>
      <c r="AJ225" s="20">
        <f t="shared" si="96"/>
        <v>0</v>
      </c>
      <c r="AK225" s="100">
        <f t="shared" si="99"/>
        <v>0</v>
      </c>
      <c r="AL225" s="100">
        <f t="shared" si="100"/>
        <v>0</v>
      </c>
      <c r="AN225" s="100">
        <f t="shared" si="101"/>
        <v>4919.5794651425413</v>
      </c>
      <c r="AO225" s="20">
        <f t="shared" si="102"/>
        <v>0</v>
      </c>
      <c r="AQ225" s="109">
        <f t="shared" si="115"/>
        <v>0</v>
      </c>
      <c r="AU225" s="109">
        <f t="shared" si="116"/>
        <v>26.599603806718569</v>
      </c>
      <c r="AV225" s="101">
        <f t="shared" si="110"/>
        <v>47004</v>
      </c>
      <c r="AW225" s="99">
        <f t="shared" si="111"/>
        <v>0</v>
      </c>
      <c r="AX225" s="1">
        <f t="shared" si="117"/>
        <v>0</v>
      </c>
      <c r="AY225" s="29">
        <f t="shared" si="118"/>
        <v>0</v>
      </c>
      <c r="AZ225" s="1">
        <f t="shared" si="119"/>
        <v>0</v>
      </c>
      <c r="CB225" s="20">
        <f t="shared" si="97"/>
        <v>0</v>
      </c>
      <c r="CC225" s="173">
        <f t="shared" si="120"/>
        <v>0</v>
      </c>
    </row>
    <row r="226" spans="2:81" x14ac:dyDescent="0.25">
      <c r="B226" s="41"/>
      <c r="C226" s="42"/>
      <c r="D226" s="43"/>
      <c r="E226" s="44"/>
      <c r="F226" s="44"/>
      <c r="G226" s="45"/>
      <c r="H226" s="81" t="str">
        <f t="shared" si="108"/>
        <v/>
      </c>
      <c r="J226" s="9"/>
      <c r="K226" s="10"/>
      <c r="L226" s="14"/>
      <c r="M226" s="19"/>
      <c r="N226" s="19"/>
      <c r="O226" s="19"/>
      <c r="P226" s="19"/>
      <c r="Q226" s="1">
        <f t="shared" si="121"/>
        <v>0.60744618579017706</v>
      </c>
      <c r="R226" s="12">
        <f t="shared" ca="1" si="103"/>
        <v>5882</v>
      </c>
      <c r="S226" s="88">
        <f t="shared" si="112"/>
        <v>0</v>
      </c>
      <c r="T226" s="19">
        <f t="shared" si="113"/>
        <v>0</v>
      </c>
      <c r="U226" s="19">
        <f t="shared" si="109"/>
        <v>0</v>
      </c>
      <c r="V226" s="19">
        <f t="shared" ref="V226:V289" si="126">IF(ISERROR(IF(V225+U226+T226+(V225*Q226/1200)-AA226-P226&lt;0,0,V225+U226+T226-AA226-P226)),0,IF(V225+U226+T226+(V225*Q226/1200)-AA226-CB226&lt;0,0,V225+U226+T226-AA226-CB226))</f>
        <v>0</v>
      </c>
      <c r="W226" s="20">
        <f t="shared" ca="1" si="104"/>
        <v>0</v>
      </c>
      <c r="X226" s="19">
        <f t="shared" ca="1" si="105"/>
        <v>0</v>
      </c>
      <c r="Y226" s="19">
        <f t="shared" ca="1" si="106"/>
        <v>0</v>
      </c>
      <c r="Z226" s="20">
        <f t="shared" ca="1" si="107"/>
        <v>0</v>
      </c>
      <c r="AA226" s="1">
        <f t="shared" si="122"/>
        <v>5432.58</v>
      </c>
      <c r="AB226" s="87"/>
      <c r="AC226" s="88"/>
      <c r="AD226" s="101">
        <f t="shared" si="123"/>
        <v>47004</v>
      </c>
      <c r="AE226" s="103">
        <f t="shared" si="124"/>
        <v>0</v>
      </c>
      <c r="AG226" s="1">
        <f t="shared" si="114"/>
        <v>0</v>
      </c>
      <c r="AH226" s="1">
        <f t="shared" si="98"/>
        <v>0</v>
      </c>
      <c r="AI226" s="1">
        <f t="shared" si="125"/>
        <v>5432.58</v>
      </c>
      <c r="AJ226" s="20">
        <f t="shared" si="96"/>
        <v>0</v>
      </c>
      <c r="AK226" s="100">
        <f t="shared" si="99"/>
        <v>0</v>
      </c>
      <c r="AL226" s="100">
        <f t="shared" si="100"/>
        <v>0</v>
      </c>
      <c r="AN226" s="100">
        <f t="shared" si="101"/>
        <v>4917.0904086309511</v>
      </c>
      <c r="AO226" s="20">
        <f t="shared" si="102"/>
        <v>0</v>
      </c>
      <c r="AQ226" s="109">
        <f t="shared" si="115"/>
        <v>0</v>
      </c>
      <c r="AU226" s="109">
        <f t="shared" si="116"/>
        <v>26.597269157536971</v>
      </c>
      <c r="AV226" s="101">
        <f t="shared" si="110"/>
        <v>47034</v>
      </c>
      <c r="AW226" s="99">
        <f t="shared" si="111"/>
        <v>0</v>
      </c>
      <c r="AX226" s="1">
        <f t="shared" si="117"/>
        <v>0</v>
      </c>
      <c r="AY226" s="29">
        <f t="shared" si="118"/>
        <v>0</v>
      </c>
      <c r="AZ226" s="1">
        <f t="shared" si="119"/>
        <v>0</v>
      </c>
      <c r="CB226" s="20">
        <f t="shared" si="97"/>
        <v>0</v>
      </c>
      <c r="CC226" s="173">
        <f t="shared" si="120"/>
        <v>0</v>
      </c>
    </row>
    <row r="227" spans="2:81" x14ac:dyDescent="0.25">
      <c r="B227" s="41"/>
      <c r="C227" s="42"/>
      <c r="D227" s="43"/>
      <c r="E227" s="44"/>
      <c r="F227" s="44"/>
      <c r="G227" s="45"/>
      <c r="H227" s="81" t="str">
        <f t="shared" si="108"/>
        <v/>
      </c>
      <c r="J227" s="7"/>
      <c r="K227" s="8"/>
      <c r="L227" s="15"/>
      <c r="M227" s="21"/>
      <c r="N227" s="21"/>
      <c r="O227" s="21"/>
      <c r="P227" s="21"/>
      <c r="Q227" s="1">
        <f t="shared" si="121"/>
        <v>0.60744618579017706</v>
      </c>
      <c r="R227" s="12">
        <f t="shared" ca="1" si="103"/>
        <v>5912</v>
      </c>
      <c r="S227" s="88">
        <f t="shared" si="112"/>
        <v>0</v>
      </c>
      <c r="T227" s="19">
        <f t="shared" si="113"/>
        <v>0</v>
      </c>
      <c r="U227" s="19">
        <f t="shared" si="109"/>
        <v>0</v>
      </c>
      <c r="V227" s="19">
        <f t="shared" si="126"/>
        <v>0</v>
      </c>
      <c r="W227" s="20">
        <f t="shared" ca="1" si="104"/>
        <v>0</v>
      </c>
      <c r="X227" s="19">
        <f t="shared" ca="1" si="105"/>
        <v>0</v>
      </c>
      <c r="Y227" s="19">
        <f t="shared" ca="1" si="106"/>
        <v>0</v>
      </c>
      <c r="Z227" s="20">
        <f t="shared" ca="1" si="107"/>
        <v>0</v>
      </c>
      <c r="AA227" s="1">
        <f t="shared" si="122"/>
        <v>5432.58</v>
      </c>
      <c r="AB227" s="89"/>
      <c r="AC227" s="90"/>
      <c r="AD227" s="101">
        <f t="shared" si="123"/>
        <v>47034</v>
      </c>
      <c r="AE227" s="103">
        <f t="shared" si="124"/>
        <v>0</v>
      </c>
      <c r="AG227" s="1">
        <f t="shared" si="114"/>
        <v>0</v>
      </c>
      <c r="AH227" s="1">
        <f t="shared" si="98"/>
        <v>0</v>
      </c>
      <c r="AI227" s="1">
        <f t="shared" si="125"/>
        <v>5432.58</v>
      </c>
      <c r="AJ227" s="20">
        <f t="shared" si="96"/>
        <v>0</v>
      </c>
      <c r="AK227" s="100">
        <f t="shared" si="99"/>
        <v>0</v>
      </c>
      <c r="AL227" s="100">
        <f t="shared" si="100"/>
        <v>0</v>
      </c>
      <c r="AN227" s="100">
        <f t="shared" si="101"/>
        <v>4914.602611455115</v>
      </c>
      <c r="AO227" s="20">
        <f t="shared" si="102"/>
        <v>0</v>
      </c>
      <c r="AQ227" s="109">
        <f t="shared" si="115"/>
        <v>0</v>
      </c>
      <c r="AU227" s="109">
        <f t="shared" si="116"/>
        <v>26.594934713267698</v>
      </c>
      <c r="AV227" s="101">
        <f t="shared" si="110"/>
        <v>47064</v>
      </c>
      <c r="AW227" s="99">
        <f t="shared" si="111"/>
        <v>0</v>
      </c>
      <c r="AX227" s="1">
        <f t="shared" si="117"/>
        <v>0</v>
      </c>
      <c r="AY227" s="29">
        <f t="shared" si="118"/>
        <v>0</v>
      </c>
      <c r="AZ227" s="1">
        <f t="shared" si="119"/>
        <v>0</v>
      </c>
      <c r="CB227" s="20">
        <f t="shared" si="97"/>
        <v>0</v>
      </c>
      <c r="CC227" s="173">
        <f t="shared" si="120"/>
        <v>0</v>
      </c>
    </row>
    <row r="228" spans="2:81" x14ac:dyDescent="0.25">
      <c r="B228" s="41"/>
      <c r="C228" s="42"/>
      <c r="D228" s="43"/>
      <c r="E228" s="44"/>
      <c r="F228" s="44"/>
      <c r="G228" s="45"/>
      <c r="H228" s="81" t="str">
        <f t="shared" si="108"/>
        <v/>
      </c>
      <c r="J228" s="9"/>
      <c r="K228" s="10"/>
      <c r="L228" s="14"/>
      <c r="M228" s="19"/>
      <c r="N228" s="19"/>
      <c r="O228" s="19"/>
      <c r="P228" s="19"/>
      <c r="Q228" s="1">
        <f t="shared" si="121"/>
        <v>0.60744618579017706</v>
      </c>
      <c r="R228" s="12">
        <f t="shared" ca="1" si="103"/>
        <v>5942</v>
      </c>
      <c r="S228" s="88">
        <f t="shared" si="112"/>
        <v>0</v>
      </c>
      <c r="T228" s="19">
        <f t="shared" si="113"/>
        <v>0</v>
      </c>
      <c r="U228" s="19">
        <f t="shared" si="109"/>
        <v>0</v>
      </c>
      <c r="V228" s="19">
        <f t="shared" si="126"/>
        <v>0</v>
      </c>
      <c r="W228" s="20">
        <f t="shared" ca="1" si="104"/>
        <v>0</v>
      </c>
      <c r="X228" s="19">
        <f t="shared" ca="1" si="105"/>
        <v>0</v>
      </c>
      <c r="Y228" s="19">
        <f t="shared" ca="1" si="106"/>
        <v>0</v>
      </c>
      <c r="Z228" s="20">
        <f t="shared" ca="1" si="107"/>
        <v>0</v>
      </c>
      <c r="AA228" s="1">
        <f t="shared" si="122"/>
        <v>5432.58</v>
      </c>
      <c r="AB228" s="87"/>
      <c r="AC228" s="88"/>
      <c r="AD228" s="101">
        <f t="shared" si="123"/>
        <v>47064</v>
      </c>
      <c r="AE228" s="103">
        <f t="shared" si="124"/>
        <v>0</v>
      </c>
      <c r="AG228" s="1">
        <f t="shared" si="114"/>
        <v>0</v>
      </c>
      <c r="AH228" s="1">
        <f t="shared" si="98"/>
        <v>0</v>
      </c>
      <c r="AI228" s="1">
        <f t="shared" si="125"/>
        <v>5432.58</v>
      </c>
      <c r="AJ228" s="20">
        <f t="shared" si="96"/>
        <v>0</v>
      </c>
      <c r="AK228" s="100">
        <f t="shared" si="99"/>
        <v>0</v>
      </c>
      <c r="AL228" s="100">
        <f t="shared" si="100"/>
        <v>0</v>
      </c>
      <c r="AN228" s="100">
        <f t="shared" si="101"/>
        <v>4912.116072977873</v>
      </c>
      <c r="AO228" s="20">
        <f t="shared" si="102"/>
        <v>0</v>
      </c>
      <c r="AQ228" s="109">
        <f t="shared" si="115"/>
        <v>0</v>
      </c>
      <c r="AU228" s="109">
        <f t="shared" si="116"/>
        <v>26.592600473892766</v>
      </c>
      <c r="AV228" s="101">
        <f t="shared" si="110"/>
        <v>47094</v>
      </c>
      <c r="AW228" s="99">
        <f t="shared" si="111"/>
        <v>0</v>
      </c>
      <c r="AX228" s="1">
        <f t="shared" si="117"/>
        <v>0</v>
      </c>
      <c r="AY228" s="29">
        <f t="shared" si="118"/>
        <v>0</v>
      </c>
      <c r="AZ228" s="1">
        <f t="shared" si="119"/>
        <v>0</v>
      </c>
      <c r="CB228" s="20">
        <f t="shared" si="97"/>
        <v>0</v>
      </c>
      <c r="CC228" s="173">
        <f t="shared" si="120"/>
        <v>0</v>
      </c>
    </row>
    <row r="229" spans="2:81" x14ac:dyDescent="0.25">
      <c r="B229" s="41"/>
      <c r="C229" s="42"/>
      <c r="D229" s="43"/>
      <c r="E229" s="44"/>
      <c r="F229" s="44"/>
      <c r="G229" s="45"/>
      <c r="H229" s="81" t="str">
        <f t="shared" si="108"/>
        <v/>
      </c>
      <c r="J229" s="7"/>
      <c r="K229" s="8"/>
      <c r="L229" s="15"/>
      <c r="M229" s="21"/>
      <c r="N229" s="21"/>
      <c r="O229" s="21"/>
      <c r="P229" s="21"/>
      <c r="Q229" s="1">
        <f t="shared" si="121"/>
        <v>0.60744618579017706</v>
      </c>
      <c r="R229" s="12">
        <f t="shared" ca="1" si="103"/>
        <v>5972</v>
      </c>
      <c r="S229" s="88">
        <f t="shared" si="112"/>
        <v>0</v>
      </c>
      <c r="T229" s="19">
        <f t="shared" si="113"/>
        <v>0</v>
      </c>
      <c r="U229" s="19">
        <f t="shared" si="109"/>
        <v>0</v>
      </c>
      <c r="V229" s="19">
        <f t="shared" si="126"/>
        <v>0</v>
      </c>
      <c r="W229" s="20">
        <f t="shared" ca="1" si="104"/>
        <v>0</v>
      </c>
      <c r="X229" s="19">
        <f t="shared" ca="1" si="105"/>
        <v>0</v>
      </c>
      <c r="Y229" s="19">
        <f t="shared" ca="1" si="106"/>
        <v>0</v>
      </c>
      <c r="Z229" s="20">
        <f t="shared" ca="1" si="107"/>
        <v>0</v>
      </c>
      <c r="AA229" s="1">
        <f t="shared" si="122"/>
        <v>5432.58</v>
      </c>
      <c r="AB229" s="89"/>
      <c r="AC229" s="90"/>
      <c r="AD229" s="101">
        <f t="shared" si="123"/>
        <v>47094</v>
      </c>
      <c r="AE229" s="103">
        <f t="shared" si="124"/>
        <v>0</v>
      </c>
      <c r="AG229" s="1">
        <f t="shared" si="114"/>
        <v>0</v>
      </c>
      <c r="AH229" s="1">
        <f t="shared" si="98"/>
        <v>0</v>
      </c>
      <c r="AI229" s="1">
        <f t="shared" si="125"/>
        <v>5432.58</v>
      </c>
      <c r="AJ229" s="20">
        <f t="shared" si="96"/>
        <v>0</v>
      </c>
      <c r="AK229" s="100">
        <f t="shared" si="99"/>
        <v>0</v>
      </c>
      <c r="AL229" s="100">
        <f t="shared" si="100"/>
        <v>0</v>
      </c>
      <c r="AN229" s="100">
        <f t="shared" si="101"/>
        <v>4909.6307925623896</v>
      </c>
      <c r="AO229" s="20">
        <f t="shared" si="102"/>
        <v>0</v>
      </c>
      <c r="AQ229" s="109">
        <f t="shared" si="115"/>
        <v>0</v>
      </c>
      <c r="AU229" s="109">
        <f t="shared" si="116"/>
        <v>26.590266439394199</v>
      </c>
      <c r="AV229" s="101">
        <f t="shared" si="110"/>
        <v>47124</v>
      </c>
      <c r="AW229" s="99">
        <f t="shared" si="111"/>
        <v>0</v>
      </c>
      <c r="AX229" s="1">
        <f t="shared" si="117"/>
        <v>0</v>
      </c>
      <c r="AY229" s="29">
        <f t="shared" si="118"/>
        <v>0</v>
      </c>
      <c r="AZ229" s="1">
        <f t="shared" si="119"/>
        <v>0</v>
      </c>
      <c r="CB229" s="20">
        <f t="shared" si="97"/>
        <v>0</v>
      </c>
      <c r="CC229" s="173">
        <f t="shared" si="120"/>
        <v>0</v>
      </c>
    </row>
    <row r="230" spans="2:81" x14ac:dyDescent="0.25">
      <c r="B230" s="41"/>
      <c r="C230" s="42"/>
      <c r="D230" s="43"/>
      <c r="E230" s="44"/>
      <c r="F230" s="44"/>
      <c r="G230" s="45"/>
      <c r="H230" s="81" t="str">
        <f t="shared" si="108"/>
        <v/>
      </c>
      <c r="J230" s="9"/>
      <c r="K230" s="10"/>
      <c r="L230" s="14"/>
      <c r="M230" s="19"/>
      <c r="N230" s="19"/>
      <c r="O230" s="19"/>
      <c r="P230" s="19"/>
      <c r="Q230" s="1">
        <f t="shared" si="121"/>
        <v>0.60744618579017706</v>
      </c>
      <c r="R230" s="12">
        <f t="shared" ca="1" si="103"/>
        <v>6002</v>
      </c>
      <c r="S230" s="88">
        <f t="shared" si="112"/>
        <v>0</v>
      </c>
      <c r="T230" s="19">
        <f t="shared" si="113"/>
        <v>0</v>
      </c>
      <c r="U230" s="19">
        <f t="shared" si="109"/>
        <v>0</v>
      </c>
      <c r="V230" s="19">
        <f t="shared" si="126"/>
        <v>0</v>
      </c>
      <c r="W230" s="20">
        <f t="shared" ca="1" si="104"/>
        <v>0</v>
      </c>
      <c r="X230" s="19">
        <f t="shared" ca="1" si="105"/>
        <v>0</v>
      </c>
      <c r="Y230" s="19">
        <f t="shared" ca="1" si="106"/>
        <v>0</v>
      </c>
      <c r="Z230" s="20">
        <f t="shared" ca="1" si="107"/>
        <v>0</v>
      </c>
      <c r="AA230" s="1">
        <f t="shared" si="122"/>
        <v>5432.58</v>
      </c>
      <c r="AB230" s="87"/>
      <c r="AC230" s="88"/>
      <c r="AD230" s="101">
        <f t="shared" si="123"/>
        <v>47124</v>
      </c>
      <c r="AE230" s="103">
        <f t="shared" si="124"/>
        <v>0</v>
      </c>
      <c r="AG230" s="1">
        <f t="shared" si="114"/>
        <v>0</v>
      </c>
      <c r="AH230" s="1">
        <f t="shared" si="98"/>
        <v>0</v>
      </c>
      <c r="AI230" s="1">
        <f t="shared" si="125"/>
        <v>5432.58</v>
      </c>
      <c r="AJ230" s="20">
        <f t="shared" si="96"/>
        <v>0</v>
      </c>
      <c r="AK230" s="100">
        <f t="shared" si="99"/>
        <v>0</v>
      </c>
      <c r="AL230" s="100">
        <f t="shared" si="100"/>
        <v>0</v>
      </c>
      <c r="AN230" s="100">
        <f t="shared" si="101"/>
        <v>4907.1467695721476</v>
      </c>
      <c r="AO230" s="20">
        <f t="shared" si="102"/>
        <v>0</v>
      </c>
      <c r="AQ230" s="109">
        <f t="shared" si="115"/>
        <v>0</v>
      </c>
      <c r="AU230" s="109">
        <f t="shared" si="116"/>
        <v>26.587932609754017</v>
      </c>
      <c r="AV230" s="101">
        <f t="shared" si="110"/>
        <v>47154</v>
      </c>
      <c r="AW230" s="99">
        <f t="shared" si="111"/>
        <v>0</v>
      </c>
      <c r="AX230" s="1">
        <f t="shared" si="117"/>
        <v>0</v>
      </c>
      <c r="AY230" s="29">
        <f t="shared" si="118"/>
        <v>0</v>
      </c>
      <c r="AZ230" s="1">
        <f t="shared" si="119"/>
        <v>0</v>
      </c>
      <c r="CB230" s="20">
        <f t="shared" si="97"/>
        <v>0</v>
      </c>
      <c r="CC230" s="173">
        <f t="shared" si="120"/>
        <v>0</v>
      </c>
    </row>
    <row r="231" spans="2:81" x14ac:dyDescent="0.25">
      <c r="B231" s="41"/>
      <c r="C231" s="42"/>
      <c r="D231" s="43"/>
      <c r="E231" s="44"/>
      <c r="F231" s="44"/>
      <c r="G231" s="45"/>
      <c r="H231" s="81" t="str">
        <f t="shared" si="108"/>
        <v/>
      </c>
      <c r="J231" s="7"/>
      <c r="K231" s="8"/>
      <c r="L231" s="15"/>
      <c r="M231" s="21"/>
      <c r="N231" s="21"/>
      <c r="O231" s="21"/>
      <c r="P231" s="21"/>
      <c r="Q231" s="1">
        <f t="shared" si="121"/>
        <v>0.60744618579017706</v>
      </c>
      <c r="R231" s="12">
        <f t="shared" ca="1" si="103"/>
        <v>6032</v>
      </c>
      <c r="S231" s="88">
        <f t="shared" si="112"/>
        <v>0</v>
      </c>
      <c r="T231" s="19">
        <f t="shared" si="113"/>
        <v>0</v>
      </c>
      <c r="U231" s="19">
        <f t="shared" si="109"/>
        <v>0</v>
      </c>
      <c r="V231" s="19">
        <f t="shared" si="126"/>
        <v>0</v>
      </c>
      <c r="W231" s="20">
        <f t="shared" ca="1" si="104"/>
        <v>0</v>
      </c>
      <c r="X231" s="19">
        <f t="shared" ca="1" si="105"/>
        <v>0</v>
      </c>
      <c r="Y231" s="19">
        <f t="shared" ca="1" si="106"/>
        <v>0</v>
      </c>
      <c r="Z231" s="20">
        <f t="shared" ca="1" si="107"/>
        <v>0</v>
      </c>
      <c r="AA231" s="1">
        <f t="shared" si="122"/>
        <v>5432.58</v>
      </c>
      <c r="AB231" s="89"/>
      <c r="AC231" s="90"/>
      <c r="AD231" s="101">
        <f t="shared" si="123"/>
        <v>47154</v>
      </c>
      <c r="AE231" s="103">
        <f t="shared" si="124"/>
        <v>0</v>
      </c>
      <c r="AG231" s="1">
        <f t="shared" si="114"/>
        <v>0</v>
      </c>
      <c r="AH231" s="1">
        <f t="shared" si="98"/>
        <v>0</v>
      </c>
      <c r="AI231" s="1">
        <f t="shared" si="125"/>
        <v>5432.58</v>
      </c>
      <c r="AJ231" s="20">
        <f t="shared" si="96"/>
        <v>0</v>
      </c>
      <c r="AK231" s="100">
        <f t="shared" si="99"/>
        <v>0</v>
      </c>
      <c r="AL231" s="100">
        <f t="shared" si="100"/>
        <v>0</v>
      </c>
      <c r="AN231" s="100">
        <f t="shared" si="101"/>
        <v>4904.6640033709564</v>
      </c>
      <c r="AO231" s="20">
        <f t="shared" si="102"/>
        <v>0</v>
      </c>
      <c r="AQ231" s="109">
        <f t="shared" si="115"/>
        <v>0</v>
      </c>
      <c r="AU231" s="109">
        <f t="shared" si="116"/>
        <v>26.585598984954228</v>
      </c>
      <c r="AV231" s="101">
        <f t="shared" si="110"/>
        <v>47184</v>
      </c>
      <c r="AW231" s="99">
        <f t="shared" si="111"/>
        <v>0</v>
      </c>
      <c r="AX231" s="1">
        <f t="shared" si="117"/>
        <v>0</v>
      </c>
      <c r="AY231" s="29">
        <f t="shared" si="118"/>
        <v>0</v>
      </c>
      <c r="AZ231" s="1">
        <f t="shared" si="119"/>
        <v>0</v>
      </c>
      <c r="CB231" s="20">
        <f t="shared" si="97"/>
        <v>0</v>
      </c>
      <c r="CC231" s="173">
        <f t="shared" si="120"/>
        <v>0</v>
      </c>
    </row>
    <row r="232" spans="2:81" x14ac:dyDescent="0.25">
      <c r="B232" s="41"/>
      <c r="C232" s="42"/>
      <c r="D232" s="43"/>
      <c r="E232" s="44"/>
      <c r="F232" s="44"/>
      <c r="G232" s="45"/>
      <c r="H232" s="81" t="str">
        <f t="shared" si="108"/>
        <v/>
      </c>
      <c r="J232" s="9"/>
      <c r="K232" s="10"/>
      <c r="L232" s="14"/>
      <c r="M232" s="19"/>
      <c r="N232" s="19"/>
      <c r="O232" s="19"/>
      <c r="P232" s="19"/>
      <c r="Q232" s="1">
        <f t="shared" si="121"/>
        <v>0.60744618579017706</v>
      </c>
      <c r="R232" s="12">
        <f t="shared" ca="1" si="103"/>
        <v>6062</v>
      </c>
      <c r="S232" s="88">
        <f t="shared" si="112"/>
        <v>0</v>
      </c>
      <c r="T232" s="19">
        <f t="shared" si="113"/>
        <v>0</v>
      </c>
      <c r="U232" s="19">
        <f t="shared" si="109"/>
        <v>0</v>
      </c>
      <c r="V232" s="19">
        <f t="shared" si="126"/>
        <v>0</v>
      </c>
      <c r="W232" s="20">
        <f t="shared" ca="1" si="104"/>
        <v>0</v>
      </c>
      <c r="X232" s="19">
        <f t="shared" ca="1" si="105"/>
        <v>0</v>
      </c>
      <c r="Y232" s="19">
        <f t="shared" ca="1" si="106"/>
        <v>0</v>
      </c>
      <c r="Z232" s="20">
        <f t="shared" ca="1" si="107"/>
        <v>0</v>
      </c>
      <c r="AA232" s="1">
        <f t="shared" si="122"/>
        <v>5432.58</v>
      </c>
      <c r="AB232" s="87"/>
      <c r="AC232" s="88"/>
      <c r="AD232" s="101">
        <f t="shared" si="123"/>
        <v>47184</v>
      </c>
      <c r="AE232" s="103">
        <f t="shared" si="124"/>
        <v>0</v>
      </c>
      <c r="AG232" s="1">
        <f t="shared" si="114"/>
        <v>0</v>
      </c>
      <c r="AH232" s="1">
        <f t="shared" si="98"/>
        <v>0</v>
      </c>
      <c r="AI232" s="1">
        <f t="shared" si="125"/>
        <v>5432.58</v>
      </c>
      <c r="AJ232" s="20">
        <f t="shared" ref="AJ232:AJ295" si="127">IF(ISERROR(IF(V231+U232+T232+(V231*Q232/1200)-AA232-P232&lt;0,V231,-(U232+T232-AA232+P232-AH232))),0,IF(V231+U232+T232+(V231*Q232/1200)-AA232-P232&lt;0,0,-(U232+T232-AA232-AH232)))</f>
        <v>0</v>
      </c>
      <c r="AK232" s="100">
        <f t="shared" si="99"/>
        <v>0</v>
      </c>
      <c r="AL232" s="100">
        <f t="shared" si="100"/>
        <v>0</v>
      </c>
      <c r="AN232" s="100">
        <f t="shared" si="101"/>
        <v>4902.1824933229418</v>
      </c>
      <c r="AO232" s="20">
        <f t="shared" si="102"/>
        <v>0</v>
      </c>
      <c r="AQ232" s="109">
        <f t="shared" si="115"/>
        <v>0</v>
      </c>
      <c r="AU232" s="109">
        <f t="shared" si="116"/>
        <v>26.583265564976866</v>
      </c>
      <c r="AV232" s="101">
        <f t="shared" si="110"/>
        <v>47214</v>
      </c>
      <c r="AW232" s="99">
        <f t="shared" si="111"/>
        <v>0</v>
      </c>
      <c r="AX232" s="1">
        <f t="shared" si="117"/>
        <v>0</v>
      </c>
      <c r="AY232" s="29">
        <f t="shared" si="118"/>
        <v>0</v>
      </c>
      <c r="AZ232" s="1">
        <f t="shared" si="119"/>
        <v>0</v>
      </c>
      <c r="CB232" s="20">
        <f t="shared" si="97"/>
        <v>0</v>
      </c>
      <c r="CC232" s="173">
        <f t="shared" si="120"/>
        <v>0</v>
      </c>
    </row>
    <row r="233" spans="2:81" x14ac:dyDescent="0.25">
      <c r="B233" s="41"/>
      <c r="C233" s="42"/>
      <c r="D233" s="43"/>
      <c r="E233" s="44"/>
      <c r="F233" s="44"/>
      <c r="G233" s="45"/>
      <c r="H233" s="81" t="str">
        <f t="shared" si="108"/>
        <v/>
      </c>
      <c r="J233" s="7"/>
      <c r="K233" s="8"/>
      <c r="L233" s="15"/>
      <c r="M233" s="21"/>
      <c r="N233" s="21"/>
      <c r="O233" s="21"/>
      <c r="P233" s="21"/>
      <c r="Q233" s="1">
        <f t="shared" si="121"/>
        <v>0.60744618579017706</v>
      </c>
      <c r="R233" s="12">
        <f t="shared" ca="1" si="103"/>
        <v>6092</v>
      </c>
      <c r="S233" s="88">
        <f t="shared" si="112"/>
        <v>0</v>
      </c>
      <c r="T233" s="19">
        <f t="shared" si="113"/>
        <v>0</v>
      </c>
      <c r="U233" s="19">
        <f t="shared" si="109"/>
        <v>0</v>
      </c>
      <c r="V233" s="19">
        <f t="shared" si="126"/>
        <v>0</v>
      </c>
      <c r="W233" s="20">
        <f t="shared" ca="1" si="104"/>
        <v>0</v>
      </c>
      <c r="X233" s="19">
        <f t="shared" ca="1" si="105"/>
        <v>0</v>
      </c>
      <c r="Y233" s="19">
        <f t="shared" ca="1" si="106"/>
        <v>0</v>
      </c>
      <c r="Z233" s="20">
        <f t="shared" ca="1" si="107"/>
        <v>0</v>
      </c>
      <c r="AA233" s="1">
        <f t="shared" si="122"/>
        <v>5432.58</v>
      </c>
      <c r="AB233" s="89"/>
      <c r="AC233" s="90"/>
      <c r="AD233" s="101">
        <f t="shared" si="123"/>
        <v>47214</v>
      </c>
      <c r="AE233" s="103">
        <f t="shared" si="124"/>
        <v>0</v>
      </c>
      <c r="AG233" s="1">
        <f t="shared" si="114"/>
        <v>0</v>
      </c>
      <c r="AH233" s="1">
        <f t="shared" si="98"/>
        <v>0</v>
      </c>
      <c r="AI233" s="1">
        <f t="shared" si="125"/>
        <v>5432.58</v>
      </c>
      <c r="AJ233" s="20">
        <f t="shared" si="127"/>
        <v>0</v>
      </c>
      <c r="AK233" s="100">
        <f t="shared" si="99"/>
        <v>0</v>
      </c>
      <c r="AL233" s="100">
        <f t="shared" si="100"/>
        <v>0</v>
      </c>
      <c r="AN233" s="100">
        <f t="shared" si="101"/>
        <v>4899.7022387925554</v>
      </c>
      <c r="AO233" s="20">
        <f t="shared" si="102"/>
        <v>0</v>
      </c>
      <c r="AQ233" s="109">
        <f t="shared" si="115"/>
        <v>0</v>
      </c>
      <c r="AU233" s="109">
        <f t="shared" si="116"/>
        <v>26.580932349803938</v>
      </c>
      <c r="AV233" s="101">
        <f t="shared" si="110"/>
        <v>47244</v>
      </c>
      <c r="AW233" s="99">
        <f t="shared" si="111"/>
        <v>0</v>
      </c>
      <c r="AX233" s="1">
        <f t="shared" si="117"/>
        <v>0</v>
      </c>
      <c r="AY233" s="29">
        <f t="shared" si="118"/>
        <v>0</v>
      </c>
      <c r="AZ233" s="1">
        <f t="shared" si="119"/>
        <v>0</v>
      </c>
      <c r="CB233" s="20">
        <f t="shared" si="97"/>
        <v>0</v>
      </c>
      <c r="CC233" s="173">
        <f t="shared" si="120"/>
        <v>0</v>
      </c>
    </row>
    <row r="234" spans="2:81" x14ac:dyDescent="0.25">
      <c r="B234" s="41"/>
      <c r="C234" s="42"/>
      <c r="D234" s="43"/>
      <c r="E234" s="44"/>
      <c r="F234" s="44"/>
      <c r="G234" s="45"/>
      <c r="H234" s="81" t="str">
        <f t="shared" si="108"/>
        <v/>
      </c>
      <c r="J234" s="9"/>
      <c r="K234" s="10"/>
      <c r="L234" s="14"/>
      <c r="M234" s="19"/>
      <c r="N234" s="19"/>
      <c r="O234" s="19"/>
      <c r="P234" s="19"/>
      <c r="Q234" s="1">
        <f t="shared" si="121"/>
        <v>0.60744618579017706</v>
      </c>
      <c r="R234" s="12">
        <f t="shared" ca="1" si="103"/>
        <v>6122</v>
      </c>
      <c r="S234" s="88">
        <f t="shared" si="112"/>
        <v>0</v>
      </c>
      <c r="T234" s="19">
        <f t="shared" si="113"/>
        <v>0</v>
      </c>
      <c r="U234" s="19">
        <f t="shared" si="109"/>
        <v>0</v>
      </c>
      <c r="V234" s="19">
        <f t="shared" si="126"/>
        <v>0</v>
      </c>
      <c r="W234" s="20">
        <f t="shared" ca="1" si="104"/>
        <v>0</v>
      </c>
      <c r="X234" s="19">
        <f t="shared" ca="1" si="105"/>
        <v>0</v>
      </c>
      <c r="Y234" s="19">
        <f t="shared" ca="1" si="106"/>
        <v>0</v>
      </c>
      <c r="Z234" s="20">
        <f t="shared" ca="1" si="107"/>
        <v>0</v>
      </c>
      <c r="AA234" s="1">
        <f t="shared" si="122"/>
        <v>5432.58</v>
      </c>
      <c r="AB234" s="87"/>
      <c r="AC234" s="88"/>
      <c r="AD234" s="101">
        <f t="shared" si="123"/>
        <v>47244</v>
      </c>
      <c r="AE234" s="103">
        <f t="shared" si="124"/>
        <v>0</v>
      </c>
      <c r="AG234" s="1">
        <f t="shared" si="114"/>
        <v>0</v>
      </c>
      <c r="AH234" s="1">
        <f t="shared" si="98"/>
        <v>0</v>
      </c>
      <c r="AI234" s="1">
        <f t="shared" si="125"/>
        <v>5432.58</v>
      </c>
      <c r="AJ234" s="20">
        <f t="shared" si="127"/>
        <v>0</v>
      </c>
      <c r="AK234" s="100">
        <f t="shared" si="99"/>
        <v>0</v>
      </c>
      <c r="AL234" s="100">
        <f t="shared" si="100"/>
        <v>0</v>
      </c>
      <c r="AN234" s="100">
        <f t="shared" si="101"/>
        <v>4897.2232391445705</v>
      </c>
      <c r="AO234" s="20">
        <f t="shared" si="102"/>
        <v>0</v>
      </c>
      <c r="AQ234" s="109">
        <f t="shared" si="115"/>
        <v>0</v>
      </c>
      <c r="AU234" s="109">
        <f t="shared" si="116"/>
        <v>26.578599339417483</v>
      </c>
      <c r="AV234" s="101">
        <f t="shared" si="110"/>
        <v>47274</v>
      </c>
      <c r="AW234" s="99">
        <f t="shared" si="111"/>
        <v>0</v>
      </c>
      <c r="AX234" s="1">
        <f t="shared" si="117"/>
        <v>0</v>
      </c>
      <c r="AY234" s="29">
        <f t="shared" si="118"/>
        <v>0</v>
      </c>
      <c r="AZ234" s="1">
        <f t="shared" si="119"/>
        <v>0</v>
      </c>
      <c r="CB234" s="20">
        <f t="shared" si="97"/>
        <v>0</v>
      </c>
      <c r="CC234" s="173">
        <f t="shared" si="120"/>
        <v>0</v>
      </c>
    </row>
    <row r="235" spans="2:81" x14ac:dyDescent="0.25">
      <c r="B235" s="41"/>
      <c r="C235" s="42"/>
      <c r="D235" s="43"/>
      <c r="E235" s="44"/>
      <c r="F235" s="44"/>
      <c r="G235" s="45"/>
      <c r="H235" s="81" t="str">
        <f t="shared" si="108"/>
        <v/>
      </c>
      <c r="J235" s="7"/>
      <c r="K235" s="8"/>
      <c r="L235" s="15"/>
      <c r="M235" s="21"/>
      <c r="N235" s="21"/>
      <c r="O235" s="21"/>
      <c r="P235" s="21"/>
      <c r="Q235" s="1">
        <f t="shared" si="121"/>
        <v>0.60744618579017706</v>
      </c>
      <c r="R235" s="12">
        <f t="shared" ca="1" si="103"/>
        <v>6152</v>
      </c>
      <c r="S235" s="88">
        <f t="shared" si="112"/>
        <v>0</v>
      </c>
      <c r="T235" s="19">
        <f t="shared" si="113"/>
        <v>0</v>
      </c>
      <c r="U235" s="19">
        <f t="shared" si="109"/>
        <v>0</v>
      </c>
      <c r="V235" s="19">
        <f t="shared" si="126"/>
        <v>0</v>
      </c>
      <c r="W235" s="20">
        <f t="shared" ca="1" si="104"/>
        <v>0</v>
      </c>
      <c r="X235" s="19">
        <f t="shared" ca="1" si="105"/>
        <v>0</v>
      </c>
      <c r="Y235" s="19">
        <f t="shared" ca="1" si="106"/>
        <v>0</v>
      </c>
      <c r="Z235" s="20">
        <f t="shared" ca="1" si="107"/>
        <v>0</v>
      </c>
      <c r="AA235" s="1">
        <f t="shared" si="122"/>
        <v>5432.58</v>
      </c>
      <c r="AB235" s="89"/>
      <c r="AC235" s="90"/>
      <c r="AD235" s="101">
        <f t="shared" si="123"/>
        <v>47274</v>
      </c>
      <c r="AE235" s="103">
        <f t="shared" si="124"/>
        <v>0</v>
      </c>
      <c r="AG235" s="1">
        <f t="shared" si="114"/>
        <v>0</v>
      </c>
      <c r="AH235" s="1">
        <f t="shared" si="98"/>
        <v>0</v>
      </c>
      <c r="AI235" s="1">
        <f t="shared" si="125"/>
        <v>5432.58</v>
      </c>
      <c r="AJ235" s="20">
        <f t="shared" si="127"/>
        <v>0</v>
      </c>
      <c r="AK235" s="100">
        <f t="shared" si="99"/>
        <v>0</v>
      </c>
      <c r="AL235" s="100">
        <f t="shared" si="100"/>
        <v>0</v>
      </c>
      <c r="AN235" s="100">
        <f t="shared" si="101"/>
        <v>4894.7454937440798</v>
      </c>
      <c r="AO235" s="20">
        <f t="shared" si="102"/>
        <v>0</v>
      </c>
      <c r="AQ235" s="109">
        <f t="shared" si="115"/>
        <v>0</v>
      </c>
      <c r="AU235" s="109">
        <f t="shared" si="116"/>
        <v>26.576266533799522</v>
      </c>
      <c r="AV235" s="101">
        <f t="shared" si="110"/>
        <v>47304</v>
      </c>
      <c r="AW235" s="99">
        <f t="shared" si="111"/>
        <v>0</v>
      </c>
      <c r="AX235" s="1">
        <f t="shared" si="117"/>
        <v>0</v>
      </c>
      <c r="AY235" s="29">
        <f t="shared" si="118"/>
        <v>0</v>
      </c>
      <c r="AZ235" s="1">
        <f t="shared" si="119"/>
        <v>0</v>
      </c>
      <c r="CB235" s="20">
        <f t="shared" si="97"/>
        <v>0</v>
      </c>
      <c r="CC235" s="173">
        <f t="shared" si="120"/>
        <v>0</v>
      </c>
    </row>
    <row r="236" spans="2:81" x14ac:dyDescent="0.25">
      <c r="B236" s="41"/>
      <c r="C236" s="42"/>
      <c r="D236" s="43"/>
      <c r="E236" s="44"/>
      <c r="F236" s="44"/>
      <c r="G236" s="45"/>
      <c r="H236" s="81" t="str">
        <f t="shared" si="108"/>
        <v/>
      </c>
      <c r="J236" s="9"/>
      <c r="K236" s="10"/>
      <c r="L236" s="14"/>
      <c r="M236" s="19"/>
      <c r="N236" s="19"/>
      <c r="O236" s="19"/>
      <c r="P236" s="19"/>
      <c r="Q236" s="1">
        <f t="shared" si="121"/>
        <v>0.60744618579017706</v>
      </c>
      <c r="R236" s="12">
        <f t="shared" ca="1" si="103"/>
        <v>6182</v>
      </c>
      <c r="S236" s="88">
        <f t="shared" si="112"/>
        <v>0</v>
      </c>
      <c r="T236" s="19">
        <f t="shared" si="113"/>
        <v>0</v>
      </c>
      <c r="U236" s="19">
        <f t="shared" si="109"/>
        <v>0</v>
      </c>
      <c r="V236" s="19">
        <f t="shared" si="126"/>
        <v>0</v>
      </c>
      <c r="W236" s="20">
        <f t="shared" ca="1" si="104"/>
        <v>0</v>
      </c>
      <c r="X236" s="19">
        <f t="shared" ca="1" si="105"/>
        <v>0</v>
      </c>
      <c r="Y236" s="19">
        <f t="shared" ca="1" si="106"/>
        <v>0</v>
      </c>
      <c r="Z236" s="20">
        <f t="shared" ca="1" si="107"/>
        <v>0</v>
      </c>
      <c r="AA236" s="1">
        <f t="shared" si="122"/>
        <v>5432.58</v>
      </c>
      <c r="AB236" s="87"/>
      <c r="AC236" s="88"/>
      <c r="AD236" s="101">
        <f t="shared" si="123"/>
        <v>47304</v>
      </c>
      <c r="AE236" s="103">
        <f t="shared" si="124"/>
        <v>0</v>
      </c>
      <c r="AG236" s="1">
        <f t="shared" si="114"/>
        <v>0</v>
      </c>
      <c r="AH236" s="1">
        <f t="shared" si="98"/>
        <v>0</v>
      </c>
      <c r="AI236" s="1">
        <f t="shared" si="125"/>
        <v>5432.58</v>
      </c>
      <c r="AJ236" s="20">
        <f t="shared" si="127"/>
        <v>0</v>
      </c>
      <c r="AK236" s="100">
        <f t="shared" si="99"/>
        <v>0</v>
      </c>
      <c r="AL236" s="100">
        <f t="shared" si="100"/>
        <v>0</v>
      </c>
      <c r="AN236" s="100">
        <f t="shared" si="101"/>
        <v>4892.269001956497</v>
      </c>
      <c r="AO236" s="20">
        <f t="shared" si="102"/>
        <v>0</v>
      </c>
      <c r="AQ236" s="109">
        <f t="shared" si="115"/>
        <v>0</v>
      </c>
      <c r="AU236" s="109">
        <f t="shared" si="116"/>
        <v>26.573933932932079</v>
      </c>
      <c r="AV236" s="101">
        <f t="shared" si="110"/>
        <v>47334</v>
      </c>
      <c r="AW236" s="99">
        <f t="shared" si="111"/>
        <v>0</v>
      </c>
      <c r="AX236" s="1">
        <f t="shared" si="117"/>
        <v>0</v>
      </c>
      <c r="AY236" s="29">
        <f t="shared" si="118"/>
        <v>0</v>
      </c>
      <c r="AZ236" s="1">
        <f t="shared" si="119"/>
        <v>0</v>
      </c>
      <c r="CB236" s="20">
        <f t="shared" si="97"/>
        <v>0</v>
      </c>
      <c r="CC236" s="173">
        <f t="shared" si="120"/>
        <v>0</v>
      </c>
    </row>
    <row r="237" spans="2:81" x14ac:dyDescent="0.25">
      <c r="B237" s="41"/>
      <c r="C237" s="42"/>
      <c r="D237" s="43"/>
      <c r="E237" s="44"/>
      <c r="F237" s="44"/>
      <c r="G237" s="45"/>
      <c r="H237" s="81" t="str">
        <f t="shared" si="108"/>
        <v/>
      </c>
      <c r="J237" s="7"/>
      <c r="K237" s="8"/>
      <c r="L237" s="15"/>
      <c r="M237" s="21"/>
      <c r="N237" s="21"/>
      <c r="O237" s="21"/>
      <c r="P237" s="21"/>
      <c r="Q237" s="1">
        <f t="shared" si="121"/>
        <v>0.60744618579017706</v>
      </c>
      <c r="R237" s="12">
        <f t="shared" ca="1" si="103"/>
        <v>6212</v>
      </c>
      <c r="S237" s="88">
        <f t="shared" si="112"/>
        <v>0</v>
      </c>
      <c r="T237" s="19">
        <f t="shared" si="113"/>
        <v>0</v>
      </c>
      <c r="U237" s="19">
        <f t="shared" si="109"/>
        <v>0</v>
      </c>
      <c r="V237" s="19">
        <f t="shared" si="126"/>
        <v>0</v>
      </c>
      <c r="W237" s="20">
        <f t="shared" ca="1" si="104"/>
        <v>0</v>
      </c>
      <c r="X237" s="19">
        <f t="shared" ca="1" si="105"/>
        <v>0</v>
      </c>
      <c r="Y237" s="19">
        <f t="shared" ca="1" si="106"/>
        <v>0</v>
      </c>
      <c r="Z237" s="20">
        <f t="shared" ca="1" si="107"/>
        <v>0</v>
      </c>
      <c r="AA237" s="1">
        <f t="shared" si="122"/>
        <v>5432.58</v>
      </c>
      <c r="AB237" s="89"/>
      <c r="AC237" s="90"/>
      <c r="AD237" s="101">
        <f t="shared" si="123"/>
        <v>47334</v>
      </c>
      <c r="AE237" s="103">
        <f t="shared" si="124"/>
        <v>0</v>
      </c>
      <c r="AG237" s="1">
        <f t="shared" si="114"/>
        <v>0</v>
      </c>
      <c r="AH237" s="1">
        <f t="shared" si="98"/>
        <v>0</v>
      </c>
      <c r="AI237" s="1">
        <f t="shared" si="125"/>
        <v>5432.58</v>
      </c>
      <c r="AJ237" s="20">
        <f t="shared" si="127"/>
        <v>0</v>
      </c>
      <c r="AK237" s="100">
        <f t="shared" si="99"/>
        <v>0</v>
      </c>
      <c r="AL237" s="100">
        <f t="shared" si="100"/>
        <v>0</v>
      </c>
      <c r="AN237" s="100">
        <f t="shared" si="101"/>
        <v>4889.7937631475606</v>
      </c>
      <c r="AO237" s="20">
        <f t="shared" si="102"/>
        <v>0</v>
      </c>
      <c r="AQ237" s="109">
        <f t="shared" si="115"/>
        <v>0</v>
      </c>
      <c r="AU237" s="109">
        <f t="shared" si="116"/>
        <v>26.571601536797186</v>
      </c>
      <c r="AV237" s="101">
        <f t="shared" si="110"/>
        <v>47364</v>
      </c>
      <c r="AW237" s="99">
        <f t="shared" si="111"/>
        <v>0</v>
      </c>
      <c r="AX237" s="1">
        <f t="shared" si="117"/>
        <v>0</v>
      </c>
      <c r="AY237" s="29">
        <f t="shared" si="118"/>
        <v>0</v>
      </c>
      <c r="AZ237" s="1">
        <f t="shared" si="119"/>
        <v>0</v>
      </c>
      <c r="CB237" s="20">
        <f t="shared" si="97"/>
        <v>0</v>
      </c>
      <c r="CC237" s="173">
        <f t="shared" si="120"/>
        <v>0</v>
      </c>
    </row>
    <row r="238" spans="2:81" x14ac:dyDescent="0.25">
      <c r="B238" s="41"/>
      <c r="C238" s="42"/>
      <c r="D238" s="43"/>
      <c r="E238" s="44"/>
      <c r="F238" s="44"/>
      <c r="G238" s="45"/>
      <c r="H238" s="81" t="str">
        <f t="shared" si="108"/>
        <v/>
      </c>
      <c r="J238" s="9"/>
      <c r="K238" s="10"/>
      <c r="L238" s="14"/>
      <c r="M238" s="19"/>
      <c r="N238" s="19"/>
      <c r="O238" s="19"/>
      <c r="P238" s="19"/>
      <c r="Q238" s="1">
        <f t="shared" si="121"/>
        <v>0.60744618579017706</v>
      </c>
      <c r="R238" s="12">
        <f t="shared" ca="1" si="103"/>
        <v>6242</v>
      </c>
      <c r="S238" s="88">
        <f t="shared" si="112"/>
        <v>0</v>
      </c>
      <c r="T238" s="19">
        <f t="shared" si="113"/>
        <v>0</v>
      </c>
      <c r="U238" s="19">
        <f t="shared" si="109"/>
        <v>0</v>
      </c>
      <c r="V238" s="19">
        <f t="shared" si="126"/>
        <v>0</v>
      </c>
      <c r="W238" s="20">
        <f t="shared" ca="1" si="104"/>
        <v>0</v>
      </c>
      <c r="X238" s="19">
        <f t="shared" ca="1" si="105"/>
        <v>0</v>
      </c>
      <c r="Y238" s="19">
        <f t="shared" ca="1" si="106"/>
        <v>0</v>
      </c>
      <c r="Z238" s="20">
        <f t="shared" ca="1" si="107"/>
        <v>0</v>
      </c>
      <c r="AA238" s="1">
        <f t="shared" si="122"/>
        <v>5432.58</v>
      </c>
      <c r="AB238" s="87"/>
      <c r="AC238" s="88"/>
      <c r="AD238" s="101">
        <f t="shared" si="123"/>
        <v>47364</v>
      </c>
      <c r="AE238" s="103">
        <f t="shared" si="124"/>
        <v>0</v>
      </c>
      <c r="AG238" s="1">
        <f t="shared" si="114"/>
        <v>0</v>
      </c>
      <c r="AH238" s="1">
        <f t="shared" si="98"/>
        <v>0</v>
      </c>
      <c r="AI238" s="1">
        <f t="shared" si="125"/>
        <v>5432.58</v>
      </c>
      <c r="AJ238" s="20">
        <f t="shared" si="127"/>
        <v>0</v>
      </c>
      <c r="AK238" s="100">
        <f t="shared" si="99"/>
        <v>0</v>
      </c>
      <c r="AL238" s="100">
        <f t="shared" si="100"/>
        <v>0</v>
      </c>
      <c r="AN238" s="100">
        <f t="shared" si="101"/>
        <v>4887.3197766833227</v>
      </c>
      <c r="AO238" s="20">
        <f t="shared" si="102"/>
        <v>0</v>
      </c>
      <c r="AQ238" s="109">
        <f t="shared" si="115"/>
        <v>0</v>
      </c>
      <c r="AU238" s="109">
        <f t="shared" si="116"/>
        <v>26.569269345376867</v>
      </c>
      <c r="AV238" s="101">
        <f t="shared" si="110"/>
        <v>47394</v>
      </c>
      <c r="AW238" s="99">
        <f t="shared" si="111"/>
        <v>0</v>
      </c>
      <c r="AX238" s="1">
        <f t="shared" si="117"/>
        <v>0</v>
      </c>
      <c r="AY238" s="29">
        <f t="shared" si="118"/>
        <v>0</v>
      </c>
      <c r="AZ238" s="1">
        <f t="shared" si="119"/>
        <v>0</v>
      </c>
      <c r="CB238" s="20">
        <f t="shared" ref="CB238:CB301" si="128">IF(O238=0,IF(P238&gt;0,V237,IF(O237=0,0,P238)),IF(O237=0,0,P238))</f>
        <v>0</v>
      </c>
      <c r="CC238" s="173">
        <f t="shared" si="120"/>
        <v>0</v>
      </c>
    </row>
    <row r="239" spans="2:81" x14ac:dyDescent="0.25">
      <c r="B239" s="41"/>
      <c r="C239" s="42"/>
      <c r="D239" s="43"/>
      <c r="E239" s="44"/>
      <c r="F239" s="44"/>
      <c r="G239" s="45"/>
      <c r="H239" s="81" t="str">
        <f t="shared" si="108"/>
        <v/>
      </c>
      <c r="J239" s="7"/>
      <c r="K239" s="8"/>
      <c r="L239" s="15"/>
      <c r="M239" s="21"/>
      <c r="N239" s="21"/>
      <c r="O239" s="21"/>
      <c r="P239" s="21"/>
      <c r="Q239" s="1">
        <f t="shared" si="121"/>
        <v>0.60744618579017706</v>
      </c>
      <c r="R239" s="12">
        <f t="shared" ca="1" si="103"/>
        <v>6272</v>
      </c>
      <c r="S239" s="88">
        <f t="shared" si="112"/>
        <v>0</v>
      </c>
      <c r="T239" s="19">
        <f t="shared" si="113"/>
        <v>0</v>
      </c>
      <c r="U239" s="19">
        <f t="shared" si="109"/>
        <v>0</v>
      </c>
      <c r="V239" s="19">
        <f t="shared" si="126"/>
        <v>0</v>
      </c>
      <c r="W239" s="20">
        <f t="shared" ca="1" si="104"/>
        <v>0</v>
      </c>
      <c r="X239" s="19">
        <f t="shared" ca="1" si="105"/>
        <v>0</v>
      </c>
      <c r="Y239" s="19">
        <f t="shared" ca="1" si="106"/>
        <v>0</v>
      </c>
      <c r="Z239" s="20">
        <f t="shared" ca="1" si="107"/>
        <v>0</v>
      </c>
      <c r="AA239" s="1">
        <f t="shared" si="122"/>
        <v>5432.58</v>
      </c>
      <c r="AB239" s="89"/>
      <c r="AC239" s="90"/>
      <c r="AD239" s="101">
        <f t="shared" si="123"/>
        <v>47394</v>
      </c>
      <c r="AE239" s="103">
        <f t="shared" si="124"/>
        <v>0</v>
      </c>
      <c r="AG239" s="1">
        <f t="shared" si="114"/>
        <v>0</v>
      </c>
      <c r="AH239" s="1">
        <f t="shared" ref="AH239:AH302" si="129">IF(ISERROR(IF(V238+U239+T239+(V238*Q239/1200)-AA239-P239&lt;0,0,(V238*Q239/1200))),0,IF(V238+U239+T239+(V238*Q239/1200)-AA239-P239&lt;0,0,(V238*Q239/1200)))</f>
        <v>0</v>
      </c>
      <c r="AI239" s="1">
        <f t="shared" si="125"/>
        <v>5432.58</v>
      </c>
      <c r="AJ239" s="20">
        <f t="shared" si="127"/>
        <v>0</v>
      </c>
      <c r="AK239" s="100">
        <f t="shared" ref="AK239:AK302" si="130">IF(ISERROR(AJ239/(1+(Q239)/1200)^(ROW()-29)),0,AJ239/(1+(Q239)/1200)^(ROW()-29))</f>
        <v>0</v>
      </c>
      <c r="AL239" s="100">
        <f t="shared" ref="AL239:AL302" si="131">IF(ISERROR((Q239/1200)*O239),0,(Q239/1200)*O239)</f>
        <v>0</v>
      </c>
      <c r="AN239" s="100">
        <f t="shared" ref="AN239:AN302" si="132">IF(ISERROR(AA239/(1+(Q239)/1200)^(ROW()-29)),0,AA239/(1+(Q239)/1200)^(ROW()-29))</f>
        <v>4884.8470419301657</v>
      </c>
      <c r="AO239" s="20">
        <f t="shared" ref="AO239:AO302" si="133">IF(ISERROR(V238+U239+T239+(V238*Q239/1200)-AA239-P239),0,IF(V238+U239+T239+(V238*Q239/1200)-AA239-P239&lt;0,V238,-(U239+T239-AA239+P239-AH239)))</f>
        <v>0</v>
      </c>
      <c r="AQ239" s="109">
        <f t="shared" si="115"/>
        <v>0</v>
      </c>
      <c r="AU239" s="109">
        <f t="shared" si="116"/>
        <v>26.566937358653174</v>
      </c>
      <c r="AV239" s="101">
        <f t="shared" si="110"/>
        <v>47424</v>
      </c>
      <c r="AW239" s="99">
        <f t="shared" si="111"/>
        <v>0</v>
      </c>
      <c r="AX239" s="1">
        <f t="shared" si="117"/>
        <v>0</v>
      </c>
      <c r="AY239" s="29">
        <f t="shared" si="118"/>
        <v>0</v>
      </c>
      <c r="AZ239" s="1">
        <f t="shared" si="119"/>
        <v>0</v>
      </c>
      <c r="CB239" s="20">
        <f t="shared" si="128"/>
        <v>0</v>
      </c>
      <c r="CC239" s="173">
        <f t="shared" si="120"/>
        <v>0</v>
      </c>
    </row>
    <row r="240" spans="2:81" x14ac:dyDescent="0.25">
      <c r="B240" s="41"/>
      <c r="C240" s="42"/>
      <c r="D240" s="43"/>
      <c r="E240" s="44"/>
      <c r="F240" s="44"/>
      <c r="G240" s="45"/>
      <c r="H240" s="81" t="str">
        <f t="shared" si="108"/>
        <v/>
      </c>
      <c r="J240" s="9"/>
      <c r="K240" s="10"/>
      <c r="L240" s="14"/>
      <c r="M240" s="19"/>
      <c r="N240" s="19"/>
      <c r="O240" s="19"/>
      <c r="P240" s="19"/>
      <c r="Q240" s="1">
        <f t="shared" si="121"/>
        <v>0.60744618579017706</v>
      </c>
      <c r="R240" s="12">
        <f t="shared" ca="1" si="103"/>
        <v>6302</v>
      </c>
      <c r="S240" s="88">
        <f t="shared" si="112"/>
        <v>0</v>
      </c>
      <c r="T240" s="19">
        <f t="shared" si="113"/>
        <v>0</v>
      </c>
      <c r="U240" s="19">
        <f t="shared" si="109"/>
        <v>0</v>
      </c>
      <c r="V240" s="19">
        <f t="shared" si="126"/>
        <v>0</v>
      </c>
      <c r="W240" s="20">
        <f t="shared" ca="1" si="104"/>
        <v>0</v>
      </c>
      <c r="X240" s="19">
        <f t="shared" ca="1" si="105"/>
        <v>0</v>
      </c>
      <c r="Y240" s="19">
        <f t="shared" ca="1" si="106"/>
        <v>0</v>
      </c>
      <c r="Z240" s="20">
        <f t="shared" ca="1" si="107"/>
        <v>0</v>
      </c>
      <c r="AA240" s="1">
        <f t="shared" si="122"/>
        <v>5432.58</v>
      </c>
      <c r="AB240" s="87"/>
      <c r="AC240" s="88"/>
      <c r="AD240" s="101">
        <f t="shared" si="123"/>
        <v>47424</v>
      </c>
      <c r="AE240" s="103">
        <f t="shared" si="124"/>
        <v>0</v>
      </c>
      <c r="AG240" s="1">
        <f t="shared" si="114"/>
        <v>0</v>
      </c>
      <c r="AH240" s="1">
        <f t="shared" si="129"/>
        <v>0</v>
      </c>
      <c r="AI240" s="1">
        <f t="shared" si="125"/>
        <v>5432.58</v>
      </c>
      <c r="AJ240" s="20">
        <f t="shared" si="127"/>
        <v>0</v>
      </c>
      <c r="AK240" s="100">
        <f t="shared" si="130"/>
        <v>0</v>
      </c>
      <c r="AL240" s="100">
        <f t="shared" si="131"/>
        <v>0</v>
      </c>
      <c r="AN240" s="100">
        <f t="shared" si="132"/>
        <v>4882.3755582547856</v>
      </c>
      <c r="AO240" s="20">
        <f t="shared" si="133"/>
        <v>0</v>
      </c>
      <c r="AQ240" s="109">
        <f t="shared" si="115"/>
        <v>0</v>
      </c>
      <c r="AU240" s="109">
        <f t="shared" si="116"/>
        <v>26.564605576608109</v>
      </c>
      <c r="AV240" s="101">
        <f t="shared" si="110"/>
        <v>47454</v>
      </c>
      <c r="AW240" s="99">
        <f t="shared" si="111"/>
        <v>0</v>
      </c>
      <c r="AX240" s="1">
        <f t="shared" si="117"/>
        <v>0</v>
      </c>
      <c r="AY240" s="29">
        <f t="shared" si="118"/>
        <v>0</v>
      </c>
      <c r="AZ240" s="1">
        <f t="shared" si="119"/>
        <v>0</v>
      </c>
      <c r="CB240" s="20">
        <f t="shared" si="128"/>
        <v>0</v>
      </c>
      <c r="CC240" s="173">
        <f t="shared" si="120"/>
        <v>0</v>
      </c>
    </row>
    <row r="241" spans="2:81" x14ac:dyDescent="0.25">
      <c r="B241" s="41"/>
      <c r="C241" s="42"/>
      <c r="D241" s="43"/>
      <c r="E241" s="44"/>
      <c r="F241" s="44"/>
      <c r="G241" s="45"/>
      <c r="H241" s="81" t="str">
        <f t="shared" si="108"/>
        <v/>
      </c>
      <c r="J241" s="7"/>
      <c r="K241" s="8"/>
      <c r="L241" s="15"/>
      <c r="M241" s="21"/>
      <c r="N241" s="21"/>
      <c r="O241" s="21"/>
      <c r="P241" s="21"/>
      <c r="Q241" s="1">
        <f t="shared" si="121"/>
        <v>0.60744618579017706</v>
      </c>
      <c r="R241" s="12">
        <f t="shared" ca="1" si="103"/>
        <v>6332</v>
      </c>
      <c r="S241" s="88">
        <f t="shared" si="112"/>
        <v>0</v>
      </c>
      <c r="T241" s="19">
        <f t="shared" si="113"/>
        <v>0</v>
      </c>
      <c r="U241" s="19">
        <f t="shared" si="109"/>
        <v>0</v>
      </c>
      <c r="V241" s="19">
        <f t="shared" si="126"/>
        <v>0</v>
      </c>
      <c r="W241" s="20">
        <f t="shared" ca="1" si="104"/>
        <v>0</v>
      </c>
      <c r="X241" s="19">
        <f t="shared" ca="1" si="105"/>
        <v>0</v>
      </c>
      <c r="Y241" s="19">
        <f t="shared" ca="1" si="106"/>
        <v>0</v>
      </c>
      <c r="Z241" s="20">
        <f t="shared" ca="1" si="107"/>
        <v>0</v>
      </c>
      <c r="AA241" s="1">
        <f t="shared" si="122"/>
        <v>5432.58</v>
      </c>
      <c r="AB241" s="89"/>
      <c r="AC241" s="90"/>
      <c r="AD241" s="101">
        <f t="shared" si="123"/>
        <v>47454</v>
      </c>
      <c r="AE241" s="103">
        <f t="shared" si="124"/>
        <v>0</v>
      </c>
      <c r="AG241" s="1">
        <f t="shared" si="114"/>
        <v>0</v>
      </c>
      <c r="AH241" s="1">
        <f t="shared" si="129"/>
        <v>0</v>
      </c>
      <c r="AI241" s="1">
        <f t="shared" si="125"/>
        <v>5432.58</v>
      </c>
      <c r="AJ241" s="20">
        <f t="shared" si="127"/>
        <v>0</v>
      </c>
      <c r="AK241" s="100">
        <f t="shared" si="130"/>
        <v>0</v>
      </c>
      <c r="AL241" s="100">
        <f t="shared" si="131"/>
        <v>0</v>
      </c>
      <c r="AN241" s="100">
        <f t="shared" si="132"/>
        <v>4879.9053250241968</v>
      </c>
      <c r="AO241" s="20">
        <f t="shared" si="133"/>
        <v>0</v>
      </c>
      <c r="AQ241" s="109">
        <f t="shared" si="115"/>
        <v>0</v>
      </c>
      <c r="AU241" s="109">
        <f t="shared" si="116"/>
        <v>26.562273999223741</v>
      </c>
      <c r="AV241" s="101">
        <f t="shared" si="110"/>
        <v>47484</v>
      </c>
      <c r="AW241" s="99">
        <f t="shared" si="111"/>
        <v>0</v>
      </c>
      <c r="AX241" s="1">
        <f t="shared" si="117"/>
        <v>0</v>
      </c>
      <c r="AY241" s="29">
        <f t="shared" si="118"/>
        <v>0</v>
      </c>
      <c r="AZ241" s="1">
        <f t="shared" si="119"/>
        <v>0</v>
      </c>
      <c r="CB241" s="20">
        <f t="shared" si="128"/>
        <v>0</v>
      </c>
      <c r="CC241" s="173">
        <f t="shared" si="120"/>
        <v>0</v>
      </c>
    </row>
    <row r="242" spans="2:81" x14ac:dyDescent="0.25">
      <c r="B242" s="41"/>
      <c r="C242" s="42"/>
      <c r="D242" s="43"/>
      <c r="E242" s="44"/>
      <c r="F242" s="44"/>
      <c r="G242" s="45"/>
      <c r="H242" s="81" t="str">
        <f t="shared" si="108"/>
        <v/>
      </c>
      <c r="J242" s="9"/>
      <c r="K242" s="10"/>
      <c r="L242" s="14"/>
      <c r="M242" s="19"/>
      <c r="N242" s="19"/>
      <c r="O242" s="19"/>
      <c r="P242" s="19"/>
      <c r="Q242" s="1">
        <f t="shared" si="121"/>
        <v>0.60744618579017706</v>
      </c>
      <c r="R242" s="12">
        <f t="shared" ca="1" si="103"/>
        <v>6362</v>
      </c>
      <c r="S242" s="88">
        <f t="shared" si="112"/>
        <v>0</v>
      </c>
      <c r="T242" s="19">
        <f t="shared" si="113"/>
        <v>0</v>
      </c>
      <c r="U242" s="19">
        <f t="shared" si="109"/>
        <v>0</v>
      </c>
      <c r="V242" s="19">
        <f t="shared" si="126"/>
        <v>0</v>
      </c>
      <c r="W242" s="20">
        <f t="shared" ca="1" si="104"/>
        <v>0</v>
      </c>
      <c r="X242" s="19">
        <f t="shared" ca="1" si="105"/>
        <v>0</v>
      </c>
      <c r="Y242" s="19">
        <f t="shared" ca="1" si="106"/>
        <v>0</v>
      </c>
      <c r="Z242" s="20">
        <f t="shared" ca="1" si="107"/>
        <v>0</v>
      </c>
      <c r="AA242" s="1">
        <f t="shared" si="122"/>
        <v>5432.58</v>
      </c>
      <c r="AB242" s="87"/>
      <c r="AC242" s="88"/>
      <c r="AD242" s="101">
        <f t="shared" si="123"/>
        <v>47484</v>
      </c>
      <c r="AE242" s="103">
        <f t="shared" si="124"/>
        <v>0</v>
      </c>
      <c r="AG242" s="1">
        <f t="shared" si="114"/>
        <v>0</v>
      </c>
      <c r="AH242" s="1">
        <f t="shared" si="129"/>
        <v>0</v>
      </c>
      <c r="AI242" s="1">
        <f t="shared" si="125"/>
        <v>5432.58</v>
      </c>
      <c r="AJ242" s="20">
        <f t="shared" si="127"/>
        <v>0</v>
      </c>
      <c r="AK242" s="100">
        <f t="shared" si="130"/>
        <v>0</v>
      </c>
      <c r="AL242" s="100">
        <f t="shared" si="131"/>
        <v>0</v>
      </c>
      <c r="AN242" s="100">
        <f t="shared" si="132"/>
        <v>4877.4363416057458</v>
      </c>
      <c r="AO242" s="20">
        <f t="shared" si="133"/>
        <v>0</v>
      </c>
      <c r="AQ242" s="109">
        <f t="shared" si="115"/>
        <v>0</v>
      </c>
      <c r="AU242" s="109">
        <f t="shared" si="116"/>
        <v>26.55994262648208</v>
      </c>
      <c r="AV242" s="101">
        <f t="shared" si="110"/>
        <v>47514</v>
      </c>
      <c r="AW242" s="99">
        <f t="shared" si="111"/>
        <v>0</v>
      </c>
      <c r="AX242" s="1">
        <f t="shared" si="117"/>
        <v>0</v>
      </c>
      <c r="AY242" s="29">
        <f t="shared" si="118"/>
        <v>0</v>
      </c>
      <c r="AZ242" s="1">
        <f t="shared" si="119"/>
        <v>0</v>
      </c>
      <c r="CB242" s="20">
        <f t="shared" si="128"/>
        <v>0</v>
      </c>
      <c r="CC242" s="173">
        <f t="shared" si="120"/>
        <v>0</v>
      </c>
    </row>
    <row r="243" spans="2:81" x14ac:dyDescent="0.25">
      <c r="B243" s="41"/>
      <c r="C243" s="42"/>
      <c r="D243" s="43"/>
      <c r="E243" s="44"/>
      <c r="F243" s="44"/>
      <c r="G243" s="45"/>
      <c r="H243" s="81" t="str">
        <f t="shared" si="108"/>
        <v/>
      </c>
      <c r="J243" s="7"/>
      <c r="K243" s="8"/>
      <c r="L243" s="15"/>
      <c r="M243" s="21"/>
      <c r="N243" s="21"/>
      <c r="O243" s="21"/>
      <c r="P243" s="21"/>
      <c r="Q243" s="1">
        <f t="shared" si="121"/>
        <v>0.60744618579017706</v>
      </c>
      <c r="R243" s="12">
        <f t="shared" ca="1" si="103"/>
        <v>6392</v>
      </c>
      <c r="S243" s="88">
        <f t="shared" si="112"/>
        <v>0</v>
      </c>
      <c r="T243" s="19">
        <f t="shared" si="113"/>
        <v>0</v>
      </c>
      <c r="U243" s="19">
        <f t="shared" si="109"/>
        <v>0</v>
      </c>
      <c r="V243" s="19">
        <f t="shared" si="126"/>
        <v>0</v>
      </c>
      <c r="W243" s="20">
        <f t="shared" ca="1" si="104"/>
        <v>0</v>
      </c>
      <c r="X243" s="19">
        <f t="shared" ca="1" si="105"/>
        <v>0</v>
      </c>
      <c r="Y243" s="19">
        <f t="shared" ca="1" si="106"/>
        <v>0</v>
      </c>
      <c r="Z243" s="20">
        <f t="shared" ca="1" si="107"/>
        <v>0</v>
      </c>
      <c r="AA243" s="1">
        <f t="shared" si="122"/>
        <v>5432.58</v>
      </c>
      <c r="AB243" s="89"/>
      <c r="AC243" s="90"/>
      <c r="AD243" s="101">
        <f t="shared" si="123"/>
        <v>47514</v>
      </c>
      <c r="AE243" s="103">
        <f t="shared" si="124"/>
        <v>0</v>
      </c>
      <c r="AG243" s="1">
        <f t="shared" si="114"/>
        <v>0</v>
      </c>
      <c r="AH243" s="1">
        <f t="shared" si="129"/>
        <v>0</v>
      </c>
      <c r="AI243" s="1">
        <f t="shared" si="125"/>
        <v>5432.58</v>
      </c>
      <c r="AJ243" s="20">
        <f t="shared" si="127"/>
        <v>0</v>
      </c>
      <c r="AK243" s="100">
        <f t="shared" si="130"/>
        <v>0</v>
      </c>
      <c r="AL243" s="100">
        <f t="shared" si="131"/>
        <v>0</v>
      </c>
      <c r="AN243" s="100">
        <f t="shared" si="132"/>
        <v>4874.9686073670837</v>
      </c>
      <c r="AO243" s="20">
        <f t="shared" si="133"/>
        <v>0</v>
      </c>
      <c r="AQ243" s="109">
        <f t="shared" si="115"/>
        <v>0</v>
      </c>
      <c r="AU243" s="109">
        <f t="shared" si="116"/>
        <v>26.557611458365184</v>
      </c>
      <c r="AV243" s="101">
        <f t="shared" si="110"/>
        <v>47544</v>
      </c>
      <c r="AW243" s="99">
        <f t="shared" si="111"/>
        <v>0</v>
      </c>
      <c r="AX243" s="1">
        <f t="shared" si="117"/>
        <v>0</v>
      </c>
      <c r="AY243" s="29">
        <f t="shared" si="118"/>
        <v>0</v>
      </c>
      <c r="AZ243" s="1">
        <f t="shared" si="119"/>
        <v>0</v>
      </c>
      <c r="CB243" s="20">
        <f t="shared" si="128"/>
        <v>0</v>
      </c>
      <c r="CC243" s="173">
        <f t="shared" si="120"/>
        <v>0</v>
      </c>
    </row>
    <row r="244" spans="2:81" x14ac:dyDescent="0.25">
      <c r="B244" s="41"/>
      <c r="C244" s="42"/>
      <c r="D244" s="43"/>
      <c r="E244" s="44"/>
      <c r="F244" s="44"/>
      <c r="G244" s="45"/>
      <c r="H244" s="81" t="str">
        <f t="shared" si="108"/>
        <v/>
      </c>
      <c r="J244" s="9"/>
      <c r="K244" s="10"/>
      <c r="L244" s="14"/>
      <c r="M244" s="19"/>
      <c r="N244" s="19"/>
      <c r="O244" s="19"/>
      <c r="P244" s="19"/>
      <c r="Q244" s="1">
        <f t="shared" si="121"/>
        <v>0.60744618579017706</v>
      </c>
      <c r="R244" s="12">
        <f t="shared" ca="1" si="103"/>
        <v>6422</v>
      </c>
      <c r="S244" s="88">
        <f t="shared" si="112"/>
        <v>0</v>
      </c>
      <c r="T244" s="19">
        <f t="shared" si="113"/>
        <v>0</v>
      </c>
      <c r="U244" s="19">
        <f t="shared" si="109"/>
        <v>0</v>
      </c>
      <c r="V244" s="19">
        <f t="shared" si="126"/>
        <v>0</v>
      </c>
      <c r="W244" s="20">
        <f t="shared" ca="1" si="104"/>
        <v>0</v>
      </c>
      <c r="X244" s="19">
        <f t="shared" ca="1" si="105"/>
        <v>0</v>
      </c>
      <c r="Y244" s="19">
        <f t="shared" ca="1" si="106"/>
        <v>0</v>
      </c>
      <c r="Z244" s="20">
        <f t="shared" ca="1" si="107"/>
        <v>0</v>
      </c>
      <c r="AA244" s="1">
        <f t="shared" si="122"/>
        <v>5432.58</v>
      </c>
      <c r="AB244" s="87"/>
      <c r="AC244" s="88"/>
      <c r="AD244" s="101">
        <f t="shared" si="123"/>
        <v>47544</v>
      </c>
      <c r="AE244" s="103">
        <f t="shared" si="124"/>
        <v>0</v>
      </c>
      <c r="AG244" s="1">
        <f t="shared" si="114"/>
        <v>0</v>
      </c>
      <c r="AH244" s="1">
        <f t="shared" si="129"/>
        <v>0</v>
      </c>
      <c r="AI244" s="1">
        <f t="shared" si="125"/>
        <v>5432.58</v>
      </c>
      <c r="AJ244" s="20">
        <f t="shared" si="127"/>
        <v>0</v>
      </c>
      <c r="AK244" s="100">
        <f t="shared" si="130"/>
        <v>0</v>
      </c>
      <c r="AL244" s="100">
        <f t="shared" si="131"/>
        <v>0</v>
      </c>
      <c r="AN244" s="100">
        <f t="shared" si="132"/>
        <v>4872.5021216761952</v>
      </c>
      <c r="AO244" s="20">
        <f t="shared" si="133"/>
        <v>0</v>
      </c>
      <c r="AQ244" s="109">
        <f t="shared" si="115"/>
        <v>0</v>
      </c>
      <c r="AU244" s="109">
        <f t="shared" si="116"/>
        <v>26.555280494855079</v>
      </c>
      <c r="AV244" s="101">
        <f t="shared" si="110"/>
        <v>47574</v>
      </c>
      <c r="AW244" s="99">
        <f t="shared" si="111"/>
        <v>0</v>
      </c>
      <c r="AX244" s="1">
        <f t="shared" si="117"/>
        <v>0</v>
      </c>
      <c r="AY244" s="29">
        <f t="shared" si="118"/>
        <v>0</v>
      </c>
      <c r="AZ244" s="1">
        <f t="shared" si="119"/>
        <v>0</v>
      </c>
      <c r="CB244" s="20">
        <f t="shared" si="128"/>
        <v>0</v>
      </c>
      <c r="CC244" s="173">
        <f t="shared" si="120"/>
        <v>0</v>
      </c>
    </row>
    <row r="245" spans="2:81" x14ac:dyDescent="0.25">
      <c r="B245" s="41"/>
      <c r="C245" s="42"/>
      <c r="D245" s="43"/>
      <c r="E245" s="44"/>
      <c r="F245" s="44"/>
      <c r="G245" s="45"/>
      <c r="H245" s="81" t="str">
        <f t="shared" si="108"/>
        <v/>
      </c>
      <c r="J245" s="7"/>
      <c r="K245" s="8"/>
      <c r="L245" s="15"/>
      <c r="M245" s="21"/>
      <c r="N245" s="21"/>
      <c r="O245" s="21"/>
      <c r="P245" s="21"/>
      <c r="Q245" s="1">
        <f t="shared" si="121"/>
        <v>0.60744618579017706</v>
      </c>
      <c r="R245" s="12">
        <f t="shared" ca="1" si="103"/>
        <v>6452</v>
      </c>
      <c r="S245" s="88">
        <f t="shared" si="112"/>
        <v>0</v>
      </c>
      <c r="T245" s="19">
        <f t="shared" si="113"/>
        <v>0</v>
      </c>
      <c r="U245" s="19">
        <f t="shared" si="109"/>
        <v>0</v>
      </c>
      <c r="V245" s="19">
        <f t="shared" si="126"/>
        <v>0</v>
      </c>
      <c r="W245" s="20">
        <f t="shared" ca="1" si="104"/>
        <v>0</v>
      </c>
      <c r="X245" s="19">
        <f t="shared" ca="1" si="105"/>
        <v>0</v>
      </c>
      <c r="Y245" s="19">
        <f t="shared" ca="1" si="106"/>
        <v>0</v>
      </c>
      <c r="Z245" s="20">
        <f t="shared" ca="1" si="107"/>
        <v>0</v>
      </c>
      <c r="AA245" s="1">
        <f t="shared" si="122"/>
        <v>5432.58</v>
      </c>
      <c r="AB245" s="89"/>
      <c r="AC245" s="90"/>
      <c r="AD245" s="101">
        <f t="shared" si="123"/>
        <v>47574</v>
      </c>
      <c r="AE245" s="103">
        <f t="shared" si="124"/>
        <v>0</v>
      </c>
      <c r="AG245" s="1">
        <f t="shared" si="114"/>
        <v>0</v>
      </c>
      <c r="AH245" s="1">
        <f t="shared" si="129"/>
        <v>0</v>
      </c>
      <c r="AI245" s="1">
        <f t="shared" si="125"/>
        <v>5432.58</v>
      </c>
      <c r="AJ245" s="20">
        <f t="shared" si="127"/>
        <v>0</v>
      </c>
      <c r="AK245" s="100">
        <f t="shared" si="130"/>
        <v>0</v>
      </c>
      <c r="AL245" s="100">
        <f t="shared" si="131"/>
        <v>0</v>
      </c>
      <c r="AN245" s="100">
        <f t="shared" si="132"/>
        <v>4870.0368839013763</v>
      </c>
      <c r="AO245" s="20">
        <f t="shared" si="133"/>
        <v>0</v>
      </c>
      <c r="AQ245" s="109">
        <f t="shared" si="115"/>
        <v>0</v>
      </c>
      <c r="AU245" s="109">
        <f t="shared" si="116"/>
        <v>26.552949735933822</v>
      </c>
      <c r="AV245" s="101">
        <f t="shared" si="110"/>
        <v>47604</v>
      </c>
      <c r="AW245" s="99">
        <f t="shared" si="111"/>
        <v>0</v>
      </c>
      <c r="AX245" s="1">
        <f t="shared" si="117"/>
        <v>0</v>
      </c>
      <c r="AY245" s="29">
        <f t="shared" si="118"/>
        <v>0</v>
      </c>
      <c r="AZ245" s="1">
        <f t="shared" si="119"/>
        <v>0</v>
      </c>
      <c r="CB245" s="20">
        <f t="shared" si="128"/>
        <v>0</v>
      </c>
      <c r="CC245" s="173">
        <f t="shared" si="120"/>
        <v>0</v>
      </c>
    </row>
    <row r="246" spans="2:81" x14ac:dyDescent="0.25">
      <c r="B246" s="41"/>
      <c r="C246" s="42"/>
      <c r="D246" s="43"/>
      <c r="E246" s="44"/>
      <c r="F246" s="44"/>
      <c r="G246" s="45"/>
      <c r="H246" s="81" t="str">
        <f t="shared" si="108"/>
        <v/>
      </c>
      <c r="J246" s="9"/>
      <c r="K246" s="10"/>
      <c r="L246" s="14"/>
      <c r="M246" s="19"/>
      <c r="N246" s="19"/>
      <c r="O246" s="19"/>
      <c r="P246" s="19"/>
      <c r="Q246" s="1">
        <f t="shared" si="121"/>
        <v>0.60744618579017706</v>
      </c>
      <c r="R246" s="12">
        <f t="shared" ca="1" si="103"/>
        <v>6482</v>
      </c>
      <c r="S246" s="88">
        <f t="shared" si="112"/>
        <v>0</v>
      </c>
      <c r="T246" s="19">
        <f t="shared" si="113"/>
        <v>0</v>
      </c>
      <c r="U246" s="19">
        <f t="shared" si="109"/>
        <v>0</v>
      </c>
      <c r="V246" s="19">
        <f t="shared" si="126"/>
        <v>0</v>
      </c>
      <c r="W246" s="20">
        <f t="shared" ca="1" si="104"/>
        <v>0</v>
      </c>
      <c r="X246" s="19">
        <f t="shared" ca="1" si="105"/>
        <v>0</v>
      </c>
      <c r="Y246" s="19">
        <f t="shared" ca="1" si="106"/>
        <v>0</v>
      </c>
      <c r="Z246" s="20">
        <f t="shared" ca="1" si="107"/>
        <v>0</v>
      </c>
      <c r="AA246" s="1">
        <f t="shared" si="122"/>
        <v>5432.58</v>
      </c>
      <c r="AB246" s="87"/>
      <c r="AC246" s="88"/>
      <c r="AD246" s="101">
        <f t="shared" si="123"/>
        <v>47604</v>
      </c>
      <c r="AE246" s="103">
        <f t="shared" si="124"/>
        <v>0</v>
      </c>
      <c r="AG246" s="1">
        <f t="shared" si="114"/>
        <v>0</v>
      </c>
      <c r="AH246" s="1">
        <f t="shared" si="129"/>
        <v>0</v>
      </c>
      <c r="AI246" s="1">
        <f t="shared" si="125"/>
        <v>5432.58</v>
      </c>
      <c r="AJ246" s="20">
        <f t="shared" si="127"/>
        <v>0</v>
      </c>
      <c r="AK246" s="100">
        <f t="shared" si="130"/>
        <v>0</v>
      </c>
      <c r="AL246" s="100">
        <f t="shared" si="131"/>
        <v>0</v>
      </c>
      <c r="AN246" s="100">
        <f t="shared" si="132"/>
        <v>4867.5728934112421</v>
      </c>
      <c r="AO246" s="20">
        <f t="shared" si="133"/>
        <v>0</v>
      </c>
      <c r="AQ246" s="109">
        <f t="shared" si="115"/>
        <v>0</v>
      </c>
      <c r="AU246" s="109">
        <f t="shared" si="116"/>
        <v>26.550619181583439</v>
      </c>
      <c r="AV246" s="101">
        <f t="shared" si="110"/>
        <v>47634</v>
      </c>
      <c r="AW246" s="99">
        <f t="shared" si="111"/>
        <v>0</v>
      </c>
      <c r="AX246" s="1">
        <f t="shared" si="117"/>
        <v>0</v>
      </c>
      <c r="AY246" s="29">
        <f t="shared" si="118"/>
        <v>0</v>
      </c>
      <c r="AZ246" s="1">
        <f t="shared" si="119"/>
        <v>0</v>
      </c>
      <c r="CB246" s="20">
        <f t="shared" si="128"/>
        <v>0</v>
      </c>
      <c r="CC246" s="173">
        <f t="shared" si="120"/>
        <v>0</v>
      </c>
    </row>
    <row r="247" spans="2:81" x14ac:dyDescent="0.25">
      <c r="B247" s="41"/>
      <c r="C247" s="42"/>
      <c r="D247" s="43"/>
      <c r="E247" s="44"/>
      <c r="F247" s="44"/>
      <c r="G247" s="45"/>
      <c r="H247" s="81" t="str">
        <f t="shared" si="108"/>
        <v/>
      </c>
      <c r="J247" s="7"/>
      <c r="K247" s="8"/>
      <c r="L247" s="15"/>
      <c r="M247" s="21"/>
      <c r="N247" s="21"/>
      <c r="O247" s="21"/>
      <c r="P247" s="21"/>
      <c r="Q247" s="1">
        <f t="shared" si="121"/>
        <v>0.60744618579017706</v>
      </c>
      <c r="R247" s="12">
        <f t="shared" ca="1" si="103"/>
        <v>6512</v>
      </c>
      <c r="S247" s="88">
        <f t="shared" si="112"/>
        <v>0</v>
      </c>
      <c r="T247" s="19">
        <f t="shared" si="113"/>
        <v>0</v>
      </c>
      <c r="U247" s="19">
        <f t="shared" si="109"/>
        <v>0</v>
      </c>
      <c r="V247" s="19">
        <f t="shared" si="126"/>
        <v>0</v>
      </c>
      <c r="W247" s="20">
        <f t="shared" ca="1" si="104"/>
        <v>0</v>
      </c>
      <c r="X247" s="19">
        <f t="shared" ca="1" si="105"/>
        <v>0</v>
      </c>
      <c r="Y247" s="19">
        <f t="shared" ca="1" si="106"/>
        <v>0</v>
      </c>
      <c r="Z247" s="20">
        <f t="shared" ca="1" si="107"/>
        <v>0</v>
      </c>
      <c r="AA247" s="1">
        <f t="shared" si="122"/>
        <v>5432.58</v>
      </c>
      <c r="AB247" s="89"/>
      <c r="AC247" s="90"/>
      <c r="AD247" s="101">
        <f t="shared" si="123"/>
        <v>47634</v>
      </c>
      <c r="AE247" s="103">
        <f t="shared" si="124"/>
        <v>0</v>
      </c>
      <c r="AG247" s="1">
        <f t="shared" si="114"/>
        <v>0</v>
      </c>
      <c r="AH247" s="1">
        <f t="shared" si="129"/>
        <v>0</v>
      </c>
      <c r="AI247" s="1">
        <f t="shared" si="125"/>
        <v>5432.58</v>
      </c>
      <c r="AJ247" s="20">
        <f t="shared" si="127"/>
        <v>0</v>
      </c>
      <c r="AK247" s="100">
        <f t="shared" si="130"/>
        <v>0</v>
      </c>
      <c r="AL247" s="100">
        <f t="shared" si="131"/>
        <v>0</v>
      </c>
      <c r="AN247" s="100">
        <f t="shared" si="132"/>
        <v>4865.1101495747353</v>
      </c>
      <c r="AO247" s="20">
        <f t="shared" si="133"/>
        <v>0</v>
      </c>
      <c r="AQ247" s="109">
        <f t="shared" si="115"/>
        <v>0</v>
      </c>
      <c r="AU247" s="109">
        <f t="shared" si="116"/>
        <v>26.548288831785985</v>
      </c>
      <c r="AV247" s="101">
        <f t="shared" si="110"/>
        <v>47664</v>
      </c>
      <c r="AW247" s="99">
        <f t="shared" si="111"/>
        <v>0</v>
      </c>
      <c r="AX247" s="1">
        <f t="shared" si="117"/>
        <v>0</v>
      </c>
      <c r="AY247" s="29">
        <f t="shared" si="118"/>
        <v>0</v>
      </c>
      <c r="AZ247" s="1">
        <f t="shared" si="119"/>
        <v>0</v>
      </c>
      <c r="CB247" s="20">
        <f t="shared" si="128"/>
        <v>0</v>
      </c>
      <c r="CC247" s="173">
        <f t="shared" si="120"/>
        <v>0</v>
      </c>
    </row>
    <row r="248" spans="2:81" x14ac:dyDescent="0.25">
      <c r="B248" s="41"/>
      <c r="C248" s="42"/>
      <c r="D248" s="43"/>
      <c r="E248" s="44"/>
      <c r="F248" s="44"/>
      <c r="G248" s="45"/>
      <c r="H248" s="81" t="str">
        <f t="shared" si="108"/>
        <v/>
      </c>
      <c r="J248" s="9"/>
      <c r="K248" s="10"/>
      <c r="L248" s="14"/>
      <c r="M248" s="19"/>
      <c r="N248" s="19"/>
      <c r="O248" s="19"/>
      <c r="P248" s="19"/>
      <c r="Q248" s="1">
        <f t="shared" si="121"/>
        <v>0.60744618579017706</v>
      </c>
      <c r="R248" s="12">
        <f t="shared" ca="1" si="103"/>
        <v>6542</v>
      </c>
      <c r="S248" s="88">
        <f t="shared" si="112"/>
        <v>0</v>
      </c>
      <c r="T248" s="19">
        <f t="shared" si="113"/>
        <v>0</v>
      </c>
      <c r="U248" s="19">
        <f t="shared" si="109"/>
        <v>0</v>
      </c>
      <c r="V248" s="19">
        <f t="shared" si="126"/>
        <v>0</v>
      </c>
      <c r="W248" s="20">
        <f t="shared" ca="1" si="104"/>
        <v>0</v>
      </c>
      <c r="X248" s="19">
        <f t="shared" ca="1" si="105"/>
        <v>0</v>
      </c>
      <c r="Y248" s="19">
        <f t="shared" ca="1" si="106"/>
        <v>0</v>
      </c>
      <c r="Z248" s="20">
        <f t="shared" ca="1" si="107"/>
        <v>0</v>
      </c>
      <c r="AA248" s="1">
        <f t="shared" si="122"/>
        <v>5432.58</v>
      </c>
      <c r="AB248" s="87"/>
      <c r="AC248" s="88"/>
      <c r="AD248" s="101">
        <f t="shared" si="123"/>
        <v>47664</v>
      </c>
      <c r="AE248" s="103">
        <f t="shared" si="124"/>
        <v>0</v>
      </c>
      <c r="AG248" s="1">
        <f t="shared" si="114"/>
        <v>0</v>
      </c>
      <c r="AH248" s="1">
        <f t="shared" si="129"/>
        <v>0</v>
      </c>
      <c r="AI248" s="1">
        <f t="shared" si="125"/>
        <v>5432.58</v>
      </c>
      <c r="AJ248" s="20">
        <f t="shared" si="127"/>
        <v>0</v>
      </c>
      <c r="AK248" s="100">
        <f t="shared" si="130"/>
        <v>0</v>
      </c>
      <c r="AL248" s="100">
        <f t="shared" si="131"/>
        <v>0</v>
      </c>
      <c r="AN248" s="100">
        <f t="shared" si="132"/>
        <v>4862.6486517611102</v>
      </c>
      <c r="AO248" s="20">
        <f t="shared" si="133"/>
        <v>0</v>
      </c>
      <c r="AQ248" s="109">
        <f t="shared" si="115"/>
        <v>0</v>
      </c>
      <c r="AU248" s="109">
        <f t="shared" si="116"/>
        <v>26.545958686523509</v>
      </c>
      <c r="AV248" s="101">
        <f t="shared" si="110"/>
        <v>47694</v>
      </c>
      <c r="AW248" s="99">
        <f t="shared" si="111"/>
        <v>0</v>
      </c>
      <c r="AX248" s="1">
        <f t="shared" si="117"/>
        <v>0</v>
      </c>
      <c r="AY248" s="29">
        <f t="shared" si="118"/>
        <v>0</v>
      </c>
      <c r="AZ248" s="1">
        <f t="shared" si="119"/>
        <v>0</v>
      </c>
      <c r="CB248" s="20">
        <f t="shared" si="128"/>
        <v>0</v>
      </c>
      <c r="CC248" s="173">
        <f t="shared" si="120"/>
        <v>0</v>
      </c>
    </row>
    <row r="249" spans="2:81" x14ac:dyDescent="0.25">
      <c r="B249" s="41"/>
      <c r="C249" s="42"/>
      <c r="D249" s="43"/>
      <c r="E249" s="44"/>
      <c r="F249" s="44"/>
      <c r="G249" s="45"/>
      <c r="H249" s="81" t="str">
        <f t="shared" si="108"/>
        <v/>
      </c>
      <c r="J249" s="7"/>
      <c r="K249" s="8"/>
      <c r="L249" s="15"/>
      <c r="M249" s="21"/>
      <c r="N249" s="21"/>
      <c r="O249" s="21"/>
      <c r="P249" s="21"/>
      <c r="Q249" s="1">
        <f t="shared" si="121"/>
        <v>0.60744618579017706</v>
      </c>
      <c r="R249" s="12">
        <f t="shared" ca="1" si="103"/>
        <v>6572</v>
      </c>
      <c r="S249" s="88">
        <f t="shared" si="112"/>
        <v>0</v>
      </c>
      <c r="T249" s="19">
        <f t="shared" si="113"/>
        <v>0</v>
      </c>
      <c r="U249" s="19">
        <f t="shared" si="109"/>
        <v>0</v>
      </c>
      <c r="V249" s="19">
        <f t="shared" si="126"/>
        <v>0</v>
      </c>
      <c r="W249" s="20">
        <f t="shared" ca="1" si="104"/>
        <v>0</v>
      </c>
      <c r="X249" s="19">
        <f t="shared" ca="1" si="105"/>
        <v>0</v>
      </c>
      <c r="Y249" s="19">
        <f t="shared" ca="1" si="106"/>
        <v>0</v>
      </c>
      <c r="Z249" s="20">
        <f t="shared" ca="1" si="107"/>
        <v>0</v>
      </c>
      <c r="AA249" s="1">
        <f t="shared" si="122"/>
        <v>5432.58</v>
      </c>
      <c r="AB249" s="89"/>
      <c r="AC249" s="90"/>
      <c r="AD249" s="101">
        <f t="shared" si="123"/>
        <v>47694</v>
      </c>
      <c r="AE249" s="103">
        <f t="shared" si="124"/>
        <v>0</v>
      </c>
      <c r="AG249" s="1">
        <f t="shared" si="114"/>
        <v>0</v>
      </c>
      <c r="AH249" s="1">
        <f t="shared" si="129"/>
        <v>0</v>
      </c>
      <c r="AI249" s="1">
        <f t="shared" si="125"/>
        <v>5432.58</v>
      </c>
      <c r="AJ249" s="20">
        <f t="shared" si="127"/>
        <v>0</v>
      </c>
      <c r="AK249" s="100">
        <f t="shared" si="130"/>
        <v>0</v>
      </c>
      <c r="AL249" s="100">
        <f t="shared" si="131"/>
        <v>0</v>
      </c>
      <c r="AN249" s="100">
        <f t="shared" si="132"/>
        <v>4860.1883993399424</v>
      </c>
      <c r="AO249" s="20">
        <f t="shared" si="133"/>
        <v>0</v>
      </c>
      <c r="AQ249" s="109">
        <f t="shared" si="115"/>
        <v>0</v>
      </c>
      <c r="AU249" s="109">
        <f t="shared" si="116"/>
        <v>26.543628745778051</v>
      </c>
      <c r="AV249" s="101">
        <f t="shared" si="110"/>
        <v>47724</v>
      </c>
      <c r="AW249" s="99">
        <f t="shared" si="111"/>
        <v>0</v>
      </c>
      <c r="AX249" s="1">
        <f t="shared" si="117"/>
        <v>0</v>
      </c>
      <c r="AY249" s="29">
        <f t="shared" si="118"/>
        <v>0</v>
      </c>
      <c r="AZ249" s="1">
        <f t="shared" si="119"/>
        <v>0</v>
      </c>
      <c r="CB249" s="20">
        <f t="shared" si="128"/>
        <v>0</v>
      </c>
      <c r="CC249" s="173">
        <f t="shared" si="120"/>
        <v>0</v>
      </c>
    </row>
    <row r="250" spans="2:81" x14ac:dyDescent="0.25">
      <c r="B250" s="41"/>
      <c r="C250" s="42"/>
      <c r="D250" s="43"/>
      <c r="E250" s="44"/>
      <c r="F250" s="44"/>
      <c r="G250" s="45"/>
      <c r="H250" s="81" t="str">
        <f t="shared" si="108"/>
        <v/>
      </c>
      <c r="J250" s="9"/>
      <c r="K250" s="10"/>
      <c r="L250" s="14"/>
      <c r="M250" s="19"/>
      <c r="N250" s="19"/>
      <c r="O250" s="19"/>
      <c r="P250" s="19"/>
      <c r="Q250" s="1">
        <f t="shared" si="121"/>
        <v>0.60744618579017706</v>
      </c>
      <c r="R250" s="12">
        <f t="shared" ca="1" si="103"/>
        <v>6602</v>
      </c>
      <c r="S250" s="88">
        <f t="shared" si="112"/>
        <v>0</v>
      </c>
      <c r="T250" s="19">
        <f t="shared" si="113"/>
        <v>0</v>
      </c>
      <c r="U250" s="19">
        <f t="shared" si="109"/>
        <v>0</v>
      </c>
      <c r="V250" s="19">
        <f t="shared" si="126"/>
        <v>0</v>
      </c>
      <c r="W250" s="20">
        <f t="shared" ca="1" si="104"/>
        <v>0</v>
      </c>
      <c r="X250" s="19">
        <f t="shared" ca="1" si="105"/>
        <v>0</v>
      </c>
      <c r="Y250" s="19">
        <f t="shared" ca="1" si="106"/>
        <v>0</v>
      </c>
      <c r="Z250" s="20">
        <f t="shared" ca="1" si="107"/>
        <v>0</v>
      </c>
      <c r="AA250" s="1">
        <f t="shared" si="122"/>
        <v>5432.58</v>
      </c>
      <c r="AB250" s="87"/>
      <c r="AC250" s="88"/>
      <c r="AD250" s="101">
        <f t="shared" si="123"/>
        <v>47724</v>
      </c>
      <c r="AE250" s="103">
        <f t="shared" si="124"/>
        <v>0</v>
      </c>
      <c r="AG250" s="1">
        <f t="shared" si="114"/>
        <v>0</v>
      </c>
      <c r="AH250" s="1">
        <f t="shared" si="129"/>
        <v>0</v>
      </c>
      <c r="AI250" s="1">
        <f t="shared" si="125"/>
        <v>5432.58</v>
      </c>
      <c r="AJ250" s="20">
        <f t="shared" si="127"/>
        <v>0</v>
      </c>
      <c r="AK250" s="100">
        <f t="shared" si="130"/>
        <v>0</v>
      </c>
      <c r="AL250" s="100">
        <f t="shared" si="131"/>
        <v>0</v>
      </c>
      <c r="AN250" s="100">
        <f t="shared" si="132"/>
        <v>4857.7293916811268</v>
      </c>
      <c r="AO250" s="20">
        <f t="shared" si="133"/>
        <v>0</v>
      </c>
      <c r="AQ250" s="109">
        <f t="shared" si="115"/>
        <v>0</v>
      </c>
      <c r="AU250" s="109">
        <f t="shared" si="116"/>
        <v>26.541299009531663</v>
      </c>
      <c r="AV250" s="101">
        <f t="shared" si="110"/>
        <v>47754</v>
      </c>
      <c r="AW250" s="99">
        <f t="shared" si="111"/>
        <v>0</v>
      </c>
      <c r="AX250" s="1">
        <f t="shared" si="117"/>
        <v>0</v>
      </c>
      <c r="AY250" s="29">
        <f t="shared" si="118"/>
        <v>0</v>
      </c>
      <c r="AZ250" s="1">
        <f t="shared" si="119"/>
        <v>0</v>
      </c>
      <c r="CB250" s="20">
        <f t="shared" si="128"/>
        <v>0</v>
      </c>
      <c r="CC250" s="173">
        <f t="shared" si="120"/>
        <v>0</v>
      </c>
    </row>
    <row r="251" spans="2:81" x14ac:dyDescent="0.25">
      <c r="B251" s="41"/>
      <c r="C251" s="42"/>
      <c r="D251" s="43"/>
      <c r="E251" s="44"/>
      <c r="F251" s="44"/>
      <c r="G251" s="45"/>
      <c r="H251" s="81" t="str">
        <f t="shared" si="108"/>
        <v/>
      </c>
      <c r="J251" s="7"/>
      <c r="K251" s="8"/>
      <c r="L251" s="15"/>
      <c r="M251" s="21"/>
      <c r="N251" s="21"/>
      <c r="O251" s="21"/>
      <c r="P251" s="21"/>
      <c r="Q251" s="1">
        <f t="shared" si="121"/>
        <v>0.60744618579017706</v>
      </c>
      <c r="R251" s="12">
        <f t="shared" ca="1" si="103"/>
        <v>6632</v>
      </c>
      <c r="S251" s="88">
        <f t="shared" si="112"/>
        <v>0</v>
      </c>
      <c r="T251" s="19">
        <f t="shared" si="113"/>
        <v>0</v>
      </c>
      <c r="U251" s="19">
        <f t="shared" si="109"/>
        <v>0</v>
      </c>
      <c r="V251" s="19">
        <f t="shared" si="126"/>
        <v>0</v>
      </c>
      <c r="W251" s="20">
        <f t="shared" ca="1" si="104"/>
        <v>0</v>
      </c>
      <c r="X251" s="19">
        <f t="shared" ca="1" si="105"/>
        <v>0</v>
      </c>
      <c r="Y251" s="19">
        <f t="shared" ca="1" si="106"/>
        <v>0</v>
      </c>
      <c r="Z251" s="20">
        <f t="shared" ca="1" si="107"/>
        <v>0</v>
      </c>
      <c r="AA251" s="1">
        <f t="shared" si="122"/>
        <v>5432.58</v>
      </c>
      <c r="AB251" s="89"/>
      <c r="AC251" s="90"/>
      <c r="AD251" s="101">
        <f t="shared" si="123"/>
        <v>47754</v>
      </c>
      <c r="AE251" s="103">
        <f t="shared" si="124"/>
        <v>0</v>
      </c>
      <c r="AG251" s="1">
        <f t="shared" si="114"/>
        <v>0</v>
      </c>
      <c r="AH251" s="1">
        <f t="shared" si="129"/>
        <v>0</v>
      </c>
      <c r="AI251" s="1">
        <f t="shared" si="125"/>
        <v>5432.58</v>
      </c>
      <c r="AJ251" s="20">
        <f t="shared" si="127"/>
        <v>0</v>
      </c>
      <c r="AK251" s="100">
        <f t="shared" si="130"/>
        <v>0</v>
      </c>
      <c r="AL251" s="100">
        <f t="shared" si="131"/>
        <v>0</v>
      </c>
      <c r="AN251" s="100">
        <f t="shared" si="132"/>
        <v>4855.2716281548765</v>
      </c>
      <c r="AO251" s="20">
        <f t="shared" si="133"/>
        <v>0</v>
      </c>
      <c r="AQ251" s="109">
        <f t="shared" si="115"/>
        <v>0</v>
      </c>
      <c r="AU251" s="109">
        <f t="shared" si="116"/>
        <v>26.53896947776639</v>
      </c>
      <c r="AV251" s="101">
        <f t="shared" si="110"/>
        <v>47784</v>
      </c>
      <c r="AW251" s="99">
        <f t="shared" si="111"/>
        <v>0</v>
      </c>
      <c r="AX251" s="1">
        <f t="shared" si="117"/>
        <v>0</v>
      </c>
      <c r="AY251" s="29">
        <f t="shared" si="118"/>
        <v>0</v>
      </c>
      <c r="AZ251" s="1">
        <f t="shared" si="119"/>
        <v>0</v>
      </c>
      <c r="CB251" s="20">
        <f t="shared" si="128"/>
        <v>0</v>
      </c>
      <c r="CC251" s="173">
        <f t="shared" si="120"/>
        <v>0</v>
      </c>
    </row>
    <row r="252" spans="2:81" x14ac:dyDescent="0.25">
      <c r="B252" s="41"/>
      <c r="C252" s="42"/>
      <c r="D252" s="43"/>
      <c r="E252" s="44"/>
      <c r="F252" s="44"/>
      <c r="G252" s="45"/>
      <c r="H252" s="81" t="str">
        <f t="shared" si="108"/>
        <v/>
      </c>
      <c r="J252" s="9"/>
      <c r="K252" s="10"/>
      <c r="L252" s="14"/>
      <c r="M252" s="19"/>
      <c r="N252" s="19"/>
      <c r="O252" s="19"/>
      <c r="P252" s="19"/>
      <c r="Q252" s="1">
        <f t="shared" si="121"/>
        <v>0.60744618579017706</v>
      </c>
      <c r="R252" s="12">
        <f t="shared" ca="1" si="103"/>
        <v>6662</v>
      </c>
      <c r="S252" s="88">
        <f t="shared" si="112"/>
        <v>0</v>
      </c>
      <c r="T252" s="19">
        <f t="shared" si="113"/>
        <v>0</v>
      </c>
      <c r="U252" s="19">
        <f t="shared" si="109"/>
        <v>0</v>
      </c>
      <c r="V252" s="19">
        <f t="shared" si="126"/>
        <v>0</v>
      </c>
      <c r="W252" s="20">
        <f t="shared" ca="1" si="104"/>
        <v>0</v>
      </c>
      <c r="X252" s="19">
        <f t="shared" ca="1" si="105"/>
        <v>0</v>
      </c>
      <c r="Y252" s="19">
        <f t="shared" ca="1" si="106"/>
        <v>0</v>
      </c>
      <c r="Z252" s="20">
        <f t="shared" ca="1" si="107"/>
        <v>0</v>
      </c>
      <c r="AA252" s="1">
        <f t="shared" si="122"/>
        <v>5432.58</v>
      </c>
      <c r="AB252" s="87"/>
      <c r="AC252" s="88"/>
      <c r="AD252" s="101">
        <f t="shared" si="123"/>
        <v>47784</v>
      </c>
      <c r="AE252" s="103">
        <f t="shared" si="124"/>
        <v>0</v>
      </c>
      <c r="AG252" s="1">
        <f t="shared" si="114"/>
        <v>0</v>
      </c>
      <c r="AH252" s="1">
        <f t="shared" si="129"/>
        <v>0</v>
      </c>
      <c r="AI252" s="1">
        <f t="shared" si="125"/>
        <v>5432.58</v>
      </c>
      <c r="AJ252" s="20">
        <f t="shared" si="127"/>
        <v>0</v>
      </c>
      <c r="AK252" s="100">
        <f t="shared" si="130"/>
        <v>0</v>
      </c>
      <c r="AL252" s="100">
        <f t="shared" si="131"/>
        <v>0</v>
      </c>
      <c r="AN252" s="100">
        <f t="shared" si="132"/>
        <v>4852.8151081317283</v>
      </c>
      <c r="AO252" s="20">
        <f t="shared" si="133"/>
        <v>0</v>
      </c>
      <c r="AQ252" s="109">
        <f t="shared" si="115"/>
        <v>0</v>
      </c>
      <c r="AU252" s="109">
        <f t="shared" si="116"/>
        <v>26.536640150464297</v>
      </c>
      <c r="AV252" s="101">
        <f t="shared" si="110"/>
        <v>47814</v>
      </c>
      <c r="AW252" s="99">
        <f t="shared" si="111"/>
        <v>0</v>
      </c>
      <c r="AX252" s="1">
        <f t="shared" si="117"/>
        <v>0</v>
      </c>
      <c r="AY252" s="29">
        <f t="shared" si="118"/>
        <v>0</v>
      </c>
      <c r="AZ252" s="1">
        <f t="shared" si="119"/>
        <v>0</v>
      </c>
      <c r="CB252" s="20">
        <f t="shared" si="128"/>
        <v>0</v>
      </c>
      <c r="CC252" s="173">
        <f t="shared" si="120"/>
        <v>0</v>
      </c>
    </row>
    <row r="253" spans="2:81" x14ac:dyDescent="0.25">
      <c r="B253" s="41"/>
      <c r="C253" s="42"/>
      <c r="D253" s="43"/>
      <c r="E253" s="44"/>
      <c r="F253" s="44"/>
      <c r="G253" s="45"/>
      <c r="H253" s="81" t="str">
        <f t="shared" si="108"/>
        <v/>
      </c>
      <c r="J253" s="7"/>
      <c r="K253" s="8"/>
      <c r="L253" s="15"/>
      <c r="M253" s="21"/>
      <c r="N253" s="21"/>
      <c r="O253" s="21"/>
      <c r="P253" s="21"/>
      <c r="Q253" s="1">
        <f t="shared" si="121"/>
        <v>0.60744618579017706</v>
      </c>
      <c r="R253" s="12">
        <f t="shared" ca="1" si="103"/>
        <v>6692</v>
      </c>
      <c r="S253" s="88">
        <f t="shared" si="112"/>
        <v>0</v>
      </c>
      <c r="T253" s="19">
        <f t="shared" si="113"/>
        <v>0</v>
      </c>
      <c r="U253" s="19">
        <f t="shared" si="109"/>
        <v>0</v>
      </c>
      <c r="V253" s="19">
        <f t="shared" si="126"/>
        <v>0</v>
      </c>
      <c r="W253" s="20">
        <f t="shared" ca="1" si="104"/>
        <v>0</v>
      </c>
      <c r="X253" s="19">
        <f t="shared" ca="1" si="105"/>
        <v>0</v>
      </c>
      <c r="Y253" s="19">
        <f t="shared" ca="1" si="106"/>
        <v>0</v>
      </c>
      <c r="Z253" s="20">
        <f t="shared" ca="1" si="107"/>
        <v>0</v>
      </c>
      <c r="AA253" s="1">
        <f t="shared" si="122"/>
        <v>5432.58</v>
      </c>
      <c r="AB253" s="89"/>
      <c r="AC253" s="90"/>
      <c r="AD253" s="101">
        <f t="shared" si="123"/>
        <v>47814</v>
      </c>
      <c r="AE253" s="103">
        <f t="shared" si="124"/>
        <v>0</v>
      </c>
      <c r="AG253" s="1">
        <f t="shared" si="114"/>
        <v>0</v>
      </c>
      <c r="AH253" s="1">
        <f t="shared" si="129"/>
        <v>0</v>
      </c>
      <c r="AI253" s="1">
        <f t="shared" si="125"/>
        <v>5432.58</v>
      </c>
      <c r="AJ253" s="20">
        <f t="shared" si="127"/>
        <v>0</v>
      </c>
      <c r="AK253" s="100">
        <f t="shared" si="130"/>
        <v>0</v>
      </c>
      <c r="AL253" s="100">
        <f t="shared" si="131"/>
        <v>0</v>
      </c>
      <c r="AN253" s="100">
        <f t="shared" si="132"/>
        <v>4850.3598309825275</v>
      </c>
      <c r="AO253" s="20">
        <f t="shared" si="133"/>
        <v>0</v>
      </c>
      <c r="AQ253" s="109">
        <f t="shared" si="115"/>
        <v>0</v>
      </c>
      <c r="AU253" s="109">
        <f t="shared" si="116"/>
        <v>26.534311027607433</v>
      </c>
      <c r="AV253" s="101">
        <f t="shared" si="110"/>
        <v>47844</v>
      </c>
      <c r="AW253" s="99">
        <f t="shared" si="111"/>
        <v>0</v>
      </c>
      <c r="AX253" s="1">
        <f t="shared" si="117"/>
        <v>0</v>
      </c>
      <c r="AY253" s="29">
        <f t="shared" si="118"/>
        <v>0</v>
      </c>
      <c r="AZ253" s="1">
        <f t="shared" si="119"/>
        <v>0</v>
      </c>
      <c r="CB253" s="20">
        <f t="shared" si="128"/>
        <v>0</v>
      </c>
      <c r="CC253" s="173">
        <f t="shared" si="120"/>
        <v>0</v>
      </c>
    </row>
    <row r="254" spans="2:81" x14ac:dyDescent="0.25">
      <c r="B254" s="41"/>
      <c r="C254" s="42"/>
      <c r="D254" s="43"/>
      <c r="E254" s="44"/>
      <c r="F254" s="44"/>
      <c r="G254" s="45"/>
      <c r="H254" s="81" t="str">
        <f t="shared" si="108"/>
        <v/>
      </c>
      <c r="J254" s="9"/>
      <c r="K254" s="10"/>
      <c r="L254" s="14"/>
      <c r="M254" s="19"/>
      <c r="N254" s="19"/>
      <c r="O254" s="19"/>
      <c r="P254" s="19"/>
      <c r="Q254" s="1">
        <f t="shared" si="121"/>
        <v>0.60744618579017706</v>
      </c>
      <c r="R254" s="12">
        <f t="shared" ca="1" si="103"/>
        <v>6722</v>
      </c>
      <c r="S254" s="88">
        <f t="shared" si="112"/>
        <v>0</v>
      </c>
      <c r="T254" s="19">
        <f t="shared" si="113"/>
        <v>0</v>
      </c>
      <c r="U254" s="19">
        <f t="shared" si="109"/>
        <v>0</v>
      </c>
      <c r="V254" s="19">
        <f t="shared" si="126"/>
        <v>0</v>
      </c>
      <c r="W254" s="20">
        <f t="shared" ca="1" si="104"/>
        <v>0</v>
      </c>
      <c r="X254" s="19">
        <f t="shared" ca="1" si="105"/>
        <v>0</v>
      </c>
      <c r="Y254" s="19">
        <f t="shared" ca="1" si="106"/>
        <v>0</v>
      </c>
      <c r="Z254" s="20">
        <f t="shared" ca="1" si="107"/>
        <v>0</v>
      </c>
      <c r="AA254" s="1">
        <f t="shared" si="122"/>
        <v>5432.58</v>
      </c>
      <c r="AB254" s="87"/>
      <c r="AC254" s="88"/>
      <c r="AD254" s="101">
        <f t="shared" si="123"/>
        <v>47844</v>
      </c>
      <c r="AE254" s="103">
        <f t="shared" si="124"/>
        <v>0</v>
      </c>
      <c r="AG254" s="1">
        <f t="shared" si="114"/>
        <v>0</v>
      </c>
      <c r="AH254" s="1">
        <f t="shared" si="129"/>
        <v>0</v>
      </c>
      <c r="AI254" s="1">
        <f t="shared" si="125"/>
        <v>5432.58</v>
      </c>
      <c r="AJ254" s="20">
        <f t="shared" si="127"/>
        <v>0</v>
      </c>
      <c r="AK254" s="100">
        <f t="shared" si="130"/>
        <v>0</v>
      </c>
      <c r="AL254" s="100">
        <f t="shared" si="131"/>
        <v>0</v>
      </c>
      <c r="AN254" s="100">
        <f t="shared" si="132"/>
        <v>4847.9057960784457</v>
      </c>
      <c r="AO254" s="20">
        <f t="shared" si="133"/>
        <v>0</v>
      </c>
      <c r="AQ254" s="109">
        <f t="shared" si="115"/>
        <v>0</v>
      </c>
      <c r="AU254" s="109">
        <f t="shared" si="116"/>
        <v>26.531982109177857</v>
      </c>
      <c r="AV254" s="101">
        <f t="shared" si="110"/>
        <v>47874</v>
      </c>
      <c r="AW254" s="99">
        <f t="shared" si="111"/>
        <v>0</v>
      </c>
      <c r="AX254" s="1">
        <f t="shared" si="117"/>
        <v>0</v>
      </c>
      <c r="AY254" s="29">
        <f t="shared" si="118"/>
        <v>0</v>
      </c>
      <c r="AZ254" s="1">
        <f t="shared" si="119"/>
        <v>0</v>
      </c>
      <c r="CB254" s="20">
        <f t="shared" si="128"/>
        <v>0</v>
      </c>
      <c r="CC254" s="173">
        <f t="shared" si="120"/>
        <v>0</v>
      </c>
    </row>
    <row r="255" spans="2:81" x14ac:dyDescent="0.25">
      <c r="B255" s="41"/>
      <c r="C255" s="42"/>
      <c r="D255" s="43"/>
      <c r="E255" s="44"/>
      <c r="F255" s="44"/>
      <c r="G255" s="45"/>
      <c r="H255" s="81" t="str">
        <f t="shared" si="108"/>
        <v/>
      </c>
      <c r="J255" s="7"/>
      <c r="K255" s="8"/>
      <c r="L255" s="15"/>
      <c r="M255" s="21"/>
      <c r="N255" s="21"/>
      <c r="O255" s="21"/>
      <c r="P255" s="21"/>
      <c r="Q255" s="1">
        <f t="shared" si="121"/>
        <v>0.60744618579017706</v>
      </c>
      <c r="R255" s="12">
        <f t="shared" ca="1" si="103"/>
        <v>6752</v>
      </c>
      <c r="S255" s="88">
        <f t="shared" si="112"/>
        <v>0</v>
      </c>
      <c r="T255" s="19">
        <f t="shared" si="113"/>
        <v>0</v>
      </c>
      <c r="U255" s="19">
        <f t="shared" si="109"/>
        <v>0</v>
      </c>
      <c r="V255" s="19">
        <f t="shared" si="126"/>
        <v>0</v>
      </c>
      <c r="W255" s="20">
        <f t="shared" ca="1" si="104"/>
        <v>0</v>
      </c>
      <c r="X255" s="19">
        <f t="shared" ca="1" si="105"/>
        <v>0</v>
      </c>
      <c r="Y255" s="19">
        <f t="shared" ca="1" si="106"/>
        <v>0</v>
      </c>
      <c r="Z255" s="20">
        <f t="shared" ca="1" si="107"/>
        <v>0</v>
      </c>
      <c r="AA255" s="1">
        <f t="shared" si="122"/>
        <v>5432.58</v>
      </c>
      <c r="AB255" s="89"/>
      <c r="AC255" s="90"/>
      <c r="AD255" s="101">
        <f t="shared" si="123"/>
        <v>47874</v>
      </c>
      <c r="AE255" s="103">
        <f t="shared" si="124"/>
        <v>0</v>
      </c>
      <c r="AG255" s="1">
        <f t="shared" si="114"/>
        <v>0</v>
      </c>
      <c r="AH255" s="1">
        <f t="shared" si="129"/>
        <v>0</v>
      </c>
      <c r="AI255" s="1">
        <f t="shared" si="125"/>
        <v>5432.58</v>
      </c>
      <c r="AJ255" s="20">
        <f t="shared" si="127"/>
        <v>0</v>
      </c>
      <c r="AK255" s="100">
        <f t="shared" si="130"/>
        <v>0</v>
      </c>
      <c r="AL255" s="100">
        <f t="shared" si="131"/>
        <v>0</v>
      </c>
      <c r="AN255" s="100">
        <f t="shared" si="132"/>
        <v>4845.4530027909695</v>
      </c>
      <c r="AO255" s="20">
        <f t="shared" si="133"/>
        <v>0</v>
      </c>
      <c r="AQ255" s="109">
        <f t="shared" si="115"/>
        <v>0</v>
      </c>
      <c r="AU255" s="109">
        <f t="shared" si="116"/>
        <v>26.529653395157617</v>
      </c>
      <c r="AV255" s="101">
        <f t="shared" si="110"/>
        <v>47904</v>
      </c>
      <c r="AW255" s="99">
        <f t="shared" si="111"/>
        <v>0</v>
      </c>
      <c r="AX255" s="1">
        <f t="shared" si="117"/>
        <v>0</v>
      </c>
      <c r="AY255" s="29">
        <f t="shared" si="118"/>
        <v>0</v>
      </c>
      <c r="AZ255" s="1">
        <f t="shared" si="119"/>
        <v>0</v>
      </c>
      <c r="CB255" s="20">
        <f t="shared" si="128"/>
        <v>0</v>
      </c>
      <c r="CC255" s="173">
        <f t="shared" si="120"/>
        <v>0</v>
      </c>
    </row>
    <row r="256" spans="2:81" x14ac:dyDescent="0.25">
      <c r="B256" s="41"/>
      <c r="C256" s="42"/>
      <c r="D256" s="43"/>
      <c r="E256" s="44"/>
      <c r="F256" s="44"/>
      <c r="G256" s="45"/>
      <c r="H256" s="81" t="str">
        <f t="shared" si="108"/>
        <v/>
      </c>
      <c r="J256" s="9"/>
      <c r="K256" s="10"/>
      <c r="L256" s="14"/>
      <c r="M256" s="19"/>
      <c r="N256" s="19"/>
      <c r="O256" s="19"/>
      <c r="P256" s="19"/>
      <c r="Q256" s="1">
        <f t="shared" si="121"/>
        <v>0.60744618579017706</v>
      </c>
      <c r="R256" s="12">
        <f t="shared" ca="1" si="103"/>
        <v>6782</v>
      </c>
      <c r="S256" s="88">
        <f t="shared" si="112"/>
        <v>0</v>
      </c>
      <c r="T256" s="19">
        <f t="shared" si="113"/>
        <v>0</v>
      </c>
      <c r="U256" s="19">
        <f t="shared" si="109"/>
        <v>0</v>
      </c>
      <c r="V256" s="19">
        <f t="shared" si="126"/>
        <v>0</v>
      </c>
      <c r="W256" s="20">
        <f t="shared" ca="1" si="104"/>
        <v>0</v>
      </c>
      <c r="X256" s="19">
        <f t="shared" ca="1" si="105"/>
        <v>0</v>
      </c>
      <c r="Y256" s="19">
        <f t="shared" ca="1" si="106"/>
        <v>0</v>
      </c>
      <c r="Z256" s="20">
        <f t="shared" ca="1" si="107"/>
        <v>0</v>
      </c>
      <c r="AA256" s="1">
        <f t="shared" si="122"/>
        <v>5432.58</v>
      </c>
      <c r="AB256" s="87"/>
      <c r="AC256" s="88"/>
      <c r="AD256" s="101">
        <f t="shared" si="123"/>
        <v>47904</v>
      </c>
      <c r="AE256" s="103">
        <f t="shared" si="124"/>
        <v>0</v>
      </c>
      <c r="AG256" s="1">
        <f t="shared" si="114"/>
        <v>0</v>
      </c>
      <c r="AH256" s="1">
        <f t="shared" si="129"/>
        <v>0</v>
      </c>
      <c r="AI256" s="1">
        <f t="shared" si="125"/>
        <v>5432.58</v>
      </c>
      <c r="AJ256" s="20">
        <f t="shared" si="127"/>
        <v>0</v>
      </c>
      <c r="AK256" s="100">
        <f t="shared" si="130"/>
        <v>0</v>
      </c>
      <c r="AL256" s="100">
        <f t="shared" si="131"/>
        <v>0</v>
      </c>
      <c r="AN256" s="100">
        <f t="shared" si="132"/>
        <v>4843.0014504919045</v>
      </c>
      <c r="AO256" s="20">
        <f t="shared" si="133"/>
        <v>0</v>
      </c>
      <c r="AQ256" s="109">
        <f t="shared" si="115"/>
        <v>0</v>
      </c>
      <c r="AU256" s="109">
        <f t="shared" si="116"/>
        <v>26.527324885528785</v>
      </c>
      <c r="AV256" s="101">
        <f t="shared" si="110"/>
        <v>47934</v>
      </c>
      <c r="AW256" s="99">
        <f t="shared" si="111"/>
        <v>0</v>
      </c>
      <c r="AX256" s="1">
        <f t="shared" si="117"/>
        <v>0</v>
      </c>
      <c r="AY256" s="29">
        <f t="shared" si="118"/>
        <v>0</v>
      </c>
      <c r="AZ256" s="1">
        <f t="shared" si="119"/>
        <v>0</v>
      </c>
      <c r="CB256" s="20">
        <f t="shared" si="128"/>
        <v>0</v>
      </c>
      <c r="CC256" s="173">
        <f t="shared" si="120"/>
        <v>0</v>
      </c>
    </row>
    <row r="257" spans="2:81" x14ac:dyDescent="0.25">
      <c r="B257" s="41"/>
      <c r="C257" s="42"/>
      <c r="D257" s="43"/>
      <c r="E257" s="44"/>
      <c r="F257" s="44"/>
      <c r="G257" s="45"/>
      <c r="H257" s="81" t="str">
        <f t="shared" si="108"/>
        <v/>
      </c>
      <c r="J257" s="7"/>
      <c r="K257" s="8"/>
      <c r="L257" s="15"/>
      <c r="M257" s="21"/>
      <c r="N257" s="21"/>
      <c r="O257" s="21"/>
      <c r="P257" s="21"/>
      <c r="Q257" s="1">
        <f t="shared" si="121"/>
        <v>0.60744618579017706</v>
      </c>
      <c r="R257" s="12">
        <f t="shared" ref="R257:R320" ca="1" si="134">IF(ROW()&gt;$T$20,R256+30,DAYS360(K256,K257)+R256)</f>
        <v>6812</v>
      </c>
      <c r="S257" s="88">
        <f t="shared" si="112"/>
        <v>0</v>
      </c>
      <c r="T257" s="19">
        <f t="shared" si="113"/>
        <v>0</v>
      </c>
      <c r="U257" s="19">
        <f t="shared" si="109"/>
        <v>0</v>
      </c>
      <c r="V257" s="19">
        <f t="shared" si="126"/>
        <v>0</v>
      </c>
      <c r="W257" s="20">
        <f t="shared" ref="W257:W320" ca="1" si="135">(T257)/(1+((1+$T$12)^$R257-1))</f>
        <v>0</v>
      </c>
      <c r="X257" s="19">
        <f t="shared" ref="X257:X320" ca="1" si="136">(U257)/(1+((1+$T$12)^$R257-1))</f>
        <v>0</v>
      </c>
      <c r="Y257" s="19">
        <f t="shared" ref="Y257:Y320" ca="1" si="137">P257/(1+((1+$T$12)^$R257-1))</f>
        <v>0</v>
      </c>
      <c r="Z257" s="20">
        <f t="shared" ref="Z257:Z320" ca="1" si="138">W257+X257</f>
        <v>0</v>
      </c>
      <c r="AA257" s="1">
        <f t="shared" si="122"/>
        <v>5432.58</v>
      </c>
      <c r="AB257" s="89"/>
      <c r="AC257" s="90"/>
      <c r="AD257" s="101">
        <f t="shared" si="123"/>
        <v>47934</v>
      </c>
      <c r="AE257" s="103">
        <f t="shared" si="124"/>
        <v>0</v>
      </c>
      <c r="AG257" s="1">
        <f t="shared" si="114"/>
        <v>0</v>
      </c>
      <c r="AH257" s="1">
        <f t="shared" si="129"/>
        <v>0</v>
      </c>
      <c r="AI257" s="1">
        <f t="shared" si="125"/>
        <v>5432.58</v>
      </c>
      <c r="AJ257" s="20">
        <f t="shared" si="127"/>
        <v>0</v>
      </c>
      <c r="AK257" s="100">
        <f t="shared" si="130"/>
        <v>0</v>
      </c>
      <c r="AL257" s="100">
        <f t="shared" si="131"/>
        <v>0</v>
      </c>
      <c r="AN257" s="100">
        <f t="shared" si="132"/>
        <v>4840.5511385533728</v>
      </c>
      <c r="AO257" s="20">
        <f t="shared" si="133"/>
        <v>0</v>
      </c>
      <c r="AQ257" s="109">
        <f t="shared" si="115"/>
        <v>0</v>
      </c>
      <c r="AU257" s="109">
        <f t="shared" si="116"/>
        <v>26.524996580273406</v>
      </c>
      <c r="AV257" s="101">
        <f t="shared" si="110"/>
        <v>47964</v>
      </c>
      <c r="AW257" s="99">
        <f t="shared" si="111"/>
        <v>0</v>
      </c>
      <c r="AX257" s="1">
        <f t="shared" si="117"/>
        <v>0</v>
      </c>
      <c r="AY257" s="29">
        <f t="shared" si="118"/>
        <v>0</v>
      </c>
      <c r="AZ257" s="1">
        <f t="shared" si="119"/>
        <v>0</v>
      </c>
      <c r="CB257" s="20">
        <f t="shared" si="128"/>
        <v>0</v>
      </c>
      <c r="CC257" s="173">
        <f t="shared" si="120"/>
        <v>0</v>
      </c>
    </row>
    <row r="258" spans="2:81" x14ac:dyDescent="0.25">
      <c r="B258" s="41"/>
      <c r="C258" s="42"/>
      <c r="D258" s="43"/>
      <c r="E258" s="44"/>
      <c r="F258" s="44"/>
      <c r="G258" s="45"/>
      <c r="H258" s="81" t="str">
        <f t="shared" si="108"/>
        <v/>
      </c>
      <c r="J258" s="9"/>
      <c r="K258" s="10"/>
      <c r="L258" s="14"/>
      <c r="M258" s="19"/>
      <c r="N258" s="19"/>
      <c r="O258" s="19"/>
      <c r="P258" s="19"/>
      <c r="Q258" s="1">
        <f t="shared" si="121"/>
        <v>0.60744618579017706</v>
      </c>
      <c r="R258" s="12">
        <f t="shared" ca="1" si="134"/>
        <v>6842</v>
      </c>
      <c r="S258" s="88">
        <f t="shared" si="112"/>
        <v>0</v>
      </c>
      <c r="T258" s="19">
        <f t="shared" si="113"/>
        <v>0</v>
      </c>
      <c r="U258" s="19">
        <f t="shared" si="109"/>
        <v>0</v>
      </c>
      <c r="V258" s="19">
        <f t="shared" si="126"/>
        <v>0</v>
      </c>
      <c r="W258" s="20">
        <f t="shared" ca="1" si="135"/>
        <v>0</v>
      </c>
      <c r="X258" s="19">
        <f t="shared" ca="1" si="136"/>
        <v>0</v>
      </c>
      <c r="Y258" s="19">
        <f t="shared" ca="1" si="137"/>
        <v>0</v>
      </c>
      <c r="Z258" s="20">
        <f t="shared" ca="1" si="138"/>
        <v>0</v>
      </c>
      <c r="AA258" s="1">
        <f t="shared" si="122"/>
        <v>5432.58</v>
      </c>
      <c r="AB258" s="87"/>
      <c r="AC258" s="88"/>
      <c r="AD258" s="101">
        <f t="shared" si="123"/>
        <v>47964</v>
      </c>
      <c r="AE258" s="103">
        <f t="shared" si="124"/>
        <v>0</v>
      </c>
      <c r="AG258" s="1">
        <f t="shared" si="114"/>
        <v>0</v>
      </c>
      <c r="AH258" s="1">
        <f t="shared" si="129"/>
        <v>0</v>
      </c>
      <c r="AI258" s="1">
        <f t="shared" si="125"/>
        <v>5432.58</v>
      </c>
      <c r="AJ258" s="20">
        <f t="shared" si="127"/>
        <v>0</v>
      </c>
      <c r="AK258" s="100">
        <f t="shared" si="130"/>
        <v>0</v>
      </c>
      <c r="AL258" s="100">
        <f t="shared" si="131"/>
        <v>0</v>
      </c>
      <c r="AN258" s="100">
        <f t="shared" si="132"/>
        <v>4838.1020663478166</v>
      </c>
      <c r="AO258" s="20">
        <f t="shared" si="133"/>
        <v>0</v>
      </c>
      <c r="AQ258" s="109">
        <f t="shared" si="115"/>
        <v>0</v>
      </c>
      <c r="AU258" s="109">
        <f t="shared" si="116"/>
        <v>26.522668479373543</v>
      </c>
      <c r="AV258" s="101">
        <f t="shared" si="110"/>
        <v>47994</v>
      </c>
      <c r="AW258" s="99">
        <f t="shared" si="111"/>
        <v>0</v>
      </c>
      <c r="AX258" s="1">
        <f t="shared" si="117"/>
        <v>0</v>
      </c>
      <c r="AY258" s="29">
        <f t="shared" si="118"/>
        <v>0</v>
      </c>
      <c r="AZ258" s="1">
        <f t="shared" si="119"/>
        <v>0</v>
      </c>
      <c r="CB258" s="20">
        <f t="shared" si="128"/>
        <v>0</v>
      </c>
      <c r="CC258" s="173">
        <f t="shared" si="120"/>
        <v>0</v>
      </c>
    </row>
    <row r="259" spans="2:81" x14ac:dyDescent="0.25">
      <c r="B259" s="41"/>
      <c r="C259" s="42"/>
      <c r="D259" s="43"/>
      <c r="E259" s="44"/>
      <c r="F259" s="44"/>
      <c r="G259" s="45"/>
      <c r="H259" s="81" t="str">
        <f t="shared" si="108"/>
        <v/>
      </c>
      <c r="J259" s="7"/>
      <c r="K259" s="8"/>
      <c r="L259" s="15"/>
      <c r="M259" s="21"/>
      <c r="N259" s="21"/>
      <c r="O259" s="21"/>
      <c r="P259" s="21"/>
      <c r="Q259" s="1">
        <f t="shared" si="121"/>
        <v>0.60744618579017706</v>
      </c>
      <c r="R259" s="12">
        <f t="shared" ca="1" si="134"/>
        <v>6872</v>
      </c>
      <c r="S259" s="88">
        <f t="shared" si="112"/>
        <v>0</v>
      </c>
      <c r="T259" s="19">
        <f t="shared" si="113"/>
        <v>0</v>
      </c>
      <c r="U259" s="19">
        <f t="shared" si="109"/>
        <v>0</v>
      </c>
      <c r="V259" s="19">
        <f t="shared" si="126"/>
        <v>0</v>
      </c>
      <c r="W259" s="20">
        <f t="shared" ca="1" si="135"/>
        <v>0</v>
      </c>
      <c r="X259" s="19">
        <f t="shared" ca="1" si="136"/>
        <v>0</v>
      </c>
      <c r="Y259" s="19">
        <f t="shared" ca="1" si="137"/>
        <v>0</v>
      </c>
      <c r="Z259" s="20">
        <f t="shared" ca="1" si="138"/>
        <v>0</v>
      </c>
      <c r="AA259" s="1">
        <f t="shared" si="122"/>
        <v>5432.58</v>
      </c>
      <c r="AB259" s="89"/>
      <c r="AC259" s="90"/>
      <c r="AD259" s="101">
        <f t="shared" si="123"/>
        <v>47994</v>
      </c>
      <c r="AE259" s="103">
        <f t="shared" si="124"/>
        <v>0</v>
      </c>
      <c r="AG259" s="1">
        <f t="shared" si="114"/>
        <v>0</v>
      </c>
      <c r="AH259" s="1">
        <f t="shared" si="129"/>
        <v>0</v>
      </c>
      <c r="AI259" s="1">
        <f t="shared" si="125"/>
        <v>5432.58</v>
      </c>
      <c r="AJ259" s="20">
        <f t="shared" si="127"/>
        <v>0</v>
      </c>
      <c r="AK259" s="100">
        <f t="shared" si="130"/>
        <v>0</v>
      </c>
      <c r="AL259" s="100">
        <f t="shared" si="131"/>
        <v>0</v>
      </c>
      <c r="AN259" s="100">
        <f t="shared" si="132"/>
        <v>4835.654233247993</v>
      </c>
      <c r="AO259" s="20">
        <f t="shared" si="133"/>
        <v>0</v>
      </c>
      <c r="AQ259" s="109">
        <f t="shared" si="115"/>
        <v>0</v>
      </c>
      <c r="AU259" s="109">
        <f t="shared" si="116"/>
        <v>26.520340582811283</v>
      </c>
      <c r="AV259" s="101">
        <f t="shared" si="110"/>
        <v>48024</v>
      </c>
      <c r="AW259" s="99">
        <f t="shared" si="111"/>
        <v>0</v>
      </c>
      <c r="AX259" s="1">
        <f t="shared" si="117"/>
        <v>0</v>
      </c>
      <c r="AY259" s="29">
        <f t="shared" si="118"/>
        <v>0</v>
      </c>
      <c r="AZ259" s="1">
        <f t="shared" si="119"/>
        <v>0</v>
      </c>
      <c r="CB259" s="20">
        <f t="shared" si="128"/>
        <v>0</v>
      </c>
      <c r="CC259" s="173">
        <f t="shared" si="120"/>
        <v>0</v>
      </c>
    </row>
    <row r="260" spans="2:81" x14ac:dyDescent="0.25">
      <c r="B260" s="41"/>
      <c r="C260" s="42"/>
      <c r="D260" s="43"/>
      <c r="E260" s="44"/>
      <c r="F260" s="44"/>
      <c r="G260" s="45"/>
      <c r="H260" s="81" t="str">
        <f t="shared" si="108"/>
        <v/>
      </c>
      <c r="J260" s="9"/>
      <c r="K260" s="10"/>
      <c r="L260" s="14"/>
      <c r="M260" s="19"/>
      <c r="N260" s="19"/>
      <c r="O260" s="19"/>
      <c r="P260" s="19"/>
      <c r="Q260" s="1">
        <f t="shared" si="121"/>
        <v>0.60744618579017706</v>
      </c>
      <c r="R260" s="12">
        <f t="shared" ca="1" si="134"/>
        <v>6902</v>
      </c>
      <c r="S260" s="88">
        <f t="shared" si="112"/>
        <v>0</v>
      </c>
      <c r="T260" s="19">
        <f t="shared" si="113"/>
        <v>0</v>
      </c>
      <c r="U260" s="19">
        <f t="shared" si="109"/>
        <v>0</v>
      </c>
      <c r="V260" s="19">
        <f t="shared" si="126"/>
        <v>0</v>
      </c>
      <c r="W260" s="20">
        <f t="shared" ca="1" si="135"/>
        <v>0</v>
      </c>
      <c r="X260" s="19">
        <f t="shared" ca="1" si="136"/>
        <v>0</v>
      </c>
      <c r="Y260" s="19">
        <f t="shared" ca="1" si="137"/>
        <v>0</v>
      </c>
      <c r="Z260" s="20">
        <f t="shared" ca="1" si="138"/>
        <v>0</v>
      </c>
      <c r="AA260" s="1">
        <f t="shared" si="122"/>
        <v>5432.58</v>
      </c>
      <c r="AB260" s="87"/>
      <c r="AC260" s="88"/>
      <c r="AD260" s="101">
        <f t="shared" si="123"/>
        <v>48024</v>
      </c>
      <c r="AE260" s="103">
        <f t="shared" si="124"/>
        <v>0</v>
      </c>
      <c r="AG260" s="1">
        <f t="shared" si="114"/>
        <v>0</v>
      </c>
      <c r="AH260" s="1">
        <f t="shared" si="129"/>
        <v>0</v>
      </c>
      <c r="AI260" s="1">
        <f t="shared" si="125"/>
        <v>5432.58</v>
      </c>
      <c r="AJ260" s="20">
        <f t="shared" si="127"/>
        <v>0</v>
      </c>
      <c r="AK260" s="100">
        <f t="shared" si="130"/>
        <v>0</v>
      </c>
      <c r="AL260" s="100">
        <f t="shared" si="131"/>
        <v>0</v>
      </c>
      <c r="AN260" s="100">
        <f t="shared" si="132"/>
        <v>4833.2076386269791</v>
      </c>
      <c r="AO260" s="20">
        <f t="shared" si="133"/>
        <v>0</v>
      </c>
      <c r="AQ260" s="109">
        <f t="shared" si="115"/>
        <v>0</v>
      </c>
      <c r="AU260" s="109">
        <f t="shared" si="116"/>
        <v>26.518012890568667</v>
      </c>
      <c r="AV260" s="101">
        <f t="shared" si="110"/>
        <v>48054</v>
      </c>
      <c r="AW260" s="99">
        <f t="shared" si="111"/>
        <v>0</v>
      </c>
      <c r="AX260" s="1">
        <f t="shared" si="117"/>
        <v>0</v>
      </c>
      <c r="AY260" s="29">
        <f t="shared" si="118"/>
        <v>0</v>
      </c>
      <c r="AZ260" s="1">
        <f t="shared" si="119"/>
        <v>0</v>
      </c>
      <c r="CB260" s="20">
        <f t="shared" si="128"/>
        <v>0</v>
      </c>
      <c r="CC260" s="173">
        <f t="shared" si="120"/>
        <v>0</v>
      </c>
    </row>
    <row r="261" spans="2:81" x14ac:dyDescent="0.25">
      <c r="B261" s="41"/>
      <c r="C261" s="42"/>
      <c r="D261" s="43"/>
      <c r="E261" s="44"/>
      <c r="F261" s="44"/>
      <c r="G261" s="45"/>
      <c r="H261" s="81" t="str">
        <f t="shared" si="108"/>
        <v/>
      </c>
      <c r="J261" s="7"/>
      <c r="K261" s="8"/>
      <c r="L261" s="15"/>
      <c r="M261" s="21"/>
      <c r="N261" s="21"/>
      <c r="O261" s="21"/>
      <c r="P261" s="21"/>
      <c r="Q261" s="1">
        <f t="shared" si="121"/>
        <v>0.60744618579017706</v>
      </c>
      <c r="R261" s="12">
        <f t="shared" ca="1" si="134"/>
        <v>6932</v>
      </c>
      <c r="S261" s="88">
        <f t="shared" si="112"/>
        <v>0</v>
      </c>
      <c r="T261" s="19">
        <f t="shared" si="113"/>
        <v>0</v>
      </c>
      <c r="U261" s="19">
        <f t="shared" si="109"/>
        <v>0</v>
      </c>
      <c r="V261" s="19">
        <f t="shared" si="126"/>
        <v>0</v>
      </c>
      <c r="W261" s="20">
        <f t="shared" ca="1" si="135"/>
        <v>0</v>
      </c>
      <c r="X261" s="19">
        <f t="shared" ca="1" si="136"/>
        <v>0</v>
      </c>
      <c r="Y261" s="19">
        <f t="shared" ca="1" si="137"/>
        <v>0</v>
      </c>
      <c r="Z261" s="20">
        <f t="shared" ca="1" si="138"/>
        <v>0</v>
      </c>
      <c r="AA261" s="1">
        <f t="shared" si="122"/>
        <v>5432.58</v>
      </c>
      <c r="AB261" s="89"/>
      <c r="AC261" s="90"/>
      <c r="AD261" s="101">
        <f t="shared" si="123"/>
        <v>48054</v>
      </c>
      <c r="AE261" s="103">
        <f t="shared" si="124"/>
        <v>0</v>
      </c>
      <c r="AG261" s="1">
        <f t="shared" si="114"/>
        <v>0</v>
      </c>
      <c r="AH261" s="1">
        <f t="shared" si="129"/>
        <v>0</v>
      </c>
      <c r="AI261" s="1">
        <f t="shared" si="125"/>
        <v>5432.58</v>
      </c>
      <c r="AJ261" s="20">
        <f t="shared" si="127"/>
        <v>0</v>
      </c>
      <c r="AK261" s="100">
        <f t="shared" si="130"/>
        <v>0</v>
      </c>
      <c r="AL261" s="100">
        <f t="shared" si="131"/>
        <v>0</v>
      </c>
      <c r="AN261" s="100">
        <f t="shared" si="132"/>
        <v>4830.7622818581685</v>
      </c>
      <c r="AO261" s="20">
        <f t="shared" si="133"/>
        <v>0</v>
      </c>
      <c r="AQ261" s="109">
        <f t="shared" si="115"/>
        <v>0</v>
      </c>
      <c r="AU261" s="109">
        <f t="shared" si="116"/>
        <v>26.515685402627778</v>
      </c>
      <c r="AV261" s="101">
        <f t="shared" si="110"/>
        <v>48084</v>
      </c>
      <c r="AW261" s="99">
        <f t="shared" si="111"/>
        <v>0</v>
      </c>
      <c r="AX261" s="1">
        <f t="shared" si="117"/>
        <v>0</v>
      </c>
      <c r="AY261" s="29">
        <f t="shared" si="118"/>
        <v>0</v>
      </c>
      <c r="AZ261" s="1">
        <f t="shared" si="119"/>
        <v>0</v>
      </c>
      <c r="CB261" s="20">
        <f t="shared" si="128"/>
        <v>0</v>
      </c>
      <c r="CC261" s="173">
        <f t="shared" si="120"/>
        <v>0</v>
      </c>
    </row>
    <row r="262" spans="2:81" x14ac:dyDescent="0.25">
      <c r="B262" s="41"/>
      <c r="C262" s="42"/>
      <c r="D262" s="43"/>
      <c r="E262" s="44"/>
      <c r="F262" s="44"/>
      <c r="G262" s="45"/>
      <c r="H262" s="81" t="str">
        <f t="shared" si="108"/>
        <v/>
      </c>
      <c r="J262" s="9"/>
      <c r="K262" s="10"/>
      <c r="L262" s="14"/>
      <c r="M262" s="19"/>
      <c r="N262" s="19"/>
      <c r="O262" s="19"/>
      <c r="P262" s="19"/>
      <c r="Q262" s="1">
        <f t="shared" si="121"/>
        <v>0.60744618579017706</v>
      </c>
      <c r="R262" s="12">
        <f t="shared" ca="1" si="134"/>
        <v>6962</v>
      </c>
      <c r="S262" s="88">
        <f t="shared" si="112"/>
        <v>0</v>
      </c>
      <c r="T262" s="19">
        <f t="shared" si="113"/>
        <v>0</v>
      </c>
      <c r="U262" s="19">
        <f t="shared" si="109"/>
        <v>0</v>
      </c>
      <c r="V262" s="19">
        <f t="shared" si="126"/>
        <v>0</v>
      </c>
      <c r="W262" s="20">
        <f t="shared" ca="1" si="135"/>
        <v>0</v>
      </c>
      <c r="X262" s="19">
        <f t="shared" ca="1" si="136"/>
        <v>0</v>
      </c>
      <c r="Y262" s="19">
        <f t="shared" ca="1" si="137"/>
        <v>0</v>
      </c>
      <c r="Z262" s="20">
        <f t="shared" ca="1" si="138"/>
        <v>0</v>
      </c>
      <c r="AA262" s="1">
        <f t="shared" si="122"/>
        <v>5432.58</v>
      </c>
      <c r="AB262" s="87"/>
      <c r="AC262" s="88"/>
      <c r="AD262" s="101">
        <f t="shared" si="123"/>
        <v>48084</v>
      </c>
      <c r="AE262" s="103">
        <f t="shared" si="124"/>
        <v>0</v>
      </c>
      <c r="AG262" s="1">
        <f t="shared" si="114"/>
        <v>0</v>
      </c>
      <c r="AH262" s="1">
        <f t="shared" si="129"/>
        <v>0</v>
      </c>
      <c r="AI262" s="1">
        <f t="shared" si="125"/>
        <v>5432.58</v>
      </c>
      <c r="AJ262" s="20">
        <f t="shared" si="127"/>
        <v>0</v>
      </c>
      <c r="AK262" s="100">
        <f t="shared" si="130"/>
        <v>0</v>
      </c>
      <c r="AL262" s="100">
        <f t="shared" si="131"/>
        <v>0</v>
      </c>
      <c r="AN262" s="100">
        <f t="shared" si="132"/>
        <v>4828.3181623152677</v>
      </c>
      <c r="AO262" s="20">
        <f t="shared" si="133"/>
        <v>0</v>
      </c>
      <c r="AQ262" s="109">
        <f t="shared" si="115"/>
        <v>0</v>
      </c>
      <c r="AU262" s="109">
        <f t="shared" si="116"/>
        <v>26.513358118970668</v>
      </c>
      <c r="AV262" s="101">
        <f t="shared" si="110"/>
        <v>48114</v>
      </c>
      <c r="AW262" s="99">
        <f t="shared" si="111"/>
        <v>0</v>
      </c>
      <c r="AX262" s="1">
        <f t="shared" si="117"/>
        <v>0</v>
      </c>
      <c r="AY262" s="29">
        <f t="shared" si="118"/>
        <v>0</v>
      </c>
      <c r="AZ262" s="1">
        <f t="shared" si="119"/>
        <v>0</v>
      </c>
      <c r="CB262" s="20">
        <f t="shared" si="128"/>
        <v>0</v>
      </c>
      <c r="CC262" s="173">
        <f t="shared" si="120"/>
        <v>0</v>
      </c>
    </row>
    <row r="263" spans="2:81" x14ac:dyDescent="0.25">
      <c r="B263" s="41"/>
      <c r="C263" s="42"/>
      <c r="D263" s="43"/>
      <c r="E263" s="44"/>
      <c r="F263" s="44"/>
      <c r="G263" s="45"/>
      <c r="H263" s="81" t="str">
        <f t="shared" si="108"/>
        <v/>
      </c>
      <c r="J263" s="7"/>
      <c r="K263" s="8"/>
      <c r="L263" s="15"/>
      <c r="M263" s="21"/>
      <c r="N263" s="21"/>
      <c r="O263" s="21"/>
      <c r="P263" s="21"/>
      <c r="Q263" s="1">
        <f t="shared" si="121"/>
        <v>0.60744618579017706</v>
      </c>
      <c r="R263" s="12">
        <f t="shared" ca="1" si="134"/>
        <v>6992</v>
      </c>
      <c r="S263" s="88">
        <f t="shared" si="112"/>
        <v>0</v>
      </c>
      <c r="T263" s="19">
        <f t="shared" si="113"/>
        <v>0</v>
      </c>
      <c r="U263" s="19">
        <f t="shared" si="109"/>
        <v>0</v>
      </c>
      <c r="V263" s="19">
        <f t="shared" si="126"/>
        <v>0</v>
      </c>
      <c r="W263" s="20">
        <f t="shared" ca="1" si="135"/>
        <v>0</v>
      </c>
      <c r="X263" s="19">
        <f t="shared" ca="1" si="136"/>
        <v>0</v>
      </c>
      <c r="Y263" s="19">
        <f t="shared" ca="1" si="137"/>
        <v>0</v>
      </c>
      <c r="Z263" s="20">
        <f t="shared" ca="1" si="138"/>
        <v>0</v>
      </c>
      <c r="AA263" s="1">
        <f t="shared" si="122"/>
        <v>5432.58</v>
      </c>
      <c r="AB263" s="89"/>
      <c r="AC263" s="90"/>
      <c r="AD263" s="101">
        <f t="shared" si="123"/>
        <v>48114</v>
      </c>
      <c r="AE263" s="103">
        <f t="shared" si="124"/>
        <v>0</v>
      </c>
      <c r="AG263" s="1">
        <f t="shared" si="114"/>
        <v>0</v>
      </c>
      <c r="AH263" s="1">
        <f t="shared" si="129"/>
        <v>0</v>
      </c>
      <c r="AI263" s="1">
        <f t="shared" si="125"/>
        <v>5432.58</v>
      </c>
      <c r="AJ263" s="20">
        <f t="shared" si="127"/>
        <v>0</v>
      </c>
      <c r="AK263" s="100">
        <f t="shared" si="130"/>
        <v>0</v>
      </c>
      <c r="AL263" s="100">
        <f t="shared" si="131"/>
        <v>0</v>
      </c>
      <c r="AN263" s="100">
        <f t="shared" si="132"/>
        <v>4825.8752793723052</v>
      </c>
      <c r="AO263" s="20">
        <f t="shared" si="133"/>
        <v>0</v>
      </c>
      <c r="AQ263" s="109">
        <f t="shared" si="115"/>
        <v>0</v>
      </c>
      <c r="AU263" s="109">
        <f t="shared" si="116"/>
        <v>26.511031039579418</v>
      </c>
      <c r="AV263" s="101">
        <f t="shared" si="110"/>
        <v>48144</v>
      </c>
      <c r="AW263" s="99">
        <f t="shared" si="111"/>
        <v>0</v>
      </c>
      <c r="AX263" s="1">
        <f t="shared" si="117"/>
        <v>0</v>
      </c>
      <c r="AY263" s="29">
        <f t="shared" si="118"/>
        <v>0</v>
      </c>
      <c r="AZ263" s="1">
        <f t="shared" si="119"/>
        <v>0</v>
      </c>
      <c r="CB263" s="20">
        <f t="shared" si="128"/>
        <v>0</v>
      </c>
      <c r="CC263" s="173">
        <f t="shared" si="120"/>
        <v>0</v>
      </c>
    </row>
    <row r="264" spans="2:81" x14ac:dyDescent="0.25">
      <c r="B264" s="41"/>
      <c r="C264" s="42"/>
      <c r="D264" s="43"/>
      <c r="E264" s="44"/>
      <c r="F264" s="44"/>
      <c r="G264" s="45"/>
      <c r="H264" s="81" t="str">
        <f t="shared" si="108"/>
        <v/>
      </c>
      <c r="J264" s="9"/>
      <c r="K264" s="10"/>
      <c r="L264" s="14"/>
      <c r="M264" s="19"/>
      <c r="N264" s="19"/>
      <c r="O264" s="19"/>
      <c r="P264" s="19"/>
      <c r="Q264" s="1">
        <f t="shared" si="121"/>
        <v>0.60744618579017706</v>
      </c>
      <c r="R264" s="12">
        <f t="shared" ca="1" si="134"/>
        <v>7022</v>
      </c>
      <c r="S264" s="88">
        <f t="shared" si="112"/>
        <v>0</v>
      </c>
      <c r="T264" s="19">
        <f t="shared" si="113"/>
        <v>0</v>
      </c>
      <c r="U264" s="19">
        <f t="shared" si="109"/>
        <v>0</v>
      </c>
      <c r="V264" s="19">
        <f t="shared" si="126"/>
        <v>0</v>
      </c>
      <c r="W264" s="20">
        <f t="shared" ca="1" si="135"/>
        <v>0</v>
      </c>
      <c r="X264" s="19">
        <f t="shared" ca="1" si="136"/>
        <v>0</v>
      </c>
      <c r="Y264" s="19">
        <f t="shared" ca="1" si="137"/>
        <v>0</v>
      </c>
      <c r="Z264" s="20">
        <f t="shared" ca="1" si="138"/>
        <v>0</v>
      </c>
      <c r="AA264" s="1">
        <f t="shared" si="122"/>
        <v>5432.58</v>
      </c>
      <c r="AB264" s="87"/>
      <c r="AC264" s="88"/>
      <c r="AD264" s="101">
        <f t="shared" si="123"/>
        <v>48144</v>
      </c>
      <c r="AE264" s="103">
        <f t="shared" si="124"/>
        <v>0</v>
      </c>
      <c r="AG264" s="1">
        <f t="shared" si="114"/>
        <v>0</v>
      </c>
      <c r="AH264" s="1">
        <f t="shared" si="129"/>
        <v>0</v>
      </c>
      <c r="AI264" s="1">
        <f t="shared" si="125"/>
        <v>5432.58</v>
      </c>
      <c r="AJ264" s="20">
        <f t="shared" si="127"/>
        <v>0</v>
      </c>
      <c r="AK264" s="100">
        <f t="shared" si="130"/>
        <v>0</v>
      </c>
      <c r="AL264" s="100">
        <f t="shared" si="131"/>
        <v>0</v>
      </c>
      <c r="AN264" s="100">
        <f t="shared" si="132"/>
        <v>4823.4336324036267</v>
      </c>
      <c r="AO264" s="20">
        <f t="shared" si="133"/>
        <v>0</v>
      </c>
      <c r="AQ264" s="109">
        <f t="shared" si="115"/>
        <v>0</v>
      </c>
      <c r="AU264" s="109">
        <f t="shared" si="116"/>
        <v>26.508704164436097</v>
      </c>
      <c r="AV264" s="101">
        <f t="shared" si="110"/>
        <v>48174</v>
      </c>
      <c r="AW264" s="99">
        <f t="shared" si="111"/>
        <v>0</v>
      </c>
      <c r="AX264" s="1">
        <f t="shared" si="117"/>
        <v>0</v>
      </c>
      <c r="AY264" s="29">
        <f t="shared" si="118"/>
        <v>0</v>
      </c>
      <c r="AZ264" s="1">
        <f t="shared" si="119"/>
        <v>0</v>
      </c>
      <c r="CB264" s="20">
        <f t="shared" si="128"/>
        <v>0</v>
      </c>
      <c r="CC264" s="173">
        <f t="shared" si="120"/>
        <v>0</v>
      </c>
    </row>
    <row r="265" spans="2:81" x14ac:dyDescent="0.25">
      <c r="B265" s="41"/>
      <c r="C265" s="42"/>
      <c r="D265" s="43"/>
      <c r="E265" s="44"/>
      <c r="F265" s="44"/>
      <c r="G265" s="45"/>
      <c r="H265" s="81" t="str">
        <f t="shared" si="108"/>
        <v/>
      </c>
      <c r="J265" s="7"/>
      <c r="K265" s="8"/>
      <c r="L265" s="15"/>
      <c r="M265" s="21"/>
      <c r="N265" s="21"/>
      <c r="O265" s="21"/>
      <c r="P265" s="21"/>
      <c r="Q265" s="1">
        <f t="shared" si="121"/>
        <v>0.60744618579017706</v>
      </c>
      <c r="R265" s="12">
        <f t="shared" ca="1" si="134"/>
        <v>7052</v>
      </c>
      <c r="S265" s="88">
        <f t="shared" si="112"/>
        <v>0</v>
      </c>
      <c r="T265" s="19">
        <f t="shared" si="113"/>
        <v>0</v>
      </c>
      <c r="U265" s="19">
        <f t="shared" si="109"/>
        <v>0</v>
      </c>
      <c r="V265" s="19">
        <f t="shared" si="126"/>
        <v>0</v>
      </c>
      <c r="W265" s="20">
        <f t="shared" ca="1" si="135"/>
        <v>0</v>
      </c>
      <c r="X265" s="19">
        <f t="shared" ca="1" si="136"/>
        <v>0</v>
      </c>
      <c r="Y265" s="19">
        <f t="shared" ca="1" si="137"/>
        <v>0</v>
      </c>
      <c r="Z265" s="20">
        <f t="shared" ca="1" si="138"/>
        <v>0</v>
      </c>
      <c r="AA265" s="1">
        <f t="shared" si="122"/>
        <v>5432.58</v>
      </c>
      <c r="AB265" s="89"/>
      <c r="AC265" s="90"/>
      <c r="AD265" s="101">
        <f t="shared" si="123"/>
        <v>48174</v>
      </c>
      <c r="AE265" s="103">
        <f t="shared" si="124"/>
        <v>0</v>
      </c>
      <c r="AG265" s="1">
        <f t="shared" si="114"/>
        <v>0</v>
      </c>
      <c r="AH265" s="1">
        <f t="shared" si="129"/>
        <v>0</v>
      </c>
      <c r="AI265" s="1">
        <f t="shared" si="125"/>
        <v>5432.58</v>
      </c>
      <c r="AJ265" s="20">
        <f t="shared" si="127"/>
        <v>0</v>
      </c>
      <c r="AK265" s="100">
        <f t="shared" si="130"/>
        <v>0</v>
      </c>
      <c r="AL265" s="100">
        <f t="shared" si="131"/>
        <v>0</v>
      </c>
      <c r="AN265" s="100">
        <f t="shared" si="132"/>
        <v>4820.9932207838865</v>
      </c>
      <c r="AO265" s="20">
        <f t="shared" si="133"/>
        <v>0</v>
      </c>
      <c r="AQ265" s="109">
        <f t="shared" si="115"/>
        <v>0</v>
      </c>
      <c r="AU265" s="109">
        <f t="shared" si="116"/>
        <v>26.506377493522788</v>
      </c>
      <c r="AV265" s="101">
        <f t="shared" si="110"/>
        <v>48204</v>
      </c>
      <c r="AW265" s="99">
        <f t="shared" si="111"/>
        <v>0</v>
      </c>
      <c r="AX265" s="1">
        <f t="shared" si="117"/>
        <v>0</v>
      </c>
      <c r="AY265" s="29">
        <f t="shared" si="118"/>
        <v>0</v>
      </c>
      <c r="AZ265" s="1">
        <f t="shared" si="119"/>
        <v>0</v>
      </c>
      <c r="CB265" s="20">
        <f t="shared" si="128"/>
        <v>0</v>
      </c>
      <c r="CC265" s="173">
        <f t="shared" si="120"/>
        <v>0</v>
      </c>
    </row>
    <row r="266" spans="2:81" x14ac:dyDescent="0.25">
      <c r="B266" s="41"/>
      <c r="C266" s="42"/>
      <c r="D266" s="43"/>
      <c r="E266" s="44"/>
      <c r="F266" s="44"/>
      <c r="G266" s="45"/>
      <c r="H266" s="81" t="str">
        <f t="shared" si="108"/>
        <v/>
      </c>
      <c r="J266" s="9"/>
      <c r="K266" s="10"/>
      <c r="L266" s="14"/>
      <c r="M266" s="19"/>
      <c r="N266" s="19"/>
      <c r="O266" s="19"/>
      <c r="P266" s="19"/>
      <c r="Q266" s="1">
        <f t="shared" si="121"/>
        <v>0.60744618579017706</v>
      </c>
      <c r="R266" s="12">
        <f t="shared" ca="1" si="134"/>
        <v>7082</v>
      </c>
      <c r="S266" s="88">
        <f t="shared" si="112"/>
        <v>0</v>
      </c>
      <c r="T266" s="19">
        <f t="shared" si="113"/>
        <v>0</v>
      </c>
      <c r="U266" s="19">
        <f t="shared" si="109"/>
        <v>0</v>
      </c>
      <c r="V266" s="19">
        <f t="shared" si="126"/>
        <v>0</v>
      </c>
      <c r="W266" s="20">
        <f t="shared" ca="1" si="135"/>
        <v>0</v>
      </c>
      <c r="X266" s="19">
        <f t="shared" ca="1" si="136"/>
        <v>0</v>
      </c>
      <c r="Y266" s="19">
        <f t="shared" ca="1" si="137"/>
        <v>0</v>
      </c>
      <c r="Z266" s="20">
        <f t="shared" ca="1" si="138"/>
        <v>0</v>
      </c>
      <c r="AA266" s="1">
        <f t="shared" si="122"/>
        <v>5432.58</v>
      </c>
      <c r="AB266" s="87"/>
      <c r="AC266" s="88"/>
      <c r="AD266" s="101">
        <f t="shared" si="123"/>
        <v>48204</v>
      </c>
      <c r="AE266" s="103">
        <f t="shared" si="124"/>
        <v>0</v>
      </c>
      <c r="AG266" s="1">
        <f t="shared" si="114"/>
        <v>0</v>
      </c>
      <c r="AH266" s="1">
        <f t="shared" si="129"/>
        <v>0</v>
      </c>
      <c r="AI266" s="1">
        <f t="shared" si="125"/>
        <v>5432.58</v>
      </c>
      <c r="AJ266" s="20">
        <f t="shared" si="127"/>
        <v>0</v>
      </c>
      <c r="AK266" s="100">
        <f t="shared" si="130"/>
        <v>0</v>
      </c>
      <c r="AL266" s="100">
        <f t="shared" si="131"/>
        <v>0</v>
      </c>
      <c r="AN266" s="100">
        <f t="shared" si="132"/>
        <v>4818.5540438880662</v>
      </c>
      <c r="AO266" s="20">
        <f t="shared" si="133"/>
        <v>0</v>
      </c>
      <c r="AQ266" s="109">
        <f t="shared" si="115"/>
        <v>0</v>
      </c>
      <c r="AU266" s="109">
        <f t="shared" si="116"/>
        <v>26.504051026821543</v>
      </c>
      <c r="AV266" s="101">
        <f t="shared" si="110"/>
        <v>48234</v>
      </c>
      <c r="AW266" s="99">
        <f t="shared" si="111"/>
        <v>0</v>
      </c>
      <c r="AX266" s="1">
        <f t="shared" si="117"/>
        <v>0</v>
      </c>
      <c r="AY266" s="29">
        <f t="shared" si="118"/>
        <v>0</v>
      </c>
      <c r="AZ266" s="1">
        <f t="shared" si="119"/>
        <v>0</v>
      </c>
      <c r="CB266" s="20">
        <f t="shared" si="128"/>
        <v>0</v>
      </c>
      <c r="CC266" s="173">
        <f t="shared" si="120"/>
        <v>0</v>
      </c>
    </row>
    <row r="267" spans="2:81" x14ac:dyDescent="0.25">
      <c r="B267" s="41"/>
      <c r="C267" s="42"/>
      <c r="D267" s="43"/>
      <c r="E267" s="44"/>
      <c r="F267" s="44"/>
      <c r="G267" s="45"/>
      <c r="H267" s="81" t="str">
        <f t="shared" si="108"/>
        <v/>
      </c>
      <c r="J267" s="7"/>
      <c r="K267" s="8"/>
      <c r="L267" s="15"/>
      <c r="M267" s="21"/>
      <c r="N267" s="21"/>
      <c r="O267" s="21"/>
      <c r="P267" s="21"/>
      <c r="Q267" s="1">
        <f t="shared" si="121"/>
        <v>0.60744618579017706</v>
      </c>
      <c r="R267" s="12">
        <f t="shared" ca="1" si="134"/>
        <v>7112</v>
      </c>
      <c r="S267" s="88">
        <f t="shared" si="112"/>
        <v>0</v>
      </c>
      <c r="T267" s="19">
        <f t="shared" si="113"/>
        <v>0</v>
      </c>
      <c r="U267" s="19">
        <f t="shared" si="109"/>
        <v>0</v>
      </c>
      <c r="V267" s="19">
        <f t="shared" si="126"/>
        <v>0</v>
      </c>
      <c r="W267" s="20">
        <f t="shared" ca="1" si="135"/>
        <v>0</v>
      </c>
      <c r="X267" s="19">
        <f t="shared" ca="1" si="136"/>
        <v>0</v>
      </c>
      <c r="Y267" s="19">
        <f t="shared" ca="1" si="137"/>
        <v>0</v>
      </c>
      <c r="Z267" s="20">
        <f t="shared" ca="1" si="138"/>
        <v>0</v>
      </c>
      <c r="AA267" s="1">
        <f t="shared" si="122"/>
        <v>5432.58</v>
      </c>
      <c r="AB267" s="89"/>
      <c r="AC267" s="90"/>
      <c r="AD267" s="101">
        <f t="shared" si="123"/>
        <v>48234</v>
      </c>
      <c r="AE267" s="103">
        <f t="shared" si="124"/>
        <v>0</v>
      </c>
      <c r="AG267" s="1">
        <f t="shared" si="114"/>
        <v>0</v>
      </c>
      <c r="AH267" s="1">
        <f t="shared" si="129"/>
        <v>0</v>
      </c>
      <c r="AI267" s="1">
        <f t="shared" si="125"/>
        <v>5432.58</v>
      </c>
      <c r="AJ267" s="20">
        <f t="shared" si="127"/>
        <v>0</v>
      </c>
      <c r="AK267" s="100">
        <f t="shared" si="130"/>
        <v>0</v>
      </c>
      <c r="AL267" s="100">
        <f t="shared" si="131"/>
        <v>0</v>
      </c>
      <c r="AN267" s="100">
        <f t="shared" si="132"/>
        <v>4816.1161010914575</v>
      </c>
      <c r="AO267" s="20">
        <f t="shared" si="133"/>
        <v>0</v>
      </c>
      <c r="AQ267" s="109">
        <f t="shared" si="115"/>
        <v>0</v>
      </c>
      <c r="AU267" s="109">
        <f t="shared" si="116"/>
        <v>26.50172476431446</v>
      </c>
      <c r="AV267" s="101">
        <f t="shared" si="110"/>
        <v>48264</v>
      </c>
      <c r="AW267" s="99">
        <f t="shared" si="111"/>
        <v>0</v>
      </c>
      <c r="AX267" s="1">
        <f t="shared" si="117"/>
        <v>0</v>
      </c>
      <c r="AY267" s="29">
        <f t="shared" si="118"/>
        <v>0</v>
      </c>
      <c r="AZ267" s="1">
        <f t="shared" si="119"/>
        <v>0</v>
      </c>
      <c r="CB267" s="20">
        <f t="shared" si="128"/>
        <v>0</v>
      </c>
      <c r="CC267" s="173">
        <f t="shared" si="120"/>
        <v>0</v>
      </c>
    </row>
    <row r="268" spans="2:81" x14ac:dyDescent="0.25">
      <c r="B268" s="41"/>
      <c r="C268" s="42"/>
      <c r="D268" s="43"/>
      <c r="E268" s="44"/>
      <c r="F268" s="44"/>
      <c r="G268" s="45"/>
      <c r="H268" s="81" t="str">
        <f t="shared" si="108"/>
        <v/>
      </c>
      <c r="J268" s="9"/>
      <c r="K268" s="10"/>
      <c r="L268" s="14"/>
      <c r="M268" s="19"/>
      <c r="N268" s="19"/>
      <c r="O268" s="19"/>
      <c r="P268" s="19"/>
      <c r="Q268" s="1">
        <f t="shared" si="121"/>
        <v>0.60744618579017706</v>
      </c>
      <c r="R268" s="12">
        <f t="shared" ca="1" si="134"/>
        <v>7142</v>
      </c>
      <c r="S268" s="88">
        <f t="shared" si="112"/>
        <v>0</v>
      </c>
      <c r="T268" s="19">
        <f t="shared" si="113"/>
        <v>0</v>
      </c>
      <c r="U268" s="19">
        <f t="shared" si="109"/>
        <v>0</v>
      </c>
      <c r="V268" s="19">
        <f t="shared" si="126"/>
        <v>0</v>
      </c>
      <c r="W268" s="20">
        <f t="shared" ca="1" si="135"/>
        <v>0</v>
      </c>
      <c r="X268" s="19">
        <f t="shared" ca="1" si="136"/>
        <v>0</v>
      </c>
      <c r="Y268" s="19">
        <f t="shared" ca="1" si="137"/>
        <v>0</v>
      </c>
      <c r="Z268" s="20">
        <f t="shared" ca="1" si="138"/>
        <v>0</v>
      </c>
      <c r="AA268" s="1">
        <f t="shared" si="122"/>
        <v>5432.58</v>
      </c>
      <c r="AB268" s="87"/>
      <c r="AC268" s="88"/>
      <c r="AD268" s="101">
        <f t="shared" si="123"/>
        <v>48264</v>
      </c>
      <c r="AE268" s="103">
        <f t="shared" si="124"/>
        <v>0</v>
      </c>
      <c r="AG268" s="1">
        <f t="shared" si="114"/>
        <v>0</v>
      </c>
      <c r="AH268" s="1">
        <f t="shared" si="129"/>
        <v>0</v>
      </c>
      <c r="AI268" s="1">
        <f t="shared" si="125"/>
        <v>5432.58</v>
      </c>
      <c r="AJ268" s="20">
        <f t="shared" si="127"/>
        <v>0</v>
      </c>
      <c r="AK268" s="100">
        <f t="shared" si="130"/>
        <v>0</v>
      </c>
      <c r="AL268" s="100">
        <f t="shared" si="131"/>
        <v>0</v>
      </c>
      <c r="AN268" s="100">
        <f t="shared" si="132"/>
        <v>4813.6793917696687</v>
      </c>
      <c r="AO268" s="20">
        <f t="shared" si="133"/>
        <v>0</v>
      </c>
      <c r="AQ268" s="109">
        <f t="shared" si="115"/>
        <v>0</v>
      </c>
      <c r="AU268" s="109">
        <f t="shared" si="116"/>
        <v>26.499398705983605</v>
      </c>
      <c r="AV268" s="101">
        <f t="shared" si="110"/>
        <v>48294</v>
      </c>
      <c r="AW268" s="99">
        <f t="shared" si="111"/>
        <v>0</v>
      </c>
      <c r="AX268" s="1">
        <f t="shared" si="117"/>
        <v>0</v>
      </c>
      <c r="AY268" s="29">
        <f t="shared" si="118"/>
        <v>0</v>
      </c>
      <c r="AZ268" s="1">
        <f t="shared" si="119"/>
        <v>0</v>
      </c>
      <c r="CB268" s="20">
        <f t="shared" si="128"/>
        <v>0</v>
      </c>
      <c r="CC268" s="173">
        <f t="shared" si="120"/>
        <v>0</v>
      </c>
    </row>
    <row r="269" spans="2:81" x14ac:dyDescent="0.25">
      <c r="B269" s="41"/>
      <c r="C269" s="42"/>
      <c r="D269" s="43"/>
      <c r="E269" s="44"/>
      <c r="F269" s="44"/>
      <c r="G269" s="45"/>
      <c r="H269" s="81" t="str">
        <f t="shared" si="108"/>
        <v/>
      </c>
      <c r="J269" s="7"/>
      <c r="K269" s="8"/>
      <c r="L269" s="15"/>
      <c r="M269" s="21"/>
      <c r="N269" s="21"/>
      <c r="O269" s="21"/>
      <c r="P269" s="21"/>
      <c r="Q269" s="1">
        <f t="shared" si="121"/>
        <v>0.60744618579017706</v>
      </c>
      <c r="R269" s="12">
        <f t="shared" ca="1" si="134"/>
        <v>7172</v>
      </c>
      <c r="S269" s="88">
        <f t="shared" si="112"/>
        <v>0</v>
      </c>
      <c r="T269" s="19">
        <f t="shared" si="113"/>
        <v>0</v>
      </c>
      <c r="U269" s="19">
        <f t="shared" si="109"/>
        <v>0</v>
      </c>
      <c r="V269" s="19">
        <f t="shared" si="126"/>
        <v>0</v>
      </c>
      <c r="W269" s="20">
        <f t="shared" ca="1" si="135"/>
        <v>0</v>
      </c>
      <c r="X269" s="19">
        <f t="shared" ca="1" si="136"/>
        <v>0</v>
      </c>
      <c r="Y269" s="19">
        <f t="shared" ca="1" si="137"/>
        <v>0</v>
      </c>
      <c r="Z269" s="20">
        <f t="shared" ca="1" si="138"/>
        <v>0</v>
      </c>
      <c r="AA269" s="1">
        <f t="shared" si="122"/>
        <v>5432.58</v>
      </c>
      <c r="AB269" s="89"/>
      <c r="AC269" s="90"/>
      <c r="AD269" s="101">
        <f t="shared" si="123"/>
        <v>48294</v>
      </c>
      <c r="AE269" s="103">
        <f t="shared" si="124"/>
        <v>0</v>
      </c>
      <c r="AG269" s="1">
        <f t="shared" si="114"/>
        <v>0</v>
      </c>
      <c r="AH269" s="1">
        <f t="shared" si="129"/>
        <v>0</v>
      </c>
      <c r="AI269" s="1">
        <f t="shared" si="125"/>
        <v>5432.58</v>
      </c>
      <c r="AJ269" s="20">
        <f t="shared" si="127"/>
        <v>0</v>
      </c>
      <c r="AK269" s="100">
        <f t="shared" si="130"/>
        <v>0</v>
      </c>
      <c r="AL269" s="100">
        <f t="shared" si="131"/>
        <v>0</v>
      </c>
      <c r="AN269" s="100">
        <f t="shared" si="132"/>
        <v>4811.2439152986217</v>
      </c>
      <c r="AO269" s="20">
        <f t="shared" si="133"/>
        <v>0</v>
      </c>
      <c r="AQ269" s="109">
        <f t="shared" si="115"/>
        <v>0</v>
      </c>
      <c r="AU269" s="109">
        <f t="shared" si="116"/>
        <v>26.497072851811058</v>
      </c>
      <c r="AV269" s="101">
        <f t="shared" si="110"/>
        <v>48324</v>
      </c>
      <c r="AW269" s="99">
        <f t="shared" si="111"/>
        <v>0</v>
      </c>
      <c r="AX269" s="1">
        <f t="shared" si="117"/>
        <v>0</v>
      </c>
      <c r="AY269" s="29">
        <f t="shared" si="118"/>
        <v>0</v>
      </c>
      <c r="AZ269" s="1">
        <f t="shared" si="119"/>
        <v>0</v>
      </c>
      <c r="CB269" s="20">
        <f t="shared" si="128"/>
        <v>0</v>
      </c>
      <c r="CC269" s="173">
        <f t="shared" si="120"/>
        <v>0</v>
      </c>
    </row>
    <row r="270" spans="2:81" x14ac:dyDescent="0.25">
      <c r="B270" s="41"/>
      <c r="C270" s="42"/>
      <c r="D270" s="43"/>
      <c r="E270" s="44"/>
      <c r="F270" s="44"/>
      <c r="G270" s="45"/>
      <c r="H270" s="81" t="str">
        <f t="shared" si="108"/>
        <v/>
      </c>
      <c r="J270" s="9"/>
      <c r="K270" s="10"/>
      <c r="L270" s="14"/>
      <c r="M270" s="19"/>
      <c r="N270" s="19"/>
      <c r="O270" s="19"/>
      <c r="P270" s="19"/>
      <c r="Q270" s="1">
        <f t="shared" si="121"/>
        <v>0.60744618579017706</v>
      </c>
      <c r="R270" s="12">
        <f t="shared" ca="1" si="134"/>
        <v>7202</v>
      </c>
      <c r="S270" s="88">
        <f t="shared" si="112"/>
        <v>0</v>
      </c>
      <c r="T270" s="19">
        <f t="shared" si="113"/>
        <v>0</v>
      </c>
      <c r="U270" s="19">
        <f t="shared" si="109"/>
        <v>0</v>
      </c>
      <c r="V270" s="19">
        <f t="shared" si="126"/>
        <v>0</v>
      </c>
      <c r="W270" s="20">
        <f t="shared" ca="1" si="135"/>
        <v>0</v>
      </c>
      <c r="X270" s="19">
        <f t="shared" ca="1" si="136"/>
        <v>0</v>
      </c>
      <c r="Y270" s="19">
        <f t="shared" ca="1" si="137"/>
        <v>0</v>
      </c>
      <c r="Z270" s="20">
        <f t="shared" ca="1" si="138"/>
        <v>0</v>
      </c>
      <c r="AA270" s="1">
        <f t="shared" si="122"/>
        <v>5432.58</v>
      </c>
      <c r="AB270" s="87"/>
      <c r="AC270" s="88"/>
      <c r="AD270" s="101">
        <f t="shared" si="123"/>
        <v>48324</v>
      </c>
      <c r="AE270" s="103">
        <f t="shared" si="124"/>
        <v>0</v>
      </c>
      <c r="AG270" s="1">
        <f t="shared" si="114"/>
        <v>0</v>
      </c>
      <c r="AH270" s="1">
        <f t="shared" si="129"/>
        <v>0</v>
      </c>
      <c r="AI270" s="1">
        <f t="shared" si="125"/>
        <v>5432.58</v>
      </c>
      <c r="AJ270" s="20">
        <f t="shared" si="127"/>
        <v>0</v>
      </c>
      <c r="AK270" s="100">
        <f t="shared" si="130"/>
        <v>0</v>
      </c>
      <c r="AL270" s="100">
        <f t="shared" si="131"/>
        <v>0</v>
      </c>
      <c r="AN270" s="100">
        <f t="shared" si="132"/>
        <v>4808.8096710545587</v>
      </c>
      <c r="AO270" s="20">
        <f t="shared" si="133"/>
        <v>0</v>
      </c>
      <c r="AQ270" s="109">
        <f t="shared" si="115"/>
        <v>0</v>
      </c>
      <c r="AU270" s="109">
        <f t="shared" si="116"/>
        <v>26.494747201778907</v>
      </c>
      <c r="AV270" s="101">
        <f t="shared" si="110"/>
        <v>48354</v>
      </c>
      <c r="AW270" s="99">
        <f t="shared" si="111"/>
        <v>0</v>
      </c>
      <c r="AX270" s="1">
        <f t="shared" si="117"/>
        <v>0</v>
      </c>
      <c r="AY270" s="29">
        <f t="shared" si="118"/>
        <v>0</v>
      </c>
      <c r="AZ270" s="1">
        <f t="shared" si="119"/>
        <v>0</v>
      </c>
      <c r="CB270" s="20">
        <f t="shared" si="128"/>
        <v>0</v>
      </c>
      <c r="CC270" s="173">
        <f t="shared" si="120"/>
        <v>0</v>
      </c>
    </row>
    <row r="271" spans="2:81" x14ac:dyDescent="0.25">
      <c r="B271" s="41"/>
      <c r="C271" s="42"/>
      <c r="D271" s="43"/>
      <c r="E271" s="44"/>
      <c r="F271" s="44"/>
      <c r="G271" s="45"/>
      <c r="H271" s="81" t="str">
        <f t="shared" si="108"/>
        <v/>
      </c>
      <c r="J271" s="7"/>
      <c r="K271" s="8"/>
      <c r="L271" s="15"/>
      <c r="M271" s="21"/>
      <c r="N271" s="21"/>
      <c r="O271" s="21"/>
      <c r="P271" s="21"/>
      <c r="Q271" s="1">
        <f t="shared" si="121"/>
        <v>0.60744618579017706</v>
      </c>
      <c r="R271" s="12">
        <f t="shared" ca="1" si="134"/>
        <v>7232</v>
      </c>
      <c r="S271" s="88">
        <f t="shared" si="112"/>
        <v>0</v>
      </c>
      <c r="T271" s="19">
        <f t="shared" si="113"/>
        <v>0</v>
      </c>
      <c r="U271" s="19">
        <f t="shared" si="109"/>
        <v>0</v>
      </c>
      <c r="V271" s="19">
        <f t="shared" si="126"/>
        <v>0</v>
      </c>
      <c r="W271" s="20">
        <f t="shared" ca="1" si="135"/>
        <v>0</v>
      </c>
      <c r="X271" s="19">
        <f t="shared" ca="1" si="136"/>
        <v>0</v>
      </c>
      <c r="Y271" s="19">
        <f t="shared" ca="1" si="137"/>
        <v>0</v>
      </c>
      <c r="Z271" s="20">
        <f t="shared" ca="1" si="138"/>
        <v>0</v>
      </c>
      <c r="AA271" s="1">
        <f t="shared" si="122"/>
        <v>5432.58</v>
      </c>
      <c r="AB271" s="89"/>
      <c r="AC271" s="90"/>
      <c r="AD271" s="101">
        <f t="shared" si="123"/>
        <v>48354</v>
      </c>
      <c r="AE271" s="103">
        <f t="shared" si="124"/>
        <v>0</v>
      </c>
      <c r="AG271" s="1">
        <f t="shared" si="114"/>
        <v>0</v>
      </c>
      <c r="AH271" s="1">
        <f t="shared" si="129"/>
        <v>0</v>
      </c>
      <c r="AI271" s="1">
        <f t="shared" si="125"/>
        <v>5432.58</v>
      </c>
      <c r="AJ271" s="20">
        <f t="shared" si="127"/>
        <v>0</v>
      </c>
      <c r="AK271" s="100">
        <f t="shared" si="130"/>
        <v>0</v>
      </c>
      <c r="AL271" s="100">
        <f t="shared" si="131"/>
        <v>0</v>
      </c>
      <c r="AN271" s="100">
        <f t="shared" si="132"/>
        <v>4806.3766584140394</v>
      </c>
      <c r="AO271" s="20">
        <f t="shared" si="133"/>
        <v>0</v>
      </c>
      <c r="AQ271" s="109">
        <f t="shared" si="115"/>
        <v>0</v>
      </c>
      <c r="AU271" s="109">
        <f t="shared" si="116"/>
        <v>26.492421755869223</v>
      </c>
      <c r="AV271" s="101">
        <f t="shared" si="110"/>
        <v>48384</v>
      </c>
      <c r="AW271" s="99">
        <f t="shared" si="111"/>
        <v>0</v>
      </c>
      <c r="AX271" s="1">
        <f t="shared" si="117"/>
        <v>0</v>
      </c>
      <c r="AY271" s="29">
        <f t="shared" si="118"/>
        <v>0</v>
      </c>
      <c r="AZ271" s="1">
        <f t="shared" si="119"/>
        <v>0</v>
      </c>
      <c r="CB271" s="20">
        <f t="shared" si="128"/>
        <v>0</v>
      </c>
      <c r="CC271" s="173">
        <f t="shared" si="120"/>
        <v>0</v>
      </c>
    </row>
    <row r="272" spans="2:81" x14ac:dyDescent="0.25">
      <c r="B272" s="41"/>
      <c r="C272" s="42"/>
      <c r="D272" s="43"/>
      <c r="E272" s="44"/>
      <c r="F272" s="44"/>
      <c r="G272" s="45"/>
      <c r="H272" s="81" t="str">
        <f t="shared" si="108"/>
        <v/>
      </c>
      <c r="J272" s="9"/>
      <c r="K272" s="10"/>
      <c r="L272" s="14"/>
      <c r="M272" s="19"/>
      <c r="N272" s="19"/>
      <c r="O272" s="19"/>
      <c r="P272" s="19"/>
      <c r="Q272" s="1">
        <f t="shared" si="121"/>
        <v>0.60744618579017706</v>
      </c>
      <c r="R272" s="12">
        <f t="shared" ca="1" si="134"/>
        <v>7262</v>
      </c>
      <c r="S272" s="88">
        <f t="shared" si="112"/>
        <v>0</v>
      </c>
      <c r="T272" s="19">
        <f t="shared" si="113"/>
        <v>0</v>
      </c>
      <c r="U272" s="19">
        <f t="shared" si="109"/>
        <v>0</v>
      </c>
      <c r="V272" s="19">
        <f t="shared" si="126"/>
        <v>0</v>
      </c>
      <c r="W272" s="20">
        <f t="shared" ca="1" si="135"/>
        <v>0</v>
      </c>
      <c r="X272" s="19">
        <f t="shared" ca="1" si="136"/>
        <v>0</v>
      </c>
      <c r="Y272" s="19">
        <f t="shared" ca="1" si="137"/>
        <v>0</v>
      </c>
      <c r="Z272" s="20">
        <f t="shared" ca="1" si="138"/>
        <v>0</v>
      </c>
      <c r="AA272" s="1">
        <f t="shared" si="122"/>
        <v>5432.58</v>
      </c>
      <c r="AB272" s="87"/>
      <c r="AC272" s="88"/>
      <c r="AD272" s="101">
        <f t="shared" si="123"/>
        <v>48384</v>
      </c>
      <c r="AE272" s="103">
        <f t="shared" si="124"/>
        <v>0</v>
      </c>
      <c r="AG272" s="1">
        <f t="shared" si="114"/>
        <v>0</v>
      </c>
      <c r="AH272" s="1">
        <f t="shared" si="129"/>
        <v>0</v>
      </c>
      <c r="AI272" s="1">
        <f t="shared" si="125"/>
        <v>5432.58</v>
      </c>
      <c r="AJ272" s="20">
        <f t="shared" si="127"/>
        <v>0</v>
      </c>
      <c r="AK272" s="100">
        <f t="shared" si="130"/>
        <v>0</v>
      </c>
      <c r="AL272" s="100">
        <f t="shared" si="131"/>
        <v>0</v>
      </c>
      <c r="AN272" s="100">
        <f t="shared" si="132"/>
        <v>4803.9448767539307</v>
      </c>
      <c r="AO272" s="20">
        <f t="shared" si="133"/>
        <v>0</v>
      </c>
      <c r="AQ272" s="109">
        <f t="shared" si="115"/>
        <v>0</v>
      </c>
      <c r="AU272" s="109">
        <f t="shared" si="116"/>
        <v>26.490096514064106</v>
      </c>
      <c r="AV272" s="101">
        <f t="shared" si="110"/>
        <v>48414</v>
      </c>
      <c r="AW272" s="99">
        <f>IF(AJ273&lt;0,0,AJ273)</f>
        <v>0</v>
      </c>
      <c r="AX272" s="1">
        <f t="shared" si="117"/>
        <v>0</v>
      </c>
      <c r="AY272" s="29">
        <f t="shared" si="118"/>
        <v>0</v>
      </c>
      <c r="AZ272" s="1">
        <f t="shared" si="119"/>
        <v>0</v>
      </c>
      <c r="CB272" s="20">
        <f t="shared" si="128"/>
        <v>0</v>
      </c>
      <c r="CC272" s="173">
        <f t="shared" si="120"/>
        <v>0</v>
      </c>
    </row>
    <row r="273" spans="2:81" x14ac:dyDescent="0.25">
      <c r="B273" s="41"/>
      <c r="C273" s="42"/>
      <c r="D273" s="43"/>
      <c r="E273" s="44"/>
      <c r="F273" s="44"/>
      <c r="G273" s="45"/>
      <c r="H273" s="81" t="str">
        <f t="shared" si="108"/>
        <v/>
      </c>
      <c r="J273" s="7"/>
      <c r="K273" s="8"/>
      <c r="L273" s="15"/>
      <c r="M273" s="21"/>
      <c r="N273" s="21"/>
      <c r="O273" s="21"/>
      <c r="P273" s="21"/>
      <c r="Q273" s="1">
        <f t="shared" si="121"/>
        <v>0.60744618579017706</v>
      </c>
      <c r="R273" s="12">
        <f t="shared" ca="1" si="134"/>
        <v>7292</v>
      </c>
      <c r="S273" s="88">
        <f t="shared" si="112"/>
        <v>0</v>
      </c>
      <c r="T273" s="19">
        <f t="shared" si="113"/>
        <v>0</v>
      </c>
      <c r="U273" s="19">
        <f t="shared" si="109"/>
        <v>0</v>
      </c>
      <c r="V273" s="19">
        <f t="shared" si="126"/>
        <v>0</v>
      </c>
      <c r="W273" s="20">
        <f t="shared" ca="1" si="135"/>
        <v>0</v>
      </c>
      <c r="X273" s="19">
        <f t="shared" ca="1" si="136"/>
        <v>0</v>
      </c>
      <c r="Y273" s="19">
        <f t="shared" ca="1" si="137"/>
        <v>0</v>
      </c>
      <c r="Z273" s="20">
        <f t="shared" ca="1" si="138"/>
        <v>0</v>
      </c>
      <c r="AA273" s="1">
        <f t="shared" si="122"/>
        <v>5432.58</v>
      </c>
      <c r="AB273" s="89"/>
      <c r="AC273" s="90"/>
      <c r="AD273" s="101">
        <f t="shared" si="123"/>
        <v>48414</v>
      </c>
      <c r="AE273" s="103">
        <f t="shared" si="124"/>
        <v>0</v>
      </c>
      <c r="AG273" s="1">
        <f t="shared" si="114"/>
        <v>0</v>
      </c>
      <c r="AH273" s="1">
        <f t="shared" si="129"/>
        <v>0</v>
      </c>
      <c r="AI273" s="1">
        <f t="shared" si="125"/>
        <v>5432.58</v>
      </c>
      <c r="AJ273" s="20">
        <f t="shared" si="127"/>
        <v>0</v>
      </c>
      <c r="AK273" s="100">
        <f t="shared" si="130"/>
        <v>0</v>
      </c>
      <c r="AL273" s="100">
        <f t="shared" si="131"/>
        <v>0</v>
      </c>
      <c r="AN273" s="100">
        <f t="shared" si="132"/>
        <v>4801.5143254514187</v>
      </c>
      <c r="AO273" s="20">
        <f t="shared" si="133"/>
        <v>0</v>
      </c>
      <c r="AQ273" s="109">
        <f t="shared" si="115"/>
        <v>0</v>
      </c>
      <c r="AU273" s="109">
        <f t="shared" si="116"/>
        <v>26.487771476345628</v>
      </c>
      <c r="AV273" s="101">
        <f t="shared" si="110"/>
        <v>48444</v>
      </c>
      <c r="AW273" s="99">
        <f t="shared" ref="AW273:AW336" si="139">IF(AJ274&lt;0,0,AJ274)</f>
        <v>0</v>
      </c>
      <c r="AX273" s="1">
        <f t="shared" si="117"/>
        <v>0</v>
      </c>
      <c r="AY273" s="29">
        <f t="shared" si="118"/>
        <v>0</v>
      </c>
      <c r="AZ273" s="1">
        <f t="shared" si="119"/>
        <v>0</v>
      </c>
      <c r="CB273" s="20">
        <f t="shared" si="128"/>
        <v>0</v>
      </c>
      <c r="CC273" s="173">
        <f t="shared" si="120"/>
        <v>0</v>
      </c>
    </row>
    <row r="274" spans="2:81" x14ac:dyDescent="0.25">
      <c r="B274" s="41"/>
      <c r="C274" s="42"/>
      <c r="D274" s="43"/>
      <c r="E274" s="44"/>
      <c r="F274" s="44"/>
      <c r="G274" s="45"/>
      <c r="H274" s="81" t="str">
        <f t="shared" si="108"/>
        <v/>
      </c>
      <c r="J274" s="9"/>
      <c r="K274" s="10"/>
      <c r="L274" s="14"/>
      <c r="M274" s="19"/>
      <c r="N274" s="19"/>
      <c r="O274" s="19"/>
      <c r="P274" s="19"/>
      <c r="Q274" s="1">
        <f t="shared" si="121"/>
        <v>0.60744618579017706</v>
      </c>
      <c r="R274" s="12">
        <f t="shared" ca="1" si="134"/>
        <v>7322</v>
      </c>
      <c r="S274" s="88">
        <f t="shared" si="112"/>
        <v>0</v>
      </c>
      <c r="T274" s="19">
        <f t="shared" si="113"/>
        <v>0</v>
      </c>
      <c r="U274" s="19">
        <f t="shared" si="109"/>
        <v>0</v>
      </c>
      <c r="V274" s="19">
        <f t="shared" si="126"/>
        <v>0</v>
      </c>
      <c r="W274" s="20">
        <f t="shared" ca="1" si="135"/>
        <v>0</v>
      </c>
      <c r="X274" s="19">
        <f t="shared" ca="1" si="136"/>
        <v>0</v>
      </c>
      <c r="Y274" s="19">
        <f t="shared" ca="1" si="137"/>
        <v>0</v>
      </c>
      <c r="Z274" s="20">
        <f t="shared" ca="1" si="138"/>
        <v>0</v>
      </c>
      <c r="AA274" s="1">
        <f t="shared" si="122"/>
        <v>5432.58</v>
      </c>
      <c r="AB274" s="87"/>
      <c r="AC274" s="88"/>
      <c r="AD274" s="101">
        <f t="shared" si="123"/>
        <v>48444</v>
      </c>
      <c r="AE274" s="103">
        <f t="shared" si="124"/>
        <v>0</v>
      </c>
      <c r="AG274" s="1">
        <f t="shared" si="114"/>
        <v>0</v>
      </c>
      <c r="AH274" s="1">
        <f t="shared" si="129"/>
        <v>0</v>
      </c>
      <c r="AI274" s="1">
        <f t="shared" si="125"/>
        <v>5432.58</v>
      </c>
      <c r="AJ274" s="20">
        <f t="shared" si="127"/>
        <v>0</v>
      </c>
      <c r="AK274" s="100">
        <f t="shared" si="130"/>
        <v>0</v>
      </c>
      <c r="AL274" s="100">
        <f t="shared" si="131"/>
        <v>0</v>
      </c>
      <c r="AN274" s="100">
        <f t="shared" si="132"/>
        <v>4799.0850038840099</v>
      </c>
      <c r="AO274" s="20">
        <f t="shared" si="133"/>
        <v>0</v>
      </c>
      <c r="AQ274" s="109">
        <f t="shared" si="115"/>
        <v>0</v>
      </c>
      <c r="AU274" s="109">
        <f t="shared" si="116"/>
        <v>26.485446642695884</v>
      </c>
      <c r="AV274" s="101">
        <f t="shared" si="110"/>
        <v>48474</v>
      </c>
      <c r="AW274" s="99">
        <f t="shared" si="139"/>
        <v>0</v>
      </c>
      <c r="AX274" s="1">
        <f t="shared" si="117"/>
        <v>0</v>
      </c>
      <c r="AY274" s="29">
        <f t="shared" si="118"/>
        <v>0</v>
      </c>
      <c r="AZ274" s="1">
        <f t="shared" si="119"/>
        <v>0</v>
      </c>
      <c r="CB274" s="20">
        <f t="shared" si="128"/>
        <v>0</v>
      </c>
      <c r="CC274" s="173">
        <f t="shared" si="120"/>
        <v>0</v>
      </c>
    </row>
    <row r="275" spans="2:81" x14ac:dyDescent="0.25">
      <c r="B275" s="41"/>
      <c r="C275" s="42"/>
      <c r="D275" s="43"/>
      <c r="E275" s="44"/>
      <c r="F275" s="44"/>
      <c r="G275" s="45"/>
      <c r="H275" s="81" t="str">
        <f t="shared" si="108"/>
        <v/>
      </c>
      <c r="J275" s="7"/>
      <c r="K275" s="8"/>
      <c r="L275" s="15"/>
      <c r="M275" s="21"/>
      <c r="N275" s="21"/>
      <c r="O275" s="21"/>
      <c r="P275" s="21"/>
      <c r="Q275" s="1">
        <f t="shared" si="121"/>
        <v>0.60744618579017706</v>
      </c>
      <c r="R275" s="12">
        <f t="shared" ca="1" si="134"/>
        <v>7352</v>
      </c>
      <c r="S275" s="88">
        <f t="shared" si="112"/>
        <v>0</v>
      </c>
      <c r="T275" s="19">
        <f t="shared" si="113"/>
        <v>0</v>
      </c>
      <c r="U275" s="19">
        <f t="shared" si="109"/>
        <v>0</v>
      </c>
      <c r="V275" s="19">
        <f t="shared" si="126"/>
        <v>0</v>
      </c>
      <c r="W275" s="20">
        <f t="shared" ca="1" si="135"/>
        <v>0</v>
      </c>
      <c r="X275" s="19">
        <f t="shared" ca="1" si="136"/>
        <v>0</v>
      </c>
      <c r="Y275" s="19">
        <f t="shared" ca="1" si="137"/>
        <v>0</v>
      </c>
      <c r="Z275" s="20">
        <f t="shared" ca="1" si="138"/>
        <v>0</v>
      </c>
      <c r="AA275" s="1">
        <f t="shared" si="122"/>
        <v>5432.58</v>
      </c>
      <c r="AB275" s="89"/>
      <c r="AC275" s="90"/>
      <c r="AD275" s="101">
        <f t="shared" si="123"/>
        <v>48474</v>
      </c>
      <c r="AE275" s="103">
        <f t="shared" si="124"/>
        <v>0</v>
      </c>
      <c r="AG275" s="1">
        <f t="shared" si="114"/>
        <v>0</v>
      </c>
      <c r="AH275" s="1">
        <f t="shared" si="129"/>
        <v>0</v>
      </c>
      <c r="AI275" s="1">
        <f t="shared" si="125"/>
        <v>5432.58</v>
      </c>
      <c r="AJ275" s="20">
        <f t="shared" si="127"/>
        <v>0</v>
      </c>
      <c r="AK275" s="100">
        <f t="shared" si="130"/>
        <v>0</v>
      </c>
      <c r="AL275" s="100">
        <f t="shared" si="131"/>
        <v>0</v>
      </c>
      <c r="AN275" s="100">
        <f t="shared" si="132"/>
        <v>4796.6569114295162</v>
      </c>
      <c r="AO275" s="20">
        <f t="shared" si="133"/>
        <v>0</v>
      </c>
      <c r="AQ275" s="109">
        <f t="shared" si="115"/>
        <v>0</v>
      </c>
      <c r="AU275" s="109">
        <f t="shared" si="116"/>
        <v>26.48312201309696</v>
      </c>
      <c r="AV275" s="101">
        <f t="shared" si="110"/>
        <v>48504</v>
      </c>
      <c r="AW275" s="99">
        <f t="shared" si="139"/>
        <v>0</v>
      </c>
      <c r="AX275" s="1">
        <f t="shared" si="117"/>
        <v>0</v>
      </c>
      <c r="AY275" s="29">
        <f t="shared" si="118"/>
        <v>0</v>
      </c>
      <c r="AZ275" s="1">
        <f t="shared" si="119"/>
        <v>0</v>
      </c>
      <c r="CB275" s="20">
        <f t="shared" si="128"/>
        <v>0</v>
      </c>
      <c r="CC275" s="173">
        <f t="shared" si="120"/>
        <v>0</v>
      </c>
    </row>
    <row r="276" spans="2:81" x14ac:dyDescent="0.25">
      <c r="B276" s="41"/>
      <c r="C276" s="42"/>
      <c r="D276" s="43"/>
      <c r="E276" s="44"/>
      <c r="F276" s="44"/>
      <c r="G276" s="45"/>
      <c r="H276" s="81" t="str">
        <f t="shared" si="108"/>
        <v/>
      </c>
      <c r="J276" s="9"/>
      <c r="K276" s="10"/>
      <c r="L276" s="14"/>
      <c r="M276" s="19"/>
      <c r="N276" s="19"/>
      <c r="O276" s="19"/>
      <c r="P276" s="19"/>
      <c r="Q276" s="1">
        <f t="shared" si="121"/>
        <v>0.60744618579017706</v>
      </c>
      <c r="R276" s="12">
        <f t="shared" ca="1" si="134"/>
        <v>7382</v>
      </c>
      <c r="S276" s="88">
        <f t="shared" si="112"/>
        <v>0</v>
      </c>
      <c r="T276" s="19">
        <f t="shared" si="113"/>
        <v>0</v>
      </c>
      <c r="U276" s="19">
        <f t="shared" si="109"/>
        <v>0</v>
      </c>
      <c r="V276" s="19">
        <f t="shared" si="126"/>
        <v>0</v>
      </c>
      <c r="W276" s="20">
        <f t="shared" ca="1" si="135"/>
        <v>0</v>
      </c>
      <c r="X276" s="19">
        <f t="shared" ca="1" si="136"/>
        <v>0</v>
      </c>
      <c r="Y276" s="19">
        <f t="shared" ca="1" si="137"/>
        <v>0</v>
      </c>
      <c r="Z276" s="20">
        <f t="shared" ca="1" si="138"/>
        <v>0</v>
      </c>
      <c r="AA276" s="1">
        <f t="shared" si="122"/>
        <v>5432.58</v>
      </c>
      <c r="AB276" s="87"/>
      <c r="AC276" s="88"/>
      <c r="AD276" s="101">
        <f t="shared" si="123"/>
        <v>48504</v>
      </c>
      <c r="AE276" s="103">
        <f t="shared" si="124"/>
        <v>0</v>
      </c>
      <c r="AG276" s="1">
        <f t="shared" si="114"/>
        <v>0</v>
      </c>
      <c r="AH276" s="1">
        <f t="shared" si="129"/>
        <v>0</v>
      </c>
      <c r="AI276" s="1">
        <f t="shared" si="125"/>
        <v>5432.58</v>
      </c>
      <c r="AJ276" s="20">
        <f t="shared" si="127"/>
        <v>0</v>
      </c>
      <c r="AK276" s="100">
        <f t="shared" si="130"/>
        <v>0</v>
      </c>
      <c r="AL276" s="100">
        <f t="shared" si="131"/>
        <v>0</v>
      </c>
      <c r="AN276" s="100">
        <f t="shared" si="132"/>
        <v>4794.2300474660706</v>
      </c>
      <c r="AO276" s="20">
        <f t="shared" si="133"/>
        <v>0</v>
      </c>
      <c r="AQ276" s="109">
        <f t="shared" si="115"/>
        <v>0</v>
      </c>
      <c r="AU276" s="109">
        <f t="shared" si="116"/>
        <v>26.480797587530944</v>
      </c>
      <c r="AV276" s="101">
        <f t="shared" si="110"/>
        <v>48534</v>
      </c>
      <c r="AW276" s="99">
        <f t="shared" si="139"/>
        <v>0</v>
      </c>
      <c r="AX276" s="1">
        <f t="shared" si="117"/>
        <v>0</v>
      </c>
      <c r="AY276" s="29">
        <f t="shared" si="118"/>
        <v>0</v>
      </c>
      <c r="AZ276" s="1">
        <f t="shared" si="119"/>
        <v>0</v>
      </c>
      <c r="CB276" s="20">
        <f t="shared" si="128"/>
        <v>0</v>
      </c>
      <c r="CC276" s="173">
        <f t="shared" si="120"/>
        <v>0</v>
      </c>
    </row>
    <row r="277" spans="2:81" x14ac:dyDescent="0.25">
      <c r="B277" s="41"/>
      <c r="C277" s="42"/>
      <c r="D277" s="43"/>
      <c r="E277" s="44"/>
      <c r="F277" s="44"/>
      <c r="G277" s="45"/>
      <c r="H277" s="81" t="str">
        <f t="shared" si="108"/>
        <v/>
      </c>
      <c r="J277" s="7"/>
      <c r="K277" s="8"/>
      <c r="L277" s="15"/>
      <c r="M277" s="21"/>
      <c r="N277" s="21"/>
      <c r="O277" s="21"/>
      <c r="P277" s="21"/>
      <c r="Q277" s="1">
        <f t="shared" si="121"/>
        <v>0.60744618579017706</v>
      </c>
      <c r="R277" s="12">
        <f t="shared" ca="1" si="134"/>
        <v>7412</v>
      </c>
      <c r="S277" s="88">
        <f t="shared" si="112"/>
        <v>0</v>
      </c>
      <c r="T277" s="19">
        <f t="shared" si="113"/>
        <v>0</v>
      </c>
      <c r="U277" s="19">
        <f t="shared" si="109"/>
        <v>0</v>
      </c>
      <c r="V277" s="19">
        <f t="shared" si="126"/>
        <v>0</v>
      </c>
      <c r="W277" s="20">
        <f t="shared" ca="1" si="135"/>
        <v>0</v>
      </c>
      <c r="X277" s="19">
        <f t="shared" ca="1" si="136"/>
        <v>0</v>
      </c>
      <c r="Y277" s="19">
        <f t="shared" ca="1" si="137"/>
        <v>0</v>
      </c>
      <c r="Z277" s="20">
        <f t="shared" ca="1" si="138"/>
        <v>0</v>
      </c>
      <c r="AA277" s="1">
        <f t="shared" si="122"/>
        <v>5432.58</v>
      </c>
      <c r="AB277" s="89"/>
      <c r="AC277" s="90"/>
      <c r="AD277" s="101">
        <f t="shared" si="123"/>
        <v>48534</v>
      </c>
      <c r="AE277" s="103">
        <f t="shared" si="124"/>
        <v>0</v>
      </c>
      <c r="AG277" s="1">
        <f t="shared" si="114"/>
        <v>0</v>
      </c>
      <c r="AH277" s="1">
        <f t="shared" si="129"/>
        <v>0</v>
      </c>
      <c r="AI277" s="1">
        <f t="shared" si="125"/>
        <v>5432.58</v>
      </c>
      <c r="AJ277" s="20">
        <f t="shared" si="127"/>
        <v>0</v>
      </c>
      <c r="AK277" s="100">
        <f t="shared" si="130"/>
        <v>0</v>
      </c>
      <c r="AL277" s="100">
        <f t="shared" si="131"/>
        <v>0</v>
      </c>
      <c r="AN277" s="100">
        <f t="shared" si="132"/>
        <v>4791.8044113721189</v>
      </c>
      <c r="AO277" s="20">
        <f t="shared" si="133"/>
        <v>0</v>
      </c>
      <c r="AQ277" s="109">
        <f t="shared" si="115"/>
        <v>0</v>
      </c>
      <c r="AU277" s="109">
        <f t="shared" si="116"/>
        <v>26.478473365979937</v>
      </c>
      <c r="AV277" s="101">
        <f t="shared" si="110"/>
        <v>48564</v>
      </c>
      <c r="AW277" s="99">
        <f t="shared" si="139"/>
        <v>0</v>
      </c>
      <c r="AX277" s="1">
        <f t="shared" si="117"/>
        <v>0</v>
      </c>
      <c r="AY277" s="29">
        <f t="shared" si="118"/>
        <v>0</v>
      </c>
      <c r="AZ277" s="1">
        <f t="shared" si="119"/>
        <v>0</v>
      </c>
      <c r="CB277" s="20">
        <f t="shared" si="128"/>
        <v>0</v>
      </c>
      <c r="CC277" s="173">
        <f t="shared" si="120"/>
        <v>0</v>
      </c>
    </row>
    <row r="278" spans="2:81" x14ac:dyDescent="0.25">
      <c r="B278" s="41"/>
      <c r="C278" s="42"/>
      <c r="D278" s="43"/>
      <c r="E278" s="44"/>
      <c r="F278" s="44"/>
      <c r="G278" s="45"/>
      <c r="H278" s="81" t="str">
        <f t="shared" ref="H278:H341" si="140">IF(ISERROR(VLOOKUP(C276,AB:AC,2,0)),"",VLOOKUP(C276,AB:AC,2,0))</f>
        <v/>
      </c>
      <c r="J278" s="9"/>
      <c r="K278" s="10"/>
      <c r="L278" s="14"/>
      <c r="M278" s="19"/>
      <c r="N278" s="19"/>
      <c r="O278" s="19"/>
      <c r="P278" s="19"/>
      <c r="Q278" s="1">
        <f t="shared" si="121"/>
        <v>0.60744618579017706</v>
      </c>
      <c r="R278" s="12">
        <f t="shared" ca="1" si="134"/>
        <v>7442</v>
      </c>
      <c r="S278" s="88">
        <f t="shared" si="112"/>
        <v>0</v>
      </c>
      <c r="T278" s="19">
        <f t="shared" si="113"/>
        <v>0</v>
      </c>
      <c r="U278" s="19">
        <f t="shared" si="109"/>
        <v>0</v>
      </c>
      <c r="V278" s="19">
        <f t="shared" si="126"/>
        <v>0</v>
      </c>
      <c r="W278" s="20">
        <f t="shared" ca="1" si="135"/>
        <v>0</v>
      </c>
      <c r="X278" s="19">
        <f t="shared" ca="1" si="136"/>
        <v>0</v>
      </c>
      <c r="Y278" s="19">
        <f t="shared" ca="1" si="137"/>
        <v>0</v>
      </c>
      <c r="Z278" s="20">
        <f t="shared" ca="1" si="138"/>
        <v>0</v>
      </c>
      <c r="AA278" s="1">
        <f t="shared" si="122"/>
        <v>5432.58</v>
      </c>
      <c r="AB278" s="87"/>
      <c r="AC278" s="88"/>
      <c r="AD278" s="101">
        <f t="shared" si="123"/>
        <v>48564</v>
      </c>
      <c r="AE278" s="103">
        <f t="shared" si="124"/>
        <v>0</v>
      </c>
      <c r="AG278" s="1">
        <f t="shared" si="114"/>
        <v>0</v>
      </c>
      <c r="AH278" s="1">
        <f t="shared" si="129"/>
        <v>0</v>
      </c>
      <c r="AI278" s="1">
        <f t="shared" si="125"/>
        <v>5432.58</v>
      </c>
      <c r="AJ278" s="20">
        <f t="shared" si="127"/>
        <v>0</v>
      </c>
      <c r="AK278" s="100">
        <f t="shared" si="130"/>
        <v>0</v>
      </c>
      <c r="AL278" s="100">
        <f t="shared" si="131"/>
        <v>0</v>
      </c>
      <c r="AN278" s="100">
        <f t="shared" si="132"/>
        <v>4789.3800025264218</v>
      </c>
      <c r="AO278" s="20">
        <f t="shared" si="133"/>
        <v>0</v>
      </c>
      <c r="AQ278" s="109">
        <f t="shared" si="115"/>
        <v>0</v>
      </c>
      <c r="AU278" s="109">
        <f t="shared" si="116"/>
        <v>26.47614934842602</v>
      </c>
      <c r="AV278" s="101">
        <f t="shared" si="110"/>
        <v>48594</v>
      </c>
      <c r="AW278" s="99">
        <f t="shared" si="139"/>
        <v>0</v>
      </c>
      <c r="AX278" s="1">
        <f t="shared" si="117"/>
        <v>0</v>
      </c>
      <c r="AY278" s="29">
        <f t="shared" si="118"/>
        <v>0</v>
      </c>
      <c r="AZ278" s="1">
        <f t="shared" si="119"/>
        <v>0</v>
      </c>
      <c r="CB278" s="20">
        <f t="shared" si="128"/>
        <v>0</v>
      </c>
      <c r="CC278" s="173">
        <f t="shared" si="120"/>
        <v>0</v>
      </c>
    </row>
    <row r="279" spans="2:81" x14ac:dyDescent="0.25">
      <c r="B279" s="41"/>
      <c r="C279" s="42"/>
      <c r="D279" s="43"/>
      <c r="E279" s="44"/>
      <c r="F279" s="44"/>
      <c r="G279" s="45"/>
      <c r="H279" s="81" t="str">
        <f t="shared" si="140"/>
        <v/>
      </c>
      <c r="J279" s="7"/>
      <c r="K279" s="8"/>
      <c r="L279" s="15"/>
      <c r="M279" s="21"/>
      <c r="N279" s="21"/>
      <c r="O279" s="21"/>
      <c r="P279" s="21"/>
      <c r="Q279" s="1">
        <f t="shared" si="121"/>
        <v>0.60744618579017706</v>
      </c>
      <c r="R279" s="12">
        <f t="shared" ca="1" si="134"/>
        <v>7472</v>
      </c>
      <c r="S279" s="88">
        <f t="shared" si="112"/>
        <v>0</v>
      </c>
      <c r="T279" s="19">
        <f t="shared" si="113"/>
        <v>0</v>
      </c>
      <c r="U279" s="19">
        <f t="shared" si="109"/>
        <v>0</v>
      </c>
      <c r="V279" s="19">
        <f t="shared" si="126"/>
        <v>0</v>
      </c>
      <c r="W279" s="20">
        <f t="shared" ca="1" si="135"/>
        <v>0</v>
      </c>
      <c r="X279" s="19">
        <f t="shared" ca="1" si="136"/>
        <v>0</v>
      </c>
      <c r="Y279" s="19">
        <f t="shared" ca="1" si="137"/>
        <v>0</v>
      </c>
      <c r="Z279" s="20">
        <f t="shared" ca="1" si="138"/>
        <v>0</v>
      </c>
      <c r="AA279" s="1">
        <f t="shared" si="122"/>
        <v>5432.58</v>
      </c>
      <c r="AB279" s="89"/>
      <c r="AC279" s="90"/>
      <c r="AD279" s="101">
        <f t="shared" si="123"/>
        <v>48594</v>
      </c>
      <c r="AE279" s="103">
        <f t="shared" si="124"/>
        <v>0</v>
      </c>
      <c r="AG279" s="1">
        <f t="shared" si="114"/>
        <v>0</v>
      </c>
      <c r="AH279" s="1">
        <f t="shared" si="129"/>
        <v>0</v>
      </c>
      <c r="AI279" s="1">
        <f t="shared" si="125"/>
        <v>5432.58</v>
      </c>
      <c r="AJ279" s="20">
        <f t="shared" si="127"/>
        <v>0</v>
      </c>
      <c r="AK279" s="100">
        <f t="shared" si="130"/>
        <v>0</v>
      </c>
      <c r="AL279" s="100">
        <f t="shared" si="131"/>
        <v>0</v>
      </c>
      <c r="AN279" s="100">
        <f t="shared" si="132"/>
        <v>4786.9568203080571</v>
      </c>
      <c r="AO279" s="20">
        <f t="shared" si="133"/>
        <v>0</v>
      </c>
      <c r="AQ279" s="109">
        <f t="shared" si="115"/>
        <v>0</v>
      </c>
      <c r="AU279" s="109">
        <f t="shared" si="116"/>
        <v>26.473825534851301</v>
      </c>
      <c r="AV279" s="101">
        <f t="shared" si="110"/>
        <v>48624</v>
      </c>
      <c r="AW279" s="99">
        <f t="shared" si="139"/>
        <v>0</v>
      </c>
      <c r="AX279" s="1">
        <f t="shared" si="117"/>
        <v>0</v>
      </c>
      <c r="AY279" s="29">
        <f t="shared" si="118"/>
        <v>0</v>
      </c>
      <c r="AZ279" s="1">
        <f t="shared" si="119"/>
        <v>0</v>
      </c>
      <c r="CB279" s="20">
        <f t="shared" si="128"/>
        <v>0</v>
      </c>
      <c r="CC279" s="173">
        <f t="shared" si="120"/>
        <v>0</v>
      </c>
    </row>
    <row r="280" spans="2:81" x14ac:dyDescent="0.25">
      <c r="B280" s="41"/>
      <c r="C280" s="42"/>
      <c r="D280" s="43"/>
      <c r="E280" s="44"/>
      <c r="F280" s="44"/>
      <c r="G280" s="45"/>
      <c r="H280" s="81" t="str">
        <f t="shared" si="140"/>
        <v/>
      </c>
      <c r="J280" s="9"/>
      <c r="K280" s="10"/>
      <c r="L280" s="14"/>
      <c r="M280" s="19"/>
      <c r="N280" s="19"/>
      <c r="O280" s="19"/>
      <c r="P280" s="19"/>
      <c r="Q280" s="1">
        <f t="shared" si="121"/>
        <v>0.60744618579017706</v>
      </c>
      <c r="R280" s="12">
        <f t="shared" ca="1" si="134"/>
        <v>7502</v>
      </c>
      <c r="S280" s="88">
        <f t="shared" si="112"/>
        <v>0</v>
      </c>
      <c r="T280" s="19">
        <f t="shared" si="113"/>
        <v>0</v>
      </c>
      <c r="U280" s="19">
        <f t="shared" si="109"/>
        <v>0</v>
      </c>
      <c r="V280" s="19">
        <f t="shared" si="126"/>
        <v>0</v>
      </c>
      <c r="W280" s="20">
        <f t="shared" ca="1" si="135"/>
        <v>0</v>
      </c>
      <c r="X280" s="19">
        <f t="shared" ca="1" si="136"/>
        <v>0</v>
      </c>
      <c r="Y280" s="19">
        <f t="shared" ca="1" si="137"/>
        <v>0</v>
      </c>
      <c r="Z280" s="20">
        <f t="shared" ca="1" si="138"/>
        <v>0</v>
      </c>
      <c r="AA280" s="1">
        <f t="shared" si="122"/>
        <v>5432.58</v>
      </c>
      <c r="AB280" s="87"/>
      <c r="AC280" s="88"/>
      <c r="AD280" s="101">
        <f t="shared" si="123"/>
        <v>48624</v>
      </c>
      <c r="AE280" s="103">
        <f t="shared" si="124"/>
        <v>0</v>
      </c>
      <c r="AG280" s="1">
        <f t="shared" si="114"/>
        <v>0</v>
      </c>
      <c r="AH280" s="1">
        <f t="shared" si="129"/>
        <v>0</v>
      </c>
      <c r="AI280" s="1">
        <f t="shared" si="125"/>
        <v>5432.58</v>
      </c>
      <c r="AJ280" s="20">
        <f t="shared" si="127"/>
        <v>0</v>
      </c>
      <c r="AK280" s="100">
        <f t="shared" si="130"/>
        <v>0</v>
      </c>
      <c r="AL280" s="100">
        <f t="shared" si="131"/>
        <v>0</v>
      </c>
      <c r="AN280" s="100">
        <f t="shared" si="132"/>
        <v>4784.5348640964112</v>
      </c>
      <c r="AO280" s="20">
        <f t="shared" si="133"/>
        <v>0</v>
      </c>
      <c r="AQ280" s="109">
        <f t="shared" si="115"/>
        <v>0</v>
      </c>
      <c r="AU280" s="109">
        <f t="shared" si="116"/>
        <v>26.471501925237867</v>
      </c>
      <c r="AV280" s="101">
        <f t="shared" si="110"/>
        <v>48654</v>
      </c>
      <c r="AW280" s="99">
        <f t="shared" si="139"/>
        <v>0</v>
      </c>
      <c r="AX280" s="1">
        <f t="shared" si="117"/>
        <v>0</v>
      </c>
      <c r="AY280" s="29">
        <f t="shared" si="118"/>
        <v>0</v>
      </c>
      <c r="AZ280" s="1">
        <f t="shared" si="119"/>
        <v>0</v>
      </c>
      <c r="CB280" s="20">
        <f t="shared" si="128"/>
        <v>0</v>
      </c>
      <c r="CC280" s="173">
        <f t="shared" si="120"/>
        <v>0</v>
      </c>
    </row>
    <row r="281" spans="2:81" x14ac:dyDescent="0.25">
      <c r="B281" s="41"/>
      <c r="C281" s="42"/>
      <c r="D281" s="43"/>
      <c r="E281" s="44"/>
      <c r="F281" s="44"/>
      <c r="G281" s="45"/>
      <c r="H281" s="81" t="str">
        <f t="shared" si="140"/>
        <v/>
      </c>
      <c r="J281" s="7"/>
      <c r="K281" s="8"/>
      <c r="L281" s="15"/>
      <c r="M281" s="21"/>
      <c r="N281" s="21"/>
      <c r="O281" s="21"/>
      <c r="P281" s="21"/>
      <c r="Q281" s="1">
        <f t="shared" si="121"/>
        <v>0.60744618579017706</v>
      </c>
      <c r="R281" s="12">
        <f t="shared" ca="1" si="134"/>
        <v>7532</v>
      </c>
      <c r="S281" s="88">
        <f t="shared" si="112"/>
        <v>0</v>
      </c>
      <c r="T281" s="19">
        <f t="shared" si="113"/>
        <v>0</v>
      </c>
      <c r="U281" s="19">
        <f t="shared" si="109"/>
        <v>0</v>
      </c>
      <c r="V281" s="19">
        <f t="shared" si="126"/>
        <v>0</v>
      </c>
      <c r="W281" s="20">
        <f t="shared" ca="1" si="135"/>
        <v>0</v>
      </c>
      <c r="X281" s="19">
        <f t="shared" ca="1" si="136"/>
        <v>0</v>
      </c>
      <c r="Y281" s="19">
        <f t="shared" ca="1" si="137"/>
        <v>0</v>
      </c>
      <c r="Z281" s="20">
        <f t="shared" ca="1" si="138"/>
        <v>0</v>
      </c>
      <c r="AA281" s="1">
        <f t="shared" si="122"/>
        <v>5432.58</v>
      </c>
      <c r="AB281" s="89"/>
      <c r="AC281" s="90"/>
      <c r="AD281" s="101">
        <f t="shared" si="123"/>
        <v>48654</v>
      </c>
      <c r="AE281" s="103">
        <f t="shared" si="124"/>
        <v>0</v>
      </c>
      <c r="AG281" s="1">
        <f t="shared" si="114"/>
        <v>0</v>
      </c>
      <c r="AH281" s="1">
        <f t="shared" si="129"/>
        <v>0</v>
      </c>
      <c r="AI281" s="1">
        <f t="shared" si="125"/>
        <v>5432.58</v>
      </c>
      <c r="AJ281" s="20">
        <f t="shared" si="127"/>
        <v>0</v>
      </c>
      <c r="AK281" s="100">
        <f t="shared" si="130"/>
        <v>0</v>
      </c>
      <c r="AL281" s="100">
        <f t="shared" si="131"/>
        <v>0</v>
      </c>
      <c r="AN281" s="100">
        <f t="shared" si="132"/>
        <v>4782.114133271185</v>
      </c>
      <c r="AO281" s="20">
        <f t="shared" si="133"/>
        <v>0</v>
      </c>
      <c r="AQ281" s="109">
        <f t="shared" si="115"/>
        <v>0</v>
      </c>
      <c r="AU281" s="109">
        <f t="shared" si="116"/>
        <v>26.469178519567823</v>
      </c>
      <c r="AV281" s="101">
        <f t="shared" si="110"/>
        <v>48684</v>
      </c>
      <c r="AW281" s="99">
        <f t="shared" si="139"/>
        <v>0</v>
      </c>
      <c r="AX281" s="1">
        <f t="shared" si="117"/>
        <v>0</v>
      </c>
      <c r="AY281" s="29">
        <f t="shared" si="118"/>
        <v>0</v>
      </c>
      <c r="AZ281" s="1">
        <f t="shared" si="119"/>
        <v>0</v>
      </c>
      <c r="CB281" s="20">
        <f t="shared" si="128"/>
        <v>0</v>
      </c>
      <c r="CC281" s="173">
        <f t="shared" si="120"/>
        <v>0</v>
      </c>
    </row>
    <row r="282" spans="2:81" x14ac:dyDescent="0.25">
      <c r="B282" s="41"/>
      <c r="C282" s="42"/>
      <c r="D282" s="43"/>
      <c r="E282" s="44"/>
      <c r="F282" s="44"/>
      <c r="G282" s="45"/>
      <c r="H282" s="81" t="str">
        <f t="shared" si="140"/>
        <v/>
      </c>
      <c r="J282" s="9"/>
      <c r="K282" s="10"/>
      <c r="L282" s="14"/>
      <c r="M282" s="19"/>
      <c r="N282" s="19"/>
      <c r="O282" s="19"/>
      <c r="P282" s="19"/>
      <c r="Q282" s="1">
        <f t="shared" si="121"/>
        <v>0.60744618579017706</v>
      </c>
      <c r="R282" s="12">
        <f t="shared" ca="1" si="134"/>
        <v>7562</v>
      </c>
      <c r="S282" s="88">
        <f t="shared" si="112"/>
        <v>0</v>
      </c>
      <c r="T282" s="19">
        <f t="shared" si="113"/>
        <v>0</v>
      </c>
      <c r="U282" s="19">
        <f t="shared" si="109"/>
        <v>0</v>
      </c>
      <c r="V282" s="19">
        <f t="shared" si="126"/>
        <v>0</v>
      </c>
      <c r="W282" s="20">
        <f t="shared" ca="1" si="135"/>
        <v>0</v>
      </c>
      <c r="X282" s="19">
        <f t="shared" ca="1" si="136"/>
        <v>0</v>
      </c>
      <c r="Y282" s="19">
        <f t="shared" ca="1" si="137"/>
        <v>0</v>
      </c>
      <c r="Z282" s="20">
        <f t="shared" ca="1" si="138"/>
        <v>0</v>
      </c>
      <c r="AA282" s="1">
        <f t="shared" si="122"/>
        <v>5432.58</v>
      </c>
      <c r="AB282" s="87"/>
      <c r="AC282" s="88"/>
      <c r="AD282" s="101">
        <f t="shared" si="123"/>
        <v>48684</v>
      </c>
      <c r="AE282" s="103">
        <f t="shared" si="124"/>
        <v>0</v>
      </c>
      <c r="AG282" s="1">
        <f t="shared" si="114"/>
        <v>0</v>
      </c>
      <c r="AH282" s="1">
        <f t="shared" si="129"/>
        <v>0</v>
      </c>
      <c r="AI282" s="1">
        <f t="shared" si="125"/>
        <v>5432.58</v>
      </c>
      <c r="AJ282" s="20">
        <f t="shared" si="127"/>
        <v>0</v>
      </c>
      <c r="AK282" s="100">
        <f t="shared" si="130"/>
        <v>0</v>
      </c>
      <c r="AL282" s="100">
        <f t="shared" si="131"/>
        <v>0</v>
      </c>
      <c r="AN282" s="100">
        <f t="shared" si="132"/>
        <v>4779.6946272123996</v>
      </c>
      <c r="AO282" s="20">
        <f t="shared" si="133"/>
        <v>0</v>
      </c>
      <c r="AQ282" s="109">
        <f t="shared" si="115"/>
        <v>0</v>
      </c>
      <c r="AU282" s="109">
        <f t="shared" si="116"/>
        <v>26.46685531782326</v>
      </c>
      <c r="AV282" s="101">
        <f t="shared" si="110"/>
        <v>48714</v>
      </c>
      <c r="AW282" s="99">
        <f t="shared" si="139"/>
        <v>0</v>
      </c>
      <c r="AX282" s="1">
        <f t="shared" si="117"/>
        <v>0</v>
      </c>
      <c r="AY282" s="29">
        <f t="shared" si="118"/>
        <v>0</v>
      </c>
      <c r="AZ282" s="1">
        <f t="shared" si="119"/>
        <v>0</v>
      </c>
      <c r="CB282" s="20">
        <f t="shared" si="128"/>
        <v>0</v>
      </c>
      <c r="CC282" s="173">
        <f t="shared" si="120"/>
        <v>0</v>
      </c>
    </row>
    <row r="283" spans="2:81" x14ac:dyDescent="0.25">
      <c r="B283" s="41"/>
      <c r="C283" s="42"/>
      <c r="D283" s="43"/>
      <c r="E283" s="44"/>
      <c r="F283" s="44"/>
      <c r="G283" s="45"/>
      <c r="H283" s="81" t="str">
        <f t="shared" si="140"/>
        <v/>
      </c>
      <c r="J283" s="7"/>
      <c r="K283" s="8"/>
      <c r="L283" s="15"/>
      <c r="M283" s="21"/>
      <c r="N283" s="21"/>
      <c r="O283" s="21"/>
      <c r="P283" s="21"/>
      <c r="Q283" s="1">
        <f t="shared" si="121"/>
        <v>0.60744618579017706</v>
      </c>
      <c r="R283" s="12">
        <f t="shared" ca="1" si="134"/>
        <v>7592</v>
      </c>
      <c r="S283" s="88">
        <f t="shared" si="112"/>
        <v>0</v>
      </c>
      <c r="T283" s="19">
        <f t="shared" si="113"/>
        <v>0</v>
      </c>
      <c r="U283" s="19">
        <f t="shared" si="109"/>
        <v>0</v>
      </c>
      <c r="V283" s="19">
        <f t="shared" si="126"/>
        <v>0</v>
      </c>
      <c r="W283" s="20">
        <f t="shared" ca="1" si="135"/>
        <v>0</v>
      </c>
      <c r="X283" s="19">
        <f t="shared" ca="1" si="136"/>
        <v>0</v>
      </c>
      <c r="Y283" s="19">
        <f t="shared" ca="1" si="137"/>
        <v>0</v>
      </c>
      <c r="Z283" s="20">
        <f t="shared" ca="1" si="138"/>
        <v>0</v>
      </c>
      <c r="AA283" s="1">
        <f t="shared" si="122"/>
        <v>5432.58</v>
      </c>
      <c r="AB283" s="89"/>
      <c r="AC283" s="90"/>
      <c r="AD283" s="101">
        <f t="shared" si="123"/>
        <v>48714</v>
      </c>
      <c r="AE283" s="103">
        <f t="shared" si="124"/>
        <v>0</v>
      </c>
      <c r="AG283" s="1">
        <f t="shared" si="114"/>
        <v>0</v>
      </c>
      <c r="AH283" s="1">
        <f t="shared" si="129"/>
        <v>0</v>
      </c>
      <c r="AI283" s="1">
        <f t="shared" si="125"/>
        <v>5432.58</v>
      </c>
      <c r="AJ283" s="20">
        <f t="shared" si="127"/>
        <v>0</v>
      </c>
      <c r="AK283" s="100">
        <f t="shared" si="130"/>
        <v>0</v>
      </c>
      <c r="AL283" s="100">
        <f t="shared" si="131"/>
        <v>0</v>
      </c>
      <c r="AN283" s="100">
        <f t="shared" si="132"/>
        <v>4777.2763453003836</v>
      </c>
      <c r="AO283" s="20">
        <f t="shared" si="133"/>
        <v>0</v>
      </c>
      <c r="AQ283" s="109">
        <f t="shared" si="115"/>
        <v>0</v>
      </c>
      <c r="AU283" s="109">
        <f t="shared" si="116"/>
        <v>26.464532319986276</v>
      </c>
      <c r="AV283" s="101">
        <f t="shared" si="110"/>
        <v>48744</v>
      </c>
      <c r="AW283" s="99">
        <f t="shared" si="139"/>
        <v>0</v>
      </c>
      <c r="AX283" s="1">
        <f t="shared" si="117"/>
        <v>0</v>
      </c>
      <c r="AY283" s="29">
        <f t="shared" si="118"/>
        <v>0</v>
      </c>
      <c r="AZ283" s="1">
        <f t="shared" si="119"/>
        <v>0</v>
      </c>
      <c r="CB283" s="20">
        <f t="shared" si="128"/>
        <v>0</v>
      </c>
      <c r="CC283" s="173">
        <f t="shared" si="120"/>
        <v>0</v>
      </c>
    </row>
    <row r="284" spans="2:81" x14ac:dyDescent="0.25">
      <c r="B284" s="41"/>
      <c r="C284" s="42"/>
      <c r="D284" s="43"/>
      <c r="E284" s="44"/>
      <c r="F284" s="44"/>
      <c r="G284" s="45"/>
      <c r="H284" s="81" t="str">
        <f t="shared" si="140"/>
        <v/>
      </c>
      <c r="J284" s="9"/>
      <c r="K284" s="10"/>
      <c r="L284" s="14"/>
      <c r="M284" s="19"/>
      <c r="N284" s="19"/>
      <c r="O284" s="19"/>
      <c r="P284" s="19"/>
      <c r="Q284" s="1">
        <f t="shared" si="121"/>
        <v>0.60744618579017706</v>
      </c>
      <c r="R284" s="12">
        <f t="shared" ca="1" si="134"/>
        <v>7622</v>
      </c>
      <c r="S284" s="88">
        <f t="shared" si="112"/>
        <v>0</v>
      </c>
      <c r="T284" s="19">
        <f t="shared" si="113"/>
        <v>0</v>
      </c>
      <c r="U284" s="19">
        <f t="shared" si="109"/>
        <v>0</v>
      </c>
      <c r="V284" s="19">
        <f t="shared" si="126"/>
        <v>0</v>
      </c>
      <c r="W284" s="20">
        <f t="shared" ca="1" si="135"/>
        <v>0</v>
      </c>
      <c r="X284" s="19">
        <f t="shared" ca="1" si="136"/>
        <v>0</v>
      </c>
      <c r="Y284" s="19">
        <f t="shared" ca="1" si="137"/>
        <v>0</v>
      </c>
      <c r="Z284" s="20">
        <f t="shared" ca="1" si="138"/>
        <v>0</v>
      </c>
      <c r="AA284" s="1">
        <f t="shared" si="122"/>
        <v>5432.58</v>
      </c>
      <c r="AB284" s="87"/>
      <c r="AC284" s="88"/>
      <c r="AD284" s="101">
        <f t="shared" si="123"/>
        <v>48744</v>
      </c>
      <c r="AE284" s="103">
        <f t="shared" si="124"/>
        <v>0</v>
      </c>
      <c r="AG284" s="1">
        <f t="shared" si="114"/>
        <v>0</v>
      </c>
      <c r="AH284" s="1">
        <f t="shared" si="129"/>
        <v>0</v>
      </c>
      <c r="AI284" s="1">
        <f t="shared" si="125"/>
        <v>5432.58</v>
      </c>
      <c r="AJ284" s="20">
        <f t="shared" si="127"/>
        <v>0</v>
      </c>
      <c r="AK284" s="100">
        <f t="shared" si="130"/>
        <v>0</v>
      </c>
      <c r="AL284" s="100">
        <f t="shared" si="131"/>
        <v>0</v>
      </c>
      <c r="AN284" s="100">
        <f t="shared" si="132"/>
        <v>4774.859286915781</v>
      </c>
      <c r="AO284" s="20">
        <f t="shared" si="133"/>
        <v>0</v>
      </c>
      <c r="AQ284" s="109">
        <f t="shared" si="115"/>
        <v>0</v>
      </c>
      <c r="AU284" s="109">
        <f t="shared" si="116"/>
        <v>26.462209526039</v>
      </c>
      <c r="AV284" s="101">
        <f t="shared" si="110"/>
        <v>48774</v>
      </c>
      <c r="AW284" s="99">
        <f t="shared" si="139"/>
        <v>0</v>
      </c>
      <c r="AX284" s="1">
        <f t="shared" si="117"/>
        <v>0</v>
      </c>
      <c r="AY284" s="29">
        <f t="shared" si="118"/>
        <v>0</v>
      </c>
      <c r="AZ284" s="1">
        <f t="shared" si="119"/>
        <v>0</v>
      </c>
      <c r="CB284" s="20">
        <f t="shared" si="128"/>
        <v>0</v>
      </c>
      <c r="CC284" s="173">
        <f t="shared" si="120"/>
        <v>0</v>
      </c>
    </row>
    <row r="285" spans="2:81" x14ac:dyDescent="0.25">
      <c r="B285" s="41"/>
      <c r="C285" s="42"/>
      <c r="D285" s="43"/>
      <c r="E285" s="44"/>
      <c r="F285" s="44"/>
      <c r="G285" s="45"/>
      <c r="H285" s="81" t="str">
        <f t="shared" si="140"/>
        <v/>
      </c>
      <c r="J285" s="7"/>
      <c r="K285" s="8"/>
      <c r="L285" s="15"/>
      <c r="M285" s="21"/>
      <c r="N285" s="21"/>
      <c r="O285" s="21"/>
      <c r="P285" s="21"/>
      <c r="Q285" s="1">
        <f t="shared" si="121"/>
        <v>0.60744618579017706</v>
      </c>
      <c r="R285" s="12">
        <f t="shared" ca="1" si="134"/>
        <v>7652</v>
      </c>
      <c r="S285" s="88">
        <f t="shared" si="112"/>
        <v>0</v>
      </c>
      <c r="T285" s="19">
        <f t="shared" si="113"/>
        <v>0</v>
      </c>
      <c r="U285" s="19">
        <f t="shared" si="109"/>
        <v>0</v>
      </c>
      <c r="V285" s="19">
        <f t="shared" si="126"/>
        <v>0</v>
      </c>
      <c r="W285" s="20">
        <f t="shared" ca="1" si="135"/>
        <v>0</v>
      </c>
      <c r="X285" s="19">
        <f t="shared" ca="1" si="136"/>
        <v>0</v>
      </c>
      <c r="Y285" s="19">
        <f t="shared" ca="1" si="137"/>
        <v>0</v>
      </c>
      <c r="Z285" s="20">
        <f t="shared" ca="1" si="138"/>
        <v>0</v>
      </c>
      <c r="AA285" s="1">
        <f t="shared" si="122"/>
        <v>5432.58</v>
      </c>
      <c r="AB285" s="89"/>
      <c r="AC285" s="90"/>
      <c r="AD285" s="101">
        <f t="shared" si="123"/>
        <v>48774</v>
      </c>
      <c r="AE285" s="103">
        <f t="shared" si="124"/>
        <v>0</v>
      </c>
      <c r="AG285" s="1">
        <f t="shared" si="114"/>
        <v>0</v>
      </c>
      <c r="AH285" s="1">
        <f t="shared" si="129"/>
        <v>0</v>
      </c>
      <c r="AI285" s="1">
        <f t="shared" si="125"/>
        <v>5432.58</v>
      </c>
      <c r="AJ285" s="20">
        <f t="shared" si="127"/>
        <v>0</v>
      </c>
      <c r="AK285" s="100">
        <f t="shared" si="130"/>
        <v>0</v>
      </c>
      <c r="AL285" s="100">
        <f t="shared" si="131"/>
        <v>0</v>
      </c>
      <c r="AN285" s="100">
        <f t="shared" si="132"/>
        <v>4772.4434514395516</v>
      </c>
      <c r="AO285" s="20">
        <f t="shared" si="133"/>
        <v>0</v>
      </c>
      <c r="AQ285" s="109">
        <f t="shared" si="115"/>
        <v>0</v>
      </c>
      <c r="AU285" s="109">
        <f t="shared" si="116"/>
        <v>26.459886935963514</v>
      </c>
      <c r="AV285" s="101">
        <f t="shared" si="110"/>
        <v>48804</v>
      </c>
      <c r="AW285" s="99">
        <f t="shared" si="139"/>
        <v>0</v>
      </c>
      <c r="AX285" s="1">
        <f t="shared" si="117"/>
        <v>0</v>
      </c>
      <c r="AY285" s="29">
        <f t="shared" si="118"/>
        <v>0</v>
      </c>
      <c r="AZ285" s="1">
        <f t="shared" si="119"/>
        <v>0</v>
      </c>
      <c r="CB285" s="20">
        <f t="shared" si="128"/>
        <v>0</v>
      </c>
      <c r="CC285" s="173">
        <f t="shared" si="120"/>
        <v>0</v>
      </c>
    </row>
    <row r="286" spans="2:81" x14ac:dyDescent="0.25">
      <c r="B286" s="41"/>
      <c r="C286" s="42"/>
      <c r="D286" s="43"/>
      <c r="E286" s="44"/>
      <c r="F286" s="44"/>
      <c r="G286" s="45"/>
      <c r="H286" s="81" t="str">
        <f t="shared" si="140"/>
        <v/>
      </c>
      <c r="J286" s="9"/>
      <c r="K286" s="10"/>
      <c r="L286" s="14"/>
      <c r="M286" s="19"/>
      <c r="N286" s="19"/>
      <c r="O286" s="19"/>
      <c r="P286" s="19"/>
      <c r="Q286" s="1">
        <f t="shared" si="121"/>
        <v>0.60744618579017706</v>
      </c>
      <c r="R286" s="12">
        <f t="shared" ca="1" si="134"/>
        <v>7682</v>
      </c>
      <c r="S286" s="88">
        <f t="shared" si="112"/>
        <v>0</v>
      </c>
      <c r="T286" s="19">
        <f t="shared" si="113"/>
        <v>0</v>
      </c>
      <c r="U286" s="19">
        <f t="shared" ref="U286:U318" si="141">AA286*(IF(ROW()-30&lt;$H$22,$H$21,0))</f>
        <v>0</v>
      </c>
      <c r="V286" s="19">
        <f t="shared" si="126"/>
        <v>0</v>
      </c>
      <c r="W286" s="20">
        <f t="shared" ca="1" si="135"/>
        <v>0</v>
      </c>
      <c r="X286" s="19">
        <f t="shared" ca="1" si="136"/>
        <v>0</v>
      </c>
      <c r="Y286" s="19">
        <f t="shared" ca="1" si="137"/>
        <v>0</v>
      </c>
      <c r="Z286" s="20">
        <f t="shared" ca="1" si="138"/>
        <v>0</v>
      </c>
      <c r="AA286" s="1">
        <f t="shared" si="122"/>
        <v>5432.58</v>
      </c>
      <c r="AB286" s="87"/>
      <c r="AC286" s="88"/>
      <c r="AD286" s="101">
        <f t="shared" si="123"/>
        <v>48804</v>
      </c>
      <c r="AE286" s="103">
        <f t="shared" si="124"/>
        <v>0</v>
      </c>
      <c r="AG286" s="1">
        <f t="shared" si="114"/>
        <v>0</v>
      </c>
      <c r="AH286" s="1">
        <f t="shared" si="129"/>
        <v>0</v>
      </c>
      <c r="AI286" s="1">
        <f t="shared" si="125"/>
        <v>5432.58</v>
      </c>
      <c r="AJ286" s="20">
        <f t="shared" si="127"/>
        <v>0</v>
      </c>
      <c r="AK286" s="100">
        <f t="shared" si="130"/>
        <v>0</v>
      </c>
      <c r="AL286" s="100">
        <f t="shared" si="131"/>
        <v>0</v>
      </c>
      <c r="AN286" s="100">
        <f t="shared" si="132"/>
        <v>4770.0288382529625</v>
      </c>
      <c r="AO286" s="20">
        <f t="shared" si="133"/>
        <v>0</v>
      </c>
      <c r="AQ286" s="109">
        <f t="shared" si="115"/>
        <v>0</v>
      </c>
      <c r="AU286" s="109">
        <f t="shared" si="116"/>
        <v>26.457564549741932</v>
      </c>
      <c r="AV286" s="101">
        <f t="shared" ref="AV286:AV349" si="142">AD287</f>
        <v>48834</v>
      </c>
      <c r="AW286" s="99">
        <f t="shared" si="139"/>
        <v>0</v>
      </c>
      <c r="AX286" s="1">
        <f t="shared" si="117"/>
        <v>0</v>
      </c>
      <c r="AY286" s="29">
        <f t="shared" si="118"/>
        <v>0</v>
      </c>
      <c r="AZ286" s="1">
        <f t="shared" si="119"/>
        <v>0</v>
      </c>
      <c r="CB286" s="20">
        <f t="shared" si="128"/>
        <v>0</v>
      </c>
      <c r="CC286" s="173">
        <f t="shared" si="120"/>
        <v>0</v>
      </c>
    </row>
    <row r="287" spans="2:81" x14ac:dyDescent="0.25">
      <c r="B287" s="41"/>
      <c r="C287" s="42"/>
      <c r="D287" s="43"/>
      <c r="E287" s="44"/>
      <c r="F287" s="44"/>
      <c r="G287" s="45"/>
      <c r="H287" s="81" t="str">
        <f t="shared" si="140"/>
        <v/>
      </c>
      <c r="J287" s="7"/>
      <c r="K287" s="8"/>
      <c r="L287" s="15"/>
      <c r="M287" s="21"/>
      <c r="N287" s="21"/>
      <c r="O287" s="21"/>
      <c r="P287" s="21"/>
      <c r="Q287" s="1">
        <f t="shared" si="121"/>
        <v>0.60744618579017706</v>
      </c>
      <c r="R287" s="12">
        <f t="shared" ca="1" si="134"/>
        <v>7712</v>
      </c>
      <c r="S287" s="88">
        <f t="shared" ref="S287:S350" si="143">N287+M287</f>
        <v>0</v>
      </c>
      <c r="T287" s="19">
        <f t="shared" ref="T287:T350" si="144">IF(ISERROR((previousBalance*Q287/1200)*(IF(ROW()-30&lt;$G$22,$G$21,0))),0,(previousBalance*Q287/1200)*(IF(ROW()-30&lt;$G$22,$G$21,0)))</f>
        <v>0</v>
      </c>
      <c r="U287" s="19">
        <f t="shared" si="141"/>
        <v>0</v>
      </c>
      <c r="V287" s="19">
        <f t="shared" si="126"/>
        <v>0</v>
      </c>
      <c r="W287" s="20">
        <f t="shared" ca="1" si="135"/>
        <v>0</v>
      </c>
      <c r="X287" s="19">
        <f t="shared" ca="1" si="136"/>
        <v>0</v>
      </c>
      <c r="Y287" s="19">
        <f t="shared" ca="1" si="137"/>
        <v>0</v>
      </c>
      <c r="Z287" s="20">
        <f t="shared" ca="1" si="138"/>
        <v>0</v>
      </c>
      <c r="AA287" s="1">
        <f t="shared" si="122"/>
        <v>5432.58</v>
      </c>
      <c r="AB287" s="89"/>
      <c r="AC287" s="90"/>
      <c r="AD287" s="101">
        <f t="shared" si="123"/>
        <v>48834</v>
      </c>
      <c r="AE287" s="103">
        <f t="shared" si="124"/>
        <v>0</v>
      </c>
      <c r="AG287" s="1">
        <f t="shared" ref="AG287:AG350" si="145">AE287/360</f>
        <v>0</v>
      </c>
      <c r="AH287" s="1">
        <f t="shared" si="129"/>
        <v>0</v>
      </c>
      <c r="AI287" s="1">
        <f t="shared" si="125"/>
        <v>5432.58</v>
      </c>
      <c r="AJ287" s="20">
        <f t="shared" si="127"/>
        <v>0</v>
      </c>
      <c r="AK287" s="100">
        <f t="shared" si="130"/>
        <v>0</v>
      </c>
      <c r="AL287" s="100">
        <f t="shared" si="131"/>
        <v>0</v>
      </c>
      <c r="AN287" s="100">
        <f t="shared" si="132"/>
        <v>4767.6154467376</v>
      </c>
      <c r="AO287" s="20">
        <f t="shared" si="133"/>
        <v>0</v>
      </c>
      <c r="AQ287" s="109">
        <f t="shared" ref="AQ287:AQ350" si="146">AO287/(1+((1+$AM$27)^((ROW()-29)*30)-1))</f>
        <v>0</v>
      </c>
      <c r="AU287" s="109">
        <f t="shared" ref="AU287:AU350" si="147">(($AT$27/(1+((1+$AM$27)^(ROW()-29)*30)-1))/292)*0.32</f>
        <v>26.455242367356355</v>
      </c>
      <c r="AV287" s="101">
        <f t="shared" si="142"/>
        <v>48864</v>
      </c>
      <c r="AW287" s="99">
        <f t="shared" si="139"/>
        <v>0</v>
      </c>
      <c r="AX287" s="1">
        <f t="shared" ref="AX287:AX350" si="148">IF(AG287&gt;0,AA287,0)</f>
        <v>0</v>
      </c>
      <c r="AY287" s="29">
        <f t="shared" ref="AY287:AY350" si="149">AE287</f>
        <v>0</v>
      </c>
      <c r="AZ287" s="1">
        <f t="shared" ref="AZ287:AZ350" si="150">AY287/360</f>
        <v>0</v>
      </c>
      <c r="CB287" s="20">
        <f t="shared" si="128"/>
        <v>0</v>
      </c>
      <c r="CC287" s="173">
        <f t="shared" ref="CC287:CC350" si="151">AJ287+U287+T287</f>
        <v>0</v>
      </c>
    </row>
    <row r="288" spans="2:81" x14ac:dyDescent="0.25">
      <c r="B288" s="41"/>
      <c r="C288" s="42"/>
      <c r="D288" s="43"/>
      <c r="E288" s="44"/>
      <c r="F288" s="44"/>
      <c r="G288" s="45"/>
      <c r="H288" s="81" t="str">
        <f t="shared" si="140"/>
        <v/>
      </c>
      <c r="J288" s="9"/>
      <c r="K288" s="10"/>
      <c r="L288" s="14"/>
      <c r="M288" s="19"/>
      <c r="N288" s="19"/>
      <c r="O288" s="19"/>
      <c r="P288" s="19"/>
      <c r="Q288" s="1">
        <f t="shared" ref="Q288:Q351" si="152">IF(M288=0,Q287,(M288*1200)/O287)</f>
        <v>0.60744618579017706</v>
      </c>
      <c r="R288" s="12">
        <f t="shared" ca="1" si="134"/>
        <v>7742</v>
      </c>
      <c r="S288" s="88">
        <f t="shared" si="143"/>
        <v>0</v>
      </c>
      <c r="T288" s="19">
        <f t="shared" si="144"/>
        <v>0</v>
      </c>
      <c r="U288" s="19">
        <f t="shared" si="141"/>
        <v>0</v>
      </c>
      <c r="V288" s="19">
        <f t="shared" si="126"/>
        <v>0</v>
      </c>
      <c r="W288" s="20">
        <f t="shared" ca="1" si="135"/>
        <v>0</v>
      </c>
      <c r="X288" s="19">
        <f t="shared" ca="1" si="136"/>
        <v>0</v>
      </c>
      <c r="Y288" s="19">
        <f t="shared" ca="1" si="137"/>
        <v>0</v>
      </c>
      <c r="Z288" s="20">
        <f t="shared" ca="1" si="138"/>
        <v>0</v>
      </c>
      <c r="AA288" s="1">
        <f t="shared" ref="AA288:AA351" si="153">IF(S288=0,AA287,N288)</f>
        <v>5432.58</v>
      </c>
      <c r="AB288" s="87"/>
      <c r="AC288" s="88"/>
      <c r="AD288" s="101">
        <f t="shared" ref="AD288:AD351" si="154">IF(M288=0,AD287+30,K288)</f>
        <v>48864</v>
      </c>
      <c r="AE288" s="103">
        <f t="shared" ref="AE288:AE351" si="155">IF(V288=0,0,R288)</f>
        <v>0</v>
      </c>
      <c r="AG288" s="1">
        <f t="shared" si="145"/>
        <v>0</v>
      </c>
      <c r="AH288" s="1">
        <f t="shared" si="129"/>
        <v>0</v>
      </c>
      <c r="AI288" s="1">
        <f t="shared" ref="AI288:AI351" si="156">IF(M288-1=0,IF(M288=0,IF(V288=0,N288,AI287),AA288),AA288)</f>
        <v>5432.58</v>
      </c>
      <c r="AJ288" s="20">
        <f t="shared" si="127"/>
        <v>0</v>
      </c>
      <c r="AK288" s="100">
        <f t="shared" si="130"/>
        <v>0</v>
      </c>
      <c r="AL288" s="100">
        <f t="shared" si="131"/>
        <v>0</v>
      </c>
      <c r="AN288" s="100">
        <f t="shared" si="132"/>
        <v>4765.2032762753597</v>
      </c>
      <c r="AO288" s="20">
        <f t="shared" si="133"/>
        <v>0</v>
      </c>
      <c r="AQ288" s="109">
        <f t="shared" si="146"/>
        <v>0</v>
      </c>
      <c r="AU288" s="109">
        <f t="shared" si="147"/>
        <v>26.452920388788897</v>
      </c>
      <c r="AV288" s="101">
        <f t="shared" si="142"/>
        <v>48894</v>
      </c>
      <c r="AW288" s="99">
        <f t="shared" si="139"/>
        <v>0</v>
      </c>
      <c r="AX288" s="1">
        <f t="shared" si="148"/>
        <v>0</v>
      </c>
      <c r="AY288" s="29">
        <f t="shared" si="149"/>
        <v>0</v>
      </c>
      <c r="AZ288" s="1">
        <f t="shared" si="150"/>
        <v>0</v>
      </c>
      <c r="CB288" s="20">
        <f t="shared" si="128"/>
        <v>0</v>
      </c>
      <c r="CC288" s="173">
        <f t="shared" si="151"/>
        <v>0</v>
      </c>
    </row>
    <row r="289" spans="2:81" x14ac:dyDescent="0.25">
      <c r="B289" s="41"/>
      <c r="C289" s="42"/>
      <c r="D289" s="43"/>
      <c r="E289" s="44"/>
      <c r="F289" s="44"/>
      <c r="G289" s="45"/>
      <c r="H289" s="81" t="str">
        <f t="shared" si="140"/>
        <v/>
      </c>
      <c r="J289" s="7"/>
      <c r="K289" s="8"/>
      <c r="L289" s="15"/>
      <c r="M289" s="21"/>
      <c r="N289" s="21"/>
      <c r="O289" s="21"/>
      <c r="P289" s="21"/>
      <c r="Q289" s="1">
        <f t="shared" si="152"/>
        <v>0.60744618579017706</v>
      </c>
      <c r="R289" s="12">
        <f t="shared" ca="1" si="134"/>
        <v>7772</v>
      </c>
      <c r="S289" s="88">
        <f t="shared" si="143"/>
        <v>0</v>
      </c>
      <c r="T289" s="19">
        <f t="shared" si="144"/>
        <v>0</v>
      </c>
      <c r="U289" s="19">
        <f t="shared" si="141"/>
        <v>0</v>
      </c>
      <c r="V289" s="19">
        <f t="shared" si="126"/>
        <v>0</v>
      </c>
      <c r="W289" s="20">
        <f t="shared" ca="1" si="135"/>
        <v>0</v>
      </c>
      <c r="X289" s="19">
        <f t="shared" ca="1" si="136"/>
        <v>0</v>
      </c>
      <c r="Y289" s="19">
        <f t="shared" ca="1" si="137"/>
        <v>0</v>
      </c>
      <c r="Z289" s="20">
        <f t="shared" ca="1" si="138"/>
        <v>0</v>
      </c>
      <c r="AA289" s="1">
        <f t="shared" si="153"/>
        <v>5432.58</v>
      </c>
      <c r="AB289" s="89"/>
      <c r="AC289" s="90"/>
      <c r="AD289" s="101">
        <f t="shared" si="154"/>
        <v>48894</v>
      </c>
      <c r="AE289" s="103">
        <f t="shared" si="155"/>
        <v>0</v>
      </c>
      <c r="AG289" s="1">
        <f t="shared" si="145"/>
        <v>0</v>
      </c>
      <c r="AH289" s="1">
        <f t="shared" si="129"/>
        <v>0</v>
      </c>
      <c r="AI289" s="1">
        <f t="shared" si="156"/>
        <v>5432.58</v>
      </c>
      <c r="AJ289" s="20">
        <f t="shared" si="127"/>
        <v>0</v>
      </c>
      <c r="AK289" s="100">
        <f t="shared" si="130"/>
        <v>0</v>
      </c>
      <c r="AL289" s="100">
        <f t="shared" si="131"/>
        <v>0</v>
      </c>
      <c r="AN289" s="100">
        <f t="shared" si="132"/>
        <v>4762.7923262484501</v>
      </c>
      <c r="AO289" s="20">
        <f t="shared" si="133"/>
        <v>0</v>
      </c>
      <c r="AQ289" s="109">
        <f t="shared" si="146"/>
        <v>0</v>
      </c>
      <c r="AU289" s="109">
        <f t="shared" si="147"/>
        <v>26.450598614021668</v>
      </c>
      <c r="AV289" s="101">
        <f t="shared" si="142"/>
        <v>48924</v>
      </c>
      <c r="AW289" s="99">
        <f t="shared" si="139"/>
        <v>0</v>
      </c>
      <c r="AX289" s="1">
        <f t="shared" si="148"/>
        <v>0</v>
      </c>
      <c r="AY289" s="29">
        <f t="shared" si="149"/>
        <v>0</v>
      </c>
      <c r="AZ289" s="1">
        <f t="shared" si="150"/>
        <v>0</v>
      </c>
      <c r="CB289" s="20">
        <f t="shared" si="128"/>
        <v>0</v>
      </c>
      <c r="CC289" s="173">
        <f t="shared" si="151"/>
        <v>0</v>
      </c>
    </row>
    <row r="290" spans="2:81" x14ac:dyDescent="0.25">
      <c r="B290" s="41"/>
      <c r="C290" s="42"/>
      <c r="D290" s="43"/>
      <c r="E290" s="44"/>
      <c r="F290" s="44"/>
      <c r="G290" s="45"/>
      <c r="H290" s="81" t="str">
        <f t="shared" si="140"/>
        <v/>
      </c>
      <c r="J290" s="9"/>
      <c r="K290" s="10"/>
      <c r="L290" s="14"/>
      <c r="M290" s="19"/>
      <c r="N290" s="19"/>
      <c r="O290" s="19"/>
      <c r="P290" s="19"/>
      <c r="Q290" s="1">
        <f t="shared" si="152"/>
        <v>0.60744618579017706</v>
      </c>
      <c r="R290" s="12">
        <f t="shared" ca="1" si="134"/>
        <v>7802</v>
      </c>
      <c r="S290" s="88">
        <f t="shared" si="143"/>
        <v>0</v>
      </c>
      <c r="T290" s="19">
        <f t="shared" si="144"/>
        <v>0</v>
      </c>
      <c r="U290" s="19">
        <f t="shared" si="141"/>
        <v>0</v>
      </c>
      <c r="V290" s="19">
        <f t="shared" ref="V290:V353" si="157">IF(ISERROR(IF(V289+U290+T290+(V289*Q290/1200)-AA290-P290&lt;0,0,V289+U290+T290-AA290-P290)),0,IF(V289+U290+T290+(V289*Q290/1200)-AA290-CB290&lt;0,0,V289+U290+T290-AA290-CB290))</f>
        <v>0</v>
      </c>
      <c r="W290" s="20">
        <f t="shared" ca="1" si="135"/>
        <v>0</v>
      </c>
      <c r="X290" s="19">
        <f t="shared" ca="1" si="136"/>
        <v>0</v>
      </c>
      <c r="Y290" s="19">
        <f t="shared" ca="1" si="137"/>
        <v>0</v>
      </c>
      <c r="Z290" s="20">
        <f t="shared" ca="1" si="138"/>
        <v>0</v>
      </c>
      <c r="AA290" s="1">
        <f t="shared" si="153"/>
        <v>5432.58</v>
      </c>
      <c r="AB290" s="87"/>
      <c r="AC290" s="88"/>
      <c r="AD290" s="101">
        <f t="shared" si="154"/>
        <v>48924</v>
      </c>
      <c r="AE290" s="103">
        <f t="shared" si="155"/>
        <v>0</v>
      </c>
      <c r="AG290" s="1">
        <f t="shared" si="145"/>
        <v>0</v>
      </c>
      <c r="AH290" s="1">
        <f t="shared" si="129"/>
        <v>0</v>
      </c>
      <c r="AI290" s="1">
        <f t="shared" si="156"/>
        <v>5432.58</v>
      </c>
      <c r="AJ290" s="20">
        <f t="shared" si="127"/>
        <v>0</v>
      </c>
      <c r="AK290" s="100">
        <f t="shared" si="130"/>
        <v>0</v>
      </c>
      <c r="AL290" s="100">
        <f t="shared" si="131"/>
        <v>0</v>
      </c>
      <c r="AN290" s="100">
        <f t="shared" si="132"/>
        <v>4760.3825960393951</v>
      </c>
      <c r="AO290" s="20">
        <f t="shared" si="133"/>
        <v>0</v>
      </c>
      <c r="AQ290" s="109">
        <f t="shared" si="146"/>
        <v>0</v>
      </c>
      <c r="AU290" s="109">
        <f t="shared" si="147"/>
        <v>26.448277043036782</v>
      </c>
      <c r="AV290" s="101">
        <f t="shared" si="142"/>
        <v>48954</v>
      </c>
      <c r="AW290" s="99">
        <f t="shared" si="139"/>
        <v>0</v>
      </c>
      <c r="AX290" s="1">
        <f t="shared" si="148"/>
        <v>0</v>
      </c>
      <c r="AY290" s="29">
        <f t="shared" si="149"/>
        <v>0</v>
      </c>
      <c r="AZ290" s="1">
        <f t="shared" si="150"/>
        <v>0</v>
      </c>
      <c r="CB290" s="20">
        <f t="shared" si="128"/>
        <v>0</v>
      </c>
      <c r="CC290" s="173">
        <f t="shared" si="151"/>
        <v>0</v>
      </c>
    </row>
    <row r="291" spans="2:81" x14ac:dyDescent="0.25">
      <c r="B291" s="41"/>
      <c r="C291" s="42"/>
      <c r="D291" s="43"/>
      <c r="E291" s="44"/>
      <c r="F291" s="44"/>
      <c r="G291" s="45"/>
      <c r="H291" s="81" t="str">
        <f t="shared" si="140"/>
        <v/>
      </c>
      <c r="J291" s="7"/>
      <c r="K291" s="8"/>
      <c r="L291" s="15"/>
      <c r="M291" s="21"/>
      <c r="N291" s="21"/>
      <c r="O291" s="21"/>
      <c r="P291" s="21"/>
      <c r="Q291" s="1">
        <f t="shared" si="152"/>
        <v>0.60744618579017706</v>
      </c>
      <c r="R291" s="12">
        <f t="shared" ca="1" si="134"/>
        <v>7832</v>
      </c>
      <c r="S291" s="88">
        <f t="shared" si="143"/>
        <v>0</v>
      </c>
      <c r="T291" s="19">
        <f t="shared" si="144"/>
        <v>0</v>
      </c>
      <c r="U291" s="19">
        <f t="shared" si="141"/>
        <v>0</v>
      </c>
      <c r="V291" s="19">
        <f t="shared" si="157"/>
        <v>0</v>
      </c>
      <c r="W291" s="20">
        <f t="shared" ca="1" si="135"/>
        <v>0</v>
      </c>
      <c r="X291" s="19">
        <f t="shared" ca="1" si="136"/>
        <v>0</v>
      </c>
      <c r="Y291" s="19">
        <f t="shared" ca="1" si="137"/>
        <v>0</v>
      </c>
      <c r="Z291" s="20">
        <f t="shared" ca="1" si="138"/>
        <v>0</v>
      </c>
      <c r="AA291" s="1">
        <f t="shared" si="153"/>
        <v>5432.58</v>
      </c>
      <c r="AB291" s="89"/>
      <c r="AC291" s="90"/>
      <c r="AD291" s="101">
        <f t="shared" si="154"/>
        <v>48954</v>
      </c>
      <c r="AE291" s="103">
        <f t="shared" si="155"/>
        <v>0</v>
      </c>
      <c r="AG291" s="1">
        <f t="shared" si="145"/>
        <v>0</v>
      </c>
      <c r="AH291" s="1">
        <f t="shared" si="129"/>
        <v>0</v>
      </c>
      <c r="AI291" s="1">
        <f t="shared" si="156"/>
        <v>5432.58</v>
      </c>
      <c r="AJ291" s="20">
        <f t="shared" si="127"/>
        <v>0</v>
      </c>
      <c r="AK291" s="100">
        <f t="shared" si="130"/>
        <v>0</v>
      </c>
      <c r="AL291" s="100">
        <f t="shared" si="131"/>
        <v>0</v>
      </c>
      <c r="AN291" s="100">
        <f t="shared" si="132"/>
        <v>4757.9740850310272</v>
      </c>
      <c r="AO291" s="20">
        <f t="shared" si="133"/>
        <v>0</v>
      </c>
      <c r="AQ291" s="109">
        <f t="shared" si="146"/>
        <v>0</v>
      </c>
      <c r="AU291" s="109">
        <f t="shared" si="147"/>
        <v>26.445955675816354</v>
      </c>
      <c r="AV291" s="101">
        <f t="shared" si="142"/>
        <v>48984</v>
      </c>
      <c r="AW291" s="99">
        <f t="shared" si="139"/>
        <v>0</v>
      </c>
      <c r="AX291" s="1">
        <f t="shared" si="148"/>
        <v>0</v>
      </c>
      <c r="AY291" s="29">
        <f t="shared" si="149"/>
        <v>0</v>
      </c>
      <c r="AZ291" s="1">
        <f t="shared" si="150"/>
        <v>0</v>
      </c>
      <c r="CB291" s="20">
        <f t="shared" si="128"/>
        <v>0</v>
      </c>
      <c r="CC291" s="173">
        <f t="shared" si="151"/>
        <v>0</v>
      </c>
    </row>
    <row r="292" spans="2:81" x14ac:dyDescent="0.25">
      <c r="B292" s="41"/>
      <c r="C292" s="42"/>
      <c r="D292" s="43"/>
      <c r="E292" s="44"/>
      <c r="F292" s="44"/>
      <c r="G292" s="45"/>
      <c r="H292" s="81" t="str">
        <f t="shared" si="140"/>
        <v/>
      </c>
      <c r="J292" s="9"/>
      <c r="K292" s="10"/>
      <c r="L292" s="14"/>
      <c r="M292" s="19"/>
      <c r="N292" s="19"/>
      <c r="O292" s="19"/>
      <c r="P292" s="19"/>
      <c r="Q292" s="1">
        <f t="shared" si="152"/>
        <v>0.60744618579017706</v>
      </c>
      <c r="R292" s="12">
        <f t="shared" ca="1" si="134"/>
        <v>7862</v>
      </c>
      <c r="S292" s="88">
        <f t="shared" si="143"/>
        <v>0</v>
      </c>
      <c r="T292" s="19">
        <f t="shared" si="144"/>
        <v>0</v>
      </c>
      <c r="U292" s="19">
        <f t="shared" si="141"/>
        <v>0</v>
      </c>
      <c r="V292" s="19">
        <f t="shared" si="157"/>
        <v>0</v>
      </c>
      <c r="W292" s="20">
        <f t="shared" ca="1" si="135"/>
        <v>0</v>
      </c>
      <c r="X292" s="19">
        <f t="shared" ca="1" si="136"/>
        <v>0</v>
      </c>
      <c r="Y292" s="19">
        <f t="shared" ca="1" si="137"/>
        <v>0</v>
      </c>
      <c r="Z292" s="20">
        <f t="shared" ca="1" si="138"/>
        <v>0</v>
      </c>
      <c r="AA292" s="1">
        <f t="shared" si="153"/>
        <v>5432.58</v>
      </c>
      <c r="AB292" s="87"/>
      <c r="AC292" s="88"/>
      <c r="AD292" s="101">
        <f t="shared" si="154"/>
        <v>48984</v>
      </c>
      <c r="AE292" s="103">
        <f t="shared" si="155"/>
        <v>0</v>
      </c>
      <c r="AG292" s="1">
        <f t="shared" si="145"/>
        <v>0</v>
      </c>
      <c r="AH292" s="1">
        <f t="shared" si="129"/>
        <v>0</v>
      </c>
      <c r="AI292" s="1">
        <f t="shared" si="156"/>
        <v>5432.58</v>
      </c>
      <c r="AJ292" s="20">
        <f t="shared" si="127"/>
        <v>0</v>
      </c>
      <c r="AK292" s="100">
        <f t="shared" si="130"/>
        <v>0</v>
      </c>
      <c r="AL292" s="100">
        <f t="shared" si="131"/>
        <v>0</v>
      </c>
      <c r="AN292" s="100">
        <f t="shared" si="132"/>
        <v>4755.5667926064934</v>
      </c>
      <c r="AO292" s="20">
        <f t="shared" si="133"/>
        <v>0</v>
      </c>
      <c r="AQ292" s="109">
        <f t="shared" si="146"/>
        <v>0</v>
      </c>
      <c r="AU292" s="109">
        <f t="shared" si="147"/>
        <v>26.443634512342502</v>
      </c>
      <c r="AV292" s="101">
        <f t="shared" si="142"/>
        <v>49014</v>
      </c>
      <c r="AW292" s="99">
        <f t="shared" si="139"/>
        <v>0</v>
      </c>
      <c r="AX292" s="1">
        <f t="shared" si="148"/>
        <v>0</v>
      </c>
      <c r="AY292" s="29">
        <f t="shared" si="149"/>
        <v>0</v>
      </c>
      <c r="AZ292" s="1">
        <f t="shared" si="150"/>
        <v>0</v>
      </c>
      <c r="CB292" s="20">
        <f t="shared" si="128"/>
        <v>0</v>
      </c>
      <c r="CC292" s="173">
        <f t="shared" si="151"/>
        <v>0</v>
      </c>
    </row>
    <row r="293" spans="2:81" x14ac:dyDescent="0.25">
      <c r="B293" s="41"/>
      <c r="C293" s="42"/>
      <c r="D293" s="43"/>
      <c r="E293" s="44"/>
      <c r="F293" s="44"/>
      <c r="G293" s="45"/>
      <c r="H293" s="81" t="str">
        <f t="shared" si="140"/>
        <v/>
      </c>
      <c r="J293" s="7"/>
      <c r="K293" s="8"/>
      <c r="L293" s="15"/>
      <c r="M293" s="21"/>
      <c r="N293" s="21"/>
      <c r="O293" s="21"/>
      <c r="P293" s="21"/>
      <c r="Q293" s="1">
        <f t="shared" si="152"/>
        <v>0.60744618579017706</v>
      </c>
      <c r="R293" s="12">
        <f t="shared" ca="1" si="134"/>
        <v>7892</v>
      </c>
      <c r="S293" s="88">
        <f t="shared" si="143"/>
        <v>0</v>
      </c>
      <c r="T293" s="19">
        <f t="shared" si="144"/>
        <v>0</v>
      </c>
      <c r="U293" s="19">
        <f t="shared" si="141"/>
        <v>0</v>
      </c>
      <c r="V293" s="19">
        <f t="shared" si="157"/>
        <v>0</v>
      </c>
      <c r="W293" s="20">
        <f t="shared" ca="1" si="135"/>
        <v>0</v>
      </c>
      <c r="X293" s="19">
        <f t="shared" ca="1" si="136"/>
        <v>0</v>
      </c>
      <c r="Y293" s="19">
        <f t="shared" ca="1" si="137"/>
        <v>0</v>
      </c>
      <c r="Z293" s="20">
        <f t="shared" ca="1" si="138"/>
        <v>0</v>
      </c>
      <c r="AA293" s="1">
        <f t="shared" si="153"/>
        <v>5432.58</v>
      </c>
      <c r="AB293" s="89"/>
      <c r="AC293" s="90"/>
      <c r="AD293" s="101">
        <f t="shared" si="154"/>
        <v>49014</v>
      </c>
      <c r="AE293" s="103">
        <f t="shared" si="155"/>
        <v>0</v>
      </c>
      <c r="AG293" s="1">
        <f t="shared" si="145"/>
        <v>0</v>
      </c>
      <c r="AH293" s="1">
        <f t="shared" si="129"/>
        <v>0</v>
      </c>
      <c r="AI293" s="1">
        <f t="shared" si="156"/>
        <v>5432.58</v>
      </c>
      <c r="AJ293" s="20">
        <f t="shared" si="127"/>
        <v>0</v>
      </c>
      <c r="AK293" s="100">
        <f t="shared" si="130"/>
        <v>0</v>
      </c>
      <c r="AL293" s="100">
        <f t="shared" si="131"/>
        <v>0</v>
      </c>
      <c r="AN293" s="100">
        <f t="shared" si="132"/>
        <v>4753.1607181492536</v>
      </c>
      <c r="AO293" s="20">
        <f t="shared" si="133"/>
        <v>0</v>
      </c>
      <c r="AQ293" s="109">
        <f t="shared" si="146"/>
        <v>0</v>
      </c>
      <c r="AU293" s="109">
        <f t="shared" si="147"/>
        <v>26.441313552597332</v>
      </c>
      <c r="AV293" s="101">
        <f t="shared" si="142"/>
        <v>49044</v>
      </c>
      <c r="AW293" s="99">
        <f t="shared" si="139"/>
        <v>0</v>
      </c>
      <c r="AX293" s="1">
        <f t="shared" si="148"/>
        <v>0</v>
      </c>
      <c r="AY293" s="29">
        <f t="shared" si="149"/>
        <v>0</v>
      </c>
      <c r="AZ293" s="1">
        <f t="shared" si="150"/>
        <v>0</v>
      </c>
      <c r="CB293" s="20">
        <f t="shared" si="128"/>
        <v>0</v>
      </c>
      <c r="CC293" s="173">
        <f t="shared" si="151"/>
        <v>0</v>
      </c>
    </row>
    <row r="294" spans="2:81" x14ac:dyDescent="0.25">
      <c r="B294" s="41"/>
      <c r="C294" s="42"/>
      <c r="D294" s="43"/>
      <c r="E294" s="44"/>
      <c r="F294" s="44"/>
      <c r="G294" s="45"/>
      <c r="H294" s="81" t="str">
        <f t="shared" si="140"/>
        <v/>
      </c>
      <c r="J294" s="9"/>
      <c r="K294" s="10"/>
      <c r="L294" s="14"/>
      <c r="M294" s="19"/>
      <c r="N294" s="19"/>
      <c r="O294" s="19"/>
      <c r="P294" s="19"/>
      <c r="Q294" s="1">
        <f t="shared" si="152"/>
        <v>0.60744618579017706</v>
      </c>
      <c r="R294" s="12">
        <f t="shared" ca="1" si="134"/>
        <v>7922</v>
      </c>
      <c r="S294" s="88">
        <f t="shared" si="143"/>
        <v>0</v>
      </c>
      <c r="T294" s="19">
        <f t="shared" si="144"/>
        <v>0</v>
      </c>
      <c r="U294" s="19">
        <f t="shared" si="141"/>
        <v>0</v>
      </c>
      <c r="V294" s="19">
        <f t="shared" si="157"/>
        <v>0</v>
      </c>
      <c r="W294" s="20">
        <f t="shared" ca="1" si="135"/>
        <v>0</v>
      </c>
      <c r="X294" s="19">
        <f t="shared" ca="1" si="136"/>
        <v>0</v>
      </c>
      <c r="Y294" s="19">
        <f t="shared" ca="1" si="137"/>
        <v>0</v>
      </c>
      <c r="Z294" s="20">
        <f t="shared" ca="1" si="138"/>
        <v>0</v>
      </c>
      <c r="AA294" s="1">
        <f t="shared" si="153"/>
        <v>5432.58</v>
      </c>
      <c r="AB294" s="87"/>
      <c r="AC294" s="88"/>
      <c r="AD294" s="101">
        <f t="shared" si="154"/>
        <v>49044</v>
      </c>
      <c r="AE294" s="103">
        <f t="shared" si="155"/>
        <v>0</v>
      </c>
      <c r="AG294" s="1">
        <f t="shared" si="145"/>
        <v>0</v>
      </c>
      <c r="AH294" s="1">
        <f t="shared" si="129"/>
        <v>0</v>
      </c>
      <c r="AI294" s="1">
        <f t="shared" si="156"/>
        <v>5432.58</v>
      </c>
      <c r="AJ294" s="20">
        <f t="shared" si="127"/>
        <v>0</v>
      </c>
      <c r="AK294" s="100">
        <f t="shared" si="130"/>
        <v>0</v>
      </c>
      <c r="AL294" s="100">
        <f t="shared" si="131"/>
        <v>0</v>
      </c>
      <c r="AN294" s="100">
        <f t="shared" si="132"/>
        <v>4750.7558610430769</v>
      </c>
      <c r="AO294" s="20">
        <f t="shared" si="133"/>
        <v>0</v>
      </c>
      <c r="AQ294" s="109">
        <f t="shared" si="146"/>
        <v>0</v>
      </c>
      <c r="AU294" s="109">
        <f t="shared" si="147"/>
        <v>26.43899279656296</v>
      </c>
      <c r="AV294" s="101">
        <f t="shared" si="142"/>
        <v>49074</v>
      </c>
      <c r="AW294" s="99">
        <f t="shared" si="139"/>
        <v>0</v>
      </c>
      <c r="AX294" s="1">
        <f t="shared" si="148"/>
        <v>0</v>
      </c>
      <c r="AY294" s="29">
        <f t="shared" si="149"/>
        <v>0</v>
      </c>
      <c r="AZ294" s="1">
        <f t="shared" si="150"/>
        <v>0</v>
      </c>
      <c r="CB294" s="20">
        <f t="shared" si="128"/>
        <v>0</v>
      </c>
      <c r="CC294" s="173">
        <f t="shared" si="151"/>
        <v>0</v>
      </c>
    </row>
    <row r="295" spans="2:81" x14ac:dyDescent="0.25">
      <c r="B295" s="41"/>
      <c r="C295" s="42"/>
      <c r="D295" s="43"/>
      <c r="E295" s="44"/>
      <c r="F295" s="44"/>
      <c r="G295" s="45"/>
      <c r="H295" s="81" t="str">
        <f t="shared" si="140"/>
        <v/>
      </c>
      <c r="J295" s="7"/>
      <c r="K295" s="8"/>
      <c r="L295" s="15"/>
      <c r="M295" s="21"/>
      <c r="N295" s="21"/>
      <c r="O295" s="21"/>
      <c r="P295" s="21"/>
      <c r="Q295" s="1">
        <f t="shared" si="152"/>
        <v>0.60744618579017706</v>
      </c>
      <c r="R295" s="12">
        <f t="shared" ca="1" si="134"/>
        <v>7952</v>
      </c>
      <c r="S295" s="88">
        <f t="shared" si="143"/>
        <v>0</v>
      </c>
      <c r="T295" s="19">
        <f t="shared" si="144"/>
        <v>0</v>
      </c>
      <c r="U295" s="19">
        <f t="shared" si="141"/>
        <v>0</v>
      </c>
      <c r="V295" s="19">
        <f t="shared" si="157"/>
        <v>0</v>
      </c>
      <c r="W295" s="20">
        <f t="shared" ca="1" si="135"/>
        <v>0</v>
      </c>
      <c r="X295" s="19">
        <f t="shared" ca="1" si="136"/>
        <v>0</v>
      </c>
      <c r="Y295" s="19">
        <f t="shared" ca="1" si="137"/>
        <v>0</v>
      </c>
      <c r="Z295" s="20">
        <f t="shared" ca="1" si="138"/>
        <v>0</v>
      </c>
      <c r="AA295" s="1">
        <f t="shared" si="153"/>
        <v>5432.58</v>
      </c>
      <c r="AB295" s="89"/>
      <c r="AC295" s="90"/>
      <c r="AD295" s="101">
        <f t="shared" si="154"/>
        <v>49074</v>
      </c>
      <c r="AE295" s="103">
        <f t="shared" si="155"/>
        <v>0</v>
      </c>
      <c r="AG295" s="1">
        <f t="shared" si="145"/>
        <v>0</v>
      </c>
      <c r="AH295" s="1">
        <f t="shared" si="129"/>
        <v>0</v>
      </c>
      <c r="AI295" s="1">
        <f t="shared" si="156"/>
        <v>5432.58</v>
      </c>
      <c r="AJ295" s="20">
        <f t="shared" si="127"/>
        <v>0</v>
      </c>
      <c r="AK295" s="100">
        <f t="shared" si="130"/>
        <v>0</v>
      </c>
      <c r="AL295" s="100">
        <f t="shared" si="131"/>
        <v>0</v>
      </c>
      <c r="AN295" s="100">
        <f t="shared" si="132"/>
        <v>4748.3522206720472</v>
      </c>
      <c r="AO295" s="20">
        <f t="shared" si="133"/>
        <v>0</v>
      </c>
      <c r="AQ295" s="109">
        <f t="shared" si="146"/>
        <v>0</v>
      </c>
      <c r="AU295" s="109">
        <f t="shared" si="147"/>
        <v>26.436672244221533</v>
      </c>
      <c r="AV295" s="101">
        <f t="shared" si="142"/>
        <v>49104</v>
      </c>
      <c r="AW295" s="99">
        <f t="shared" si="139"/>
        <v>0</v>
      </c>
      <c r="AX295" s="1">
        <f t="shared" si="148"/>
        <v>0</v>
      </c>
      <c r="AY295" s="29">
        <f t="shared" si="149"/>
        <v>0</v>
      </c>
      <c r="AZ295" s="1">
        <f t="shared" si="150"/>
        <v>0</v>
      </c>
      <c r="CB295" s="20">
        <f t="shared" si="128"/>
        <v>0</v>
      </c>
      <c r="CC295" s="173">
        <f t="shared" si="151"/>
        <v>0</v>
      </c>
    </row>
    <row r="296" spans="2:81" x14ac:dyDescent="0.25">
      <c r="B296" s="41"/>
      <c r="C296" s="42"/>
      <c r="D296" s="43"/>
      <c r="E296" s="44"/>
      <c r="F296" s="44"/>
      <c r="G296" s="45"/>
      <c r="H296" s="81" t="str">
        <f t="shared" si="140"/>
        <v/>
      </c>
      <c r="J296" s="9"/>
      <c r="K296" s="10"/>
      <c r="L296" s="14"/>
      <c r="M296" s="19"/>
      <c r="N296" s="19"/>
      <c r="O296" s="19"/>
      <c r="P296" s="19"/>
      <c r="Q296" s="1">
        <f t="shared" si="152"/>
        <v>0.60744618579017706</v>
      </c>
      <c r="R296" s="12">
        <f t="shared" ca="1" si="134"/>
        <v>7982</v>
      </c>
      <c r="S296" s="88">
        <f t="shared" si="143"/>
        <v>0</v>
      </c>
      <c r="T296" s="19">
        <f t="shared" si="144"/>
        <v>0</v>
      </c>
      <c r="U296" s="19">
        <f t="shared" si="141"/>
        <v>0</v>
      </c>
      <c r="V296" s="19">
        <f t="shared" si="157"/>
        <v>0</v>
      </c>
      <c r="W296" s="20">
        <f t="shared" ca="1" si="135"/>
        <v>0</v>
      </c>
      <c r="X296" s="19">
        <f t="shared" ca="1" si="136"/>
        <v>0</v>
      </c>
      <c r="Y296" s="19">
        <f t="shared" ca="1" si="137"/>
        <v>0</v>
      </c>
      <c r="Z296" s="20">
        <f t="shared" ca="1" si="138"/>
        <v>0</v>
      </c>
      <c r="AA296" s="1">
        <f t="shared" si="153"/>
        <v>5432.58</v>
      </c>
      <c r="AB296" s="87"/>
      <c r="AC296" s="88"/>
      <c r="AD296" s="101">
        <f t="shared" si="154"/>
        <v>49104</v>
      </c>
      <c r="AE296" s="103">
        <f t="shared" si="155"/>
        <v>0</v>
      </c>
      <c r="AG296" s="1">
        <f t="shared" si="145"/>
        <v>0</v>
      </c>
      <c r="AH296" s="1">
        <f t="shared" si="129"/>
        <v>0</v>
      </c>
      <c r="AI296" s="1">
        <f t="shared" si="156"/>
        <v>5432.58</v>
      </c>
      <c r="AJ296" s="20">
        <f t="shared" ref="AJ296:AJ359" si="158">IF(ISERROR(IF(V295+U296+T296+(V295*Q296/1200)-AA296-P296&lt;0,V295,-(U296+T296-AA296+P296-AH296))),0,IF(V295+U296+T296+(V295*Q296/1200)-AA296-P296&lt;0,0,-(U296+T296-AA296-AH296)))</f>
        <v>0</v>
      </c>
      <c r="AK296" s="100">
        <f t="shared" si="130"/>
        <v>0</v>
      </c>
      <c r="AL296" s="100">
        <f t="shared" si="131"/>
        <v>0</v>
      </c>
      <c r="AN296" s="100">
        <f t="shared" si="132"/>
        <v>4745.9497964205575</v>
      </c>
      <c r="AO296" s="20">
        <f t="shared" si="133"/>
        <v>0</v>
      </c>
      <c r="AQ296" s="109">
        <f t="shared" si="146"/>
        <v>0</v>
      </c>
      <c r="AU296" s="109">
        <f t="shared" si="147"/>
        <v>26.434351895555153</v>
      </c>
      <c r="AV296" s="101">
        <f t="shared" si="142"/>
        <v>49134</v>
      </c>
      <c r="AW296" s="99">
        <f t="shared" si="139"/>
        <v>0</v>
      </c>
      <c r="AX296" s="1">
        <f t="shared" si="148"/>
        <v>0</v>
      </c>
      <c r="AY296" s="29">
        <f t="shared" si="149"/>
        <v>0</v>
      </c>
      <c r="AZ296" s="1">
        <f t="shared" si="150"/>
        <v>0</v>
      </c>
      <c r="CB296" s="20">
        <f t="shared" si="128"/>
        <v>0</v>
      </c>
      <c r="CC296" s="173">
        <f t="shared" si="151"/>
        <v>0</v>
      </c>
    </row>
    <row r="297" spans="2:81" x14ac:dyDescent="0.25">
      <c r="B297" s="41"/>
      <c r="C297" s="42"/>
      <c r="D297" s="43"/>
      <c r="E297" s="44"/>
      <c r="F297" s="44"/>
      <c r="G297" s="45"/>
      <c r="H297" s="81" t="str">
        <f t="shared" si="140"/>
        <v/>
      </c>
      <c r="J297" s="7"/>
      <c r="K297" s="8"/>
      <c r="L297" s="16"/>
      <c r="M297" s="22"/>
      <c r="N297" s="22"/>
      <c r="O297" s="22"/>
      <c r="P297" s="22"/>
      <c r="Q297" s="1">
        <f t="shared" si="152"/>
        <v>0.60744618579017706</v>
      </c>
      <c r="R297" s="12">
        <f t="shared" ca="1" si="134"/>
        <v>8012</v>
      </c>
      <c r="S297" s="88">
        <f t="shared" si="143"/>
        <v>0</v>
      </c>
      <c r="T297" s="19">
        <f t="shared" si="144"/>
        <v>0</v>
      </c>
      <c r="U297" s="19">
        <f t="shared" si="141"/>
        <v>0</v>
      </c>
      <c r="V297" s="19">
        <f t="shared" si="157"/>
        <v>0</v>
      </c>
      <c r="W297" s="20">
        <f t="shared" ca="1" si="135"/>
        <v>0</v>
      </c>
      <c r="X297" s="19">
        <f t="shared" ca="1" si="136"/>
        <v>0</v>
      </c>
      <c r="Y297" s="19">
        <f t="shared" ca="1" si="137"/>
        <v>0</v>
      </c>
      <c r="Z297" s="20">
        <f t="shared" ca="1" si="138"/>
        <v>0</v>
      </c>
      <c r="AA297" s="1">
        <f t="shared" si="153"/>
        <v>5432.58</v>
      </c>
      <c r="AB297" s="91"/>
      <c r="AC297" s="92"/>
      <c r="AD297" s="101">
        <f t="shared" si="154"/>
        <v>49134</v>
      </c>
      <c r="AE297" s="103">
        <f t="shared" si="155"/>
        <v>0</v>
      </c>
      <c r="AG297" s="1">
        <f t="shared" si="145"/>
        <v>0</v>
      </c>
      <c r="AH297" s="1">
        <f t="shared" si="129"/>
        <v>0</v>
      </c>
      <c r="AI297" s="1">
        <f t="shared" si="156"/>
        <v>5432.58</v>
      </c>
      <c r="AJ297" s="20">
        <f t="shared" si="158"/>
        <v>0</v>
      </c>
      <c r="AK297" s="100">
        <f t="shared" si="130"/>
        <v>0</v>
      </c>
      <c r="AL297" s="100">
        <f t="shared" si="131"/>
        <v>0</v>
      </c>
      <c r="AN297" s="100">
        <f t="shared" si="132"/>
        <v>4743.5485876733128</v>
      </c>
      <c r="AO297" s="20">
        <f t="shared" si="133"/>
        <v>0</v>
      </c>
      <c r="AQ297" s="109">
        <f t="shared" si="146"/>
        <v>0</v>
      </c>
      <c r="AU297" s="109">
        <f t="shared" si="147"/>
        <v>26.432031750545935</v>
      </c>
      <c r="AV297" s="101">
        <f t="shared" si="142"/>
        <v>49164</v>
      </c>
      <c r="AW297" s="99">
        <f t="shared" si="139"/>
        <v>0</v>
      </c>
      <c r="AX297" s="1">
        <f t="shared" si="148"/>
        <v>0</v>
      </c>
      <c r="AY297" s="29">
        <f t="shared" si="149"/>
        <v>0</v>
      </c>
      <c r="AZ297" s="1">
        <f t="shared" si="150"/>
        <v>0</v>
      </c>
      <c r="CB297" s="20">
        <f t="shared" si="128"/>
        <v>0</v>
      </c>
      <c r="CC297" s="173">
        <f t="shared" si="151"/>
        <v>0</v>
      </c>
    </row>
    <row r="298" spans="2:81" x14ac:dyDescent="0.25">
      <c r="B298" s="41"/>
      <c r="C298" s="42"/>
      <c r="D298" s="43"/>
      <c r="E298" s="44"/>
      <c r="F298" s="44"/>
      <c r="G298" s="45"/>
      <c r="H298" s="81" t="str">
        <f t="shared" si="140"/>
        <v/>
      </c>
      <c r="J298" s="9"/>
      <c r="K298" s="10"/>
      <c r="L298" s="17"/>
      <c r="M298" s="23"/>
      <c r="N298" s="23"/>
      <c r="O298" s="23"/>
      <c r="P298" s="23"/>
      <c r="Q298" s="1">
        <f t="shared" si="152"/>
        <v>0.60744618579017706</v>
      </c>
      <c r="R298" s="12">
        <f t="shared" ca="1" si="134"/>
        <v>8042</v>
      </c>
      <c r="S298" s="88">
        <f t="shared" si="143"/>
        <v>0</v>
      </c>
      <c r="T298" s="19">
        <f t="shared" si="144"/>
        <v>0</v>
      </c>
      <c r="U298" s="19">
        <f t="shared" si="141"/>
        <v>0</v>
      </c>
      <c r="V298" s="19">
        <f t="shared" si="157"/>
        <v>0</v>
      </c>
      <c r="W298" s="20">
        <f t="shared" ca="1" si="135"/>
        <v>0</v>
      </c>
      <c r="X298" s="19">
        <f t="shared" ca="1" si="136"/>
        <v>0</v>
      </c>
      <c r="Y298" s="19">
        <f t="shared" ca="1" si="137"/>
        <v>0</v>
      </c>
      <c r="Z298" s="20">
        <f t="shared" ca="1" si="138"/>
        <v>0</v>
      </c>
      <c r="AA298" s="1">
        <f t="shared" si="153"/>
        <v>5432.58</v>
      </c>
      <c r="AB298" s="93"/>
      <c r="AC298" s="94"/>
      <c r="AD298" s="101">
        <f t="shared" si="154"/>
        <v>49164</v>
      </c>
      <c r="AE298" s="103">
        <f t="shared" si="155"/>
        <v>0</v>
      </c>
      <c r="AG298" s="1">
        <f t="shared" si="145"/>
        <v>0</v>
      </c>
      <c r="AH298" s="1">
        <f t="shared" si="129"/>
        <v>0</v>
      </c>
      <c r="AI298" s="1">
        <f t="shared" si="156"/>
        <v>5432.58</v>
      </c>
      <c r="AJ298" s="20">
        <f t="shared" si="158"/>
        <v>0</v>
      </c>
      <c r="AK298" s="100">
        <f t="shared" si="130"/>
        <v>0</v>
      </c>
      <c r="AL298" s="100">
        <f t="shared" si="131"/>
        <v>0</v>
      </c>
      <c r="AN298" s="100">
        <f t="shared" si="132"/>
        <v>4741.148593815331</v>
      </c>
      <c r="AO298" s="20">
        <f t="shared" si="133"/>
        <v>0</v>
      </c>
      <c r="AQ298" s="109">
        <f t="shared" si="146"/>
        <v>0</v>
      </c>
      <c r="AU298" s="109">
        <f t="shared" si="147"/>
        <v>26.429711809176023</v>
      </c>
      <c r="AV298" s="101">
        <f t="shared" si="142"/>
        <v>49194</v>
      </c>
      <c r="AW298" s="99">
        <f t="shared" si="139"/>
        <v>0</v>
      </c>
      <c r="AX298" s="1">
        <f t="shared" si="148"/>
        <v>0</v>
      </c>
      <c r="AY298" s="29">
        <f t="shared" si="149"/>
        <v>0</v>
      </c>
      <c r="AZ298" s="1">
        <f t="shared" si="150"/>
        <v>0</v>
      </c>
      <c r="CB298" s="20">
        <f t="shared" si="128"/>
        <v>0</v>
      </c>
      <c r="CC298" s="173">
        <f t="shared" si="151"/>
        <v>0</v>
      </c>
    </row>
    <row r="299" spans="2:81" x14ac:dyDescent="0.25">
      <c r="B299" s="41"/>
      <c r="C299" s="42"/>
      <c r="D299" s="43"/>
      <c r="E299" s="44"/>
      <c r="F299" s="44"/>
      <c r="G299" s="45"/>
      <c r="H299" s="81" t="str">
        <f t="shared" si="140"/>
        <v/>
      </c>
      <c r="J299" s="7"/>
      <c r="K299" s="8"/>
      <c r="L299" s="16"/>
      <c r="M299" s="22"/>
      <c r="N299" s="22"/>
      <c r="O299" s="22"/>
      <c r="P299" s="22"/>
      <c r="Q299" s="1">
        <f t="shared" si="152"/>
        <v>0.60744618579017706</v>
      </c>
      <c r="R299" s="12">
        <f t="shared" ca="1" si="134"/>
        <v>8072</v>
      </c>
      <c r="S299" s="88">
        <f t="shared" si="143"/>
        <v>0</v>
      </c>
      <c r="T299" s="19">
        <f t="shared" si="144"/>
        <v>0</v>
      </c>
      <c r="U299" s="19">
        <f t="shared" si="141"/>
        <v>0</v>
      </c>
      <c r="V299" s="19">
        <f t="shared" si="157"/>
        <v>0</v>
      </c>
      <c r="W299" s="20">
        <f t="shared" ca="1" si="135"/>
        <v>0</v>
      </c>
      <c r="X299" s="19">
        <f t="shared" ca="1" si="136"/>
        <v>0</v>
      </c>
      <c r="Y299" s="19">
        <f t="shared" ca="1" si="137"/>
        <v>0</v>
      </c>
      <c r="Z299" s="20">
        <f t="shared" ca="1" si="138"/>
        <v>0</v>
      </c>
      <c r="AA299" s="1">
        <f t="shared" si="153"/>
        <v>5432.58</v>
      </c>
      <c r="AB299" s="91"/>
      <c r="AC299" s="92"/>
      <c r="AD299" s="101">
        <f t="shared" si="154"/>
        <v>49194</v>
      </c>
      <c r="AE299" s="103">
        <f t="shared" si="155"/>
        <v>0</v>
      </c>
      <c r="AG299" s="1">
        <f t="shared" si="145"/>
        <v>0</v>
      </c>
      <c r="AH299" s="1">
        <f t="shared" si="129"/>
        <v>0</v>
      </c>
      <c r="AI299" s="1">
        <f t="shared" si="156"/>
        <v>5432.58</v>
      </c>
      <c r="AJ299" s="20">
        <f t="shared" si="158"/>
        <v>0</v>
      </c>
      <c r="AK299" s="100">
        <f t="shared" si="130"/>
        <v>0</v>
      </c>
      <c r="AL299" s="100">
        <f t="shared" si="131"/>
        <v>0</v>
      </c>
      <c r="AN299" s="100">
        <f t="shared" si="132"/>
        <v>4738.7498142319391</v>
      </c>
      <c r="AO299" s="20">
        <f t="shared" si="133"/>
        <v>0</v>
      </c>
      <c r="AQ299" s="109">
        <f t="shared" si="146"/>
        <v>0</v>
      </c>
      <c r="AU299" s="109">
        <f t="shared" si="147"/>
        <v>26.42739207142753</v>
      </c>
      <c r="AV299" s="101">
        <f t="shared" si="142"/>
        <v>49224</v>
      </c>
      <c r="AW299" s="99">
        <f t="shared" si="139"/>
        <v>0</v>
      </c>
      <c r="AX299" s="1">
        <f t="shared" si="148"/>
        <v>0</v>
      </c>
      <c r="AY299" s="29">
        <f t="shared" si="149"/>
        <v>0</v>
      </c>
      <c r="AZ299" s="1">
        <f t="shared" si="150"/>
        <v>0</v>
      </c>
      <c r="CB299" s="20">
        <f t="shared" si="128"/>
        <v>0</v>
      </c>
      <c r="CC299" s="173">
        <f t="shared" si="151"/>
        <v>0</v>
      </c>
    </row>
    <row r="300" spans="2:81" x14ac:dyDescent="0.25">
      <c r="B300" s="41"/>
      <c r="C300" s="42"/>
      <c r="D300" s="43"/>
      <c r="E300" s="44"/>
      <c r="F300" s="44"/>
      <c r="G300" s="45"/>
      <c r="H300" s="81" t="str">
        <f t="shared" si="140"/>
        <v/>
      </c>
      <c r="J300" s="9"/>
      <c r="K300" s="10"/>
      <c r="L300" s="17"/>
      <c r="M300" s="23"/>
      <c r="N300" s="23"/>
      <c r="O300" s="23"/>
      <c r="P300" s="23"/>
      <c r="Q300" s="1">
        <f t="shared" si="152"/>
        <v>0.60744618579017706</v>
      </c>
      <c r="R300" s="12">
        <f t="shared" ca="1" si="134"/>
        <v>8102</v>
      </c>
      <c r="S300" s="88">
        <f t="shared" si="143"/>
        <v>0</v>
      </c>
      <c r="T300" s="19">
        <f t="shared" si="144"/>
        <v>0</v>
      </c>
      <c r="U300" s="19">
        <f t="shared" si="141"/>
        <v>0</v>
      </c>
      <c r="V300" s="19">
        <f t="shared" si="157"/>
        <v>0</v>
      </c>
      <c r="W300" s="20">
        <f t="shared" ca="1" si="135"/>
        <v>0</v>
      </c>
      <c r="X300" s="19">
        <f t="shared" ca="1" si="136"/>
        <v>0</v>
      </c>
      <c r="Y300" s="19">
        <f t="shared" ca="1" si="137"/>
        <v>0</v>
      </c>
      <c r="Z300" s="20">
        <f t="shared" ca="1" si="138"/>
        <v>0</v>
      </c>
      <c r="AA300" s="1">
        <f t="shared" si="153"/>
        <v>5432.58</v>
      </c>
      <c r="AB300" s="93"/>
      <c r="AC300" s="94"/>
      <c r="AD300" s="101">
        <f t="shared" si="154"/>
        <v>49224</v>
      </c>
      <c r="AE300" s="103">
        <f t="shared" si="155"/>
        <v>0</v>
      </c>
      <c r="AG300" s="1">
        <f t="shared" si="145"/>
        <v>0</v>
      </c>
      <c r="AH300" s="1">
        <f t="shared" si="129"/>
        <v>0</v>
      </c>
      <c r="AI300" s="1">
        <f t="shared" si="156"/>
        <v>5432.58</v>
      </c>
      <c r="AJ300" s="20">
        <f t="shared" si="158"/>
        <v>0</v>
      </c>
      <c r="AK300" s="100">
        <f t="shared" si="130"/>
        <v>0</v>
      </c>
      <c r="AL300" s="100">
        <f t="shared" si="131"/>
        <v>0</v>
      </c>
      <c r="AN300" s="100">
        <f t="shared" si="132"/>
        <v>4736.3522483087772</v>
      </c>
      <c r="AO300" s="20">
        <f t="shared" si="133"/>
        <v>0</v>
      </c>
      <c r="AQ300" s="109">
        <f t="shared" si="146"/>
        <v>0</v>
      </c>
      <c r="AU300" s="109">
        <f t="shared" si="147"/>
        <v>26.425072537282603</v>
      </c>
      <c r="AV300" s="101">
        <f t="shared" si="142"/>
        <v>49254</v>
      </c>
      <c r="AW300" s="99">
        <f t="shared" si="139"/>
        <v>0</v>
      </c>
      <c r="AX300" s="1">
        <f t="shared" si="148"/>
        <v>0</v>
      </c>
      <c r="AY300" s="29">
        <f t="shared" si="149"/>
        <v>0</v>
      </c>
      <c r="AZ300" s="1">
        <f t="shared" si="150"/>
        <v>0</v>
      </c>
      <c r="CB300" s="20">
        <f t="shared" si="128"/>
        <v>0</v>
      </c>
      <c r="CC300" s="173">
        <f t="shared" si="151"/>
        <v>0</v>
      </c>
    </row>
    <row r="301" spans="2:81" x14ac:dyDescent="0.25">
      <c r="B301" s="41"/>
      <c r="C301" s="42"/>
      <c r="D301" s="43"/>
      <c r="E301" s="44"/>
      <c r="F301" s="44"/>
      <c r="G301" s="45"/>
      <c r="H301" s="81" t="str">
        <f t="shared" si="140"/>
        <v/>
      </c>
      <c r="J301" s="7"/>
      <c r="K301" s="8"/>
      <c r="L301" s="16"/>
      <c r="M301" s="22"/>
      <c r="N301" s="22"/>
      <c r="O301" s="22"/>
      <c r="P301" s="22"/>
      <c r="Q301" s="1">
        <f t="shared" si="152"/>
        <v>0.60744618579017706</v>
      </c>
      <c r="R301" s="12">
        <f t="shared" ca="1" si="134"/>
        <v>8132</v>
      </c>
      <c r="S301" s="88">
        <f t="shared" si="143"/>
        <v>0</v>
      </c>
      <c r="T301" s="19">
        <f t="shared" si="144"/>
        <v>0</v>
      </c>
      <c r="U301" s="19">
        <f t="shared" si="141"/>
        <v>0</v>
      </c>
      <c r="V301" s="19">
        <f t="shared" si="157"/>
        <v>0</v>
      </c>
      <c r="W301" s="20">
        <f t="shared" ca="1" si="135"/>
        <v>0</v>
      </c>
      <c r="X301" s="19">
        <f t="shared" ca="1" si="136"/>
        <v>0</v>
      </c>
      <c r="Y301" s="19">
        <f t="shared" ca="1" si="137"/>
        <v>0</v>
      </c>
      <c r="Z301" s="20">
        <f t="shared" ca="1" si="138"/>
        <v>0</v>
      </c>
      <c r="AA301" s="1">
        <f t="shared" si="153"/>
        <v>5432.58</v>
      </c>
      <c r="AB301" s="91"/>
      <c r="AC301" s="92"/>
      <c r="AD301" s="101">
        <f t="shared" si="154"/>
        <v>49254</v>
      </c>
      <c r="AE301" s="103">
        <f t="shared" si="155"/>
        <v>0</v>
      </c>
      <c r="AG301" s="1">
        <f t="shared" si="145"/>
        <v>0</v>
      </c>
      <c r="AH301" s="1">
        <f t="shared" si="129"/>
        <v>0</v>
      </c>
      <c r="AI301" s="1">
        <f t="shared" si="156"/>
        <v>5432.58</v>
      </c>
      <c r="AJ301" s="20">
        <f t="shared" si="158"/>
        <v>0</v>
      </c>
      <c r="AK301" s="100">
        <f t="shared" si="130"/>
        <v>0</v>
      </c>
      <c r="AL301" s="100">
        <f t="shared" si="131"/>
        <v>0</v>
      </c>
      <c r="AN301" s="100">
        <f t="shared" si="132"/>
        <v>4733.9558954317945</v>
      </c>
      <c r="AO301" s="20">
        <f t="shared" si="133"/>
        <v>0</v>
      </c>
      <c r="AQ301" s="109">
        <f t="shared" si="146"/>
        <v>0</v>
      </c>
      <c r="AU301" s="109">
        <f t="shared" si="147"/>
        <v>26.422753206723346</v>
      </c>
      <c r="AV301" s="101">
        <f t="shared" si="142"/>
        <v>49284</v>
      </c>
      <c r="AW301" s="99">
        <f t="shared" si="139"/>
        <v>0</v>
      </c>
      <c r="AX301" s="1">
        <f t="shared" si="148"/>
        <v>0</v>
      </c>
      <c r="AY301" s="29">
        <f t="shared" si="149"/>
        <v>0</v>
      </c>
      <c r="AZ301" s="1">
        <f t="shared" si="150"/>
        <v>0</v>
      </c>
      <c r="CB301" s="20">
        <f t="shared" si="128"/>
        <v>0</v>
      </c>
      <c r="CC301" s="173">
        <f t="shared" si="151"/>
        <v>0</v>
      </c>
    </row>
    <row r="302" spans="2:81" x14ac:dyDescent="0.25">
      <c r="B302" s="41"/>
      <c r="C302" s="42"/>
      <c r="D302" s="43"/>
      <c r="E302" s="44"/>
      <c r="F302" s="44"/>
      <c r="G302" s="45"/>
      <c r="H302" s="81" t="str">
        <f t="shared" si="140"/>
        <v/>
      </c>
      <c r="J302" s="9"/>
      <c r="K302" s="10"/>
      <c r="L302" s="17"/>
      <c r="M302" s="23"/>
      <c r="N302" s="23"/>
      <c r="O302" s="23"/>
      <c r="P302" s="23"/>
      <c r="Q302" s="1">
        <f t="shared" si="152"/>
        <v>0.60744618579017706</v>
      </c>
      <c r="R302" s="12">
        <f t="shared" ca="1" si="134"/>
        <v>8162</v>
      </c>
      <c r="S302" s="88">
        <f t="shared" si="143"/>
        <v>0</v>
      </c>
      <c r="T302" s="19">
        <f t="shared" si="144"/>
        <v>0</v>
      </c>
      <c r="U302" s="19">
        <f t="shared" si="141"/>
        <v>0</v>
      </c>
      <c r="V302" s="19">
        <f t="shared" si="157"/>
        <v>0</v>
      </c>
      <c r="W302" s="20">
        <f t="shared" ca="1" si="135"/>
        <v>0</v>
      </c>
      <c r="X302" s="19">
        <f t="shared" ca="1" si="136"/>
        <v>0</v>
      </c>
      <c r="Y302" s="19">
        <f t="shared" ca="1" si="137"/>
        <v>0</v>
      </c>
      <c r="Z302" s="20">
        <f t="shared" ca="1" si="138"/>
        <v>0</v>
      </c>
      <c r="AA302" s="1">
        <f t="shared" si="153"/>
        <v>5432.58</v>
      </c>
      <c r="AB302" s="93"/>
      <c r="AC302" s="94"/>
      <c r="AD302" s="101">
        <f t="shared" si="154"/>
        <v>49284</v>
      </c>
      <c r="AE302" s="103">
        <f t="shared" si="155"/>
        <v>0</v>
      </c>
      <c r="AG302" s="1">
        <f t="shared" si="145"/>
        <v>0</v>
      </c>
      <c r="AH302" s="1">
        <f t="shared" si="129"/>
        <v>0</v>
      </c>
      <c r="AI302" s="1">
        <f t="shared" si="156"/>
        <v>5432.58</v>
      </c>
      <c r="AJ302" s="20">
        <f t="shared" si="158"/>
        <v>0</v>
      </c>
      <c r="AK302" s="100">
        <f t="shared" si="130"/>
        <v>0</v>
      </c>
      <c r="AL302" s="100">
        <f t="shared" si="131"/>
        <v>0</v>
      </c>
      <c r="AN302" s="100">
        <f t="shared" si="132"/>
        <v>4731.5607549872511</v>
      </c>
      <c r="AO302" s="20">
        <f t="shared" si="133"/>
        <v>0</v>
      </c>
      <c r="AQ302" s="109">
        <f t="shared" si="146"/>
        <v>0</v>
      </c>
      <c r="AU302" s="109">
        <f t="shared" si="147"/>
        <v>26.420434079731901</v>
      </c>
      <c r="AV302" s="101">
        <f t="shared" si="142"/>
        <v>49314</v>
      </c>
      <c r="AW302" s="99">
        <f t="shared" si="139"/>
        <v>0</v>
      </c>
      <c r="AX302" s="1">
        <f t="shared" si="148"/>
        <v>0</v>
      </c>
      <c r="AY302" s="29">
        <f t="shared" si="149"/>
        <v>0</v>
      </c>
      <c r="AZ302" s="1">
        <f t="shared" si="150"/>
        <v>0</v>
      </c>
      <c r="CB302" s="20">
        <f t="shared" ref="CB302:CB365" si="159">IF(O302=0,IF(P302&gt;0,V301,IF(O301=0,0,P302)),IF(O301=0,0,P302))</f>
        <v>0</v>
      </c>
      <c r="CC302" s="173">
        <f t="shared" si="151"/>
        <v>0</v>
      </c>
    </row>
    <row r="303" spans="2:81" x14ac:dyDescent="0.25">
      <c r="B303" s="41"/>
      <c r="C303" s="42"/>
      <c r="D303" s="43"/>
      <c r="E303" s="44"/>
      <c r="F303" s="44"/>
      <c r="G303" s="45"/>
      <c r="H303" s="81" t="str">
        <f t="shared" si="140"/>
        <v/>
      </c>
      <c r="J303" s="7"/>
      <c r="K303" s="8"/>
      <c r="L303" s="16"/>
      <c r="M303" s="22"/>
      <c r="N303" s="22"/>
      <c r="O303" s="22"/>
      <c r="P303" s="22"/>
      <c r="Q303" s="1">
        <f t="shared" si="152"/>
        <v>0.60744618579017706</v>
      </c>
      <c r="R303" s="12">
        <f t="shared" ca="1" si="134"/>
        <v>8192</v>
      </c>
      <c r="S303" s="88">
        <f t="shared" si="143"/>
        <v>0</v>
      </c>
      <c r="T303" s="19">
        <f t="shared" si="144"/>
        <v>0</v>
      </c>
      <c r="U303" s="19">
        <f t="shared" si="141"/>
        <v>0</v>
      </c>
      <c r="V303" s="19">
        <f t="shared" si="157"/>
        <v>0</v>
      </c>
      <c r="W303" s="20">
        <f t="shared" ca="1" si="135"/>
        <v>0</v>
      </c>
      <c r="X303" s="19">
        <f t="shared" ca="1" si="136"/>
        <v>0</v>
      </c>
      <c r="Y303" s="19">
        <f t="shared" ca="1" si="137"/>
        <v>0</v>
      </c>
      <c r="Z303" s="20">
        <f t="shared" ca="1" si="138"/>
        <v>0</v>
      </c>
      <c r="AA303" s="1">
        <f t="shared" si="153"/>
        <v>5432.58</v>
      </c>
      <c r="AB303" s="91"/>
      <c r="AC303" s="92"/>
      <c r="AD303" s="101">
        <f t="shared" si="154"/>
        <v>49314</v>
      </c>
      <c r="AE303" s="103">
        <f t="shared" si="155"/>
        <v>0</v>
      </c>
      <c r="AG303" s="1">
        <f t="shared" si="145"/>
        <v>0</v>
      </c>
      <c r="AH303" s="1">
        <f t="shared" ref="AH303:AH366" si="160">IF(ISERROR(IF(V302+U303+T303+(V302*Q303/1200)-AA303-P303&lt;0,0,(V302*Q303/1200))),0,IF(V302+U303+T303+(V302*Q303/1200)-AA303-P303&lt;0,0,(V302*Q303/1200)))</f>
        <v>0</v>
      </c>
      <c r="AI303" s="1">
        <f t="shared" si="156"/>
        <v>5432.58</v>
      </c>
      <c r="AJ303" s="20">
        <f t="shared" si="158"/>
        <v>0</v>
      </c>
      <c r="AK303" s="100">
        <f t="shared" ref="AK303:AK366" si="161">IF(ISERROR(AJ303/(1+(Q303)/1200)^(ROW()-29)),0,AJ303/(1+(Q303)/1200)^(ROW()-29))</f>
        <v>0</v>
      </c>
      <c r="AL303" s="100">
        <f t="shared" ref="AL303:AL366" si="162">IF(ISERROR((Q303/1200)*O303),0,(Q303/1200)*O303)</f>
        <v>0</v>
      </c>
      <c r="AN303" s="100">
        <f t="shared" ref="AN303:AN366" si="163">IF(ISERROR(AA303/(1+(Q303)/1200)^(ROW()-29)),0,AA303/(1+(Q303)/1200)^(ROW()-29))</f>
        <v>4729.1668263617184</v>
      </c>
      <c r="AO303" s="20">
        <f t="shared" ref="AO303:AO366" si="164">IF(ISERROR(V302+U303+T303+(V302*Q303/1200)-AA303-P303),0,IF(V302+U303+T303+(V302*Q303/1200)-AA303-P303&lt;0,V302,-(U303+T303-AA303+P303-AH303)))</f>
        <v>0</v>
      </c>
      <c r="AQ303" s="109">
        <f t="shared" si="146"/>
        <v>0</v>
      </c>
      <c r="AU303" s="109">
        <f t="shared" si="147"/>
        <v>26.418115156290416</v>
      </c>
      <c r="AV303" s="101">
        <f t="shared" si="142"/>
        <v>49344</v>
      </c>
      <c r="AW303" s="99">
        <f t="shared" si="139"/>
        <v>0</v>
      </c>
      <c r="AX303" s="1">
        <f t="shared" si="148"/>
        <v>0</v>
      </c>
      <c r="AY303" s="29">
        <f t="shared" si="149"/>
        <v>0</v>
      </c>
      <c r="AZ303" s="1">
        <f t="shared" si="150"/>
        <v>0</v>
      </c>
      <c r="CB303" s="20">
        <f t="shared" si="159"/>
        <v>0</v>
      </c>
      <c r="CC303" s="173">
        <f t="shared" si="151"/>
        <v>0</v>
      </c>
    </row>
    <row r="304" spans="2:81" x14ac:dyDescent="0.25">
      <c r="B304" s="41"/>
      <c r="C304" s="42"/>
      <c r="D304" s="43"/>
      <c r="E304" s="44"/>
      <c r="F304" s="44"/>
      <c r="G304" s="45"/>
      <c r="H304" s="81" t="str">
        <f t="shared" si="140"/>
        <v/>
      </c>
      <c r="J304" s="9"/>
      <c r="K304" s="10"/>
      <c r="L304" s="17"/>
      <c r="M304" s="23"/>
      <c r="N304" s="23"/>
      <c r="O304" s="23"/>
      <c r="P304" s="23"/>
      <c r="Q304" s="1">
        <f t="shared" si="152"/>
        <v>0.60744618579017706</v>
      </c>
      <c r="R304" s="12">
        <f t="shared" ca="1" si="134"/>
        <v>8222</v>
      </c>
      <c r="S304" s="88">
        <f t="shared" si="143"/>
        <v>0</v>
      </c>
      <c r="T304" s="19">
        <f t="shared" si="144"/>
        <v>0</v>
      </c>
      <c r="U304" s="19">
        <f t="shared" si="141"/>
        <v>0</v>
      </c>
      <c r="V304" s="19">
        <f t="shared" si="157"/>
        <v>0</v>
      </c>
      <c r="W304" s="20">
        <f t="shared" ca="1" si="135"/>
        <v>0</v>
      </c>
      <c r="X304" s="19">
        <f t="shared" ca="1" si="136"/>
        <v>0</v>
      </c>
      <c r="Y304" s="19">
        <f t="shared" ca="1" si="137"/>
        <v>0</v>
      </c>
      <c r="Z304" s="20">
        <f t="shared" ca="1" si="138"/>
        <v>0</v>
      </c>
      <c r="AA304" s="1">
        <f t="shared" si="153"/>
        <v>5432.58</v>
      </c>
      <c r="AB304" s="93"/>
      <c r="AC304" s="94"/>
      <c r="AD304" s="101">
        <f t="shared" si="154"/>
        <v>49344</v>
      </c>
      <c r="AE304" s="103">
        <f t="shared" si="155"/>
        <v>0</v>
      </c>
      <c r="AG304" s="1">
        <f t="shared" si="145"/>
        <v>0</v>
      </c>
      <c r="AH304" s="1">
        <f t="shared" si="160"/>
        <v>0</v>
      </c>
      <c r="AI304" s="1">
        <f t="shared" si="156"/>
        <v>5432.58</v>
      </c>
      <c r="AJ304" s="20">
        <f t="shared" si="158"/>
        <v>0</v>
      </c>
      <c r="AK304" s="100">
        <f t="shared" si="161"/>
        <v>0</v>
      </c>
      <c r="AL304" s="100">
        <f t="shared" si="162"/>
        <v>0</v>
      </c>
      <c r="AN304" s="100">
        <f t="shared" si="163"/>
        <v>4726.7741089420779</v>
      </c>
      <c r="AO304" s="20">
        <f t="shared" si="164"/>
        <v>0</v>
      </c>
      <c r="AQ304" s="109">
        <f t="shared" si="146"/>
        <v>0</v>
      </c>
      <c r="AU304" s="109">
        <f t="shared" si="147"/>
        <v>26.415796436381001</v>
      </c>
      <c r="AV304" s="101">
        <f t="shared" si="142"/>
        <v>49374</v>
      </c>
      <c r="AW304" s="99">
        <f t="shared" si="139"/>
        <v>0</v>
      </c>
      <c r="AX304" s="1">
        <f t="shared" si="148"/>
        <v>0</v>
      </c>
      <c r="AY304" s="29">
        <f t="shared" si="149"/>
        <v>0</v>
      </c>
      <c r="AZ304" s="1">
        <f t="shared" si="150"/>
        <v>0</v>
      </c>
      <c r="CB304" s="20">
        <f t="shared" si="159"/>
        <v>0</v>
      </c>
      <c r="CC304" s="173">
        <f t="shared" si="151"/>
        <v>0</v>
      </c>
    </row>
    <row r="305" spans="2:81" x14ac:dyDescent="0.25">
      <c r="B305" s="41"/>
      <c r="C305" s="42"/>
      <c r="D305" s="43"/>
      <c r="E305" s="44"/>
      <c r="F305" s="44"/>
      <c r="G305" s="45"/>
      <c r="H305" s="81" t="str">
        <f t="shared" si="140"/>
        <v/>
      </c>
      <c r="J305" s="7"/>
      <c r="K305" s="8"/>
      <c r="L305" s="16"/>
      <c r="M305" s="22"/>
      <c r="N305" s="22"/>
      <c r="O305" s="22"/>
      <c r="P305" s="22"/>
      <c r="Q305" s="1">
        <f t="shared" si="152"/>
        <v>0.60744618579017706</v>
      </c>
      <c r="R305" s="12">
        <f t="shared" ca="1" si="134"/>
        <v>8252</v>
      </c>
      <c r="S305" s="88">
        <f t="shared" si="143"/>
        <v>0</v>
      </c>
      <c r="T305" s="19">
        <f t="shared" si="144"/>
        <v>0</v>
      </c>
      <c r="U305" s="19">
        <f t="shared" si="141"/>
        <v>0</v>
      </c>
      <c r="V305" s="19">
        <f t="shared" si="157"/>
        <v>0</v>
      </c>
      <c r="W305" s="20">
        <f t="shared" ca="1" si="135"/>
        <v>0</v>
      </c>
      <c r="X305" s="19">
        <f t="shared" ca="1" si="136"/>
        <v>0</v>
      </c>
      <c r="Y305" s="19">
        <f t="shared" ca="1" si="137"/>
        <v>0</v>
      </c>
      <c r="Z305" s="20">
        <f t="shared" ca="1" si="138"/>
        <v>0</v>
      </c>
      <c r="AA305" s="1">
        <f t="shared" si="153"/>
        <v>5432.58</v>
      </c>
      <c r="AB305" s="91"/>
      <c r="AC305" s="92"/>
      <c r="AD305" s="101">
        <f t="shared" si="154"/>
        <v>49374</v>
      </c>
      <c r="AE305" s="103">
        <f t="shared" si="155"/>
        <v>0</v>
      </c>
      <c r="AG305" s="1">
        <f t="shared" si="145"/>
        <v>0</v>
      </c>
      <c r="AH305" s="1">
        <f t="shared" si="160"/>
        <v>0</v>
      </c>
      <c r="AI305" s="1">
        <f t="shared" si="156"/>
        <v>5432.58</v>
      </c>
      <c r="AJ305" s="20">
        <f t="shared" si="158"/>
        <v>0</v>
      </c>
      <c r="AK305" s="100">
        <f t="shared" si="161"/>
        <v>0</v>
      </c>
      <c r="AL305" s="100">
        <f t="shared" si="162"/>
        <v>0</v>
      </c>
      <c r="AN305" s="100">
        <f t="shared" si="163"/>
        <v>4724.3826021155201</v>
      </c>
      <c r="AO305" s="20">
        <f t="shared" si="164"/>
        <v>0</v>
      </c>
      <c r="AQ305" s="109">
        <f t="shared" si="146"/>
        <v>0</v>
      </c>
      <c r="AU305" s="109">
        <f t="shared" si="147"/>
        <v>26.413477919985798</v>
      </c>
      <c r="AV305" s="101">
        <f t="shared" si="142"/>
        <v>49404</v>
      </c>
      <c r="AW305" s="99">
        <f t="shared" si="139"/>
        <v>0</v>
      </c>
      <c r="AX305" s="1">
        <f t="shared" si="148"/>
        <v>0</v>
      </c>
      <c r="AY305" s="29">
        <f t="shared" si="149"/>
        <v>0</v>
      </c>
      <c r="AZ305" s="1">
        <f t="shared" si="150"/>
        <v>0</v>
      </c>
      <c r="CB305" s="20">
        <f t="shared" si="159"/>
        <v>0</v>
      </c>
      <c r="CC305" s="173">
        <f t="shared" si="151"/>
        <v>0</v>
      </c>
    </row>
    <row r="306" spans="2:81" x14ac:dyDescent="0.25">
      <c r="B306" s="41"/>
      <c r="C306" s="42"/>
      <c r="D306" s="43"/>
      <c r="E306" s="44"/>
      <c r="F306" s="44"/>
      <c r="G306" s="45"/>
      <c r="H306" s="81" t="str">
        <f t="shared" si="140"/>
        <v/>
      </c>
      <c r="J306" s="9"/>
      <c r="K306" s="10"/>
      <c r="L306" s="17"/>
      <c r="M306" s="23"/>
      <c r="N306" s="23"/>
      <c r="O306" s="23"/>
      <c r="P306" s="23"/>
      <c r="Q306" s="1">
        <f t="shared" si="152"/>
        <v>0.60744618579017706</v>
      </c>
      <c r="R306" s="12">
        <f t="shared" ca="1" si="134"/>
        <v>8282</v>
      </c>
      <c r="S306" s="88">
        <f t="shared" si="143"/>
        <v>0</v>
      </c>
      <c r="T306" s="19">
        <f t="shared" si="144"/>
        <v>0</v>
      </c>
      <c r="U306" s="19">
        <f t="shared" si="141"/>
        <v>0</v>
      </c>
      <c r="V306" s="19">
        <f t="shared" si="157"/>
        <v>0</v>
      </c>
      <c r="W306" s="20">
        <f t="shared" ca="1" si="135"/>
        <v>0</v>
      </c>
      <c r="X306" s="19">
        <f t="shared" ca="1" si="136"/>
        <v>0</v>
      </c>
      <c r="Y306" s="19">
        <f t="shared" ca="1" si="137"/>
        <v>0</v>
      </c>
      <c r="Z306" s="20">
        <f t="shared" ca="1" si="138"/>
        <v>0</v>
      </c>
      <c r="AA306" s="1">
        <f t="shared" si="153"/>
        <v>5432.58</v>
      </c>
      <c r="AB306" s="93"/>
      <c r="AC306" s="94"/>
      <c r="AD306" s="101">
        <f t="shared" si="154"/>
        <v>49404</v>
      </c>
      <c r="AE306" s="103">
        <f t="shared" si="155"/>
        <v>0</v>
      </c>
      <c r="AG306" s="1">
        <f t="shared" si="145"/>
        <v>0</v>
      </c>
      <c r="AH306" s="1">
        <f t="shared" si="160"/>
        <v>0</v>
      </c>
      <c r="AI306" s="1">
        <f t="shared" si="156"/>
        <v>5432.58</v>
      </c>
      <c r="AJ306" s="20">
        <f t="shared" si="158"/>
        <v>0</v>
      </c>
      <c r="AK306" s="100">
        <f t="shared" si="161"/>
        <v>0</v>
      </c>
      <c r="AL306" s="100">
        <f t="shared" si="162"/>
        <v>0</v>
      </c>
      <c r="AN306" s="100">
        <f t="shared" si="163"/>
        <v>4721.9923052695476</v>
      </c>
      <c r="AO306" s="20">
        <f t="shared" si="164"/>
        <v>0</v>
      </c>
      <c r="AQ306" s="109">
        <f t="shared" si="146"/>
        <v>0</v>
      </c>
      <c r="AU306" s="109">
        <f t="shared" si="147"/>
        <v>26.411159607086958</v>
      </c>
      <c r="AV306" s="101">
        <f t="shared" si="142"/>
        <v>49434</v>
      </c>
      <c r="AW306" s="99">
        <f t="shared" si="139"/>
        <v>0</v>
      </c>
      <c r="AX306" s="1">
        <f t="shared" si="148"/>
        <v>0</v>
      </c>
      <c r="AY306" s="29">
        <f t="shared" si="149"/>
        <v>0</v>
      </c>
      <c r="AZ306" s="1">
        <f t="shared" si="150"/>
        <v>0</v>
      </c>
      <c r="CB306" s="20">
        <f t="shared" si="159"/>
        <v>0</v>
      </c>
      <c r="CC306" s="173">
        <f t="shared" si="151"/>
        <v>0</v>
      </c>
    </row>
    <row r="307" spans="2:81" x14ac:dyDescent="0.25">
      <c r="B307" s="41"/>
      <c r="C307" s="42"/>
      <c r="D307" s="43"/>
      <c r="E307" s="44"/>
      <c r="F307" s="44"/>
      <c r="G307" s="45"/>
      <c r="H307" s="81" t="str">
        <f t="shared" si="140"/>
        <v/>
      </c>
      <c r="J307" s="7"/>
      <c r="K307" s="8"/>
      <c r="L307" s="16"/>
      <c r="M307" s="22"/>
      <c r="N307" s="22"/>
      <c r="O307" s="22"/>
      <c r="P307" s="22"/>
      <c r="Q307" s="1">
        <f t="shared" si="152"/>
        <v>0.60744618579017706</v>
      </c>
      <c r="R307" s="12">
        <f t="shared" ca="1" si="134"/>
        <v>8312</v>
      </c>
      <c r="S307" s="88">
        <f t="shared" si="143"/>
        <v>0</v>
      </c>
      <c r="T307" s="19">
        <f t="shared" si="144"/>
        <v>0</v>
      </c>
      <c r="U307" s="19">
        <f t="shared" si="141"/>
        <v>0</v>
      </c>
      <c r="V307" s="19">
        <f t="shared" si="157"/>
        <v>0</v>
      </c>
      <c r="W307" s="20">
        <f t="shared" ca="1" si="135"/>
        <v>0</v>
      </c>
      <c r="X307" s="19">
        <f t="shared" ca="1" si="136"/>
        <v>0</v>
      </c>
      <c r="Y307" s="19">
        <f t="shared" ca="1" si="137"/>
        <v>0</v>
      </c>
      <c r="Z307" s="20">
        <f t="shared" ca="1" si="138"/>
        <v>0</v>
      </c>
      <c r="AA307" s="1">
        <f t="shared" si="153"/>
        <v>5432.58</v>
      </c>
      <c r="AB307" s="91"/>
      <c r="AC307" s="92"/>
      <c r="AD307" s="101">
        <f t="shared" si="154"/>
        <v>49434</v>
      </c>
      <c r="AE307" s="103">
        <f t="shared" si="155"/>
        <v>0</v>
      </c>
      <c r="AG307" s="1">
        <f t="shared" si="145"/>
        <v>0</v>
      </c>
      <c r="AH307" s="1">
        <f t="shared" si="160"/>
        <v>0</v>
      </c>
      <c r="AI307" s="1">
        <f t="shared" si="156"/>
        <v>5432.58</v>
      </c>
      <c r="AJ307" s="20">
        <f t="shared" si="158"/>
        <v>0</v>
      </c>
      <c r="AK307" s="100">
        <f t="shared" si="161"/>
        <v>0</v>
      </c>
      <c r="AL307" s="100">
        <f t="shared" si="162"/>
        <v>0</v>
      </c>
      <c r="AN307" s="100">
        <f t="shared" si="163"/>
        <v>4719.6032177919706</v>
      </c>
      <c r="AO307" s="20">
        <f t="shared" si="164"/>
        <v>0</v>
      </c>
      <c r="AQ307" s="109">
        <f t="shared" si="146"/>
        <v>0</v>
      </c>
      <c r="AU307" s="109">
        <f t="shared" si="147"/>
        <v>26.408841497666614</v>
      </c>
      <c r="AV307" s="101">
        <f t="shared" si="142"/>
        <v>49464</v>
      </c>
      <c r="AW307" s="99">
        <f t="shared" si="139"/>
        <v>0</v>
      </c>
      <c r="AX307" s="1">
        <f t="shared" si="148"/>
        <v>0</v>
      </c>
      <c r="AY307" s="29">
        <f t="shared" si="149"/>
        <v>0</v>
      </c>
      <c r="AZ307" s="1">
        <f t="shared" si="150"/>
        <v>0</v>
      </c>
      <c r="CB307" s="20">
        <f t="shared" si="159"/>
        <v>0</v>
      </c>
      <c r="CC307" s="173">
        <f t="shared" si="151"/>
        <v>0</v>
      </c>
    </row>
    <row r="308" spans="2:81" x14ac:dyDescent="0.25">
      <c r="B308" s="41"/>
      <c r="C308" s="42"/>
      <c r="D308" s="43"/>
      <c r="E308" s="44"/>
      <c r="F308" s="44"/>
      <c r="G308" s="45"/>
      <c r="H308" s="81" t="str">
        <f t="shared" si="140"/>
        <v/>
      </c>
      <c r="J308" s="9"/>
      <c r="K308" s="10"/>
      <c r="L308" s="17"/>
      <c r="M308" s="23"/>
      <c r="N308" s="23"/>
      <c r="O308" s="23"/>
      <c r="P308" s="23"/>
      <c r="Q308" s="1">
        <f t="shared" si="152"/>
        <v>0.60744618579017706</v>
      </c>
      <c r="R308" s="12">
        <f t="shared" ca="1" si="134"/>
        <v>8342</v>
      </c>
      <c r="S308" s="88">
        <f t="shared" si="143"/>
        <v>0</v>
      </c>
      <c r="T308" s="19">
        <f t="shared" si="144"/>
        <v>0</v>
      </c>
      <c r="U308" s="19">
        <f t="shared" si="141"/>
        <v>0</v>
      </c>
      <c r="V308" s="19">
        <f t="shared" si="157"/>
        <v>0</v>
      </c>
      <c r="W308" s="20">
        <f t="shared" ca="1" si="135"/>
        <v>0</v>
      </c>
      <c r="X308" s="19">
        <f t="shared" ca="1" si="136"/>
        <v>0</v>
      </c>
      <c r="Y308" s="19">
        <f t="shared" ca="1" si="137"/>
        <v>0</v>
      </c>
      <c r="Z308" s="20">
        <f t="shared" ca="1" si="138"/>
        <v>0</v>
      </c>
      <c r="AA308" s="1">
        <f t="shared" si="153"/>
        <v>5432.58</v>
      </c>
      <c r="AB308" s="93"/>
      <c r="AC308" s="94"/>
      <c r="AD308" s="101">
        <f t="shared" si="154"/>
        <v>49464</v>
      </c>
      <c r="AE308" s="103">
        <f t="shared" si="155"/>
        <v>0</v>
      </c>
      <c r="AG308" s="1">
        <f t="shared" si="145"/>
        <v>0</v>
      </c>
      <c r="AH308" s="1">
        <f t="shared" si="160"/>
        <v>0</v>
      </c>
      <c r="AI308" s="1">
        <f t="shared" si="156"/>
        <v>5432.58</v>
      </c>
      <c r="AJ308" s="20">
        <f t="shared" si="158"/>
        <v>0</v>
      </c>
      <c r="AK308" s="100">
        <f t="shared" si="161"/>
        <v>0</v>
      </c>
      <c r="AL308" s="100">
        <f t="shared" si="162"/>
        <v>0</v>
      </c>
      <c r="AN308" s="100">
        <f t="shared" si="163"/>
        <v>4717.2153390709127</v>
      </c>
      <c r="AO308" s="20">
        <f t="shared" si="164"/>
        <v>0</v>
      </c>
      <c r="AQ308" s="109">
        <f t="shared" si="146"/>
        <v>0</v>
      </c>
      <c r="AU308" s="109">
        <f t="shared" si="147"/>
        <v>26.406523591706897</v>
      </c>
      <c r="AV308" s="101">
        <f t="shared" si="142"/>
        <v>49494</v>
      </c>
      <c r="AW308" s="99">
        <f t="shared" si="139"/>
        <v>0</v>
      </c>
      <c r="AX308" s="1">
        <f t="shared" si="148"/>
        <v>0</v>
      </c>
      <c r="AY308" s="29">
        <f t="shared" si="149"/>
        <v>0</v>
      </c>
      <c r="AZ308" s="1">
        <f t="shared" si="150"/>
        <v>0</v>
      </c>
      <c r="CB308" s="20">
        <f t="shared" si="159"/>
        <v>0</v>
      </c>
      <c r="CC308" s="173">
        <f t="shared" si="151"/>
        <v>0</v>
      </c>
    </row>
    <row r="309" spans="2:81" x14ac:dyDescent="0.25">
      <c r="B309" s="41"/>
      <c r="C309" s="42"/>
      <c r="D309" s="43"/>
      <c r="E309" s="44"/>
      <c r="F309" s="44"/>
      <c r="G309" s="45"/>
      <c r="H309" s="81" t="str">
        <f t="shared" si="140"/>
        <v/>
      </c>
      <c r="J309" s="7"/>
      <c r="K309" s="8"/>
      <c r="L309" s="16"/>
      <c r="M309" s="22"/>
      <c r="N309" s="22"/>
      <c r="O309" s="22"/>
      <c r="P309" s="22"/>
      <c r="Q309" s="1">
        <f t="shared" si="152"/>
        <v>0.60744618579017706</v>
      </c>
      <c r="R309" s="12">
        <f t="shared" ca="1" si="134"/>
        <v>8372</v>
      </c>
      <c r="S309" s="88">
        <f t="shared" si="143"/>
        <v>0</v>
      </c>
      <c r="T309" s="19">
        <f t="shared" si="144"/>
        <v>0</v>
      </c>
      <c r="U309" s="19">
        <f t="shared" si="141"/>
        <v>0</v>
      </c>
      <c r="V309" s="19">
        <f t="shared" si="157"/>
        <v>0</v>
      </c>
      <c r="W309" s="20">
        <f t="shared" ca="1" si="135"/>
        <v>0</v>
      </c>
      <c r="X309" s="19">
        <f t="shared" ca="1" si="136"/>
        <v>0</v>
      </c>
      <c r="Y309" s="19">
        <f t="shared" ca="1" si="137"/>
        <v>0</v>
      </c>
      <c r="Z309" s="20">
        <f t="shared" ca="1" si="138"/>
        <v>0</v>
      </c>
      <c r="AA309" s="1">
        <f t="shared" si="153"/>
        <v>5432.58</v>
      </c>
      <c r="AB309" s="91"/>
      <c r="AC309" s="92"/>
      <c r="AD309" s="101">
        <f t="shared" si="154"/>
        <v>49494</v>
      </c>
      <c r="AE309" s="103">
        <f t="shared" si="155"/>
        <v>0</v>
      </c>
      <c r="AG309" s="1">
        <f t="shared" si="145"/>
        <v>0</v>
      </c>
      <c r="AH309" s="1">
        <f t="shared" si="160"/>
        <v>0</v>
      </c>
      <c r="AI309" s="1">
        <f t="shared" si="156"/>
        <v>5432.58</v>
      </c>
      <c r="AJ309" s="20">
        <f t="shared" si="158"/>
        <v>0</v>
      </c>
      <c r="AK309" s="100">
        <f t="shared" si="161"/>
        <v>0</v>
      </c>
      <c r="AL309" s="100">
        <f t="shared" si="162"/>
        <v>0</v>
      </c>
      <c r="AN309" s="100">
        <f t="shared" si="163"/>
        <v>4714.8286684948034</v>
      </c>
      <c r="AO309" s="20">
        <f t="shared" si="164"/>
        <v>0</v>
      </c>
      <c r="AQ309" s="109">
        <f t="shared" si="146"/>
        <v>0</v>
      </c>
      <c r="AU309" s="109">
        <f t="shared" si="147"/>
        <v>26.404205889189964</v>
      </c>
      <c r="AV309" s="101">
        <f t="shared" si="142"/>
        <v>49524</v>
      </c>
      <c r="AW309" s="99">
        <f t="shared" si="139"/>
        <v>0</v>
      </c>
      <c r="AX309" s="1">
        <f t="shared" si="148"/>
        <v>0</v>
      </c>
      <c r="AY309" s="29">
        <f t="shared" si="149"/>
        <v>0</v>
      </c>
      <c r="AZ309" s="1">
        <f t="shared" si="150"/>
        <v>0</v>
      </c>
      <c r="CB309" s="20">
        <f t="shared" si="159"/>
        <v>0</v>
      </c>
      <c r="CC309" s="173">
        <f t="shared" si="151"/>
        <v>0</v>
      </c>
    </row>
    <row r="310" spans="2:81" x14ac:dyDescent="0.25">
      <c r="B310" s="41"/>
      <c r="C310" s="42"/>
      <c r="D310" s="43"/>
      <c r="E310" s="44"/>
      <c r="F310" s="44"/>
      <c r="G310" s="45"/>
      <c r="H310" s="81" t="str">
        <f t="shared" si="140"/>
        <v/>
      </c>
      <c r="J310" s="9"/>
      <c r="K310" s="10"/>
      <c r="L310" s="17"/>
      <c r="M310" s="23"/>
      <c r="N310" s="23"/>
      <c r="O310" s="23"/>
      <c r="P310" s="23"/>
      <c r="Q310" s="1">
        <f t="shared" si="152"/>
        <v>0.60744618579017706</v>
      </c>
      <c r="R310" s="12">
        <f t="shared" ca="1" si="134"/>
        <v>8402</v>
      </c>
      <c r="S310" s="88">
        <f t="shared" si="143"/>
        <v>0</v>
      </c>
      <c r="T310" s="19">
        <f t="shared" si="144"/>
        <v>0</v>
      </c>
      <c r="U310" s="19">
        <f t="shared" si="141"/>
        <v>0</v>
      </c>
      <c r="V310" s="19">
        <f t="shared" si="157"/>
        <v>0</v>
      </c>
      <c r="W310" s="20">
        <f t="shared" ca="1" si="135"/>
        <v>0</v>
      </c>
      <c r="X310" s="19">
        <f t="shared" ca="1" si="136"/>
        <v>0</v>
      </c>
      <c r="Y310" s="19">
        <f t="shared" ca="1" si="137"/>
        <v>0</v>
      </c>
      <c r="Z310" s="20">
        <f t="shared" ca="1" si="138"/>
        <v>0</v>
      </c>
      <c r="AA310" s="1">
        <f t="shared" si="153"/>
        <v>5432.58</v>
      </c>
      <c r="AB310" s="93"/>
      <c r="AC310" s="94"/>
      <c r="AD310" s="101">
        <f t="shared" si="154"/>
        <v>49524</v>
      </c>
      <c r="AE310" s="103">
        <f t="shared" si="155"/>
        <v>0</v>
      </c>
      <c r="AG310" s="1">
        <f t="shared" si="145"/>
        <v>0</v>
      </c>
      <c r="AH310" s="1">
        <f t="shared" si="160"/>
        <v>0</v>
      </c>
      <c r="AI310" s="1">
        <f t="shared" si="156"/>
        <v>5432.58</v>
      </c>
      <c r="AJ310" s="20">
        <f t="shared" si="158"/>
        <v>0</v>
      </c>
      <c r="AK310" s="100">
        <f t="shared" si="161"/>
        <v>0</v>
      </c>
      <c r="AL310" s="100">
        <f t="shared" si="162"/>
        <v>0</v>
      </c>
      <c r="AN310" s="100">
        <f t="shared" si="163"/>
        <v>4712.4432054523813</v>
      </c>
      <c r="AO310" s="20">
        <f t="shared" si="164"/>
        <v>0</v>
      </c>
      <c r="AQ310" s="109">
        <f t="shared" si="146"/>
        <v>0</v>
      </c>
      <c r="AU310" s="109">
        <f t="shared" si="147"/>
        <v>26.401888390097948</v>
      </c>
      <c r="AV310" s="101">
        <f t="shared" si="142"/>
        <v>49554</v>
      </c>
      <c r="AW310" s="99">
        <f t="shared" si="139"/>
        <v>0</v>
      </c>
      <c r="AX310" s="1">
        <f t="shared" si="148"/>
        <v>0</v>
      </c>
      <c r="AY310" s="29">
        <f t="shared" si="149"/>
        <v>0</v>
      </c>
      <c r="AZ310" s="1">
        <f t="shared" si="150"/>
        <v>0</v>
      </c>
      <c r="CB310" s="20">
        <f t="shared" si="159"/>
        <v>0</v>
      </c>
      <c r="CC310" s="173">
        <f t="shared" si="151"/>
        <v>0</v>
      </c>
    </row>
    <row r="311" spans="2:81" x14ac:dyDescent="0.25">
      <c r="B311" s="41"/>
      <c r="C311" s="42"/>
      <c r="D311" s="43"/>
      <c r="E311" s="44"/>
      <c r="F311" s="44"/>
      <c r="G311" s="45"/>
      <c r="H311" s="81" t="str">
        <f t="shared" si="140"/>
        <v/>
      </c>
      <c r="J311" s="7"/>
      <c r="K311" s="8"/>
      <c r="L311" s="16"/>
      <c r="M311" s="22"/>
      <c r="N311" s="22"/>
      <c r="O311" s="22"/>
      <c r="P311" s="22"/>
      <c r="Q311" s="1">
        <f t="shared" si="152"/>
        <v>0.60744618579017706</v>
      </c>
      <c r="R311" s="12">
        <f t="shared" ca="1" si="134"/>
        <v>8432</v>
      </c>
      <c r="S311" s="88">
        <f t="shared" si="143"/>
        <v>0</v>
      </c>
      <c r="T311" s="19">
        <f t="shared" si="144"/>
        <v>0</v>
      </c>
      <c r="U311" s="19">
        <f t="shared" si="141"/>
        <v>0</v>
      </c>
      <c r="V311" s="19">
        <f t="shared" si="157"/>
        <v>0</v>
      </c>
      <c r="W311" s="20">
        <f t="shared" ca="1" si="135"/>
        <v>0</v>
      </c>
      <c r="X311" s="19">
        <f t="shared" ca="1" si="136"/>
        <v>0</v>
      </c>
      <c r="Y311" s="19">
        <f t="shared" ca="1" si="137"/>
        <v>0</v>
      </c>
      <c r="Z311" s="20">
        <f t="shared" ca="1" si="138"/>
        <v>0</v>
      </c>
      <c r="AA311" s="1">
        <f t="shared" si="153"/>
        <v>5432.58</v>
      </c>
      <c r="AB311" s="91"/>
      <c r="AC311" s="92"/>
      <c r="AD311" s="101">
        <f t="shared" si="154"/>
        <v>49554</v>
      </c>
      <c r="AE311" s="103">
        <f t="shared" si="155"/>
        <v>0</v>
      </c>
      <c r="AG311" s="1">
        <f t="shared" si="145"/>
        <v>0</v>
      </c>
      <c r="AH311" s="1">
        <f t="shared" si="160"/>
        <v>0</v>
      </c>
      <c r="AI311" s="1">
        <f t="shared" si="156"/>
        <v>5432.58</v>
      </c>
      <c r="AJ311" s="20">
        <f t="shared" si="158"/>
        <v>0</v>
      </c>
      <c r="AK311" s="100">
        <f t="shared" si="161"/>
        <v>0</v>
      </c>
      <c r="AL311" s="100">
        <f t="shared" si="162"/>
        <v>0</v>
      </c>
      <c r="AN311" s="100">
        <f t="shared" si="163"/>
        <v>4710.0589493326979</v>
      </c>
      <c r="AO311" s="20">
        <f t="shared" si="164"/>
        <v>0</v>
      </c>
      <c r="AQ311" s="109">
        <f t="shared" si="146"/>
        <v>0</v>
      </c>
      <c r="AU311" s="109">
        <f t="shared" si="147"/>
        <v>26.399571094413002</v>
      </c>
      <c r="AV311" s="101">
        <f t="shared" si="142"/>
        <v>49584</v>
      </c>
      <c r="AW311" s="99">
        <f t="shared" si="139"/>
        <v>0</v>
      </c>
      <c r="AX311" s="1">
        <f t="shared" si="148"/>
        <v>0</v>
      </c>
      <c r="AY311" s="29">
        <f t="shared" si="149"/>
        <v>0</v>
      </c>
      <c r="AZ311" s="1">
        <f t="shared" si="150"/>
        <v>0</v>
      </c>
      <c r="CB311" s="20">
        <f t="shared" si="159"/>
        <v>0</v>
      </c>
      <c r="CC311" s="173">
        <f t="shared" si="151"/>
        <v>0</v>
      </c>
    </row>
    <row r="312" spans="2:81" x14ac:dyDescent="0.25">
      <c r="B312" s="41"/>
      <c r="C312" s="42"/>
      <c r="D312" s="43"/>
      <c r="E312" s="44"/>
      <c r="F312" s="44"/>
      <c r="G312" s="45"/>
      <c r="H312" s="81" t="str">
        <f t="shared" si="140"/>
        <v/>
      </c>
      <c r="J312" s="9"/>
      <c r="K312" s="10"/>
      <c r="L312" s="17"/>
      <c r="M312" s="23"/>
      <c r="N312" s="23"/>
      <c r="O312" s="23"/>
      <c r="P312" s="23"/>
      <c r="Q312" s="1">
        <f t="shared" si="152"/>
        <v>0.60744618579017706</v>
      </c>
      <c r="R312" s="12">
        <f t="shared" ca="1" si="134"/>
        <v>8462</v>
      </c>
      <c r="S312" s="88">
        <f t="shared" si="143"/>
        <v>0</v>
      </c>
      <c r="T312" s="19">
        <f t="shared" si="144"/>
        <v>0</v>
      </c>
      <c r="U312" s="19">
        <f t="shared" si="141"/>
        <v>0</v>
      </c>
      <c r="V312" s="19">
        <f t="shared" si="157"/>
        <v>0</v>
      </c>
      <c r="W312" s="20">
        <f t="shared" ca="1" si="135"/>
        <v>0</v>
      </c>
      <c r="X312" s="19">
        <f t="shared" ca="1" si="136"/>
        <v>0</v>
      </c>
      <c r="Y312" s="19">
        <f t="shared" ca="1" si="137"/>
        <v>0</v>
      </c>
      <c r="Z312" s="20">
        <f t="shared" ca="1" si="138"/>
        <v>0</v>
      </c>
      <c r="AA312" s="1">
        <f t="shared" si="153"/>
        <v>5432.58</v>
      </c>
      <c r="AB312" s="93"/>
      <c r="AC312" s="94"/>
      <c r="AD312" s="101">
        <f t="shared" si="154"/>
        <v>49584</v>
      </c>
      <c r="AE312" s="103">
        <f t="shared" si="155"/>
        <v>0</v>
      </c>
      <c r="AG312" s="1">
        <f t="shared" si="145"/>
        <v>0</v>
      </c>
      <c r="AH312" s="1">
        <f t="shared" si="160"/>
        <v>0</v>
      </c>
      <c r="AI312" s="1">
        <f t="shared" si="156"/>
        <v>5432.58</v>
      </c>
      <c r="AJ312" s="20">
        <f t="shared" si="158"/>
        <v>0</v>
      </c>
      <c r="AK312" s="100">
        <f t="shared" si="161"/>
        <v>0</v>
      </c>
      <c r="AL312" s="100">
        <f t="shared" si="162"/>
        <v>0</v>
      </c>
      <c r="AN312" s="100">
        <f t="shared" si="163"/>
        <v>4707.6758995251121</v>
      </c>
      <c r="AO312" s="20">
        <f t="shared" si="164"/>
        <v>0</v>
      </c>
      <c r="AQ312" s="109">
        <f t="shared" si="146"/>
        <v>0</v>
      </c>
      <c r="AU312" s="109">
        <f t="shared" si="147"/>
        <v>26.397254002117258</v>
      </c>
      <c r="AV312" s="101">
        <f t="shared" si="142"/>
        <v>49614</v>
      </c>
      <c r="AW312" s="99">
        <f t="shared" si="139"/>
        <v>0</v>
      </c>
      <c r="AX312" s="1">
        <f t="shared" si="148"/>
        <v>0</v>
      </c>
      <c r="AY312" s="29">
        <f t="shared" si="149"/>
        <v>0</v>
      </c>
      <c r="AZ312" s="1">
        <f t="shared" si="150"/>
        <v>0</v>
      </c>
      <c r="CB312" s="20">
        <f t="shared" si="159"/>
        <v>0</v>
      </c>
      <c r="CC312" s="173">
        <f t="shared" si="151"/>
        <v>0</v>
      </c>
    </row>
    <row r="313" spans="2:81" x14ac:dyDescent="0.25">
      <c r="B313" s="41"/>
      <c r="C313" s="42"/>
      <c r="D313" s="43"/>
      <c r="E313" s="44"/>
      <c r="F313" s="44"/>
      <c r="G313" s="45"/>
      <c r="H313" s="81" t="str">
        <f t="shared" si="140"/>
        <v/>
      </c>
      <c r="J313" s="7"/>
      <c r="K313" s="8"/>
      <c r="L313" s="16"/>
      <c r="M313" s="22"/>
      <c r="N313" s="22"/>
      <c r="O313" s="22"/>
      <c r="P313" s="22"/>
      <c r="Q313" s="1">
        <f t="shared" si="152"/>
        <v>0.60744618579017706</v>
      </c>
      <c r="R313" s="12">
        <f t="shared" ca="1" si="134"/>
        <v>8492</v>
      </c>
      <c r="S313" s="88">
        <f t="shared" si="143"/>
        <v>0</v>
      </c>
      <c r="T313" s="19">
        <f t="shared" si="144"/>
        <v>0</v>
      </c>
      <c r="U313" s="19">
        <f t="shared" si="141"/>
        <v>0</v>
      </c>
      <c r="V313" s="19">
        <f t="shared" si="157"/>
        <v>0</v>
      </c>
      <c r="W313" s="20">
        <f t="shared" ca="1" si="135"/>
        <v>0</v>
      </c>
      <c r="X313" s="19">
        <f t="shared" ca="1" si="136"/>
        <v>0</v>
      </c>
      <c r="Y313" s="19">
        <f t="shared" ca="1" si="137"/>
        <v>0</v>
      </c>
      <c r="Z313" s="20">
        <f t="shared" ca="1" si="138"/>
        <v>0</v>
      </c>
      <c r="AA313" s="1">
        <f t="shared" si="153"/>
        <v>5432.58</v>
      </c>
      <c r="AB313" s="91"/>
      <c r="AC313" s="92"/>
      <c r="AD313" s="101">
        <f t="shared" si="154"/>
        <v>49614</v>
      </c>
      <c r="AE313" s="103">
        <f t="shared" si="155"/>
        <v>0</v>
      </c>
      <c r="AG313" s="1">
        <f t="shared" si="145"/>
        <v>0</v>
      </c>
      <c r="AH313" s="1">
        <f t="shared" si="160"/>
        <v>0</v>
      </c>
      <c r="AI313" s="1">
        <f t="shared" si="156"/>
        <v>5432.58</v>
      </c>
      <c r="AJ313" s="20">
        <f t="shared" si="158"/>
        <v>0</v>
      </c>
      <c r="AK313" s="100">
        <f t="shared" si="161"/>
        <v>0</v>
      </c>
      <c r="AL313" s="100">
        <f t="shared" si="162"/>
        <v>0</v>
      </c>
      <c r="AN313" s="100">
        <f t="shared" si="163"/>
        <v>4705.2940554192901</v>
      </c>
      <c r="AO313" s="20">
        <f t="shared" si="164"/>
        <v>0</v>
      </c>
      <c r="AQ313" s="109">
        <f t="shared" si="146"/>
        <v>0</v>
      </c>
      <c r="AU313" s="109">
        <f t="shared" si="147"/>
        <v>26.394937113192881</v>
      </c>
      <c r="AV313" s="101">
        <f t="shared" si="142"/>
        <v>49644</v>
      </c>
      <c r="AW313" s="99">
        <f t="shared" si="139"/>
        <v>0</v>
      </c>
      <c r="AX313" s="1">
        <f t="shared" si="148"/>
        <v>0</v>
      </c>
      <c r="AY313" s="29">
        <f t="shared" si="149"/>
        <v>0</v>
      </c>
      <c r="AZ313" s="1">
        <f t="shared" si="150"/>
        <v>0</v>
      </c>
      <c r="CB313" s="20">
        <f t="shared" si="159"/>
        <v>0</v>
      </c>
      <c r="CC313" s="173">
        <f t="shared" si="151"/>
        <v>0</v>
      </c>
    </row>
    <row r="314" spans="2:81" x14ac:dyDescent="0.25">
      <c r="B314" s="41"/>
      <c r="C314" s="42"/>
      <c r="D314" s="43"/>
      <c r="E314" s="44"/>
      <c r="F314" s="44"/>
      <c r="G314" s="45"/>
      <c r="H314" s="81" t="str">
        <f t="shared" si="140"/>
        <v/>
      </c>
      <c r="J314" s="9"/>
      <c r="K314" s="10"/>
      <c r="L314" s="17"/>
      <c r="M314" s="23"/>
      <c r="N314" s="23"/>
      <c r="O314" s="23"/>
      <c r="P314" s="23"/>
      <c r="Q314" s="1">
        <f t="shared" si="152"/>
        <v>0.60744618579017706</v>
      </c>
      <c r="R314" s="12">
        <f t="shared" ca="1" si="134"/>
        <v>8522</v>
      </c>
      <c r="S314" s="88">
        <f t="shared" si="143"/>
        <v>0</v>
      </c>
      <c r="T314" s="19">
        <f t="shared" si="144"/>
        <v>0</v>
      </c>
      <c r="U314" s="19">
        <f t="shared" si="141"/>
        <v>0</v>
      </c>
      <c r="V314" s="19">
        <f t="shared" si="157"/>
        <v>0</v>
      </c>
      <c r="W314" s="20">
        <f t="shared" ca="1" si="135"/>
        <v>0</v>
      </c>
      <c r="X314" s="19">
        <f t="shared" ca="1" si="136"/>
        <v>0</v>
      </c>
      <c r="Y314" s="19">
        <f t="shared" ca="1" si="137"/>
        <v>0</v>
      </c>
      <c r="Z314" s="20">
        <f t="shared" ca="1" si="138"/>
        <v>0</v>
      </c>
      <c r="AA314" s="1">
        <f t="shared" si="153"/>
        <v>5432.58</v>
      </c>
      <c r="AB314" s="93"/>
      <c r="AC314" s="94"/>
      <c r="AD314" s="101">
        <f t="shared" si="154"/>
        <v>49644</v>
      </c>
      <c r="AE314" s="103">
        <f t="shared" si="155"/>
        <v>0</v>
      </c>
      <c r="AG314" s="1">
        <f t="shared" si="145"/>
        <v>0</v>
      </c>
      <c r="AH314" s="1">
        <f t="shared" si="160"/>
        <v>0</v>
      </c>
      <c r="AI314" s="1">
        <f t="shared" si="156"/>
        <v>5432.58</v>
      </c>
      <c r="AJ314" s="20">
        <f t="shared" si="158"/>
        <v>0</v>
      </c>
      <c r="AK314" s="100">
        <f t="shared" si="161"/>
        <v>0</v>
      </c>
      <c r="AL314" s="100">
        <f t="shared" si="162"/>
        <v>0</v>
      </c>
      <c r="AN314" s="100">
        <f t="shared" si="163"/>
        <v>4702.9134164052093</v>
      </c>
      <c r="AO314" s="20">
        <f t="shared" si="164"/>
        <v>0</v>
      </c>
      <c r="AQ314" s="109">
        <f t="shared" si="146"/>
        <v>0</v>
      </c>
      <c r="AU314" s="109">
        <f t="shared" si="147"/>
        <v>26.392620427622013</v>
      </c>
      <c r="AV314" s="101">
        <f t="shared" si="142"/>
        <v>49674</v>
      </c>
      <c r="AW314" s="99">
        <f t="shared" si="139"/>
        <v>0</v>
      </c>
      <c r="AX314" s="1">
        <f t="shared" si="148"/>
        <v>0</v>
      </c>
      <c r="AY314" s="29">
        <f t="shared" si="149"/>
        <v>0</v>
      </c>
      <c r="AZ314" s="1">
        <f t="shared" si="150"/>
        <v>0</v>
      </c>
      <c r="CB314" s="20">
        <f t="shared" si="159"/>
        <v>0</v>
      </c>
      <c r="CC314" s="173">
        <f t="shared" si="151"/>
        <v>0</v>
      </c>
    </row>
    <row r="315" spans="2:81" x14ac:dyDescent="0.25">
      <c r="B315" s="41"/>
      <c r="C315" s="42"/>
      <c r="D315" s="43"/>
      <c r="E315" s="44"/>
      <c r="F315" s="44"/>
      <c r="G315" s="45"/>
      <c r="H315" s="81" t="str">
        <f t="shared" si="140"/>
        <v/>
      </c>
      <c r="J315" s="7"/>
      <c r="K315" s="8"/>
      <c r="L315" s="16"/>
      <c r="M315" s="22"/>
      <c r="N315" s="22"/>
      <c r="O315" s="22"/>
      <c r="P315" s="22"/>
      <c r="Q315" s="1">
        <f t="shared" si="152"/>
        <v>0.60744618579017706</v>
      </c>
      <c r="R315" s="12">
        <f t="shared" ca="1" si="134"/>
        <v>8552</v>
      </c>
      <c r="S315" s="88">
        <f t="shared" si="143"/>
        <v>0</v>
      </c>
      <c r="T315" s="19">
        <f t="shared" si="144"/>
        <v>0</v>
      </c>
      <c r="U315" s="19">
        <f t="shared" si="141"/>
        <v>0</v>
      </c>
      <c r="V315" s="19">
        <f t="shared" si="157"/>
        <v>0</v>
      </c>
      <c r="W315" s="20">
        <f t="shared" ca="1" si="135"/>
        <v>0</v>
      </c>
      <c r="X315" s="19">
        <f t="shared" ca="1" si="136"/>
        <v>0</v>
      </c>
      <c r="Y315" s="19">
        <f t="shared" ca="1" si="137"/>
        <v>0</v>
      </c>
      <c r="Z315" s="20">
        <f t="shared" ca="1" si="138"/>
        <v>0</v>
      </c>
      <c r="AA315" s="1">
        <f t="shared" si="153"/>
        <v>5432.58</v>
      </c>
      <c r="AB315" s="91"/>
      <c r="AC315" s="92"/>
      <c r="AD315" s="101">
        <f t="shared" si="154"/>
        <v>49674</v>
      </c>
      <c r="AE315" s="103">
        <f t="shared" si="155"/>
        <v>0</v>
      </c>
      <c r="AG315" s="1">
        <f t="shared" si="145"/>
        <v>0</v>
      </c>
      <c r="AH315" s="1">
        <f t="shared" si="160"/>
        <v>0</v>
      </c>
      <c r="AI315" s="1">
        <f t="shared" si="156"/>
        <v>5432.58</v>
      </c>
      <c r="AJ315" s="20">
        <f t="shared" si="158"/>
        <v>0</v>
      </c>
      <c r="AK315" s="100">
        <f t="shared" si="161"/>
        <v>0</v>
      </c>
      <c r="AL315" s="100">
        <f t="shared" si="162"/>
        <v>0</v>
      </c>
      <c r="AN315" s="100">
        <f t="shared" si="163"/>
        <v>4700.5339818731527</v>
      </c>
      <c r="AO315" s="20">
        <f t="shared" si="164"/>
        <v>0</v>
      </c>
      <c r="AQ315" s="109">
        <f t="shared" si="146"/>
        <v>0</v>
      </c>
      <c r="AU315" s="109">
        <f t="shared" si="147"/>
        <v>26.390303945386808</v>
      </c>
      <c r="AV315" s="101">
        <f t="shared" si="142"/>
        <v>49704</v>
      </c>
      <c r="AW315" s="99">
        <f t="shared" si="139"/>
        <v>0</v>
      </c>
      <c r="AX315" s="1">
        <f t="shared" si="148"/>
        <v>0</v>
      </c>
      <c r="AY315" s="29">
        <f t="shared" si="149"/>
        <v>0</v>
      </c>
      <c r="AZ315" s="1">
        <f t="shared" si="150"/>
        <v>0</v>
      </c>
      <c r="CB315" s="20">
        <f t="shared" si="159"/>
        <v>0</v>
      </c>
      <c r="CC315" s="173">
        <f t="shared" si="151"/>
        <v>0</v>
      </c>
    </row>
    <row r="316" spans="2:81" x14ac:dyDescent="0.25">
      <c r="B316" s="41"/>
      <c r="C316" s="42"/>
      <c r="D316" s="43"/>
      <c r="E316" s="44"/>
      <c r="F316" s="44"/>
      <c r="G316" s="45"/>
      <c r="H316" s="81" t="str">
        <f t="shared" si="140"/>
        <v/>
      </c>
      <c r="J316" s="9"/>
      <c r="K316" s="10"/>
      <c r="L316" s="17"/>
      <c r="M316" s="23"/>
      <c r="N316" s="23"/>
      <c r="O316" s="23"/>
      <c r="P316" s="23"/>
      <c r="Q316" s="1">
        <f t="shared" si="152"/>
        <v>0.60744618579017706</v>
      </c>
      <c r="R316" s="12">
        <f t="shared" ca="1" si="134"/>
        <v>8582</v>
      </c>
      <c r="S316" s="88">
        <f t="shared" si="143"/>
        <v>0</v>
      </c>
      <c r="T316" s="19">
        <f t="shared" si="144"/>
        <v>0</v>
      </c>
      <c r="U316" s="19">
        <f t="shared" si="141"/>
        <v>0</v>
      </c>
      <c r="V316" s="19">
        <f t="shared" si="157"/>
        <v>0</v>
      </c>
      <c r="W316" s="20">
        <f t="shared" ca="1" si="135"/>
        <v>0</v>
      </c>
      <c r="X316" s="19">
        <f t="shared" ca="1" si="136"/>
        <v>0</v>
      </c>
      <c r="Y316" s="19">
        <f t="shared" ca="1" si="137"/>
        <v>0</v>
      </c>
      <c r="Z316" s="20">
        <f t="shared" ca="1" si="138"/>
        <v>0</v>
      </c>
      <c r="AA316" s="1">
        <f t="shared" si="153"/>
        <v>5432.58</v>
      </c>
      <c r="AB316" s="93"/>
      <c r="AC316" s="94"/>
      <c r="AD316" s="101">
        <f t="shared" si="154"/>
        <v>49704</v>
      </c>
      <c r="AE316" s="103">
        <f t="shared" si="155"/>
        <v>0</v>
      </c>
      <c r="AG316" s="1">
        <f t="shared" si="145"/>
        <v>0</v>
      </c>
      <c r="AH316" s="1">
        <f t="shared" si="160"/>
        <v>0</v>
      </c>
      <c r="AI316" s="1">
        <f t="shared" si="156"/>
        <v>5432.58</v>
      </c>
      <c r="AJ316" s="20">
        <f t="shared" si="158"/>
        <v>0</v>
      </c>
      <c r="AK316" s="100">
        <f t="shared" si="161"/>
        <v>0</v>
      </c>
      <c r="AL316" s="100">
        <f t="shared" si="162"/>
        <v>0</v>
      </c>
      <c r="AN316" s="100">
        <f t="shared" si="163"/>
        <v>4698.1557512137169</v>
      </c>
      <c r="AO316" s="20">
        <f t="shared" si="164"/>
        <v>0</v>
      </c>
      <c r="AQ316" s="109">
        <f t="shared" si="146"/>
        <v>0</v>
      </c>
      <c r="AU316" s="109">
        <f t="shared" si="147"/>
        <v>26.387987666469432</v>
      </c>
      <c r="AV316" s="101">
        <f t="shared" si="142"/>
        <v>49734</v>
      </c>
      <c r="AW316" s="99">
        <f t="shared" si="139"/>
        <v>0</v>
      </c>
      <c r="AX316" s="1">
        <f t="shared" si="148"/>
        <v>0</v>
      </c>
      <c r="AY316" s="29">
        <f t="shared" si="149"/>
        <v>0</v>
      </c>
      <c r="AZ316" s="1">
        <f t="shared" si="150"/>
        <v>0</v>
      </c>
      <c r="CB316" s="20">
        <f t="shared" si="159"/>
        <v>0</v>
      </c>
      <c r="CC316" s="173">
        <f t="shared" si="151"/>
        <v>0</v>
      </c>
    </row>
    <row r="317" spans="2:81" x14ac:dyDescent="0.25">
      <c r="B317" s="41"/>
      <c r="C317" s="42"/>
      <c r="D317" s="43"/>
      <c r="E317" s="44"/>
      <c r="F317" s="44"/>
      <c r="G317" s="45"/>
      <c r="H317" s="81" t="str">
        <f t="shared" si="140"/>
        <v/>
      </c>
      <c r="J317" s="7"/>
      <c r="K317" s="8"/>
      <c r="L317" s="16"/>
      <c r="M317" s="22"/>
      <c r="N317" s="22"/>
      <c r="O317" s="22"/>
      <c r="P317" s="22"/>
      <c r="Q317" s="1">
        <f t="shared" si="152"/>
        <v>0.60744618579017706</v>
      </c>
      <c r="R317" s="12">
        <f t="shared" ca="1" si="134"/>
        <v>8612</v>
      </c>
      <c r="S317" s="88">
        <f t="shared" si="143"/>
        <v>0</v>
      </c>
      <c r="T317" s="19">
        <f t="shared" si="144"/>
        <v>0</v>
      </c>
      <c r="U317" s="19">
        <f t="shared" si="141"/>
        <v>0</v>
      </c>
      <c r="V317" s="19">
        <f t="shared" si="157"/>
        <v>0</v>
      </c>
      <c r="W317" s="20">
        <f t="shared" ca="1" si="135"/>
        <v>0</v>
      </c>
      <c r="X317" s="19">
        <f t="shared" ca="1" si="136"/>
        <v>0</v>
      </c>
      <c r="Y317" s="19">
        <f t="shared" ca="1" si="137"/>
        <v>0</v>
      </c>
      <c r="Z317" s="20">
        <f t="shared" ca="1" si="138"/>
        <v>0</v>
      </c>
      <c r="AA317" s="1">
        <f t="shared" si="153"/>
        <v>5432.58</v>
      </c>
      <c r="AB317" s="91"/>
      <c r="AC317" s="92"/>
      <c r="AD317" s="101">
        <f t="shared" si="154"/>
        <v>49734</v>
      </c>
      <c r="AE317" s="103">
        <f t="shared" si="155"/>
        <v>0</v>
      </c>
      <c r="AG317" s="1">
        <f t="shared" si="145"/>
        <v>0</v>
      </c>
      <c r="AH317" s="1">
        <f t="shared" si="160"/>
        <v>0</v>
      </c>
      <c r="AI317" s="1">
        <f t="shared" si="156"/>
        <v>5432.58</v>
      </c>
      <c r="AJ317" s="20">
        <f t="shared" si="158"/>
        <v>0</v>
      </c>
      <c r="AK317" s="100">
        <f t="shared" si="161"/>
        <v>0</v>
      </c>
      <c r="AL317" s="100">
        <f t="shared" si="162"/>
        <v>0</v>
      </c>
      <c r="AN317" s="100">
        <f t="shared" si="163"/>
        <v>4695.7787238178016</v>
      </c>
      <c r="AO317" s="20">
        <f t="shared" si="164"/>
        <v>0</v>
      </c>
      <c r="AQ317" s="109">
        <f t="shared" si="146"/>
        <v>0</v>
      </c>
      <c r="AU317" s="109">
        <f t="shared" si="147"/>
        <v>26.385671590852013</v>
      </c>
      <c r="AV317" s="101">
        <f t="shared" si="142"/>
        <v>49764</v>
      </c>
      <c r="AW317" s="99">
        <f t="shared" si="139"/>
        <v>0</v>
      </c>
      <c r="AX317" s="1">
        <f t="shared" si="148"/>
        <v>0</v>
      </c>
      <c r="AY317" s="29">
        <f t="shared" si="149"/>
        <v>0</v>
      </c>
      <c r="AZ317" s="1">
        <f t="shared" si="150"/>
        <v>0</v>
      </c>
      <c r="CB317" s="20">
        <f t="shared" si="159"/>
        <v>0</v>
      </c>
      <c r="CC317" s="173">
        <f t="shared" si="151"/>
        <v>0</v>
      </c>
    </row>
    <row r="318" spans="2:81" x14ac:dyDescent="0.25">
      <c r="B318" s="41"/>
      <c r="C318" s="42"/>
      <c r="D318" s="43"/>
      <c r="E318" s="44"/>
      <c r="F318" s="44"/>
      <c r="G318" s="45"/>
      <c r="H318" s="81" t="str">
        <f t="shared" si="140"/>
        <v/>
      </c>
      <c r="J318" s="9"/>
      <c r="K318" s="10"/>
      <c r="L318" s="17"/>
      <c r="M318" s="23"/>
      <c r="N318" s="23"/>
      <c r="O318" s="23"/>
      <c r="P318" s="23"/>
      <c r="Q318" s="1">
        <f t="shared" si="152"/>
        <v>0.60744618579017706</v>
      </c>
      <c r="R318" s="12">
        <f t="shared" ca="1" si="134"/>
        <v>8642</v>
      </c>
      <c r="S318" s="88">
        <f t="shared" si="143"/>
        <v>0</v>
      </c>
      <c r="T318" s="19">
        <f t="shared" si="144"/>
        <v>0</v>
      </c>
      <c r="U318" s="19">
        <f t="shared" si="141"/>
        <v>0</v>
      </c>
      <c r="V318" s="19">
        <f t="shared" si="157"/>
        <v>0</v>
      </c>
      <c r="W318" s="20">
        <f t="shared" ca="1" si="135"/>
        <v>0</v>
      </c>
      <c r="X318" s="19">
        <f t="shared" ca="1" si="136"/>
        <v>0</v>
      </c>
      <c r="Y318" s="19">
        <f t="shared" ca="1" si="137"/>
        <v>0</v>
      </c>
      <c r="Z318" s="20">
        <f t="shared" ca="1" si="138"/>
        <v>0</v>
      </c>
      <c r="AA318" s="1">
        <f t="shared" si="153"/>
        <v>5432.58</v>
      </c>
      <c r="AB318" s="93"/>
      <c r="AC318" s="94"/>
      <c r="AD318" s="101">
        <f t="shared" si="154"/>
        <v>49764</v>
      </c>
      <c r="AE318" s="103">
        <f t="shared" si="155"/>
        <v>0</v>
      </c>
      <c r="AG318" s="1">
        <f t="shared" si="145"/>
        <v>0</v>
      </c>
      <c r="AH318" s="1">
        <f t="shared" si="160"/>
        <v>0</v>
      </c>
      <c r="AI318" s="1">
        <f t="shared" si="156"/>
        <v>5432.58</v>
      </c>
      <c r="AJ318" s="20">
        <f t="shared" si="158"/>
        <v>0</v>
      </c>
      <c r="AK318" s="100">
        <f t="shared" si="161"/>
        <v>0</v>
      </c>
      <c r="AL318" s="100">
        <f t="shared" si="162"/>
        <v>0</v>
      </c>
      <c r="AN318" s="100">
        <f t="shared" si="163"/>
        <v>4693.4028990766174</v>
      </c>
      <c r="AO318" s="20">
        <f t="shared" si="164"/>
        <v>0</v>
      </c>
      <c r="AQ318" s="109">
        <f t="shared" si="146"/>
        <v>0</v>
      </c>
      <c r="AU318" s="109">
        <f t="shared" si="147"/>
        <v>26.383355718516725</v>
      </c>
      <c r="AV318" s="101">
        <f t="shared" si="142"/>
        <v>49794</v>
      </c>
      <c r="AW318" s="99">
        <f t="shared" si="139"/>
        <v>0</v>
      </c>
      <c r="AX318" s="1">
        <f t="shared" si="148"/>
        <v>0</v>
      </c>
      <c r="AY318" s="29">
        <f t="shared" si="149"/>
        <v>0</v>
      </c>
      <c r="AZ318" s="1">
        <f t="shared" si="150"/>
        <v>0</v>
      </c>
      <c r="CB318" s="20">
        <f t="shared" si="159"/>
        <v>0</v>
      </c>
      <c r="CC318" s="173">
        <f t="shared" si="151"/>
        <v>0</v>
      </c>
    </row>
    <row r="319" spans="2:81" x14ac:dyDescent="0.25">
      <c r="B319" s="41"/>
      <c r="C319" s="42"/>
      <c r="D319" s="43"/>
      <c r="E319" s="44"/>
      <c r="F319" s="44"/>
      <c r="G319" s="45"/>
      <c r="H319" s="81" t="str">
        <f t="shared" si="140"/>
        <v/>
      </c>
      <c r="J319" s="7"/>
      <c r="K319" s="8"/>
      <c r="L319" s="16"/>
      <c r="M319" s="22"/>
      <c r="N319" s="22"/>
      <c r="O319" s="22"/>
      <c r="P319" s="22"/>
      <c r="Q319" s="1">
        <f t="shared" si="152"/>
        <v>0.60744618579017706</v>
      </c>
      <c r="R319" s="12">
        <f t="shared" ca="1" si="134"/>
        <v>8672</v>
      </c>
      <c r="S319" s="88">
        <f t="shared" si="143"/>
        <v>0</v>
      </c>
      <c r="T319" s="19">
        <f t="shared" si="144"/>
        <v>0</v>
      </c>
      <c r="U319" s="19">
        <f>AA319*(IF(ROW()-30&lt;$H$22,$H$21,0))</f>
        <v>0</v>
      </c>
      <c r="V319" s="19">
        <f t="shared" si="157"/>
        <v>0</v>
      </c>
      <c r="W319" s="20">
        <f t="shared" ca="1" si="135"/>
        <v>0</v>
      </c>
      <c r="X319" s="19">
        <f t="shared" ca="1" si="136"/>
        <v>0</v>
      </c>
      <c r="Y319" s="19">
        <f t="shared" ca="1" si="137"/>
        <v>0</v>
      </c>
      <c r="Z319" s="20">
        <f t="shared" ca="1" si="138"/>
        <v>0</v>
      </c>
      <c r="AA319" s="1">
        <f t="shared" si="153"/>
        <v>5432.58</v>
      </c>
      <c r="AB319" s="91"/>
      <c r="AC319" s="92"/>
      <c r="AD319" s="101">
        <f t="shared" si="154"/>
        <v>49794</v>
      </c>
      <c r="AE319" s="103">
        <f t="shared" si="155"/>
        <v>0</v>
      </c>
      <c r="AG319" s="1">
        <f t="shared" si="145"/>
        <v>0</v>
      </c>
      <c r="AH319" s="1">
        <f t="shared" si="160"/>
        <v>0</v>
      </c>
      <c r="AI319" s="1">
        <f t="shared" si="156"/>
        <v>5432.58</v>
      </c>
      <c r="AJ319" s="20">
        <f t="shared" si="158"/>
        <v>0</v>
      </c>
      <c r="AK319" s="100">
        <f t="shared" si="161"/>
        <v>0</v>
      </c>
      <c r="AL319" s="100">
        <f t="shared" si="162"/>
        <v>0</v>
      </c>
      <c r="AN319" s="100">
        <f t="shared" si="163"/>
        <v>4691.0282763816822</v>
      </c>
      <c r="AO319" s="20">
        <f t="shared" si="164"/>
        <v>0</v>
      </c>
      <c r="AQ319" s="109">
        <f t="shared" si="146"/>
        <v>0</v>
      </c>
      <c r="AU319" s="109">
        <f t="shared" si="147"/>
        <v>26.381040049445723</v>
      </c>
      <c r="AV319" s="101">
        <f t="shared" si="142"/>
        <v>49824</v>
      </c>
      <c r="AW319" s="99">
        <f t="shared" si="139"/>
        <v>0</v>
      </c>
      <c r="AX319" s="1">
        <f t="shared" si="148"/>
        <v>0</v>
      </c>
      <c r="AY319" s="29">
        <f t="shared" si="149"/>
        <v>0</v>
      </c>
      <c r="AZ319" s="1">
        <f t="shared" si="150"/>
        <v>0</v>
      </c>
      <c r="CB319" s="20">
        <f t="shared" si="159"/>
        <v>0</v>
      </c>
      <c r="CC319" s="173">
        <f t="shared" si="151"/>
        <v>0</v>
      </c>
    </row>
    <row r="320" spans="2:81" x14ac:dyDescent="0.25">
      <c r="B320" s="41"/>
      <c r="C320" s="42"/>
      <c r="D320" s="43"/>
      <c r="E320" s="44"/>
      <c r="F320" s="44"/>
      <c r="G320" s="45"/>
      <c r="H320" s="81" t="str">
        <f t="shared" si="140"/>
        <v/>
      </c>
      <c r="J320" s="9"/>
      <c r="K320" s="10"/>
      <c r="L320" s="17"/>
      <c r="M320" s="23"/>
      <c r="N320" s="23"/>
      <c r="O320" s="23"/>
      <c r="P320" s="23"/>
      <c r="Q320" s="1">
        <f t="shared" si="152"/>
        <v>0.60744618579017706</v>
      </c>
      <c r="R320" s="12">
        <f t="shared" ca="1" si="134"/>
        <v>8702</v>
      </c>
      <c r="S320" s="88">
        <f t="shared" si="143"/>
        <v>0</v>
      </c>
      <c r="T320" s="19">
        <f t="shared" si="144"/>
        <v>0</v>
      </c>
      <c r="U320" s="19">
        <f t="shared" ref="U320:U383" si="165">AA320*(IF(ROW()-30&lt;$H$22,$H$21,0))</f>
        <v>0</v>
      </c>
      <c r="V320" s="19">
        <f t="shared" si="157"/>
        <v>0</v>
      </c>
      <c r="W320" s="20">
        <f t="shared" ca="1" si="135"/>
        <v>0</v>
      </c>
      <c r="X320" s="19">
        <f t="shared" ca="1" si="136"/>
        <v>0</v>
      </c>
      <c r="Y320" s="19">
        <f t="shared" ca="1" si="137"/>
        <v>0</v>
      </c>
      <c r="Z320" s="20">
        <f t="shared" ca="1" si="138"/>
        <v>0</v>
      </c>
      <c r="AA320" s="1">
        <f t="shared" si="153"/>
        <v>5432.58</v>
      </c>
      <c r="AB320" s="93"/>
      <c r="AC320" s="94"/>
      <c r="AD320" s="101">
        <f t="shared" si="154"/>
        <v>49824</v>
      </c>
      <c r="AE320" s="103">
        <f t="shared" si="155"/>
        <v>0</v>
      </c>
      <c r="AG320" s="1">
        <f t="shared" si="145"/>
        <v>0</v>
      </c>
      <c r="AH320" s="1">
        <f t="shared" si="160"/>
        <v>0</v>
      </c>
      <c r="AI320" s="1">
        <f t="shared" si="156"/>
        <v>5432.58</v>
      </c>
      <c r="AJ320" s="20">
        <f t="shared" si="158"/>
        <v>0</v>
      </c>
      <c r="AK320" s="100">
        <f t="shared" si="161"/>
        <v>0</v>
      </c>
      <c r="AL320" s="100">
        <f t="shared" si="162"/>
        <v>0</v>
      </c>
      <c r="AN320" s="100">
        <f t="shared" si="163"/>
        <v>4688.6548551248216</v>
      </c>
      <c r="AO320" s="20">
        <f t="shared" si="164"/>
        <v>0</v>
      </c>
      <c r="AQ320" s="109">
        <f t="shared" si="146"/>
        <v>0</v>
      </c>
      <c r="AU320" s="109">
        <f t="shared" si="147"/>
        <v>26.37872458362116</v>
      </c>
      <c r="AV320" s="101">
        <f t="shared" si="142"/>
        <v>49854</v>
      </c>
      <c r="AW320" s="99">
        <f t="shared" si="139"/>
        <v>0</v>
      </c>
      <c r="AX320" s="1">
        <f t="shared" si="148"/>
        <v>0</v>
      </c>
      <c r="AY320" s="29">
        <f t="shared" si="149"/>
        <v>0</v>
      </c>
      <c r="AZ320" s="1">
        <f t="shared" si="150"/>
        <v>0</v>
      </c>
      <c r="CB320" s="20">
        <f t="shared" si="159"/>
        <v>0</v>
      </c>
      <c r="CC320" s="173">
        <f t="shared" si="151"/>
        <v>0</v>
      </c>
    </row>
    <row r="321" spans="2:81" x14ac:dyDescent="0.25">
      <c r="B321" s="41"/>
      <c r="C321" s="42"/>
      <c r="D321" s="43"/>
      <c r="E321" s="44"/>
      <c r="F321" s="44"/>
      <c r="G321" s="45"/>
      <c r="H321" s="81" t="str">
        <f t="shared" si="140"/>
        <v/>
      </c>
      <c r="J321" s="7"/>
      <c r="K321" s="8"/>
      <c r="L321" s="16"/>
      <c r="M321" s="22"/>
      <c r="N321" s="22"/>
      <c r="O321" s="22"/>
      <c r="P321" s="22"/>
      <c r="Q321" s="1">
        <f t="shared" si="152"/>
        <v>0.60744618579017706</v>
      </c>
      <c r="R321" s="12">
        <f t="shared" ref="R321:R384" ca="1" si="166">IF(ROW()&gt;$T$20,R320+30,DAYS360(K320,K321)+R320)</f>
        <v>8732</v>
      </c>
      <c r="S321" s="88">
        <f t="shared" si="143"/>
        <v>0</v>
      </c>
      <c r="T321" s="19">
        <f t="shared" si="144"/>
        <v>0</v>
      </c>
      <c r="U321" s="19">
        <f t="shared" si="165"/>
        <v>0</v>
      </c>
      <c r="V321" s="19">
        <f t="shared" si="157"/>
        <v>0</v>
      </c>
      <c r="W321" s="20">
        <f t="shared" ref="W321:W384" ca="1" si="167">(T321)/(1+((1+$T$12)^$R321-1))</f>
        <v>0</v>
      </c>
      <c r="X321" s="19">
        <f t="shared" ref="X321:X384" ca="1" si="168">(U321)/(1+((1+$T$12)^$R321-1))</f>
        <v>0</v>
      </c>
      <c r="Y321" s="19">
        <f t="shared" ref="Y321:Y384" ca="1" si="169">P321/(1+((1+$T$12)^$R321-1))</f>
        <v>0</v>
      </c>
      <c r="Z321" s="20">
        <f t="shared" ref="Z321:Z384" ca="1" si="170">W321+X321</f>
        <v>0</v>
      </c>
      <c r="AA321" s="1">
        <f t="shared" si="153"/>
        <v>5432.58</v>
      </c>
      <c r="AB321" s="91"/>
      <c r="AC321" s="92"/>
      <c r="AD321" s="101">
        <f t="shared" si="154"/>
        <v>49854</v>
      </c>
      <c r="AE321" s="103">
        <f t="shared" si="155"/>
        <v>0</v>
      </c>
      <c r="AG321" s="1">
        <f t="shared" si="145"/>
        <v>0</v>
      </c>
      <c r="AH321" s="1">
        <f t="shared" si="160"/>
        <v>0</v>
      </c>
      <c r="AI321" s="1">
        <f t="shared" si="156"/>
        <v>5432.58</v>
      </c>
      <c r="AJ321" s="20">
        <f t="shared" si="158"/>
        <v>0</v>
      </c>
      <c r="AK321" s="100">
        <f t="shared" si="161"/>
        <v>0</v>
      </c>
      <c r="AL321" s="100">
        <f t="shared" si="162"/>
        <v>0</v>
      </c>
      <c r="AN321" s="100">
        <f t="shared" si="163"/>
        <v>4686.2826346981692</v>
      </c>
      <c r="AO321" s="20">
        <f t="shared" si="164"/>
        <v>0</v>
      </c>
      <c r="AQ321" s="109">
        <f t="shared" si="146"/>
        <v>0</v>
      </c>
      <c r="AR321" s="100"/>
      <c r="AU321" s="109">
        <f t="shared" si="147"/>
        <v>26.376409321025204</v>
      </c>
      <c r="AV321" s="101">
        <f t="shared" si="142"/>
        <v>49884</v>
      </c>
      <c r="AW321" s="99">
        <f t="shared" si="139"/>
        <v>0</v>
      </c>
      <c r="AX321" s="1">
        <f t="shared" si="148"/>
        <v>0</v>
      </c>
      <c r="AY321" s="29">
        <f t="shared" si="149"/>
        <v>0</v>
      </c>
      <c r="AZ321" s="1">
        <f t="shared" si="150"/>
        <v>0</v>
      </c>
      <c r="CB321" s="20">
        <f t="shared" si="159"/>
        <v>0</v>
      </c>
      <c r="CC321" s="173">
        <f t="shared" si="151"/>
        <v>0</v>
      </c>
    </row>
    <row r="322" spans="2:81" x14ac:dyDescent="0.25">
      <c r="B322" s="41"/>
      <c r="C322" s="42"/>
      <c r="D322" s="43"/>
      <c r="E322" s="44"/>
      <c r="F322" s="44"/>
      <c r="G322" s="45"/>
      <c r="H322" s="81" t="str">
        <f t="shared" si="140"/>
        <v/>
      </c>
      <c r="J322" s="9"/>
      <c r="K322" s="10"/>
      <c r="L322" s="17"/>
      <c r="M322" s="23"/>
      <c r="N322" s="23"/>
      <c r="O322" s="23"/>
      <c r="P322" s="23"/>
      <c r="Q322" s="1">
        <f t="shared" si="152"/>
        <v>0.60744618579017706</v>
      </c>
      <c r="R322" s="12">
        <f t="shared" ca="1" si="166"/>
        <v>8762</v>
      </c>
      <c r="S322" s="88">
        <f t="shared" si="143"/>
        <v>0</v>
      </c>
      <c r="T322" s="19">
        <f t="shared" si="144"/>
        <v>0</v>
      </c>
      <c r="U322" s="19">
        <f t="shared" si="165"/>
        <v>0</v>
      </c>
      <c r="V322" s="19">
        <f t="shared" si="157"/>
        <v>0</v>
      </c>
      <c r="W322" s="20">
        <f t="shared" ca="1" si="167"/>
        <v>0</v>
      </c>
      <c r="X322" s="19">
        <f t="shared" ca="1" si="168"/>
        <v>0</v>
      </c>
      <c r="Y322" s="19">
        <f t="shared" ca="1" si="169"/>
        <v>0</v>
      </c>
      <c r="Z322" s="20">
        <f t="shared" ca="1" si="170"/>
        <v>0</v>
      </c>
      <c r="AA322" s="1">
        <f t="shared" si="153"/>
        <v>5432.58</v>
      </c>
      <c r="AB322" s="93"/>
      <c r="AC322" s="94"/>
      <c r="AD322" s="101">
        <f t="shared" si="154"/>
        <v>49884</v>
      </c>
      <c r="AE322" s="103">
        <f t="shared" si="155"/>
        <v>0</v>
      </c>
      <c r="AG322" s="1">
        <f t="shared" si="145"/>
        <v>0</v>
      </c>
      <c r="AH322" s="1">
        <f t="shared" si="160"/>
        <v>0</v>
      </c>
      <c r="AI322" s="1">
        <f t="shared" si="156"/>
        <v>5432.58</v>
      </c>
      <c r="AJ322" s="20">
        <f t="shared" si="158"/>
        <v>0</v>
      </c>
      <c r="AK322" s="100">
        <f t="shared" si="161"/>
        <v>0</v>
      </c>
      <c r="AL322" s="100">
        <f t="shared" si="162"/>
        <v>0</v>
      </c>
      <c r="AN322" s="100">
        <f t="shared" si="163"/>
        <v>4683.9116144941672</v>
      </c>
      <c r="AO322" s="20">
        <f t="shared" si="164"/>
        <v>0</v>
      </c>
      <c r="AQ322" s="109">
        <f t="shared" si="146"/>
        <v>0</v>
      </c>
      <c r="AU322" s="109">
        <f t="shared" si="147"/>
        <v>26.374094261640018</v>
      </c>
      <c r="AV322" s="101">
        <f t="shared" si="142"/>
        <v>49914</v>
      </c>
      <c r="AW322" s="99">
        <f t="shared" si="139"/>
        <v>0</v>
      </c>
      <c r="AX322" s="1">
        <f t="shared" si="148"/>
        <v>0</v>
      </c>
      <c r="AY322" s="29">
        <f t="shared" si="149"/>
        <v>0</v>
      </c>
      <c r="AZ322" s="1">
        <f t="shared" si="150"/>
        <v>0</v>
      </c>
      <c r="CB322" s="20">
        <f t="shared" si="159"/>
        <v>0</v>
      </c>
      <c r="CC322" s="173">
        <f t="shared" si="151"/>
        <v>0</v>
      </c>
    </row>
    <row r="323" spans="2:81" x14ac:dyDescent="0.25">
      <c r="B323" s="41"/>
      <c r="C323" s="42"/>
      <c r="D323" s="43"/>
      <c r="E323" s="44"/>
      <c r="F323" s="44"/>
      <c r="G323" s="45"/>
      <c r="H323" s="81" t="str">
        <f t="shared" si="140"/>
        <v/>
      </c>
      <c r="J323" s="7"/>
      <c r="K323" s="8"/>
      <c r="L323" s="16"/>
      <c r="M323" s="22"/>
      <c r="N323" s="22"/>
      <c r="O323" s="22"/>
      <c r="P323" s="22"/>
      <c r="Q323" s="1">
        <f t="shared" si="152"/>
        <v>0.60744618579017706</v>
      </c>
      <c r="R323" s="12">
        <f t="shared" ca="1" si="166"/>
        <v>8792</v>
      </c>
      <c r="S323" s="88">
        <f t="shared" si="143"/>
        <v>0</v>
      </c>
      <c r="T323" s="19">
        <f t="shared" si="144"/>
        <v>0</v>
      </c>
      <c r="U323" s="19">
        <f t="shared" si="165"/>
        <v>0</v>
      </c>
      <c r="V323" s="19">
        <f t="shared" si="157"/>
        <v>0</v>
      </c>
      <c r="W323" s="20">
        <f t="shared" ca="1" si="167"/>
        <v>0</v>
      </c>
      <c r="X323" s="19">
        <f t="shared" ca="1" si="168"/>
        <v>0</v>
      </c>
      <c r="Y323" s="19">
        <f t="shared" ca="1" si="169"/>
        <v>0</v>
      </c>
      <c r="Z323" s="20">
        <f t="shared" ca="1" si="170"/>
        <v>0</v>
      </c>
      <c r="AA323" s="1">
        <f t="shared" si="153"/>
        <v>5432.58</v>
      </c>
      <c r="AB323" s="91"/>
      <c r="AC323" s="92"/>
      <c r="AD323" s="101">
        <f t="shared" si="154"/>
        <v>49914</v>
      </c>
      <c r="AE323" s="103">
        <f t="shared" si="155"/>
        <v>0</v>
      </c>
      <c r="AG323" s="1">
        <f t="shared" si="145"/>
        <v>0</v>
      </c>
      <c r="AH323" s="1">
        <f t="shared" si="160"/>
        <v>0</v>
      </c>
      <c r="AI323" s="1">
        <f t="shared" si="156"/>
        <v>5432.58</v>
      </c>
      <c r="AJ323" s="20">
        <f t="shared" si="158"/>
        <v>0</v>
      </c>
      <c r="AK323" s="100">
        <f t="shared" si="161"/>
        <v>0</v>
      </c>
      <c r="AL323" s="100">
        <f t="shared" si="162"/>
        <v>0</v>
      </c>
      <c r="AN323" s="100">
        <f t="shared" si="163"/>
        <v>4681.5417939055615</v>
      </c>
      <c r="AO323" s="20">
        <f t="shared" si="164"/>
        <v>0</v>
      </c>
      <c r="AQ323" s="109">
        <f t="shared" si="146"/>
        <v>0</v>
      </c>
      <c r="AU323" s="109">
        <f t="shared" si="147"/>
        <v>26.371779405447764</v>
      </c>
      <c r="AV323" s="101">
        <f t="shared" si="142"/>
        <v>49944</v>
      </c>
      <c r="AW323" s="99">
        <f t="shared" si="139"/>
        <v>0</v>
      </c>
      <c r="AX323" s="1">
        <f t="shared" si="148"/>
        <v>0</v>
      </c>
      <c r="AY323" s="29">
        <f t="shared" si="149"/>
        <v>0</v>
      </c>
      <c r="AZ323" s="1">
        <f t="shared" si="150"/>
        <v>0</v>
      </c>
      <c r="CB323" s="20">
        <f t="shared" si="159"/>
        <v>0</v>
      </c>
      <c r="CC323" s="173">
        <f t="shared" si="151"/>
        <v>0</v>
      </c>
    </row>
    <row r="324" spans="2:81" x14ac:dyDescent="0.25">
      <c r="B324" s="41"/>
      <c r="C324" s="42"/>
      <c r="D324" s="43"/>
      <c r="E324" s="44"/>
      <c r="F324" s="44"/>
      <c r="G324" s="45"/>
      <c r="H324" s="81" t="str">
        <f t="shared" si="140"/>
        <v/>
      </c>
      <c r="J324" s="9"/>
      <c r="K324" s="10"/>
      <c r="L324" s="17"/>
      <c r="M324" s="23"/>
      <c r="N324" s="23"/>
      <c r="O324" s="23"/>
      <c r="P324" s="23"/>
      <c r="Q324" s="1">
        <f t="shared" si="152"/>
        <v>0.60744618579017706</v>
      </c>
      <c r="R324" s="12">
        <f t="shared" ca="1" si="166"/>
        <v>8822</v>
      </c>
      <c r="S324" s="88">
        <f t="shared" si="143"/>
        <v>0</v>
      </c>
      <c r="T324" s="19">
        <f t="shared" si="144"/>
        <v>0</v>
      </c>
      <c r="U324" s="19">
        <f t="shared" si="165"/>
        <v>0</v>
      </c>
      <c r="V324" s="19">
        <f t="shared" si="157"/>
        <v>0</v>
      </c>
      <c r="W324" s="20">
        <f t="shared" ca="1" si="167"/>
        <v>0</v>
      </c>
      <c r="X324" s="19">
        <f t="shared" ca="1" si="168"/>
        <v>0</v>
      </c>
      <c r="Y324" s="19">
        <f t="shared" ca="1" si="169"/>
        <v>0</v>
      </c>
      <c r="Z324" s="20">
        <f t="shared" ca="1" si="170"/>
        <v>0</v>
      </c>
      <c r="AA324" s="1">
        <f t="shared" si="153"/>
        <v>5432.58</v>
      </c>
      <c r="AB324" s="93"/>
      <c r="AC324" s="94"/>
      <c r="AD324" s="101">
        <f t="shared" si="154"/>
        <v>49944</v>
      </c>
      <c r="AE324" s="103">
        <f t="shared" si="155"/>
        <v>0</v>
      </c>
      <c r="AG324" s="1">
        <f t="shared" si="145"/>
        <v>0</v>
      </c>
      <c r="AH324" s="1">
        <f t="shared" si="160"/>
        <v>0</v>
      </c>
      <c r="AI324" s="1">
        <f t="shared" si="156"/>
        <v>5432.58</v>
      </c>
      <c r="AJ324" s="20">
        <f t="shared" si="158"/>
        <v>0</v>
      </c>
      <c r="AK324" s="100">
        <f t="shared" si="161"/>
        <v>0</v>
      </c>
      <c r="AL324" s="100">
        <f t="shared" si="162"/>
        <v>0</v>
      </c>
      <c r="AN324" s="100">
        <f t="shared" si="163"/>
        <v>4679.1731723254106</v>
      </c>
      <c r="AO324" s="20">
        <f t="shared" si="164"/>
        <v>0</v>
      </c>
      <c r="AQ324" s="109">
        <f t="shared" si="146"/>
        <v>0</v>
      </c>
      <c r="AU324" s="109">
        <f t="shared" si="147"/>
        <v>26.369464752430613</v>
      </c>
      <c r="AV324" s="101">
        <f t="shared" si="142"/>
        <v>49974</v>
      </c>
      <c r="AW324" s="99">
        <f t="shared" si="139"/>
        <v>0</v>
      </c>
      <c r="AX324" s="1">
        <f t="shared" si="148"/>
        <v>0</v>
      </c>
      <c r="AY324" s="29">
        <f t="shared" si="149"/>
        <v>0</v>
      </c>
      <c r="AZ324" s="1">
        <f t="shared" si="150"/>
        <v>0</v>
      </c>
      <c r="CB324" s="20">
        <f t="shared" si="159"/>
        <v>0</v>
      </c>
      <c r="CC324" s="173">
        <f t="shared" si="151"/>
        <v>0</v>
      </c>
    </row>
    <row r="325" spans="2:81" x14ac:dyDescent="0.25">
      <c r="B325" s="41"/>
      <c r="C325" s="42"/>
      <c r="D325" s="43"/>
      <c r="E325" s="44"/>
      <c r="F325" s="44"/>
      <c r="G325" s="45"/>
      <c r="H325" s="81" t="str">
        <f t="shared" si="140"/>
        <v/>
      </c>
      <c r="J325" s="7"/>
      <c r="K325" s="8"/>
      <c r="L325" s="16"/>
      <c r="M325" s="22"/>
      <c r="N325" s="22"/>
      <c r="O325" s="22"/>
      <c r="P325" s="22"/>
      <c r="Q325" s="1">
        <f t="shared" si="152"/>
        <v>0.60744618579017706</v>
      </c>
      <c r="R325" s="12">
        <f t="shared" ca="1" si="166"/>
        <v>8852</v>
      </c>
      <c r="S325" s="88">
        <f t="shared" si="143"/>
        <v>0</v>
      </c>
      <c r="T325" s="19">
        <f t="shared" si="144"/>
        <v>0</v>
      </c>
      <c r="U325" s="19">
        <f t="shared" si="165"/>
        <v>0</v>
      </c>
      <c r="V325" s="19">
        <f t="shared" si="157"/>
        <v>0</v>
      </c>
      <c r="W325" s="20">
        <f t="shared" ca="1" si="167"/>
        <v>0</v>
      </c>
      <c r="X325" s="19">
        <f t="shared" ca="1" si="168"/>
        <v>0</v>
      </c>
      <c r="Y325" s="19">
        <f t="shared" ca="1" si="169"/>
        <v>0</v>
      </c>
      <c r="Z325" s="20">
        <f t="shared" ca="1" si="170"/>
        <v>0</v>
      </c>
      <c r="AA325" s="1">
        <f t="shared" si="153"/>
        <v>5432.58</v>
      </c>
      <c r="AB325" s="91"/>
      <c r="AC325" s="92"/>
      <c r="AD325" s="101">
        <f t="shared" si="154"/>
        <v>49974</v>
      </c>
      <c r="AE325" s="103">
        <f t="shared" si="155"/>
        <v>0</v>
      </c>
      <c r="AG325" s="1">
        <f t="shared" si="145"/>
        <v>0</v>
      </c>
      <c r="AH325" s="1">
        <f t="shared" si="160"/>
        <v>0</v>
      </c>
      <c r="AI325" s="1">
        <f t="shared" si="156"/>
        <v>5432.58</v>
      </c>
      <c r="AJ325" s="20">
        <f t="shared" si="158"/>
        <v>0</v>
      </c>
      <c r="AK325" s="100">
        <f t="shared" si="161"/>
        <v>0</v>
      </c>
      <c r="AL325" s="100">
        <f t="shared" si="162"/>
        <v>0</v>
      </c>
      <c r="AN325" s="100">
        <f t="shared" si="163"/>
        <v>4676.8057491470754</v>
      </c>
      <c r="AO325" s="20">
        <f t="shared" si="164"/>
        <v>0</v>
      </c>
      <c r="AQ325" s="109">
        <f t="shared" si="146"/>
        <v>0</v>
      </c>
      <c r="AU325" s="109">
        <f t="shared" si="147"/>
        <v>26.367150302570721</v>
      </c>
      <c r="AV325" s="101">
        <f t="shared" si="142"/>
        <v>50004</v>
      </c>
      <c r="AW325" s="99">
        <f t="shared" si="139"/>
        <v>0</v>
      </c>
      <c r="AX325" s="1">
        <f t="shared" si="148"/>
        <v>0</v>
      </c>
      <c r="AY325" s="29">
        <f t="shared" si="149"/>
        <v>0</v>
      </c>
      <c r="AZ325" s="1">
        <f t="shared" si="150"/>
        <v>0</v>
      </c>
      <c r="CB325" s="20">
        <f t="shared" si="159"/>
        <v>0</v>
      </c>
      <c r="CC325" s="173">
        <f t="shared" si="151"/>
        <v>0</v>
      </c>
    </row>
    <row r="326" spans="2:81" x14ac:dyDescent="0.25">
      <c r="B326" s="41"/>
      <c r="C326" s="42"/>
      <c r="D326" s="43"/>
      <c r="E326" s="44"/>
      <c r="F326" s="44"/>
      <c r="G326" s="45"/>
      <c r="H326" s="81" t="str">
        <f t="shared" si="140"/>
        <v/>
      </c>
      <c r="J326" s="9"/>
      <c r="K326" s="10"/>
      <c r="L326" s="17"/>
      <c r="M326" s="23"/>
      <c r="N326" s="23"/>
      <c r="O326" s="23"/>
      <c r="P326" s="23"/>
      <c r="Q326" s="1">
        <f t="shared" si="152"/>
        <v>0.60744618579017706</v>
      </c>
      <c r="R326" s="12">
        <f t="shared" ca="1" si="166"/>
        <v>8882</v>
      </c>
      <c r="S326" s="88">
        <f t="shared" si="143"/>
        <v>0</v>
      </c>
      <c r="T326" s="19">
        <f t="shared" si="144"/>
        <v>0</v>
      </c>
      <c r="U326" s="19">
        <f t="shared" si="165"/>
        <v>0</v>
      </c>
      <c r="V326" s="19">
        <f t="shared" si="157"/>
        <v>0</v>
      </c>
      <c r="W326" s="20">
        <f t="shared" ca="1" si="167"/>
        <v>0</v>
      </c>
      <c r="X326" s="19">
        <f t="shared" ca="1" si="168"/>
        <v>0</v>
      </c>
      <c r="Y326" s="19">
        <f t="shared" ca="1" si="169"/>
        <v>0</v>
      </c>
      <c r="Z326" s="20">
        <f t="shared" ca="1" si="170"/>
        <v>0</v>
      </c>
      <c r="AA326" s="1">
        <f t="shared" si="153"/>
        <v>5432.58</v>
      </c>
      <c r="AB326" s="93"/>
      <c r="AC326" s="94"/>
      <c r="AD326" s="101">
        <f t="shared" si="154"/>
        <v>50004</v>
      </c>
      <c r="AE326" s="103">
        <f t="shared" si="155"/>
        <v>0</v>
      </c>
      <c r="AG326" s="1">
        <f t="shared" si="145"/>
        <v>0</v>
      </c>
      <c r="AH326" s="1">
        <f t="shared" si="160"/>
        <v>0</v>
      </c>
      <c r="AI326" s="1">
        <f t="shared" si="156"/>
        <v>5432.58</v>
      </c>
      <c r="AJ326" s="20">
        <f t="shared" si="158"/>
        <v>0</v>
      </c>
      <c r="AK326" s="100">
        <f t="shared" si="161"/>
        <v>0</v>
      </c>
      <c r="AL326" s="100">
        <f t="shared" si="162"/>
        <v>0</v>
      </c>
      <c r="AN326" s="100">
        <f t="shared" si="163"/>
        <v>4674.4395237642275</v>
      </c>
      <c r="AO326" s="20">
        <f t="shared" si="164"/>
        <v>0</v>
      </c>
      <c r="AQ326" s="109">
        <f t="shared" si="146"/>
        <v>0</v>
      </c>
      <c r="AU326" s="109">
        <f t="shared" si="147"/>
        <v>26.364836055850265</v>
      </c>
      <c r="AV326" s="101">
        <f t="shared" si="142"/>
        <v>50034</v>
      </c>
      <c r="AW326" s="99">
        <f t="shared" si="139"/>
        <v>0</v>
      </c>
      <c r="AX326" s="1">
        <f t="shared" si="148"/>
        <v>0</v>
      </c>
      <c r="AY326" s="29">
        <f t="shared" si="149"/>
        <v>0</v>
      </c>
      <c r="AZ326" s="1">
        <f t="shared" si="150"/>
        <v>0</v>
      </c>
      <c r="CB326" s="20">
        <f t="shared" si="159"/>
        <v>0</v>
      </c>
      <c r="CC326" s="173">
        <f t="shared" si="151"/>
        <v>0</v>
      </c>
    </row>
    <row r="327" spans="2:81" x14ac:dyDescent="0.25">
      <c r="B327" s="41"/>
      <c r="C327" s="42"/>
      <c r="D327" s="43"/>
      <c r="E327" s="44"/>
      <c r="F327" s="44"/>
      <c r="G327" s="45"/>
      <c r="H327" s="81" t="str">
        <f t="shared" si="140"/>
        <v/>
      </c>
      <c r="J327" s="7"/>
      <c r="K327" s="8"/>
      <c r="L327" s="16"/>
      <c r="M327" s="22"/>
      <c r="N327" s="22"/>
      <c r="O327" s="22"/>
      <c r="P327" s="22"/>
      <c r="Q327" s="1">
        <f t="shared" si="152"/>
        <v>0.60744618579017706</v>
      </c>
      <c r="R327" s="12">
        <f t="shared" ca="1" si="166"/>
        <v>8912</v>
      </c>
      <c r="S327" s="88">
        <f t="shared" si="143"/>
        <v>0</v>
      </c>
      <c r="T327" s="19">
        <f t="shared" si="144"/>
        <v>0</v>
      </c>
      <c r="U327" s="19">
        <f t="shared" si="165"/>
        <v>0</v>
      </c>
      <c r="V327" s="19">
        <f t="shared" si="157"/>
        <v>0</v>
      </c>
      <c r="W327" s="20">
        <f t="shared" ca="1" si="167"/>
        <v>0</v>
      </c>
      <c r="X327" s="19">
        <f t="shared" ca="1" si="168"/>
        <v>0</v>
      </c>
      <c r="Y327" s="19">
        <f t="shared" ca="1" si="169"/>
        <v>0</v>
      </c>
      <c r="Z327" s="20">
        <f t="shared" ca="1" si="170"/>
        <v>0</v>
      </c>
      <c r="AA327" s="1">
        <f t="shared" si="153"/>
        <v>5432.58</v>
      </c>
      <c r="AB327" s="91"/>
      <c r="AC327" s="92"/>
      <c r="AD327" s="101">
        <f t="shared" si="154"/>
        <v>50034</v>
      </c>
      <c r="AE327" s="103">
        <f t="shared" si="155"/>
        <v>0</v>
      </c>
      <c r="AG327" s="1">
        <f t="shared" si="145"/>
        <v>0</v>
      </c>
      <c r="AH327" s="1">
        <f t="shared" si="160"/>
        <v>0</v>
      </c>
      <c r="AI327" s="1">
        <f t="shared" si="156"/>
        <v>5432.58</v>
      </c>
      <c r="AJ327" s="20">
        <f t="shared" si="158"/>
        <v>0</v>
      </c>
      <c r="AK327" s="100">
        <f t="shared" si="161"/>
        <v>0</v>
      </c>
      <c r="AL327" s="100">
        <f t="shared" si="162"/>
        <v>0</v>
      </c>
      <c r="AN327" s="100">
        <f t="shared" si="163"/>
        <v>4672.0744955708424</v>
      </c>
      <c r="AO327" s="20">
        <f t="shared" si="164"/>
        <v>0</v>
      </c>
      <c r="AQ327" s="109">
        <f t="shared" si="146"/>
        <v>0</v>
      </c>
      <c r="AU327" s="109">
        <f t="shared" si="147"/>
        <v>26.362522012251411</v>
      </c>
      <c r="AV327" s="101">
        <f t="shared" si="142"/>
        <v>50064</v>
      </c>
      <c r="AW327" s="99">
        <f t="shared" si="139"/>
        <v>0</v>
      </c>
      <c r="AX327" s="1">
        <f t="shared" si="148"/>
        <v>0</v>
      </c>
      <c r="AY327" s="29">
        <f t="shared" si="149"/>
        <v>0</v>
      </c>
      <c r="AZ327" s="1">
        <f t="shared" si="150"/>
        <v>0</v>
      </c>
      <c r="CB327" s="20">
        <f t="shared" si="159"/>
        <v>0</v>
      </c>
      <c r="CC327" s="173">
        <f t="shared" si="151"/>
        <v>0</v>
      </c>
    </row>
    <row r="328" spans="2:81" x14ac:dyDescent="0.25">
      <c r="B328" s="41"/>
      <c r="C328" s="42"/>
      <c r="D328" s="43"/>
      <c r="E328" s="44"/>
      <c r="F328" s="44"/>
      <c r="G328" s="45"/>
      <c r="H328" s="81" t="str">
        <f t="shared" si="140"/>
        <v/>
      </c>
      <c r="J328" s="9"/>
      <c r="K328" s="10"/>
      <c r="L328" s="17"/>
      <c r="M328" s="23"/>
      <c r="N328" s="23"/>
      <c r="O328" s="23"/>
      <c r="P328" s="23"/>
      <c r="Q328" s="1">
        <f t="shared" si="152"/>
        <v>0.60744618579017706</v>
      </c>
      <c r="R328" s="12">
        <f t="shared" ca="1" si="166"/>
        <v>8942</v>
      </c>
      <c r="S328" s="88">
        <f t="shared" si="143"/>
        <v>0</v>
      </c>
      <c r="T328" s="19">
        <f t="shared" si="144"/>
        <v>0</v>
      </c>
      <c r="U328" s="19">
        <f t="shared" si="165"/>
        <v>0</v>
      </c>
      <c r="V328" s="19">
        <f t="shared" si="157"/>
        <v>0</v>
      </c>
      <c r="W328" s="20">
        <f t="shared" ca="1" si="167"/>
        <v>0</v>
      </c>
      <c r="X328" s="19">
        <f t="shared" ca="1" si="168"/>
        <v>0</v>
      </c>
      <c r="Y328" s="19">
        <f t="shared" ca="1" si="169"/>
        <v>0</v>
      </c>
      <c r="Z328" s="20">
        <f t="shared" ca="1" si="170"/>
        <v>0</v>
      </c>
      <c r="AA328" s="1">
        <f t="shared" si="153"/>
        <v>5432.58</v>
      </c>
      <c r="AB328" s="93"/>
      <c r="AC328" s="94"/>
      <c r="AD328" s="101">
        <f t="shared" si="154"/>
        <v>50064</v>
      </c>
      <c r="AE328" s="103">
        <f t="shared" si="155"/>
        <v>0</v>
      </c>
      <c r="AG328" s="1">
        <f t="shared" si="145"/>
        <v>0</v>
      </c>
      <c r="AH328" s="1">
        <f t="shared" si="160"/>
        <v>0</v>
      </c>
      <c r="AI328" s="1">
        <f t="shared" si="156"/>
        <v>5432.58</v>
      </c>
      <c r="AJ328" s="20">
        <f t="shared" si="158"/>
        <v>0</v>
      </c>
      <c r="AK328" s="100">
        <f t="shared" si="161"/>
        <v>0</v>
      </c>
      <c r="AL328" s="100">
        <f t="shared" si="162"/>
        <v>0</v>
      </c>
      <c r="AN328" s="100">
        <f t="shared" si="163"/>
        <v>4669.710663961203</v>
      </c>
      <c r="AO328" s="20">
        <f t="shared" si="164"/>
        <v>0</v>
      </c>
      <c r="AQ328" s="109">
        <f t="shared" si="146"/>
        <v>0</v>
      </c>
      <c r="AU328" s="109">
        <f t="shared" si="147"/>
        <v>26.360208171756341</v>
      </c>
      <c r="AV328" s="101">
        <f t="shared" si="142"/>
        <v>50094</v>
      </c>
      <c r="AW328" s="99">
        <f t="shared" si="139"/>
        <v>0</v>
      </c>
      <c r="AX328" s="1">
        <f t="shared" si="148"/>
        <v>0</v>
      </c>
      <c r="AY328" s="29">
        <f t="shared" si="149"/>
        <v>0</v>
      </c>
      <c r="AZ328" s="1">
        <f t="shared" si="150"/>
        <v>0</v>
      </c>
      <c r="CB328" s="20">
        <f t="shared" si="159"/>
        <v>0</v>
      </c>
      <c r="CC328" s="173">
        <f t="shared" si="151"/>
        <v>0</v>
      </c>
    </row>
    <row r="329" spans="2:81" x14ac:dyDescent="0.25">
      <c r="B329" s="41"/>
      <c r="C329" s="42"/>
      <c r="D329" s="43"/>
      <c r="E329" s="44"/>
      <c r="F329" s="44"/>
      <c r="G329" s="45"/>
      <c r="H329" s="81" t="str">
        <f t="shared" si="140"/>
        <v/>
      </c>
      <c r="J329" s="7"/>
      <c r="K329" s="8"/>
      <c r="L329" s="16"/>
      <c r="M329" s="22"/>
      <c r="N329" s="22"/>
      <c r="O329" s="22"/>
      <c r="P329" s="22"/>
      <c r="Q329" s="1">
        <f t="shared" si="152"/>
        <v>0.60744618579017706</v>
      </c>
      <c r="R329" s="12">
        <f t="shared" ca="1" si="166"/>
        <v>8972</v>
      </c>
      <c r="S329" s="88">
        <f t="shared" si="143"/>
        <v>0</v>
      </c>
      <c r="T329" s="19">
        <f t="shared" si="144"/>
        <v>0</v>
      </c>
      <c r="U329" s="19">
        <f t="shared" si="165"/>
        <v>0</v>
      </c>
      <c r="V329" s="19">
        <f t="shared" si="157"/>
        <v>0</v>
      </c>
      <c r="W329" s="20">
        <f t="shared" ca="1" si="167"/>
        <v>0</v>
      </c>
      <c r="X329" s="19">
        <f t="shared" ca="1" si="168"/>
        <v>0</v>
      </c>
      <c r="Y329" s="19">
        <f t="shared" ca="1" si="169"/>
        <v>0</v>
      </c>
      <c r="Z329" s="20">
        <f t="shared" ca="1" si="170"/>
        <v>0</v>
      </c>
      <c r="AA329" s="1">
        <f t="shared" si="153"/>
        <v>5432.58</v>
      </c>
      <c r="AB329" s="91"/>
      <c r="AC329" s="92"/>
      <c r="AD329" s="101">
        <f t="shared" si="154"/>
        <v>50094</v>
      </c>
      <c r="AE329" s="103">
        <f t="shared" si="155"/>
        <v>0</v>
      </c>
      <c r="AG329" s="1">
        <f t="shared" si="145"/>
        <v>0</v>
      </c>
      <c r="AH329" s="1">
        <f t="shared" si="160"/>
        <v>0</v>
      </c>
      <c r="AI329" s="1">
        <f t="shared" si="156"/>
        <v>5432.58</v>
      </c>
      <c r="AJ329" s="20">
        <f t="shared" si="158"/>
        <v>0</v>
      </c>
      <c r="AK329" s="100">
        <f t="shared" si="161"/>
        <v>0</v>
      </c>
      <c r="AL329" s="100">
        <f t="shared" si="162"/>
        <v>0</v>
      </c>
      <c r="AN329" s="100">
        <f t="shared" si="163"/>
        <v>4667.3480283298986</v>
      </c>
      <c r="AO329" s="20">
        <f t="shared" si="164"/>
        <v>0</v>
      </c>
      <c r="AQ329" s="109">
        <f t="shared" si="146"/>
        <v>0</v>
      </c>
      <c r="AU329" s="109">
        <f t="shared" si="147"/>
        <v>26.357894534347221</v>
      </c>
      <c r="AV329" s="101">
        <f t="shared" si="142"/>
        <v>50124</v>
      </c>
      <c r="AW329" s="99">
        <f t="shared" si="139"/>
        <v>0</v>
      </c>
      <c r="AX329" s="1">
        <f t="shared" si="148"/>
        <v>0</v>
      </c>
      <c r="AY329" s="29">
        <f t="shared" si="149"/>
        <v>0</v>
      </c>
      <c r="AZ329" s="1">
        <f t="shared" si="150"/>
        <v>0</v>
      </c>
      <c r="CB329" s="20">
        <f t="shared" si="159"/>
        <v>0</v>
      </c>
      <c r="CC329" s="173">
        <f t="shared" si="151"/>
        <v>0</v>
      </c>
    </row>
    <row r="330" spans="2:81" x14ac:dyDescent="0.25">
      <c r="B330" s="41"/>
      <c r="C330" s="42"/>
      <c r="D330" s="43"/>
      <c r="E330" s="44"/>
      <c r="F330" s="44"/>
      <c r="G330" s="45"/>
      <c r="H330" s="81" t="str">
        <f t="shared" si="140"/>
        <v/>
      </c>
      <c r="J330" s="9"/>
      <c r="K330" s="10"/>
      <c r="L330" s="17"/>
      <c r="M330" s="23"/>
      <c r="N330" s="23"/>
      <c r="O330" s="23"/>
      <c r="P330" s="23"/>
      <c r="Q330" s="1">
        <f t="shared" si="152"/>
        <v>0.60744618579017706</v>
      </c>
      <c r="R330" s="12">
        <f t="shared" ca="1" si="166"/>
        <v>9002</v>
      </c>
      <c r="S330" s="88">
        <f t="shared" si="143"/>
        <v>0</v>
      </c>
      <c r="T330" s="19">
        <f t="shared" si="144"/>
        <v>0</v>
      </c>
      <c r="U330" s="19">
        <f t="shared" si="165"/>
        <v>0</v>
      </c>
      <c r="V330" s="19">
        <f t="shared" si="157"/>
        <v>0</v>
      </c>
      <c r="W330" s="20">
        <f t="shared" ca="1" si="167"/>
        <v>0</v>
      </c>
      <c r="X330" s="19">
        <f t="shared" ca="1" si="168"/>
        <v>0</v>
      </c>
      <c r="Y330" s="19">
        <f t="shared" ca="1" si="169"/>
        <v>0</v>
      </c>
      <c r="Z330" s="20">
        <f t="shared" ca="1" si="170"/>
        <v>0</v>
      </c>
      <c r="AA330" s="1">
        <f t="shared" si="153"/>
        <v>5432.58</v>
      </c>
      <c r="AB330" s="93"/>
      <c r="AC330" s="94"/>
      <c r="AD330" s="101">
        <f t="shared" si="154"/>
        <v>50124</v>
      </c>
      <c r="AE330" s="103">
        <f t="shared" si="155"/>
        <v>0</v>
      </c>
      <c r="AG330" s="1">
        <f t="shared" si="145"/>
        <v>0</v>
      </c>
      <c r="AH330" s="1">
        <f t="shared" si="160"/>
        <v>0</v>
      </c>
      <c r="AI330" s="1">
        <f t="shared" si="156"/>
        <v>5432.58</v>
      </c>
      <c r="AJ330" s="20">
        <f t="shared" si="158"/>
        <v>0</v>
      </c>
      <c r="AK330" s="100">
        <f t="shared" si="161"/>
        <v>0</v>
      </c>
      <c r="AL330" s="100">
        <f t="shared" si="162"/>
        <v>0</v>
      </c>
      <c r="AN330" s="100">
        <f t="shared" si="163"/>
        <v>4664.9865880718253</v>
      </c>
      <c r="AO330" s="20">
        <f t="shared" si="164"/>
        <v>0</v>
      </c>
      <c r="AQ330" s="109">
        <f t="shared" si="146"/>
        <v>0</v>
      </c>
      <c r="AU330" s="109">
        <f t="shared" si="147"/>
        <v>26.355581100006219</v>
      </c>
      <c r="AV330" s="101">
        <f t="shared" si="142"/>
        <v>50154</v>
      </c>
      <c r="AW330" s="99">
        <f t="shared" si="139"/>
        <v>0</v>
      </c>
      <c r="AX330" s="1">
        <f t="shared" si="148"/>
        <v>0</v>
      </c>
      <c r="AY330" s="29">
        <f t="shared" si="149"/>
        <v>0</v>
      </c>
      <c r="AZ330" s="1">
        <f t="shared" si="150"/>
        <v>0</v>
      </c>
      <c r="CB330" s="20">
        <f t="shared" si="159"/>
        <v>0</v>
      </c>
      <c r="CC330" s="173">
        <f t="shared" si="151"/>
        <v>0</v>
      </c>
    </row>
    <row r="331" spans="2:81" x14ac:dyDescent="0.25">
      <c r="B331" s="41"/>
      <c r="C331" s="42"/>
      <c r="D331" s="43"/>
      <c r="E331" s="44"/>
      <c r="F331" s="44"/>
      <c r="G331" s="45"/>
      <c r="H331" s="81" t="str">
        <f t="shared" si="140"/>
        <v/>
      </c>
      <c r="J331" s="7"/>
      <c r="K331" s="8"/>
      <c r="L331" s="16"/>
      <c r="M331" s="22"/>
      <c r="N331" s="22"/>
      <c r="O331" s="22"/>
      <c r="P331" s="22"/>
      <c r="Q331" s="1">
        <f t="shared" si="152"/>
        <v>0.60744618579017706</v>
      </c>
      <c r="R331" s="12">
        <f t="shared" ca="1" si="166"/>
        <v>9032</v>
      </c>
      <c r="S331" s="88">
        <f t="shared" si="143"/>
        <v>0</v>
      </c>
      <c r="T331" s="19">
        <f t="shared" si="144"/>
        <v>0</v>
      </c>
      <c r="U331" s="19">
        <f t="shared" si="165"/>
        <v>0</v>
      </c>
      <c r="V331" s="19">
        <f t="shared" si="157"/>
        <v>0</v>
      </c>
      <c r="W331" s="20">
        <f t="shared" ca="1" si="167"/>
        <v>0</v>
      </c>
      <c r="X331" s="19">
        <f t="shared" ca="1" si="168"/>
        <v>0</v>
      </c>
      <c r="Y331" s="19">
        <f t="shared" ca="1" si="169"/>
        <v>0</v>
      </c>
      <c r="Z331" s="20">
        <f t="shared" ca="1" si="170"/>
        <v>0</v>
      </c>
      <c r="AA331" s="1">
        <f t="shared" si="153"/>
        <v>5432.58</v>
      </c>
      <c r="AB331" s="91"/>
      <c r="AC331" s="92"/>
      <c r="AD331" s="101">
        <f t="shared" si="154"/>
        <v>50154</v>
      </c>
      <c r="AE331" s="103">
        <f t="shared" si="155"/>
        <v>0</v>
      </c>
      <c r="AG331" s="1">
        <f t="shared" si="145"/>
        <v>0</v>
      </c>
      <c r="AH331" s="1">
        <f t="shared" si="160"/>
        <v>0</v>
      </c>
      <c r="AI331" s="1">
        <f t="shared" si="156"/>
        <v>5432.58</v>
      </c>
      <c r="AJ331" s="20">
        <f t="shared" si="158"/>
        <v>0</v>
      </c>
      <c r="AK331" s="100">
        <f t="shared" si="161"/>
        <v>0</v>
      </c>
      <c r="AL331" s="100">
        <f t="shared" si="162"/>
        <v>0</v>
      </c>
      <c r="AN331" s="100">
        <f t="shared" si="163"/>
        <v>4662.6263425821862</v>
      </c>
      <c r="AO331" s="20">
        <f t="shared" si="164"/>
        <v>0</v>
      </c>
      <c r="AQ331" s="109">
        <f t="shared" si="146"/>
        <v>0</v>
      </c>
      <c r="AU331" s="109">
        <f t="shared" si="147"/>
        <v>26.353267868715527</v>
      </c>
      <c r="AV331" s="101">
        <f t="shared" si="142"/>
        <v>50184</v>
      </c>
      <c r="AW331" s="99">
        <f t="shared" si="139"/>
        <v>0</v>
      </c>
      <c r="AX331" s="1">
        <f t="shared" si="148"/>
        <v>0</v>
      </c>
      <c r="AY331" s="29">
        <f t="shared" si="149"/>
        <v>0</v>
      </c>
      <c r="AZ331" s="1">
        <f t="shared" si="150"/>
        <v>0</v>
      </c>
      <c r="CB331" s="20">
        <f t="shared" si="159"/>
        <v>0</v>
      </c>
      <c r="CC331" s="173">
        <f t="shared" si="151"/>
        <v>0</v>
      </c>
    </row>
    <row r="332" spans="2:81" x14ac:dyDescent="0.25">
      <c r="B332" s="41"/>
      <c r="C332" s="42"/>
      <c r="D332" s="43"/>
      <c r="E332" s="44"/>
      <c r="F332" s="44"/>
      <c r="G332" s="45"/>
      <c r="H332" s="81" t="str">
        <f t="shared" si="140"/>
        <v/>
      </c>
      <c r="J332" s="9"/>
      <c r="K332" s="10"/>
      <c r="L332" s="17"/>
      <c r="M332" s="23"/>
      <c r="N332" s="23"/>
      <c r="O332" s="23"/>
      <c r="P332" s="23"/>
      <c r="Q332" s="1">
        <f t="shared" si="152"/>
        <v>0.60744618579017706</v>
      </c>
      <c r="R332" s="12">
        <f t="shared" ca="1" si="166"/>
        <v>9062</v>
      </c>
      <c r="S332" s="88">
        <f t="shared" si="143"/>
        <v>0</v>
      </c>
      <c r="T332" s="19">
        <f t="shared" si="144"/>
        <v>0</v>
      </c>
      <c r="U332" s="19">
        <f t="shared" si="165"/>
        <v>0</v>
      </c>
      <c r="V332" s="19">
        <f t="shared" si="157"/>
        <v>0</v>
      </c>
      <c r="W332" s="20">
        <f t="shared" ca="1" si="167"/>
        <v>0</v>
      </c>
      <c r="X332" s="19">
        <f t="shared" ca="1" si="168"/>
        <v>0</v>
      </c>
      <c r="Y332" s="19">
        <f t="shared" ca="1" si="169"/>
        <v>0</v>
      </c>
      <c r="Z332" s="20">
        <f t="shared" ca="1" si="170"/>
        <v>0</v>
      </c>
      <c r="AA332" s="1">
        <f t="shared" si="153"/>
        <v>5432.58</v>
      </c>
      <c r="AB332" s="93"/>
      <c r="AC332" s="94"/>
      <c r="AD332" s="101">
        <f t="shared" si="154"/>
        <v>50184</v>
      </c>
      <c r="AE332" s="103">
        <f t="shared" si="155"/>
        <v>0</v>
      </c>
      <c r="AG332" s="1">
        <f t="shared" si="145"/>
        <v>0</v>
      </c>
      <c r="AH332" s="1">
        <f t="shared" si="160"/>
        <v>0</v>
      </c>
      <c r="AI332" s="1">
        <f t="shared" si="156"/>
        <v>5432.58</v>
      </c>
      <c r="AJ332" s="20">
        <f t="shared" si="158"/>
        <v>0</v>
      </c>
      <c r="AK332" s="100">
        <f t="shared" si="161"/>
        <v>0</v>
      </c>
      <c r="AL332" s="100">
        <f t="shared" si="162"/>
        <v>0</v>
      </c>
      <c r="AN332" s="100">
        <f t="shared" si="163"/>
        <v>4660.2672912564885</v>
      </c>
      <c r="AO332" s="20">
        <f t="shared" si="164"/>
        <v>0</v>
      </c>
      <c r="AQ332" s="109">
        <f t="shared" si="146"/>
        <v>0</v>
      </c>
      <c r="AU332" s="109">
        <f t="shared" si="147"/>
        <v>26.350954840457312</v>
      </c>
      <c r="AV332" s="101">
        <f t="shared" si="142"/>
        <v>50214</v>
      </c>
      <c r="AW332" s="99">
        <f t="shared" si="139"/>
        <v>0</v>
      </c>
      <c r="AX332" s="1">
        <f t="shared" si="148"/>
        <v>0</v>
      </c>
      <c r="AY332" s="29">
        <f t="shared" si="149"/>
        <v>0</v>
      </c>
      <c r="AZ332" s="1">
        <f t="shared" si="150"/>
        <v>0</v>
      </c>
      <c r="CB332" s="20">
        <f t="shared" si="159"/>
        <v>0</v>
      </c>
      <c r="CC332" s="173">
        <f t="shared" si="151"/>
        <v>0</v>
      </c>
    </row>
    <row r="333" spans="2:81" x14ac:dyDescent="0.25">
      <c r="B333" s="41"/>
      <c r="C333" s="42"/>
      <c r="D333" s="43"/>
      <c r="E333" s="44"/>
      <c r="F333" s="44"/>
      <c r="G333" s="45"/>
      <c r="H333" s="81" t="str">
        <f t="shared" si="140"/>
        <v/>
      </c>
      <c r="J333" s="7"/>
      <c r="K333" s="8"/>
      <c r="L333" s="16"/>
      <c r="M333" s="22"/>
      <c r="N333" s="22"/>
      <c r="O333" s="22"/>
      <c r="P333" s="22"/>
      <c r="Q333" s="1">
        <f t="shared" si="152"/>
        <v>0.60744618579017706</v>
      </c>
      <c r="R333" s="12">
        <f t="shared" ca="1" si="166"/>
        <v>9092</v>
      </c>
      <c r="S333" s="88">
        <f t="shared" si="143"/>
        <v>0</v>
      </c>
      <c r="T333" s="19">
        <f t="shared" si="144"/>
        <v>0</v>
      </c>
      <c r="U333" s="19">
        <f t="shared" si="165"/>
        <v>0</v>
      </c>
      <c r="V333" s="19">
        <f t="shared" si="157"/>
        <v>0</v>
      </c>
      <c r="W333" s="20">
        <f t="shared" ca="1" si="167"/>
        <v>0</v>
      </c>
      <c r="X333" s="19">
        <f t="shared" ca="1" si="168"/>
        <v>0</v>
      </c>
      <c r="Y333" s="19">
        <f t="shared" ca="1" si="169"/>
        <v>0</v>
      </c>
      <c r="Z333" s="20">
        <f t="shared" ca="1" si="170"/>
        <v>0</v>
      </c>
      <c r="AA333" s="1">
        <f t="shared" si="153"/>
        <v>5432.58</v>
      </c>
      <c r="AB333" s="91"/>
      <c r="AC333" s="92"/>
      <c r="AD333" s="101">
        <f t="shared" si="154"/>
        <v>50214</v>
      </c>
      <c r="AE333" s="103">
        <f t="shared" si="155"/>
        <v>0</v>
      </c>
      <c r="AG333" s="1">
        <f t="shared" si="145"/>
        <v>0</v>
      </c>
      <c r="AH333" s="1">
        <f t="shared" si="160"/>
        <v>0</v>
      </c>
      <c r="AI333" s="1">
        <f t="shared" si="156"/>
        <v>5432.58</v>
      </c>
      <c r="AJ333" s="20">
        <f t="shared" si="158"/>
        <v>0</v>
      </c>
      <c r="AK333" s="100">
        <f t="shared" si="161"/>
        <v>0</v>
      </c>
      <c r="AL333" s="100">
        <f t="shared" si="162"/>
        <v>0</v>
      </c>
      <c r="AN333" s="100">
        <f t="shared" si="163"/>
        <v>4657.9094334905467</v>
      </c>
      <c r="AO333" s="20">
        <f t="shared" si="164"/>
        <v>0</v>
      </c>
      <c r="AQ333" s="109">
        <f t="shared" si="146"/>
        <v>0</v>
      </c>
      <c r="AU333" s="109">
        <f t="shared" si="147"/>
        <v>26.348642015213755</v>
      </c>
      <c r="AV333" s="101">
        <f t="shared" si="142"/>
        <v>50244</v>
      </c>
      <c r="AW333" s="99">
        <f t="shared" si="139"/>
        <v>0</v>
      </c>
      <c r="AX333" s="1">
        <f t="shared" si="148"/>
        <v>0</v>
      </c>
      <c r="AY333" s="29">
        <f t="shared" si="149"/>
        <v>0</v>
      </c>
      <c r="AZ333" s="1">
        <f t="shared" si="150"/>
        <v>0</v>
      </c>
      <c r="CB333" s="20">
        <f t="shared" si="159"/>
        <v>0</v>
      </c>
      <c r="CC333" s="173">
        <f t="shared" si="151"/>
        <v>0</v>
      </c>
    </row>
    <row r="334" spans="2:81" x14ac:dyDescent="0.25">
      <c r="B334" s="41"/>
      <c r="C334" s="42"/>
      <c r="D334" s="43"/>
      <c r="E334" s="44"/>
      <c r="F334" s="44"/>
      <c r="G334" s="45"/>
      <c r="H334" s="81" t="str">
        <f t="shared" si="140"/>
        <v/>
      </c>
      <c r="J334" s="9"/>
      <c r="K334" s="10"/>
      <c r="L334" s="17"/>
      <c r="M334" s="23"/>
      <c r="N334" s="23"/>
      <c r="O334" s="23"/>
      <c r="P334" s="23"/>
      <c r="Q334" s="1">
        <f t="shared" si="152"/>
        <v>0.60744618579017706</v>
      </c>
      <c r="R334" s="12">
        <f t="shared" ca="1" si="166"/>
        <v>9122</v>
      </c>
      <c r="S334" s="88">
        <f t="shared" si="143"/>
        <v>0</v>
      </c>
      <c r="T334" s="19">
        <f t="shared" si="144"/>
        <v>0</v>
      </c>
      <c r="U334" s="19">
        <f t="shared" si="165"/>
        <v>0</v>
      </c>
      <c r="V334" s="19">
        <f t="shared" si="157"/>
        <v>0</v>
      </c>
      <c r="W334" s="20">
        <f t="shared" ca="1" si="167"/>
        <v>0</v>
      </c>
      <c r="X334" s="19">
        <f t="shared" ca="1" si="168"/>
        <v>0</v>
      </c>
      <c r="Y334" s="19">
        <f t="shared" ca="1" si="169"/>
        <v>0</v>
      </c>
      <c r="Z334" s="20">
        <f t="shared" ca="1" si="170"/>
        <v>0</v>
      </c>
      <c r="AA334" s="1">
        <f t="shared" si="153"/>
        <v>5432.58</v>
      </c>
      <c r="AB334" s="93"/>
      <c r="AC334" s="94"/>
      <c r="AD334" s="101">
        <f t="shared" si="154"/>
        <v>50244</v>
      </c>
      <c r="AE334" s="103">
        <f t="shared" si="155"/>
        <v>0</v>
      </c>
      <c r="AG334" s="1">
        <f t="shared" si="145"/>
        <v>0</v>
      </c>
      <c r="AH334" s="1">
        <f t="shared" si="160"/>
        <v>0</v>
      </c>
      <c r="AI334" s="1">
        <f t="shared" si="156"/>
        <v>5432.58</v>
      </c>
      <c r="AJ334" s="20">
        <f t="shared" si="158"/>
        <v>0</v>
      </c>
      <c r="AK334" s="100">
        <f t="shared" si="161"/>
        <v>0</v>
      </c>
      <c r="AL334" s="100">
        <f t="shared" si="162"/>
        <v>0</v>
      </c>
      <c r="AN334" s="100">
        <f t="shared" si="163"/>
        <v>4655.5527686804789</v>
      </c>
      <c r="AO334" s="20">
        <f t="shared" si="164"/>
        <v>0</v>
      </c>
      <c r="AQ334" s="109">
        <f t="shared" si="146"/>
        <v>0</v>
      </c>
      <c r="AU334" s="109">
        <f t="shared" si="147"/>
        <v>26.346329392967046</v>
      </c>
      <c r="AV334" s="101">
        <f t="shared" si="142"/>
        <v>50274</v>
      </c>
      <c r="AW334" s="99">
        <f t="shared" si="139"/>
        <v>0</v>
      </c>
      <c r="AX334" s="1">
        <f t="shared" si="148"/>
        <v>0</v>
      </c>
      <c r="AY334" s="29">
        <f t="shared" si="149"/>
        <v>0</v>
      </c>
      <c r="AZ334" s="1">
        <f t="shared" si="150"/>
        <v>0</v>
      </c>
      <c r="CB334" s="20">
        <f t="shared" si="159"/>
        <v>0</v>
      </c>
      <c r="CC334" s="173">
        <f t="shared" si="151"/>
        <v>0</v>
      </c>
    </row>
    <row r="335" spans="2:81" x14ac:dyDescent="0.25">
      <c r="B335" s="41"/>
      <c r="C335" s="42"/>
      <c r="D335" s="43"/>
      <c r="E335" s="44"/>
      <c r="F335" s="44"/>
      <c r="G335" s="45"/>
      <c r="H335" s="81" t="str">
        <f t="shared" si="140"/>
        <v/>
      </c>
      <c r="J335" s="7"/>
      <c r="K335" s="8"/>
      <c r="L335" s="16"/>
      <c r="M335" s="22"/>
      <c r="N335" s="22"/>
      <c r="O335" s="22"/>
      <c r="P335" s="22"/>
      <c r="Q335" s="1">
        <f t="shared" si="152"/>
        <v>0.60744618579017706</v>
      </c>
      <c r="R335" s="12">
        <f t="shared" ca="1" si="166"/>
        <v>9152</v>
      </c>
      <c r="S335" s="88">
        <f t="shared" si="143"/>
        <v>0</v>
      </c>
      <c r="T335" s="19">
        <f t="shared" si="144"/>
        <v>0</v>
      </c>
      <c r="U335" s="19">
        <f t="shared" si="165"/>
        <v>0</v>
      </c>
      <c r="V335" s="19">
        <f t="shared" si="157"/>
        <v>0</v>
      </c>
      <c r="W335" s="20">
        <f t="shared" ca="1" si="167"/>
        <v>0</v>
      </c>
      <c r="X335" s="19">
        <f t="shared" ca="1" si="168"/>
        <v>0</v>
      </c>
      <c r="Y335" s="19">
        <f t="shared" ca="1" si="169"/>
        <v>0</v>
      </c>
      <c r="Z335" s="20">
        <f t="shared" ca="1" si="170"/>
        <v>0</v>
      </c>
      <c r="AA335" s="1">
        <f t="shared" si="153"/>
        <v>5432.58</v>
      </c>
      <c r="AB335" s="91"/>
      <c r="AC335" s="92"/>
      <c r="AD335" s="101">
        <f t="shared" si="154"/>
        <v>50274</v>
      </c>
      <c r="AE335" s="103">
        <f t="shared" si="155"/>
        <v>0</v>
      </c>
      <c r="AG335" s="1">
        <f t="shared" si="145"/>
        <v>0</v>
      </c>
      <c r="AH335" s="1">
        <f t="shared" si="160"/>
        <v>0</v>
      </c>
      <c r="AI335" s="1">
        <f t="shared" si="156"/>
        <v>5432.58</v>
      </c>
      <c r="AJ335" s="20">
        <f t="shared" si="158"/>
        <v>0</v>
      </c>
      <c r="AK335" s="100">
        <f t="shared" si="161"/>
        <v>0</v>
      </c>
      <c r="AL335" s="100">
        <f t="shared" si="162"/>
        <v>0</v>
      </c>
      <c r="AN335" s="100">
        <f t="shared" si="163"/>
        <v>4653.1972962227137</v>
      </c>
      <c r="AO335" s="20">
        <f t="shared" si="164"/>
        <v>0</v>
      </c>
      <c r="AQ335" s="109">
        <f t="shared" si="146"/>
        <v>0</v>
      </c>
      <c r="AU335" s="109">
        <f t="shared" si="147"/>
        <v>26.344016973699357</v>
      </c>
      <c r="AV335" s="101">
        <f t="shared" si="142"/>
        <v>50304</v>
      </c>
      <c r="AW335" s="99">
        <f t="shared" si="139"/>
        <v>0</v>
      </c>
      <c r="AX335" s="1">
        <f t="shared" si="148"/>
        <v>0</v>
      </c>
      <c r="AY335" s="29">
        <f t="shared" si="149"/>
        <v>0</v>
      </c>
      <c r="AZ335" s="1">
        <f t="shared" si="150"/>
        <v>0</v>
      </c>
      <c r="CB335" s="20">
        <f t="shared" si="159"/>
        <v>0</v>
      </c>
      <c r="CC335" s="173">
        <f t="shared" si="151"/>
        <v>0</v>
      </c>
    </row>
    <row r="336" spans="2:81" x14ac:dyDescent="0.25">
      <c r="B336" s="41"/>
      <c r="C336" s="42"/>
      <c r="D336" s="43"/>
      <c r="E336" s="44"/>
      <c r="F336" s="44"/>
      <c r="G336" s="45"/>
      <c r="H336" s="81" t="str">
        <f t="shared" si="140"/>
        <v/>
      </c>
      <c r="J336" s="9"/>
      <c r="K336" s="10"/>
      <c r="L336" s="17"/>
      <c r="M336" s="23"/>
      <c r="N336" s="23"/>
      <c r="O336" s="23"/>
      <c r="P336" s="23"/>
      <c r="Q336" s="1">
        <f t="shared" si="152"/>
        <v>0.60744618579017706</v>
      </c>
      <c r="R336" s="12">
        <f t="shared" ca="1" si="166"/>
        <v>9182</v>
      </c>
      <c r="S336" s="88">
        <f t="shared" si="143"/>
        <v>0</v>
      </c>
      <c r="T336" s="19">
        <f t="shared" si="144"/>
        <v>0</v>
      </c>
      <c r="U336" s="19">
        <f t="shared" si="165"/>
        <v>0</v>
      </c>
      <c r="V336" s="19">
        <f t="shared" si="157"/>
        <v>0</v>
      </c>
      <c r="W336" s="20">
        <f t="shared" ca="1" si="167"/>
        <v>0</v>
      </c>
      <c r="X336" s="19">
        <f t="shared" ca="1" si="168"/>
        <v>0</v>
      </c>
      <c r="Y336" s="19">
        <f t="shared" ca="1" si="169"/>
        <v>0</v>
      </c>
      <c r="Z336" s="20">
        <f t="shared" ca="1" si="170"/>
        <v>0</v>
      </c>
      <c r="AA336" s="1">
        <f t="shared" si="153"/>
        <v>5432.58</v>
      </c>
      <c r="AB336" s="93"/>
      <c r="AC336" s="94"/>
      <c r="AD336" s="101">
        <f t="shared" si="154"/>
        <v>50304</v>
      </c>
      <c r="AE336" s="103">
        <f t="shared" si="155"/>
        <v>0</v>
      </c>
      <c r="AG336" s="1">
        <f t="shared" si="145"/>
        <v>0</v>
      </c>
      <c r="AH336" s="1">
        <f t="shared" si="160"/>
        <v>0</v>
      </c>
      <c r="AI336" s="1">
        <f t="shared" si="156"/>
        <v>5432.58</v>
      </c>
      <c r="AJ336" s="20">
        <f t="shared" si="158"/>
        <v>0</v>
      </c>
      <c r="AK336" s="100">
        <f t="shared" si="161"/>
        <v>0</v>
      </c>
      <c r="AL336" s="100">
        <f t="shared" si="162"/>
        <v>0</v>
      </c>
      <c r="AN336" s="100">
        <f t="shared" si="163"/>
        <v>4650.8430155139777</v>
      </c>
      <c r="AO336" s="20">
        <f t="shared" si="164"/>
        <v>0</v>
      </c>
      <c r="AQ336" s="109">
        <f t="shared" si="146"/>
        <v>0</v>
      </c>
      <c r="AU336" s="109">
        <f t="shared" si="147"/>
        <v>26.341704757392883</v>
      </c>
      <c r="AV336" s="101">
        <f t="shared" si="142"/>
        <v>50334</v>
      </c>
      <c r="AW336" s="99">
        <f t="shared" si="139"/>
        <v>0</v>
      </c>
      <c r="AX336" s="1">
        <f t="shared" si="148"/>
        <v>0</v>
      </c>
      <c r="AY336" s="29">
        <f t="shared" si="149"/>
        <v>0</v>
      </c>
      <c r="AZ336" s="1">
        <f t="shared" si="150"/>
        <v>0</v>
      </c>
      <c r="CB336" s="20">
        <f t="shared" si="159"/>
        <v>0</v>
      </c>
      <c r="CC336" s="173">
        <f t="shared" si="151"/>
        <v>0</v>
      </c>
    </row>
    <row r="337" spans="2:81" x14ac:dyDescent="0.25">
      <c r="B337" s="41"/>
      <c r="C337" s="42"/>
      <c r="D337" s="43"/>
      <c r="E337" s="44"/>
      <c r="F337" s="44"/>
      <c r="G337" s="45"/>
      <c r="H337" s="81" t="str">
        <f t="shared" si="140"/>
        <v/>
      </c>
      <c r="J337" s="7"/>
      <c r="K337" s="8"/>
      <c r="L337" s="16"/>
      <c r="M337" s="22"/>
      <c r="N337" s="22"/>
      <c r="O337" s="22"/>
      <c r="P337" s="22"/>
      <c r="Q337" s="1">
        <f t="shared" si="152"/>
        <v>0.60744618579017706</v>
      </c>
      <c r="R337" s="12">
        <f t="shared" ca="1" si="166"/>
        <v>9212</v>
      </c>
      <c r="S337" s="88">
        <f t="shared" si="143"/>
        <v>0</v>
      </c>
      <c r="T337" s="19">
        <f t="shared" si="144"/>
        <v>0</v>
      </c>
      <c r="U337" s="19">
        <f t="shared" si="165"/>
        <v>0</v>
      </c>
      <c r="V337" s="19">
        <f t="shared" si="157"/>
        <v>0</v>
      </c>
      <c r="W337" s="20">
        <f t="shared" ca="1" si="167"/>
        <v>0</v>
      </c>
      <c r="X337" s="19">
        <f t="shared" ca="1" si="168"/>
        <v>0</v>
      </c>
      <c r="Y337" s="19">
        <f t="shared" ca="1" si="169"/>
        <v>0</v>
      </c>
      <c r="Z337" s="20">
        <f t="shared" ca="1" si="170"/>
        <v>0</v>
      </c>
      <c r="AA337" s="1">
        <f t="shared" si="153"/>
        <v>5432.58</v>
      </c>
      <c r="AB337" s="91"/>
      <c r="AC337" s="92"/>
      <c r="AD337" s="101">
        <f t="shared" si="154"/>
        <v>50334</v>
      </c>
      <c r="AE337" s="103">
        <f t="shared" si="155"/>
        <v>0</v>
      </c>
      <c r="AG337" s="1">
        <f t="shared" si="145"/>
        <v>0</v>
      </c>
      <c r="AH337" s="1">
        <f t="shared" si="160"/>
        <v>0</v>
      </c>
      <c r="AI337" s="1">
        <f t="shared" si="156"/>
        <v>5432.58</v>
      </c>
      <c r="AJ337" s="20">
        <f t="shared" si="158"/>
        <v>0</v>
      </c>
      <c r="AK337" s="100">
        <f t="shared" si="161"/>
        <v>0</v>
      </c>
      <c r="AL337" s="100">
        <f t="shared" si="162"/>
        <v>0</v>
      </c>
      <c r="AN337" s="100">
        <f t="shared" si="163"/>
        <v>4648.4899259513068</v>
      </c>
      <c r="AO337" s="20">
        <f t="shared" si="164"/>
        <v>0</v>
      </c>
      <c r="AQ337" s="109">
        <f t="shared" si="146"/>
        <v>0</v>
      </c>
      <c r="AU337" s="109">
        <f t="shared" si="147"/>
        <v>26.339392744029798</v>
      </c>
      <c r="AV337" s="101">
        <f t="shared" si="142"/>
        <v>50364</v>
      </c>
      <c r="AW337" s="99">
        <f t="shared" ref="AW337:AW400" si="171">IF(AJ338&lt;0,0,AJ338)</f>
        <v>0</v>
      </c>
      <c r="AX337" s="1">
        <f t="shared" si="148"/>
        <v>0</v>
      </c>
      <c r="AY337" s="29">
        <f t="shared" si="149"/>
        <v>0</v>
      </c>
      <c r="AZ337" s="1">
        <f t="shared" si="150"/>
        <v>0</v>
      </c>
      <c r="CB337" s="20">
        <f t="shared" si="159"/>
        <v>0</v>
      </c>
      <c r="CC337" s="173">
        <f t="shared" si="151"/>
        <v>0</v>
      </c>
    </row>
    <row r="338" spans="2:81" x14ac:dyDescent="0.25">
      <c r="B338" s="41"/>
      <c r="C338" s="42"/>
      <c r="D338" s="43"/>
      <c r="E338" s="44"/>
      <c r="F338" s="44"/>
      <c r="G338" s="45"/>
      <c r="H338" s="81" t="str">
        <f t="shared" si="140"/>
        <v/>
      </c>
      <c r="J338" s="9"/>
      <c r="K338" s="10"/>
      <c r="L338" s="17"/>
      <c r="M338" s="23"/>
      <c r="N338" s="23"/>
      <c r="O338" s="23"/>
      <c r="P338" s="23"/>
      <c r="Q338" s="1">
        <f t="shared" si="152"/>
        <v>0.60744618579017706</v>
      </c>
      <c r="R338" s="12">
        <f t="shared" ca="1" si="166"/>
        <v>9242</v>
      </c>
      <c r="S338" s="88">
        <f t="shared" si="143"/>
        <v>0</v>
      </c>
      <c r="T338" s="19">
        <f t="shared" si="144"/>
        <v>0</v>
      </c>
      <c r="U338" s="19">
        <f t="shared" si="165"/>
        <v>0</v>
      </c>
      <c r="V338" s="19">
        <f t="shared" si="157"/>
        <v>0</v>
      </c>
      <c r="W338" s="20">
        <f t="shared" ca="1" si="167"/>
        <v>0</v>
      </c>
      <c r="X338" s="19">
        <f t="shared" ca="1" si="168"/>
        <v>0</v>
      </c>
      <c r="Y338" s="19">
        <f t="shared" ca="1" si="169"/>
        <v>0</v>
      </c>
      <c r="Z338" s="20">
        <f t="shared" ca="1" si="170"/>
        <v>0</v>
      </c>
      <c r="AA338" s="1">
        <f t="shared" si="153"/>
        <v>5432.58</v>
      </c>
      <c r="AB338" s="93"/>
      <c r="AC338" s="94"/>
      <c r="AD338" s="101">
        <f t="shared" si="154"/>
        <v>50364</v>
      </c>
      <c r="AE338" s="103">
        <f t="shared" si="155"/>
        <v>0</v>
      </c>
      <c r="AG338" s="1">
        <f t="shared" si="145"/>
        <v>0</v>
      </c>
      <c r="AH338" s="1">
        <f t="shared" si="160"/>
        <v>0</v>
      </c>
      <c r="AI338" s="1">
        <f t="shared" si="156"/>
        <v>5432.58</v>
      </c>
      <c r="AJ338" s="20">
        <f t="shared" si="158"/>
        <v>0</v>
      </c>
      <c r="AK338" s="100">
        <f t="shared" si="161"/>
        <v>0</v>
      </c>
      <c r="AL338" s="100">
        <f t="shared" si="162"/>
        <v>0</v>
      </c>
      <c r="AN338" s="100">
        <f t="shared" si="163"/>
        <v>4646.1380269320452</v>
      </c>
      <c r="AO338" s="20">
        <f t="shared" si="164"/>
        <v>0</v>
      </c>
      <c r="AQ338" s="109">
        <f t="shared" si="146"/>
        <v>0</v>
      </c>
      <c r="AU338" s="109">
        <f t="shared" si="147"/>
        <v>26.33708093359229</v>
      </c>
      <c r="AV338" s="101">
        <f t="shared" si="142"/>
        <v>50394</v>
      </c>
      <c r="AW338" s="99">
        <f t="shared" si="171"/>
        <v>0</v>
      </c>
      <c r="AX338" s="1">
        <f t="shared" si="148"/>
        <v>0</v>
      </c>
      <c r="AY338" s="29">
        <f t="shared" si="149"/>
        <v>0</v>
      </c>
      <c r="AZ338" s="1">
        <f t="shared" si="150"/>
        <v>0</v>
      </c>
      <c r="CB338" s="20">
        <f t="shared" si="159"/>
        <v>0</v>
      </c>
      <c r="CC338" s="173">
        <f t="shared" si="151"/>
        <v>0</v>
      </c>
    </row>
    <row r="339" spans="2:81" x14ac:dyDescent="0.25">
      <c r="B339" s="41"/>
      <c r="C339" s="42"/>
      <c r="D339" s="43"/>
      <c r="E339" s="44"/>
      <c r="F339" s="44"/>
      <c r="G339" s="45"/>
      <c r="H339" s="81" t="str">
        <f t="shared" si="140"/>
        <v/>
      </c>
      <c r="J339" s="7"/>
      <c r="K339" s="8"/>
      <c r="L339" s="16"/>
      <c r="M339" s="22"/>
      <c r="N339" s="22"/>
      <c r="O339" s="22"/>
      <c r="P339" s="22"/>
      <c r="Q339" s="1">
        <f t="shared" si="152"/>
        <v>0.60744618579017706</v>
      </c>
      <c r="R339" s="12">
        <f t="shared" ca="1" si="166"/>
        <v>9272</v>
      </c>
      <c r="S339" s="88">
        <f t="shared" si="143"/>
        <v>0</v>
      </c>
      <c r="T339" s="19">
        <f t="shared" si="144"/>
        <v>0</v>
      </c>
      <c r="U339" s="19">
        <f t="shared" si="165"/>
        <v>0</v>
      </c>
      <c r="V339" s="19">
        <f t="shared" si="157"/>
        <v>0</v>
      </c>
      <c r="W339" s="20">
        <f t="shared" ca="1" si="167"/>
        <v>0</v>
      </c>
      <c r="X339" s="19">
        <f t="shared" ca="1" si="168"/>
        <v>0</v>
      </c>
      <c r="Y339" s="19">
        <f t="shared" ca="1" si="169"/>
        <v>0</v>
      </c>
      <c r="Z339" s="20">
        <f t="shared" ca="1" si="170"/>
        <v>0</v>
      </c>
      <c r="AA339" s="1">
        <f t="shared" si="153"/>
        <v>5432.58</v>
      </c>
      <c r="AB339" s="91"/>
      <c r="AC339" s="92"/>
      <c r="AD339" s="101">
        <f t="shared" si="154"/>
        <v>50394</v>
      </c>
      <c r="AE339" s="103">
        <f t="shared" si="155"/>
        <v>0</v>
      </c>
      <c r="AG339" s="1">
        <f t="shared" si="145"/>
        <v>0</v>
      </c>
      <c r="AH339" s="1">
        <f t="shared" si="160"/>
        <v>0</v>
      </c>
      <c r="AI339" s="1">
        <f t="shared" si="156"/>
        <v>5432.58</v>
      </c>
      <c r="AJ339" s="20">
        <f t="shared" si="158"/>
        <v>0</v>
      </c>
      <c r="AK339" s="100">
        <f t="shared" si="161"/>
        <v>0</v>
      </c>
      <c r="AL339" s="100">
        <f t="shared" si="162"/>
        <v>0</v>
      </c>
      <c r="AN339" s="100">
        <f t="shared" si="163"/>
        <v>4643.7873178538348</v>
      </c>
      <c r="AO339" s="20">
        <f t="shared" si="164"/>
        <v>0</v>
      </c>
      <c r="AQ339" s="109">
        <f t="shared" si="146"/>
        <v>0</v>
      </c>
      <c r="AU339" s="109">
        <f t="shared" si="147"/>
        <v>26.334769326062567</v>
      </c>
      <c r="AV339" s="101">
        <f t="shared" si="142"/>
        <v>50424</v>
      </c>
      <c r="AW339" s="99">
        <f t="shared" si="171"/>
        <v>0</v>
      </c>
      <c r="AX339" s="1">
        <f t="shared" si="148"/>
        <v>0</v>
      </c>
      <c r="AY339" s="29">
        <f t="shared" si="149"/>
        <v>0</v>
      </c>
      <c r="AZ339" s="1">
        <f t="shared" si="150"/>
        <v>0</v>
      </c>
      <c r="CB339" s="20">
        <f t="shared" si="159"/>
        <v>0</v>
      </c>
      <c r="CC339" s="173">
        <f t="shared" si="151"/>
        <v>0</v>
      </c>
    </row>
    <row r="340" spans="2:81" x14ac:dyDescent="0.25">
      <c r="B340" s="41"/>
      <c r="C340" s="42"/>
      <c r="D340" s="43"/>
      <c r="E340" s="44"/>
      <c r="F340" s="44"/>
      <c r="G340" s="45"/>
      <c r="H340" s="81" t="str">
        <f t="shared" si="140"/>
        <v/>
      </c>
      <c r="J340" s="9"/>
      <c r="K340" s="10"/>
      <c r="L340" s="17"/>
      <c r="M340" s="23"/>
      <c r="N340" s="23"/>
      <c r="O340" s="23"/>
      <c r="P340" s="23"/>
      <c r="Q340" s="1">
        <f t="shared" si="152"/>
        <v>0.60744618579017706</v>
      </c>
      <c r="R340" s="12">
        <f t="shared" ca="1" si="166"/>
        <v>9302</v>
      </c>
      <c r="S340" s="88">
        <f t="shared" si="143"/>
        <v>0</v>
      </c>
      <c r="T340" s="19">
        <f t="shared" si="144"/>
        <v>0</v>
      </c>
      <c r="U340" s="19">
        <f t="shared" si="165"/>
        <v>0</v>
      </c>
      <c r="V340" s="19">
        <f t="shared" si="157"/>
        <v>0</v>
      </c>
      <c r="W340" s="20">
        <f t="shared" ca="1" si="167"/>
        <v>0</v>
      </c>
      <c r="X340" s="19">
        <f t="shared" ca="1" si="168"/>
        <v>0</v>
      </c>
      <c r="Y340" s="19">
        <f t="shared" ca="1" si="169"/>
        <v>0</v>
      </c>
      <c r="Z340" s="20">
        <f t="shared" ca="1" si="170"/>
        <v>0</v>
      </c>
      <c r="AA340" s="1">
        <f t="shared" si="153"/>
        <v>5432.58</v>
      </c>
      <c r="AB340" s="93"/>
      <c r="AC340" s="94"/>
      <c r="AD340" s="101">
        <f t="shared" si="154"/>
        <v>50424</v>
      </c>
      <c r="AE340" s="103">
        <f t="shared" si="155"/>
        <v>0</v>
      </c>
      <c r="AG340" s="1">
        <f t="shared" si="145"/>
        <v>0</v>
      </c>
      <c r="AH340" s="1">
        <f t="shared" si="160"/>
        <v>0</v>
      </c>
      <c r="AI340" s="1">
        <f t="shared" si="156"/>
        <v>5432.58</v>
      </c>
      <c r="AJ340" s="20">
        <f t="shared" si="158"/>
        <v>0</v>
      </c>
      <c r="AK340" s="100">
        <f t="shared" si="161"/>
        <v>0</v>
      </c>
      <c r="AL340" s="100">
        <f t="shared" si="162"/>
        <v>0</v>
      </c>
      <c r="AN340" s="100">
        <f t="shared" si="163"/>
        <v>4641.4377981146281</v>
      </c>
      <c r="AO340" s="20">
        <f t="shared" si="164"/>
        <v>0</v>
      </c>
      <c r="AQ340" s="109">
        <f t="shared" si="146"/>
        <v>0</v>
      </c>
      <c r="AU340" s="109">
        <f t="shared" si="147"/>
        <v>26.332457921422794</v>
      </c>
      <c r="AV340" s="101">
        <f t="shared" si="142"/>
        <v>50454</v>
      </c>
      <c r="AW340" s="99">
        <f t="shared" si="171"/>
        <v>0</v>
      </c>
      <c r="AX340" s="1">
        <f t="shared" si="148"/>
        <v>0</v>
      </c>
      <c r="AY340" s="29">
        <f t="shared" si="149"/>
        <v>0</v>
      </c>
      <c r="AZ340" s="1">
        <f t="shared" si="150"/>
        <v>0</v>
      </c>
      <c r="CB340" s="20">
        <f t="shared" si="159"/>
        <v>0</v>
      </c>
      <c r="CC340" s="173">
        <f t="shared" si="151"/>
        <v>0</v>
      </c>
    </row>
    <row r="341" spans="2:81" x14ac:dyDescent="0.25">
      <c r="B341" s="41"/>
      <c r="C341" s="42"/>
      <c r="D341" s="43"/>
      <c r="E341" s="44"/>
      <c r="F341" s="44"/>
      <c r="G341" s="45"/>
      <c r="H341" s="81" t="str">
        <f t="shared" si="140"/>
        <v/>
      </c>
      <c r="J341" s="7"/>
      <c r="K341" s="8"/>
      <c r="L341" s="16"/>
      <c r="M341" s="22"/>
      <c r="N341" s="22"/>
      <c r="O341" s="22"/>
      <c r="P341" s="22"/>
      <c r="Q341" s="1">
        <f t="shared" si="152"/>
        <v>0.60744618579017706</v>
      </c>
      <c r="R341" s="12">
        <f t="shared" ca="1" si="166"/>
        <v>9332</v>
      </c>
      <c r="S341" s="88">
        <f t="shared" si="143"/>
        <v>0</v>
      </c>
      <c r="T341" s="19">
        <f t="shared" si="144"/>
        <v>0</v>
      </c>
      <c r="U341" s="19">
        <f t="shared" si="165"/>
        <v>0</v>
      </c>
      <c r="V341" s="19">
        <f t="shared" si="157"/>
        <v>0</v>
      </c>
      <c r="W341" s="20">
        <f t="shared" ca="1" si="167"/>
        <v>0</v>
      </c>
      <c r="X341" s="19">
        <f t="shared" ca="1" si="168"/>
        <v>0</v>
      </c>
      <c r="Y341" s="19">
        <f t="shared" ca="1" si="169"/>
        <v>0</v>
      </c>
      <c r="Z341" s="20">
        <f t="shared" ca="1" si="170"/>
        <v>0</v>
      </c>
      <c r="AA341" s="1">
        <f t="shared" si="153"/>
        <v>5432.58</v>
      </c>
      <c r="AB341" s="91"/>
      <c r="AC341" s="92"/>
      <c r="AD341" s="101">
        <f t="shared" si="154"/>
        <v>50454</v>
      </c>
      <c r="AE341" s="103">
        <f t="shared" si="155"/>
        <v>0</v>
      </c>
      <c r="AG341" s="1">
        <f t="shared" si="145"/>
        <v>0</v>
      </c>
      <c r="AH341" s="1">
        <f t="shared" si="160"/>
        <v>0</v>
      </c>
      <c r="AI341" s="1">
        <f t="shared" si="156"/>
        <v>5432.58</v>
      </c>
      <c r="AJ341" s="20">
        <f t="shared" si="158"/>
        <v>0</v>
      </c>
      <c r="AK341" s="100">
        <f t="shared" si="161"/>
        <v>0</v>
      </c>
      <c r="AL341" s="100">
        <f t="shared" si="162"/>
        <v>0</v>
      </c>
      <c r="AN341" s="100">
        <f t="shared" si="163"/>
        <v>4639.0894671126807</v>
      </c>
      <c r="AO341" s="20">
        <f t="shared" si="164"/>
        <v>0</v>
      </c>
      <c r="AQ341" s="109">
        <f t="shared" si="146"/>
        <v>0</v>
      </c>
      <c r="AU341" s="109">
        <f t="shared" si="147"/>
        <v>26.330146719655186</v>
      </c>
      <c r="AV341" s="101">
        <f t="shared" si="142"/>
        <v>50484</v>
      </c>
      <c r="AW341" s="99">
        <f t="shared" si="171"/>
        <v>0</v>
      </c>
      <c r="AX341" s="1">
        <f t="shared" si="148"/>
        <v>0</v>
      </c>
      <c r="AY341" s="29">
        <f t="shared" si="149"/>
        <v>0</v>
      </c>
      <c r="AZ341" s="1">
        <f t="shared" si="150"/>
        <v>0</v>
      </c>
      <c r="CB341" s="20">
        <f t="shared" si="159"/>
        <v>0</v>
      </c>
      <c r="CC341" s="173">
        <f t="shared" si="151"/>
        <v>0</v>
      </c>
    </row>
    <row r="342" spans="2:81" x14ac:dyDescent="0.25">
      <c r="B342" s="41"/>
      <c r="C342" s="42"/>
      <c r="D342" s="43"/>
      <c r="E342" s="44"/>
      <c r="F342" s="44"/>
      <c r="G342" s="45"/>
      <c r="H342" s="81" t="str">
        <f t="shared" ref="H342:H405" si="172">IF(ISERROR(VLOOKUP(C340,AB:AC,2,0)),"",VLOOKUP(C340,AB:AC,2,0))</f>
        <v/>
      </c>
      <c r="J342" s="9"/>
      <c r="K342" s="10"/>
      <c r="L342" s="17"/>
      <c r="M342" s="23"/>
      <c r="N342" s="23"/>
      <c r="O342" s="23"/>
      <c r="P342" s="23"/>
      <c r="Q342" s="1">
        <f t="shared" si="152"/>
        <v>0.60744618579017706</v>
      </c>
      <c r="R342" s="12">
        <f t="shared" ca="1" si="166"/>
        <v>9362</v>
      </c>
      <c r="S342" s="88">
        <f t="shared" si="143"/>
        <v>0</v>
      </c>
      <c r="T342" s="19">
        <f t="shared" si="144"/>
        <v>0</v>
      </c>
      <c r="U342" s="19">
        <f t="shared" si="165"/>
        <v>0</v>
      </c>
      <c r="V342" s="19">
        <f t="shared" si="157"/>
        <v>0</v>
      </c>
      <c r="W342" s="20">
        <f t="shared" ca="1" si="167"/>
        <v>0</v>
      </c>
      <c r="X342" s="19">
        <f t="shared" ca="1" si="168"/>
        <v>0</v>
      </c>
      <c r="Y342" s="19">
        <f t="shared" ca="1" si="169"/>
        <v>0</v>
      </c>
      <c r="Z342" s="20">
        <f t="shared" ca="1" si="170"/>
        <v>0</v>
      </c>
      <c r="AA342" s="1">
        <f t="shared" si="153"/>
        <v>5432.58</v>
      </c>
      <c r="AB342" s="93"/>
      <c r="AC342" s="94"/>
      <c r="AD342" s="101">
        <f t="shared" si="154"/>
        <v>50484</v>
      </c>
      <c r="AE342" s="103">
        <f t="shared" si="155"/>
        <v>0</v>
      </c>
      <c r="AG342" s="1">
        <f t="shared" si="145"/>
        <v>0</v>
      </c>
      <c r="AH342" s="1">
        <f t="shared" si="160"/>
        <v>0</v>
      </c>
      <c r="AI342" s="1">
        <f t="shared" si="156"/>
        <v>5432.58</v>
      </c>
      <c r="AJ342" s="20">
        <f t="shared" si="158"/>
        <v>0</v>
      </c>
      <c r="AK342" s="100">
        <f t="shared" si="161"/>
        <v>0</v>
      </c>
      <c r="AL342" s="100">
        <f t="shared" si="162"/>
        <v>0</v>
      </c>
      <c r="AN342" s="100">
        <f t="shared" si="163"/>
        <v>4636.7423242465493</v>
      </c>
      <c r="AO342" s="20">
        <f t="shared" si="164"/>
        <v>0</v>
      </c>
      <c r="AQ342" s="109">
        <f t="shared" si="146"/>
        <v>0</v>
      </c>
      <c r="AU342" s="109">
        <f t="shared" si="147"/>
        <v>26.327835720741923</v>
      </c>
      <c r="AV342" s="101">
        <f t="shared" si="142"/>
        <v>50514</v>
      </c>
      <c r="AW342" s="99">
        <f t="shared" si="171"/>
        <v>0</v>
      </c>
      <c r="AX342" s="1">
        <f t="shared" si="148"/>
        <v>0</v>
      </c>
      <c r="AY342" s="29">
        <f t="shared" si="149"/>
        <v>0</v>
      </c>
      <c r="AZ342" s="1">
        <f t="shared" si="150"/>
        <v>0</v>
      </c>
      <c r="CB342" s="20">
        <f t="shared" si="159"/>
        <v>0</v>
      </c>
      <c r="CC342" s="173">
        <f t="shared" si="151"/>
        <v>0</v>
      </c>
    </row>
    <row r="343" spans="2:81" x14ac:dyDescent="0.25">
      <c r="B343" s="41"/>
      <c r="C343" s="42"/>
      <c r="D343" s="43"/>
      <c r="E343" s="44"/>
      <c r="F343" s="44"/>
      <c r="G343" s="45"/>
      <c r="H343" s="81" t="str">
        <f t="shared" si="172"/>
        <v/>
      </c>
      <c r="J343" s="7"/>
      <c r="K343" s="8"/>
      <c r="L343" s="16"/>
      <c r="M343" s="22"/>
      <c r="N343" s="22"/>
      <c r="O343" s="22"/>
      <c r="P343" s="22"/>
      <c r="Q343" s="1">
        <f t="shared" si="152"/>
        <v>0.60744618579017706</v>
      </c>
      <c r="R343" s="12">
        <f t="shared" ca="1" si="166"/>
        <v>9392</v>
      </c>
      <c r="S343" s="88">
        <f t="shared" si="143"/>
        <v>0</v>
      </c>
      <c r="T343" s="19">
        <f t="shared" si="144"/>
        <v>0</v>
      </c>
      <c r="U343" s="19">
        <f t="shared" si="165"/>
        <v>0</v>
      </c>
      <c r="V343" s="19">
        <f t="shared" si="157"/>
        <v>0</v>
      </c>
      <c r="W343" s="20">
        <f t="shared" ca="1" si="167"/>
        <v>0</v>
      </c>
      <c r="X343" s="19">
        <f t="shared" ca="1" si="168"/>
        <v>0</v>
      </c>
      <c r="Y343" s="19">
        <f t="shared" ca="1" si="169"/>
        <v>0</v>
      </c>
      <c r="Z343" s="20">
        <f t="shared" ca="1" si="170"/>
        <v>0</v>
      </c>
      <c r="AA343" s="1">
        <f t="shared" si="153"/>
        <v>5432.58</v>
      </c>
      <c r="AB343" s="91"/>
      <c r="AC343" s="92"/>
      <c r="AD343" s="101">
        <f t="shared" si="154"/>
        <v>50514</v>
      </c>
      <c r="AE343" s="103">
        <f t="shared" si="155"/>
        <v>0</v>
      </c>
      <c r="AG343" s="1">
        <f t="shared" si="145"/>
        <v>0</v>
      </c>
      <c r="AH343" s="1">
        <f t="shared" si="160"/>
        <v>0</v>
      </c>
      <c r="AI343" s="1">
        <f t="shared" si="156"/>
        <v>5432.58</v>
      </c>
      <c r="AJ343" s="20">
        <f t="shared" si="158"/>
        <v>0</v>
      </c>
      <c r="AK343" s="100">
        <f t="shared" si="161"/>
        <v>0</v>
      </c>
      <c r="AL343" s="100">
        <f t="shared" si="162"/>
        <v>0</v>
      </c>
      <c r="AN343" s="100">
        <f t="shared" si="163"/>
        <v>4634.3963689151014</v>
      </c>
      <c r="AO343" s="20">
        <f t="shared" si="164"/>
        <v>0</v>
      </c>
      <c r="AQ343" s="109">
        <f t="shared" si="146"/>
        <v>0</v>
      </c>
      <c r="AU343" s="109">
        <f t="shared" si="147"/>
        <v>26.325524924665206</v>
      </c>
      <c r="AV343" s="101">
        <f t="shared" si="142"/>
        <v>50544</v>
      </c>
      <c r="AW343" s="99">
        <f t="shared" si="171"/>
        <v>0</v>
      </c>
      <c r="AX343" s="1">
        <f t="shared" si="148"/>
        <v>0</v>
      </c>
      <c r="AY343" s="29">
        <f t="shared" si="149"/>
        <v>0</v>
      </c>
      <c r="AZ343" s="1">
        <f t="shared" si="150"/>
        <v>0</v>
      </c>
      <c r="CB343" s="20">
        <f t="shared" si="159"/>
        <v>0</v>
      </c>
      <c r="CC343" s="173">
        <f t="shared" si="151"/>
        <v>0</v>
      </c>
    </row>
    <row r="344" spans="2:81" x14ac:dyDescent="0.25">
      <c r="B344" s="41"/>
      <c r="C344" s="42"/>
      <c r="D344" s="43"/>
      <c r="E344" s="44"/>
      <c r="F344" s="44"/>
      <c r="G344" s="45"/>
      <c r="H344" s="81" t="str">
        <f t="shared" si="172"/>
        <v/>
      </c>
      <c r="J344" s="9"/>
      <c r="K344" s="10"/>
      <c r="L344" s="17"/>
      <c r="M344" s="23"/>
      <c r="N344" s="23"/>
      <c r="O344" s="23"/>
      <c r="P344" s="23"/>
      <c r="Q344" s="1">
        <f t="shared" si="152"/>
        <v>0.60744618579017706</v>
      </c>
      <c r="R344" s="12">
        <f t="shared" ca="1" si="166"/>
        <v>9422</v>
      </c>
      <c r="S344" s="88">
        <f t="shared" si="143"/>
        <v>0</v>
      </c>
      <c r="T344" s="19">
        <f t="shared" si="144"/>
        <v>0</v>
      </c>
      <c r="U344" s="19">
        <f t="shared" si="165"/>
        <v>0</v>
      </c>
      <c r="V344" s="19">
        <f t="shared" si="157"/>
        <v>0</v>
      </c>
      <c r="W344" s="20">
        <f t="shared" ca="1" si="167"/>
        <v>0</v>
      </c>
      <c r="X344" s="19">
        <f t="shared" ca="1" si="168"/>
        <v>0</v>
      </c>
      <c r="Y344" s="19">
        <f t="shared" ca="1" si="169"/>
        <v>0</v>
      </c>
      <c r="Z344" s="20">
        <f t="shared" ca="1" si="170"/>
        <v>0</v>
      </c>
      <c r="AA344" s="1">
        <f t="shared" si="153"/>
        <v>5432.58</v>
      </c>
      <c r="AB344" s="93"/>
      <c r="AC344" s="94"/>
      <c r="AD344" s="101">
        <f t="shared" si="154"/>
        <v>50544</v>
      </c>
      <c r="AE344" s="103">
        <f t="shared" si="155"/>
        <v>0</v>
      </c>
      <c r="AG344" s="1">
        <f t="shared" si="145"/>
        <v>0</v>
      </c>
      <c r="AH344" s="1">
        <f t="shared" si="160"/>
        <v>0</v>
      </c>
      <c r="AI344" s="1">
        <f t="shared" si="156"/>
        <v>5432.58</v>
      </c>
      <c r="AJ344" s="20">
        <f t="shared" si="158"/>
        <v>0</v>
      </c>
      <c r="AK344" s="100">
        <f t="shared" si="161"/>
        <v>0</v>
      </c>
      <c r="AL344" s="100">
        <f t="shared" si="162"/>
        <v>0</v>
      </c>
      <c r="AN344" s="100">
        <f t="shared" si="163"/>
        <v>4632.0516005175041</v>
      </c>
      <c r="AO344" s="20">
        <f t="shared" si="164"/>
        <v>0</v>
      </c>
      <c r="AQ344" s="109">
        <f t="shared" si="146"/>
        <v>0</v>
      </c>
      <c r="AU344" s="109">
        <f t="shared" si="147"/>
        <v>26.323214331407236</v>
      </c>
      <c r="AV344" s="101">
        <f t="shared" si="142"/>
        <v>50574</v>
      </c>
      <c r="AW344" s="99">
        <f t="shared" si="171"/>
        <v>0</v>
      </c>
      <c r="AX344" s="1">
        <f t="shared" si="148"/>
        <v>0</v>
      </c>
      <c r="AY344" s="29">
        <f t="shared" si="149"/>
        <v>0</v>
      </c>
      <c r="AZ344" s="1">
        <f t="shared" si="150"/>
        <v>0</v>
      </c>
      <c r="CB344" s="20">
        <f t="shared" si="159"/>
        <v>0</v>
      </c>
      <c r="CC344" s="173">
        <f t="shared" si="151"/>
        <v>0</v>
      </c>
    </row>
    <row r="345" spans="2:81" x14ac:dyDescent="0.25">
      <c r="B345" s="41"/>
      <c r="C345" s="42"/>
      <c r="D345" s="43"/>
      <c r="E345" s="44"/>
      <c r="F345" s="44"/>
      <c r="G345" s="45"/>
      <c r="H345" s="81" t="str">
        <f t="shared" si="172"/>
        <v/>
      </c>
      <c r="J345" s="7"/>
      <c r="K345" s="8"/>
      <c r="L345" s="16"/>
      <c r="M345" s="22"/>
      <c r="N345" s="22"/>
      <c r="O345" s="22"/>
      <c r="P345" s="22"/>
      <c r="Q345" s="1">
        <f t="shared" si="152"/>
        <v>0.60744618579017706</v>
      </c>
      <c r="R345" s="12">
        <f t="shared" ca="1" si="166"/>
        <v>9452</v>
      </c>
      <c r="S345" s="88">
        <f t="shared" si="143"/>
        <v>0</v>
      </c>
      <c r="T345" s="19">
        <f t="shared" si="144"/>
        <v>0</v>
      </c>
      <c r="U345" s="19">
        <f t="shared" si="165"/>
        <v>0</v>
      </c>
      <c r="V345" s="19">
        <f t="shared" si="157"/>
        <v>0</v>
      </c>
      <c r="W345" s="20">
        <f t="shared" ca="1" si="167"/>
        <v>0</v>
      </c>
      <c r="X345" s="19">
        <f t="shared" ca="1" si="168"/>
        <v>0</v>
      </c>
      <c r="Y345" s="19">
        <f t="shared" ca="1" si="169"/>
        <v>0</v>
      </c>
      <c r="Z345" s="20">
        <f t="shared" ca="1" si="170"/>
        <v>0</v>
      </c>
      <c r="AA345" s="1">
        <f t="shared" si="153"/>
        <v>5432.58</v>
      </c>
      <c r="AB345" s="91"/>
      <c r="AC345" s="92"/>
      <c r="AD345" s="101">
        <f t="shared" si="154"/>
        <v>50574</v>
      </c>
      <c r="AE345" s="103">
        <f t="shared" si="155"/>
        <v>0</v>
      </c>
      <c r="AG345" s="1">
        <f t="shared" si="145"/>
        <v>0</v>
      </c>
      <c r="AH345" s="1">
        <f t="shared" si="160"/>
        <v>0</v>
      </c>
      <c r="AI345" s="1">
        <f t="shared" si="156"/>
        <v>5432.58</v>
      </c>
      <c r="AJ345" s="20">
        <f t="shared" si="158"/>
        <v>0</v>
      </c>
      <c r="AK345" s="100">
        <f t="shared" si="161"/>
        <v>0</v>
      </c>
      <c r="AL345" s="100">
        <f t="shared" si="162"/>
        <v>0</v>
      </c>
      <c r="AN345" s="100">
        <f t="shared" si="163"/>
        <v>4629.708018453226</v>
      </c>
      <c r="AO345" s="20">
        <f t="shared" si="164"/>
        <v>0</v>
      </c>
      <c r="AQ345" s="109">
        <f t="shared" si="146"/>
        <v>0</v>
      </c>
      <c r="AU345" s="109">
        <f t="shared" si="147"/>
        <v>26.320903940950199</v>
      </c>
      <c r="AV345" s="101">
        <f t="shared" si="142"/>
        <v>50604</v>
      </c>
      <c r="AW345" s="99">
        <f t="shared" si="171"/>
        <v>0</v>
      </c>
      <c r="AX345" s="1">
        <f t="shared" si="148"/>
        <v>0</v>
      </c>
      <c r="AY345" s="29">
        <f t="shared" si="149"/>
        <v>0</v>
      </c>
      <c r="AZ345" s="1">
        <f t="shared" si="150"/>
        <v>0</v>
      </c>
      <c r="CB345" s="20">
        <f t="shared" si="159"/>
        <v>0</v>
      </c>
      <c r="CC345" s="173">
        <f t="shared" si="151"/>
        <v>0</v>
      </c>
    </row>
    <row r="346" spans="2:81" x14ac:dyDescent="0.25">
      <c r="B346" s="41"/>
      <c r="C346" s="42"/>
      <c r="D346" s="43"/>
      <c r="E346" s="44"/>
      <c r="F346" s="44"/>
      <c r="G346" s="45"/>
      <c r="H346" s="81" t="str">
        <f t="shared" si="172"/>
        <v/>
      </c>
      <c r="J346" s="9"/>
      <c r="K346" s="10"/>
      <c r="L346" s="17"/>
      <c r="M346" s="23"/>
      <c r="N346" s="23"/>
      <c r="O346" s="23"/>
      <c r="P346" s="23"/>
      <c r="Q346" s="1">
        <f t="shared" si="152"/>
        <v>0.60744618579017706</v>
      </c>
      <c r="R346" s="12">
        <f t="shared" ca="1" si="166"/>
        <v>9482</v>
      </c>
      <c r="S346" s="88">
        <f t="shared" si="143"/>
        <v>0</v>
      </c>
      <c r="T346" s="19">
        <f t="shared" si="144"/>
        <v>0</v>
      </c>
      <c r="U346" s="19">
        <f t="shared" si="165"/>
        <v>0</v>
      </c>
      <c r="V346" s="19">
        <f t="shared" si="157"/>
        <v>0</v>
      </c>
      <c r="W346" s="20">
        <f t="shared" ca="1" si="167"/>
        <v>0</v>
      </c>
      <c r="X346" s="19">
        <f t="shared" ca="1" si="168"/>
        <v>0</v>
      </c>
      <c r="Y346" s="19">
        <f t="shared" ca="1" si="169"/>
        <v>0</v>
      </c>
      <c r="Z346" s="20">
        <f t="shared" ca="1" si="170"/>
        <v>0</v>
      </c>
      <c r="AA346" s="1">
        <f t="shared" si="153"/>
        <v>5432.58</v>
      </c>
      <c r="AB346" s="93"/>
      <c r="AC346" s="94"/>
      <c r="AD346" s="101">
        <f t="shared" si="154"/>
        <v>50604</v>
      </c>
      <c r="AE346" s="103">
        <f t="shared" si="155"/>
        <v>0</v>
      </c>
      <c r="AG346" s="1">
        <f t="shared" si="145"/>
        <v>0</v>
      </c>
      <c r="AH346" s="1">
        <f t="shared" si="160"/>
        <v>0</v>
      </c>
      <c r="AI346" s="1">
        <f t="shared" si="156"/>
        <v>5432.58</v>
      </c>
      <c r="AJ346" s="20">
        <f t="shared" si="158"/>
        <v>0</v>
      </c>
      <c r="AK346" s="100">
        <f t="shared" si="161"/>
        <v>0</v>
      </c>
      <c r="AL346" s="100">
        <f t="shared" si="162"/>
        <v>0</v>
      </c>
      <c r="AN346" s="100">
        <f t="shared" si="163"/>
        <v>4627.3656221220472</v>
      </c>
      <c r="AO346" s="20">
        <f t="shared" si="164"/>
        <v>0</v>
      </c>
      <c r="AQ346" s="109">
        <f t="shared" si="146"/>
        <v>0</v>
      </c>
      <c r="AU346" s="109">
        <f t="shared" si="147"/>
        <v>26.3185937532763</v>
      </c>
      <c r="AV346" s="101">
        <f t="shared" si="142"/>
        <v>50634</v>
      </c>
      <c r="AW346" s="99">
        <f t="shared" si="171"/>
        <v>0</v>
      </c>
      <c r="AX346" s="1">
        <f t="shared" si="148"/>
        <v>0</v>
      </c>
      <c r="AY346" s="29">
        <f t="shared" si="149"/>
        <v>0</v>
      </c>
      <c r="AZ346" s="1">
        <f t="shared" si="150"/>
        <v>0</v>
      </c>
      <c r="CB346" s="20">
        <f t="shared" si="159"/>
        <v>0</v>
      </c>
      <c r="CC346" s="173">
        <f t="shared" si="151"/>
        <v>0</v>
      </c>
    </row>
    <row r="347" spans="2:81" x14ac:dyDescent="0.25">
      <c r="B347" s="41"/>
      <c r="C347" s="42"/>
      <c r="D347" s="43"/>
      <c r="E347" s="44"/>
      <c r="F347" s="44"/>
      <c r="G347" s="45"/>
      <c r="H347" s="81" t="str">
        <f t="shared" si="172"/>
        <v/>
      </c>
      <c r="J347" s="7"/>
      <c r="K347" s="8"/>
      <c r="L347" s="16"/>
      <c r="M347" s="22"/>
      <c r="N347" s="22"/>
      <c r="O347" s="22"/>
      <c r="P347" s="22"/>
      <c r="Q347" s="1">
        <f t="shared" si="152"/>
        <v>0.60744618579017706</v>
      </c>
      <c r="R347" s="12">
        <f t="shared" ca="1" si="166"/>
        <v>9512</v>
      </c>
      <c r="S347" s="88">
        <f t="shared" si="143"/>
        <v>0</v>
      </c>
      <c r="T347" s="19">
        <f t="shared" si="144"/>
        <v>0</v>
      </c>
      <c r="U347" s="19">
        <f t="shared" si="165"/>
        <v>0</v>
      </c>
      <c r="V347" s="19">
        <f t="shared" si="157"/>
        <v>0</v>
      </c>
      <c r="W347" s="20">
        <f t="shared" ca="1" si="167"/>
        <v>0</v>
      </c>
      <c r="X347" s="19">
        <f t="shared" ca="1" si="168"/>
        <v>0</v>
      </c>
      <c r="Y347" s="19">
        <f t="shared" ca="1" si="169"/>
        <v>0</v>
      </c>
      <c r="Z347" s="20">
        <f t="shared" ca="1" si="170"/>
        <v>0</v>
      </c>
      <c r="AA347" s="1">
        <f t="shared" si="153"/>
        <v>5432.58</v>
      </c>
      <c r="AB347" s="91"/>
      <c r="AC347" s="92"/>
      <c r="AD347" s="101">
        <f t="shared" si="154"/>
        <v>50634</v>
      </c>
      <c r="AE347" s="103">
        <f t="shared" si="155"/>
        <v>0</v>
      </c>
      <c r="AG347" s="1">
        <f t="shared" si="145"/>
        <v>0</v>
      </c>
      <c r="AH347" s="1">
        <f t="shared" si="160"/>
        <v>0</v>
      </c>
      <c r="AI347" s="1">
        <f t="shared" si="156"/>
        <v>5432.58</v>
      </c>
      <c r="AJ347" s="20">
        <f t="shared" si="158"/>
        <v>0</v>
      </c>
      <c r="AK347" s="100">
        <f t="shared" si="161"/>
        <v>0</v>
      </c>
      <c r="AL347" s="100">
        <f t="shared" si="162"/>
        <v>0</v>
      </c>
      <c r="AN347" s="100">
        <f t="shared" si="163"/>
        <v>4625.0244109240448</v>
      </c>
      <c r="AO347" s="20">
        <f t="shared" si="164"/>
        <v>0</v>
      </c>
      <c r="AQ347" s="109">
        <f t="shared" si="146"/>
        <v>0</v>
      </c>
      <c r="AU347" s="109">
        <f t="shared" si="147"/>
        <v>26.316283768367743</v>
      </c>
      <c r="AV347" s="101">
        <f t="shared" si="142"/>
        <v>50664</v>
      </c>
      <c r="AW347" s="99">
        <f t="shared" si="171"/>
        <v>0</v>
      </c>
      <c r="AX347" s="1">
        <f t="shared" si="148"/>
        <v>0</v>
      </c>
      <c r="AY347" s="29">
        <f t="shared" si="149"/>
        <v>0</v>
      </c>
      <c r="AZ347" s="1">
        <f t="shared" si="150"/>
        <v>0</v>
      </c>
      <c r="CB347" s="20">
        <f t="shared" si="159"/>
        <v>0</v>
      </c>
      <c r="CC347" s="173">
        <f t="shared" si="151"/>
        <v>0</v>
      </c>
    </row>
    <row r="348" spans="2:81" x14ac:dyDescent="0.25">
      <c r="B348" s="41"/>
      <c r="C348" s="42"/>
      <c r="D348" s="43"/>
      <c r="E348" s="44"/>
      <c r="F348" s="44"/>
      <c r="G348" s="45"/>
      <c r="H348" s="81" t="str">
        <f t="shared" si="172"/>
        <v/>
      </c>
      <c r="J348" s="9"/>
      <c r="K348" s="10"/>
      <c r="L348" s="17"/>
      <c r="M348" s="23"/>
      <c r="N348" s="23"/>
      <c r="O348" s="23"/>
      <c r="P348" s="23"/>
      <c r="Q348" s="1">
        <f t="shared" si="152"/>
        <v>0.60744618579017706</v>
      </c>
      <c r="R348" s="12">
        <f t="shared" ca="1" si="166"/>
        <v>9542</v>
      </c>
      <c r="S348" s="88">
        <f t="shared" si="143"/>
        <v>0</v>
      </c>
      <c r="T348" s="19">
        <f t="shared" si="144"/>
        <v>0</v>
      </c>
      <c r="U348" s="19">
        <f t="shared" si="165"/>
        <v>0</v>
      </c>
      <c r="V348" s="19">
        <f t="shared" si="157"/>
        <v>0</v>
      </c>
      <c r="W348" s="20">
        <f t="shared" ca="1" si="167"/>
        <v>0</v>
      </c>
      <c r="X348" s="19">
        <f t="shared" ca="1" si="168"/>
        <v>0</v>
      </c>
      <c r="Y348" s="19">
        <f t="shared" ca="1" si="169"/>
        <v>0</v>
      </c>
      <c r="Z348" s="20">
        <f t="shared" ca="1" si="170"/>
        <v>0</v>
      </c>
      <c r="AA348" s="1">
        <f t="shared" si="153"/>
        <v>5432.58</v>
      </c>
      <c r="AB348" s="93"/>
      <c r="AC348" s="94"/>
      <c r="AD348" s="101">
        <f t="shared" si="154"/>
        <v>50664</v>
      </c>
      <c r="AE348" s="103">
        <f t="shared" si="155"/>
        <v>0</v>
      </c>
      <c r="AG348" s="1">
        <f t="shared" si="145"/>
        <v>0</v>
      </c>
      <c r="AH348" s="1">
        <f t="shared" si="160"/>
        <v>0</v>
      </c>
      <c r="AI348" s="1">
        <f t="shared" si="156"/>
        <v>5432.58</v>
      </c>
      <c r="AJ348" s="20">
        <f t="shared" si="158"/>
        <v>0</v>
      </c>
      <c r="AK348" s="100">
        <f t="shared" si="161"/>
        <v>0</v>
      </c>
      <c r="AL348" s="100">
        <f t="shared" si="162"/>
        <v>0</v>
      </c>
      <c r="AN348" s="100">
        <f t="shared" si="163"/>
        <v>4622.6843842596018</v>
      </c>
      <c r="AO348" s="20">
        <f t="shared" si="164"/>
        <v>0</v>
      </c>
      <c r="AQ348" s="109">
        <f t="shared" si="146"/>
        <v>0</v>
      </c>
      <c r="AU348" s="109">
        <f t="shared" si="147"/>
        <v>26.313973986206744</v>
      </c>
      <c r="AV348" s="101">
        <f t="shared" si="142"/>
        <v>50694</v>
      </c>
      <c r="AW348" s="99">
        <f t="shared" si="171"/>
        <v>0</v>
      </c>
      <c r="AX348" s="1">
        <f t="shared" si="148"/>
        <v>0</v>
      </c>
      <c r="AY348" s="29">
        <f t="shared" si="149"/>
        <v>0</v>
      </c>
      <c r="AZ348" s="1">
        <f t="shared" si="150"/>
        <v>0</v>
      </c>
      <c r="CB348" s="20">
        <f t="shared" si="159"/>
        <v>0</v>
      </c>
      <c r="CC348" s="173">
        <f t="shared" si="151"/>
        <v>0</v>
      </c>
    </row>
    <row r="349" spans="2:81" x14ac:dyDescent="0.25">
      <c r="B349" s="41"/>
      <c r="C349" s="42"/>
      <c r="D349" s="43"/>
      <c r="E349" s="44"/>
      <c r="F349" s="44"/>
      <c r="G349" s="45"/>
      <c r="H349" s="81" t="str">
        <f t="shared" si="172"/>
        <v/>
      </c>
      <c r="J349" s="7"/>
      <c r="K349" s="8"/>
      <c r="L349" s="16"/>
      <c r="M349" s="22"/>
      <c r="N349" s="22"/>
      <c r="O349" s="22"/>
      <c r="P349" s="22"/>
      <c r="Q349" s="1">
        <f t="shared" si="152"/>
        <v>0.60744618579017706</v>
      </c>
      <c r="R349" s="12">
        <f t="shared" ca="1" si="166"/>
        <v>9572</v>
      </c>
      <c r="S349" s="88">
        <f t="shared" si="143"/>
        <v>0</v>
      </c>
      <c r="T349" s="19">
        <f t="shared" si="144"/>
        <v>0</v>
      </c>
      <c r="U349" s="19">
        <f t="shared" si="165"/>
        <v>0</v>
      </c>
      <c r="V349" s="19">
        <f t="shared" si="157"/>
        <v>0</v>
      </c>
      <c r="W349" s="20">
        <f t="shared" ca="1" si="167"/>
        <v>0</v>
      </c>
      <c r="X349" s="19">
        <f t="shared" ca="1" si="168"/>
        <v>0</v>
      </c>
      <c r="Y349" s="19">
        <f t="shared" ca="1" si="169"/>
        <v>0</v>
      </c>
      <c r="Z349" s="20">
        <f t="shared" ca="1" si="170"/>
        <v>0</v>
      </c>
      <c r="AA349" s="1">
        <f t="shared" si="153"/>
        <v>5432.58</v>
      </c>
      <c r="AB349" s="91"/>
      <c r="AC349" s="92"/>
      <c r="AD349" s="101">
        <f t="shared" si="154"/>
        <v>50694</v>
      </c>
      <c r="AE349" s="103">
        <f t="shared" si="155"/>
        <v>0</v>
      </c>
      <c r="AG349" s="1">
        <f t="shared" si="145"/>
        <v>0</v>
      </c>
      <c r="AH349" s="1">
        <f t="shared" si="160"/>
        <v>0</v>
      </c>
      <c r="AI349" s="1">
        <f t="shared" si="156"/>
        <v>5432.58</v>
      </c>
      <c r="AJ349" s="20">
        <f t="shared" si="158"/>
        <v>0</v>
      </c>
      <c r="AK349" s="100">
        <f t="shared" si="161"/>
        <v>0</v>
      </c>
      <c r="AL349" s="100">
        <f t="shared" si="162"/>
        <v>0</v>
      </c>
      <c r="AN349" s="100">
        <f t="shared" si="163"/>
        <v>4620.3455415294065</v>
      </c>
      <c r="AO349" s="20">
        <f t="shared" si="164"/>
        <v>0</v>
      </c>
      <c r="AQ349" s="109">
        <f t="shared" si="146"/>
        <v>0</v>
      </c>
      <c r="AU349" s="109">
        <f t="shared" si="147"/>
        <v>26.311664406775481</v>
      </c>
      <c r="AV349" s="101">
        <f t="shared" si="142"/>
        <v>50724</v>
      </c>
      <c r="AW349" s="99">
        <f t="shared" si="171"/>
        <v>0</v>
      </c>
      <c r="AX349" s="1">
        <f t="shared" si="148"/>
        <v>0</v>
      </c>
      <c r="AY349" s="29">
        <f t="shared" si="149"/>
        <v>0</v>
      </c>
      <c r="AZ349" s="1">
        <f t="shared" si="150"/>
        <v>0</v>
      </c>
      <c r="CB349" s="20">
        <f t="shared" si="159"/>
        <v>0</v>
      </c>
      <c r="CC349" s="173">
        <f t="shared" si="151"/>
        <v>0</v>
      </c>
    </row>
    <row r="350" spans="2:81" x14ac:dyDescent="0.25">
      <c r="B350" s="41"/>
      <c r="C350" s="42"/>
      <c r="D350" s="43"/>
      <c r="E350" s="44"/>
      <c r="F350" s="44"/>
      <c r="G350" s="45"/>
      <c r="H350" s="81" t="str">
        <f t="shared" si="172"/>
        <v/>
      </c>
      <c r="J350" s="9"/>
      <c r="K350" s="10"/>
      <c r="L350" s="17"/>
      <c r="M350" s="23"/>
      <c r="N350" s="23"/>
      <c r="O350" s="23"/>
      <c r="P350" s="23"/>
      <c r="Q350" s="1">
        <f t="shared" si="152"/>
        <v>0.60744618579017706</v>
      </c>
      <c r="R350" s="12">
        <f t="shared" ca="1" si="166"/>
        <v>9602</v>
      </c>
      <c r="S350" s="88">
        <f t="shared" si="143"/>
        <v>0</v>
      </c>
      <c r="T350" s="19">
        <f t="shared" si="144"/>
        <v>0</v>
      </c>
      <c r="U350" s="19">
        <f t="shared" si="165"/>
        <v>0</v>
      </c>
      <c r="V350" s="19">
        <f t="shared" si="157"/>
        <v>0</v>
      </c>
      <c r="W350" s="20">
        <f t="shared" ca="1" si="167"/>
        <v>0</v>
      </c>
      <c r="X350" s="19">
        <f t="shared" ca="1" si="168"/>
        <v>0</v>
      </c>
      <c r="Y350" s="19">
        <f t="shared" ca="1" si="169"/>
        <v>0</v>
      </c>
      <c r="Z350" s="20">
        <f t="shared" ca="1" si="170"/>
        <v>0</v>
      </c>
      <c r="AA350" s="1">
        <f t="shared" si="153"/>
        <v>5432.58</v>
      </c>
      <c r="AB350" s="93"/>
      <c r="AC350" s="94"/>
      <c r="AD350" s="101">
        <f t="shared" si="154"/>
        <v>50724</v>
      </c>
      <c r="AE350" s="103">
        <f t="shared" si="155"/>
        <v>0</v>
      </c>
      <c r="AG350" s="1">
        <f t="shared" si="145"/>
        <v>0</v>
      </c>
      <c r="AH350" s="1">
        <f t="shared" si="160"/>
        <v>0</v>
      </c>
      <c r="AI350" s="1">
        <f t="shared" si="156"/>
        <v>5432.58</v>
      </c>
      <c r="AJ350" s="20">
        <f t="shared" si="158"/>
        <v>0</v>
      </c>
      <c r="AK350" s="100">
        <f t="shared" si="161"/>
        <v>0</v>
      </c>
      <c r="AL350" s="100">
        <f t="shared" si="162"/>
        <v>0</v>
      </c>
      <c r="AN350" s="100">
        <f t="shared" si="163"/>
        <v>4618.0078821344468</v>
      </c>
      <c r="AO350" s="20">
        <f t="shared" si="164"/>
        <v>0</v>
      </c>
      <c r="AQ350" s="109">
        <f t="shared" si="146"/>
        <v>0</v>
      </c>
      <c r="AU350" s="109">
        <f t="shared" si="147"/>
        <v>26.309355030056178</v>
      </c>
      <c r="AV350" s="101">
        <f t="shared" ref="AV350:AV413" si="173">AD351</f>
        <v>50754</v>
      </c>
      <c r="AW350" s="99">
        <f t="shared" si="171"/>
        <v>0</v>
      </c>
      <c r="AX350" s="1">
        <f t="shared" si="148"/>
        <v>0</v>
      </c>
      <c r="AY350" s="29">
        <f t="shared" si="149"/>
        <v>0</v>
      </c>
      <c r="AZ350" s="1">
        <f t="shared" si="150"/>
        <v>0</v>
      </c>
      <c r="CB350" s="20">
        <f t="shared" si="159"/>
        <v>0</v>
      </c>
      <c r="CC350" s="173">
        <f t="shared" si="151"/>
        <v>0</v>
      </c>
    </row>
    <row r="351" spans="2:81" x14ac:dyDescent="0.25">
      <c r="B351" s="41"/>
      <c r="C351" s="42"/>
      <c r="D351" s="43"/>
      <c r="E351" s="44"/>
      <c r="F351" s="44"/>
      <c r="G351" s="45"/>
      <c r="H351" s="81" t="str">
        <f t="shared" si="172"/>
        <v/>
      </c>
      <c r="J351" s="7"/>
      <c r="K351" s="8"/>
      <c r="L351" s="16"/>
      <c r="M351" s="22"/>
      <c r="N351" s="22"/>
      <c r="O351" s="22"/>
      <c r="P351" s="22"/>
      <c r="Q351" s="1">
        <f t="shared" si="152"/>
        <v>0.60744618579017706</v>
      </c>
      <c r="R351" s="12">
        <f t="shared" ca="1" si="166"/>
        <v>9632</v>
      </c>
      <c r="S351" s="88">
        <f t="shared" ref="S351:S414" si="174">N351+M351</f>
        <v>0</v>
      </c>
      <c r="T351" s="19">
        <f t="shared" ref="T351:T414" si="175">IF(ISERROR((previousBalance*Q351/1200)*(IF(ROW()-30&lt;$G$22,$G$21,0))),0,(previousBalance*Q351/1200)*(IF(ROW()-30&lt;$G$22,$G$21,0)))</f>
        <v>0</v>
      </c>
      <c r="U351" s="19">
        <f t="shared" si="165"/>
        <v>0</v>
      </c>
      <c r="V351" s="19">
        <f t="shared" si="157"/>
        <v>0</v>
      </c>
      <c r="W351" s="20">
        <f t="shared" ca="1" si="167"/>
        <v>0</v>
      </c>
      <c r="X351" s="19">
        <f t="shared" ca="1" si="168"/>
        <v>0</v>
      </c>
      <c r="Y351" s="19">
        <f t="shared" ca="1" si="169"/>
        <v>0</v>
      </c>
      <c r="Z351" s="20">
        <f t="shared" ca="1" si="170"/>
        <v>0</v>
      </c>
      <c r="AA351" s="1">
        <f t="shared" si="153"/>
        <v>5432.58</v>
      </c>
      <c r="AB351" s="91"/>
      <c r="AC351" s="92"/>
      <c r="AD351" s="101">
        <f t="shared" si="154"/>
        <v>50754</v>
      </c>
      <c r="AE351" s="103">
        <f t="shared" si="155"/>
        <v>0</v>
      </c>
      <c r="AG351" s="1">
        <f t="shared" ref="AG351:AG414" si="176">AE351/360</f>
        <v>0</v>
      </c>
      <c r="AH351" s="1">
        <f t="shared" si="160"/>
        <v>0</v>
      </c>
      <c r="AI351" s="1">
        <f t="shared" si="156"/>
        <v>5432.58</v>
      </c>
      <c r="AJ351" s="20">
        <f t="shared" si="158"/>
        <v>0</v>
      </c>
      <c r="AK351" s="100">
        <f t="shared" si="161"/>
        <v>0</v>
      </c>
      <c r="AL351" s="100">
        <f t="shared" si="162"/>
        <v>0</v>
      </c>
      <c r="AN351" s="100">
        <f t="shared" si="163"/>
        <v>4615.671405476015</v>
      </c>
      <c r="AO351" s="20">
        <f t="shared" si="164"/>
        <v>0</v>
      </c>
      <c r="AQ351" s="109">
        <f t="shared" ref="AQ351:AQ414" si="177">AO351/(1+((1+$AM$27)^((ROW()-29)*30)-1))</f>
        <v>0</v>
      </c>
      <c r="AU351" s="109">
        <f t="shared" ref="AU351:AU414" si="178">(($AT$27/(1+((1+$AM$27)^(ROW()-29)*30)-1))/292)*0.32</f>
        <v>26.307045856031046</v>
      </c>
      <c r="AV351" s="101">
        <f t="shared" si="173"/>
        <v>50784</v>
      </c>
      <c r="AW351" s="99">
        <f t="shared" si="171"/>
        <v>0</v>
      </c>
      <c r="AX351" s="1">
        <f t="shared" ref="AX351:AX414" si="179">IF(AG351&gt;0,AA351,0)</f>
        <v>0</v>
      </c>
      <c r="AY351" s="29">
        <f t="shared" ref="AY351:AY414" si="180">AE351</f>
        <v>0</v>
      </c>
      <c r="AZ351" s="1">
        <f t="shared" ref="AZ351:AZ414" si="181">AY351/360</f>
        <v>0</v>
      </c>
      <c r="CB351" s="20">
        <f t="shared" si="159"/>
        <v>0</v>
      </c>
      <c r="CC351" s="173">
        <f t="shared" ref="CC351:CC414" si="182">AJ351+U351+T351</f>
        <v>0</v>
      </c>
    </row>
    <row r="352" spans="2:81" x14ac:dyDescent="0.25">
      <c r="B352" s="41"/>
      <c r="C352" s="42"/>
      <c r="D352" s="43"/>
      <c r="E352" s="44"/>
      <c r="F352" s="44"/>
      <c r="G352" s="45"/>
      <c r="H352" s="81" t="str">
        <f t="shared" si="172"/>
        <v/>
      </c>
      <c r="J352" s="9"/>
      <c r="K352" s="10"/>
      <c r="L352" s="17"/>
      <c r="M352" s="23"/>
      <c r="N352" s="23"/>
      <c r="O352" s="23"/>
      <c r="P352" s="23"/>
      <c r="Q352" s="1">
        <f t="shared" ref="Q352:Q415" si="183">IF(M352=0,Q351,(M352*1200)/O351)</f>
        <v>0.60744618579017706</v>
      </c>
      <c r="R352" s="12">
        <f t="shared" ca="1" si="166"/>
        <v>9662</v>
      </c>
      <c r="S352" s="88">
        <f t="shared" si="174"/>
        <v>0</v>
      </c>
      <c r="T352" s="19">
        <f t="shared" si="175"/>
        <v>0</v>
      </c>
      <c r="U352" s="19">
        <f t="shared" si="165"/>
        <v>0</v>
      </c>
      <c r="V352" s="19">
        <f t="shared" si="157"/>
        <v>0</v>
      </c>
      <c r="W352" s="20">
        <f t="shared" ca="1" si="167"/>
        <v>0</v>
      </c>
      <c r="X352" s="19">
        <f t="shared" ca="1" si="168"/>
        <v>0</v>
      </c>
      <c r="Y352" s="19">
        <f t="shared" ca="1" si="169"/>
        <v>0</v>
      </c>
      <c r="Z352" s="20">
        <f t="shared" ca="1" si="170"/>
        <v>0</v>
      </c>
      <c r="AA352" s="1">
        <f t="shared" ref="AA352:AA415" si="184">IF(S352=0,AA351,N352)</f>
        <v>5432.58</v>
      </c>
      <c r="AB352" s="93"/>
      <c r="AC352" s="94"/>
      <c r="AD352" s="101">
        <f t="shared" ref="AD352:AD415" si="185">IF(M352=0,AD351+30,K352)</f>
        <v>50784</v>
      </c>
      <c r="AE352" s="103">
        <f t="shared" ref="AE352:AE415" si="186">IF(V352=0,0,R352)</f>
        <v>0</v>
      </c>
      <c r="AG352" s="1">
        <f t="shared" si="176"/>
        <v>0</v>
      </c>
      <c r="AH352" s="1">
        <f t="shared" si="160"/>
        <v>0</v>
      </c>
      <c r="AI352" s="1">
        <f t="shared" ref="AI352:AI415" si="187">IF(M352-1=0,IF(M352=0,IF(V352=0,N352,AI351),AA352),AA352)</f>
        <v>5432.58</v>
      </c>
      <c r="AJ352" s="20">
        <f t="shared" si="158"/>
        <v>0</v>
      </c>
      <c r="AK352" s="100">
        <f t="shared" si="161"/>
        <v>0</v>
      </c>
      <c r="AL352" s="100">
        <f t="shared" si="162"/>
        <v>0</v>
      </c>
      <c r="AN352" s="100">
        <f t="shared" si="163"/>
        <v>4613.3361109557072</v>
      </c>
      <c r="AO352" s="20">
        <f t="shared" si="164"/>
        <v>0</v>
      </c>
      <c r="AQ352" s="109">
        <f t="shared" si="177"/>
        <v>0</v>
      </c>
      <c r="AU352" s="109">
        <f t="shared" si="178"/>
        <v>26.304736884682281</v>
      </c>
      <c r="AV352" s="101">
        <f t="shared" si="173"/>
        <v>50814</v>
      </c>
      <c r="AW352" s="99">
        <f t="shared" si="171"/>
        <v>0</v>
      </c>
      <c r="AX352" s="1">
        <f t="shared" si="179"/>
        <v>0</v>
      </c>
      <c r="AY352" s="29">
        <f t="shared" si="180"/>
        <v>0</v>
      </c>
      <c r="AZ352" s="1">
        <f t="shared" si="181"/>
        <v>0</v>
      </c>
      <c r="CB352" s="20">
        <f t="shared" si="159"/>
        <v>0</v>
      </c>
      <c r="CC352" s="173">
        <f t="shared" si="182"/>
        <v>0</v>
      </c>
    </row>
    <row r="353" spans="2:81" x14ac:dyDescent="0.25">
      <c r="B353" s="41"/>
      <c r="C353" s="42"/>
      <c r="D353" s="43"/>
      <c r="E353" s="44"/>
      <c r="F353" s="44"/>
      <c r="G353" s="45"/>
      <c r="H353" s="81" t="str">
        <f t="shared" si="172"/>
        <v/>
      </c>
      <c r="J353" s="7"/>
      <c r="K353" s="8"/>
      <c r="L353" s="16"/>
      <c r="M353" s="22"/>
      <c r="N353" s="22"/>
      <c r="O353" s="22"/>
      <c r="P353" s="22"/>
      <c r="Q353" s="1">
        <f t="shared" si="183"/>
        <v>0.60744618579017706</v>
      </c>
      <c r="R353" s="12">
        <f t="shared" ca="1" si="166"/>
        <v>9692</v>
      </c>
      <c r="S353" s="88">
        <f t="shared" si="174"/>
        <v>0</v>
      </c>
      <c r="T353" s="19">
        <f t="shared" si="175"/>
        <v>0</v>
      </c>
      <c r="U353" s="19">
        <f t="shared" si="165"/>
        <v>0</v>
      </c>
      <c r="V353" s="19">
        <f t="shared" si="157"/>
        <v>0</v>
      </c>
      <c r="W353" s="20">
        <f t="shared" ca="1" si="167"/>
        <v>0</v>
      </c>
      <c r="X353" s="19">
        <f t="shared" ca="1" si="168"/>
        <v>0</v>
      </c>
      <c r="Y353" s="19">
        <f t="shared" ca="1" si="169"/>
        <v>0</v>
      </c>
      <c r="Z353" s="20">
        <f t="shared" ca="1" si="170"/>
        <v>0</v>
      </c>
      <c r="AA353" s="1">
        <f t="shared" si="184"/>
        <v>5432.58</v>
      </c>
      <c r="AB353" s="91"/>
      <c r="AC353" s="92"/>
      <c r="AD353" s="101">
        <f t="shared" si="185"/>
        <v>50814</v>
      </c>
      <c r="AE353" s="103">
        <f t="shared" si="186"/>
        <v>0</v>
      </c>
      <c r="AG353" s="1">
        <f t="shared" si="176"/>
        <v>0</v>
      </c>
      <c r="AH353" s="1">
        <f t="shared" si="160"/>
        <v>0</v>
      </c>
      <c r="AI353" s="1">
        <f t="shared" si="187"/>
        <v>5432.58</v>
      </c>
      <c r="AJ353" s="20">
        <f t="shared" si="158"/>
        <v>0</v>
      </c>
      <c r="AK353" s="100">
        <f t="shared" si="161"/>
        <v>0</v>
      </c>
      <c r="AL353" s="100">
        <f t="shared" si="162"/>
        <v>0</v>
      </c>
      <c r="AN353" s="100">
        <f t="shared" si="163"/>
        <v>4611.0019979754225</v>
      </c>
      <c r="AO353" s="20">
        <f t="shared" si="164"/>
        <v>0</v>
      </c>
      <c r="AQ353" s="109">
        <f t="shared" si="177"/>
        <v>0</v>
      </c>
      <c r="AU353" s="109">
        <f t="shared" si="178"/>
        <v>26.302428115992104</v>
      </c>
      <c r="AV353" s="101">
        <f t="shared" si="173"/>
        <v>50844</v>
      </c>
      <c r="AW353" s="99">
        <f t="shared" si="171"/>
        <v>0</v>
      </c>
      <c r="AX353" s="1">
        <f t="shared" si="179"/>
        <v>0</v>
      </c>
      <c r="AY353" s="29">
        <f t="shared" si="180"/>
        <v>0</v>
      </c>
      <c r="AZ353" s="1">
        <f t="shared" si="181"/>
        <v>0</v>
      </c>
      <c r="CB353" s="20">
        <f t="shared" si="159"/>
        <v>0</v>
      </c>
      <c r="CC353" s="173">
        <f t="shared" si="182"/>
        <v>0</v>
      </c>
    </row>
    <row r="354" spans="2:81" x14ac:dyDescent="0.25">
      <c r="B354" s="41"/>
      <c r="C354" s="42"/>
      <c r="D354" s="43"/>
      <c r="E354" s="44"/>
      <c r="F354" s="44"/>
      <c r="G354" s="45"/>
      <c r="H354" s="81" t="str">
        <f t="shared" si="172"/>
        <v/>
      </c>
      <c r="J354" s="9"/>
      <c r="K354" s="10"/>
      <c r="L354" s="17"/>
      <c r="M354" s="23"/>
      <c r="N354" s="23"/>
      <c r="O354" s="23"/>
      <c r="P354" s="23"/>
      <c r="Q354" s="1">
        <f t="shared" si="183"/>
        <v>0.60744618579017706</v>
      </c>
      <c r="R354" s="12">
        <f t="shared" ca="1" si="166"/>
        <v>9722</v>
      </c>
      <c r="S354" s="88">
        <f t="shared" si="174"/>
        <v>0</v>
      </c>
      <c r="T354" s="19">
        <f t="shared" si="175"/>
        <v>0</v>
      </c>
      <c r="U354" s="19">
        <f t="shared" si="165"/>
        <v>0</v>
      </c>
      <c r="V354" s="19">
        <f t="shared" ref="V354:V417" si="188">IF(ISERROR(IF(V353+U354+T354+(V353*Q354/1200)-AA354-P354&lt;0,0,V353+U354+T354-AA354-P354)),0,IF(V353+U354+T354+(V353*Q354/1200)-AA354-CB354&lt;0,0,V353+U354+T354-AA354-CB354))</f>
        <v>0</v>
      </c>
      <c r="W354" s="20">
        <f t="shared" ca="1" si="167"/>
        <v>0</v>
      </c>
      <c r="X354" s="19">
        <f t="shared" ca="1" si="168"/>
        <v>0</v>
      </c>
      <c r="Y354" s="19">
        <f t="shared" ca="1" si="169"/>
        <v>0</v>
      </c>
      <c r="Z354" s="20">
        <f t="shared" ca="1" si="170"/>
        <v>0</v>
      </c>
      <c r="AA354" s="1">
        <f t="shared" si="184"/>
        <v>5432.58</v>
      </c>
      <c r="AB354" s="93"/>
      <c r="AC354" s="94"/>
      <c r="AD354" s="101">
        <f t="shared" si="185"/>
        <v>50844</v>
      </c>
      <c r="AE354" s="103">
        <f t="shared" si="186"/>
        <v>0</v>
      </c>
      <c r="AG354" s="1">
        <f t="shared" si="176"/>
        <v>0</v>
      </c>
      <c r="AH354" s="1">
        <f t="shared" si="160"/>
        <v>0</v>
      </c>
      <c r="AI354" s="1">
        <f t="shared" si="187"/>
        <v>5432.58</v>
      </c>
      <c r="AJ354" s="20">
        <f t="shared" si="158"/>
        <v>0</v>
      </c>
      <c r="AK354" s="100">
        <f t="shared" si="161"/>
        <v>0</v>
      </c>
      <c r="AL354" s="100">
        <f t="shared" si="162"/>
        <v>0</v>
      </c>
      <c r="AN354" s="100">
        <f t="shared" si="163"/>
        <v>4608.6690659373617</v>
      </c>
      <c r="AO354" s="20">
        <f t="shared" si="164"/>
        <v>0</v>
      </c>
      <c r="AQ354" s="109">
        <f t="shared" si="177"/>
        <v>0</v>
      </c>
      <c r="AU354" s="109">
        <f t="shared" si="178"/>
        <v>26.300119549942725</v>
      </c>
      <c r="AV354" s="101">
        <f t="shared" si="173"/>
        <v>50874</v>
      </c>
      <c r="AW354" s="99">
        <f t="shared" si="171"/>
        <v>0</v>
      </c>
      <c r="AX354" s="1">
        <f t="shared" si="179"/>
        <v>0</v>
      </c>
      <c r="AY354" s="29">
        <f t="shared" si="180"/>
        <v>0</v>
      </c>
      <c r="AZ354" s="1">
        <f t="shared" si="181"/>
        <v>0</v>
      </c>
      <c r="CB354" s="20">
        <f t="shared" si="159"/>
        <v>0</v>
      </c>
      <c r="CC354" s="173">
        <f t="shared" si="182"/>
        <v>0</v>
      </c>
    </row>
    <row r="355" spans="2:81" x14ac:dyDescent="0.25">
      <c r="B355" s="41"/>
      <c r="C355" s="42"/>
      <c r="D355" s="43"/>
      <c r="E355" s="44"/>
      <c r="F355" s="44"/>
      <c r="G355" s="45"/>
      <c r="H355" s="81" t="str">
        <f t="shared" si="172"/>
        <v/>
      </c>
      <c r="J355" s="7"/>
      <c r="K355" s="8"/>
      <c r="L355" s="16"/>
      <c r="M355" s="22"/>
      <c r="N355" s="22"/>
      <c r="O355" s="22"/>
      <c r="P355" s="22"/>
      <c r="Q355" s="1">
        <f t="shared" si="183"/>
        <v>0.60744618579017706</v>
      </c>
      <c r="R355" s="12">
        <f t="shared" ca="1" si="166"/>
        <v>9752</v>
      </c>
      <c r="S355" s="88">
        <f t="shared" si="174"/>
        <v>0</v>
      </c>
      <c r="T355" s="19">
        <f t="shared" si="175"/>
        <v>0</v>
      </c>
      <c r="U355" s="19">
        <f t="shared" si="165"/>
        <v>0</v>
      </c>
      <c r="V355" s="19">
        <f t="shared" si="188"/>
        <v>0</v>
      </c>
      <c r="W355" s="20">
        <f t="shared" ca="1" si="167"/>
        <v>0</v>
      </c>
      <c r="X355" s="19">
        <f t="shared" ca="1" si="168"/>
        <v>0</v>
      </c>
      <c r="Y355" s="19">
        <f t="shared" ca="1" si="169"/>
        <v>0</v>
      </c>
      <c r="Z355" s="20">
        <f t="shared" ca="1" si="170"/>
        <v>0</v>
      </c>
      <c r="AA355" s="1">
        <f t="shared" si="184"/>
        <v>5432.58</v>
      </c>
      <c r="AB355" s="91"/>
      <c r="AC355" s="92"/>
      <c r="AD355" s="101">
        <f t="shared" si="185"/>
        <v>50874</v>
      </c>
      <c r="AE355" s="103">
        <f t="shared" si="186"/>
        <v>0</v>
      </c>
      <c r="AG355" s="1">
        <f t="shared" si="176"/>
        <v>0</v>
      </c>
      <c r="AH355" s="1">
        <f t="shared" si="160"/>
        <v>0</v>
      </c>
      <c r="AI355" s="1">
        <f t="shared" si="187"/>
        <v>5432.58</v>
      </c>
      <c r="AJ355" s="20">
        <f t="shared" si="158"/>
        <v>0</v>
      </c>
      <c r="AK355" s="100">
        <f t="shared" si="161"/>
        <v>0</v>
      </c>
      <c r="AL355" s="100">
        <f t="shared" si="162"/>
        <v>0</v>
      </c>
      <c r="AN355" s="100">
        <f t="shared" si="163"/>
        <v>4606.3373142440269</v>
      </c>
      <c r="AO355" s="20">
        <f t="shared" si="164"/>
        <v>0</v>
      </c>
      <c r="AQ355" s="109">
        <f t="shared" si="177"/>
        <v>0</v>
      </c>
      <c r="AU355" s="109">
        <f t="shared" si="178"/>
        <v>26.297811186516352</v>
      </c>
      <c r="AV355" s="101">
        <f t="shared" si="173"/>
        <v>50904</v>
      </c>
      <c r="AW355" s="99">
        <f t="shared" si="171"/>
        <v>0</v>
      </c>
      <c r="AX355" s="1">
        <f t="shared" si="179"/>
        <v>0</v>
      </c>
      <c r="AY355" s="29">
        <f t="shared" si="180"/>
        <v>0</v>
      </c>
      <c r="AZ355" s="1">
        <f t="shared" si="181"/>
        <v>0</v>
      </c>
      <c r="CB355" s="20">
        <f t="shared" si="159"/>
        <v>0</v>
      </c>
      <c r="CC355" s="173">
        <f t="shared" si="182"/>
        <v>0</v>
      </c>
    </row>
    <row r="356" spans="2:81" x14ac:dyDescent="0.25">
      <c r="B356" s="41"/>
      <c r="C356" s="42"/>
      <c r="D356" s="43"/>
      <c r="E356" s="44"/>
      <c r="F356" s="44"/>
      <c r="G356" s="45"/>
      <c r="H356" s="81" t="str">
        <f t="shared" si="172"/>
        <v/>
      </c>
      <c r="J356" s="9"/>
      <c r="K356" s="10"/>
      <c r="L356" s="17"/>
      <c r="M356" s="23"/>
      <c r="N356" s="23"/>
      <c r="O356" s="23"/>
      <c r="P356" s="23"/>
      <c r="Q356" s="1">
        <f t="shared" si="183"/>
        <v>0.60744618579017706</v>
      </c>
      <c r="R356" s="12">
        <f t="shared" ca="1" si="166"/>
        <v>9782</v>
      </c>
      <c r="S356" s="88">
        <f t="shared" si="174"/>
        <v>0</v>
      </c>
      <c r="T356" s="19">
        <f t="shared" si="175"/>
        <v>0</v>
      </c>
      <c r="U356" s="19">
        <f t="shared" si="165"/>
        <v>0</v>
      </c>
      <c r="V356" s="19">
        <f t="shared" si="188"/>
        <v>0</v>
      </c>
      <c r="W356" s="20">
        <f t="shared" ca="1" si="167"/>
        <v>0</v>
      </c>
      <c r="X356" s="19">
        <f t="shared" ca="1" si="168"/>
        <v>0</v>
      </c>
      <c r="Y356" s="19">
        <f t="shared" ca="1" si="169"/>
        <v>0</v>
      </c>
      <c r="Z356" s="20">
        <f t="shared" ca="1" si="170"/>
        <v>0</v>
      </c>
      <c r="AA356" s="1">
        <f t="shared" si="184"/>
        <v>5432.58</v>
      </c>
      <c r="AB356" s="93"/>
      <c r="AC356" s="94"/>
      <c r="AD356" s="101">
        <f t="shared" si="185"/>
        <v>50904</v>
      </c>
      <c r="AE356" s="103">
        <f t="shared" si="186"/>
        <v>0</v>
      </c>
      <c r="AG356" s="1">
        <f t="shared" si="176"/>
        <v>0</v>
      </c>
      <c r="AH356" s="1">
        <f t="shared" si="160"/>
        <v>0</v>
      </c>
      <c r="AI356" s="1">
        <f t="shared" si="187"/>
        <v>5432.58</v>
      </c>
      <c r="AJ356" s="20">
        <f t="shared" si="158"/>
        <v>0</v>
      </c>
      <c r="AK356" s="100">
        <f t="shared" si="161"/>
        <v>0</v>
      </c>
      <c r="AL356" s="100">
        <f t="shared" si="162"/>
        <v>0</v>
      </c>
      <c r="AN356" s="100">
        <f t="shared" si="163"/>
        <v>4604.0067422982256</v>
      </c>
      <c r="AO356" s="20">
        <f t="shared" si="164"/>
        <v>0</v>
      </c>
      <c r="AQ356" s="109">
        <f t="shared" si="177"/>
        <v>0</v>
      </c>
      <c r="AU356" s="109">
        <f t="shared" si="178"/>
        <v>26.295503025695211</v>
      </c>
      <c r="AV356" s="101">
        <f t="shared" si="173"/>
        <v>50934</v>
      </c>
      <c r="AW356" s="99">
        <f t="shared" si="171"/>
        <v>0</v>
      </c>
      <c r="AX356" s="1">
        <f t="shared" si="179"/>
        <v>0</v>
      </c>
      <c r="AY356" s="29">
        <f t="shared" si="180"/>
        <v>0</v>
      </c>
      <c r="AZ356" s="1">
        <f t="shared" si="181"/>
        <v>0</v>
      </c>
      <c r="CB356" s="20">
        <f t="shared" si="159"/>
        <v>0</v>
      </c>
      <c r="CC356" s="173">
        <f t="shared" si="182"/>
        <v>0</v>
      </c>
    </row>
    <row r="357" spans="2:81" x14ac:dyDescent="0.25">
      <c r="B357" s="41"/>
      <c r="C357" s="42"/>
      <c r="D357" s="43"/>
      <c r="E357" s="44"/>
      <c r="F357" s="44"/>
      <c r="G357" s="45"/>
      <c r="H357" s="81" t="str">
        <f t="shared" si="172"/>
        <v/>
      </c>
      <c r="J357" s="7"/>
      <c r="K357" s="8"/>
      <c r="L357" s="16"/>
      <c r="M357" s="22"/>
      <c r="N357" s="22"/>
      <c r="O357" s="22"/>
      <c r="P357" s="22"/>
      <c r="Q357" s="1">
        <f t="shared" si="183"/>
        <v>0.60744618579017706</v>
      </c>
      <c r="R357" s="12">
        <f t="shared" ca="1" si="166"/>
        <v>9812</v>
      </c>
      <c r="S357" s="88">
        <f t="shared" si="174"/>
        <v>0</v>
      </c>
      <c r="T357" s="19">
        <f t="shared" si="175"/>
        <v>0</v>
      </c>
      <c r="U357" s="19">
        <f t="shared" si="165"/>
        <v>0</v>
      </c>
      <c r="V357" s="19">
        <f t="shared" si="188"/>
        <v>0</v>
      </c>
      <c r="W357" s="20">
        <f t="shared" ca="1" si="167"/>
        <v>0</v>
      </c>
      <c r="X357" s="19">
        <f t="shared" ca="1" si="168"/>
        <v>0</v>
      </c>
      <c r="Y357" s="19">
        <f t="shared" ca="1" si="169"/>
        <v>0</v>
      </c>
      <c r="Z357" s="20">
        <f t="shared" ca="1" si="170"/>
        <v>0</v>
      </c>
      <c r="AA357" s="1">
        <f t="shared" si="184"/>
        <v>5432.58</v>
      </c>
      <c r="AB357" s="91"/>
      <c r="AC357" s="92"/>
      <c r="AD357" s="101">
        <f t="shared" si="185"/>
        <v>50934</v>
      </c>
      <c r="AE357" s="103">
        <f t="shared" si="186"/>
        <v>0</v>
      </c>
      <c r="AG357" s="1">
        <f t="shared" si="176"/>
        <v>0</v>
      </c>
      <c r="AH357" s="1">
        <f t="shared" si="160"/>
        <v>0</v>
      </c>
      <c r="AI357" s="1">
        <f t="shared" si="187"/>
        <v>5432.58</v>
      </c>
      <c r="AJ357" s="20">
        <f t="shared" si="158"/>
        <v>0</v>
      </c>
      <c r="AK357" s="100">
        <f t="shared" si="161"/>
        <v>0</v>
      </c>
      <c r="AL357" s="100">
        <f t="shared" si="162"/>
        <v>0</v>
      </c>
      <c r="AN357" s="100">
        <f t="shared" si="163"/>
        <v>4601.6773495030648</v>
      </c>
      <c r="AO357" s="20">
        <f t="shared" si="164"/>
        <v>0</v>
      </c>
      <c r="AQ357" s="109">
        <f t="shared" si="177"/>
        <v>0</v>
      </c>
      <c r="AU357" s="109">
        <f t="shared" si="178"/>
        <v>26.293195067461511</v>
      </c>
      <c r="AV357" s="101">
        <f t="shared" si="173"/>
        <v>50964</v>
      </c>
      <c r="AW357" s="99">
        <f t="shared" si="171"/>
        <v>0</v>
      </c>
      <c r="AX357" s="1">
        <f t="shared" si="179"/>
        <v>0</v>
      </c>
      <c r="AY357" s="29">
        <f t="shared" si="180"/>
        <v>0</v>
      </c>
      <c r="AZ357" s="1">
        <f t="shared" si="181"/>
        <v>0</v>
      </c>
      <c r="CB357" s="20">
        <f t="shared" si="159"/>
        <v>0</v>
      </c>
      <c r="CC357" s="173">
        <f t="shared" si="182"/>
        <v>0</v>
      </c>
    </row>
    <row r="358" spans="2:81" x14ac:dyDescent="0.25">
      <c r="B358" s="41"/>
      <c r="C358" s="42"/>
      <c r="D358" s="43"/>
      <c r="E358" s="44"/>
      <c r="F358" s="44"/>
      <c r="G358" s="45"/>
      <c r="H358" s="81" t="str">
        <f t="shared" si="172"/>
        <v/>
      </c>
      <c r="J358" s="9"/>
      <c r="K358" s="10"/>
      <c r="L358" s="17"/>
      <c r="M358" s="23"/>
      <c r="N358" s="23"/>
      <c r="O358" s="23"/>
      <c r="P358" s="23"/>
      <c r="Q358" s="1">
        <f t="shared" si="183"/>
        <v>0.60744618579017706</v>
      </c>
      <c r="R358" s="12">
        <f t="shared" ca="1" si="166"/>
        <v>9842</v>
      </c>
      <c r="S358" s="88">
        <f t="shared" si="174"/>
        <v>0</v>
      </c>
      <c r="T358" s="19">
        <f t="shared" si="175"/>
        <v>0</v>
      </c>
      <c r="U358" s="19">
        <f t="shared" si="165"/>
        <v>0</v>
      </c>
      <c r="V358" s="19">
        <f t="shared" si="188"/>
        <v>0</v>
      </c>
      <c r="W358" s="20">
        <f t="shared" ca="1" si="167"/>
        <v>0</v>
      </c>
      <c r="X358" s="19">
        <f t="shared" ca="1" si="168"/>
        <v>0</v>
      </c>
      <c r="Y358" s="19">
        <f t="shared" ca="1" si="169"/>
        <v>0</v>
      </c>
      <c r="Z358" s="20">
        <f t="shared" ca="1" si="170"/>
        <v>0</v>
      </c>
      <c r="AA358" s="1">
        <f t="shared" si="184"/>
        <v>5432.58</v>
      </c>
      <c r="AB358" s="93"/>
      <c r="AC358" s="94"/>
      <c r="AD358" s="101">
        <f t="shared" si="185"/>
        <v>50964</v>
      </c>
      <c r="AE358" s="103">
        <f t="shared" si="186"/>
        <v>0</v>
      </c>
      <c r="AG358" s="1">
        <f t="shared" si="176"/>
        <v>0</v>
      </c>
      <c r="AH358" s="1">
        <f t="shared" si="160"/>
        <v>0</v>
      </c>
      <c r="AI358" s="1">
        <f t="shared" si="187"/>
        <v>5432.58</v>
      </c>
      <c r="AJ358" s="20">
        <f t="shared" si="158"/>
        <v>0</v>
      </c>
      <c r="AK358" s="100">
        <f t="shared" si="161"/>
        <v>0</v>
      </c>
      <c r="AL358" s="100">
        <f t="shared" si="162"/>
        <v>0</v>
      </c>
      <c r="AN358" s="100">
        <f t="shared" si="163"/>
        <v>4599.349135261954</v>
      </c>
      <c r="AO358" s="20">
        <f t="shared" si="164"/>
        <v>0</v>
      </c>
      <c r="AQ358" s="109">
        <f t="shared" si="177"/>
        <v>0</v>
      </c>
      <c r="AU358" s="109">
        <f t="shared" si="178"/>
        <v>26.29088731179748</v>
      </c>
      <c r="AV358" s="101">
        <f t="shared" si="173"/>
        <v>50994</v>
      </c>
      <c r="AW358" s="99">
        <f t="shared" si="171"/>
        <v>0</v>
      </c>
      <c r="AX358" s="1">
        <f t="shared" si="179"/>
        <v>0</v>
      </c>
      <c r="AY358" s="29">
        <f t="shared" si="180"/>
        <v>0</v>
      </c>
      <c r="AZ358" s="1">
        <f t="shared" si="181"/>
        <v>0</v>
      </c>
      <c r="CB358" s="20">
        <f t="shared" si="159"/>
        <v>0</v>
      </c>
      <c r="CC358" s="173">
        <f t="shared" si="182"/>
        <v>0</v>
      </c>
    </row>
    <row r="359" spans="2:81" x14ac:dyDescent="0.25">
      <c r="B359" s="41"/>
      <c r="C359" s="42"/>
      <c r="D359" s="43"/>
      <c r="E359" s="44"/>
      <c r="F359" s="44"/>
      <c r="G359" s="45"/>
      <c r="H359" s="81" t="str">
        <f t="shared" si="172"/>
        <v/>
      </c>
      <c r="J359" s="7"/>
      <c r="K359" s="8"/>
      <c r="L359" s="16"/>
      <c r="M359" s="22"/>
      <c r="N359" s="22"/>
      <c r="O359" s="22"/>
      <c r="P359" s="22"/>
      <c r="Q359" s="1">
        <f t="shared" si="183"/>
        <v>0.60744618579017706</v>
      </c>
      <c r="R359" s="12">
        <f t="shared" ca="1" si="166"/>
        <v>9872</v>
      </c>
      <c r="S359" s="88">
        <f t="shared" si="174"/>
        <v>0</v>
      </c>
      <c r="T359" s="19">
        <f t="shared" si="175"/>
        <v>0</v>
      </c>
      <c r="U359" s="19">
        <f t="shared" si="165"/>
        <v>0</v>
      </c>
      <c r="V359" s="19">
        <f t="shared" si="188"/>
        <v>0</v>
      </c>
      <c r="W359" s="20">
        <f t="shared" ca="1" si="167"/>
        <v>0</v>
      </c>
      <c r="X359" s="19">
        <f t="shared" ca="1" si="168"/>
        <v>0</v>
      </c>
      <c r="Y359" s="19">
        <f t="shared" ca="1" si="169"/>
        <v>0</v>
      </c>
      <c r="Z359" s="20">
        <f t="shared" ca="1" si="170"/>
        <v>0</v>
      </c>
      <c r="AA359" s="1">
        <f t="shared" si="184"/>
        <v>5432.58</v>
      </c>
      <c r="AB359" s="91"/>
      <c r="AC359" s="92"/>
      <c r="AD359" s="101">
        <f t="shared" si="185"/>
        <v>50994</v>
      </c>
      <c r="AE359" s="103">
        <f t="shared" si="186"/>
        <v>0</v>
      </c>
      <c r="AG359" s="1">
        <f t="shared" si="176"/>
        <v>0</v>
      </c>
      <c r="AH359" s="1">
        <f t="shared" si="160"/>
        <v>0</v>
      </c>
      <c r="AI359" s="1">
        <f t="shared" si="187"/>
        <v>5432.58</v>
      </c>
      <c r="AJ359" s="20">
        <f t="shared" si="158"/>
        <v>0</v>
      </c>
      <c r="AK359" s="100">
        <f t="shared" si="161"/>
        <v>0</v>
      </c>
      <c r="AL359" s="100">
        <f t="shared" si="162"/>
        <v>0</v>
      </c>
      <c r="AN359" s="100">
        <f t="shared" si="163"/>
        <v>4597.0220989786058</v>
      </c>
      <c r="AO359" s="20">
        <f t="shared" si="164"/>
        <v>0</v>
      </c>
      <c r="AQ359" s="109">
        <f t="shared" si="177"/>
        <v>0</v>
      </c>
      <c r="AU359" s="109">
        <f t="shared" si="178"/>
        <v>26.288579758685334</v>
      </c>
      <c r="AV359" s="101">
        <f t="shared" si="173"/>
        <v>51024</v>
      </c>
      <c r="AW359" s="99">
        <f t="shared" si="171"/>
        <v>0</v>
      </c>
      <c r="AX359" s="1">
        <f t="shared" si="179"/>
        <v>0</v>
      </c>
      <c r="AY359" s="29">
        <f t="shared" si="180"/>
        <v>0</v>
      </c>
      <c r="AZ359" s="1">
        <f t="shared" si="181"/>
        <v>0</v>
      </c>
      <c r="CB359" s="20">
        <f t="shared" si="159"/>
        <v>0</v>
      </c>
      <c r="CC359" s="173">
        <f t="shared" si="182"/>
        <v>0</v>
      </c>
    </row>
    <row r="360" spans="2:81" x14ac:dyDescent="0.25">
      <c r="B360" s="41"/>
      <c r="C360" s="42"/>
      <c r="D360" s="43"/>
      <c r="E360" s="44"/>
      <c r="F360" s="44"/>
      <c r="G360" s="45"/>
      <c r="H360" s="81" t="str">
        <f t="shared" si="172"/>
        <v/>
      </c>
      <c r="J360" s="9"/>
      <c r="K360" s="10"/>
      <c r="L360" s="17"/>
      <c r="M360" s="23"/>
      <c r="N360" s="23"/>
      <c r="O360" s="23"/>
      <c r="P360" s="23"/>
      <c r="Q360" s="1">
        <f t="shared" si="183"/>
        <v>0.60744618579017706</v>
      </c>
      <c r="R360" s="12">
        <f t="shared" ca="1" si="166"/>
        <v>9902</v>
      </c>
      <c r="S360" s="88">
        <f t="shared" si="174"/>
        <v>0</v>
      </c>
      <c r="T360" s="19">
        <f t="shared" si="175"/>
        <v>0</v>
      </c>
      <c r="U360" s="19">
        <f t="shared" si="165"/>
        <v>0</v>
      </c>
      <c r="V360" s="19">
        <f t="shared" si="188"/>
        <v>0</v>
      </c>
      <c r="W360" s="20">
        <f t="shared" ca="1" si="167"/>
        <v>0</v>
      </c>
      <c r="X360" s="19">
        <f t="shared" ca="1" si="168"/>
        <v>0</v>
      </c>
      <c r="Y360" s="19">
        <f t="shared" ca="1" si="169"/>
        <v>0</v>
      </c>
      <c r="Z360" s="20">
        <f t="shared" ca="1" si="170"/>
        <v>0</v>
      </c>
      <c r="AA360" s="1">
        <f t="shared" si="184"/>
        <v>5432.58</v>
      </c>
      <c r="AB360" s="93"/>
      <c r="AC360" s="94"/>
      <c r="AD360" s="101">
        <f t="shared" si="185"/>
        <v>51024</v>
      </c>
      <c r="AE360" s="103">
        <f t="shared" si="186"/>
        <v>0</v>
      </c>
      <c r="AG360" s="1">
        <f t="shared" si="176"/>
        <v>0</v>
      </c>
      <c r="AH360" s="1">
        <f t="shared" si="160"/>
        <v>0</v>
      </c>
      <c r="AI360" s="1">
        <f t="shared" si="187"/>
        <v>5432.58</v>
      </c>
      <c r="AJ360" s="20">
        <f t="shared" ref="AJ360:AJ423" si="189">IF(ISERROR(IF(V359+U360+T360+(V359*Q360/1200)-AA360-P360&lt;0,V359,-(U360+T360-AA360+P360-AH360))),0,IF(V359+U360+T360+(V359*Q360/1200)-AA360-P360&lt;0,0,-(U360+T360-AA360-AH360)))</f>
        <v>0</v>
      </c>
      <c r="AK360" s="100">
        <f t="shared" si="161"/>
        <v>0</v>
      </c>
      <c r="AL360" s="100">
        <f t="shared" si="162"/>
        <v>0</v>
      </c>
      <c r="AN360" s="100">
        <f t="shared" si="163"/>
        <v>4594.6962400570328</v>
      </c>
      <c r="AO360" s="20">
        <f t="shared" si="164"/>
        <v>0</v>
      </c>
      <c r="AQ360" s="109">
        <f t="shared" si="177"/>
        <v>0</v>
      </c>
      <c r="AU360" s="109">
        <f t="shared" si="178"/>
        <v>26.286272408107294</v>
      </c>
      <c r="AV360" s="101">
        <f t="shared" si="173"/>
        <v>51054</v>
      </c>
      <c r="AW360" s="99">
        <f t="shared" si="171"/>
        <v>0</v>
      </c>
      <c r="AX360" s="1">
        <f t="shared" si="179"/>
        <v>0</v>
      </c>
      <c r="AY360" s="29">
        <f t="shared" si="180"/>
        <v>0</v>
      </c>
      <c r="AZ360" s="1">
        <f t="shared" si="181"/>
        <v>0</v>
      </c>
      <c r="CB360" s="20">
        <f t="shared" si="159"/>
        <v>0</v>
      </c>
      <c r="CC360" s="173">
        <f t="shared" si="182"/>
        <v>0</v>
      </c>
    </row>
    <row r="361" spans="2:81" x14ac:dyDescent="0.25">
      <c r="B361" s="41"/>
      <c r="C361" s="42"/>
      <c r="D361" s="43"/>
      <c r="E361" s="44"/>
      <c r="F361" s="44"/>
      <c r="G361" s="45"/>
      <c r="H361" s="81" t="str">
        <f t="shared" si="172"/>
        <v/>
      </c>
      <c r="J361" s="7"/>
      <c r="K361" s="8"/>
      <c r="L361" s="16"/>
      <c r="M361" s="22"/>
      <c r="N361" s="22"/>
      <c r="O361" s="22"/>
      <c r="P361" s="22"/>
      <c r="Q361" s="1">
        <f t="shared" si="183"/>
        <v>0.60744618579017706</v>
      </c>
      <c r="R361" s="12">
        <f t="shared" ca="1" si="166"/>
        <v>9932</v>
      </c>
      <c r="S361" s="88">
        <f t="shared" si="174"/>
        <v>0</v>
      </c>
      <c r="T361" s="19">
        <f t="shared" si="175"/>
        <v>0</v>
      </c>
      <c r="U361" s="19">
        <f t="shared" si="165"/>
        <v>0</v>
      </c>
      <c r="V361" s="19">
        <f t="shared" si="188"/>
        <v>0</v>
      </c>
      <c r="W361" s="20">
        <f t="shared" ca="1" si="167"/>
        <v>0</v>
      </c>
      <c r="X361" s="19">
        <f t="shared" ca="1" si="168"/>
        <v>0</v>
      </c>
      <c r="Y361" s="19">
        <f t="shared" ca="1" si="169"/>
        <v>0</v>
      </c>
      <c r="Z361" s="20">
        <f t="shared" ca="1" si="170"/>
        <v>0</v>
      </c>
      <c r="AA361" s="1">
        <f t="shared" si="184"/>
        <v>5432.58</v>
      </c>
      <c r="AB361" s="91"/>
      <c r="AC361" s="92"/>
      <c r="AD361" s="101">
        <f t="shared" si="185"/>
        <v>51054</v>
      </c>
      <c r="AE361" s="103">
        <f t="shared" si="186"/>
        <v>0</v>
      </c>
      <c r="AG361" s="1">
        <f t="shared" si="176"/>
        <v>0</v>
      </c>
      <c r="AH361" s="1">
        <f t="shared" si="160"/>
        <v>0</v>
      </c>
      <c r="AI361" s="1">
        <f t="shared" si="187"/>
        <v>5432.58</v>
      </c>
      <c r="AJ361" s="20">
        <f t="shared" si="189"/>
        <v>0</v>
      </c>
      <c r="AK361" s="100">
        <f t="shared" si="161"/>
        <v>0</v>
      </c>
      <c r="AL361" s="100">
        <f t="shared" si="162"/>
        <v>0</v>
      </c>
      <c r="AN361" s="100">
        <f t="shared" si="163"/>
        <v>4592.3715579015488</v>
      </c>
      <c r="AO361" s="20">
        <f t="shared" si="164"/>
        <v>0</v>
      </c>
      <c r="AQ361" s="109">
        <f t="shared" si="177"/>
        <v>0</v>
      </c>
      <c r="AU361" s="109">
        <f t="shared" si="178"/>
        <v>26.28396526004558</v>
      </c>
      <c r="AV361" s="101">
        <f t="shared" si="173"/>
        <v>51084</v>
      </c>
      <c r="AW361" s="99">
        <f t="shared" si="171"/>
        <v>0</v>
      </c>
      <c r="AX361" s="1">
        <f t="shared" si="179"/>
        <v>0</v>
      </c>
      <c r="AY361" s="29">
        <f t="shared" si="180"/>
        <v>0</v>
      </c>
      <c r="AZ361" s="1">
        <f t="shared" si="181"/>
        <v>0</v>
      </c>
      <c r="CB361" s="20">
        <f t="shared" si="159"/>
        <v>0</v>
      </c>
      <c r="CC361" s="173">
        <f t="shared" si="182"/>
        <v>0</v>
      </c>
    </row>
    <row r="362" spans="2:81" x14ac:dyDescent="0.25">
      <c r="B362" s="41"/>
      <c r="C362" s="42"/>
      <c r="D362" s="43"/>
      <c r="E362" s="44"/>
      <c r="F362" s="44"/>
      <c r="G362" s="45"/>
      <c r="H362" s="81" t="str">
        <f t="shared" si="172"/>
        <v/>
      </c>
      <c r="J362" s="9"/>
      <c r="K362" s="10"/>
      <c r="L362" s="17"/>
      <c r="M362" s="23"/>
      <c r="N362" s="23"/>
      <c r="O362" s="23"/>
      <c r="P362" s="23"/>
      <c r="Q362" s="1">
        <f t="shared" si="183"/>
        <v>0.60744618579017706</v>
      </c>
      <c r="R362" s="12">
        <f t="shared" ca="1" si="166"/>
        <v>9962</v>
      </c>
      <c r="S362" s="88">
        <f t="shared" si="174"/>
        <v>0</v>
      </c>
      <c r="T362" s="19">
        <f t="shared" si="175"/>
        <v>0</v>
      </c>
      <c r="U362" s="19">
        <f t="shared" si="165"/>
        <v>0</v>
      </c>
      <c r="V362" s="19">
        <f t="shared" si="188"/>
        <v>0</v>
      </c>
      <c r="W362" s="20">
        <f t="shared" ca="1" si="167"/>
        <v>0</v>
      </c>
      <c r="X362" s="19">
        <f t="shared" ca="1" si="168"/>
        <v>0</v>
      </c>
      <c r="Y362" s="19">
        <f t="shared" ca="1" si="169"/>
        <v>0</v>
      </c>
      <c r="Z362" s="20">
        <f t="shared" ca="1" si="170"/>
        <v>0</v>
      </c>
      <c r="AA362" s="1">
        <f t="shared" si="184"/>
        <v>5432.58</v>
      </c>
      <c r="AB362" s="93"/>
      <c r="AC362" s="94"/>
      <c r="AD362" s="101">
        <f t="shared" si="185"/>
        <v>51084</v>
      </c>
      <c r="AE362" s="103">
        <f t="shared" si="186"/>
        <v>0</v>
      </c>
      <c r="AG362" s="1">
        <f t="shared" si="176"/>
        <v>0</v>
      </c>
      <c r="AH362" s="1">
        <f t="shared" si="160"/>
        <v>0</v>
      </c>
      <c r="AI362" s="1">
        <f t="shared" si="187"/>
        <v>5432.58</v>
      </c>
      <c r="AJ362" s="20">
        <f t="shared" si="189"/>
        <v>0</v>
      </c>
      <c r="AK362" s="100">
        <f t="shared" si="161"/>
        <v>0</v>
      </c>
      <c r="AL362" s="100">
        <f t="shared" si="162"/>
        <v>0</v>
      </c>
      <c r="AN362" s="100">
        <f t="shared" si="163"/>
        <v>4590.0480519167741</v>
      </c>
      <c r="AO362" s="20">
        <f t="shared" si="164"/>
        <v>0</v>
      </c>
      <c r="AQ362" s="109">
        <f t="shared" si="177"/>
        <v>0</v>
      </c>
      <c r="AU362" s="109">
        <f t="shared" si="178"/>
        <v>26.281658314482421</v>
      </c>
      <c r="AV362" s="101">
        <f t="shared" si="173"/>
        <v>51114</v>
      </c>
      <c r="AW362" s="99">
        <f t="shared" si="171"/>
        <v>0</v>
      </c>
      <c r="AX362" s="1">
        <f t="shared" si="179"/>
        <v>0</v>
      </c>
      <c r="AY362" s="29">
        <f t="shared" si="180"/>
        <v>0</v>
      </c>
      <c r="AZ362" s="1">
        <f t="shared" si="181"/>
        <v>0</v>
      </c>
      <c r="CB362" s="20">
        <f t="shared" si="159"/>
        <v>0</v>
      </c>
      <c r="CC362" s="173">
        <f t="shared" si="182"/>
        <v>0</v>
      </c>
    </row>
    <row r="363" spans="2:81" x14ac:dyDescent="0.25">
      <c r="B363" s="41"/>
      <c r="C363" s="42"/>
      <c r="D363" s="43"/>
      <c r="E363" s="44"/>
      <c r="F363" s="44"/>
      <c r="G363" s="45"/>
      <c r="H363" s="81" t="str">
        <f t="shared" si="172"/>
        <v/>
      </c>
      <c r="J363" s="7"/>
      <c r="K363" s="8"/>
      <c r="L363" s="16"/>
      <c r="M363" s="22"/>
      <c r="N363" s="22"/>
      <c r="O363" s="22"/>
      <c r="P363" s="22"/>
      <c r="Q363" s="1">
        <f t="shared" si="183"/>
        <v>0.60744618579017706</v>
      </c>
      <c r="R363" s="12">
        <f t="shared" ca="1" si="166"/>
        <v>9992</v>
      </c>
      <c r="S363" s="88">
        <f t="shared" si="174"/>
        <v>0</v>
      </c>
      <c r="T363" s="19">
        <f t="shared" si="175"/>
        <v>0</v>
      </c>
      <c r="U363" s="19">
        <f t="shared" si="165"/>
        <v>0</v>
      </c>
      <c r="V363" s="19">
        <f t="shared" si="188"/>
        <v>0</v>
      </c>
      <c r="W363" s="20">
        <f t="shared" ca="1" si="167"/>
        <v>0</v>
      </c>
      <c r="X363" s="19">
        <f t="shared" ca="1" si="168"/>
        <v>0</v>
      </c>
      <c r="Y363" s="19">
        <f t="shared" ca="1" si="169"/>
        <v>0</v>
      </c>
      <c r="Z363" s="20">
        <f t="shared" ca="1" si="170"/>
        <v>0</v>
      </c>
      <c r="AA363" s="1">
        <f t="shared" si="184"/>
        <v>5432.58</v>
      </c>
      <c r="AB363" s="91"/>
      <c r="AC363" s="92"/>
      <c r="AD363" s="101">
        <f t="shared" si="185"/>
        <v>51114</v>
      </c>
      <c r="AE363" s="103">
        <f t="shared" si="186"/>
        <v>0</v>
      </c>
      <c r="AG363" s="1">
        <f t="shared" si="176"/>
        <v>0</v>
      </c>
      <c r="AH363" s="1">
        <f t="shared" si="160"/>
        <v>0</v>
      </c>
      <c r="AI363" s="1">
        <f t="shared" si="187"/>
        <v>5432.58</v>
      </c>
      <c r="AJ363" s="20">
        <f t="shared" si="189"/>
        <v>0</v>
      </c>
      <c r="AK363" s="100">
        <f t="shared" si="161"/>
        <v>0</v>
      </c>
      <c r="AL363" s="100">
        <f t="shared" si="162"/>
        <v>0</v>
      </c>
      <c r="AN363" s="100">
        <f t="shared" si="163"/>
        <v>4587.7257215076224</v>
      </c>
      <c r="AO363" s="20">
        <f t="shared" si="164"/>
        <v>0</v>
      </c>
      <c r="AQ363" s="109">
        <f t="shared" si="177"/>
        <v>0</v>
      </c>
      <c r="AU363" s="109">
        <f t="shared" si="178"/>
        <v>26.279351571400042</v>
      </c>
      <c r="AV363" s="101">
        <f t="shared" si="173"/>
        <v>51144</v>
      </c>
      <c r="AW363" s="99">
        <f t="shared" si="171"/>
        <v>0</v>
      </c>
      <c r="AX363" s="1">
        <f t="shared" si="179"/>
        <v>0</v>
      </c>
      <c r="AY363" s="29">
        <f t="shared" si="180"/>
        <v>0</v>
      </c>
      <c r="AZ363" s="1">
        <f t="shared" si="181"/>
        <v>0</v>
      </c>
      <c r="CB363" s="20">
        <f t="shared" si="159"/>
        <v>0</v>
      </c>
      <c r="CC363" s="173">
        <f t="shared" si="182"/>
        <v>0</v>
      </c>
    </row>
    <row r="364" spans="2:81" x14ac:dyDescent="0.25">
      <c r="B364" s="41"/>
      <c r="C364" s="42"/>
      <c r="D364" s="43"/>
      <c r="E364" s="44"/>
      <c r="F364" s="44"/>
      <c r="G364" s="45"/>
      <c r="H364" s="81" t="str">
        <f t="shared" si="172"/>
        <v/>
      </c>
      <c r="J364" s="9"/>
      <c r="K364" s="10"/>
      <c r="L364" s="17"/>
      <c r="M364" s="23"/>
      <c r="N364" s="23"/>
      <c r="O364" s="23"/>
      <c r="P364" s="23"/>
      <c r="Q364" s="1">
        <f t="shared" si="183"/>
        <v>0.60744618579017706</v>
      </c>
      <c r="R364" s="12">
        <f t="shared" ca="1" si="166"/>
        <v>10022</v>
      </c>
      <c r="S364" s="88">
        <f t="shared" si="174"/>
        <v>0</v>
      </c>
      <c r="T364" s="19">
        <f t="shared" si="175"/>
        <v>0</v>
      </c>
      <c r="U364" s="19">
        <f t="shared" si="165"/>
        <v>0</v>
      </c>
      <c r="V364" s="19">
        <f t="shared" si="188"/>
        <v>0</v>
      </c>
      <c r="W364" s="20">
        <f t="shared" ca="1" si="167"/>
        <v>0</v>
      </c>
      <c r="X364" s="19">
        <f t="shared" ca="1" si="168"/>
        <v>0</v>
      </c>
      <c r="Y364" s="19">
        <f t="shared" ca="1" si="169"/>
        <v>0</v>
      </c>
      <c r="Z364" s="20">
        <f t="shared" ca="1" si="170"/>
        <v>0</v>
      </c>
      <c r="AA364" s="1">
        <f t="shared" si="184"/>
        <v>5432.58</v>
      </c>
      <c r="AB364" s="93"/>
      <c r="AC364" s="94"/>
      <c r="AD364" s="101">
        <f t="shared" si="185"/>
        <v>51144</v>
      </c>
      <c r="AE364" s="103">
        <f t="shared" si="186"/>
        <v>0</v>
      </c>
      <c r="AG364" s="1">
        <f t="shared" si="176"/>
        <v>0</v>
      </c>
      <c r="AH364" s="1">
        <f t="shared" si="160"/>
        <v>0</v>
      </c>
      <c r="AI364" s="1">
        <f t="shared" si="187"/>
        <v>5432.58</v>
      </c>
      <c r="AJ364" s="20">
        <f t="shared" si="189"/>
        <v>0</v>
      </c>
      <c r="AK364" s="100">
        <f t="shared" si="161"/>
        <v>0</v>
      </c>
      <c r="AL364" s="100">
        <f t="shared" si="162"/>
        <v>0</v>
      </c>
      <c r="AN364" s="100">
        <f t="shared" si="163"/>
        <v>4585.4045660793136</v>
      </c>
      <c r="AO364" s="20">
        <f t="shared" si="164"/>
        <v>0</v>
      </c>
      <c r="AQ364" s="109">
        <f t="shared" si="177"/>
        <v>0</v>
      </c>
      <c r="AU364" s="109">
        <f t="shared" si="178"/>
        <v>26.277045030780684</v>
      </c>
      <c r="AV364" s="101">
        <f t="shared" si="173"/>
        <v>51174</v>
      </c>
      <c r="AW364" s="99">
        <f t="shared" si="171"/>
        <v>0</v>
      </c>
      <c r="AX364" s="1">
        <f t="shared" si="179"/>
        <v>0</v>
      </c>
      <c r="AY364" s="29">
        <f t="shared" si="180"/>
        <v>0</v>
      </c>
      <c r="AZ364" s="1">
        <f t="shared" si="181"/>
        <v>0</v>
      </c>
      <c r="CB364" s="20">
        <f t="shared" si="159"/>
        <v>0</v>
      </c>
      <c r="CC364" s="173">
        <f t="shared" si="182"/>
        <v>0</v>
      </c>
    </row>
    <row r="365" spans="2:81" x14ac:dyDescent="0.25">
      <c r="B365" s="41"/>
      <c r="C365" s="42"/>
      <c r="D365" s="43"/>
      <c r="E365" s="44"/>
      <c r="F365" s="44"/>
      <c r="G365" s="45"/>
      <c r="H365" s="81" t="str">
        <f t="shared" si="172"/>
        <v/>
      </c>
      <c r="J365" s="7"/>
      <c r="K365" s="8"/>
      <c r="L365" s="16"/>
      <c r="M365" s="22"/>
      <c r="N365" s="22"/>
      <c r="O365" s="22"/>
      <c r="P365" s="22"/>
      <c r="Q365" s="1">
        <f t="shared" si="183"/>
        <v>0.60744618579017706</v>
      </c>
      <c r="R365" s="12">
        <f t="shared" ca="1" si="166"/>
        <v>10052</v>
      </c>
      <c r="S365" s="88">
        <f t="shared" si="174"/>
        <v>0</v>
      </c>
      <c r="T365" s="19">
        <f t="shared" si="175"/>
        <v>0</v>
      </c>
      <c r="U365" s="19">
        <f t="shared" si="165"/>
        <v>0</v>
      </c>
      <c r="V365" s="19">
        <f t="shared" si="188"/>
        <v>0</v>
      </c>
      <c r="W365" s="20">
        <f t="shared" ca="1" si="167"/>
        <v>0</v>
      </c>
      <c r="X365" s="19">
        <f t="shared" ca="1" si="168"/>
        <v>0</v>
      </c>
      <c r="Y365" s="19">
        <f t="shared" ca="1" si="169"/>
        <v>0</v>
      </c>
      <c r="Z365" s="20">
        <f t="shared" ca="1" si="170"/>
        <v>0</v>
      </c>
      <c r="AA365" s="1">
        <f t="shared" si="184"/>
        <v>5432.58</v>
      </c>
      <c r="AB365" s="91"/>
      <c r="AC365" s="92"/>
      <c r="AD365" s="101">
        <f t="shared" si="185"/>
        <v>51174</v>
      </c>
      <c r="AE365" s="103">
        <f t="shared" si="186"/>
        <v>0</v>
      </c>
      <c r="AG365" s="1">
        <f t="shared" si="176"/>
        <v>0</v>
      </c>
      <c r="AH365" s="1">
        <f t="shared" si="160"/>
        <v>0</v>
      </c>
      <c r="AI365" s="1">
        <f t="shared" si="187"/>
        <v>5432.58</v>
      </c>
      <c r="AJ365" s="20">
        <f t="shared" si="189"/>
        <v>0</v>
      </c>
      <c r="AK365" s="100">
        <f t="shared" si="161"/>
        <v>0</v>
      </c>
      <c r="AL365" s="100">
        <f t="shared" si="162"/>
        <v>0</v>
      </c>
      <c r="AN365" s="100">
        <f t="shared" si="163"/>
        <v>4583.084585037368</v>
      </c>
      <c r="AO365" s="20">
        <f t="shared" si="164"/>
        <v>0</v>
      </c>
      <c r="AQ365" s="109">
        <f t="shared" si="177"/>
        <v>0</v>
      </c>
      <c r="AU365" s="109">
        <f t="shared" si="178"/>
        <v>26.274738692606562</v>
      </c>
      <c r="AV365" s="101">
        <f t="shared" si="173"/>
        <v>51204</v>
      </c>
      <c r="AW365" s="99">
        <f t="shared" si="171"/>
        <v>0</v>
      </c>
      <c r="AX365" s="1">
        <f t="shared" si="179"/>
        <v>0</v>
      </c>
      <c r="AY365" s="29">
        <f t="shared" si="180"/>
        <v>0</v>
      </c>
      <c r="AZ365" s="1">
        <f t="shared" si="181"/>
        <v>0</v>
      </c>
      <c r="CB365" s="20">
        <f t="shared" si="159"/>
        <v>0</v>
      </c>
      <c r="CC365" s="173">
        <f t="shared" si="182"/>
        <v>0</v>
      </c>
    </row>
    <row r="366" spans="2:81" x14ac:dyDescent="0.25">
      <c r="B366" s="41"/>
      <c r="C366" s="42"/>
      <c r="D366" s="43"/>
      <c r="E366" s="44"/>
      <c r="F366" s="44"/>
      <c r="G366" s="45"/>
      <c r="H366" s="81" t="str">
        <f t="shared" si="172"/>
        <v/>
      </c>
      <c r="J366" s="9"/>
      <c r="K366" s="10"/>
      <c r="L366" s="17"/>
      <c r="M366" s="23"/>
      <c r="N366" s="23"/>
      <c r="O366" s="23"/>
      <c r="P366" s="23"/>
      <c r="Q366" s="1">
        <f t="shared" si="183"/>
        <v>0.60744618579017706</v>
      </c>
      <c r="R366" s="12">
        <f t="shared" ca="1" si="166"/>
        <v>10082</v>
      </c>
      <c r="S366" s="88">
        <f t="shared" si="174"/>
        <v>0</v>
      </c>
      <c r="T366" s="19">
        <f t="shared" si="175"/>
        <v>0</v>
      </c>
      <c r="U366" s="19">
        <f t="shared" si="165"/>
        <v>0</v>
      </c>
      <c r="V366" s="19">
        <f t="shared" si="188"/>
        <v>0</v>
      </c>
      <c r="W366" s="20">
        <f t="shared" ca="1" si="167"/>
        <v>0</v>
      </c>
      <c r="X366" s="19">
        <f t="shared" ca="1" si="168"/>
        <v>0</v>
      </c>
      <c r="Y366" s="19">
        <f t="shared" ca="1" si="169"/>
        <v>0</v>
      </c>
      <c r="Z366" s="20">
        <f t="shared" ca="1" si="170"/>
        <v>0</v>
      </c>
      <c r="AA366" s="1">
        <f t="shared" si="184"/>
        <v>5432.58</v>
      </c>
      <c r="AB366" s="93"/>
      <c r="AC366" s="94"/>
      <c r="AD366" s="101">
        <f t="shared" si="185"/>
        <v>51204</v>
      </c>
      <c r="AE366" s="103">
        <f t="shared" si="186"/>
        <v>0</v>
      </c>
      <c r="AG366" s="1">
        <f t="shared" si="176"/>
        <v>0</v>
      </c>
      <c r="AH366" s="1">
        <f t="shared" si="160"/>
        <v>0</v>
      </c>
      <c r="AI366" s="1">
        <f t="shared" si="187"/>
        <v>5432.58</v>
      </c>
      <c r="AJ366" s="20">
        <f t="shared" si="189"/>
        <v>0</v>
      </c>
      <c r="AK366" s="100">
        <f t="shared" si="161"/>
        <v>0</v>
      </c>
      <c r="AL366" s="100">
        <f t="shared" si="162"/>
        <v>0</v>
      </c>
      <c r="AN366" s="100">
        <f t="shared" si="163"/>
        <v>4580.7657777876038</v>
      </c>
      <c r="AO366" s="20">
        <f t="shared" si="164"/>
        <v>0</v>
      </c>
      <c r="AQ366" s="109">
        <f t="shared" si="177"/>
        <v>0</v>
      </c>
      <c r="AU366" s="109">
        <f t="shared" si="178"/>
        <v>26.272432556859901</v>
      </c>
      <c r="AV366" s="101">
        <f t="shared" si="173"/>
        <v>51234</v>
      </c>
      <c r="AW366" s="99">
        <f t="shared" si="171"/>
        <v>0</v>
      </c>
      <c r="AX366" s="1">
        <f t="shared" si="179"/>
        <v>0</v>
      </c>
      <c r="AY366" s="29">
        <f t="shared" si="180"/>
        <v>0</v>
      </c>
      <c r="AZ366" s="1">
        <f t="shared" si="181"/>
        <v>0</v>
      </c>
      <c r="CB366" s="20">
        <f t="shared" ref="CB366:CB429" si="190">IF(O366=0,IF(P366&gt;0,V365,IF(O365=0,0,P366)),IF(O365=0,0,P366))</f>
        <v>0</v>
      </c>
      <c r="CC366" s="173">
        <f t="shared" si="182"/>
        <v>0</v>
      </c>
    </row>
    <row r="367" spans="2:81" x14ac:dyDescent="0.25">
      <c r="B367" s="41"/>
      <c r="C367" s="42"/>
      <c r="D367" s="43"/>
      <c r="E367" s="44"/>
      <c r="F367" s="44"/>
      <c r="G367" s="45"/>
      <c r="H367" s="81" t="str">
        <f t="shared" si="172"/>
        <v/>
      </c>
      <c r="J367" s="7"/>
      <c r="K367" s="8"/>
      <c r="L367" s="16"/>
      <c r="M367" s="22"/>
      <c r="N367" s="22"/>
      <c r="O367" s="22"/>
      <c r="P367" s="22"/>
      <c r="Q367" s="1">
        <f t="shared" si="183"/>
        <v>0.60744618579017706</v>
      </c>
      <c r="R367" s="12">
        <f t="shared" ca="1" si="166"/>
        <v>10112</v>
      </c>
      <c r="S367" s="88">
        <f t="shared" si="174"/>
        <v>0</v>
      </c>
      <c r="T367" s="19">
        <f t="shared" si="175"/>
        <v>0</v>
      </c>
      <c r="U367" s="19">
        <f t="shared" si="165"/>
        <v>0</v>
      </c>
      <c r="V367" s="19">
        <f t="shared" si="188"/>
        <v>0</v>
      </c>
      <c r="W367" s="20">
        <f t="shared" ca="1" si="167"/>
        <v>0</v>
      </c>
      <c r="X367" s="19">
        <f t="shared" ca="1" si="168"/>
        <v>0</v>
      </c>
      <c r="Y367" s="19">
        <f t="shared" ca="1" si="169"/>
        <v>0</v>
      </c>
      <c r="Z367" s="20">
        <f t="shared" ca="1" si="170"/>
        <v>0</v>
      </c>
      <c r="AA367" s="1">
        <f t="shared" si="184"/>
        <v>5432.58</v>
      </c>
      <c r="AB367" s="91"/>
      <c r="AC367" s="92"/>
      <c r="AD367" s="101">
        <f t="shared" si="185"/>
        <v>51234</v>
      </c>
      <c r="AE367" s="103">
        <f t="shared" si="186"/>
        <v>0</v>
      </c>
      <c r="AG367" s="1">
        <f t="shared" si="176"/>
        <v>0</v>
      </c>
      <c r="AH367" s="1">
        <f t="shared" ref="AH367:AH430" si="191">IF(ISERROR(IF(V366+U367+T367+(V366*Q367/1200)-AA367-P367&lt;0,0,(V366*Q367/1200))),0,IF(V366+U367+T367+(V366*Q367/1200)-AA367-P367&lt;0,0,(V366*Q367/1200)))</f>
        <v>0</v>
      </c>
      <c r="AI367" s="1">
        <f t="shared" si="187"/>
        <v>5432.58</v>
      </c>
      <c r="AJ367" s="20">
        <f t="shared" si="189"/>
        <v>0</v>
      </c>
      <c r="AK367" s="100">
        <f t="shared" ref="AK367:AK430" si="192">IF(ISERROR(AJ367/(1+(Q367)/1200)^(ROW()-29)),0,AJ367/(1+(Q367)/1200)^(ROW()-29))</f>
        <v>0</v>
      </c>
      <c r="AL367" s="100">
        <f t="shared" ref="AL367:AL430" si="193">IF(ISERROR((Q367/1200)*O367),0,(Q367/1200)*O367)</f>
        <v>0</v>
      </c>
      <c r="AN367" s="100">
        <f t="shared" ref="AN367:AN430" si="194">IF(ISERROR(AA367/(1+(Q367)/1200)^(ROW()-29)),0,AA367/(1+(Q367)/1200)^(ROW()-29))</f>
        <v>4578.4481437361455</v>
      </c>
      <c r="AO367" s="20">
        <f t="shared" ref="AO367:AO430" si="195">IF(ISERROR(V366+U367+T367+(V366*Q367/1200)-AA367-P367),0,IF(V366+U367+T367+(V366*Q367/1200)-AA367-P367&lt;0,V366,-(U367+T367-AA367+P367-AH367)))</f>
        <v>0</v>
      </c>
      <c r="AQ367" s="109">
        <f t="shared" si="177"/>
        <v>0</v>
      </c>
      <c r="AU367" s="109">
        <f t="shared" si="178"/>
        <v>26.270126623522952</v>
      </c>
      <c r="AV367" s="101">
        <f t="shared" si="173"/>
        <v>51264</v>
      </c>
      <c r="AW367" s="99">
        <f t="shared" si="171"/>
        <v>0</v>
      </c>
      <c r="AX367" s="1">
        <f t="shared" si="179"/>
        <v>0</v>
      </c>
      <c r="AY367" s="29">
        <f t="shared" si="180"/>
        <v>0</v>
      </c>
      <c r="AZ367" s="1">
        <f t="shared" si="181"/>
        <v>0</v>
      </c>
      <c r="CB367" s="20">
        <f t="shared" si="190"/>
        <v>0</v>
      </c>
      <c r="CC367" s="173">
        <f t="shared" si="182"/>
        <v>0</v>
      </c>
    </row>
    <row r="368" spans="2:81" x14ac:dyDescent="0.25">
      <c r="B368" s="41"/>
      <c r="C368" s="42"/>
      <c r="D368" s="43"/>
      <c r="E368" s="44"/>
      <c r="F368" s="44"/>
      <c r="G368" s="45"/>
      <c r="H368" s="81" t="str">
        <f t="shared" si="172"/>
        <v/>
      </c>
      <c r="J368" s="9"/>
      <c r="K368" s="10"/>
      <c r="L368" s="17"/>
      <c r="M368" s="23"/>
      <c r="N368" s="23"/>
      <c r="O368" s="23"/>
      <c r="P368" s="23"/>
      <c r="Q368" s="1">
        <f t="shared" si="183"/>
        <v>0.60744618579017706</v>
      </c>
      <c r="R368" s="12">
        <f t="shared" ca="1" si="166"/>
        <v>10142</v>
      </c>
      <c r="S368" s="88">
        <f t="shared" si="174"/>
        <v>0</v>
      </c>
      <c r="T368" s="19">
        <f t="shared" si="175"/>
        <v>0</v>
      </c>
      <c r="U368" s="19">
        <f t="shared" si="165"/>
        <v>0</v>
      </c>
      <c r="V368" s="19">
        <f t="shared" si="188"/>
        <v>0</v>
      </c>
      <c r="W368" s="20">
        <f t="shared" ca="1" si="167"/>
        <v>0</v>
      </c>
      <c r="X368" s="19">
        <f t="shared" ca="1" si="168"/>
        <v>0</v>
      </c>
      <c r="Y368" s="19">
        <f t="shared" ca="1" si="169"/>
        <v>0</v>
      </c>
      <c r="Z368" s="20">
        <f t="shared" ca="1" si="170"/>
        <v>0</v>
      </c>
      <c r="AA368" s="1">
        <f t="shared" si="184"/>
        <v>5432.58</v>
      </c>
      <c r="AB368" s="93"/>
      <c r="AC368" s="94"/>
      <c r="AD368" s="101">
        <f t="shared" si="185"/>
        <v>51264</v>
      </c>
      <c r="AE368" s="103">
        <f t="shared" si="186"/>
        <v>0</v>
      </c>
      <c r="AG368" s="1">
        <f t="shared" si="176"/>
        <v>0</v>
      </c>
      <c r="AH368" s="1">
        <f t="shared" si="191"/>
        <v>0</v>
      </c>
      <c r="AI368" s="1">
        <f t="shared" si="187"/>
        <v>5432.58</v>
      </c>
      <c r="AJ368" s="20">
        <f t="shared" si="189"/>
        <v>0</v>
      </c>
      <c r="AK368" s="100">
        <f t="shared" si="192"/>
        <v>0</v>
      </c>
      <c r="AL368" s="100">
        <f t="shared" si="193"/>
        <v>0</v>
      </c>
      <c r="AN368" s="100">
        <f t="shared" si="194"/>
        <v>4576.1316822894114</v>
      </c>
      <c r="AO368" s="20">
        <f t="shared" si="195"/>
        <v>0</v>
      </c>
      <c r="AQ368" s="109">
        <f t="shared" si="177"/>
        <v>0</v>
      </c>
      <c r="AU368" s="109">
        <f t="shared" si="178"/>
        <v>26.267820892577937</v>
      </c>
      <c r="AV368" s="101">
        <f t="shared" si="173"/>
        <v>51294</v>
      </c>
      <c r="AW368" s="99">
        <f t="shared" si="171"/>
        <v>0</v>
      </c>
      <c r="AX368" s="1">
        <f t="shared" si="179"/>
        <v>0</v>
      </c>
      <c r="AY368" s="29">
        <f t="shared" si="180"/>
        <v>0</v>
      </c>
      <c r="AZ368" s="1">
        <f t="shared" si="181"/>
        <v>0</v>
      </c>
      <c r="CB368" s="20">
        <f t="shared" si="190"/>
        <v>0</v>
      </c>
      <c r="CC368" s="173">
        <f t="shared" si="182"/>
        <v>0</v>
      </c>
    </row>
    <row r="369" spans="2:81" x14ac:dyDescent="0.25">
      <c r="B369" s="41"/>
      <c r="C369" s="42"/>
      <c r="D369" s="43"/>
      <c r="E369" s="44"/>
      <c r="F369" s="44"/>
      <c r="G369" s="45"/>
      <c r="H369" s="81" t="str">
        <f t="shared" si="172"/>
        <v/>
      </c>
      <c r="J369" s="7"/>
      <c r="K369" s="8"/>
      <c r="L369" s="16"/>
      <c r="M369" s="22"/>
      <c r="N369" s="22"/>
      <c r="O369" s="22"/>
      <c r="P369" s="22"/>
      <c r="Q369" s="1">
        <f t="shared" si="183"/>
        <v>0.60744618579017706</v>
      </c>
      <c r="R369" s="12">
        <f t="shared" ca="1" si="166"/>
        <v>10172</v>
      </c>
      <c r="S369" s="88">
        <f t="shared" si="174"/>
        <v>0</v>
      </c>
      <c r="T369" s="19">
        <f t="shared" si="175"/>
        <v>0</v>
      </c>
      <c r="U369" s="19">
        <f t="shared" si="165"/>
        <v>0</v>
      </c>
      <c r="V369" s="19">
        <f t="shared" si="188"/>
        <v>0</v>
      </c>
      <c r="W369" s="20">
        <f t="shared" ca="1" si="167"/>
        <v>0</v>
      </c>
      <c r="X369" s="19">
        <f t="shared" ca="1" si="168"/>
        <v>0</v>
      </c>
      <c r="Y369" s="19">
        <f t="shared" ca="1" si="169"/>
        <v>0</v>
      </c>
      <c r="Z369" s="20">
        <f t="shared" ca="1" si="170"/>
        <v>0</v>
      </c>
      <c r="AA369" s="1">
        <f t="shared" si="184"/>
        <v>5432.58</v>
      </c>
      <c r="AB369" s="91"/>
      <c r="AC369" s="92"/>
      <c r="AD369" s="101">
        <f t="shared" si="185"/>
        <v>51294</v>
      </c>
      <c r="AE369" s="103">
        <f t="shared" si="186"/>
        <v>0</v>
      </c>
      <c r="AG369" s="1">
        <f t="shared" si="176"/>
        <v>0</v>
      </c>
      <c r="AH369" s="1">
        <f t="shared" si="191"/>
        <v>0</v>
      </c>
      <c r="AI369" s="1">
        <f t="shared" si="187"/>
        <v>5432.58</v>
      </c>
      <c r="AJ369" s="20">
        <f t="shared" si="189"/>
        <v>0</v>
      </c>
      <c r="AK369" s="100">
        <f t="shared" si="192"/>
        <v>0</v>
      </c>
      <c r="AL369" s="100">
        <f t="shared" si="193"/>
        <v>0</v>
      </c>
      <c r="AN369" s="100">
        <f t="shared" si="194"/>
        <v>4573.8163928541244</v>
      </c>
      <c r="AO369" s="20">
        <f t="shared" si="195"/>
        <v>0</v>
      </c>
      <c r="AQ369" s="109">
        <f t="shared" si="177"/>
        <v>0</v>
      </c>
      <c r="AU369" s="109">
        <f t="shared" si="178"/>
        <v>26.265515364007101</v>
      </c>
      <c r="AV369" s="101">
        <f t="shared" si="173"/>
        <v>51324</v>
      </c>
      <c r="AW369" s="99">
        <f t="shared" si="171"/>
        <v>0</v>
      </c>
      <c r="AX369" s="1">
        <f t="shared" si="179"/>
        <v>0</v>
      </c>
      <c r="AY369" s="29">
        <f t="shared" si="180"/>
        <v>0</v>
      </c>
      <c r="AZ369" s="1">
        <f t="shared" si="181"/>
        <v>0</v>
      </c>
      <c r="CB369" s="20">
        <f t="shared" si="190"/>
        <v>0</v>
      </c>
      <c r="CC369" s="173">
        <f t="shared" si="182"/>
        <v>0</v>
      </c>
    </row>
    <row r="370" spans="2:81" x14ac:dyDescent="0.25">
      <c r="B370" s="41"/>
      <c r="C370" s="42"/>
      <c r="D370" s="43"/>
      <c r="E370" s="44"/>
      <c r="F370" s="44"/>
      <c r="G370" s="45"/>
      <c r="H370" s="81" t="str">
        <f t="shared" si="172"/>
        <v/>
      </c>
      <c r="J370" s="9"/>
      <c r="K370" s="10"/>
      <c r="L370" s="17"/>
      <c r="M370" s="23"/>
      <c r="N370" s="23"/>
      <c r="O370" s="23"/>
      <c r="P370" s="23"/>
      <c r="Q370" s="1">
        <f t="shared" si="183"/>
        <v>0.60744618579017706</v>
      </c>
      <c r="R370" s="12">
        <f t="shared" ca="1" si="166"/>
        <v>10202</v>
      </c>
      <c r="S370" s="88">
        <f t="shared" si="174"/>
        <v>0</v>
      </c>
      <c r="T370" s="19">
        <f t="shared" si="175"/>
        <v>0</v>
      </c>
      <c r="U370" s="19">
        <f t="shared" si="165"/>
        <v>0</v>
      </c>
      <c r="V370" s="19">
        <f t="shared" si="188"/>
        <v>0</v>
      </c>
      <c r="W370" s="20">
        <f t="shared" ca="1" si="167"/>
        <v>0</v>
      </c>
      <c r="X370" s="19">
        <f t="shared" ca="1" si="168"/>
        <v>0</v>
      </c>
      <c r="Y370" s="19">
        <f t="shared" ca="1" si="169"/>
        <v>0</v>
      </c>
      <c r="Z370" s="20">
        <f t="shared" ca="1" si="170"/>
        <v>0</v>
      </c>
      <c r="AA370" s="1">
        <f t="shared" si="184"/>
        <v>5432.58</v>
      </c>
      <c r="AB370" s="93"/>
      <c r="AC370" s="94"/>
      <c r="AD370" s="101">
        <f t="shared" si="185"/>
        <v>51324</v>
      </c>
      <c r="AE370" s="103">
        <f t="shared" si="186"/>
        <v>0</v>
      </c>
      <c r="AG370" s="1">
        <f t="shared" si="176"/>
        <v>0</v>
      </c>
      <c r="AH370" s="1">
        <f t="shared" si="191"/>
        <v>0</v>
      </c>
      <c r="AI370" s="1">
        <f t="shared" si="187"/>
        <v>5432.58</v>
      </c>
      <c r="AJ370" s="20">
        <f t="shared" si="189"/>
        <v>0</v>
      </c>
      <c r="AK370" s="100">
        <f t="shared" si="192"/>
        <v>0</v>
      </c>
      <c r="AL370" s="100">
        <f t="shared" si="193"/>
        <v>0</v>
      </c>
      <c r="AN370" s="100">
        <f t="shared" si="194"/>
        <v>4571.5022748373067</v>
      </c>
      <c r="AO370" s="20">
        <f t="shared" si="195"/>
        <v>0</v>
      </c>
      <c r="AQ370" s="109">
        <f t="shared" si="177"/>
        <v>0</v>
      </c>
      <c r="AU370" s="109">
        <f t="shared" si="178"/>
        <v>26.263210037792671</v>
      </c>
      <c r="AV370" s="101">
        <f t="shared" si="173"/>
        <v>51354</v>
      </c>
      <c r="AW370" s="99">
        <f t="shared" si="171"/>
        <v>0</v>
      </c>
      <c r="AX370" s="1">
        <f t="shared" si="179"/>
        <v>0</v>
      </c>
      <c r="AY370" s="29">
        <f t="shared" si="180"/>
        <v>0</v>
      </c>
      <c r="AZ370" s="1">
        <f t="shared" si="181"/>
        <v>0</v>
      </c>
      <c r="CB370" s="20">
        <f t="shared" si="190"/>
        <v>0</v>
      </c>
      <c r="CC370" s="173">
        <f t="shared" si="182"/>
        <v>0</v>
      </c>
    </row>
    <row r="371" spans="2:81" x14ac:dyDescent="0.25">
      <c r="B371" s="41"/>
      <c r="C371" s="42"/>
      <c r="D371" s="43"/>
      <c r="E371" s="44"/>
      <c r="F371" s="44"/>
      <c r="G371" s="45"/>
      <c r="H371" s="81" t="str">
        <f t="shared" si="172"/>
        <v/>
      </c>
      <c r="J371" s="7"/>
      <c r="K371" s="8"/>
      <c r="L371" s="16"/>
      <c r="M371" s="22"/>
      <c r="N371" s="22"/>
      <c r="O371" s="22"/>
      <c r="P371" s="22"/>
      <c r="Q371" s="1">
        <f t="shared" si="183"/>
        <v>0.60744618579017706</v>
      </c>
      <c r="R371" s="12">
        <f t="shared" ca="1" si="166"/>
        <v>10232</v>
      </c>
      <c r="S371" s="88">
        <f t="shared" si="174"/>
        <v>0</v>
      </c>
      <c r="T371" s="19">
        <f t="shared" si="175"/>
        <v>0</v>
      </c>
      <c r="U371" s="19">
        <f t="shared" si="165"/>
        <v>0</v>
      </c>
      <c r="V371" s="19">
        <f t="shared" si="188"/>
        <v>0</v>
      </c>
      <c r="W371" s="20">
        <f t="shared" ca="1" si="167"/>
        <v>0</v>
      </c>
      <c r="X371" s="19">
        <f t="shared" ca="1" si="168"/>
        <v>0</v>
      </c>
      <c r="Y371" s="19">
        <f t="shared" ca="1" si="169"/>
        <v>0</v>
      </c>
      <c r="Z371" s="20">
        <f t="shared" ca="1" si="170"/>
        <v>0</v>
      </c>
      <c r="AA371" s="1">
        <f t="shared" si="184"/>
        <v>5432.58</v>
      </c>
      <c r="AB371" s="91"/>
      <c r="AC371" s="92"/>
      <c r="AD371" s="101">
        <f t="shared" si="185"/>
        <v>51354</v>
      </c>
      <c r="AE371" s="103">
        <f t="shared" si="186"/>
        <v>0</v>
      </c>
      <c r="AG371" s="1">
        <f t="shared" si="176"/>
        <v>0</v>
      </c>
      <c r="AH371" s="1">
        <f t="shared" si="191"/>
        <v>0</v>
      </c>
      <c r="AI371" s="1">
        <f t="shared" si="187"/>
        <v>5432.58</v>
      </c>
      <c r="AJ371" s="20">
        <f t="shared" si="189"/>
        <v>0</v>
      </c>
      <c r="AK371" s="100">
        <f t="shared" si="192"/>
        <v>0</v>
      </c>
      <c r="AL371" s="100">
        <f t="shared" si="193"/>
        <v>0</v>
      </c>
      <c r="AN371" s="100">
        <f t="shared" si="194"/>
        <v>4569.1893276462779</v>
      </c>
      <c r="AO371" s="20">
        <f t="shared" si="195"/>
        <v>0</v>
      </c>
      <c r="AQ371" s="109">
        <f t="shared" si="177"/>
        <v>0</v>
      </c>
      <c r="AU371" s="109">
        <f t="shared" si="178"/>
        <v>26.260904913916903</v>
      </c>
      <c r="AV371" s="101">
        <f t="shared" si="173"/>
        <v>51384</v>
      </c>
      <c r="AW371" s="99">
        <f t="shared" si="171"/>
        <v>0</v>
      </c>
      <c r="AX371" s="1">
        <f t="shared" si="179"/>
        <v>0</v>
      </c>
      <c r="AY371" s="29">
        <f t="shared" si="180"/>
        <v>0</v>
      </c>
      <c r="AZ371" s="1">
        <f t="shared" si="181"/>
        <v>0</v>
      </c>
      <c r="CB371" s="20">
        <f t="shared" si="190"/>
        <v>0</v>
      </c>
      <c r="CC371" s="173">
        <f t="shared" si="182"/>
        <v>0</v>
      </c>
    </row>
    <row r="372" spans="2:81" x14ac:dyDescent="0.25">
      <c r="B372" s="41"/>
      <c r="C372" s="42"/>
      <c r="D372" s="43"/>
      <c r="E372" s="44"/>
      <c r="F372" s="44"/>
      <c r="G372" s="45"/>
      <c r="H372" s="81" t="str">
        <f t="shared" si="172"/>
        <v/>
      </c>
      <c r="J372" s="9"/>
      <c r="K372" s="10"/>
      <c r="L372" s="17"/>
      <c r="M372" s="23"/>
      <c r="N372" s="23"/>
      <c r="O372" s="23"/>
      <c r="P372" s="23"/>
      <c r="Q372" s="1">
        <f t="shared" si="183"/>
        <v>0.60744618579017706</v>
      </c>
      <c r="R372" s="12">
        <f t="shared" ca="1" si="166"/>
        <v>10262</v>
      </c>
      <c r="S372" s="88">
        <f t="shared" si="174"/>
        <v>0</v>
      </c>
      <c r="T372" s="19">
        <f t="shared" si="175"/>
        <v>0</v>
      </c>
      <c r="U372" s="19">
        <f t="shared" si="165"/>
        <v>0</v>
      </c>
      <c r="V372" s="19">
        <f t="shared" si="188"/>
        <v>0</v>
      </c>
      <c r="W372" s="20">
        <f t="shared" ca="1" si="167"/>
        <v>0</v>
      </c>
      <c r="X372" s="19">
        <f t="shared" ca="1" si="168"/>
        <v>0</v>
      </c>
      <c r="Y372" s="19">
        <f t="shared" ca="1" si="169"/>
        <v>0</v>
      </c>
      <c r="Z372" s="20">
        <f t="shared" ca="1" si="170"/>
        <v>0</v>
      </c>
      <c r="AA372" s="1">
        <f t="shared" si="184"/>
        <v>5432.58</v>
      </c>
      <c r="AB372" s="93"/>
      <c r="AC372" s="94"/>
      <c r="AD372" s="101">
        <f t="shared" si="185"/>
        <v>51384</v>
      </c>
      <c r="AE372" s="103">
        <f t="shared" si="186"/>
        <v>0</v>
      </c>
      <c r="AG372" s="1">
        <f t="shared" si="176"/>
        <v>0</v>
      </c>
      <c r="AH372" s="1">
        <f t="shared" si="191"/>
        <v>0</v>
      </c>
      <c r="AI372" s="1">
        <f t="shared" si="187"/>
        <v>5432.58</v>
      </c>
      <c r="AJ372" s="20">
        <f t="shared" si="189"/>
        <v>0</v>
      </c>
      <c r="AK372" s="100">
        <f t="shared" si="192"/>
        <v>0</v>
      </c>
      <c r="AL372" s="100">
        <f t="shared" si="193"/>
        <v>0</v>
      </c>
      <c r="AN372" s="100">
        <f t="shared" si="194"/>
        <v>4566.8775506886641</v>
      </c>
      <c r="AO372" s="20">
        <f t="shared" si="195"/>
        <v>0</v>
      </c>
      <c r="AQ372" s="109">
        <f t="shared" si="177"/>
        <v>0</v>
      </c>
      <c r="AU372" s="109">
        <f t="shared" si="178"/>
        <v>26.258599992362015</v>
      </c>
      <c r="AV372" s="101">
        <f t="shared" si="173"/>
        <v>51414</v>
      </c>
      <c r="AW372" s="99">
        <f t="shared" si="171"/>
        <v>0</v>
      </c>
      <c r="AX372" s="1">
        <f t="shared" si="179"/>
        <v>0</v>
      </c>
      <c r="AY372" s="29">
        <f t="shared" si="180"/>
        <v>0</v>
      </c>
      <c r="AZ372" s="1">
        <f t="shared" si="181"/>
        <v>0</v>
      </c>
      <c r="CB372" s="20">
        <f t="shared" si="190"/>
        <v>0</v>
      </c>
      <c r="CC372" s="173">
        <f t="shared" si="182"/>
        <v>0</v>
      </c>
    </row>
    <row r="373" spans="2:81" x14ac:dyDescent="0.25">
      <c r="B373" s="41"/>
      <c r="C373" s="42"/>
      <c r="D373" s="43"/>
      <c r="E373" s="44"/>
      <c r="F373" s="44"/>
      <c r="G373" s="45"/>
      <c r="H373" s="81" t="str">
        <f t="shared" si="172"/>
        <v/>
      </c>
      <c r="J373" s="7"/>
      <c r="K373" s="8"/>
      <c r="L373" s="16"/>
      <c r="M373" s="22"/>
      <c r="N373" s="22"/>
      <c r="O373" s="22"/>
      <c r="P373" s="22"/>
      <c r="Q373" s="1">
        <f t="shared" si="183"/>
        <v>0.60744618579017706</v>
      </c>
      <c r="R373" s="12">
        <f t="shared" ca="1" si="166"/>
        <v>10292</v>
      </c>
      <c r="S373" s="88">
        <f t="shared" si="174"/>
        <v>0</v>
      </c>
      <c r="T373" s="19">
        <f t="shared" si="175"/>
        <v>0</v>
      </c>
      <c r="U373" s="19">
        <f t="shared" si="165"/>
        <v>0</v>
      </c>
      <c r="V373" s="19">
        <f t="shared" si="188"/>
        <v>0</v>
      </c>
      <c r="W373" s="20">
        <f t="shared" ca="1" si="167"/>
        <v>0</v>
      </c>
      <c r="X373" s="19">
        <f t="shared" ca="1" si="168"/>
        <v>0</v>
      </c>
      <c r="Y373" s="19">
        <f t="shared" ca="1" si="169"/>
        <v>0</v>
      </c>
      <c r="Z373" s="20">
        <f t="shared" ca="1" si="170"/>
        <v>0</v>
      </c>
      <c r="AA373" s="1">
        <f t="shared" si="184"/>
        <v>5432.58</v>
      </c>
      <c r="AB373" s="91"/>
      <c r="AC373" s="92"/>
      <c r="AD373" s="101">
        <f t="shared" si="185"/>
        <v>51414</v>
      </c>
      <c r="AE373" s="103">
        <f t="shared" si="186"/>
        <v>0</v>
      </c>
      <c r="AG373" s="1">
        <f t="shared" si="176"/>
        <v>0</v>
      </c>
      <c r="AH373" s="1">
        <f t="shared" si="191"/>
        <v>0</v>
      </c>
      <c r="AI373" s="1">
        <f t="shared" si="187"/>
        <v>5432.58</v>
      </c>
      <c r="AJ373" s="20">
        <f t="shared" si="189"/>
        <v>0</v>
      </c>
      <c r="AK373" s="100">
        <f t="shared" si="192"/>
        <v>0</v>
      </c>
      <c r="AL373" s="100">
        <f t="shared" si="193"/>
        <v>0</v>
      </c>
      <c r="AN373" s="100">
        <f t="shared" si="194"/>
        <v>4564.5669433723851</v>
      </c>
      <c r="AO373" s="20">
        <f t="shared" si="195"/>
        <v>0</v>
      </c>
      <c r="AQ373" s="109">
        <f t="shared" si="177"/>
        <v>0</v>
      </c>
      <c r="AU373" s="109">
        <f t="shared" si="178"/>
        <v>26.256295273110272</v>
      </c>
      <c r="AV373" s="101">
        <f t="shared" si="173"/>
        <v>51444</v>
      </c>
      <c r="AW373" s="99">
        <f t="shared" si="171"/>
        <v>0</v>
      </c>
      <c r="AX373" s="1">
        <f t="shared" si="179"/>
        <v>0</v>
      </c>
      <c r="AY373" s="29">
        <f t="shared" si="180"/>
        <v>0</v>
      </c>
      <c r="AZ373" s="1">
        <f t="shared" si="181"/>
        <v>0</v>
      </c>
      <c r="CB373" s="20">
        <f t="shared" si="190"/>
        <v>0</v>
      </c>
      <c r="CC373" s="173">
        <f t="shared" si="182"/>
        <v>0</v>
      </c>
    </row>
    <row r="374" spans="2:81" x14ac:dyDescent="0.25">
      <c r="B374" s="41"/>
      <c r="C374" s="42"/>
      <c r="D374" s="43"/>
      <c r="E374" s="44"/>
      <c r="F374" s="44"/>
      <c r="G374" s="45"/>
      <c r="H374" s="81" t="str">
        <f t="shared" si="172"/>
        <v/>
      </c>
      <c r="J374" s="9"/>
      <c r="K374" s="10"/>
      <c r="L374" s="17"/>
      <c r="M374" s="23"/>
      <c r="N374" s="23"/>
      <c r="O374" s="23"/>
      <c r="P374" s="23"/>
      <c r="Q374" s="1">
        <f t="shared" si="183"/>
        <v>0.60744618579017706</v>
      </c>
      <c r="R374" s="12">
        <f t="shared" ca="1" si="166"/>
        <v>10322</v>
      </c>
      <c r="S374" s="88">
        <f t="shared" si="174"/>
        <v>0</v>
      </c>
      <c r="T374" s="19">
        <f t="shared" si="175"/>
        <v>0</v>
      </c>
      <c r="U374" s="19">
        <f t="shared" si="165"/>
        <v>0</v>
      </c>
      <c r="V374" s="19">
        <f t="shared" si="188"/>
        <v>0</v>
      </c>
      <c r="W374" s="20">
        <f t="shared" ca="1" si="167"/>
        <v>0</v>
      </c>
      <c r="X374" s="19">
        <f t="shared" ca="1" si="168"/>
        <v>0</v>
      </c>
      <c r="Y374" s="19">
        <f t="shared" ca="1" si="169"/>
        <v>0</v>
      </c>
      <c r="Z374" s="20">
        <f t="shared" ca="1" si="170"/>
        <v>0</v>
      </c>
      <c r="AA374" s="1">
        <f t="shared" si="184"/>
        <v>5432.58</v>
      </c>
      <c r="AB374" s="93"/>
      <c r="AC374" s="94"/>
      <c r="AD374" s="101">
        <f t="shared" si="185"/>
        <v>51444</v>
      </c>
      <c r="AE374" s="103">
        <f t="shared" si="186"/>
        <v>0</v>
      </c>
      <c r="AG374" s="1">
        <f t="shared" si="176"/>
        <v>0</v>
      </c>
      <c r="AH374" s="1">
        <f t="shared" si="191"/>
        <v>0</v>
      </c>
      <c r="AI374" s="1">
        <f t="shared" si="187"/>
        <v>5432.58</v>
      </c>
      <c r="AJ374" s="20">
        <f t="shared" si="189"/>
        <v>0</v>
      </c>
      <c r="AK374" s="100">
        <f t="shared" si="192"/>
        <v>0</v>
      </c>
      <c r="AL374" s="100">
        <f t="shared" si="193"/>
        <v>0</v>
      </c>
      <c r="AN374" s="100">
        <f t="shared" si="194"/>
        <v>4562.2575051056601</v>
      </c>
      <c r="AO374" s="20">
        <f t="shared" si="195"/>
        <v>0</v>
      </c>
      <c r="AQ374" s="109">
        <f t="shared" si="177"/>
        <v>0</v>
      </c>
      <c r="AU374" s="109">
        <f t="shared" si="178"/>
        <v>26.253990756143899</v>
      </c>
      <c r="AV374" s="101">
        <f t="shared" si="173"/>
        <v>51474</v>
      </c>
      <c r="AW374" s="99">
        <f t="shared" si="171"/>
        <v>0</v>
      </c>
      <c r="AX374" s="1">
        <f t="shared" si="179"/>
        <v>0</v>
      </c>
      <c r="AY374" s="29">
        <f t="shared" si="180"/>
        <v>0</v>
      </c>
      <c r="AZ374" s="1">
        <f t="shared" si="181"/>
        <v>0</v>
      </c>
      <c r="CB374" s="20">
        <f t="shared" si="190"/>
        <v>0</v>
      </c>
      <c r="CC374" s="173">
        <f t="shared" si="182"/>
        <v>0</v>
      </c>
    </row>
    <row r="375" spans="2:81" x14ac:dyDescent="0.25">
      <c r="B375" s="41"/>
      <c r="C375" s="42"/>
      <c r="D375" s="43"/>
      <c r="E375" s="44"/>
      <c r="F375" s="44"/>
      <c r="G375" s="45"/>
      <c r="H375" s="81" t="str">
        <f t="shared" si="172"/>
        <v/>
      </c>
      <c r="J375" s="7"/>
      <c r="K375" s="8"/>
      <c r="L375" s="16"/>
      <c r="M375" s="22"/>
      <c r="N375" s="22"/>
      <c r="O375" s="22"/>
      <c r="P375" s="22"/>
      <c r="Q375" s="1">
        <f t="shared" si="183"/>
        <v>0.60744618579017706</v>
      </c>
      <c r="R375" s="12">
        <f t="shared" ca="1" si="166"/>
        <v>10352</v>
      </c>
      <c r="S375" s="88">
        <f t="shared" si="174"/>
        <v>0</v>
      </c>
      <c r="T375" s="19">
        <f t="shared" si="175"/>
        <v>0</v>
      </c>
      <c r="U375" s="19">
        <f t="shared" si="165"/>
        <v>0</v>
      </c>
      <c r="V375" s="19">
        <f t="shared" si="188"/>
        <v>0</v>
      </c>
      <c r="W375" s="20">
        <f t="shared" ca="1" si="167"/>
        <v>0</v>
      </c>
      <c r="X375" s="19">
        <f t="shared" ca="1" si="168"/>
        <v>0</v>
      </c>
      <c r="Y375" s="19">
        <f t="shared" ca="1" si="169"/>
        <v>0</v>
      </c>
      <c r="Z375" s="20">
        <f t="shared" ca="1" si="170"/>
        <v>0</v>
      </c>
      <c r="AA375" s="1">
        <f t="shared" si="184"/>
        <v>5432.58</v>
      </c>
      <c r="AB375" s="91"/>
      <c r="AC375" s="92"/>
      <c r="AD375" s="101">
        <f t="shared" si="185"/>
        <v>51474</v>
      </c>
      <c r="AE375" s="103">
        <f t="shared" si="186"/>
        <v>0</v>
      </c>
      <c r="AG375" s="1">
        <f t="shared" si="176"/>
        <v>0</v>
      </c>
      <c r="AH375" s="1">
        <f t="shared" si="191"/>
        <v>0</v>
      </c>
      <c r="AI375" s="1">
        <f t="shared" si="187"/>
        <v>5432.58</v>
      </c>
      <c r="AJ375" s="20">
        <f t="shared" si="189"/>
        <v>0</v>
      </c>
      <c r="AK375" s="100">
        <f t="shared" si="192"/>
        <v>0</v>
      </c>
      <c r="AL375" s="100">
        <f t="shared" si="193"/>
        <v>0</v>
      </c>
      <c r="AN375" s="100">
        <f t="shared" si="194"/>
        <v>4559.949235297011</v>
      </c>
      <c r="AO375" s="20">
        <f t="shared" si="195"/>
        <v>0</v>
      </c>
      <c r="AQ375" s="109">
        <f t="shared" si="177"/>
        <v>0</v>
      </c>
      <c r="AU375" s="109">
        <f t="shared" si="178"/>
        <v>26.251686441445155</v>
      </c>
      <c r="AV375" s="101">
        <f t="shared" si="173"/>
        <v>51504</v>
      </c>
      <c r="AW375" s="99">
        <f t="shared" si="171"/>
        <v>0</v>
      </c>
      <c r="AX375" s="1">
        <f t="shared" si="179"/>
        <v>0</v>
      </c>
      <c r="AY375" s="29">
        <f t="shared" si="180"/>
        <v>0</v>
      </c>
      <c r="AZ375" s="1">
        <f t="shared" si="181"/>
        <v>0</v>
      </c>
      <c r="CB375" s="20">
        <f t="shared" si="190"/>
        <v>0</v>
      </c>
      <c r="CC375" s="173">
        <f t="shared" si="182"/>
        <v>0</v>
      </c>
    </row>
    <row r="376" spans="2:81" x14ac:dyDescent="0.25">
      <c r="B376" s="41"/>
      <c r="C376" s="42"/>
      <c r="D376" s="43"/>
      <c r="E376" s="44"/>
      <c r="F376" s="44"/>
      <c r="G376" s="45"/>
      <c r="H376" s="81" t="str">
        <f t="shared" si="172"/>
        <v/>
      </c>
      <c r="J376" s="9"/>
      <c r="K376" s="10"/>
      <c r="L376" s="17"/>
      <c r="M376" s="23"/>
      <c r="N376" s="23"/>
      <c r="O376" s="23"/>
      <c r="P376" s="23"/>
      <c r="Q376" s="1">
        <f t="shared" si="183"/>
        <v>0.60744618579017706</v>
      </c>
      <c r="R376" s="12">
        <f t="shared" ca="1" si="166"/>
        <v>10382</v>
      </c>
      <c r="S376" s="88">
        <f t="shared" si="174"/>
        <v>0</v>
      </c>
      <c r="T376" s="19">
        <f t="shared" si="175"/>
        <v>0</v>
      </c>
      <c r="U376" s="19">
        <f t="shared" si="165"/>
        <v>0</v>
      </c>
      <c r="V376" s="19">
        <f t="shared" si="188"/>
        <v>0</v>
      </c>
      <c r="W376" s="20">
        <f t="shared" ca="1" si="167"/>
        <v>0</v>
      </c>
      <c r="X376" s="19">
        <f t="shared" ca="1" si="168"/>
        <v>0</v>
      </c>
      <c r="Y376" s="19">
        <f t="shared" ca="1" si="169"/>
        <v>0</v>
      </c>
      <c r="Z376" s="20">
        <f t="shared" ca="1" si="170"/>
        <v>0</v>
      </c>
      <c r="AA376" s="1">
        <f t="shared" si="184"/>
        <v>5432.58</v>
      </c>
      <c r="AB376" s="93"/>
      <c r="AC376" s="94"/>
      <c r="AD376" s="101">
        <f t="shared" si="185"/>
        <v>51504</v>
      </c>
      <c r="AE376" s="103">
        <f t="shared" si="186"/>
        <v>0</v>
      </c>
      <c r="AG376" s="1">
        <f t="shared" si="176"/>
        <v>0</v>
      </c>
      <c r="AH376" s="1">
        <f t="shared" si="191"/>
        <v>0</v>
      </c>
      <c r="AI376" s="1">
        <f t="shared" si="187"/>
        <v>5432.58</v>
      </c>
      <c r="AJ376" s="20">
        <f t="shared" si="189"/>
        <v>0</v>
      </c>
      <c r="AK376" s="100">
        <f t="shared" si="192"/>
        <v>0</v>
      </c>
      <c r="AL376" s="100">
        <f t="shared" si="193"/>
        <v>0</v>
      </c>
      <c r="AN376" s="100">
        <f t="shared" si="194"/>
        <v>4557.642133355258</v>
      </c>
      <c r="AO376" s="20">
        <f t="shared" si="195"/>
        <v>0</v>
      </c>
      <c r="AQ376" s="109">
        <f t="shared" si="177"/>
        <v>0</v>
      </c>
      <c r="AU376" s="109">
        <f t="shared" si="178"/>
        <v>26.24938232899628</v>
      </c>
      <c r="AV376" s="101">
        <f t="shared" si="173"/>
        <v>51534</v>
      </c>
      <c r="AW376" s="99">
        <f t="shared" si="171"/>
        <v>0</v>
      </c>
      <c r="AX376" s="1">
        <f t="shared" si="179"/>
        <v>0</v>
      </c>
      <c r="AY376" s="29">
        <f t="shared" si="180"/>
        <v>0</v>
      </c>
      <c r="AZ376" s="1">
        <f t="shared" si="181"/>
        <v>0</v>
      </c>
      <c r="CB376" s="20">
        <f t="shared" si="190"/>
        <v>0</v>
      </c>
      <c r="CC376" s="173">
        <f t="shared" si="182"/>
        <v>0</v>
      </c>
    </row>
    <row r="377" spans="2:81" x14ac:dyDescent="0.25">
      <c r="B377" s="41"/>
      <c r="C377" s="42"/>
      <c r="D377" s="43"/>
      <c r="E377" s="44"/>
      <c r="F377" s="44"/>
      <c r="G377" s="45"/>
      <c r="H377" s="81" t="str">
        <f t="shared" si="172"/>
        <v/>
      </c>
      <c r="J377" s="7"/>
      <c r="K377" s="8"/>
      <c r="L377" s="16"/>
      <c r="M377" s="22"/>
      <c r="N377" s="22"/>
      <c r="O377" s="22"/>
      <c r="P377" s="22"/>
      <c r="Q377" s="1">
        <f t="shared" si="183"/>
        <v>0.60744618579017706</v>
      </c>
      <c r="R377" s="12">
        <f t="shared" ca="1" si="166"/>
        <v>10412</v>
      </c>
      <c r="S377" s="88">
        <f t="shared" si="174"/>
        <v>0</v>
      </c>
      <c r="T377" s="19">
        <f t="shared" si="175"/>
        <v>0</v>
      </c>
      <c r="U377" s="19">
        <f t="shared" si="165"/>
        <v>0</v>
      </c>
      <c r="V377" s="19">
        <f t="shared" si="188"/>
        <v>0</v>
      </c>
      <c r="W377" s="20">
        <f t="shared" ca="1" si="167"/>
        <v>0</v>
      </c>
      <c r="X377" s="19">
        <f t="shared" ca="1" si="168"/>
        <v>0</v>
      </c>
      <c r="Y377" s="19">
        <f t="shared" ca="1" si="169"/>
        <v>0</v>
      </c>
      <c r="Z377" s="20">
        <f t="shared" ca="1" si="170"/>
        <v>0</v>
      </c>
      <c r="AA377" s="1">
        <f t="shared" si="184"/>
        <v>5432.58</v>
      </c>
      <c r="AB377" s="91"/>
      <c r="AC377" s="92"/>
      <c r="AD377" s="101">
        <f t="shared" si="185"/>
        <v>51534</v>
      </c>
      <c r="AE377" s="103">
        <f t="shared" si="186"/>
        <v>0</v>
      </c>
      <c r="AG377" s="1">
        <f t="shared" si="176"/>
        <v>0</v>
      </c>
      <c r="AH377" s="1">
        <f t="shared" si="191"/>
        <v>0</v>
      </c>
      <c r="AI377" s="1">
        <f t="shared" si="187"/>
        <v>5432.58</v>
      </c>
      <c r="AJ377" s="20">
        <f t="shared" si="189"/>
        <v>0</v>
      </c>
      <c r="AK377" s="100">
        <f t="shared" si="192"/>
        <v>0</v>
      </c>
      <c r="AL377" s="100">
        <f t="shared" si="193"/>
        <v>0</v>
      </c>
      <c r="AN377" s="100">
        <f t="shared" si="194"/>
        <v>4555.3361986895188</v>
      </c>
      <c r="AO377" s="20">
        <f t="shared" si="195"/>
        <v>0</v>
      </c>
      <c r="AQ377" s="109">
        <f t="shared" si="177"/>
        <v>0</v>
      </c>
      <c r="AU377" s="109">
        <f t="shared" si="178"/>
        <v>26.247078418779523</v>
      </c>
      <c r="AV377" s="101">
        <f t="shared" si="173"/>
        <v>51564</v>
      </c>
      <c r="AW377" s="99">
        <f t="shared" si="171"/>
        <v>0</v>
      </c>
      <c r="AX377" s="1">
        <f t="shared" si="179"/>
        <v>0</v>
      </c>
      <c r="AY377" s="29">
        <f t="shared" si="180"/>
        <v>0</v>
      </c>
      <c r="AZ377" s="1">
        <f t="shared" si="181"/>
        <v>0</v>
      </c>
      <c r="CB377" s="20">
        <f t="shared" si="190"/>
        <v>0</v>
      </c>
      <c r="CC377" s="173">
        <f t="shared" si="182"/>
        <v>0</v>
      </c>
    </row>
    <row r="378" spans="2:81" x14ac:dyDescent="0.25">
      <c r="B378" s="41"/>
      <c r="C378" s="42"/>
      <c r="D378" s="43"/>
      <c r="E378" s="44"/>
      <c r="F378" s="44"/>
      <c r="G378" s="45"/>
      <c r="H378" s="81" t="str">
        <f t="shared" si="172"/>
        <v/>
      </c>
      <c r="J378" s="9"/>
      <c r="K378" s="10"/>
      <c r="L378" s="17"/>
      <c r="M378" s="23"/>
      <c r="N378" s="23"/>
      <c r="O378" s="23"/>
      <c r="P378" s="23"/>
      <c r="Q378" s="1">
        <f t="shared" si="183"/>
        <v>0.60744618579017706</v>
      </c>
      <c r="R378" s="12">
        <f t="shared" ca="1" si="166"/>
        <v>10442</v>
      </c>
      <c r="S378" s="88">
        <f t="shared" si="174"/>
        <v>0</v>
      </c>
      <c r="T378" s="19">
        <f t="shared" si="175"/>
        <v>0</v>
      </c>
      <c r="U378" s="19">
        <f t="shared" si="165"/>
        <v>0</v>
      </c>
      <c r="V378" s="19">
        <f t="shared" si="188"/>
        <v>0</v>
      </c>
      <c r="W378" s="20">
        <f t="shared" ca="1" si="167"/>
        <v>0</v>
      </c>
      <c r="X378" s="19">
        <f t="shared" ca="1" si="168"/>
        <v>0</v>
      </c>
      <c r="Y378" s="19">
        <f t="shared" ca="1" si="169"/>
        <v>0</v>
      </c>
      <c r="Z378" s="20">
        <f t="shared" ca="1" si="170"/>
        <v>0</v>
      </c>
      <c r="AA378" s="1">
        <f t="shared" si="184"/>
        <v>5432.58</v>
      </c>
      <c r="AB378" s="93"/>
      <c r="AC378" s="94"/>
      <c r="AD378" s="101">
        <f t="shared" si="185"/>
        <v>51564</v>
      </c>
      <c r="AE378" s="103">
        <f t="shared" si="186"/>
        <v>0</v>
      </c>
      <c r="AG378" s="1">
        <f t="shared" si="176"/>
        <v>0</v>
      </c>
      <c r="AH378" s="1">
        <f t="shared" si="191"/>
        <v>0</v>
      </c>
      <c r="AI378" s="1">
        <f t="shared" si="187"/>
        <v>5432.58</v>
      </c>
      <c r="AJ378" s="20">
        <f t="shared" si="189"/>
        <v>0</v>
      </c>
      <c r="AK378" s="100">
        <f t="shared" si="192"/>
        <v>0</v>
      </c>
      <c r="AL378" s="100">
        <f t="shared" si="193"/>
        <v>0</v>
      </c>
      <c r="AN378" s="100">
        <f t="shared" si="194"/>
        <v>4553.0314307092131</v>
      </c>
      <c r="AO378" s="20">
        <f t="shared" si="195"/>
        <v>0</v>
      </c>
      <c r="AQ378" s="109">
        <f t="shared" si="177"/>
        <v>0</v>
      </c>
      <c r="AU378" s="109">
        <f t="shared" si="178"/>
        <v>26.244774710777136</v>
      </c>
      <c r="AV378" s="101">
        <f t="shared" si="173"/>
        <v>51594</v>
      </c>
      <c r="AW378" s="99">
        <f t="shared" si="171"/>
        <v>0</v>
      </c>
      <c r="AX378" s="1">
        <f t="shared" si="179"/>
        <v>0</v>
      </c>
      <c r="AY378" s="29">
        <f t="shared" si="180"/>
        <v>0</v>
      </c>
      <c r="AZ378" s="1">
        <f t="shared" si="181"/>
        <v>0</v>
      </c>
      <c r="CB378" s="20">
        <f t="shared" si="190"/>
        <v>0</v>
      </c>
      <c r="CC378" s="173">
        <f t="shared" si="182"/>
        <v>0</v>
      </c>
    </row>
    <row r="379" spans="2:81" x14ac:dyDescent="0.25">
      <c r="B379" s="41"/>
      <c r="C379" s="42"/>
      <c r="D379" s="43"/>
      <c r="E379" s="44"/>
      <c r="F379" s="44"/>
      <c r="G379" s="45"/>
      <c r="H379" s="81" t="str">
        <f t="shared" si="172"/>
        <v/>
      </c>
      <c r="J379" s="7"/>
      <c r="K379" s="8"/>
      <c r="L379" s="16"/>
      <c r="M379" s="22"/>
      <c r="N379" s="22"/>
      <c r="O379" s="22"/>
      <c r="P379" s="22"/>
      <c r="Q379" s="1">
        <f t="shared" si="183"/>
        <v>0.60744618579017706</v>
      </c>
      <c r="R379" s="12">
        <f t="shared" ca="1" si="166"/>
        <v>10472</v>
      </c>
      <c r="S379" s="88">
        <f t="shared" si="174"/>
        <v>0</v>
      </c>
      <c r="T379" s="19">
        <f t="shared" si="175"/>
        <v>0</v>
      </c>
      <c r="U379" s="19">
        <f t="shared" si="165"/>
        <v>0</v>
      </c>
      <c r="V379" s="19">
        <f t="shared" si="188"/>
        <v>0</v>
      </c>
      <c r="W379" s="20">
        <f t="shared" ca="1" si="167"/>
        <v>0</v>
      </c>
      <c r="X379" s="19">
        <f t="shared" ca="1" si="168"/>
        <v>0</v>
      </c>
      <c r="Y379" s="19">
        <f t="shared" ca="1" si="169"/>
        <v>0</v>
      </c>
      <c r="Z379" s="20">
        <f t="shared" ca="1" si="170"/>
        <v>0</v>
      </c>
      <c r="AA379" s="1">
        <f t="shared" si="184"/>
        <v>5432.58</v>
      </c>
      <c r="AB379" s="91"/>
      <c r="AC379" s="92"/>
      <c r="AD379" s="101">
        <f t="shared" si="185"/>
        <v>51594</v>
      </c>
      <c r="AE379" s="103">
        <f t="shared" si="186"/>
        <v>0</v>
      </c>
      <c r="AG379" s="1">
        <f t="shared" si="176"/>
        <v>0</v>
      </c>
      <c r="AH379" s="1">
        <f t="shared" si="191"/>
        <v>0</v>
      </c>
      <c r="AI379" s="1">
        <f t="shared" si="187"/>
        <v>5432.58</v>
      </c>
      <c r="AJ379" s="20">
        <f t="shared" si="189"/>
        <v>0</v>
      </c>
      <c r="AK379" s="100">
        <f t="shared" si="192"/>
        <v>0</v>
      </c>
      <c r="AL379" s="100">
        <f t="shared" si="193"/>
        <v>0</v>
      </c>
      <c r="AN379" s="100">
        <f t="shared" si="194"/>
        <v>4550.7278288240541</v>
      </c>
      <c r="AO379" s="20">
        <f t="shared" si="195"/>
        <v>0</v>
      </c>
      <c r="AQ379" s="109">
        <f t="shared" si="177"/>
        <v>0</v>
      </c>
      <c r="AU379" s="109">
        <f t="shared" si="178"/>
        <v>26.242471204971366</v>
      </c>
      <c r="AV379" s="101">
        <f t="shared" si="173"/>
        <v>51624</v>
      </c>
      <c r="AW379" s="99">
        <f t="shared" si="171"/>
        <v>0</v>
      </c>
      <c r="AX379" s="1">
        <f t="shared" si="179"/>
        <v>0</v>
      </c>
      <c r="AY379" s="29">
        <f t="shared" si="180"/>
        <v>0</v>
      </c>
      <c r="AZ379" s="1">
        <f t="shared" si="181"/>
        <v>0</v>
      </c>
      <c r="CB379" s="20">
        <f t="shared" si="190"/>
        <v>0</v>
      </c>
      <c r="CC379" s="173">
        <f t="shared" si="182"/>
        <v>0</v>
      </c>
    </row>
    <row r="380" spans="2:81" x14ac:dyDescent="0.25">
      <c r="B380" s="41"/>
      <c r="C380" s="42"/>
      <c r="D380" s="43"/>
      <c r="E380" s="44"/>
      <c r="F380" s="44"/>
      <c r="G380" s="45"/>
      <c r="H380" s="81" t="str">
        <f t="shared" si="172"/>
        <v/>
      </c>
      <c r="J380" s="9"/>
      <c r="K380" s="10"/>
      <c r="L380" s="17"/>
      <c r="M380" s="23"/>
      <c r="N380" s="23"/>
      <c r="O380" s="23"/>
      <c r="P380" s="23"/>
      <c r="Q380" s="1">
        <f t="shared" si="183"/>
        <v>0.60744618579017706</v>
      </c>
      <c r="R380" s="12">
        <f t="shared" ca="1" si="166"/>
        <v>10502</v>
      </c>
      <c r="S380" s="88">
        <f t="shared" si="174"/>
        <v>0</v>
      </c>
      <c r="T380" s="19">
        <f t="shared" si="175"/>
        <v>0</v>
      </c>
      <c r="U380" s="19">
        <f t="shared" si="165"/>
        <v>0</v>
      </c>
      <c r="V380" s="19">
        <f t="shared" si="188"/>
        <v>0</v>
      </c>
      <c r="W380" s="20">
        <f t="shared" ca="1" si="167"/>
        <v>0</v>
      </c>
      <c r="X380" s="19">
        <f t="shared" ca="1" si="168"/>
        <v>0</v>
      </c>
      <c r="Y380" s="19">
        <f t="shared" ca="1" si="169"/>
        <v>0</v>
      </c>
      <c r="Z380" s="20">
        <f t="shared" ca="1" si="170"/>
        <v>0</v>
      </c>
      <c r="AA380" s="1">
        <f t="shared" si="184"/>
        <v>5432.58</v>
      </c>
      <c r="AB380" s="93"/>
      <c r="AC380" s="94"/>
      <c r="AD380" s="101">
        <f t="shared" si="185"/>
        <v>51624</v>
      </c>
      <c r="AE380" s="103">
        <f t="shared" si="186"/>
        <v>0</v>
      </c>
      <c r="AG380" s="1">
        <f t="shared" si="176"/>
        <v>0</v>
      </c>
      <c r="AH380" s="1">
        <f t="shared" si="191"/>
        <v>0</v>
      </c>
      <c r="AI380" s="1">
        <f t="shared" si="187"/>
        <v>5432.58</v>
      </c>
      <c r="AJ380" s="20">
        <f t="shared" si="189"/>
        <v>0</v>
      </c>
      <c r="AK380" s="100">
        <f t="shared" si="192"/>
        <v>0</v>
      </c>
      <c r="AL380" s="100">
        <f t="shared" si="193"/>
        <v>0</v>
      </c>
      <c r="AN380" s="100">
        <f t="shared" si="194"/>
        <v>4548.4253924440618</v>
      </c>
      <c r="AO380" s="20">
        <f t="shared" si="195"/>
        <v>0</v>
      </c>
      <c r="AQ380" s="109">
        <f t="shared" si="177"/>
        <v>0</v>
      </c>
      <c r="AU380" s="109">
        <f t="shared" si="178"/>
        <v>26.240167901344481</v>
      </c>
      <c r="AV380" s="101">
        <f t="shared" si="173"/>
        <v>51654</v>
      </c>
      <c r="AW380" s="99">
        <f t="shared" si="171"/>
        <v>0</v>
      </c>
      <c r="AX380" s="1">
        <f t="shared" si="179"/>
        <v>0</v>
      </c>
      <c r="AY380" s="29">
        <f t="shared" si="180"/>
        <v>0</v>
      </c>
      <c r="AZ380" s="1">
        <f t="shared" si="181"/>
        <v>0</v>
      </c>
      <c r="CB380" s="20">
        <f t="shared" si="190"/>
        <v>0</v>
      </c>
      <c r="CC380" s="173">
        <f t="shared" si="182"/>
        <v>0</v>
      </c>
    </row>
    <row r="381" spans="2:81" x14ac:dyDescent="0.25">
      <c r="B381" s="41"/>
      <c r="C381" s="42"/>
      <c r="D381" s="43"/>
      <c r="E381" s="44"/>
      <c r="F381" s="44"/>
      <c r="G381" s="45"/>
      <c r="H381" s="81" t="str">
        <f t="shared" si="172"/>
        <v/>
      </c>
      <c r="J381" s="7"/>
      <c r="K381" s="8"/>
      <c r="L381" s="16"/>
      <c r="M381" s="22"/>
      <c r="N381" s="22"/>
      <c r="O381" s="22"/>
      <c r="P381" s="22"/>
      <c r="Q381" s="1">
        <f t="shared" si="183"/>
        <v>0.60744618579017706</v>
      </c>
      <c r="R381" s="12">
        <f t="shared" ca="1" si="166"/>
        <v>10532</v>
      </c>
      <c r="S381" s="88">
        <f t="shared" si="174"/>
        <v>0</v>
      </c>
      <c r="T381" s="19">
        <f t="shared" si="175"/>
        <v>0</v>
      </c>
      <c r="U381" s="19">
        <f t="shared" si="165"/>
        <v>0</v>
      </c>
      <c r="V381" s="19">
        <f t="shared" si="188"/>
        <v>0</v>
      </c>
      <c r="W381" s="20">
        <f t="shared" ca="1" si="167"/>
        <v>0</v>
      </c>
      <c r="X381" s="19">
        <f t="shared" ca="1" si="168"/>
        <v>0</v>
      </c>
      <c r="Y381" s="19">
        <f t="shared" ca="1" si="169"/>
        <v>0</v>
      </c>
      <c r="Z381" s="20">
        <f t="shared" ca="1" si="170"/>
        <v>0</v>
      </c>
      <c r="AA381" s="1">
        <f t="shared" si="184"/>
        <v>5432.58</v>
      </c>
      <c r="AB381" s="91"/>
      <c r="AC381" s="92"/>
      <c r="AD381" s="101">
        <f t="shared" si="185"/>
        <v>51654</v>
      </c>
      <c r="AE381" s="103">
        <f t="shared" si="186"/>
        <v>0</v>
      </c>
      <c r="AG381" s="1">
        <f t="shared" si="176"/>
        <v>0</v>
      </c>
      <c r="AH381" s="1">
        <f t="shared" si="191"/>
        <v>0</v>
      </c>
      <c r="AI381" s="1">
        <f t="shared" si="187"/>
        <v>5432.58</v>
      </c>
      <c r="AJ381" s="20">
        <f t="shared" si="189"/>
        <v>0</v>
      </c>
      <c r="AK381" s="100">
        <f t="shared" si="192"/>
        <v>0</v>
      </c>
      <c r="AL381" s="100">
        <f t="shared" si="193"/>
        <v>0</v>
      </c>
      <c r="AN381" s="100">
        <f t="shared" si="194"/>
        <v>4546.1241209795462</v>
      </c>
      <c r="AO381" s="20">
        <f t="shared" si="195"/>
        <v>0</v>
      </c>
      <c r="AQ381" s="109">
        <f t="shared" si="177"/>
        <v>0</v>
      </c>
      <c r="AU381" s="109">
        <f t="shared" si="178"/>
        <v>26.237864799878711</v>
      </c>
      <c r="AV381" s="101">
        <f t="shared" si="173"/>
        <v>51684</v>
      </c>
      <c r="AW381" s="99">
        <f t="shared" si="171"/>
        <v>0</v>
      </c>
      <c r="AX381" s="1">
        <f t="shared" si="179"/>
        <v>0</v>
      </c>
      <c r="AY381" s="29">
        <f t="shared" si="180"/>
        <v>0</v>
      </c>
      <c r="AZ381" s="1">
        <f t="shared" si="181"/>
        <v>0</v>
      </c>
      <c r="CB381" s="20">
        <f t="shared" si="190"/>
        <v>0</v>
      </c>
      <c r="CC381" s="173">
        <f t="shared" si="182"/>
        <v>0</v>
      </c>
    </row>
    <row r="382" spans="2:81" x14ac:dyDescent="0.25">
      <c r="B382" s="41"/>
      <c r="C382" s="42"/>
      <c r="D382" s="43"/>
      <c r="E382" s="44"/>
      <c r="F382" s="44"/>
      <c r="G382" s="45"/>
      <c r="H382" s="81" t="str">
        <f t="shared" si="172"/>
        <v/>
      </c>
      <c r="J382" s="9"/>
      <c r="K382" s="10"/>
      <c r="L382" s="17"/>
      <c r="M382" s="23"/>
      <c r="N382" s="23"/>
      <c r="O382" s="23"/>
      <c r="P382" s="23"/>
      <c r="Q382" s="1">
        <f t="shared" si="183"/>
        <v>0.60744618579017706</v>
      </c>
      <c r="R382" s="12">
        <f t="shared" ca="1" si="166"/>
        <v>10562</v>
      </c>
      <c r="S382" s="88">
        <f t="shared" si="174"/>
        <v>0</v>
      </c>
      <c r="T382" s="19">
        <f t="shared" si="175"/>
        <v>0</v>
      </c>
      <c r="U382" s="19">
        <f t="shared" si="165"/>
        <v>0</v>
      </c>
      <c r="V382" s="19">
        <f t="shared" si="188"/>
        <v>0</v>
      </c>
      <c r="W382" s="20">
        <f t="shared" ca="1" si="167"/>
        <v>0</v>
      </c>
      <c r="X382" s="19">
        <f t="shared" ca="1" si="168"/>
        <v>0</v>
      </c>
      <c r="Y382" s="19">
        <f t="shared" ca="1" si="169"/>
        <v>0</v>
      </c>
      <c r="Z382" s="20">
        <f t="shared" ca="1" si="170"/>
        <v>0</v>
      </c>
      <c r="AA382" s="1">
        <f t="shared" si="184"/>
        <v>5432.58</v>
      </c>
      <c r="AB382" s="93"/>
      <c r="AC382" s="94"/>
      <c r="AD382" s="101">
        <f t="shared" si="185"/>
        <v>51684</v>
      </c>
      <c r="AE382" s="103">
        <f t="shared" si="186"/>
        <v>0</v>
      </c>
      <c r="AG382" s="1">
        <f t="shared" si="176"/>
        <v>0</v>
      </c>
      <c r="AH382" s="1">
        <f t="shared" si="191"/>
        <v>0</v>
      </c>
      <c r="AI382" s="1">
        <f t="shared" si="187"/>
        <v>5432.58</v>
      </c>
      <c r="AJ382" s="20">
        <f t="shared" si="189"/>
        <v>0</v>
      </c>
      <c r="AK382" s="100">
        <f t="shared" si="192"/>
        <v>0</v>
      </c>
      <c r="AL382" s="100">
        <f t="shared" si="193"/>
        <v>0</v>
      </c>
      <c r="AN382" s="100">
        <f t="shared" si="194"/>
        <v>4543.824013841122</v>
      </c>
      <c r="AO382" s="20">
        <f t="shared" si="195"/>
        <v>0</v>
      </c>
      <c r="AQ382" s="109">
        <f t="shared" si="177"/>
        <v>0</v>
      </c>
      <c r="AU382" s="109">
        <f t="shared" si="178"/>
        <v>26.235561900556338</v>
      </c>
      <c r="AV382" s="101">
        <f t="shared" si="173"/>
        <v>51714</v>
      </c>
      <c r="AW382" s="99">
        <f t="shared" si="171"/>
        <v>0</v>
      </c>
      <c r="AX382" s="1">
        <f t="shared" si="179"/>
        <v>0</v>
      </c>
      <c r="AY382" s="29">
        <f t="shared" si="180"/>
        <v>0</v>
      </c>
      <c r="AZ382" s="1">
        <f t="shared" si="181"/>
        <v>0</v>
      </c>
      <c r="CB382" s="20">
        <f t="shared" si="190"/>
        <v>0</v>
      </c>
      <c r="CC382" s="173">
        <f t="shared" si="182"/>
        <v>0</v>
      </c>
    </row>
    <row r="383" spans="2:81" x14ac:dyDescent="0.25">
      <c r="B383" s="41"/>
      <c r="C383" s="42"/>
      <c r="D383" s="43"/>
      <c r="E383" s="44"/>
      <c r="F383" s="44"/>
      <c r="G383" s="45"/>
      <c r="H383" s="81" t="str">
        <f t="shared" si="172"/>
        <v/>
      </c>
      <c r="J383" s="7"/>
      <c r="K383" s="8"/>
      <c r="L383" s="16"/>
      <c r="M383" s="22"/>
      <c r="N383" s="22"/>
      <c r="O383" s="22"/>
      <c r="P383" s="22"/>
      <c r="Q383" s="1">
        <f t="shared" si="183"/>
        <v>0.60744618579017706</v>
      </c>
      <c r="R383" s="12">
        <f t="shared" ca="1" si="166"/>
        <v>10592</v>
      </c>
      <c r="S383" s="88">
        <f t="shared" si="174"/>
        <v>0</v>
      </c>
      <c r="T383" s="19">
        <f t="shared" si="175"/>
        <v>0</v>
      </c>
      <c r="U383" s="19">
        <f t="shared" si="165"/>
        <v>0</v>
      </c>
      <c r="V383" s="19">
        <f t="shared" si="188"/>
        <v>0</v>
      </c>
      <c r="W383" s="20">
        <f t="shared" ca="1" si="167"/>
        <v>0</v>
      </c>
      <c r="X383" s="19">
        <f t="shared" ca="1" si="168"/>
        <v>0</v>
      </c>
      <c r="Y383" s="19">
        <f t="shared" ca="1" si="169"/>
        <v>0</v>
      </c>
      <c r="Z383" s="20">
        <f t="shared" ca="1" si="170"/>
        <v>0</v>
      </c>
      <c r="AA383" s="1">
        <f t="shared" si="184"/>
        <v>5432.58</v>
      </c>
      <c r="AB383" s="91"/>
      <c r="AC383" s="92"/>
      <c r="AD383" s="101">
        <f t="shared" si="185"/>
        <v>51714</v>
      </c>
      <c r="AE383" s="103">
        <f t="shared" si="186"/>
        <v>0</v>
      </c>
      <c r="AG383" s="1">
        <f t="shared" si="176"/>
        <v>0</v>
      </c>
      <c r="AH383" s="1">
        <f t="shared" si="191"/>
        <v>0</v>
      </c>
      <c r="AI383" s="1">
        <f t="shared" si="187"/>
        <v>5432.58</v>
      </c>
      <c r="AJ383" s="20">
        <f t="shared" si="189"/>
        <v>0</v>
      </c>
      <c r="AK383" s="100">
        <f t="shared" si="192"/>
        <v>0</v>
      </c>
      <c r="AL383" s="100">
        <f t="shared" si="193"/>
        <v>0</v>
      </c>
      <c r="AN383" s="100">
        <f t="shared" si="194"/>
        <v>4541.5250704396976</v>
      </c>
      <c r="AO383" s="20">
        <f t="shared" si="195"/>
        <v>0</v>
      </c>
      <c r="AQ383" s="109">
        <f t="shared" si="177"/>
        <v>0</v>
      </c>
      <c r="AU383" s="109">
        <f t="shared" si="178"/>
        <v>26.233259203359605</v>
      </c>
      <c r="AV383" s="101">
        <f t="shared" si="173"/>
        <v>51744</v>
      </c>
      <c r="AW383" s="99">
        <f t="shared" si="171"/>
        <v>0</v>
      </c>
      <c r="AX383" s="1">
        <f t="shared" si="179"/>
        <v>0</v>
      </c>
      <c r="AY383" s="29">
        <f t="shared" si="180"/>
        <v>0</v>
      </c>
      <c r="AZ383" s="1">
        <f t="shared" si="181"/>
        <v>0</v>
      </c>
      <c r="CB383" s="20">
        <f t="shared" si="190"/>
        <v>0</v>
      </c>
      <c r="CC383" s="173">
        <f t="shared" si="182"/>
        <v>0</v>
      </c>
    </row>
    <row r="384" spans="2:81" x14ac:dyDescent="0.25">
      <c r="B384" s="41"/>
      <c r="C384" s="42"/>
      <c r="D384" s="43"/>
      <c r="E384" s="44"/>
      <c r="F384" s="44"/>
      <c r="G384" s="45"/>
      <c r="H384" s="81" t="str">
        <f t="shared" si="172"/>
        <v/>
      </c>
      <c r="J384" s="9"/>
      <c r="K384" s="10"/>
      <c r="L384" s="17"/>
      <c r="M384" s="23"/>
      <c r="N384" s="23"/>
      <c r="O384" s="23"/>
      <c r="P384" s="23"/>
      <c r="Q384" s="1">
        <f t="shared" si="183"/>
        <v>0.60744618579017706</v>
      </c>
      <c r="R384" s="12">
        <f t="shared" ca="1" si="166"/>
        <v>10622</v>
      </c>
      <c r="S384" s="88">
        <f t="shared" si="174"/>
        <v>0</v>
      </c>
      <c r="T384" s="19">
        <f t="shared" si="175"/>
        <v>0</v>
      </c>
      <c r="U384" s="19">
        <f t="shared" ref="U384:U447" si="196">AA384*(IF(ROW()-30&lt;$H$22,$H$21,0))</f>
        <v>0</v>
      </c>
      <c r="V384" s="19">
        <f t="shared" si="188"/>
        <v>0</v>
      </c>
      <c r="W384" s="20">
        <f t="shared" ca="1" si="167"/>
        <v>0</v>
      </c>
      <c r="X384" s="19">
        <f t="shared" ca="1" si="168"/>
        <v>0</v>
      </c>
      <c r="Y384" s="19">
        <f t="shared" ca="1" si="169"/>
        <v>0</v>
      </c>
      <c r="Z384" s="20">
        <f t="shared" ca="1" si="170"/>
        <v>0</v>
      </c>
      <c r="AA384" s="1">
        <f t="shared" si="184"/>
        <v>5432.58</v>
      </c>
      <c r="AB384" s="93"/>
      <c r="AC384" s="94"/>
      <c r="AD384" s="101">
        <f t="shared" si="185"/>
        <v>51744</v>
      </c>
      <c r="AE384" s="103">
        <f t="shared" si="186"/>
        <v>0</v>
      </c>
      <c r="AG384" s="1">
        <f t="shared" si="176"/>
        <v>0</v>
      </c>
      <c r="AH384" s="1">
        <f t="shared" si="191"/>
        <v>0</v>
      </c>
      <c r="AI384" s="1">
        <f t="shared" si="187"/>
        <v>5432.58</v>
      </c>
      <c r="AJ384" s="20">
        <f t="shared" si="189"/>
        <v>0</v>
      </c>
      <c r="AK384" s="100">
        <f t="shared" si="192"/>
        <v>0</v>
      </c>
      <c r="AL384" s="100">
        <f t="shared" si="193"/>
        <v>0</v>
      </c>
      <c r="AN384" s="100">
        <f t="shared" si="194"/>
        <v>4539.2272901864817</v>
      </c>
      <c r="AO384" s="20">
        <f t="shared" si="195"/>
        <v>0</v>
      </c>
      <c r="AQ384" s="109">
        <f t="shared" si="177"/>
        <v>0</v>
      </c>
      <c r="AU384" s="109">
        <f t="shared" si="178"/>
        <v>26.230956708270774</v>
      </c>
      <c r="AV384" s="101">
        <f t="shared" si="173"/>
        <v>51774</v>
      </c>
      <c r="AW384" s="99">
        <f t="shared" si="171"/>
        <v>0</v>
      </c>
      <c r="AX384" s="1">
        <f t="shared" si="179"/>
        <v>0</v>
      </c>
      <c r="AY384" s="29">
        <f t="shared" si="180"/>
        <v>0</v>
      </c>
      <c r="AZ384" s="1">
        <f t="shared" si="181"/>
        <v>0</v>
      </c>
      <c r="CB384" s="20">
        <f t="shared" si="190"/>
        <v>0</v>
      </c>
      <c r="CC384" s="173">
        <f t="shared" si="182"/>
        <v>0</v>
      </c>
    </row>
    <row r="385" spans="2:81" x14ac:dyDescent="0.25">
      <c r="B385" s="41"/>
      <c r="C385" s="42"/>
      <c r="D385" s="43"/>
      <c r="E385" s="44"/>
      <c r="F385" s="44"/>
      <c r="G385" s="45"/>
      <c r="H385" s="81" t="str">
        <f t="shared" si="172"/>
        <v/>
      </c>
      <c r="J385" s="7"/>
      <c r="K385" s="8"/>
      <c r="L385" s="16"/>
      <c r="M385" s="22"/>
      <c r="N385" s="22"/>
      <c r="O385" s="22"/>
      <c r="P385" s="22"/>
      <c r="Q385" s="1">
        <f t="shared" si="183"/>
        <v>0.60744618579017706</v>
      </c>
      <c r="R385" s="12">
        <f t="shared" ref="R385:R448" ca="1" si="197">IF(ROW()&gt;$T$20,R384+30,DAYS360(K384,K385)+R384)</f>
        <v>10652</v>
      </c>
      <c r="S385" s="88">
        <f t="shared" si="174"/>
        <v>0</v>
      </c>
      <c r="T385" s="19">
        <f t="shared" si="175"/>
        <v>0</v>
      </c>
      <c r="U385" s="19">
        <f t="shared" si="196"/>
        <v>0</v>
      </c>
      <c r="V385" s="19">
        <f t="shared" si="188"/>
        <v>0</v>
      </c>
      <c r="W385" s="20">
        <f t="shared" ref="W385:W448" ca="1" si="198">(T385)/(1+((1+$T$12)^$R385-1))</f>
        <v>0</v>
      </c>
      <c r="X385" s="19">
        <f t="shared" ref="X385:X448" ca="1" si="199">(U385)/(1+((1+$T$12)^$R385-1))</f>
        <v>0</v>
      </c>
      <c r="Y385" s="19">
        <f t="shared" ref="Y385:Y448" ca="1" si="200">P385/(1+((1+$T$12)^$R385-1))</f>
        <v>0</v>
      </c>
      <c r="Z385" s="20">
        <f t="shared" ref="Z385:Z448" ca="1" si="201">W385+X385</f>
        <v>0</v>
      </c>
      <c r="AA385" s="1">
        <f t="shared" si="184"/>
        <v>5432.58</v>
      </c>
      <c r="AB385" s="91"/>
      <c r="AC385" s="92"/>
      <c r="AD385" s="101">
        <f t="shared" si="185"/>
        <v>51774</v>
      </c>
      <c r="AE385" s="103">
        <f t="shared" si="186"/>
        <v>0</v>
      </c>
      <c r="AG385" s="1">
        <f t="shared" si="176"/>
        <v>0</v>
      </c>
      <c r="AH385" s="1">
        <f t="shared" si="191"/>
        <v>0</v>
      </c>
      <c r="AI385" s="1">
        <f t="shared" si="187"/>
        <v>5432.58</v>
      </c>
      <c r="AJ385" s="20">
        <f t="shared" si="189"/>
        <v>0</v>
      </c>
      <c r="AK385" s="100">
        <f t="shared" si="192"/>
        <v>0</v>
      </c>
      <c r="AL385" s="100">
        <f t="shared" si="193"/>
        <v>0</v>
      </c>
      <c r="AN385" s="100">
        <f t="shared" si="194"/>
        <v>4536.9306724929811</v>
      </c>
      <c r="AO385" s="20">
        <f t="shared" si="195"/>
        <v>0</v>
      </c>
      <c r="AQ385" s="109">
        <f t="shared" si="177"/>
        <v>0</v>
      </c>
      <c r="AU385" s="109">
        <f t="shared" si="178"/>
        <v>26.2286544152721</v>
      </c>
      <c r="AV385" s="101">
        <f t="shared" si="173"/>
        <v>51804</v>
      </c>
      <c r="AW385" s="99">
        <f t="shared" si="171"/>
        <v>0</v>
      </c>
      <c r="AX385" s="1">
        <f t="shared" si="179"/>
        <v>0</v>
      </c>
      <c r="AY385" s="29">
        <f t="shared" si="180"/>
        <v>0</v>
      </c>
      <c r="AZ385" s="1">
        <f t="shared" si="181"/>
        <v>0</v>
      </c>
      <c r="CB385" s="20">
        <f t="shared" si="190"/>
        <v>0</v>
      </c>
      <c r="CC385" s="173">
        <f t="shared" si="182"/>
        <v>0</v>
      </c>
    </row>
    <row r="386" spans="2:81" x14ac:dyDescent="0.25">
      <c r="B386" s="41"/>
      <c r="C386" s="42"/>
      <c r="D386" s="43"/>
      <c r="E386" s="44"/>
      <c r="F386" s="44"/>
      <c r="G386" s="45"/>
      <c r="H386" s="81" t="str">
        <f t="shared" si="172"/>
        <v/>
      </c>
      <c r="J386" s="9"/>
      <c r="K386" s="10"/>
      <c r="L386" s="17"/>
      <c r="M386" s="23"/>
      <c r="N386" s="23"/>
      <c r="O386" s="23"/>
      <c r="P386" s="23"/>
      <c r="Q386" s="1">
        <f t="shared" si="183"/>
        <v>0.60744618579017706</v>
      </c>
      <c r="R386" s="12">
        <f t="shared" ca="1" si="197"/>
        <v>10682</v>
      </c>
      <c r="S386" s="88">
        <f t="shared" si="174"/>
        <v>0</v>
      </c>
      <c r="T386" s="19">
        <f t="shared" si="175"/>
        <v>0</v>
      </c>
      <c r="U386" s="19">
        <f t="shared" si="196"/>
        <v>0</v>
      </c>
      <c r="V386" s="19">
        <f t="shared" si="188"/>
        <v>0</v>
      </c>
      <c r="W386" s="20">
        <f t="shared" ca="1" si="198"/>
        <v>0</v>
      </c>
      <c r="X386" s="19">
        <f t="shared" ca="1" si="199"/>
        <v>0</v>
      </c>
      <c r="Y386" s="19">
        <f t="shared" ca="1" si="200"/>
        <v>0</v>
      </c>
      <c r="Z386" s="20">
        <f t="shared" ca="1" si="201"/>
        <v>0</v>
      </c>
      <c r="AA386" s="1">
        <f t="shared" si="184"/>
        <v>5432.58</v>
      </c>
      <c r="AB386" s="93"/>
      <c r="AC386" s="94"/>
      <c r="AD386" s="101">
        <f t="shared" si="185"/>
        <v>51804</v>
      </c>
      <c r="AE386" s="103">
        <f t="shared" si="186"/>
        <v>0</v>
      </c>
      <c r="AG386" s="1">
        <f t="shared" si="176"/>
        <v>0</v>
      </c>
      <c r="AH386" s="1">
        <f t="shared" si="191"/>
        <v>0</v>
      </c>
      <c r="AI386" s="1">
        <f t="shared" si="187"/>
        <v>5432.58</v>
      </c>
      <c r="AJ386" s="20">
        <f t="shared" si="189"/>
        <v>0</v>
      </c>
      <c r="AK386" s="100">
        <f t="shared" si="192"/>
        <v>0</v>
      </c>
      <c r="AL386" s="100">
        <f t="shared" si="193"/>
        <v>0</v>
      </c>
      <c r="AN386" s="100">
        <f t="shared" si="194"/>
        <v>4534.6352167709993</v>
      </c>
      <c r="AO386" s="20">
        <f t="shared" si="195"/>
        <v>0</v>
      </c>
      <c r="AQ386" s="109">
        <f t="shared" si="177"/>
        <v>0</v>
      </c>
      <c r="AU386" s="109">
        <f t="shared" si="178"/>
        <v>26.22635232434585</v>
      </c>
      <c r="AV386" s="101">
        <f t="shared" si="173"/>
        <v>51834</v>
      </c>
      <c r="AW386" s="99">
        <f t="shared" si="171"/>
        <v>0</v>
      </c>
      <c r="AX386" s="1">
        <f t="shared" si="179"/>
        <v>0</v>
      </c>
      <c r="AY386" s="29">
        <f t="shared" si="180"/>
        <v>0</v>
      </c>
      <c r="AZ386" s="1">
        <f t="shared" si="181"/>
        <v>0</v>
      </c>
      <c r="CB386" s="20">
        <f t="shared" si="190"/>
        <v>0</v>
      </c>
      <c r="CC386" s="173">
        <f t="shared" si="182"/>
        <v>0</v>
      </c>
    </row>
    <row r="387" spans="2:81" x14ac:dyDescent="0.25">
      <c r="B387" s="41"/>
      <c r="C387" s="42"/>
      <c r="D387" s="43"/>
      <c r="E387" s="44"/>
      <c r="F387" s="44"/>
      <c r="G387" s="45"/>
      <c r="H387" s="81" t="str">
        <f t="shared" si="172"/>
        <v/>
      </c>
      <c r="J387" s="7"/>
      <c r="K387" s="8"/>
      <c r="L387" s="16"/>
      <c r="M387" s="22"/>
      <c r="N387" s="22"/>
      <c r="O387" s="22"/>
      <c r="P387" s="22"/>
      <c r="Q387" s="1">
        <f t="shared" si="183"/>
        <v>0.60744618579017706</v>
      </c>
      <c r="R387" s="12">
        <f t="shared" ca="1" si="197"/>
        <v>10712</v>
      </c>
      <c r="S387" s="88">
        <f t="shared" si="174"/>
        <v>0</v>
      </c>
      <c r="T387" s="19">
        <f t="shared" si="175"/>
        <v>0</v>
      </c>
      <c r="U387" s="19">
        <f t="shared" si="196"/>
        <v>0</v>
      </c>
      <c r="V387" s="19">
        <f t="shared" si="188"/>
        <v>0</v>
      </c>
      <c r="W387" s="20">
        <f t="shared" ca="1" si="198"/>
        <v>0</v>
      </c>
      <c r="X387" s="19">
        <f t="shared" ca="1" si="199"/>
        <v>0</v>
      </c>
      <c r="Y387" s="19">
        <f t="shared" ca="1" si="200"/>
        <v>0</v>
      </c>
      <c r="Z387" s="20">
        <f t="shared" ca="1" si="201"/>
        <v>0</v>
      </c>
      <c r="AA387" s="1">
        <f t="shared" si="184"/>
        <v>5432.58</v>
      </c>
      <c r="AB387" s="91"/>
      <c r="AC387" s="92"/>
      <c r="AD387" s="101">
        <f t="shared" si="185"/>
        <v>51834</v>
      </c>
      <c r="AE387" s="103">
        <f t="shared" si="186"/>
        <v>0</v>
      </c>
      <c r="AG387" s="1">
        <f t="shared" si="176"/>
        <v>0</v>
      </c>
      <c r="AH387" s="1">
        <f t="shared" si="191"/>
        <v>0</v>
      </c>
      <c r="AI387" s="1">
        <f t="shared" si="187"/>
        <v>5432.58</v>
      </c>
      <c r="AJ387" s="20">
        <f t="shared" si="189"/>
        <v>0</v>
      </c>
      <c r="AK387" s="100">
        <f t="shared" si="192"/>
        <v>0</v>
      </c>
      <c r="AL387" s="100">
        <f t="shared" si="193"/>
        <v>0</v>
      </c>
      <c r="AN387" s="100">
        <f t="shared" si="194"/>
        <v>4532.3409224326379</v>
      </c>
      <c r="AO387" s="20">
        <f t="shared" si="195"/>
        <v>0</v>
      </c>
      <c r="AQ387" s="109">
        <f t="shared" si="177"/>
        <v>0</v>
      </c>
      <c r="AU387" s="109">
        <f t="shared" si="178"/>
        <v>26.224050435474293</v>
      </c>
      <c r="AV387" s="101">
        <f t="shared" si="173"/>
        <v>51864</v>
      </c>
      <c r="AW387" s="99">
        <f t="shared" si="171"/>
        <v>0</v>
      </c>
      <c r="AX387" s="1">
        <f t="shared" si="179"/>
        <v>0</v>
      </c>
      <c r="AY387" s="29">
        <f t="shared" si="180"/>
        <v>0</v>
      </c>
      <c r="AZ387" s="1">
        <f t="shared" si="181"/>
        <v>0</v>
      </c>
      <c r="CB387" s="20">
        <f t="shared" si="190"/>
        <v>0</v>
      </c>
      <c r="CC387" s="173">
        <f t="shared" si="182"/>
        <v>0</v>
      </c>
    </row>
    <row r="388" spans="2:81" x14ac:dyDescent="0.25">
      <c r="B388" s="41"/>
      <c r="C388" s="42"/>
      <c r="D388" s="43"/>
      <c r="E388" s="44"/>
      <c r="F388" s="44"/>
      <c r="G388" s="45"/>
      <c r="H388" s="81" t="str">
        <f t="shared" si="172"/>
        <v/>
      </c>
      <c r="J388" s="9"/>
      <c r="K388" s="10"/>
      <c r="L388" s="17"/>
      <c r="M388" s="23"/>
      <c r="N388" s="23"/>
      <c r="O388" s="23"/>
      <c r="P388" s="23"/>
      <c r="Q388" s="1">
        <f t="shared" si="183"/>
        <v>0.60744618579017706</v>
      </c>
      <c r="R388" s="12">
        <f t="shared" ca="1" si="197"/>
        <v>10742</v>
      </c>
      <c r="S388" s="88">
        <f t="shared" si="174"/>
        <v>0</v>
      </c>
      <c r="T388" s="19">
        <f t="shared" si="175"/>
        <v>0</v>
      </c>
      <c r="U388" s="19">
        <f t="shared" si="196"/>
        <v>0</v>
      </c>
      <c r="V388" s="19">
        <f t="shared" si="188"/>
        <v>0</v>
      </c>
      <c r="W388" s="20">
        <f t="shared" ca="1" si="198"/>
        <v>0</v>
      </c>
      <c r="X388" s="19">
        <f t="shared" ca="1" si="199"/>
        <v>0</v>
      </c>
      <c r="Y388" s="19">
        <f t="shared" ca="1" si="200"/>
        <v>0</v>
      </c>
      <c r="Z388" s="20">
        <f t="shared" ca="1" si="201"/>
        <v>0</v>
      </c>
      <c r="AA388" s="1">
        <f t="shared" si="184"/>
        <v>5432.58</v>
      </c>
      <c r="AB388" s="93"/>
      <c r="AC388" s="94"/>
      <c r="AD388" s="101">
        <f t="shared" si="185"/>
        <v>51864</v>
      </c>
      <c r="AE388" s="103">
        <f t="shared" si="186"/>
        <v>0</v>
      </c>
      <c r="AG388" s="1">
        <f t="shared" si="176"/>
        <v>0</v>
      </c>
      <c r="AH388" s="1">
        <f t="shared" si="191"/>
        <v>0</v>
      </c>
      <c r="AI388" s="1">
        <f t="shared" si="187"/>
        <v>5432.58</v>
      </c>
      <c r="AJ388" s="20">
        <f t="shared" si="189"/>
        <v>0</v>
      </c>
      <c r="AK388" s="100">
        <f t="shared" si="192"/>
        <v>0</v>
      </c>
      <c r="AL388" s="100">
        <f t="shared" si="193"/>
        <v>0</v>
      </c>
      <c r="AN388" s="100">
        <f t="shared" si="194"/>
        <v>4530.0477888902969</v>
      </c>
      <c r="AO388" s="20">
        <f t="shared" si="195"/>
        <v>0</v>
      </c>
      <c r="AQ388" s="109">
        <f t="shared" si="177"/>
        <v>0</v>
      </c>
      <c r="AU388" s="109">
        <f t="shared" si="178"/>
        <v>26.221748748639694</v>
      </c>
      <c r="AV388" s="101">
        <f t="shared" si="173"/>
        <v>51894</v>
      </c>
      <c r="AW388" s="99">
        <f t="shared" si="171"/>
        <v>0</v>
      </c>
      <c r="AX388" s="1">
        <f t="shared" si="179"/>
        <v>0</v>
      </c>
      <c r="AY388" s="29">
        <f t="shared" si="180"/>
        <v>0</v>
      </c>
      <c r="AZ388" s="1">
        <f t="shared" si="181"/>
        <v>0</v>
      </c>
      <c r="CB388" s="20">
        <f t="shared" si="190"/>
        <v>0</v>
      </c>
      <c r="CC388" s="173">
        <f t="shared" si="182"/>
        <v>0</v>
      </c>
    </row>
    <row r="389" spans="2:81" x14ac:dyDescent="0.25">
      <c r="B389" s="41"/>
      <c r="C389" s="42"/>
      <c r="D389" s="43"/>
      <c r="E389" s="44"/>
      <c r="F389" s="44"/>
      <c r="G389" s="45"/>
      <c r="H389" s="81" t="str">
        <f t="shared" si="172"/>
        <v/>
      </c>
      <c r="J389" s="7"/>
      <c r="K389" s="8"/>
      <c r="L389" s="16"/>
      <c r="M389" s="22"/>
      <c r="N389" s="22"/>
      <c r="O389" s="22"/>
      <c r="P389" s="22"/>
      <c r="Q389" s="1">
        <f t="shared" si="183"/>
        <v>0.60744618579017706</v>
      </c>
      <c r="R389" s="12">
        <f t="shared" ca="1" si="197"/>
        <v>10772</v>
      </c>
      <c r="S389" s="88">
        <f t="shared" si="174"/>
        <v>0</v>
      </c>
      <c r="T389" s="19">
        <f t="shared" si="175"/>
        <v>0</v>
      </c>
      <c r="U389" s="19">
        <f t="shared" si="196"/>
        <v>0</v>
      </c>
      <c r="V389" s="19">
        <f t="shared" si="188"/>
        <v>0</v>
      </c>
      <c r="W389" s="20">
        <f t="shared" ca="1" si="198"/>
        <v>0</v>
      </c>
      <c r="X389" s="19">
        <f t="shared" ca="1" si="199"/>
        <v>0</v>
      </c>
      <c r="Y389" s="19">
        <f t="shared" ca="1" si="200"/>
        <v>0</v>
      </c>
      <c r="Z389" s="20">
        <f t="shared" ca="1" si="201"/>
        <v>0</v>
      </c>
      <c r="AA389" s="1">
        <f t="shared" si="184"/>
        <v>5432.58</v>
      </c>
      <c r="AB389" s="91"/>
      <c r="AC389" s="92"/>
      <c r="AD389" s="101">
        <f t="shared" si="185"/>
        <v>51894</v>
      </c>
      <c r="AE389" s="103">
        <f t="shared" si="186"/>
        <v>0</v>
      </c>
      <c r="AG389" s="1">
        <f t="shared" si="176"/>
        <v>0</v>
      </c>
      <c r="AH389" s="1">
        <f t="shared" si="191"/>
        <v>0</v>
      </c>
      <c r="AI389" s="1">
        <f t="shared" si="187"/>
        <v>5432.58</v>
      </c>
      <c r="AJ389" s="20">
        <f t="shared" si="189"/>
        <v>0</v>
      </c>
      <c r="AK389" s="100">
        <f t="shared" si="192"/>
        <v>0</v>
      </c>
      <c r="AL389" s="100">
        <f t="shared" si="193"/>
        <v>0</v>
      </c>
      <c r="AN389" s="100">
        <f t="shared" si="194"/>
        <v>4527.7558155566712</v>
      </c>
      <c r="AO389" s="20">
        <f t="shared" si="195"/>
        <v>0</v>
      </c>
      <c r="AQ389" s="109">
        <f t="shared" si="177"/>
        <v>0</v>
      </c>
      <c r="AU389" s="109">
        <f t="shared" si="178"/>
        <v>26.219447263824321</v>
      </c>
      <c r="AV389" s="101">
        <f t="shared" si="173"/>
        <v>51924</v>
      </c>
      <c r="AW389" s="99">
        <f t="shared" si="171"/>
        <v>0</v>
      </c>
      <c r="AX389" s="1">
        <f t="shared" si="179"/>
        <v>0</v>
      </c>
      <c r="AY389" s="29">
        <f t="shared" si="180"/>
        <v>0</v>
      </c>
      <c r="AZ389" s="1">
        <f t="shared" si="181"/>
        <v>0</v>
      </c>
      <c r="CB389" s="20">
        <f t="shared" si="190"/>
        <v>0</v>
      </c>
      <c r="CC389" s="173">
        <f t="shared" si="182"/>
        <v>0</v>
      </c>
    </row>
    <row r="390" spans="2:81" x14ac:dyDescent="0.25">
      <c r="B390" s="41"/>
      <c r="C390" s="42"/>
      <c r="D390" s="43"/>
      <c r="E390" s="44"/>
      <c r="F390" s="44"/>
      <c r="G390" s="45"/>
      <c r="H390" s="81" t="str">
        <f t="shared" si="172"/>
        <v/>
      </c>
      <c r="J390" s="9"/>
      <c r="K390" s="10"/>
      <c r="L390" s="17"/>
      <c r="M390" s="23"/>
      <c r="N390" s="23"/>
      <c r="O390" s="23"/>
      <c r="P390" s="23"/>
      <c r="Q390" s="1">
        <f t="shared" si="183"/>
        <v>0.60744618579017706</v>
      </c>
      <c r="R390" s="12">
        <f t="shared" ca="1" si="197"/>
        <v>10802</v>
      </c>
      <c r="S390" s="88">
        <f t="shared" si="174"/>
        <v>0</v>
      </c>
      <c r="T390" s="19">
        <f t="shared" si="175"/>
        <v>0</v>
      </c>
      <c r="U390" s="19">
        <f t="shared" si="196"/>
        <v>0</v>
      </c>
      <c r="V390" s="19">
        <f t="shared" si="188"/>
        <v>0</v>
      </c>
      <c r="W390" s="20">
        <f t="shared" ca="1" si="198"/>
        <v>0</v>
      </c>
      <c r="X390" s="19">
        <f t="shared" ca="1" si="199"/>
        <v>0</v>
      </c>
      <c r="Y390" s="19">
        <f t="shared" ca="1" si="200"/>
        <v>0</v>
      </c>
      <c r="Z390" s="20">
        <f t="shared" ca="1" si="201"/>
        <v>0</v>
      </c>
      <c r="AA390" s="1">
        <f t="shared" si="184"/>
        <v>5432.58</v>
      </c>
      <c r="AB390" s="93"/>
      <c r="AC390" s="94"/>
      <c r="AD390" s="101">
        <f t="shared" si="185"/>
        <v>51924</v>
      </c>
      <c r="AE390" s="103">
        <f t="shared" si="186"/>
        <v>0</v>
      </c>
      <c r="AG390" s="1">
        <f t="shared" si="176"/>
        <v>0</v>
      </c>
      <c r="AH390" s="1">
        <f t="shared" si="191"/>
        <v>0</v>
      </c>
      <c r="AI390" s="1">
        <f t="shared" si="187"/>
        <v>5432.58</v>
      </c>
      <c r="AJ390" s="20">
        <f t="shared" si="189"/>
        <v>0</v>
      </c>
      <c r="AK390" s="100">
        <f t="shared" si="192"/>
        <v>0</v>
      </c>
      <c r="AL390" s="100">
        <f t="shared" si="193"/>
        <v>0</v>
      </c>
      <c r="AN390" s="100">
        <f t="shared" si="194"/>
        <v>4525.4650018447564</v>
      </c>
      <c r="AO390" s="20">
        <f t="shared" si="195"/>
        <v>0</v>
      </c>
      <c r="AQ390" s="109">
        <f t="shared" si="177"/>
        <v>0</v>
      </c>
      <c r="AU390" s="109">
        <f t="shared" si="178"/>
        <v>26.217145981010432</v>
      </c>
      <c r="AV390" s="101">
        <f t="shared" si="173"/>
        <v>51954</v>
      </c>
      <c r="AW390" s="99">
        <f t="shared" si="171"/>
        <v>0</v>
      </c>
      <c r="AX390" s="1">
        <f t="shared" si="179"/>
        <v>0</v>
      </c>
      <c r="AY390" s="29">
        <f t="shared" si="180"/>
        <v>0</v>
      </c>
      <c r="AZ390" s="1">
        <f t="shared" si="181"/>
        <v>0</v>
      </c>
      <c r="CB390" s="20">
        <f t="shared" si="190"/>
        <v>0</v>
      </c>
      <c r="CC390" s="173">
        <f t="shared" si="182"/>
        <v>0</v>
      </c>
    </row>
    <row r="391" spans="2:81" x14ac:dyDescent="0.25">
      <c r="B391" s="41"/>
      <c r="C391" s="42"/>
      <c r="D391" s="43"/>
      <c r="E391" s="44"/>
      <c r="F391" s="44"/>
      <c r="G391" s="45"/>
      <c r="H391" s="81" t="str">
        <f t="shared" si="172"/>
        <v/>
      </c>
      <c r="J391" s="7"/>
      <c r="K391" s="8"/>
      <c r="L391" s="16"/>
      <c r="M391" s="22"/>
      <c r="N391" s="22"/>
      <c r="O391" s="22"/>
      <c r="P391" s="22"/>
      <c r="Q391" s="1">
        <f t="shared" si="183"/>
        <v>0.60744618579017706</v>
      </c>
      <c r="R391" s="12">
        <f t="shared" ca="1" si="197"/>
        <v>10832</v>
      </c>
      <c r="S391" s="88">
        <f t="shared" si="174"/>
        <v>0</v>
      </c>
      <c r="T391" s="19">
        <f t="shared" si="175"/>
        <v>0</v>
      </c>
      <c r="U391" s="19">
        <f t="shared" si="196"/>
        <v>0</v>
      </c>
      <c r="V391" s="19">
        <f t="shared" si="188"/>
        <v>0</v>
      </c>
      <c r="W391" s="20">
        <f t="shared" ca="1" si="198"/>
        <v>0</v>
      </c>
      <c r="X391" s="19">
        <f t="shared" ca="1" si="199"/>
        <v>0</v>
      </c>
      <c r="Y391" s="19">
        <f t="shared" ca="1" si="200"/>
        <v>0</v>
      </c>
      <c r="Z391" s="20">
        <f t="shared" ca="1" si="201"/>
        <v>0</v>
      </c>
      <c r="AA391" s="1">
        <f t="shared" si="184"/>
        <v>5432.58</v>
      </c>
      <c r="AB391" s="91"/>
      <c r="AC391" s="92"/>
      <c r="AD391" s="101">
        <f t="shared" si="185"/>
        <v>51954</v>
      </c>
      <c r="AE391" s="103">
        <f t="shared" si="186"/>
        <v>0</v>
      </c>
      <c r="AG391" s="1">
        <f t="shared" si="176"/>
        <v>0</v>
      </c>
      <c r="AH391" s="1">
        <f t="shared" si="191"/>
        <v>0</v>
      </c>
      <c r="AI391" s="1">
        <f t="shared" si="187"/>
        <v>5432.58</v>
      </c>
      <c r="AJ391" s="20">
        <f t="shared" si="189"/>
        <v>0</v>
      </c>
      <c r="AK391" s="100">
        <f t="shared" si="192"/>
        <v>0</v>
      </c>
      <c r="AL391" s="100">
        <f t="shared" si="193"/>
        <v>0</v>
      </c>
      <c r="AN391" s="100">
        <f t="shared" si="194"/>
        <v>4523.1753471678421</v>
      </c>
      <c r="AO391" s="20">
        <f t="shared" si="195"/>
        <v>0</v>
      </c>
      <c r="AQ391" s="109">
        <f t="shared" si="177"/>
        <v>0</v>
      </c>
      <c r="AU391" s="109">
        <f t="shared" si="178"/>
        <v>26.214844900180307</v>
      </c>
      <c r="AV391" s="101">
        <f t="shared" si="173"/>
        <v>51984</v>
      </c>
      <c r="AW391" s="99">
        <f t="shared" si="171"/>
        <v>0</v>
      </c>
      <c r="AX391" s="1">
        <f t="shared" si="179"/>
        <v>0</v>
      </c>
      <c r="AY391" s="29">
        <f t="shared" si="180"/>
        <v>0</v>
      </c>
      <c r="AZ391" s="1">
        <f t="shared" si="181"/>
        <v>0</v>
      </c>
      <c r="CB391" s="20">
        <f t="shared" si="190"/>
        <v>0</v>
      </c>
      <c r="CC391" s="173">
        <f t="shared" si="182"/>
        <v>0</v>
      </c>
    </row>
    <row r="392" spans="2:81" x14ac:dyDescent="0.25">
      <c r="B392" s="41"/>
      <c r="C392" s="42"/>
      <c r="D392" s="43"/>
      <c r="E392" s="44"/>
      <c r="F392" s="44"/>
      <c r="G392" s="45"/>
      <c r="H392" s="81" t="str">
        <f t="shared" si="172"/>
        <v/>
      </c>
      <c r="J392" s="9"/>
      <c r="K392" s="10"/>
      <c r="L392" s="17"/>
      <c r="M392" s="23"/>
      <c r="N392" s="23"/>
      <c r="O392" s="23"/>
      <c r="P392" s="23"/>
      <c r="Q392" s="1">
        <f t="shared" si="183"/>
        <v>0.60744618579017706</v>
      </c>
      <c r="R392" s="12">
        <f t="shared" ca="1" si="197"/>
        <v>10862</v>
      </c>
      <c r="S392" s="88">
        <f t="shared" si="174"/>
        <v>0</v>
      </c>
      <c r="T392" s="19">
        <f t="shared" si="175"/>
        <v>0</v>
      </c>
      <c r="U392" s="19">
        <f t="shared" si="196"/>
        <v>0</v>
      </c>
      <c r="V392" s="19">
        <f t="shared" si="188"/>
        <v>0</v>
      </c>
      <c r="W392" s="20">
        <f t="shared" ca="1" si="198"/>
        <v>0</v>
      </c>
      <c r="X392" s="19">
        <f t="shared" ca="1" si="199"/>
        <v>0</v>
      </c>
      <c r="Y392" s="19">
        <f t="shared" ca="1" si="200"/>
        <v>0</v>
      </c>
      <c r="Z392" s="20">
        <f t="shared" ca="1" si="201"/>
        <v>0</v>
      </c>
      <c r="AA392" s="1">
        <f t="shared" si="184"/>
        <v>5432.58</v>
      </c>
      <c r="AB392" s="93"/>
      <c r="AC392" s="94"/>
      <c r="AD392" s="101">
        <f t="shared" si="185"/>
        <v>51984</v>
      </c>
      <c r="AE392" s="103">
        <f t="shared" si="186"/>
        <v>0</v>
      </c>
      <c r="AG392" s="1">
        <f t="shared" si="176"/>
        <v>0</v>
      </c>
      <c r="AH392" s="1">
        <f t="shared" si="191"/>
        <v>0</v>
      </c>
      <c r="AI392" s="1">
        <f t="shared" si="187"/>
        <v>5432.58</v>
      </c>
      <c r="AJ392" s="20">
        <f t="shared" si="189"/>
        <v>0</v>
      </c>
      <c r="AK392" s="100">
        <f t="shared" si="192"/>
        <v>0</v>
      </c>
      <c r="AL392" s="100">
        <f t="shared" si="193"/>
        <v>0</v>
      </c>
      <c r="AN392" s="100">
        <f t="shared" si="194"/>
        <v>4520.8868509395161</v>
      </c>
      <c r="AO392" s="20">
        <f t="shared" si="195"/>
        <v>0</v>
      </c>
      <c r="AQ392" s="109">
        <f t="shared" si="177"/>
        <v>0</v>
      </c>
      <c r="AU392" s="109">
        <f t="shared" si="178"/>
        <v>26.212544021316216</v>
      </c>
      <c r="AV392" s="101">
        <f t="shared" si="173"/>
        <v>52014</v>
      </c>
      <c r="AW392" s="99">
        <f t="shared" si="171"/>
        <v>0</v>
      </c>
      <c r="AX392" s="1">
        <f t="shared" si="179"/>
        <v>0</v>
      </c>
      <c r="AY392" s="29">
        <f t="shared" si="180"/>
        <v>0</v>
      </c>
      <c r="AZ392" s="1">
        <f t="shared" si="181"/>
        <v>0</v>
      </c>
      <c r="CB392" s="20">
        <f t="shared" si="190"/>
        <v>0</v>
      </c>
      <c r="CC392" s="173">
        <f t="shared" si="182"/>
        <v>0</v>
      </c>
    </row>
    <row r="393" spans="2:81" x14ac:dyDescent="0.25">
      <c r="B393" s="41"/>
      <c r="C393" s="42"/>
      <c r="D393" s="43"/>
      <c r="E393" s="44"/>
      <c r="F393" s="44"/>
      <c r="G393" s="45"/>
      <c r="H393" s="81" t="str">
        <f t="shared" si="172"/>
        <v/>
      </c>
      <c r="J393" s="7"/>
      <c r="K393" s="8"/>
      <c r="L393" s="16"/>
      <c r="M393" s="22"/>
      <c r="N393" s="22"/>
      <c r="O393" s="22"/>
      <c r="P393" s="22"/>
      <c r="Q393" s="1">
        <f t="shared" si="183"/>
        <v>0.60744618579017706</v>
      </c>
      <c r="R393" s="12">
        <f t="shared" ca="1" si="197"/>
        <v>10892</v>
      </c>
      <c r="S393" s="88">
        <f t="shared" si="174"/>
        <v>0</v>
      </c>
      <c r="T393" s="19">
        <f t="shared" si="175"/>
        <v>0</v>
      </c>
      <c r="U393" s="19">
        <f t="shared" si="196"/>
        <v>0</v>
      </c>
      <c r="V393" s="19">
        <f t="shared" si="188"/>
        <v>0</v>
      </c>
      <c r="W393" s="20">
        <f t="shared" ca="1" si="198"/>
        <v>0</v>
      </c>
      <c r="X393" s="19">
        <f t="shared" ca="1" si="199"/>
        <v>0</v>
      </c>
      <c r="Y393" s="19">
        <f t="shared" ca="1" si="200"/>
        <v>0</v>
      </c>
      <c r="Z393" s="20">
        <f t="shared" ca="1" si="201"/>
        <v>0</v>
      </c>
      <c r="AA393" s="1">
        <f t="shared" si="184"/>
        <v>5432.58</v>
      </c>
      <c r="AB393" s="91"/>
      <c r="AC393" s="92"/>
      <c r="AD393" s="101">
        <f t="shared" si="185"/>
        <v>52014</v>
      </c>
      <c r="AE393" s="103">
        <f t="shared" si="186"/>
        <v>0</v>
      </c>
      <c r="AG393" s="1">
        <f t="shared" si="176"/>
        <v>0</v>
      </c>
      <c r="AH393" s="1">
        <f t="shared" si="191"/>
        <v>0</v>
      </c>
      <c r="AI393" s="1">
        <f t="shared" si="187"/>
        <v>5432.58</v>
      </c>
      <c r="AJ393" s="20">
        <f t="shared" si="189"/>
        <v>0</v>
      </c>
      <c r="AK393" s="100">
        <f t="shared" si="192"/>
        <v>0</v>
      </c>
      <c r="AL393" s="100">
        <f t="shared" si="193"/>
        <v>0</v>
      </c>
      <c r="AN393" s="100">
        <f t="shared" si="194"/>
        <v>4518.599512573659</v>
      </c>
      <c r="AO393" s="20">
        <f t="shared" si="195"/>
        <v>0</v>
      </c>
      <c r="AQ393" s="109">
        <f t="shared" si="177"/>
        <v>0</v>
      </c>
      <c r="AU393" s="109">
        <f t="shared" si="178"/>
        <v>26.210243344400439</v>
      </c>
      <c r="AV393" s="101">
        <f t="shared" si="173"/>
        <v>52044</v>
      </c>
      <c r="AW393" s="99">
        <f t="shared" si="171"/>
        <v>0</v>
      </c>
      <c r="AX393" s="1">
        <f t="shared" si="179"/>
        <v>0</v>
      </c>
      <c r="AY393" s="29">
        <f t="shared" si="180"/>
        <v>0</v>
      </c>
      <c r="AZ393" s="1">
        <f t="shared" si="181"/>
        <v>0</v>
      </c>
      <c r="CB393" s="20">
        <f t="shared" si="190"/>
        <v>0</v>
      </c>
      <c r="CC393" s="173">
        <f t="shared" si="182"/>
        <v>0</v>
      </c>
    </row>
    <row r="394" spans="2:81" x14ac:dyDescent="0.25">
      <c r="B394" s="41"/>
      <c r="C394" s="42"/>
      <c r="D394" s="43"/>
      <c r="E394" s="44"/>
      <c r="F394" s="44"/>
      <c r="G394" s="45"/>
      <c r="H394" s="81" t="str">
        <f t="shared" si="172"/>
        <v/>
      </c>
      <c r="J394" s="9"/>
      <c r="K394" s="10"/>
      <c r="L394" s="17"/>
      <c r="M394" s="23"/>
      <c r="N394" s="23"/>
      <c r="O394" s="23"/>
      <c r="P394" s="23"/>
      <c r="Q394" s="1">
        <f t="shared" si="183"/>
        <v>0.60744618579017706</v>
      </c>
      <c r="R394" s="12">
        <f t="shared" ca="1" si="197"/>
        <v>10922</v>
      </c>
      <c r="S394" s="88">
        <f t="shared" si="174"/>
        <v>0</v>
      </c>
      <c r="T394" s="19">
        <f t="shared" si="175"/>
        <v>0</v>
      </c>
      <c r="U394" s="19">
        <f t="shared" si="196"/>
        <v>0</v>
      </c>
      <c r="V394" s="19">
        <f t="shared" si="188"/>
        <v>0</v>
      </c>
      <c r="W394" s="20">
        <f t="shared" ca="1" si="198"/>
        <v>0</v>
      </c>
      <c r="X394" s="19">
        <f t="shared" ca="1" si="199"/>
        <v>0</v>
      </c>
      <c r="Y394" s="19">
        <f t="shared" ca="1" si="200"/>
        <v>0</v>
      </c>
      <c r="Z394" s="20">
        <f t="shared" ca="1" si="201"/>
        <v>0</v>
      </c>
      <c r="AA394" s="1">
        <f t="shared" si="184"/>
        <v>5432.58</v>
      </c>
      <c r="AB394" s="93"/>
      <c r="AC394" s="94"/>
      <c r="AD394" s="101">
        <f t="shared" si="185"/>
        <v>52044</v>
      </c>
      <c r="AE394" s="103">
        <f t="shared" si="186"/>
        <v>0</v>
      </c>
      <c r="AG394" s="1">
        <f t="shared" si="176"/>
        <v>0</v>
      </c>
      <c r="AH394" s="1">
        <f t="shared" si="191"/>
        <v>0</v>
      </c>
      <c r="AI394" s="1">
        <f t="shared" si="187"/>
        <v>5432.58</v>
      </c>
      <c r="AJ394" s="20">
        <f t="shared" si="189"/>
        <v>0</v>
      </c>
      <c r="AK394" s="100">
        <f t="shared" si="192"/>
        <v>0</v>
      </c>
      <c r="AL394" s="100">
        <f t="shared" si="193"/>
        <v>0</v>
      </c>
      <c r="AN394" s="100">
        <f t="shared" si="194"/>
        <v>4516.3133314844545</v>
      </c>
      <c r="AO394" s="20">
        <f t="shared" si="195"/>
        <v>0</v>
      </c>
      <c r="AQ394" s="109">
        <f t="shared" si="177"/>
        <v>0</v>
      </c>
      <c r="AU394" s="109">
        <f t="shared" si="178"/>
        <v>26.207942869415231</v>
      </c>
      <c r="AV394" s="101">
        <f t="shared" si="173"/>
        <v>52074</v>
      </c>
      <c r="AW394" s="99">
        <f t="shared" si="171"/>
        <v>0</v>
      </c>
      <c r="AX394" s="1">
        <f t="shared" si="179"/>
        <v>0</v>
      </c>
      <c r="AY394" s="29">
        <f t="shared" si="180"/>
        <v>0</v>
      </c>
      <c r="AZ394" s="1">
        <f t="shared" si="181"/>
        <v>0</v>
      </c>
      <c r="CB394" s="20">
        <f t="shared" si="190"/>
        <v>0</v>
      </c>
      <c r="CC394" s="173">
        <f t="shared" si="182"/>
        <v>0</v>
      </c>
    </row>
    <row r="395" spans="2:81" x14ac:dyDescent="0.25">
      <c r="B395" s="41"/>
      <c r="C395" s="42"/>
      <c r="D395" s="43"/>
      <c r="E395" s="44"/>
      <c r="F395" s="44"/>
      <c r="G395" s="45"/>
      <c r="H395" s="81" t="str">
        <f t="shared" si="172"/>
        <v/>
      </c>
      <c r="J395" s="7"/>
      <c r="K395" s="8"/>
      <c r="L395" s="16"/>
      <c r="M395" s="22"/>
      <c r="N395" s="22"/>
      <c r="O395" s="22"/>
      <c r="P395" s="22"/>
      <c r="Q395" s="1">
        <f t="shared" si="183"/>
        <v>0.60744618579017706</v>
      </c>
      <c r="R395" s="12">
        <f t="shared" ca="1" si="197"/>
        <v>10952</v>
      </c>
      <c r="S395" s="88">
        <f t="shared" si="174"/>
        <v>0</v>
      </c>
      <c r="T395" s="19">
        <f t="shared" si="175"/>
        <v>0</v>
      </c>
      <c r="U395" s="19">
        <f t="shared" si="196"/>
        <v>0</v>
      </c>
      <c r="V395" s="19">
        <f t="shared" si="188"/>
        <v>0</v>
      </c>
      <c r="W395" s="20">
        <f t="shared" ca="1" si="198"/>
        <v>0</v>
      </c>
      <c r="X395" s="19">
        <f t="shared" ca="1" si="199"/>
        <v>0</v>
      </c>
      <c r="Y395" s="19">
        <f t="shared" ca="1" si="200"/>
        <v>0</v>
      </c>
      <c r="Z395" s="20">
        <f t="shared" ca="1" si="201"/>
        <v>0</v>
      </c>
      <c r="AA395" s="1">
        <f t="shared" si="184"/>
        <v>5432.58</v>
      </c>
      <c r="AB395" s="91"/>
      <c r="AC395" s="92"/>
      <c r="AD395" s="101">
        <f t="shared" si="185"/>
        <v>52074</v>
      </c>
      <c r="AE395" s="103">
        <f t="shared" si="186"/>
        <v>0</v>
      </c>
      <c r="AG395" s="1">
        <f t="shared" si="176"/>
        <v>0</v>
      </c>
      <c r="AH395" s="1">
        <f t="shared" si="191"/>
        <v>0</v>
      </c>
      <c r="AI395" s="1">
        <f t="shared" si="187"/>
        <v>5432.58</v>
      </c>
      <c r="AJ395" s="20">
        <f t="shared" si="189"/>
        <v>0</v>
      </c>
      <c r="AK395" s="100">
        <f t="shared" si="192"/>
        <v>0</v>
      </c>
      <c r="AL395" s="100">
        <f t="shared" si="193"/>
        <v>0</v>
      </c>
      <c r="AN395" s="100">
        <f t="shared" si="194"/>
        <v>4514.0283070863816</v>
      </c>
      <c r="AO395" s="20">
        <f t="shared" si="195"/>
        <v>0</v>
      </c>
      <c r="AQ395" s="109">
        <f t="shared" si="177"/>
        <v>0</v>
      </c>
      <c r="AU395" s="109">
        <f t="shared" si="178"/>
        <v>26.205642596342898</v>
      </c>
      <c r="AV395" s="101">
        <f t="shared" si="173"/>
        <v>52104</v>
      </c>
      <c r="AW395" s="99">
        <f t="shared" si="171"/>
        <v>0</v>
      </c>
      <c r="AX395" s="1">
        <f t="shared" si="179"/>
        <v>0</v>
      </c>
      <c r="AY395" s="29">
        <f t="shared" si="180"/>
        <v>0</v>
      </c>
      <c r="AZ395" s="1">
        <f t="shared" si="181"/>
        <v>0</v>
      </c>
      <c r="CB395" s="20">
        <f t="shared" si="190"/>
        <v>0</v>
      </c>
      <c r="CC395" s="173">
        <f t="shared" si="182"/>
        <v>0</v>
      </c>
    </row>
    <row r="396" spans="2:81" x14ac:dyDescent="0.25">
      <c r="B396" s="41"/>
      <c r="C396" s="42"/>
      <c r="D396" s="43"/>
      <c r="E396" s="44"/>
      <c r="F396" s="44"/>
      <c r="G396" s="45"/>
      <c r="H396" s="81" t="str">
        <f t="shared" si="172"/>
        <v/>
      </c>
      <c r="J396" s="9"/>
      <c r="K396" s="10"/>
      <c r="L396" s="17"/>
      <c r="M396" s="23"/>
      <c r="N396" s="23"/>
      <c r="O396" s="23"/>
      <c r="P396" s="23"/>
      <c r="Q396" s="1">
        <f t="shared" si="183"/>
        <v>0.60744618579017706</v>
      </c>
      <c r="R396" s="12">
        <f t="shared" ca="1" si="197"/>
        <v>10982</v>
      </c>
      <c r="S396" s="88">
        <f t="shared" si="174"/>
        <v>0</v>
      </c>
      <c r="T396" s="19">
        <f t="shared" si="175"/>
        <v>0</v>
      </c>
      <c r="U396" s="19">
        <f t="shared" si="196"/>
        <v>0</v>
      </c>
      <c r="V396" s="19">
        <f t="shared" si="188"/>
        <v>0</v>
      </c>
      <c r="W396" s="20">
        <f t="shared" ca="1" si="198"/>
        <v>0</v>
      </c>
      <c r="X396" s="19">
        <f t="shared" ca="1" si="199"/>
        <v>0</v>
      </c>
      <c r="Y396" s="19">
        <f t="shared" ca="1" si="200"/>
        <v>0</v>
      </c>
      <c r="Z396" s="20">
        <f t="shared" ca="1" si="201"/>
        <v>0</v>
      </c>
      <c r="AA396" s="1">
        <f t="shared" si="184"/>
        <v>5432.58</v>
      </c>
      <c r="AB396" s="93"/>
      <c r="AC396" s="94"/>
      <c r="AD396" s="101">
        <f t="shared" si="185"/>
        <v>52104</v>
      </c>
      <c r="AE396" s="103">
        <f t="shared" si="186"/>
        <v>0</v>
      </c>
      <c r="AG396" s="1">
        <f t="shared" si="176"/>
        <v>0</v>
      </c>
      <c r="AH396" s="1">
        <f t="shared" si="191"/>
        <v>0</v>
      </c>
      <c r="AI396" s="1">
        <f t="shared" si="187"/>
        <v>5432.58</v>
      </c>
      <c r="AJ396" s="20">
        <f t="shared" si="189"/>
        <v>0</v>
      </c>
      <c r="AK396" s="100">
        <f t="shared" si="192"/>
        <v>0</v>
      </c>
      <c r="AL396" s="100">
        <f t="shared" si="193"/>
        <v>0</v>
      </c>
      <c r="AN396" s="100">
        <f t="shared" si="194"/>
        <v>4511.7444387942105</v>
      </c>
      <c r="AO396" s="20">
        <f t="shared" si="195"/>
        <v>0</v>
      </c>
      <c r="AQ396" s="109">
        <f t="shared" si="177"/>
        <v>0</v>
      </c>
      <c r="AU396" s="109">
        <f t="shared" si="178"/>
        <v>26.203342525165684</v>
      </c>
      <c r="AV396" s="101">
        <f t="shared" si="173"/>
        <v>52134</v>
      </c>
      <c r="AW396" s="99">
        <f t="shared" si="171"/>
        <v>0</v>
      </c>
      <c r="AX396" s="1">
        <f t="shared" si="179"/>
        <v>0</v>
      </c>
      <c r="AY396" s="29">
        <f t="shared" si="180"/>
        <v>0</v>
      </c>
      <c r="AZ396" s="1">
        <f t="shared" si="181"/>
        <v>0</v>
      </c>
      <c r="CB396" s="20">
        <f t="shared" si="190"/>
        <v>0</v>
      </c>
      <c r="CC396" s="173">
        <f t="shared" si="182"/>
        <v>0</v>
      </c>
    </row>
    <row r="397" spans="2:81" x14ac:dyDescent="0.25">
      <c r="B397" s="41"/>
      <c r="C397" s="42"/>
      <c r="D397" s="43"/>
      <c r="E397" s="44"/>
      <c r="F397" s="44"/>
      <c r="G397" s="45"/>
      <c r="H397" s="81" t="str">
        <f t="shared" si="172"/>
        <v/>
      </c>
      <c r="J397" s="7"/>
      <c r="K397" s="8"/>
      <c r="L397" s="16"/>
      <c r="M397" s="22"/>
      <c r="N397" s="22"/>
      <c r="O397" s="22"/>
      <c r="P397" s="22"/>
      <c r="Q397" s="1">
        <f t="shared" si="183"/>
        <v>0.60744618579017706</v>
      </c>
      <c r="R397" s="12">
        <f t="shared" ca="1" si="197"/>
        <v>11012</v>
      </c>
      <c r="S397" s="88">
        <f t="shared" si="174"/>
        <v>0</v>
      </c>
      <c r="T397" s="19">
        <f t="shared" si="175"/>
        <v>0</v>
      </c>
      <c r="U397" s="19">
        <f t="shared" si="196"/>
        <v>0</v>
      </c>
      <c r="V397" s="19">
        <f t="shared" si="188"/>
        <v>0</v>
      </c>
      <c r="W397" s="20">
        <f t="shared" ca="1" si="198"/>
        <v>0</v>
      </c>
      <c r="X397" s="19">
        <f t="shared" ca="1" si="199"/>
        <v>0</v>
      </c>
      <c r="Y397" s="19">
        <f t="shared" ca="1" si="200"/>
        <v>0</v>
      </c>
      <c r="Z397" s="20">
        <f t="shared" ca="1" si="201"/>
        <v>0</v>
      </c>
      <c r="AA397" s="1">
        <f t="shared" si="184"/>
        <v>5432.58</v>
      </c>
      <c r="AB397" s="91"/>
      <c r="AC397" s="92"/>
      <c r="AD397" s="101">
        <f t="shared" si="185"/>
        <v>52134</v>
      </c>
      <c r="AE397" s="103">
        <f t="shared" si="186"/>
        <v>0</v>
      </c>
      <c r="AG397" s="1">
        <f t="shared" si="176"/>
        <v>0</v>
      </c>
      <c r="AH397" s="1">
        <f t="shared" si="191"/>
        <v>0</v>
      </c>
      <c r="AI397" s="1">
        <f t="shared" si="187"/>
        <v>5432.58</v>
      </c>
      <c r="AJ397" s="20">
        <f t="shared" si="189"/>
        <v>0</v>
      </c>
      <c r="AK397" s="100">
        <f t="shared" si="192"/>
        <v>0</v>
      </c>
      <c r="AL397" s="100">
        <f t="shared" si="193"/>
        <v>0</v>
      </c>
      <c r="AN397" s="100">
        <f t="shared" si="194"/>
        <v>4509.4617260230089</v>
      </c>
      <c r="AO397" s="20">
        <f t="shared" si="195"/>
        <v>0</v>
      </c>
      <c r="AQ397" s="109">
        <f t="shared" si="177"/>
        <v>0</v>
      </c>
      <c r="AU397" s="109">
        <f t="shared" si="178"/>
        <v>26.201042655865894</v>
      </c>
      <c r="AV397" s="101">
        <f t="shared" si="173"/>
        <v>52164</v>
      </c>
      <c r="AW397" s="99">
        <f t="shared" si="171"/>
        <v>0</v>
      </c>
      <c r="AX397" s="1">
        <f t="shared" si="179"/>
        <v>0</v>
      </c>
      <c r="AY397" s="29">
        <f t="shared" si="180"/>
        <v>0</v>
      </c>
      <c r="AZ397" s="1">
        <f t="shared" si="181"/>
        <v>0</v>
      </c>
      <c r="CB397" s="20">
        <f t="shared" si="190"/>
        <v>0</v>
      </c>
      <c r="CC397" s="173">
        <f t="shared" si="182"/>
        <v>0</v>
      </c>
    </row>
    <row r="398" spans="2:81" x14ac:dyDescent="0.25">
      <c r="B398" s="41"/>
      <c r="C398" s="42"/>
      <c r="D398" s="43"/>
      <c r="E398" s="44"/>
      <c r="F398" s="44"/>
      <c r="G398" s="45"/>
      <c r="H398" s="81" t="str">
        <f t="shared" si="172"/>
        <v/>
      </c>
      <c r="J398" s="9"/>
      <c r="K398" s="10"/>
      <c r="L398" s="17"/>
      <c r="M398" s="23"/>
      <c r="N398" s="23"/>
      <c r="O398" s="23"/>
      <c r="P398" s="23"/>
      <c r="Q398" s="1">
        <f t="shared" si="183"/>
        <v>0.60744618579017706</v>
      </c>
      <c r="R398" s="12">
        <f t="shared" ca="1" si="197"/>
        <v>11042</v>
      </c>
      <c r="S398" s="88">
        <f t="shared" si="174"/>
        <v>0</v>
      </c>
      <c r="T398" s="19">
        <f t="shared" si="175"/>
        <v>0</v>
      </c>
      <c r="U398" s="19">
        <f t="shared" si="196"/>
        <v>0</v>
      </c>
      <c r="V398" s="19">
        <f t="shared" si="188"/>
        <v>0</v>
      </c>
      <c r="W398" s="20">
        <f t="shared" ca="1" si="198"/>
        <v>0</v>
      </c>
      <c r="X398" s="19">
        <f t="shared" ca="1" si="199"/>
        <v>0</v>
      </c>
      <c r="Y398" s="19">
        <f t="shared" ca="1" si="200"/>
        <v>0</v>
      </c>
      <c r="Z398" s="20">
        <f t="shared" ca="1" si="201"/>
        <v>0</v>
      </c>
      <c r="AA398" s="1">
        <f t="shared" si="184"/>
        <v>5432.58</v>
      </c>
      <c r="AB398" s="93"/>
      <c r="AC398" s="94"/>
      <c r="AD398" s="101">
        <f t="shared" si="185"/>
        <v>52164</v>
      </c>
      <c r="AE398" s="103">
        <f t="shared" si="186"/>
        <v>0</v>
      </c>
      <c r="AG398" s="1">
        <f t="shared" si="176"/>
        <v>0</v>
      </c>
      <c r="AH398" s="1">
        <f t="shared" si="191"/>
        <v>0</v>
      </c>
      <c r="AI398" s="1">
        <f t="shared" si="187"/>
        <v>5432.58</v>
      </c>
      <c r="AJ398" s="20">
        <f t="shared" si="189"/>
        <v>0</v>
      </c>
      <c r="AK398" s="100">
        <f t="shared" si="192"/>
        <v>0</v>
      </c>
      <c r="AL398" s="100">
        <f t="shared" si="193"/>
        <v>0</v>
      </c>
      <c r="AN398" s="100">
        <f t="shared" si="194"/>
        <v>4507.1801681881452</v>
      </c>
      <c r="AO398" s="20">
        <f t="shared" si="195"/>
        <v>0</v>
      </c>
      <c r="AQ398" s="109">
        <f t="shared" si="177"/>
        <v>0</v>
      </c>
      <c r="AU398" s="109">
        <f t="shared" si="178"/>
        <v>26.198742988425803</v>
      </c>
      <c r="AV398" s="101">
        <f t="shared" si="173"/>
        <v>52194</v>
      </c>
      <c r="AW398" s="99">
        <f t="shared" si="171"/>
        <v>0</v>
      </c>
      <c r="AX398" s="1">
        <f t="shared" si="179"/>
        <v>0</v>
      </c>
      <c r="AY398" s="29">
        <f t="shared" si="180"/>
        <v>0</v>
      </c>
      <c r="AZ398" s="1">
        <f t="shared" si="181"/>
        <v>0</v>
      </c>
      <c r="CB398" s="20">
        <f t="shared" si="190"/>
        <v>0</v>
      </c>
      <c r="CC398" s="173">
        <f t="shared" si="182"/>
        <v>0</v>
      </c>
    </row>
    <row r="399" spans="2:81" x14ac:dyDescent="0.25">
      <c r="B399" s="41"/>
      <c r="C399" s="42"/>
      <c r="D399" s="43"/>
      <c r="E399" s="44"/>
      <c r="F399" s="44"/>
      <c r="G399" s="45"/>
      <c r="H399" s="81" t="str">
        <f t="shared" si="172"/>
        <v/>
      </c>
      <c r="J399" s="7"/>
      <c r="K399" s="8"/>
      <c r="L399" s="16"/>
      <c r="M399" s="22"/>
      <c r="N399" s="22"/>
      <c r="O399" s="22"/>
      <c r="P399" s="22"/>
      <c r="Q399" s="1">
        <f t="shared" si="183"/>
        <v>0.60744618579017706</v>
      </c>
      <c r="R399" s="12">
        <f t="shared" ca="1" si="197"/>
        <v>11072</v>
      </c>
      <c r="S399" s="88">
        <f t="shared" si="174"/>
        <v>0</v>
      </c>
      <c r="T399" s="19">
        <f t="shared" si="175"/>
        <v>0</v>
      </c>
      <c r="U399" s="19">
        <f t="shared" si="196"/>
        <v>0</v>
      </c>
      <c r="V399" s="19">
        <f t="shared" si="188"/>
        <v>0</v>
      </c>
      <c r="W399" s="20">
        <f t="shared" ca="1" si="198"/>
        <v>0</v>
      </c>
      <c r="X399" s="19">
        <f t="shared" ca="1" si="199"/>
        <v>0</v>
      </c>
      <c r="Y399" s="19">
        <f t="shared" ca="1" si="200"/>
        <v>0</v>
      </c>
      <c r="Z399" s="20">
        <f t="shared" ca="1" si="201"/>
        <v>0</v>
      </c>
      <c r="AA399" s="1">
        <f t="shared" si="184"/>
        <v>5432.58</v>
      </c>
      <c r="AB399" s="91"/>
      <c r="AC399" s="92"/>
      <c r="AD399" s="101">
        <f t="shared" si="185"/>
        <v>52194</v>
      </c>
      <c r="AE399" s="103">
        <f t="shared" si="186"/>
        <v>0</v>
      </c>
      <c r="AG399" s="1">
        <f t="shared" si="176"/>
        <v>0</v>
      </c>
      <c r="AH399" s="1">
        <f t="shared" si="191"/>
        <v>0</v>
      </c>
      <c r="AI399" s="1">
        <f t="shared" si="187"/>
        <v>5432.58</v>
      </c>
      <c r="AJ399" s="20">
        <f t="shared" si="189"/>
        <v>0</v>
      </c>
      <c r="AK399" s="100">
        <f t="shared" si="192"/>
        <v>0</v>
      </c>
      <c r="AL399" s="100">
        <f t="shared" si="193"/>
        <v>0</v>
      </c>
      <c r="AN399" s="100">
        <f t="shared" si="194"/>
        <v>4504.899764705282</v>
      </c>
      <c r="AO399" s="20">
        <f t="shared" si="195"/>
        <v>0</v>
      </c>
      <c r="AQ399" s="109">
        <f t="shared" si="177"/>
        <v>0</v>
      </c>
      <c r="AU399" s="109">
        <f t="shared" si="178"/>
        <v>26.196443522827686</v>
      </c>
      <c r="AV399" s="101">
        <f t="shared" si="173"/>
        <v>52224</v>
      </c>
      <c r="AW399" s="99">
        <f t="shared" si="171"/>
        <v>0</v>
      </c>
      <c r="AX399" s="1">
        <f t="shared" si="179"/>
        <v>0</v>
      </c>
      <c r="AY399" s="29">
        <f t="shared" si="180"/>
        <v>0</v>
      </c>
      <c r="AZ399" s="1">
        <f t="shared" si="181"/>
        <v>0</v>
      </c>
      <c r="CB399" s="20">
        <f t="shared" si="190"/>
        <v>0</v>
      </c>
      <c r="CC399" s="173">
        <f t="shared" si="182"/>
        <v>0</v>
      </c>
    </row>
    <row r="400" spans="2:81" x14ac:dyDescent="0.25">
      <c r="B400" s="41"/>
      <c r="C400" s="42"/>
      <c r="D400" s="43"/>
      <c r="E400" s="44"/>
      <c r="F400" s="44"/>
      <c r="G400" s="45"/>
      <c r="H400" s="81" t="str">
        <f t="shared" si="172"/>
        <v/>
      </c>
      <c r="J400" s="9"/>
      <c r="K400" s="10"/>
      <c r="L400" s="17"/>
      <c r="M400" s="23"/>
      <c r="N400" s="23"/>
      <c r="O400" s="23"/>
      <c r="P400" s="23"/>
      <c r="Q400" s="1">
        <f t="shared" si="183"/>
        <v>0.60744618579017706</v>
      </c>
      <c r="R400" s="12">
        <f t="shared" ca="1" si="197"/>
        <v>11102</v>
      </c>
      <c r="S400" s="88">
        <f t="shared" si="174"/>
        <v>0</v>
      </c>
      <c r="T400" s="19">
        <f t="shared" si="175"/>
        <v>0</v>
      </c>
      <c r="U400" s="19">
        <f t="shared" si="196"/>
        <v>0</v>
      </c>
      <c r="V400" s="19">
        <f t="shared" si="188"/>
        <v>0</v>
      </c>
      <c r="W400" s="20">
        <f t="shared" ca="1" si="198"/>
        <v>0</v>
      </c>
      <c r="X400" s="19">
        <f t="shared" ca="1" si="199"/>
        <v>0</v>
      </c>
      <c r="Y400" s="19">
        <f t="shared" ca="1" si="200"/>
        <v>0</v>
      </c>
      <c r="Z400" s="20">
        <f t="shared" ca="1" si="201"/>
        <v>0</v>
      </c>
      <c r="AA400" s="1">
        <f t="shared" si="184"/>
        <v>5432.58</v>
      </c>
      <c r="AB400" s="93"/>
      <c r="AC400" s="94"/>
      <c r="AD400" s="101">
        <f t="shared" si="185"/>
        <v>52224</v>
      </c>
      <c r="AE400" s="103">
        <f t="shared" si="186"/>
        <v>0</v>
      </c>
      <c r="AG400" s="1">
        <f t="shared" si="176"/>
        <v>0</v>
      </c>
      <c r="AH400" s="1">
        <f t="shared" si="191"/>
        <v>0</v>
      </c>
      <c r="AI400" s="1">
        <f t="shared" si="187"/>
        <v>5432.58</v>
      </c>
      <c r="AJ400" s="20">
        <f t="shared" si="189"/>
        <v>0</v>
      </c>
      <c r="AK400" s="100">
        <f t="shared" si="192"/>
        <v>0</v>
      </c>
      <c r="AL400" s="100">
        <f t="shared" si="193"/>
        <v>0</v>
      </c>
      <c r="AN400" s="100">
        <f t="shared" si="194"/>
        <v>4502.6205149903717</v>
      </c>
      <c r="AO400" s="20">
        <f t="shared" si="195"/>
        <v>0</v>
      </c>
      <c r="AQ400" s="109">
        <f t="shared" si="177"/>
        <v>0</v>
      </c>
      <c r="AU400" s="109">
        <f t="shared" si="178"/>
        <v>26.194144259053843</v>
      </c>
      <c r="AV400" s="101">
        <f t="shared" si="173"/>
        <v>52254</v>
      </c>
      <c r="AW400" s="99">
        <f t="shared" si="171"/>
        <v>0</v>
      </c>
      <c r="AX400" s="1">
        <f t="shared" si="179"/>
        <v>0</v>
      </c>
      <c r="AY400" s="29">
        <f t="shared" si="180"/>
        <v>0</v>
      </c>
      <c r="AZ400" s="1">
        <f t="shared" si="181"/>
        <v>0</v>
      </c>
      <c r="CB400" s="20">
        <f t="shared" si="190"/>
        <v>0</v>
      </c>
      <c r="CC400" s="173">
        <f t="shared" si="182"/>
        <v>0</v>
      </c>
    </row>
    <row r="401" spans="2:81" x14ac:dyDescent="0.25">
      <c r="B401" s="41"/>
      <c r="C401" s="42"/>
      <c r="D401" s="43"/>
      <c r="E401" s="44"/>
      <c r="F401" s="44"/>
      <c r="G401" s="45"/>
      <c r="H401" s="81" t="str">
        <f t="shared" si="172"/>
        <v/>
      </c>
      <c r="J401" s="7"/>
      <c r="K401" s="8"/>
      <c r="L401" s="16"/>
      <c r="M401" s="22"/>
      <c r="N401" s="22"/>
      <c r="O401" s="22"/>
      <c r="P401" s="22"/>
      <c r="Q401" s="1">
        <f t="shared" si="183"/>
        <v>0.60744618579017706</v>
      </c>
      <c r="R401" s="12">
        <f t="shared" ca="1" si="197"/>
        <v>11132</v>
      </c>
      <c r="S401" s="88">
        <f t="shared" si="174"/>
        <v>0</v>
      </c>
      <c r="T401" s="19">
        <f t="shared" si="175"/>
        <v>0</v>
      </c>
      <c r="U401" s="19">
        <f t="shared" si="196"/>
        <v>0</v>
      </c>
      <c r="V401" s="19">
        <f t="shared" si="188"/>
        <v>0</v>
      </c>
      <c r="W401" s="20">
        <f t="shared" ca="1" si="198"/>
        <v>0</v>
      </c>
      <c r="X401" s="19">
        <f t="shared" ca="1" si="199"/>
        <v>0</v>
      </c>
      <c r="Y401" s="19">
        <f t="shared" ca="1" si="200"/>
        <v>0</v>
      </c>
      <c r="Z401" s="20">
        <f t="shared" ca="1" si="201"/>
        <v>0</v>
      </c>
      <c r="AA401" s="1">
        <f t="shared" si="184"/>
        <v>5432.58</v>
      </c>
      <c r="AB401" s="91"/>
      <c r="AC401" s="92"/>
      <c r="AD401" s="101">
        <f t="shared" si="185"/>
        <v>52254</v>
      </c>
      <c r="AE401" s="103">
        <f t="shared" si="186"/>
        <v>0</v>
      </c>
      <c r="AG401" s="1">
        <f t="shared" si="176"/>
        <v>0</v>
      </c>
      <c r="AH401" s="1">
        <f t="shared" si="191"/>
        <v>0</v>
      </c>
      <c r="AI401" s="1">
        <f t="shared" si="187"/>
        <v>5432.58</v>
      </c>
      <c r="AJ401" s="20">
        <f t="shared" si="189"/>
        <v>0</v>
      </c>
      <c r="AK401" s="100">
        <f t="shared" si="192"/>
        <v>0</v>
      </c>
      <c r="AL401" s="100">
        <f t="shared" si="193"/>
        <v>0</v>
      </c>
      <c r="AN401" s="100">
        <f t="shared" si="194"/>
        <v>4500.3424184596679</v>
      </c>
      <c r="AO401" s="20">
        <f t="shared" si="195"/>
        <v>0</v>
      </c>
      <c r="AQ401" s="109">
        <f t="shared" si="177"/>
        <v>0</v>
      </c>
      <c r="AU401" s="109">
        <f t="shared" si="178"/>
        <v>26.19184519708655</v>
      </c>
      <c r="AV401" s="101">
        <f t="shared" si="173"/>
        <v>52284</v>
      </c>
      <c r="AW401" s="99">
        <f t="shared" ref="AW401:AW464" si="202">IF(AJ402&lt;0,0,AJ402)</f>
        <v>0</v>
      </c>
      <c r="AX401" s="1">
        <f t="shared" si="179"/>
        <v>0</v>
      </c>
      <c r="AY401" s="29">
        <f t="shared" si="180"/>
        <v>0</v>
      </c>
      <c r="AZ401" s="1">
        <f t="shared" si="181"/>
        <v>0</v>
      </c>
      <c r="CB401" s="20">
        <f t="shared" si="190"/>
        <v>0</v>
      </c>
      <c r="CC401" s="173">
        <f t="shared" si="182"/>
        <v>0</v>
      </c>
    </row>
    <row r="402" spans="2:81" x14ac:dyDescent="0.25">
      <c r="B402" s="41"/>
      <c r="C402" s="42"/>
      <c r="D402" s="43"/>
      <c r="E402" s="44"/>
      <c r="F402" s="44"/>
      <c r="G402" s="45"/>
      <c r="H402" s="81" t="str">
        <f t="shared" si="172"/>
        <v/>
      </c>
      <c r="J402" s="9"/>
      <c r="K402" s="10"/>
      <c r="L402" s="17"/>
      <c r="M402" s="23"/>
      <c r="N402" s="23"/>
      <c r="O402" s="23"/>
      <c r="P402" s="23"/>
      <c r="Q402" s="1">
        <f t="shared" si="183"/>
        <v>0.60744618579017706</v>
      </c>
      <c r="R402" s="12">
        <f t="shared" ca="1" si="197"/>
        <v>11162</v>
      </c>
      <c r="S402" s="88">
        <f t="shared" si="174"/>
        <v>0</v>
      </c>
      <c r="T402" s="19">
        <f t="shared" si="175"/>
        <v>0</v>
      </c>
      <c r="U402" s="19">
        <f t="shared" si="196"/>
        <v>0</v>
      </c>
      <c r="V402" s="19">
        <f t="shared" si="188"/>
        <v>0</v>
      </c>
      <c r="W402" s="20">
        <f t="shared" ca="1" si="198"/>
        <v>0</v>
      </c>
      <c r="X402" s="19">
        <f t="shared" ca="1" si="199"/>
        <v>0</v>
      </c>
      <c r="Y402" s="19">
        <f t="shared" ca="1" si="200"/>
        <v>0</v>
      </c>
      <c r="Z402" s="20">
        <f t="shared" ca="1" si="201"/>
        <v>0</v>
      </c>
      <c r="AA402" s="1">
        <f t="shared" si="184"/>
        <v>5432.58</v>
      </c>
      <c r="AB402" s="93"/>
      <c r="AC402" s="94"/>
      <c r="AD402" s="101">
        <f t="shared" si="185"/>
        <v>52284</v>
      </c>
      <c r="AE402" s="103">
        <f t="shared" si="186"/>
        <v>0</v>
      </c>
      <c r="AG402" s="1">
        <f t="shared" si="176"/>
        <v>0</v>
      </c>
      <c r="AH402" s="1">
        <f t="shared" si="191"/>
        <v>0</v>
      </c>
      <c r="AI402" s="1">
        <f t="shared" si="187"/>
        <v>5432.58</v>
      </c>
      <c r="AJ402" s="20">
        <f t="shared" si="189"/>
        <v>0</v>
      </c>
      <c r="AK402" s="100">
        <f t="shared" si="192"/>
        <v>0</v>
      </c>
      <c r="AL402" s="100">
        <f t="shared" si="193"/>
        <v>0</v>
      </c>
      <c r="AN402" s="100">
        <f t="shared" si="194"/>
        <v>4498.0654745297206</v>
      </c>
      <c r="AO402" s="20">
        <f t="shared" si="195"/>
        <v>0</v>
      </c>
      <c r="AQ402" s="109">
        <f t="shared" si="177"/>
        <v>0</v>
      </c>
      <c r="AU402" s="109">
        <f t="shared" si="178"/>
        <v>26.189546336908084</v>
      </c>
      <c r="AV402" s="101">
        <f t="shared" si="173"/>
        <v>52314</v>
      </c>
      <c r="AW402" s="99">
        <f t="shared" si="202"/>
        <v>0</v>
      </c>
      <c r="AX402" s="1">
        <f t="shared" si="179"/>
        <v>0</v>
      </c>
      <c r="AY402" s="29">
        <f t="shared" si="180"/>
        <v>0</v>
      </c>
      <c r="AZ402" s="1">
        <f t="shared" si="181"/>
        <v>0</v>
      </c>
      <c r="CB402" s="20">
        <f t="shared" si="190"/>
        <v>0</v>
      </c>
      <c r="CC402" s="173">
        <f t="shared" si="182"/>
        <v>0</v>
      </c>
    </row>
    <row r="403" spans="2:81" x14ac:dyDescent="0.25">
      <c r="B403" s="41"/>
      <c r="C403" s="42"/>
      <c r="D403" s="43"/>
      <c r="E403" s="44"/>
      <c r="F403" s="44"/>
      <c r="G403" s="45"/>
      <c r="H403" s="81" t="str">
        <f t="shared" si="172"/>
        <v/>
      </c>
      <c r="J403" s="7"/>
      <c r="K403" s="8"/>
      <c r="L403" s="16"/>
      <c r="M403" s="22"/>
      <c r="N403" s="22"/>
      <c r="O403" s="22"/>
      <c r="P403" s="22"/>
      <c r="Q403" s="1">
        <f t="shared" si="183"/>
        <v>0.60744618579017706</v>
      </c>
      <c r="R403" s="12">
        <f t="shared" ca="1" si="197"/>
        <v>11192</v>
      </c>
      <c r="S403" s="88">
        <f t="shared" si="174"/>
        <v>0</v>
      </c>
      <c r="T403" s="19">
        <f t="shared" si="175"/>
        <v>0</v>
      </c>
      <c r="U403" s="19">
        <f t="shared" si="196"/>
        <v>0</v>
      </c>
      <c r="V403" s="19">
        <f t="shared" si="188"/>
        <v>0</v>
      </c>
      <c r="W403" s="20">
        <f t="shared" ca="1" si="198"/>
        <v>0</v>
      </c>
      <c r="X403" s="19">
        <f t="shared" ca="1" si="199"/>
        <v>0</v>
      </c>
      <c r="Y403" s="19">
        <f t="shared" ca="1" si="200"/>
        <v>0</v>
      </c>
      <c r="Z403" s="20">
        <f t="shared" ca="1" si="201"/>
        <v>0</v>
      </c>
      <c r="AA403" s="1">
        <f t="shared" si="184"/>
        <v>5432.58</v>
      </c>
      <c r="AB403" s="91"/>
      <c r="AC403" s="92"/>
      <c r="AD403" s="101">
        <f t="shared" si="185"/>
        <v>52314</v>
      </c>
      <c r="AE403" s="103">
        <f t="shared" si="186"/>
        <v>0</v>
      </c>
      <c r="AG403" s="1">
        <f t="shared" si="176"/>
        <v>0</v>
      </c>
      <c r="AH403" s="1">
        <f t="shared" si="191"/>
        <v>0</v>
      </c>
      <c r="AI403" s="1">
        <f t="shared" si="187"/>
        <v>5432.58</v>
      </c>
      <c r="AJ403" s="20">
        <f t="shared" si="189"/>
        <v>0</v>
      </c>
      <c r="AK403" s="100">
        <f t="shared" si="192"/>
        <v>0</v>
      </c>
      <c r="AL403" s="100">
        <f t="shared" si="193"/>
        <v>0</v>
      </c>
      <c r="AN403" s="100">
        <f t="shared" si="194"/>
        <v>4495.7896826173692</v>
      </c>
      <c r="AO403" s="20">
        <f t="shared" si="195"/>
        <v>0</v>
      </c>
      <c r="AQ403" s="109">
        <f t="shared" si="177"/>
        <v>0</v>
      </c>
      <c r="AU403" s="109">
        <f t="shared" si="178"/>
        <v>26.187247678500757</v>
      </c>
      <c r="AV403" s="101">
        <f t="shared" si="173"/>
        <v>52344</v>
      </c>
      <c r="AW403" s="99">
        <f t="shared" si="202"/>
        <v>0</v>
      </c>
      <c r="AX403" s="1">
        <f t="shared" si="179"/>
        <v>0</v>
      </c>
      <c r="AY403" s="29">
        <f t="shared" si="180"/>
        <v>0</v>
      </c>
      <c r="AZ403" s="1">
        <f t="shared" si="181"/>
        <v>0</v>
      </c>
      <c r="CB403" s="20">
        <f t="shared" si="190"/>
        <v>0</v>
      </c>
      <c r="CC403" s="173">
        <f t="shared" si="182"/>
        <v>0</v>
      </c>
    </row>
    <row r="404" spans="2:81" x14ac:dyDescent="0.25">
      <c r="B404" s="41"/>
      <c r="C404" s="42"/>
      <c r="D404" s="43"/>
      <c r="E404" s="44"/>
      <c r="F404" s="44"/>
      <c r="G404" s="45"/>
      <c r="H404" s="81" t="str">
        <f t="shared" si="172"/>
        <v/>
      </c>
      <c r="J404" s="9"/>
      <c r="K404" s="10"/>
      <c r="L404" s="17"/>
      <c r="M404" s="23"/>
      <c r="N404" s="23"/>
      <c r="O404" s="23"/>
      <c r="P404" s="23"/>
      <c r="Q404" s="1">
        <f t="shared" si="183"/>
        <v>0.60744618579017706</v>
      </c>
      <c r="R404" s="12">
        <f t="shared" ca="1" si="197"/>
        <v>11222</v>
      </c>
      <c r="S404" s="88">
        <f t="shared" si="174"/>
        <v>0</v>
      </c>
      <c r="T404" s="19">
        <f t="shared" si="175"/>
        <v>0</v>
      </c>
      <c r="U404" s="19">
        <f t="shared" si="196"/>
        <v>0</v>
      </c>
      <c r="V404" s="19">
        <f t="shared" si="188"/>
        <v>0</v>
      </c>
      <c r="W404" s="20">
        <f t="shared" ca="1" si="198"/>
        <v>0</v>
      </c>
      <c r="X404" s="19">
        <f t="shared" ca="1" si="199"/>
        <v>0</v>
      </c>
      <c r="Y404" s="19">
        <f t="shared" ca="1" si="200"/>
        <v>0</v>
      </c>
      <c r="Z404" s="20">
        <f t="shared" ca="1" si="201"/>
        <v>0</v>
      </c>
      <c r="AA404" s="1">
        <f t="shared" si="184"/>
        <v>5432.58</v>
      </c>
      <c r="AB404" s="93"/>
      <c r="AC404" s="94"/>
      <c r="AD404" s="101">
        <f t="shared" si="185"/>
        <v>52344</v>
      </c>
      <c r="AE404" s="103">
        <f t="shared" si="186"/>
        <v>0</v>
      </c>
      <c r="AG404" s="1">
        <f t="shared" si="176"/>
        <v>0</v>
      </c>
      <c r="AH404" s="1">
        <f t="shared" si="191"/>
        <v>0</v>
      </c>
      <c r="AI404" s="1">
        <f t="shared" si="187"/>
        <v>5432.58</v>
      </c>
      <c r="AJ404" s="20">
        <f t="shared" si="189"/>
        <v>0</v>
      </c>
      <c r="AK404" s="100">
        <f t="shared" si="192"/>
        <v>0</v>
      </c>
      <c r="AL404" s="100">
        <f t="shared" si="193"/>
        <v>0</v>
      </c>
      <c r="AN404" s="100">
        <f t="shared" si="194"/>
        <v>4493.5150421397539</v>
      </c>
      <c r="AO404" s="20">
        <f t="shared" si="195"/>
        <v>0</v>
      </c>
      <c r="AQ404" s="109">
        <f t="shared" si="177"/>
        <v>0</v>
      </c>
      <c r="AU404" s="109">
        <f t="shared" si="178"/>
        <v>26.184949221846843</v>
      </c>
      <c r="AV404" s="101">
        <f t="shared" si="173"/>
        <v>52374</v>
      </c>
      <c r="AW404" s="99">
        <f t="shared" si="202"/>
        <v>0</v>
      </c>
      <c r="AX404" s="1">
        <f t="shared" si="179"/>
        <v>0</v>
      </c>
      <c r="AY404" s="29">
        <f t="shared" si="180"/>
        <v>0</v>
      </c>
      <c r="AZ404" s="1">
        <f t="shared" si="181"/>
        <v>0</v>
      </c>
      <c r="CB404" s="20">
        <f t="shared" si="190"/>
        <v>0</v>
      </c>
      <c r="CC404" s="173">
        <f t="shared" si="182"/>
        <v>0</v>
      </c>
    </row>
    <row r="405" spans="2:81" x14ac:dyDescent="0.25">
      <c r="B405" s="41"/>
      <c r="C405" s="42"/>
      <c r="D405" s="43"/>
      <c r="E405" s="44"/>
      <c r="F405" s="44"/>
      <c r="G405" s="45"/>
      <c r="H405" s="81" t="str">
        <f t="shared" si="172"/>
        <v/>
      </c>
      <c r="J405" s="7"/>
      <c r="K405" s="8"/>
      <c r="L405" s="16"/>
      <c r="M405" s="22"/>
      <c r="N405" s="22"/>
      <c r="O405" s="22"/>
      <c r="P405" s="22"/>
      <c r="Q405" s="1">
        <f t="shared" si="183"/>
        <v>0.60744618579017706</v>
      </c>
      <c r="R405" s="12">
        <f t="shared" ca="1" si="197"/>
        <v>11252</v>
      </c>
      <c r="S405" s="88">
        <f t="shared" si="174"/>
        <v>0</v>
      </c>
      <c r="T405" s="19">
        <f t="shared" si="175"/>
        <v>0</v>
      </c>
      <c r="U405" s="19">
        <f t="shared" si="196"/>
        <v>0</v>
      </c>
      <c r="V405" s="19">
        <f t="shared" si="188"/>
        <v>0</v>
      </c>
      <c r="W405" s="20">
        <f t="shared" ca="1" si="198"/>
        <v>0</v>
      </c>
      <c r="X405" s="19">
        <f t="shared" ca="1" si="199"/>
        <v>0</v>
      </c>
      <c r="Y405" s="19">
        <f t="shared" ca="1" si="200"/>
        <v>0</v>
      </c>
      <c r="Z405" s="20">
        <f t="shared" ca="1" si="201"/>
        <v>0</v>
      </c>
      <c r="AA405" s="1">
        <f t="shared" si="184"/>
        <v>5432.58</v>
      </c>
      <c r="AB405" s="91"/>
      <c r="AC405" s="92"/>
      <c r="AD405" s="101">
        <f t="shared" si="185"/>
        <v>52374</v>
      </c>
      <c r="AE405" s="103">
        <f t="shared" si="186"/>
        <v>0</v>
      </c>
      <c r="AG405" s="1">
        <f t="shared" si="176"/>
        <v>0</v>
      </c>
      <c r="AH405" s="1">
        <f t="shared" si="191"/>
        <v>0</v>
      </c>
      <c r="AI405" s="1">
        <f t="shared" si="187"/>
        <v>5432.58</v>
      </c>
      <c r="AJ405" s="20">
        <f t="shared" si="189"/>
        <v>0</v>
      </c>
      <c r="AK405" s="100">
        <f t="shared" si="192"/>
        <v>0</v>
      </c>
      <c r="AL405" s="100">
        <f t="shared" si="193"/>
        <v>0</v>
      </c>
      <c r="AN405" s="100">
        <f t="shared" si="194"/>
        <v>4491.2415525143051</v>
      </c>
      <c r="AO405" s="20">
        <f t="shared" si="195"/>
        <v>0</v>
      </c>
      <c r="AQ405" s="109">
        <f t="shared" si="177"/>
        <v>0</v>
      </c>
      <c r="AU405" s="109">
        <f t="shared" si="178"/>
        <v>26.182650966928641</v>
      </c>
      <c r="AV405" s="101">
        <f t="shared" si="173"/>
        <v>52404</v>
      </c>
      <c r="AW405" s="99">
        <f t="shared" si="202"/>
        <v>0</v>
      </c>
      <c r="AX405" s="1">
        <f t="shared" si="179"/>
        <v>0</v>
      </c>
      <c r="AY405" s="29">
        <f t="shared" si="180"/>
        <v>0</v>
      </c>
      <c r="AZ405" s="1">
        <f t="shared" si="181"/>
        <v>0</v>
      </c>
      <c r="CB405" s="20">
        <f t="shared" si="190"/>
        <v>0</v>
      </c>
      <c r="CC405" s="173">
        <f t="shared" si="182"/>
        <v>0</v>
      </c>
    </row>
    <row r="406" spans="2:81" x14ac:dyDescent="0.25">
      <c r="B406" s="41"/>
      <c r="C406" s="42"/>
      <c r="D406" s="43"/>
      <c r="E406" s="44"/>
      <c r="F406" s="44"/>
      <c r="G406" s="45"/>
      <c r="H406" s="81" t="str">
        <f t="shared" ref="H406:H469" si="203">IF(ISERROR(VLOOKUP(C404,AB:AC,2,0)),"",VLOOKUP(C404,AB:AC,2,0))</f>
        <v/>
      </c>
      <c r="J406" s="9"/>
      <c r="K406" s="10"/>
      <c r="L406" s="17"/>
      <c r="M406" s="23"/>
      <c r="N406" s="23"/>
      <c r="O406" s="23"/>
      <c r="P406" s="23"/>
      <c r="Q406" s="1">
        <f t="shared" si="183"/>
        <v>0.60744618579017706</v>
      </c>
      <c r="R406" s="12">
        <f t="shared" ca="1" si="197"/>
        <v>11282</v>
      </c>
      <c r="S406" s="88">
        <f t="shared" si="174"/>
        <v>0</v>
      </c>
      <c r="T406" s="19">
        <f t="shared" si="175"/>
        <v>0</v>
      </c>
      <c r="U406" s="19">
        <f t="shared" si="196"/>
        <v>0</v>
      </c>
      <c r="V406" s="19">
        <f t="shared" si="188"/>
        <v>0</v>
      </c>
      <c r="W406" s="20">
        <f t="shared" ca="1" si="198"/>
        <v>0</v>
      </c>
      <c r="X406" s="19">
        <f t="shared" ca="1" si="199"/>
        <v>0</v>
      </c>
      <c r="Y406" s="19">
        <f t="shared" ca="1" si="200"/>
        <v>0</v>
      </c>
      <c r="Z406" s="20">
        <f t="shared" ca="1" si="201"/>
        <v>0</v>
      </c>
      <c r="AA406" s="1">
        <f t="shared" si="184"/>
        <v>5432.58</v>
      </c>
      <c r="AB406" s="93"/>
      <c r="AC406" s="94"/>
      <c r="AD406" s="101">
        <f t="shared" si="185"/>
        <v>52404</v>
      </c>
      <c r="AE406" s="103">
        <f t="shared" si="186"/>
        <v>0</v>
      </c>
      <c r="AG406" s="1">
        <f t="shared" si="176"/>
        <v>0</v>
      </c>
      <c r="AH406" s="1">
        <f t="shared" si="191"/>
        <v>0</v>
      </c>
      <c r="AI406" s="1">
        <f t="shared" si="187"/>
        <v>5432.58</v>
      </c>
      <c r="AJ406" s="20">
        <f t="shared" si="189"/>
        <v>0</v>
      </c>
      <c r="AK406" s="100">
        <f t="shared" si="192"/>
        <v>0</v>
      </c>
      <c r="AL406" s="100">
        <f t="shared" si="193"/>
        <v>0</v>
      </c>
      <c r="AN406" s="100">
        <f t="shared" si="194"/>
        <v>4488.9692131587526</v>
      </c>
      <c r="AO406" s="20">
        <f t="shared" si="195"/>
        <v>0</v>
      </c>
      <c r="AQ406" s="109">
        <f t="shared" si="177"/>
        <v>0</v>
      </c>
      <c r="AU406" s="109">
        <f t="shared" si="178"/>
        <v>26.180352913728434</v>
      </c>
      <c r="AV406" s="101">
        <f t="shared" si="173"/>
        <v>52434</v>
      </c>
      <c r="AW406" s="99">
        <f t="shared" si="202"/>
        <v>0</v>
      </c>
      <c r="AX406" s="1">
        <f t="shared" si="179"/>
        <v>0</v>
      </c>
      <c r="AY406" s="29">
        <f t="shared" si="180"/>
        <v>0</v>
      </c>
      <c r="AZ406" s="1">
        <f t="shared" si="181"/>
        <v>0</v>
      </c>
      <c r="CB406" s="20">
        <f t="shared" si="190"/>
        <v>0</v>
      </c>
      <c r="CC406" s="173">
        <f t="shared" si="182"/>
        <v>0</v>
      </c>
    </row>
    <row r="407" spans="2:81" x14ac:dyDescent="0.25">
      <c r="B407" s="41"/>
      <c r="C407" s="42"/>
      <c r="D407" s="43"/>
      <c r="E407" s="44"/>
      <c r="F407" s="44"/>
      <c r="G407" s="45"/>
      <c r="H407" s="81" t="str">
        <f t="shared" si="203"/>
        <v/>
      </c>
      <c r="J407" s="7"/>
      <c r="K407" s="8"/>
      <c r="L407" s="16"/>
      <c r="M407" s="22"/>
      <c r="N407" s="22"/>
      <c r="O407" s="22"/>
      <c r="P407" s="22"/>
      <c r="Q407" s="1">
        <f t="shared" si="183"/>
        <v>0.60744618579017706</v>
      </c>
      <c r="R407" s="12">
        <f t="shared" ca="1" si="197"/>
        <v>11312</v>
      </c>
      <c r="S407" s="88">
        <f t="shared" si="174"/>
        <v>0</v>
      </c>
      <c r="T407" s="19">
        <f t="shared" si="175"/>
        <v>0</v>
      </c>
      <c r="U407" s="19">
        <f t="shared" si="196"/>
        <v>0</v>
      </c>
      <c r="V407" s="19">
        <f t="shared" si="188"/>
        <v>0</v>
      </c>
      <c r="W407" s="20">
        <f t="shared" ca="1" si="198"/>
        <v>0</v>
      </c>
      <c r="X407" s="19">
        <f t="shared" ca="1" si="199"/>
        <v>0</v>
      </c>
      <c r="Y407" s="19">
        <f t="shared" ca="1" si="200"/>
        <v>0</v>
      </c>
      <c r="Z407" s="20">
        <f t="shared" ca="1" si="201"/>
        <v>0</v>
      </c>
      <c r="AA407" s="1">
        <f t="shared" si="184"/>
        <v>5432.58</v>
      </c>
      <c r="AB407" s="91"/>
      <c r="AC407" s="92"/>
      <c r="AD407" s="101">
        <f t="shared" si="185"/>
        <v>52434</v>
      </c>
      <c r="AE407" s="103">
        <f t="shared" si="186"/>
        <v>0</v>
      </c>
      <c r="AG407" s="1">
        <f t="shared" si="176"/>
        <v>0</v>
      </c>
      <c r="AH407" s="1">
        <f t="shared" si="191"/>
        <v>0</v>
      </c>
      <c r="AI407" s="1">
        <f t="shared" si="187"/>
        <v>5432.58</v>
      </c>
      <c r="AJ407" s="20">
        <f t="shared" si="189"/>
        <v>0</v>
      </c>
      <c r="AK407" s="100">
        <f t="shared" si="192"/>
        <v>0</v>
      </c>
      <c r="AL407" s="100">
        <f t="shared" si="193"/>
        <v>0</v>
      </c>
      <c r="AN407" s="100">
        <f t="shared" si="194"/>
        <v>4486.6980234911171</v>
      </c>
      <c r="AO407" s="20">
        <f t="shared" si="195"/>
        <v>0</v>
      </c>
      <c r="AQ407" s="109">
        <f t="shared" si="177"/>
        <v>0</v>
      </c>
      <c r="AU407" s="109">
        <f t="shared" si="178"/>
        <v>26.178055062228534</v>
      </c>
      <c r="AV407" s="101">
        <f t="shared" si="173"/>
        <v>52464</v>
      </c>
      <c r="AW407" s="99">
        <f t="shared" si="202"/>
        <v>0</v>
      </c>
      <c r="AX407" s="1">
        <f t="shared" si="179"/>
        <v>0</v>
      </c>
      <c r="AY407" s="29">
        <f t="shared" si="180"/>
        <v>0</v>
      </c>
      <c r="AZ407" s="1">
        <f t="shared" si="181"/>
        <v>0</v>
      </c>
      <c r="CB407" s="20">
        <f t="shared" si="190"/>
        <v>0</v>
      </c>
      <c r="CC407" s="173">
        <f t="shared" si="182"/>
        <v>0</v>
      </c>
    </row>
    <row r="408" spans="2:81" x14ac:dyDescent="0.25">
      <c r="B408" s="41"/>
      <c r="C408" s="42"/>
      <c r="D408" s="43"/>
      <c r="E408" s="44"/>
      <c r="F408" s="44"/>
      <c r="G408" s="45"/>
      <c r="H408" s="81" t="str">
        <f t="shared" si="203"/>
        <v/>
      </c>
      <c r="J408" s="9"/>
      <c r="K408" s="10"/>
      <c r="L408" s="17"/>
      <c r="M408" s="23"/>
      <c r="N408" s="23"/>
      <c r="O408" s="23"/>
      <c r="P408" s="23"/>
      <c r="Q408" s="1">
        <f t="shared" si="183"/>
        <v>0.60744618579017706</v>
      </c>
      <c r="R408" s="12">
        <f t="shared" ca="1" si="197"/>
        <v>11342</v>
      </c>
      <c r="S408" s="88">
        <f t="shared" si="174"/>
        <v>0</v>
      </c>
      <c r="T408" s="19">
        <f t="shared" si="175"/>
        <v>0</v>
      </c>
      <c r="U408" s="19">
        <f t="shared" si="196"/>
        <v>0</v>
      </c>
      <c r="V408" s="19">
        <f t="shared" si="188"/>
        <v>0</v>
      </c>
      <c r="W408" s="20">
        <f t="shared" ca="1" si="198"/>
        <v>0</v>
      </c>
      <c r="X408" s="19">
        <f t="shared" ca="1" si="199"/>
        <v>0</v>
      </c>
      <c r="Y408" s="19">
        <f t="shared" ca="1" si="200"/>
        <v>0</v>
      </c>
      <c r="Z408" s="20">
        <f t="shared" ca="1" si="201"/>
        <v>0</v>
      </c>
      <c r="AA408" s="1">
        <f t="shared" si="184"/>
        <v>5432.58</v>
      </c>
      <c r="AB408" s="93"/>
      <c r="AC408" s="94"/>
      <c r="AD408" s="101">
        <f t="shared" si="185"/>
        <v>52464</v>
      </c>
      <c r="AE408" s="103">
        <f t="shared" si="186"/>
        <v>0</v>
      </c>
      <c r="AG408" s="1">
        <f t="shared" si="176"/>
        <v>0</v>
      </c>
      <c r="AH408" s="1">
        <f t="shared" si="191"/>
        <v>0</v>
      </c>
      <c r="AI408" s="1">
        <f t="shared" si="187"/>
        <v>5432.58</v>
      </c>
      <c r="AJ408" s="20">
        <f t="shared" si="189"/>
        <v>0</v>
      </c>
      <c r="AK408" s="100">
        <f t="shared" si="192"/>
        <v>0</v>
      </c>
      <c r="AL408" s="100">
        <f t="shared" si="193"/>
        <v>0</v>
      </c>
      <c r="AN408" s="100">
        <f t="shared" si="194"/>
        <v>4484.4279829297166</v>
      </c>
      <c r="AO408" s="20">
        <f t="shared" si="195"/>
        <v>0</v>
      </c>
      <c r="AQ408" s="109">
        <f t="shared" si="177"/>
        <v>0</v>
      </c>
      <c r="AU408" s="109">
        <f t="shared" si="178"/>
        <v>26.175757412411219</v>
      </c>
      <c r="AV408" s="101">
        <f t="shared" si="173"/>
        <v>52494</v>
      </c>
      <c r="AW408" s="99">
        <f t="shared" si="202"/>
        <v>0</v>
      </c>
      <c r="AX408" s="1">
        <f t="shared" si="179"/>
        <v>0</v>
      </c>
      <c r="AY408" s="29">
        <f t="shared" si="180"/>
        <v>0</v>
      </c>
      <c r="AZ408" s="1">
        <f t="shared" si="181"/>
        <v>0</v>
      </c>
      <c r="CB408" s="20">
        <f t="shared" si="190"/>
        <v>0</v>
      </c>
      <c r="CC408" s="173">
        <f t="shared" si="182"/>
        <v>0</v>
      </c>
    </row>
    <row r="409" spans="2:81" x14ac:dyDescent="0.25">
      <c r="B409" s="41"/>
      <c r="C409" s="42"/>
      <c r="D409" s="43"/>
      <c r="E409" s="44"/>
      <c r="F409" s="44"/>
      <c r="G409" s="45"/>
      <c r="H409" s="81" t="str">
        <f t="shared" si="203"/>
        <v/>
      </c>
      <c r="J409" s="7"/>
      <c r="K409" s="8"/>
      <c r="L409" s="16"/>
      <c r="M409" s="22"/>
      <c r="N409" s="22"/>
      <c r="O409" s="22"/>
      <c r="P409" s="22"/>
      <c r="Q409" s="1">
        <f t="shared" si="183"/>
        <v>0.60744618579017706</v>
      </c>
      <c r="R409" s="12">
        <f t="shared" ca="1" si="197"/>
        <v>11372</v>
      </c>
      <c r="S409" s="88">
        <f t="shared" si="174"/>
        <v>0</v>
      </c>
      <c r="T409" s="19">
        <f t="shared" si="175"/>
        <v>0</v>
      </c>
      <c r="U409" s="19">
        <f t="shared" si="196"/>
        <v>0</v>
      </c>
      <c r="V409" s="19">
        <f t="shared" si="188"/>
        <v>0</v>
      </c>
      <c r="W409" s="20">
        <f t="shared" ca="1" si="198"/>
        <v>0</v>
      </c>
      <c r="X409" s="19">
        <f t="shared" ca="1" si="199"/>
        <v>0</v>
      </c>
      <c r="Y409" s="19">
        <f t="shared" ca="1" si="200"/>
        <v>0</v>
      </c>
      <c r="Z409" s="20">
        <f t="shared" ca="1" si="201"/>
        <v>0</v>
      </c>
      <c r="AA409" s="1">
        <f t="shared" si="184"/>
        <v>5432.58</v>
      </c>
      <c r="AB409" s="91"/>
      <c r="AC409" s="92"/>
      <c r="AD409" s="101">
        <f t="shared" si="185"/>
        <v>52494</v>
      </c>
      <c r="AE409" s="103">
        <f t="shared" si="186"/>
        <v>0</v>
      </c>
      <c r="AG409" s="1">
        <f t="shared" si="176"/>
        <v>0</v>
      </c>
      <c r="AH409" s="1">
        <f t="shared" si="191"/>
        <v>0</v>
      </c>
      <c r="AI409" s="1">
        <f t="shared" si="187"/>
        <v>5432.58</v>
      </c>
      <c r="AJ409" s="20">
        <f t="shared" si="189"/>
        <v>0</v>
      </c>
      <c r="AK409" s="100">
        <f t="shared" si="192"/>
        <v>0</v>
      </c>
      <c r="AL409" s="100">
        <f t="shared" si="193"/>
        <v>0</v>
      </c>
      <c r="AN409" s="100">
        <f t="shared" si="194"/>
        <v>4482.1590908931576</v>
      </c>
      <c r="AO409" s="20">
        <f t="shared" si="195"/>
        <v>0</v>
      </c>
      <c r="AQ409" s="109">
        <f t="shared" si="177"/>
        <v>0</v>
      </c>
      <c r="AU409" s="109">
        <f t="shared" si="178"/>
        <v>26.173459964258811</v>
      </c>
      <c r="AV409" s="101">
        <f t="shared" si="173"/>
        <v>52524</v>
      </c>
      <c r="AW409" s="99">
        <f t="shared" si="202"/>
        <v>0</v>
      </c>
      <c r="AX409" s="1">
        <f t="shared" si="179"/>
        <v>0</v>
      </c>
      <c r="AY409" s="29">
        <f t="shared" si="180"/>
        <v>0</v>
      </c>
      <c r="AZ409" s="1">
        <f t="shared" si="181"/>
        <v>0</v>
      </c>
      <c r="CB409" s="20">
        <f t="shared" si="190"/>
        <v>0</v>
      </c>
      <c r="CC409" s="173">
        <f t="shared" si="182"/>
        <v>0</v>
      </c>
    </row>
    <row r="410" spans="2:81" x14ac:dyDescent="0.25">
      <c r="B410" s="41"/>
      <c r="C410" s="42"/>
      <c r="D410" s="43"/>
      <c r="E410" s="44"/>
      <c r="F410" s="44"/>
      <c r="G410" s="45"/>
      <c r="H410" s="81" t="str">
        <f t="shared" si="203"/>
        <v/>
      </c>
      <c r="J410" s="9"/>
      <c r="K410" s="10"/>
      <c r="L410" s="17"/>
      <c r="M410" s="23"/>
      <c r="N410" s="23"/>
      <c r="O410" s="23"/>
      <c r="P410" s="23"/>
      <c r="Q410" s="1">
        <f t="shared" si="183"/>
        <v>0.60744618579017706</v>
      </c>
      <c r="R410" s="12">
        <f t="shared" ca="1" si="197"/>
        <v>11402</v>
      </c>
      <c r="S410" s="88">
        <f t="shared" si="174"/>
        <v>0</v>
      </c>
      <c r="T410" s="19">
        <f t="shared" si="175"/>
        <v>0</v>
      </c>
      <c r="U410" s="19">
        <f t="shared" si="196"/>
        <v>0</v>
      </c>
      <c r="V410" s="19">
        <f t="shared" si="188"/>
        <v>0</v>
      </c>
      <c r="W410" s="20">
        <f t="shared" ca="1" si="198"/>
        <v>0</v>
      </c>
      <c r="X410" s="19">
        <f t="shared" ca="1" si="199"/>
        <v>0</v>
      </c>
      <c r="Y410" s="19">
        <f t="shared" ca="1" si="200"/>
        <v>0</v>
      </c>
      <c r="Z410" s="20">
        <f t="shared" ca="1" si="201"/>
        <v>0</v>
      </c>
      <c r="AA410" s="1">
        <f t="shared" si="184"/>
        <v>5432.58</v>
      </c>
      <c r="AB410" s="93"/>
      <c r="AC410" s="94"/>
      <c r="AD410" s="101">
        <f t="shared" si="185"/>
        <v>52524</v>
      </c>
      <c r="AE410" s="103">
        <f t="shared" si="186"/>
        <v>0</v>
      </c>
      <c r="AG410" s="1">
        <f t="shared" si="176"/>
        <v>0</v>
      </c>
      <c r="AH410" s="1">
        <f t="shared" si="191"/>
        <v>0</v>
      </c>
      <c r="AI410" s="1">
        <f t="shared" si="187"/>
        <v>5432.58</v>
      </c>
      <c r="AJ410" s="20">
        <f t="shared" si="189"/>
        <v>0</v>
      </c>
      <c r="AK410" s="100">
        <f t="shared" si="192"/>
        <v>0</v>
      </c>
      <c r="AL410" s="100">
        <f t="shared" si="193"/>
        <v>0</v>
      </c>
      <c r="AN410" s="100">
        <f t="shared" si="194"/>
        <v>4479.8913468003502</v>
      </c>
      <c r="AO410" s="20">
        <f t="shared" si="195"/>
        <v>0</v>
      </c>
      <c r="AQ410" s="109">
        <f t="shared" si="177"/>
        <v>0</v>
      </c>
      <c r="AU410" s="109">
        <f t="shared" si="178"/>
        <v>26.171162717753592</v>
      </c>
      <c r="AV410" s="101">
        <f t="shared" si="173"/>
        <v>52554</v>
      </c>
      <c r="AW410" s="99">
        <f t="shared" si="202"/>
        <v>0</v>
      </c>
      <c r="AX410" s="1">
        <f t="shared" si="179"/>
        <v>0</v>
      </c>
      <c r="AY410" s="29">
        <f t="shared" si="180"/>
        <v>0</v>
      </c>
      <c r="AZ410" s="1">
        <f t="shared" si="181"/>
        <v>0</v>
      </c>
      <c r="CB410" s="20">
        <f t="shared" si="190"/>
        <v>0</v>
      </c>
      <c r="CC410" s="173">
        <f t="shared" si="182"/>
        <v>0</v>
      </c>
    </row>
    <row r="411" spans="2:81" x14ac:dyDescent="0.25">
      <c r="B411" s="41"/>
      <c r="C411" s="42"/>
      <c r="D411" s="43"/>
      <c r="E411" s="44"/>
      <c r="F411" s="44"/>
      <c r="G411" s="45"/>
      <c r="H411" s="81" t="str">
        <f t="shared" si="203"/>
        <v/>
      </c>
      <c r="J411" s="7"/>
      <c r="K411" s="8"/>
      <c r="L411" s="16"/>
      <c r="M411" s="22"/>
      <c r="N411" s="22"/>
      <c r="O411" s="22"/>
      <c r="P411" s="22"/>
      <c r="Q411" s="1">
        <f t="shared" si="183"/>
        <v>0.60744618579017706</v>
      </c>
      <c r="R411" s="12">
        <f t="shared" ca="1" si="197"/>
        <v>11432</v>
      </c>
      <c r="S411" s="88">
        <f t="shared" si="174"/>
        <v>0</v>
      </c>
      <c r="T411" s="19">
        <f t="shared" si="175"/>
        <v>0</v>
      </c>
      <c r="U411" s="19">
        <f t="shared" si="196"/>
        <v>0</v>
      </c>
      <c r="V411" s="19">
        <f t="shared" si="188"/>
        <v>0</v>
      </c>
      <c r="W411" s="20">
        <f t="shared" ca="1" si="198"/>
        <v>0</v>
      </c>
      <c r="X411" s="19">
        <f t="shared" ca="1" si="199"/>
        <v>0</v>
      </c>
      <c r="Y411" s="19">
        <f t="shared" ca="1" si="200"/>
        <v>0</v>
      </c>
      <c r="Z411" s="20">
        <f t="shared" ca="1" si="201"/>
        <v>0</v>
      </c>
      <c r="AA411" s="1">
        <f t="shared" si="184"/>
        <v>5432.58</v>
      </c>
      <c r="AB411" s="91"/>
      <c r="AC411" s="92"/>
      <c r="AD411" s="101">
        <f t="shared" si="185"/>
        <v>52554</v>
      </c>
      <c r="AE411" s="103">
        <f t="shared" si="186"/>
        <v>0</v>
      </c>
      <c r="AG411" s="1">
        <f t="shared" si="176"/>
        <v>0</v>
      </c>
      <c r="AH411" s="1">
        <f t="shared" si="191"/>
        <v>0</v>
      </c>
      <c r="AI411" s="1">
        <f t="shared" si="187"/>
        <v>5432.58</v>
      </c>
      <c r="AJ411" s="20">
        <f t="shared" si="189"/>
        <v>0</v>
      </c>
      <c r="AK411" s="100">
        <f t="shared" si="192"/>
        <v>0</v>
      </c>
      <c r="AL411" s="100">
        <f t="shared" si="193"/>
        <v>0</v>
      </c>
      <c r="AN411" s="100">
        <f t="shared" si="194"/>
        <v>4477.6247500704912</v>
      </c>
      <c r="AO411" s="20">
        <f t="shared" si="195"/>
        <v>0</v>
      </c>
      <c r="AQ411" s="109">
        <f t="shared" si="177"/>
        <v>0</v>
      </c>
      <c r="AU411" s="109">
        <f t="shared" si="178"/>
        <v>26.168865672877857</v>
      </c>
      <c r="AV411" s="101">
        <f t="shared" si="173"/>
        <v>52584</v>
      </c>
      <c r="AW411" s="99">
        <f t="shared" si="202"/>
        <v>0</v>
      </c>
      <c r="AX411" s="1">
        <f t="shared" si="179"/>
        <v>0</v>
      </c>
      <c r="AY411" s="29">
        <f t="shared" si="180"/>
        <v>0</v>
      </c>
      <c r="AZ411" s="1">
        <f t="shared" si="181"/>
        <v>0</v>
      </c>
      <c r="CB411" s="20">
        <f t="shared" si="190"/>
        <v>0</v>
      </c>
      <c r="CC411" s="173">
        <f t="shared" si="182"/>
        <v>0</v>
      </c>
    </row>
    <row r="412" spans="2:81" x14ac:dyDescent="0.25">
      <c r="B412" s="41"/>
      <c r="C412" s="42"/>
      <c r="D412" s="43"/>
      <c r="E412" s="44"/>
      <c r="F412" s="44"/>
      <c r="G412" s="45"/>
      <c r="H412" s="81" t="str">
        <f t="shared" si="203"/>
        <v/>
      </c>
      <c r="J412" s="9"/>
      <c r="K412" s="10"/>
      <c r="L412" s="17"/>
      <c r="M412" s="23"/>
      <c r="N412" s="23"/>
      <c r="O412" s="23"/>
      <c r="P412" s="23"/>
      <c r="Q412" s="1">
        <f t="shared" si="183"/>
        <v>0.60744618579017706</v>
      </c>
      <c r="R412" s="12">
        <f t="shared" ca="1" si="197"/>
        <v>11462</v>
      </c>
      <c r="S412" s="88">
        <f t="shared" si="174"/>
        <v>0</v>
      </c>
      <c r="T412" s="19">
        <f t="shared" si="175"/>
        <v>0</v>
      </c>
      <c r="U412" s="19">
        <f t="shared" si="196"/>
        <v>0</v>
      </c>
      <c r="V412" s="19">
        <f t="shared" si="188"/>
        <v>0</v>
      </c>
      <c r="W412" s="20">
        <f t="shared" ca="1" si="198"/>
        <v>0</v>
      </c>
      <c r="X412" s="19">
        <f t="shared" ca="1" si="199"/>
        <v>0</v>
      </c>
      <c r="Y412" s="19">
        <f t="shared" ca="1" si="200"/>
        <v>0</v>
      </c>
      <c r="Z412" s="20">
        <f t="shared" ca="1" si="201"/>
        <v>0</v>
      </c>
      <c r="AA412" s="1">
        <f t="shared" si="184"/>
        <v>5432.58</v>
      </c>
      <c r="AB412" s="93"/>
      <c r="AC412" s="94"/>
      <c r="AD412" s="101">
        <f t="shared" si="185"/>
        <v>52584</v>
      </c>
      <c r="AE412" s="103">
        <f t="shared" si="186"/>
        <v>0</v>
      </c>
      <c r="AG412" s="1">
        <f t="shared" si="176"/>
        <v>0</v>
      </c>
      <c r="AH412" s="1">
        <f t="shared" si="191"/>
        <v>0</v>
      </c>
      <c r="AI412" s="1">
        <f t="shared" si="187"/>
        <v>5432.58</v>
      </c>
      <c r="AJ412" s="20">
        <f t="shared" si="189"/>
        <v>0</v>
      </c>
      <c r="AK412" s="100">
        <f t="shared" si="192"/>
        <v>0</v>
      </c>
      <c r="AL412" s="100">
        <f t="shared" si="193"/>
        <v>0</v>
      </c>
      <c r="AN412" s="100">
        <f t="shared" si="194"/>
        <v>4475.3593001230738</v>
      </c>
      <c r="AO412" s="20">
        <f t="shared" si="195"/>
        <v>0</v>
      </c>
      <c r="AQ412" s="109">
        <f t="shared" si="177"/>
        <v>0</v>
      </c>
      <c r="AU412" s="109">
        <f t="shared" si="178"/>
        <v>26.166568829613929</v>
      </c>
      <c r="AV412" s="101">
        <f t="shared" si="173"/>
        <v>52614</v>
      </c>
      <c r="AW412" s="99">
        <f t="shared" si="202"/>
        <v>0</v>
      </c>
      <c r="AX412" s="1">
        <f t="shared" si="179"/>
        <v>0</v>
      </c>
      <c r="AY412" s="29">
        <f t="shared" si="180"/>
        <v>0</v>
      </c>
      <c r="AZ412" s="1">
        <f t="shared" si="181"/>
        <v>0</v>
      </c>
      <c r="CB412" s="20">
        <f t="shared" si="190"/>
        <v>0</v>
      </c>
      <c r="CC412" s="173">
        <f t="shared" si="182"/>
        <v>0</v>
      </c>
    </row>
    <row r="413" spans="2:81" x14ac:dyDescent="0.25">
      <c r="B413" s="41"/>
      <c r="C413" s="42"/>
      <c r="D413" s="43"/>
      <c r="E413" s="44"/>
      <c r="F413" s="44"/>
      <c r="G413" s="45"/>
      <c r="H413" s="81" t="str">
        <f t="shared" si="203"/>
        <v/>
      </c>
      <c r="J413" s="7"/>
      <c r="K413" s="8"/>
      <c r="L413" s="16"/>
      <c r="M413" s="22"/>
      <c r="N413" s="22"/>
      <c r="O413" s="22"/>
      <c r="P413" s="22"/>
      <c r="Q413" s="1">
        <f t="shared" si="183"/>
        <v>0.60744618579017706</v>
      </c>
      <c r="R413" s="12">
        <f t="shared" ca="1" si="197"/>
        <v>11492</v>
      </c>
      <c r="S413" s="88">
        <f t="shared" si="174"/>
        <v>0</v>
      </c>
      <c r="T413" s="19">
        <f t="shared" si="175"/>
        <v>0</v>
      </c>
      <c r="U413" s="19">
        <f t="shared" si="196"/>
        <v>0</v>
      </c>
      <c r="V413" s="19">
        <f t="shared" si="188"/>
        <v>0</v>
      </c>
      <c r="W413" s="20">
        <f t="shared" ca="1" si="198"/>
        <v>0</v>
      </c>
      <c r="X413" s="19">
        <f t="shared" ca="1" si="199"/>
        <v>0</v>
      </c>
      <c r="Y413" s="19">
        <f t="shared" ca="1" si="200"/>
        <v>0</v>
      </c>
      <c r="Z413" s="20">
        <f t="shared" ca="1" si="201"/>
        <v>0</v>
      </c>
      <c r="AA413" s="1">
        <f t="shared" si="184"/>
        <v>5432.58</v>
      </c>
      <c r="AB413" s="91"/>
      <c r="AC413" s="92"/>
      <c r="AD413" s="101">
        <f t="shared" si="185"/>
        <v>52614</v>
      </c>
      <c r="AE413" s="103">
        <f t="shared" si="186"/>
        <v>0</v>
      </c>
      <c r="AG413" s="1">
        <f t="shared" si="176"/>
        <v>0</v>
      </c>
      <c r="AH413" s="1">
        <f t="shared" si="191"/>
        <v>0</v>
      </c>
      <c r="AI413" s="1">
        <f t="shared" si="187"/>
        <v>5432.58</v>
      </c>
      <c r="AJ413" s="20">
        <f t="shared" si="189"/>
        <v>0</v>
      </c>
      <c r="AK413" s="100">
        <f t="shared" si="192"/>
        <v>0</v>
      </c>
      <c r="AL413" s="100">
        <f t="shared" si="193"/>
        <v>0</v>
      </c>
      <c r="AN413" s="100">
        <f t="shared" si="194"/>
        <v>4473.0949963778849</v>
      </c>
      <c r="AO413" s="20">
        <f t="shared" si="195"/>
        <v>0</v>
      </c>
      <c r="AQ413" s="109">
        <f t="shared" si="177"/>
        <v>0</v>
      </c>
      <c r="AU413" s="109">
        <f t="shared" si="178"/>
        <v>26.164272187944107</v>
      </c>
      <c r="AV413" s="101">
        <f t="shared" si="173"/>
        <v>52644</v>
      </c>
      <c r="AW413" s="99">
        <f t="shared" si="202"/>
        <v>0</v>
      </c>
      <c r="AX413" s="1">
        <f t="shared" si="179"/>
        <v>0</v>
      </c>
      <c r="AY413" s="29">
        <f t="shared" si="180"/>
        <v>0</v>
      </c>
      <c r="AZ413" s="1">
        <f t="shared" si="181"/>
        <v>0</v>
      </c>
      <c r="CB413" s="20">
        <f t="shared" si="190"/>
        <v>0</v>
      </c>
      <c r="CC413" s="173">
        <f t="shared" si="182"/>
        <v>0</v>
      </c>
    </row>
    <row r="414" spans="2:81" x14ac:dyDescent="0.25">
      <c r="B414" s="41"/>
      <c r="C414" s="42"/>
      <c r="D414" s="43"/>
      <c r="E414" s="44"/>
      <c r="F414" s="44"/>
      <c r="G414" s="45"/>
      <c r="H414" s="81" t="str">
        <f t="shared" si="203"/>
        <v/>
      </c>
      <c r="J414" s="9"/>
      <c r="K414" s="10"/>
      <c r="L414" s="17"/>
      <c r="M414" s="23"/>
      <c r="N414" s="23"/>
      <c r="O414" s="23"/>
      <c r="P414" s="23"/>
      <c r="Q414" s="1">
        <f t="shared" si="183"/>
        <v>0.60744618579017706</v>
      </c>
      <c r="R414" s="12">
        <f t="shared" ca="1" si="197"/>
        <v>11522</v>
      </c>
      <c r="S414" s="88">
        <f t="shared" si="174"/>
        <v>0</v>
      </c>
      <c r="T414" s="19">
        <f t="shared" si="175"/>
        <v>0</v>
      </c>
      <c r="U414" s="19">
        <f t="shared" si="196"/>
        <v>0</v>
      </c>
      <c r="V414" s="19">
        <f t="shared" si="188"/>
        <v>0</v>
      </c>
      <c r="W414" s="20">
        <f t="shared" ca="1" si="198"/>
        <v>0</v>
      </c>
      <c r="X414" s="19">
        <f t="shared" ca="1" si="199"/>
        <v>0</v>
      </c>
      <c r="Y414" s="19">
        <f t="shared" ca="1" si="200"/>
        <v>0</v>
      </c>
      <c r="Z414" s="20">
        <f t="shared" ca="1" si="201"/>
        <v>0</v>
      </c>
      <c r="AA414" s="1">
        <f t="shared" si="184"/>
        <v>5432.58</v>
      </c>
      <c r="AB414" s="93"/>
      <c r="AC414" s="94"/>
      <c r="AD414" s="101">
        <f t="shared" si="185"/>
        <v>52644</v>
      </c>
      <c r="AE414" s="103">
        <f t="shared" si="186"/>
        <v>0</v>
      </c>
      <c r="AG414" s="1">
        <f t="shared" si="176"/>
        <v>0</v>
      </c>
      <c r="AH414" s="1">
        <f t="shared" si="191"/>
        <v>0</v>
      </c>
      <c r="AI414" s="1">
        <f t="shared" si="187"/>
        <v>5432.58</v>
      </c>
      <c r="AJ414" s="20">
        <f t="shared" si="189"/>
        <v>0</v>
      </c>
      <c r="AK414" s="100">
        <f t="shared" si="192"/>
        <v>0</v>
      </c>
      <c r="AL414" s="100">
        <f t="shared" si="193"/>
        <v>0</v>
      </c>
      <c r="AN414" s="100">
        <f t="shared" si="194"/>
        <v>4470.8318382550033</v>
      </c>
      <c r="AO414" s="20">
        <f t="shared" si="195"/>
        <v>0</v>
      </c>
      <c r="AQ414" s="109">
        <f t="shared" si="177"/>
        <v>0</v>
      </c>
      <c r="AU414" s="109">
        <f t="shared" si="178"/>
        <v>26.16197574785069</v>
      </c>
      <c r="AV414" s="101">
        <f t="shared" ref="AV414:AV477" si="204">AD415</f>
        <v>52674</v>
      </c>
      <c r="AW414" s="99">
        <f t="shared" si="202"/>
        <v>0</v>
      </c>
      <c r="AX414" s="1">
        <f t="shared" si="179"/>
        <v>0</v>
      </c>
      <c r="AY414" s="29">
        <f t="shared" si="180"/>
        <v>0</v>
      </c>
      <c r="AZ414" s="1">
        <f t="shared" si="181"/>
        <v>0</v>
      </c>
      <c r="CB414" s="20">
        <f t="shared" si="190"/>
        <v>0</v>
      </c>
      <c r="CC414" s="173">
        <f t="shared" si="182"/>
        <v>0</v>
      </c>
    </row>
    <row r="415" spans="2:81" x14ac:dyDescent="0.25">
      <c r="B415" s="41"/>
      <c r="C415" s="42"/>
      <c r="D415" s="43"/>
      <c r="E415" s="44"/>
      <c r="F415" s="44"/>
      <c r="G415" s="45"/>
      <c r="H415" s="81" t="str">
        <f t="shared" si="203"/>
        <v/>
      </c>
      <c r="J415" s="7"/>
      <c r="K415" s="8"/>
      <c r="L415" s="16"/>
      <c r="M415" s="22"/>
      <c r="N415" s="22"/>
      <c r="O415" s="22"/>
      <c r="P415" s="22"/>
      <c r="Q415" s="1">
        <f t="shared" si="183"/>
        <v>0.60744618579017706</v>
      </c>
      <c r="R415" s="12">
        <f t="shared" ca="1" si="197"/>
        <v>11552</v>
      </c>
      <c r="S415" s="88">
        <f t="shared" ref="S415:S449" si="205">N415+M415</f>
        <v>0</v>
      </c>
      <c r="T415" s="19">
        <f t="shared" ref="T415:T478" si="206">IF(ISERROR((previousBalance*Q415/1200)*(IF(ROW()-30&lt;$G$22,$G$21,0))),0,(previousBalance*Q415/1200)*(IF(ROW()-30&lt;$G$22,$G$21,0)))</f>
        <v>0</v>
      </c>
      <c r="U415" s="19">
        <f t="shared" si="196"/>
        <v>0</v>
      </c>
      <c r="V415" s="19">
        <f t="shared" si="188"/>
        <v>0</v>
      </c>
      <c r="W415" s="20">
        <f t="shared" ca="1" si="198"/>
        <v>0</v>
      </c>
      <c r="X415" s="19">
        <f t="shared" ca="1" si="199"/>
        <v>0</v>
      </c>
      <c r="Y415" s="19">
        <f t="shared" ca="1" si="200"/>
        <v>0</v>
      </c>
      <c r="Z415" s="20">
        <f t="shared" ca="1" si="201"/>
        <v>0</v>
      </c>
      <c r="AA415" s="1">
        <f t="shared" si="184"/>
        <v>5432.58</v>
      </c>
      <c r="AB415" s="91"/>
      <c r="AC415" s="92"/>
      <c r="AD415" s="101">
        <f t="shared" si="185"/>
        <v>52674</v>
      </c>
      <c r="AE415" s="103">
        <f t="shared" si="186"/>
        <v>0</v>
      </c>
      <c r="AG415" s="1">
        <f t="shared" ref="AG415:AG478" si="207">AE415/360</f>
        <v>0</v>
      </c>
      <c r="AH415" s="1">
        <f t="shared" si="191"/>
        <v>0</v>
      </c>
      <c r="AI415" s="1">
        <f t="shared" si="187"/>
        <v>5432.58</v>
      </c>
      <c r="AJ415" s="20">
        <f t="shared" si="189"/>
        <v>0</v>
      </c>
      <c r="AK415" s="100">
        <f t="shared" si="192"/>
        <v>0</v>
      </c>
      <c r="AL415" s="100">
        <f t="shared" si="193"/>
        <v>0</v>
      </c>
      <c r="AN415" s="100">
        <f t="shared" si="194"/>
        <v>4468.5698251748036</v>
      </c>
      <c r="AO415" s="20">
        <f t="shared" si="195"/>
        <v>0</v>
      </c>
      <c r="AQ415" s="109">
        <f t="shared" ref="AQ415:AQ478" si="208">AO415/(1+((1+$AM$27)^((ROW()-29)*30)-1))</f>
        <v>0</v>
      </c>
      <c r="AU415" s="109">
        <f t="shared" ref="AU415:AU478" si="209">(($AT$27/(1+((1+$AM$27)^(ROW()-29)*30)-1))/292)*0.32</f>
        <v>26.159679509315986</v>
      </c>
      <c r="AV415" s="101">
        <f t="shared" si="204"/>
        <v>52704</v>
      </c>
      <c r="AW415" s="99">
        <f t="shared" si="202"/>
        <v>0</v>
      </c>
      <c r="AX415" s="1">
        <f t="shared" ref="AX415:AX478" si="210">IF(AG415&gt;0,AA415,0)</f>
        <v>0</v>
      </c>
      <c r="AY415" s="29">
        <f t="shared" ref="AY415:AY478" si="211">AE415</f>
        <v>0</v>
      </c>
      <c r="AZ415" s="1">
        <f t="shared" ref="AZ415:AZ478" si="212">AY415/360</f>
        <v>0</v>
      </c>
      <c r="CB415" s="20">
        <f t="shared" si="190"/>
        <v>0</v>
      </c>
      <c r="CC415" s="173">
        <f t="shared" ref="CC415:CC478" si="213">AJ415+U415+T415</f>
        <v>0</v>
      </c>
    </row>
    <row r="416" spans="2:81" x14ac:dyDescent="0.25">
      <c r="B416" s="41"/>
      <c r="C416" s="42"/>
      <c r="D416" s="43"/>
      <c r="E416" s="44"/>
      <c r="F416" s="44"/>
      <c r="G416" s="45"/>
      <c r="H416" s="81" t="str">
        <f t="shared" si="203"/>
        <v/>
      </c>
      <c r="J416" s="9"/>
      <c r="K416" s="10"/>
      <c r="L416" s="17"/>
      <c r="M416" s="23"/>
      <c r="N416" s="23"/>
      <c r="O416" s="23"/>
      <c r="P416" s="23"/>
      <c r="Q416" s="1">
        <f t="shared" ref="Q416:Q479" si="214">IF(M416=0,Q415,(M416*1200)/O415)</f>
        <v>0.60744618579017706</v>
      </c>
      <c r="R416" s="12">
        <f t="shared" ca="1" si="197"/>
        <v>11582</v>
      </c>
      <c r="S416" s="88">
        <f t="shared" si="205"/>
        <v>0</v>
      </c>
      <c r="T416" s="19">
        <f t="shared" si="206"/>
        <v>0</v>
      </c>
      <c r="U416" s="19">
        <f t="shared" si="196"/>
        <v>0</v>
      </c>
      <c r="V416" s="19">
        <f t="shared" si="188"/>
        <v>0</v>
      </c>
      <c r="W416" s="20">
        <f t="shared" ca="1" si="198"/>
        <v>0</v>
      </c>
      <c r="X416" s="19">
        <f t="shared" ca="1" si="199"/>
        <v>0</v>
      </c>
      <c r="Y416" s="19">
        <f t="shared" ca="1" si="200"/>
        <v>0</v>
      </c>
      <c r="Z416" s="20">
        <f t="shared" ca="1" si="201"/>
        <v>0</v>
      </c>
      <c r="AA416" s="1">
        <f t="shared" ref="AA416:AA479" si="215">IF(S416=0,AA415,N416)</f>
        <v>5432.58</v>
      </c>
      <c r="AB416" s="93"/>
      <c r="AC416" s="94"/>
      <c r="AD416" s="101">
        <f t="shared" ref="AD416:AD479" si="216">IF(M416=0,AD415+30,K416)</f>
        <v>52704</v>
      </c>
      <c r="AE416" s="103">
        <f t="shared" ref="AE416:AE479" si="217">IF(V416=0,0,R416)</f>
        <v>0</v>
      </c>
      <c r="AG416" s="1">
        <f t="shared" si="207"/>
        <v>0</v>
      </c>
      <c r="AH416" s="1">
        <f t="shared" si="191"/>
        <v>0</v>
      </c>
      <c r="AI416" s="1">
        <f t="shared" ref="AI416:AI479" si="218">IF(M416-1=0,IF(M416=0,IF(V416=0,N416,AI415),AA416),AA416)</f>
        <v>5432.58</v>
      </c>
      <c r="AJ416" s="20">
        <f t="shared" si="189"/>
        <v>0</v>
      </c>
      <c r="AK416" s="100">
        <f t="shared" si="192"/>
        <v>0</v>
      </c>
      <c r="AL416" s="100">
        <f t="shared" si="193"/>
        <v>0</v>
      </c>
      <c r="AN416" s="100">
        <f t="shared" si="194"/>
        <v>4466.3089565579512</v>
      </c>
      <c r="AO416" s="20">
        <f t="shared" si="195"/>
        <v>0</v>
      </c>
      <c r="AQ416" s="109">
        <f t="shared" si="208"/>
        <v>0</v>
      </c>
      <c r="AU416" s="109">
        <f t="shared" si="209"/>
        <v>26.157383472322305</v>
      </c>
      <c r="AV416" s="101">
        <f t="shared" si="204"/>
        <v>52734</v>
      </c>
      <c r="AW416" s="99">
        <f t="shared" si="202"/>
        <v>0</v>
      </c>
      <c r="AX416" s="1">
        <f t="shared" si="210"/>
        <v>0</v>
      </c>
      <c r="AY416" s="29">
        <f t="shared" si="211"/>
        <v>0</v>
      </c>
      <c r="AZ416" s="1">
        <f t="shared" si="212"/>
        <v>0</v>
      </c>
      <c r="CB416" s="20">
        <f t="shared" si="190"/>
        <v>0</v>
      </c>
      <c r="CC416" s="173">
        <f t="shared" si="213"/>
        <v>0</v>
      </c>
    </row>
    <row r="417" spans="2:81" x14ac:dyDescent="0.25">
      <c r="B417" s="41"/>
      <c r="C417" s="42"/>
      <c r="D417" s="43"/>
      <c r="E417" s="44"/>
      <c r="F417" s="44"/>
      <c r="G417" s="45"/>
      <c r="H417" s="81" t="str">
        <f t="shared" si="203"/>
        <v/>
      </c>
      <c r="J417" s="7"/>
      <c r="K417" s="8"/>
      <c r="L417" s="16"/>
      <c r="M417" s="22"/>
      <c r="N417" s="22"/>
      <c r="O417" s="22"/>
      <c r="P417" s="22"/>
      <c r="Q417" s="1">
        <f t="shared" si="214"/>
        <v>0.60744618579017706</v>
      </c>
      <c r="R417" s="12">
        <f t="shared" ca="1" si="197"/>
        <v>11612</v>
      </c>
      <c r="S417" s="88">
        <f t="shared" si="205"/>
        <v>0</v>
      </c>
      <c r="T417" s="19">
        <f t="shared" si="206"/>
        <v>0</v>
      </c>
      <c r="U417" s="19">
        <f t="shared" si="196"/>
        <v>0</v>
      </c>
      <c r="V417" s="19">
        <f t="shared" si="188"/>
        <v>0</v>
      </c>
      <c r="W417" s="20">
        <f t="shared" ca="1" si="198"/>
        <v>0</v>
      </c>
      <c r="X417" s="19">
        <f t="shared" ca="1" si="199"/>
        <v>0</v>
      </c>
      <c r="Y417" s="19">
        <f t="shared" ca="1" si="200"/>
        <v>0</v>
      </c>
      <c r="Z417" s="20">
        <f t="shared" ca="1" si="201"/>
        <v>0</v>
      </c>
      <c r="AA417" s="1">
        <f t="shared" si="215"/>
        <v>5432.58</v>
      </c>
      <c r="AB417" s="91"/>
      <c r="AC417" s="92"/>
      <c r="AD417" s="101">
        <f t="shared" si="216"/>
        <v>52734</v>
      </c>
      <c r="AE417" s="103">
        <f t="shared" si="217"/>
        <v>0</v>
      </c>
      <c r="AG417" s="1">
        <f t="shared" si="207"/>
        <v>0</v>
      </c>
      <c r="AH417" s="1">
        <f t="shared" si="191"/>
        <v>0</v>
      </c>
      <c r="AI417" s="1">
        <f t="shared" si="218"/>
        <v>5432.58</v>
      </c>
      <c r="AJ417" s="20">
        <f t="shared" si="189"/>
        <v>0</v>
      </c>
      <c r="AK417" s="100">
        <f t="shared" si="192"/>
        <v>0</v>
      </c>
      <c r="AL417" s="100">
        <f t="shared" si="193"/>
        <v>0</v>
      </c>
      <c r="AN417" s="100">
        <f t="shared" si="194"/>
        <v>4464.0492318254073</v>
      </c>
      <c r="AO417" s="20">
        <f t="shared" si="195"/>
        <v>0</v>
      </c>
      <c r="AQ417" s="109">
        <f t="shared" si="208"/>
        <v>0</v>
      </c>
      <c r="AU417" s="109">
        <f t="shared" si="209"/>
        <v>26.15508763685196</v>
      </c>
      <c r="AV417" s="101">
        <f t="shared" si="204"/>
        <v>52764</v>
      </c>
      <c r="AW417" s="99">
        <f t="shared" si="202"/>
        <v>0</v>
      </c>
      <c r="AX417" s="1">
        <f t="shared" si="210"/>
        <v>0</v>
      </c>
      <c r="AY417" s="29">
        <f t="shared" si="211"/>
        <v>0</v>
      </c>
      <c r="AZ417" s="1">
        <f t="shared" si="212"/>
        <v>0</v>
      </c>
      <c r="CB417" s="20">
        <f t="shared" si="190"/>
        <v>0</v>
      </c>
      <c r="CC417" s="173">
        <f t="shared" si="213"/>
        <v>0</v>
      </c>
    </row>
    <row r="418" spans="2:81" x14ac:dyDescent="0.25">
      <c r="B418" s="41"/>
      <c r="C418" s="42"/>
      <c r="D418" s="43"/>
      <c r="E418" s="44"/>
      <c r="F418" s="44"/>
      <c r="G418" s="45"/>
      <c r="H418" s="81" t="str">
        <f t="shared" si="203"/>
        <v/>
      </c>
      <c r="J418" s="9"/>
      <c r="K418" s="10"/>
      <c r="L418" s="17"/>
      <c r="M418" s="23"/>
      <c r="N418" s="23"/>
      <c r="O418" s="23"/>
      <c r="P418" s="23"/>
      <c r="Q418" s="1">
        <f t="shared" si="214"/>
        <v>0.60744618579017706</v>
      </c>
      <c r="R418" s="12">
        <f t="shared" ca="1" si="197"/>
        <v>11642</v>
      </c>
      <c r="S418" s="88">
        <f t="shared" si="205"/>
        <v>0</v>
      </c>
      <c r="T418" s="19">
        <f t="shared" si="206"/>
        <v>0</v>
      </c>
      <c r="U418" s="19">
        <f t="shared" si="196"/>
        <v>0</v>
      </c>
      <c r="V418" s="19">
        <f t="shared" ref="V418:V481" si="219">IF(ISERROR(IF(V417+U418+T418+(V417*Q418/1200)-AA418-P418&lt;0,0,V417+U418+T418-AA418-P418)),0,IF(V417+U418+T418+(V417*Q418/1200)-AA418-CB418&lt;0,0,V417+U418+T418-AA418-CB418))</f>
        <v>0</v>
      </c>
      <c r="W418" s="20">
        <f t="shared" ca="1" si="198"/>
        <v>0</v>
      </c>
      <c r="X418" s="19">
        <f t="shared" ca="1" si="199"/>
        <v>0</v>
      </c>
      <c r="Y418" s="19">
        <f t="shared" ca="1" si="200"/>
        <v>0</v>
      </c>
      <c r="Z418" s="20">
        <f t="shared" ca="1" si="201"/>
        <v>0</v>
      </c>
      <c r="AA418" s="1">
        <f t="shared" si="215"/>
        <v>5432.58</v>
      </c>
      <c r="AB418" s="93"/>
      <c r="AC418" s="94"/>
      <c r="AD418" s="101">
        <f t="shared" si="216"/>
        <v>52764</v>
      </c>
      <c r="AE418" s="103">
        <f t="shared" si="217"/>
        <v>0</v>
      </c>
      <c r="AG418" s="1">
        <f t="shared" si="207"/>
        <v>0</v>
      </c>
      <c r="AH418" s="1">
        <f t="shared" si="191"/>
        <v>0</v>
      </c>
      <c r="AI418" s="1">
        <f t="shared" si="218"/>
        <v>5432.58</v>
      </c>
      <c r="AJ418" s="20">
        <f t="shared" si="189"/>
        <v>0</v>
      </c>
      <c r="AK418" s="100">
        <f t="shared" si="192"/>
        <v>0</v>
      </c>
      <c r="AL418" s="100">
        <f t="shared" si="193"/>
        <v>0</v>
      </c>
      <c r="AN418" s="100">
        <f t="shared" si="194"/>
        <v>4461.790650398425</v>
      </c>
      <c r="AO418" s="20">
        <f t="shared" si="195"/>
        <v>0</v>
      </c>
      <c r="AQ418" s="109">
        <f t="shared" si="208"/>
        <v>0</v>
      </c>
      <c r="AU418" s="109">
        <f t="shared" si="209"/>
        <v>26.152792002887267</v>
      </c>
      <c r="AV418" s="101">
        <f t="shared" si="204"/>
        <v>52794</v>
      </c>
      <c r="AW418" s="99">
        <f t="shared" si="202"/>
        <v>0</v>
      </c>
      <c r="AX418" s="1">
        <f t="shared" si="210"/>
        <v>0</v>
      </c>
      <c r="AY418" s="29">
        <f t="shared" si="211"/>
        <v>0</v>
      </c>
      <c r="AZ418" s="1">
        <f t="shared" si="212"/>
        <v>0</v>
      </c>
      <c r="CB418" s="20">
        <f t="shared" si="190"/>
        <v>0</v>
      </c>
      <c r="CC418" s="173">
        <f t="shared" si="213"/>
        <v>0</v>
      </c>
    </row>
    <row r="419" spans="2:81" x14ac:dyDescent="0.25">
      <c r="B419" s="41"/>
      <c r="C419" s="42"/>
      <c r="D419" s="43"/>
      <c r="E419" s="44"/>
      <c r="F419" s="44"/>
      <c r="G419" s="45"/>
      <c r="H419" s="81" t="str">
        <f t="shared" si="203"/>
        <v/>
      </c>
      <c r="J419" s="7"/>
      <c r="K419" s="8"/>
      <c r="L419" s="16"/>
      <c r="M419" s="22"/>
      <c r="N419" s="22"/>
      <c r="O419" s="22"/>
      <c r="P419" s="22"/>
      <c r="Q419" s="1">
        <f t="shared" si="214"/>
        <v>0.60744618579017706</v>
      </c>
      <c r="R419" s="12">
        <f t="shared" ca="1" si="197"/>
        <v>11672</v>
      </c>
      <c r="S419" s="88">
        <f t="shared" si="205"/>
        <v>0</v>
      </c>
      <c r="T419" s="19">
        <f t="shared" si="206"/>
        <v>0</v>
      </c>
      <c r="U419" s="19">
        <f t="shared" si="196"/>
        <v>0</v>
      </c>
      <c r="V419" s="19">
        <f t="shared" si="219"/>
        <v>0</v>
      </c>
      <c r="W419" s="20">
        <f t="shared" ca="1" si="198"/>
        <v>0</v>
      </c>
      <c r="X419" s="19">
        <f t="shared" ca="1" si="199"/>
        <v>0</v>
      </c>
      <c r="Y419" s="19">
        <f t="shared" ca="1" si="200"/>
        <v>0</v>
      </c>
      <c r="Z419" s="20">
        <f t="shared" ca="1" si="201"/>
        <v>0</v>
      </c>
      <c r="AA419" s="1">
        <f t="shared" si="215"/>
        <v>5432.58</v>
      </c>
      <c r="AB419" s="91"/>
      <c r="AC419" s="92"/>
      <c r="AD419" s="101">
        <f t="shared" si="216"/>
        <v>52794</v>
      </c>
      <c r="AE419" s="103">
        <f t="shared" si="217"/>
        <v>0</v>
      </c>
      <c r="AG419" s="1">
        <f t="shared" si="207"/>
        <v>0</v>
      </c>
      <c r="AH419" s="1">
        <f t="shared" si="191"/>
        <v>0</v>
      </c>
      <c r="AI419" s="1">
        <f t="shared" si="218"/>
        <v>5432.58</v>
      </c>
      <c r="AJ419" s="20">
        <f t="shared" si="189"/>
        <v>0</v>
      </c>
      <c r="AK419" s="100">
        <f t="shared" si="192"/>
        <v>0</v>
      </c>
      <c r="AL419" s="100">
        <f t="shared" si="193"/>
        <v>0</v>
      </c>
      <c r="AN419" s="100">
        <f t="shared" si="194"/>
        <v>4459.5332116985483</v>
      </c>
      <c r="AO419" s="20">
        <f t="shared" si="195"/>
        <v>0</v>
      </c>
      <c r="AQ419" s="109">
        <f t="shared" si="208"/>
        <v>0</v>
      </c>
      <c r="AU419" s="109">
        <f t="shared" si="209"/>
        <v>26.150496570410532</v>
      </c>
      <c r="AV419" s="101">
        <f t="shared" si="204"/>
        <v>52824</v>
      </c>
      <c r="AW419" s="99">
        <f t="shared" si="202"/>
        <v>0</v>
      </c>
      <c r="AX419" s="1">
        <f t="shared" si="210"/>
        <v>0</v>
      </c>
      <c r="AY419" s="29">
        <f t="shared" si="211"/>
        <v>0</v>
      </c>
      <c r="AZ419" s="1">
        <f t="shared" si="212"/>
        <v>0</v>
      </c>
      <c r="CB419" s="20">
        <f t="shared" si="190"/>
        <v>0</v>
      </c>
      <c r="CC419" s="173">
        <f t="shared" si="213"/>
        <v>0</v>
      </c>
    </row>
    <row r="420" spans="2:81" x14ac:dyDescent="0.25">
      <c r="B420" s="41"/>
      <c r="C420" s="42"/>
      <c r="D420" s="43"/>
      <c r="E420" s="44"/>
      <c r="F420" s="44"/>
      <c r="G420" s="45"/>
      <c r="H420" s="81" t="str">
        <f t="shared" si="203"/>
        <v/>
      </c>
      <c r="J420" s="9"/>
      <c r="K420" s="10"/>
      <c r="L420" s="17"/>
      <c r="M420" s="23"/>
      <c r="N420" s="23"/>
      <c r="O420" s="23"/>
      <c r="P420" s="23"/>
      <c r="Q420" s="1">
        <f t="shared" si="214"/>
        <v>0.60744618579017706</v>
      </c>
      <c r="R420" s="12">
        <f t="shared" ca="1" si="197"/>
        <v>11702</v>
      </c>
      <c r="S420" s="88">
        <f t="shared" si="205"/>
        <v>0</v>
      </c>
      <c r="T420" s="19">
        <f t="shared" si="206"/>
        <v>0</v>
      </c>
      <c r="U420" s="19">
        <f t="shared" si="196"/>
        <v>0</v>
      </c>
      <c r="V420" s="19">
        <f t="shared" si="219"/>
        <v>0</v>
      </c>
      <c r="W420" s="20">
        <f t="shared" ca="1" si="198"/>
        <v>0</v>
      </c>
      <c r="X420" s="19">
        <f t="shared" ca="1" si="199"/>
        <v>0</v>
      </c>
      <c r="Y420" s="19">
        <f t="shared" ca="1" si="200"/>
        <v>0</v>
      </c>
      <c r="Z420" s="20">
        <f t="shared" ca="1" si="201"/>
        <v>0</v>
      </c>
      <c r="AA420" s="1">
        <f t="shared" si="215"/>
        <v>5432.58</v>
      </c>
      <c r="AB420" s="93"/>
      <c r="AC420" s="94"/>
      <c r="AD420" s="101">
        <f t="shared" si="216"/>
        <v>52824</v>
      </c>
      <c r="AE420" s="103">
        <f t="shared" si="217"/>
        <v>0</v>
      </c>
      <c r="AG420" s="1">
        <f t="shared" si="207"/>
        <v>0</v>
      </c>
      <c r="AH420" s="1">
        <f t="shared" si="191"/>
        <v>0</v>
      </c>
      <c r="AI420" s="1">
        <f t="shared" si="218"/>
        <v>5432.58</v>
      </c>
      <c r="AJ420" s="20">
        <f t="shared" si="189"/>
        <v>0</v>
      </c>
      <c r="AK420" s="100">
        <f t="shared" si="192"/>
        <v>0</v>
      </c>
      <c r="AL420" s="100">
        <f t="shared" si="193"/>
        <v>0</v>
      </c>
      <c r="AN420" s="100">
        <f t="shared" si="194"/>
        <v>4457.2769151476177</v>
      </c>
      <c r="AO420" s="20">
        <f t="shared" si="195"/>
        <v>0</v>
      </c>
      <c r="AQ420" s="109">
        <f t="shared" si="208"/>
        <v>0</v>
      </c>
      <c r="AU420" s="109">
        <f t="shared" si="209"/>
        <v>26.148201339404082</v>
      </c>
      <c r="AV420" s="101">
        <f t="shared" si="204"/>
        <v>52854</v>
      </c>
      <c r="AW420" s="99">
        <f t="shared" si="202"/>
        <v>0</v>
      </c>
      <c r="AX420" s="1">
        <f t="shared" si="210"/>
        <v>0</v>
      </c>
      <c r="AY420" s="29">
        <f t="shared" si="211"/>
        <v>0</v>
      </c>
      <c r="AZ420" s="1">
        <f t="shared" si="212"/>
        <v>0</v>
      </c>
      <c r="CB420" s="20">
        <f t="shared" si="190"/>
        <v>0</v>
      </c>
      <c r="CC420" s="173">
        <f t="shared" si="213"/>
        <v>0</v>
      </c>
    </row>
    <row r="421" spans="2:81" x14ac:dyDescent="0.25">
      <c r="B421" s="41"/>
      <c r="C421" s="42"/>
      <c r="D421" s="43"/>
      <c r="E421" s="44"/>
      <c r="F421" s="44"/>
      <c r="G421" s="45"/>
      <c r="H421" s="81" t="str">
        <f t="shared" si="203"/>
        <v/>
      </c>
      <c r="J421" s="7"/>
      <c r="K421" s="8"/>
      <c r="L421" s="16"/>
      <c r="M421" s="22"/>
      <c r="N421" s="22"/>
      <c r="O421" s="22"/>
      <c r="P421" s="22"/>
      <c r="Q421" s="1">
        <f t="shared" si="214"/>
        <v>0.60744618579017706</v>
      </c>
      <c r="R421" s="12">
        <f t="shared" ca="1" si="197"/>
        <v>11732</v>
      </c>
      <c r="S421" s="88">
        <f t="shared" si="205"/>
        <v>0</v>
      </c>
      <c r="T421" s="19">
        <f t="shared" si="206"/>
        <v>0</v>
      </c>
      <c r="U421" s="19">
        <f t="shared" si="196"/>
        <v>0</v>
      </c>
      <c r="V421" s="19">
        <f t="shared" si="219"/>
        <v>0</v>
      </c>
      <c r="W421" s="20">
        <f t="shared" ca="1" si="198"/>
        <v>0</v>
      </c>
      <c r="X421" s="19">
        <f t="shared" ca="1" si="199"/>
        <v>0</v>
      </c>
      <c r="Y421" s="19">
        <f t="shared" ca="1" si="200"/>
        <v>0</v>
      </c>
      <c r="Z421" s="20">
        <f t="shared" ca="1" si="201"/>
        <v>0</v>
      </c>
      <c r="AA421" s="1">
        <f t="shared" si="215"/>
        <v>5432.58</v>
      </c>
      <c r="AB421" s="91"/>
      <c r="AC421" s="92"/>
      <c r="AD421" s="101">
        <f t="shared" si="216"/>
        <v>52854</v>
      </c>
      <c r="AE421" s="103">
        <f t="shared" si="217"/>
        <v>0</v>
      </c>
      <c r="AG421" s="1">
        <f t="shared" si="207"/>
        <v>0</v>
      </c>
      <c r="AH421" s="1">
        <f t="shared" si="191"/>
        <v>0</v>
      </c>
      <c r="AI421" s="1">
        <f t="shared" si="218"/>
        <v>5432.58</v>
      </c>
      <c r="AJ421" s="20">
        <f t="shared" si="189"/>
        <v>0</v>
      </c>
      <c r="AK421" s="100">
        <f t="shared" si="192"/>
        <v>0</v>
      </c>
      <c r="AL421" s="100">
        <f t="shared" si="193"/>
        <v>0</v>
      </c>
      <c r="AN421" s="100">
        <f t="shared" si="194"/>
        <v>4455.0217601677623</v>
      </c>
      <c r="AO421" s="20">
        <f t="shared" si="195"/>
        <v>0</v>
      </c>
      <c r="AQ421" s="109">
        <f t="shared" si="208"/>
        <v>0</v>
      </c>
      <c r="AU421" s="109">
        <f t="shared" si="209"/>
        <v>26.145906309850222</v>
      </c>
      <c r="AV421" s="101">
        <f t="shared" si="204"/>
        <v>52884</v>
      </c>
      <c r="AW421" s="99">
        <f t="shared" si="202"/>
        <v>0</v>
      </c>
      <c r="AX421" s="1">
        <f t="shared" si="210"/>
        <v>0</v>
      </c>
      <c r="AY421" s="29">
        <f t="shared" si="211"/>
        <v>0</v>
      </c>
      <c r="AZ421" s="1">
        <f t="shared" si="212"/>
        <v>0</v>
      </c>
      <c r="CB421" s="20">
        <f t="shared" si="190"/>
        <v>0</v>
      </c>
      <c r="CC421" s="173">
        <f t="shared" si="213"/>
        <v>0</v>
      </c>
    </row>
    <row r="422" spans="2:81" x14ac:dyDescent="0.25">
      <c r="B422" s="41"/>
      <c r="C422" s="42"/>
      <c r="D422" s="43"/>
      <c r="E422" s="44"/>
      <c r="F422" s="44"/>
      <c r="G422" s="45"/>
      <c r="H422" s="81" t="str">
        <f t="shared" si="203"/>
        <v/>
      </c>
      <c r="J422" s="9"/>
      <c r="K422" s="10"/>
      <c r="L422" s="17"/>
      <c r="M422" s="23"/>
      <c r="N422" s="23"/>
      <c r="O422" s="23"/>
      <c r="P422" s="23"/>
      <c r="Q422" s="1">
        <f t="shared" si="214"/>
        <v>0.60744618579017706</v>
      </c>
      <c r="R422" s="12">
        <f t="shared" ca="1" si="197"/>
        <v>11762</v>
      </c>
      <c r="S422" s="88">
        <f t="shared" si="205"/>
        <v>0</v>
      </c>
      <c r="T422" s="19">
        <f t="shared" si="206"/>
        <v>0</v>
      </c>
      <c r="U422" s="19">
        <f t="shared" si="196"/>
        <v>0</v>
      </c>
      <c r="V422" s="19">
        <f t="shared" si="219"/>
        <v>0</v>
      </c>
      <c r="W422" s="20">
        <f t="shared" ca="1" si="198"/>
        <v>0</v>
      </c>
      <c r="X422" s="19">
        <f t="shared" ca="1" si="199"/>
        <v>0</v>
      </c>
      <c r="Y422" s="19">
        <f t="shared" ca="1" si="200"/>
        <v>0</v>
      </c>
      <c r="Z422" s="20">
        <f t="shared" ca="1" si="201"/>
        <v>0</v>
      </c>
      <c r="AA422" s="1">
        <f t="shared" si="215"/>
        <v>5432.58</v>
      </c>
      <c r="AB422" s="93"/>
      <c r="AC422" s="94"/>
      <c r="AD422" s="101">
        <f t="shared" si="216"/>
        <v>52884</v>
      </c>
      <c r="AE422" s="103">
        <f t="shared" si="217"/>
        <v>0</v>
      </c>
      <c r="AG422" s="1">
        <f t="shared" si="207"/>
        <v>0</v>
      </c>
      <c r="AH422" s="1">
        <f t="shared" si="191"/>
        <v>0</v>
      </c>
      <c r="AI422" s="1">
        <f t="shared" si="218"/>
        <v>5432.58</v>
      </c>
      <c r="AJ422" s="20">
        <f t="shared" si="189"/>
        <v>0</v>
      </c>
      <c r="AK422" s="100">
        <f t="shared" si="192"/>
        <v>0</v>
      </c>
      <c r="AL422" s="100">
        <f t="shared" si="193"/>
        <v>0</v>
      </c>
      <c r="AN422" s="100">
        <f t="shared" si="194"/>
        <v>4452.7677461814037</v>
      </c>
      <c r="AO422" s="20">
        <f t="shared" si="195"/>
        <v>0</v>
      </c>
      <c r="AQ422" s="109">
        <f t="shared" si="208"/>
        <v>0</v>
      </c>
      <c r="AU422" s="109">
        <f t="shared" si="209"/>
        <v>26.14361148173127</v>
      </c>
      <c r="AV422" s="101">
        <f t="shared" si="204"/>
        <v>52914</v>
      </c>
      <c r="AW422" s="99">
        <f t="shared" si="202"/>
        <v>0</v>
      </c>
      <c r="AX422" s="1">
        <f t="shared" si="210"/>
        <v>0</v>
      </c>
      <c r="AY422" s="29">
        <f t="shared" si="211"/>
        <v>0</v>
      </c>
      <c r="AZ422" s="1">
        <f t="shared" si="212"/>
        <v>0</v>
      </c>
      <c r="CB422" s="20">
        <f t="shared" si="190"/>
        <v>0</v>
      </c>
      <c r="CC422" s="173">
        <f t="shared" si="213"/>
        <v>0</v>
      </c>
    </row>
    <row r="423" spans="2:81" x14ac:dyDescent="0.25">
      <c r="B423" s="41"/>
      <c r="C423" s="42"/>
      <c r="D423" s="43"/>
      <c r="E423" s="44"/>
      <c r="F423" s="44"/>
      <c r="G423" s="45"/>
      <c r="H423" s="81" t="str">
        <f t="shared" si="203"/>
        <v/>
      </c>
      <c r="J423" s="7"/>
      <c r="K423" s="8"/>
      <c r="L423" s="16"/>
      <c r="M423" s="22"/>
      <c r="N423" s="22"/>
      <c r="O423" s="22"/>
      <c r="P423" s="22"/>
      <c r="Q423" s="1">
        <f t="shared" si="214"/>
        <v>0.60744618579017706</v>
      </c>
      <c r="R423" s="12">
        <f t="shared" ca="1" si="197"/>
        <v>11792</v>
      </c>
      <c r="S423" s="88">
        <f t="shared" si="205"/>
        <v>0</v>
      </c>
      <c r="T423" s="19">
        <f t="shared" si="206"/>
        <v>0</v>
      </c>
      <c r="U423" s="19">
        <f t="shared" si="196"/>
        <v>0</v>
      </c>
      <c r="V423" s="19">
        <f t="shared" si="219"/>
        <v>0</v>
      </c>
      <c r="W423" s="20">
        <f t="shared" ca="1" si="198"/>
        <v>0</v>
      </c>
      <c r="X423" s="19">
        <f t="shared" ca="1" si="199"/>
        <v>0</v>
      </c>
      <c r="Y423" s="19">
        <f t="shared" ca="1" si="200"/>
        <v>0</v>
      </c>
      <c r="Z423" s="20">
        <f t="shared" ca="1" si="201"/>
        <v>0</v>
      </c>
      <c r="AA423" s="1">
        <f t="shared" si="215"/>
        <v>5432.58</v>
      </c>
      <c r="AB423" s="91"/>
      <c r="AC423" s="92"/>
      <c r="AD423" s="101">
        <f t="shared" si="216"/>
        <v>52914</v>
      </c>
      <c r="AE423" s="103">
        <f t="shared" si="217"/>
        <v>0</v>
      </c>
      <c r="AG423" s="1">
        <f t="shared" si="207"/>
        <v>0</v>
      </c>
      <c r="AH423" s="1">
        <f t="shared" si="191"/>
        <v>0</v>
      </c>
      <c r="AI423" s="1">
        <f t="shared" si="218"/>
        <v>5432.58</v>
      </c>
      <c r="AJ423" s="20">
        <f t="shared" si="189"/>
        <v>0</v>
      </c>
      <c r="AK423" s="100">
        <f t="shared" si="192"/>
        <v>0</v>
      </c>
      <c r="AL423" s="100">
        <f t="shared" si="193"/>
        <v>0</v>
      </c>
      <c r="AN423" s="100">
        <f t="shared" si="194"/>
        <v>4450.514872611262</v>
      </c>
      <c r="AO423" s="20">
        <f t="shared" si="195"/>
        <v>0</v>
      </c>
      <c r="AQ423" s="109">
        <f t="shared" si="208"/>
        <v>0</v>
      </c>
      <c r="AU423" s="109">
        <f t="shared" si="209"/>
        <v>26.141316855029551</v>
      </c>
      <c r="AV423" s="101">
        <f t="shared" si="204"/>
        <v>52944</v>
      </c>
      <c r="AW423" s="99">
        <f t="shared" si="202"/>
        <v>0</v>
      </c>
      <c r="AX423" s="1">
        <f t="shared" si="210"/>
        <v>0</v>
      </c>
      <c r="AY423" s="29">
        <f t="shared" si="211"/>
        <v>0</v>
      </c>
      <c r="AZ423" s="1">
        <f t="shared" si="212"/>
        <v>0</v>
      </c>
      <c r="CB423" s="20">
        <f t="shared" si="190"/>
        <v>0</v>
      </c>
      <c r="CC423" s="173">
        <f t="shared" si="213"/>
        <v>0</v>
      </c>
    </row>
    <row r="424" spans="2:81" x14ac:dyDescent="0.25">
      <c r="B424" s="41"/>
      <c r="C424" s="42"/>
      <c r="D424" s="43"/>
      <c r="E424" s="44"/>
      <c r="F424" s="44"/>
      <c r="G424" s="45"/>
      <c r="H424" s="81" t="str">
        <f t="shared" si="203"/>
        <v/>
      </c>
      <c r="J424" s="9"/>
      <c r="K424" s="10"/>
      <c r="L424" s="17"/>
      <c r="M424" s="23"/>
      <c r="N424" s="23"/>
      <c r="O424" s="23"/>
      <c r="P424" s="23"/>
      <c r="Q424" s="1">
        <f t="shared" si="214"/>
        <v>0.60744618579017706</v>
      </c>
      <c r="R424" s="12">
        <f t="shared" ca="1" si="197"/>
        <v>11822</v>
      </c>
      <c r="S424" s="88">
        <f t="shared" si="205"/>
        <v>0</v>
      </c>
      <c r="T424" s="19">
        <f t="shared" si="206"/>
        <v>0</v>
      </c>
      <c r="U424" s="19">
        <f t="shared" si="196"/>
        <v>0</v>
      </c>
      <c r="V424" s="19">
        <f t="shared" si="219"/>
        <v>0</v>
      </c>
      <c r="W424" s="20">
        <f t="shared" ca="1" si="198"/>
        <v>0</v>
      </c>
      <c r="X424" s="19">
        <f t="shared" ca="1" si="199"/>
        <v>0</v>
      </c>
      <c r="Y424" s="19">
        <f t="shared" ca="1" si="200"/>
        <v>0</v>
      </c>
      <c r="Z424" s="20">
        <f t="shared" ca="1" si="201"/>
        <v>0</v>
      </c>
      <c r="AA424" s="1">
        <f t="shared" si="215"/>
        <v>5432.58</v>
      </c>
      <c r="AB424" s="93"/>
      <c r="AC424" s="94"/>
      <c r="AD424" s="101">
        <f t="shared" si="216"/>
        <v>52944</v>
      </c>
      <c r="AE424" s="103">
        <f t="shared" si="217"/>
        <v>0</v>
      </c>
      <c r="AG424" s="1">
        <f t="shared" si="207"/>
        <v>0</v>
      </c>
      <c r="AH424" s="1">
        <f t="shared" si="191"/>
        <v>0</v>
      </c>
      <c r="AI424" s="1">
        <f t="shared" si="218"/>
        <v>5432.58</v>
      </c>
      <c r="AJ424" s="20">
        <f t="shared" ref="AJ424:AJ487" si="220">IF(ISERROR(IF(V423+U424+T424+(V423*Q424/1200)-AA424-P424&lt;0,V423,-(U424+T424-AA424+P424-AH424))),0,IF(V423+U424+T424+(V423*Q424/1200)-AA424-P424&lt;0,0,-(U424+T424-AA424-AH424)))</f>
        <v>0</v>
      </c>
      <c r="AK424" s="100">
        <f t="shared" si="192"/>
        <v>0</v>
      </c>
      <c r="AL424" s="100">
        <f t="shared" si="193"/>
        <v>0</v>
      </c>
      <c r="AN424" s="100">
        <f t="shared" si="194"/>
        <v>4448.2631388803429</v>
      </c>
      <c r="AO424" s="20">
        <f t="shared" si="195"/>
        <v>0</v>
      </c>
      <c r="AQ424" s="109">
        <f t="shared" si="208"/>
        <v>0</v>
      </c>
      <c r="AU424" s="109">
        <f t="shared" si="209"/>
        <v>26.139022429727394</v>
      </c>
      <c r="AV424" s="101">
        <f t="shared" si="204"/>
        <v>52974</v>
      </c>
      <c r="AW424" s="99">
        <f t="shared" si="202"/>
        <v>0</v>
      </c>
      <c r="AX424" s="1">
        <f t="shared" si="210"/>
        <v>0</v>
      </c>
      <c r="AY424" s="29">
        <f t="shared" si="211"/>
        <v>0</v>
      </c>
      <c r="AZ424" s="1">
        <f t="shared" si="212"/>
        <v>0</v>
      </c>
      <c r="CB424" s="20">
        <f t="shared" si="190"/>
        <v>0</v>
      </c>
      <c r="CC424" s="173">
        <f t="shared" si="213"/>
        <v>0</v>
      </c>
    </row>
    <row r="425" spans="2:81" x14ac:dyDescent="0.25">
      <c r="B425" s="41"/>
      <c r="C425" s="42"/>
      <c r="D425" s="43"/>
      <c r="E425" s="44"/>
      <c r="F425" s="44"/>
      <c r="G425" s="45"/>
      <c r="H425" s="81" t="str">
        <f t="shared" si="203"/>
        <v/>
      </c>
      <c r="J425" s="7"/>
      <c r="K425" s="8"/>
      <c r="L425" s="16"/>
      <c r="M425" s="22"/>
      <c r="N425" s="22"/>
      <c r="O425" s="22"/>
      <c r="P425" s="22"/>
      <c r="Q425" s="1">
        <f t="shared" si="214"/>
        <v>0.60744618579017706</v>
      </c>
      <c r="R425" s="12">
        <f t="shared" ca="1" si="197"/>
        <v>11852</v>
      </c>
      <c r="S425" s="88">
        <f t="shared" si="205"/>
        <v>0</v>
      </c>
      <c r="T425" s="19">
        <f t="shared" si="206"/>
        <v>0</v>
      </c>
      <c r="U425" s="19">
        <f t="shared" si="196"/>
        <v>0</v>
      </c>
      <c r="V425" s="19">
        <f t="shared" si="219"/>
        <v>0</v>
      </c>
      <c r="W425" s="20">
        <f t="shared" ca="1" si="198"/>
        <v>0</v>
      </c>
      <c r="X425" s="19">
        <f t="shared" ca="1" si="199"/>
        <v>0</v>
      </c>
      <c r="Y425" s="19">
        <f t="shared" ca="1" si="200"/>
        <v>0</v>
      </c>
      <c r="Z425" s="20">
        <f t="shared" ca="1" si="201"/>
        <v>0</v>
      </c>
      <c r="AA425" s="1">
        <f t="shared" si="215"/>
        <v>5432.58</v>
      </c>
      <c r="AB425" s="91"/>
      <c r="AC425" s="92"/>
      <c r="AD425" s="101">
        <f t="shared" si="216"/>
        <v>52974</v>
      </c>
      <c r="AE425" s="103">
        <f t="shared" si="217"/>
        <v>0</v>
      </c>
      <c r="AG425" s="1">
        <f t="shared" si="207"/>
        <v>0</v>
      </c>
      <c r="AH425" s="1">
        <f t="shared" si="191"/>
        <v>0</v>
      </c>
      <c r="AI425" s="1">
        <f t="shared" si="218"/>
        <v>5432.58</v>
      </c>
      <c r="AJ425" s="20">
        <f t="shared" si="220"/>
        <v>0</v>
      </c>
      <c r="AK425" s="100">
        <f t="shared" si="192"/>
        <v>0</v>
      </c>
      <c r="AL425" s="100">
        <f t="shared" si="193"/>
        <v>0</v>
      </c>
      <c r="AN425" s="100">
        <f t="shared" si="194"/>
        <v>4446.0125444119431</v>
      </c>
      <c r="AO425" s="20">
        <f t="shared" si="195"/>
        <v>0</v>
      </c>
      <c r="AQ425" s="109">
        <f t="shared" si="208"/>
        <v>0</v>
      </c>
      <c r="AU425" s="109">
        <f t="shared" si="209"/>
        <v>26.13672820580711</v>
      </c>
      <c r="AV425" s="101">
        <f t="shared" si="204"/>
        <v>53004</v>
      </c>
      <c r="AW425" s="99">
        <f t="shared" si="202"/>
        <v>0</v>
      </c>
      <c r="AX425" s="1">
        <f t="shared" si="210"/>
        <v>0</v>
      </c>
      <c r="AY425" s="29">
        <f t="shared" si="211"/>
        <v>0</v>
      </c>
      <c r="AZ425" s="1">
        <f t="shared" si="212"/>
        <v>0</v>
      </c>
      <c r="CB425" s="20">
        <f t="shared" si="190"/>
        <v>0</v>
      </c>
      <c r="CC425" s="173">
        <f t="shared" si="213"/>
        <v>0</v>
      </c>
    </row>
    <row r="426" spans="2:81" x14ac:dyDescent="0.25">
      <c r="B426" s="41"/>
      <c r="C426" s="42"/>
      <c r="D426" s="43"/>
      <c r="E426" s="44"/>
      <c r="F426" s="44"/>
      <c r="G426" s="45"/>
      <c r="H426" s="81" t="str">
        <f t="shared" si="203"/>
        <v/>
      </c>
      <c r="J426" s="9"/>
      <c r="K426" s="10"/>
      <c r="L426" s="17"/>
      <c r="M426" s="23"/>
      <c r="N426" s="23"/>
      <c r="O426" s="23"/>
      <c r="P426" s="23"/>
      <c r="Q426" s="1">
        <f t="shared" si="214"/>
        <v>0.60744618579017706</v>
      </c>
      <c r="R426" s="12">
        <f t="shared" ca="1" si="197"/>
        <v>11882</v>
      </c>
      <c r="S426" s="88">
        <f t="shared" si="205"/>
        <v>0</v>
      </c>
      <c r="T426" s="19">
        <f t="shared" si="206"/>
        <v>0</v>
      </c>
      <c r="U426" s="19">
        <f t="shared" si="196"/>
        <v>0</v>
      </c>
      <c r="V426" s="19">
        <f t="shared" si="219"/>
        <v>0</v>
      </c>
      <c r="W426" s="20">
        <f t="shared" ca="1" si="198"/>
        <v>0</v>
      </c>
      <c r="X426" s="19">
        <f t="shared" ca="1" si="199"/>
        <v>0</v>
      </c>
      <c r="Y426" s="19">
        <f t="shared" ca="1" si="200"/>
        <v>0</v>
      </c>
      <c r="Z426" s="20">
        <f t="shared" ca="1" si="201"/>
        <v>0</v>
      </c>
      <c r="AA426" s="1">
        <f t="shared" si="215"/>
        <v>5432.58</v>
      </c>
      <c r="AB426" s="93"/>
      <c r="AC426" s="94"/>
      <c r="AD426" s="101">
        <f t="shared" si="216"/>
        <v>53004</v>
      </c>
      <c r="AE426" s="103">
        <f t="shared" si="217"/>
        <v>0</v>
      </c>
      <c r="AG426" s="1">
        <f t="shared" si="207"/>
        <v>0</v>
      </c>
      <c r="AH426" s="1">
        <f t="shared" si="191"/>
        <v>0</v>
      </c>
      <c r="AI426" s="1">
        <f t="shared" si="218"/>
        <v>5432.58</v>
      </c>
      <c r="AJ426" s="20">
        <f t="shared" si="220"/>
        <v>0</v>
      </c>
      <c r="AK426" s="100">
        <f t="shared" si="192"/>
        <v>0</v>
      </c>
      <c r="AL426" s="100">
        <f t="shared" si="193"/>
        <v>0</v>
      </c>
      <c r="AN426" s="100">
        <f t="shared" si="194"/>
        <v>4443.7630886296565</v>
      </c>
      <c r="AO426" s="20">
        <f t="shared" si="195"/>
        <v>0</v>
      </c>
      <c r="AQ426" s="109">
        <f t="shared" si="208"/>
        <v>0</v>
      </c>
      <c r="AU426" s="109">
        <f t="shared" si="209"/>
        <v>26.13443418325102</v>
      </c>
      <c r="AV426" s="101">
        <f t="shared" si="204"/>
        <v>53034</v>
      </c>
      <c r="AW426" s="99">
        <f t="shared" si="202"/>
        <v>0</v>
      </c>
      <c r="AX426" s="1">
        <f t="shared" si="210"/>
        <v>0</v>
      </c>
      <c r="AY426" s="29">
        <f t="shared" si="211"/>
        <v>0</v>
      </c>
      <c r="AZ426" s="1">
        <f t="shared" si="212"/>
        <v>0</v>
      </c>
      <c r="CB426" s="20">
        <f t="shared" si="190"/>
        <v>0</v>
      </c>
      <c r="CC426" s="173">
        <f t="shared" si="213"/>
        <v>0</v>
      </c>
    </row>
    <row r="427" spans="2:81" x14ac:dyDescent="0.25">
      <c r="B427" s="41"/>
      <c r="C427" s="42"/>
      <c r="D427" s="43"/>
      <c r="E427" s="44"/>
      <c r="F427" s="44"/>
      <c r="G427" s="45"/>
      <c r="H427" s="81" t="str">
        <f t="shared" si="203"/>
        <v/>
      </c>
      <c r="J427" s="7"/>
      <c r="K427" s="8"/>
      <c r="L427" s="16"/>
      <c r="M427" s="22"/>
      <c r="N427" s="22"/>
      <c r="O427" s="22"/>
      <c r="P427" s="22"/>
      <c r="Q427" s="1">
        <f t="shared" si="214"/>
        <v>0.60744618579017706</v>
      </c>
      <c r="R427" s="12">
        <f t="shared" ca="1" si="197"/>
        <v>11912</v>
      </c>
      <c r="S427" s="88">
        <f t="shared" si="205"/>
        <v>0</v>
      </c>
      <c r="T427" s="19">
        <f t="shared" si="206"/>
        <v>0</v>
      </c>
      <c r="U427" s="19">
        <f t="shared" si="196"/>
        <v>0</v>
      </c>
      <c r="V427" s="19">
        <f t="shared" si="219"/>
        <v>0</v>
      </c>
      <c r="W427" s="20">
        <f t="shared" ca="1" si="198"/>
        <v>0</v>
      </c>
      <c r="X427" s="19">
        <f t="shared" ca="1" si="199"/>
        <v>0</v>
      </c>
      <c r="Y427" s="19">
        <f t="shared" ca="1" si="200"/>
        <v>0</v>
      </c>
      <c r="Z427" s="20">
        <f t="shared" ca="1" si="201"/>
        <v>0</v>
      </c>
      <c r="AA427" s="1">
        <f t="shared" si="215"/>
        <v>5432.58</v>
      </c>
      <c r="AB427" s="91"/>
      <c r="AC427" s="92"/>
      <c r="AD427" s="101">
        <f t="shared" si="216"/>
        <v>53034</v>
      </c>
      <c r="AE427" s="103">
        <f t="shared" si="217"/>
        <v>0</v>
      </c>
      <c r="AG427" s="1">
        <f t="shared" si="207"/>
        <v>0</v>
      </c>
      <c r="AH427" s="1">
        <f t="shared" si="191"/>
        <v>0</v>
      </c>
      <c r="AI427" s="1">
        <f t="shared" si="218"/>
        <v>5432.58</v>
      </c>
      <c r="AJ427" s="20">
        <f t="shared" si="220"/>
        <v>0</v>
      </c>
      <c r="AK427" s="100">
        <f t="shared" si="192"/>
        <v>0</v>
      </c>
      <c r="AL427" s="100">
        <f t="shared" si="193"/>
        <v>0</v>
      </c>
      <c r="AN427" s="100">
        <f t="shared" si="194"/>
        <v>4441.5147709573648</v>
      </c>
      <c r="AO427" s="20">
        <f t="shared" si="195"/>
        <v>0</v>
      </c>
      <c r="AQ427" s="109">
        <f t="shared" si="208"/>
        <v>0</v>
      </c>
      <c r="AU427" s="109">
        <f t="shared" si="209"/>
        <v>26.132140362041469</v>
      </c>
      <c r="AV427" s="101">
        <f t="shared" si="204"/>
        <v>53064</v>
      </c>
      <c r="AW427" s="99">
        <f t="shared" si="202"/>
        <v>0</v>
      </c>
      <c r="AX427" s="1">
        <f t="shared" si="210"/>
        <v>0</v>
      </c>
      <c r="AY427" s="29">
        <f t="shared" si="211"/>
        <v>0</v>
      </c>
      <c r="AZ427" s="1">
        <f t="shared" si="212"/>
        <v>0</v>
      </c>
      <c r="CB427" s="20">
        <f t="shared" si="190"/>
        <v>0</v>
      </c>
      <c r="CC427" s="173">
        <f t="shared" si="213"/>
        <v>0</v>
      </c>
    </row>
    <row r="428" spans="2:81" x14ac:dyDescent="0.25">
      <c r="B428" s="41"/>
      <c r="C428" s="42"/>
      <c r="D428" s="43"/>
      <c r="E428" s="44"/>
      <c r="F428" s="44"/>
      <c r="G428" s="45"/>
      <c r="H428" s="81" t="str">
        <f t="shared" si="203"/>
        <v/>
      </c>
      <c r="J428" s="9"/>
      <c r="K428" s="10"/>
      <c r="L428" s="17"/>
      <c r="M428" s="23"/>
      <c r="N428" s="23"/>
      <c r="O428" s="23"/>
      <c r="P428" s="23"/>
      <c r="Q428" s="1">
        <f t="shared" si="214"/>
        <v>0.60744618579017706</v>
      </c>
      <c r="R428" s="12">
        <f t="shared" ca="1" si="197"/>
        <v>11942</v>
      </c>
      <c r="S428" s="88">
        <f t="shared" si="205"/>
        <v>0</v>
      </c>
      <c r="T428" s="19">
        <f t="shared" si="206"/>
        <v>0</v>
      </c>
      <c r="U428" s="19">
        <f t="shared" si="196"/>
        <v>0</v>
      </c>
      <c r="V428" s="19">
        <f t="shared" si="219"/>
        <v>0</v>
      </c>
      <c r="W428" s="20">
        <f t="shared" ca="1" si="198"/>
        <v>0</v>
      </c>
      <c r="X428" s="19">
        <f t="shared" ca="1" si="199"/>
        <v>0</v>
      </c>
      <c r="Y428" s="19">
        <f t="shared" ca="1" si="200"/>
        <v>0</v>
      </c>
      <c r="Z428" s="20">
        <f t="shared" ca="1" si="201"/>
        <v>0</v>
      </c>
      <c r="AA428" s="1">
        <f t="shared" si="215"/>
        <v>5432.58</v>
      </c>
      <c r="AB428" s="93"/>
      <c r="AC428" s="94"/>
      <c r="AD428" s="101">
        <f t="shared" si="216"/>
        <v>53064</v>
      </c>
      <c r="AE428" s="103">
        <f t="shared" si="217"/>
        <v>0</v>
      </c>
      <c r="AG428" s="1">
        <f t="shared" si="207"/>
        <v>0</v>
      </c>
      <c r="AH428" s="1">
        <f t="shared" si="191"/>
        <v>0</v>
      </c>
      <c r="AI428" s="1">
        <f t="shared" si="218"/>
        <v>5432.58</v>
      </c>
      <c r="AJ428" s="20">
        <f t="shared" si="220"/>
        <v>0</v>
      </c>
      <c r="AK428" s="100">
        <f t="shared" si="192"/>
        <v>0</v>
      </c>
      <c r="AL428" s="100">
        <f t="shared" si="193"/>
        <v>0</v>
      </c>
      <c r="AN428" s="100">
        <f t="shared" si="194"/>
        <v>4439.2675908192441</v>
      </c>
      <c r="AO428" s="20">
        <f t="shared" si="195"/>
        <v>0</v>
      </c>
      <c r="AQ428" s="109">
        <f t="shared" si="208"/>
        <v>0</v>
      </c>
      <c r="AU428" s="109">
        <f t="shared" si="209"/>
        <v>26.12984674216078</v>
      </c>
      <c r="AV428" s="101">
        <f t="shared" si="204"/>
        <v>53094</v>
      </c>
      <c r="AW428" s="99">
        <f t="shared" si="202"/>
        <v>0</v>
      </c>
      <c r="AX428" s="1">
        <f t="shared" si="210"/>
        <v>0</v>
      </c>
      <c r="AY428" s="29">
        <f t="shared" si="211"/>
        <v>0</v>
      </c>
      <c r="AZ428" s="1">
        <f t="shared" si="212"/>
        <v>0</v>
      </c>
      <c r="CB428" s="20">
        <f t="shared" si="190"/>
        <v>0</v>
      </c>
      <c r="CC428" s="173">
        <f t="shared" si="213"/>
        <v>0</v>
      </c>
    </row>
    <row r="429" spans="2:81" x14ac:dyDescent="0.25">
      <c r="B429" s="41"/>
      <c r="C429" s="42"/>
      <c r="D429" s="43"/>
      <c r="E429" s="44"/>
      <c r="F429" s="44"/>
      <c r="G429" s="45"/>
      <c r="H429" s="81" t="str">
        <f t="shared" si="203"/>
        <v/>
      </c>
      <c r="J429" s="7"/>
      <c r="K429" s="8"/>
      <c r="L429" s="16"/>
      <c r="M429" s="22"/>
      <c r="N429" s="22"/>
      <c r="O429" s="22"/>
      <c r="P429" s="22"/>
      <c r="Q429" s="1">
        <f t="shared" si="214"/>
        <v>0.60744618579017706</v>
      </c>
      <c r="R429" s="12">
        <f t="shared" ca="1" si="197"/>
        <v>11972</v>
      </c>
      <c r="S429" s="88">
        <f t="shared" si="205"/>
        <v>0</v>
      </c>
      <c r="T429" s="19">
        <f t="shared" si="206"/>
        <v>0</v>
      </c>
      <c r="U429" s="19">
        <f t="shared" si="196"/>
        <v>0</v>
      </c>
      <c r="V429" s="19">
        <f t="shared" si="219"/>
        <v>0</v>
      </c>
      <c r="W429" s="20">
        <f t="shared" ca="1" si="198"/>
        <v>0</v>
      </c>
      <c r="X429" s="19">
        <f t="shared" ca="1" si="199"/>
        <v>0</v>
      </c>
      <c r="Y429" s="19">
        <f t="shared" ca="1" si="200"/>
        <v>0</v>
      </c>
      <c r="Z429" s="20">
        <f t="shared" ca="1" si="201"/>
        <v>0</v>
      </c>
      <c r="AA429" s="1">
        <f t="shared" si="215"/>
        <v>5432.58</v>
      </c>
      <c r="AB429" s="91"/>
      <c r="AC429" s="92"/>
      <c r="AD429" s="101">
        <f t="shared" si="216"/>
        <v>53094</v>
      </c>
      <c r="AE429" s="103">
        <f t="shared" si="217"/>
        <v>0</v>
      </c>
      <c r="AG429" s="1">
        <f t="shared" si="207"/>
        <v>0</v>
      </c>
      <c r="AH429" s="1">
        <f t="shared" si="191"/>
        <v>0</v>
      </c>
      <c r="AI429" s="1">
        <f t="shared" si="218"/>
        <v>5432.58</v>
      </c>
      <c r="AJ429" s="20">
        <f t="shared" si="220"/>
        <v>0</v>
      </c>
      <c r="AK429" s="100">
        <f t="shared" si="192"/>
        <v>0</v>
      </c>
      <c r="AL429" s="100">
        <f t="shared" si="193"/>
        <v>0</v>
      </c>
      <c r="AN429" s="100">
        <f t="shared" si="194"/>
        <v>4437.021547639758</v>
      </c>
      <c r="AO429" s="20">
        <f t="shared" si="195"/>
        <v>0</v>
      </c>
      <c r="AQ429" s="109">
        <f t="shared" si="208"/>
        <v>0</v>
      </c>
      <c r="AU429" s="109">
        <f t="shared" si="209"/>
        <v>26.127553323591265</v>
      </c>
      <c r="AV429" s="101">
        <f t="shared" si="204"/>
        <v>53124</v>
      </c>
      <c r="AW429" s="99">
        <f t="shared" si="202"/>
        <v>0</v>
      </c>
      <c r="AX429" s="1">
        <f t="shared" si="210"/>
        <v>0</v>
      </c>
      <c r="AY429" s="29">
        <f t="shared" si="211"/>
        <v>0</v>
      </c>
      <c r="AZ429" s="1">
        <f t="shared" si="212"/>
        <v>0</v>
      </c>
      <c r="CB429" s="20">
        <f t="shared" si="190"/>
        <v>0</v>
      </c>
      <c r="CC429" s="173">
        <f t="shared" si="213"/>
        <v>0</v>
      </c>
    </row>
    <row r="430" spans="2:81" x14ac:dyDescent="0.25">
      <c r="B430" s="41"/>
      <c r="C430" s="42"/>
      <c r="D430" s="43"/>
      <c r="E430" s="44"/>
      <c r="F430" s="44"/>
      <c r="G430" s="45"/>
      <c r="H430" s="81" t="str">
        <f t="shared" si="203"/>
        <v/>
      </c>
      <c r="J430" s="9"/>
      <c r="K430" s="10"/>
      <c r="L430" s="17"/>
      <c r="M430" s="23"/>
      <c r="N430" s="23"/>
      <c r="O430" s="23"/>
      <c r="P430" s="23"/>
      <c r="Q430" s="1">
        <f t="shared" si="214"/>
        <v>0.60744618579017706</v>
      </c>
      <c r="R430" s="12">
        <f t="shared" ca="1" si="197"/>
        <v>12002</v>
      </c>
      <c r="S430" s="88">
        <f t="shared" si="205"/>
        <v>0</v>
      </c>
      <c r="T430" s="19">
        <f t="shared" si="206"/>
        <v>0</v>
      </c>
      <c r="U430" s="19">
        <f t="shared" si="196"/>
        <v>0</v>
      </c>
      <c r="V430" s="19">
        <f t="shared" si="219"/>
        <v>0</v>
      </c>
      <c r="W430" s="20">
        <f t="shared" ca="1" si="198"/>
        <v>0</v>
      </c>
      <c r="X430" s="19">
        <f t="shared" ca="1" si="199"/>
        <v>0</v>
      </c>
      <c r="Y430" s="19">
        <f t="shared" ca="1" si="200"/>
        <v>0</v>
      </c>
      <c r="Z430" s="20">
        <f t="shared" ca="1" si="201"/>
        <v>0</v>
      </c>
      <c r="AA430" s="1">
        <f t="shared" si="215"/>
        <v>5432.58</v>
      </c>
      <c r="AB430" s="93"/>
      <c r="AC430" s="94"/>
      <c r="AD430" s="101">
        <f t="shared" si="216"/>
        <v>53124</v>
      </c>
      <c r="AE430" s="103">
        <f t="shared" si="217"/>
        <v>0</v>
      </c>
      <c r="AG430" s="1">
        <f t="shared" si="207"/>
        <v>0</v>
      </c>
      <c r="AH430" s="1">
        <f t="shared" si="191"/>
        <v>0</v>
      </c>
      <c r="AI430" s="1">
        <f t="shared" si="218"/>
        <v>5432.58</v>
      </c>
      <c r="AJ430" s="20">
        <f t="shared" si="220"/>
        <v>0</v>
      </c>
      <c r="AK430" s="100">
        <f t="shared" si="192"/>
        <v>0</v>
      </c>
      <c r="AL430" s="100">
        <f t="shared" si="193"/>
        <v>0</v>
      </c>
      <c r="AN430" s="100">
        <f t="shared" si="194"/>
        <v>4434.7766408436646</v>
      </c>
      <c r="AO430" s="20">
        <f t="shared" si="195"/>
        <v>0</v>
      </c>
      <c r="AQ430" s="109">
        <f t="shared" si="208"/>
        <v>0</v>
      </c>
      <c r="AU430" s="109">
        <f t="shared" si="209"/>
        <v>26.125260106315267</v>
      </c>
      <c r="AV430" s="101">
        <f t="shared" si="204"/>
        <v>53154</v>
      </c>
      <c r="AW430" s="99">
        <f t="shared" si="202"/>
        <v>0</v>
      </c>
      <c r="AX430" s="1">
        <f t="shared" si="210"/>
        <v>0</v>
      </c>
      <c r="AY430" s="29">
        <f t="shared" si="211"/>
        <v>0</v>
      </c>
      <c r="AZ430" s="1">
        <f t="shared" si="212"/>
        <v>0</v>
      </c>
      <c r="CB430" s="20">
        <f t="shared" ref="CB430:CB493" si="221">IF(O430=0,IF(P430&gt;0,V429,IF(O429=0,0,P430)),IF(O429=0,0,P430))</f>
        <v>0</v>
      </c>
      <c r="CC430" s="173">
        <f t="shared" si="213"/>
        <v>0</v>
      </c>
    </row>
    <row r="431" spans="2:81" x14ac:dyDescent="0.25">
      <c r="B431" s="41"/>
      <c r="C431" s="42"/>
      <c r="D431" s="43"/>
      <c r="E431" s="44"/>
      <c r="F431" s="44"/>
      <c r="G431" s="45"/>
      <c r="H431" s="81" t="str">
        <f t="shared" si="203"/>
        <v/>
      </c>
      <c r="J431" s="7"/>
      <c r="K431" s="8"/>
      <c r="L431" s="16"/>
      <c r="M431" s="22"/>
      <c r="N431" s="22"/>
      <c r="O431" s="22"/>
      <c r="P431" s="22"/>
      <c r="Q431" s="1">
        <f t="shared" si="214"/>
        <v>0.60744618579017706</v>
      </c>
      <c r="R431" s="12">
        <f t="shared" ca="1" si="197"/>
        <v>12032</v>
      </c>
      <c r="S431" s="88">
        <f t="shared" si="205"/>
        <v>0</v>
      </c>
      <c r="T431" s="19">
        <f t="shared" si="206"/>
        <v>0</v>
      </c>
      <c r="U431" s="19">
        <f t="shared" si="196"/>
        <v>0</v>
      </c>
      <c r="V431" s="19">
        <f t="shared" si="219"/>
        <v>0</v>
      </c>
      <c r="W431" s="20">
        <f t="shared" ca="1" si="198"/>
        <v>0</v>
      </c>
      <c r="X431" s="19">
        <f t="shared" ca="1" si="199"/>
        <v>0</v>
      </c>
      <c r="Y431" s="19">
        <f t="shared" ca="1" si="200"/>
        <v>0</v>
      </c>
      <c r="Z431" s="20">
        <f t="shared" ca="1" si="201"/>
        <v>0</v>
      </c>
      <c r="AA431" s="1">
        <f t="shared" si="215"/>
        <v>5432.58</v>
      </c>
      <c r="AB431" s="91"/>
      <c r="AC431" s="92"/>
      <c r="AD431" s="101">
        <f t="shared" si="216"/>
        <v>53154</v>
      </c>
      <c r="AE431" s="103">
        <f t="shared" si="217"/>
        <v>0</v>
      </c>
      <c r="AG431" s="1">
        <f t="shared" si="207"/>
        <v>0</v>
      </c>
      <c r="AH431" s="1">
        <f t="shared" ref="AH431:AH494" si="222">IF(ISERROR(IF(V430+U431+T431+(V430*Q431/1200)-AA431-P431&lt;0,0,(V430*Q431/1200))),0,IF(V430+U431+T431+(V430*Q431/1200)-AA431-P431&lt;0,0,(V430*Q431/1200)))</f>
        <v>0</v>
      </c>
      <c r="AI431" s="1">
        <f t="shared" si="218"/>
        <v>5432.58</v>
      </c>
      <c r="AJ431" s="20">
        <f t="shared" si="220"/>
        <v>0</v>
      </c>
      <c r="AK431" s="100">
        <f t="shared" ref="AK431:AK494" si="223">IF(ISERROR(AJ431/(1+(Q431)/1200)^(ROW()-29)),0,AJ431/(1+(Q431)/1200)^(ROW()-29))</f>
        <v>0</v>
      </c>
      <c r="AL431" s="100">
        <f t="shared" ref="AL431:AL494" si="224">IF(ISERROR((Q431/1200)*O431),0,(Q431/1200)*O431)</f>
        <v>0</v>
      </c>
      <c r="AN431" s="100">
        <f t="shared" ref="AN431:AN494" si="225">IF(ISERROR(AA431/(1+(Q431)/1200)^(ROW()-29)),0,AA431/(1+(Q431)/1200)^(ROW()-29))</f>
        <v>4432.5328698560115</v>
      </c>
      <c r="AO431" s="20">
        <f t="shared" ref="AO431:AO494" si="226">IF(ISERROR(V430+U431+T431+(V430*Q431/1200)-AA431-P431),0,IF(V430+U431+T431+(V430*Q431/1200)-AA431-P431&lt;0,V430,-(U431+T431-AA431+P431-AH431)))</f>
        <v>0</v>
      </c>
      <c r="AQ431" s="109">
        <f t="shared" si="208"/>
        <v>0</v>
      </c>
      <c r="AU431" s="109">
        <f t="shared" si="209"/>
        <v>26.122967090315118</v>
      </c>
      <c r="AV431" s="101">
        <f t="shared" si="204"/>
        <v>53184</v>
      </c>
      <c r="AW431" s="99">
        <f t="shared" si="202"/>
        <v>0</v>
      </c>
      <c r="AX431" s="1">
        <f t="shared" si="210"/>
        <v>0</v>
      </c>
      <c r="AY431" s="29">
        <f t="shared" si="211"/>
        <v>0</v>
      </c>
      <c r="AZ431" s="1">
        <f t="shared" si="212"/>
        <v>0</v>
      </c>
      <c r="CB431" s="20">
        <f t="shared" si="221"/>
        <v>0</v>
      </c>
      <c r="CC431" s="173">
        <f t="shared" si="213"/>
        <v>0</v>
      </c>
    </row>
    <row r="432" spans="2:81" x14ac:dyDescent="0.25">
      <c r="B432" s="41"/>
      <c r="C432" s="42"/>
      <c r="D432" s="43"/>
      <c r="E432" s="44"/>
      <c r="F432" s="44"/>
      <c r="G432" s="45"/>
      <c r="H432" s="81" t="str">
        <f t="shared" si="203"/>
        <v/>
      </c>
      <c r="J432" s="9"/>
      <c r="K432" s="10"/>
      <c r="L432" s="17"/>
      <c r="M432" s="23"/>
      <c r="N432" s="23"/>
      <c r="O432" s="23"/>
      <c r="P432" s="23"/>
      <c r="Q432" s="1">
        <f t="shared" si="214"/>
        <v>0.60744618579017706</v>
      </c>
      <c r="R432" s="12">
        <f t="shared" ca="1" si="197"/>
        <v>12062</v>
      </c>
      <c r="S432" s="88">
        <f t="shared" si="205"/>
        <v>0</v>
      </c>
      <c r="T432" s="19">
        <f t="shared" si="206"/>
        <v>0</v>
      </c>
      <c r="U432" s="19">
        <f t="shared" si="196"/>
        <v>0</v>
      </c>
      <c r="V432" s="19">
        <f t="shared" si="219"/>
        <v>0</v>
      </c>
      <c r="W432" s="20">
        <f t="shared" ca="1" si="198"/>
        <v>0</v>
      </c>
      <c r="X432" s="19">
        <f t="shared" ca="1" si="199"/>
        <v>0</v>
      </c>
      <c r="Y432" s="19">
        <f t="shared" ca="1" si="200"/>
        <v>0</v>
      </c>
      <c r="Z432" s="20">
        <f t="shared" ca="1" si="201"/>
        <v>0</v>
      </c>
      <c r="AA432" s="1">
        <f t="shared" si="215"/>
        <v>5432.58</v>
      </c>
      <c r="AB432" s="93"/>
      <c r="AC432" s="94"/>
      <c r="AD432" s="101">
        <f t="shared" si="216"/>
        <v>53184</v>
      </c>
      <c r="AE432" s="103">
        <f t="shared" si="217"/>
        <v>0</v>
      </c>
      <c r="AG432" s="1">
        <f t="shared" si="207"/>
        <v>0</v>
      </c>
      <c r="AH432" s="1">
        <f t="shared" si="222"/>
        <v>0</v>
      </c>
      <c r="AI432" s="1">
        <f t="shared" si="218"/>
        <v>5432.58</v>
      </c>
      <c r="AJ432" s="20">
        <f t="shared" si="220"/>
        <v>0</v>
      </c>
      <c r="AK432" s="100">
        <f t="shared" si="223"/>
        <v>0</v>
      </c>
      <c r="AL432" s="100">
        <f t="shared" si="224"/>
        <v>0</v>
      </c>
      <c r="AN432" s="100">
        <f t="shared" si="225"/>
        <v>4430.2902341021372</v>
      </c>
      <c r="AO432" s="20">
        <f t="shared" si="226"/>
        <v>0</v>
      </c>
      <c r="AQ432" s="109">
        <f t="shared" si="208"/>
        <v>0</v>
      </c>
      <c r="AU432" s="109">
        <f t="shared" si="209"/>
        <v>26.120674275573155</v>
      </c>
      <c r="AV432" s="101">
        <f t="shared" si="204"/>
        <v>53214</v>
      </c>
      <c r="AW432" s="99">
        <f t="shared" si="202"/>
        <v>0</v>
      </c>
      <c r="AX432" s="1">
        <f t="shared" si="210"/>
        <v>0</v>
      </c>
      <c r="AY432" s="29">
        <f t="shared" si="211"/>
        <v>0</v>
      </c>
      <c r="AZ432" s="1">
        <f t="shared" si="212"/>
        <v>0</v>
      </c>
      <c r="CB432" s="20">
        <f t="shared" si="221"/>
        <v>0</v>
      </c>
      <c r="CC432" s="173">
        <f t="shared" si="213"/>
        <v>0</v>
      </c>
    </row>
    <row r="433" spans="2:81" x14ac:dyDescent="0.25">
      <c r="B433" s="41"/>
      <c r="C433" s="42"/>
      <c r="D433" s="43"/>
      <c r="E433" s="44"/>
      <c r="F433" s="44"/>
      <c r="G433" s="45"/>
      <c r="H433" s="81" t="str">
        <f t="shared" si="203"/>
        <v/>
      </c>
      <c r="J433" s="7"/>
      <c r="K433" s="8"/>
      <c r="L433" s="16"/>
      <c r="M433" s="22"/>
      <c r="N433" s="22"/>
      <c r="O433" s="22"/>
      <c r="P433" s="22"/>
      <c r="Q433" s="1">
        <f t="shared" si="214"/>
        <v>0.60744618579017706</v>
      </c>
      <c r="R433" s="12">
        <f t="shared" ca="1" si="197"/>
        <v>12092</v>
      </c>
      <c r="S433" s="88">
        <f t="shared" si="205"/>
        <v>0</v>
      </c>
      <c r="T433" s="19">
        <f t="shared" si="206"/>
        <v>0</v>
      </c>
      <c r="U433" s="19">
        <f t="shared" si="196"/>
        <v>0</v>
      </c>
      <c r="V433" s="19">
        <f t="shared" si="219"/>
        <v>0</v>
      </c>
      <c r="W433" s="20">
        <f t="shared" ca="1" si="198"/>
        <v>0</v>
      </c>
      <c r="X433" s="19">
        <f t="shared" ca="1" si="199"/>
        <v>0</v>
      </c>
      <c r="Y433" s="19">
        <f t="shared" ca="1" si="200"/>
        <v>0</v>
      </c>
      <c r="Z433" s="20">
        <f t="shared" ca="1" si="201"/>
        <v>0</v>
      </c>
      <c r="AA433" s="1">
        <f t="shared" si="215"/>
        <v>5432.58</v>
      </c>
      <c r="AB433" s="91"/>
      <c r="AC433" s="92"/>
      <c r="AD433" s="101">
        <f t="shared" si="216"/>
        <v>53214</v>
      </c>
      <c r="AE433" s="103">
        <f t="shared" si="217"/>
        <v>0</v>
      </c>
      <c r="AG433" s="1">
        <f t="shared" si="207"/>
        <v>0</v>
      </c>
      <c r="AH433" s="1">
        <f t="shared" si="222"/>
        <v>0</v>
      </c>
      <c r="AI433" s="1">
        <f t="shared" si="218"/>
        <v>5432.58</v>
      </c>
      <c r="AJ433" s="20">
        <f t="shared" si="220"/>
        <v>0</v>
      </c>
      <c r="AK433" s="100">
        <f t="shared" si="223"/>
        <v>0</v>
      </c>
      <c r="AL433" s="100">
        <f t="shared" si="224"/>
        <v>0</v>
      </c>
      <c r="AN433" s="100">
        <f t="shared" si="225"/>
        <v>4428.0487330076703</v>
      </c>
      <c r="AO433" s="20">
        <f t="shared" si="226"/>
        <v>0</v>
      </c>
      <c r="AQ433" s="109">
        <f t="shared" si="208"/>
        <v>0</v>
      </c>
      <c r="AU433" s="109">
        <f t="shared" si="209"/>
        <v>26.118381662071702</v>
      </c>
      <c r="AV433" s="101">
        <f t="shared" si="204"/>
        <v>53244</v>
      </c>
      <c r="AW433" s="99">
        <f t="shared" si="202"/>
        <v>0</v>
      </c>
      <c r="AX433" s="1">
        <f t="shared" si="210"/>
        <v>0</v>
      </c>
      <c r="AY433" s="29">
        <f t="shared" si="211"/>
        <v>0</v>
      </c>
      <c r="AZ433" s="1">
        <f t="shared" si="212"/>
        <v>0</v>
      </c>
      <c r="CB433" s="20">
        <f t="shared" si="221"/>
        <v>0</v>
      </c>
      <c r="CC433" s="173">
        <f t="shared" si="213"/>
        <v>0</v>
      </c>
    </row>
    <row r="434" spans="2:81" x14ac:dyDescent="0.25">
      <c r="B434" s="41"/>
      <c r="C434" s="42"/>
      <c r="D434" s="43"/>
      <c r="E434" s="44"/>
      <c r="F434" s="44"/>
      <c r="G434" s="45"/>
      <c r="H434" s="81" t="str">
        <f t="shared" si="203"/>
        <v/>
      </c>
      <c r="J434" s="9"/>
      <c r="K434" s="10"/>
      <c r="L434" s="17"/>
      <c r="M434" s="23"/>
      <c r="N434" s="23"/>
      <c r="O434" s="23"/>
      <c r="P434" s="23"/>
      <c r="Q434" s="1">
        <f t="shared" si="214"/>
        <v>0.60744618579017706</v>
      </c>
      <c r="R434" s="12">
        <f t="shared" ca="1" si="197"/>
        <v>12122</v>
      </c>
      <c r="S434" s="88">
        <f t="shared" si="205"/>
        <v>0</v>
      </c>
      <c r="T434" s="19">
        <f t="shared" si="206"/>
        <v>0</v>
      </c>
      <c r="U434" s="19">
        <f t="shared" si="196"/>
        <v>0</v>
      </c>
      <c r="V434" s="19">
        <f t="shared" si="219"/>
        <v>0</v>
      </c>
      <c r="W434" s="20">
        <f t="shared" ca="1" si="198"/>
        <v>0</v>
      </c>
      <c r="X434" s="19">
        <f t="shared" ca="1" si="199"/>
        <v>0</v>
      </c>
      <c r="Y434" s="19">
        <f t="shared" ca="1" si="200"/>
        <v>0</v>
      </c>
      <c r="Z434" s="20">
        <f t="shared" ca="1" si="201"/>
        <v>0</v>
      </c>
      <c r="AA434" s="1">
        <f t="shared" si="215"/>
        <v>5432.58</v>
      </c>
      <c r="AB434" s="93"/>
      <c r="AC434" s="94"/>
      <c r="AD434" s="101">
        <f t="shared" si="216"/>
        <v>53244</v>
      </c>
      <c r="AE434" s="103">
        <f t="shared" si="217"/>
        <v>0</v>
      </c>
      <c r="AG434" s="1">
        <f t="shared" si="207"/>
        <v>0</v>
      </c>
      <c r="AH434" s="1">
        <f t="shared" si="222"/>
        <v>0</v>
      </c>
      <c r="AI434" s="1">
        <f t="shared" si="218"/>
        <v>5432.58</v>
      </c>
      <c r="AJ434" s="20">
        <f t="shared" si="220"/>
        <v>0</v>
      </c>
      <c r="AK434" s="100">
        <f t="shared" si="223"/>
        <v>0</v>
      </c>
      <c r="AL434" s="100">
        <f t="shared" si="224"/>
        <v>0</v>
      </c>
      <c r="AN434" s="100">
        <f t="shared" si="225"/>
        <v>4425.8083659985341</v>
      </c>
      <c r="AO434" s="20">
        <f t="shared" si="226"/>
        <v>0</v>
      </c>
      <c r="AQ434" s="109">
        <f t="shared" si="208"/>
        <v>0</v>
      </c>
      <c r="AU434" s="109">
        <f t="shared" si="209"/>
        <v>26.116089249793113</v>
      </c>
      <c r="AV434" s="101">
        <f t="shared" si="204"/>
        <v>53274</v>
      </c>
      <c r="AW434" s="99">
        <f t="shared" si="202"/>
        <v>0</v>
      </c>
      <c r="AX434" s="1">
        <f t="shared" si="210"/>
        <v>0</v>
      </c>
      <c r="AY434" s="29">
        <f t="shared" si="211"/>
        <v>0</v>
      </c>
      <c r="AZ434" s="1">
        <f t="shared" si="212"/>
        <v>0</v>
      </c>
      <c r="CB434" s="20">
        <f t="shared" si="221"/>
        <v>0</v>
      </c>
      <c r="CC434" s="173">
        <f t="shared" si="213"/>
        <v>0</v>
      </c>
    </row>
    <row r="435" spans="2:81" x14ac:dyDescent="0.25">
      <c r="B435" s="41"/>
      <c r="C435" s="42"/>
      <c r="D435" s="43"/>
      <c r="E435" s="44"/>
      <c r="F435" s="44"/>
      <c r="G435" s="45"/>
      <c r="H435" s="81" t="str">
        <f t="shared" si="203"/>
        <v/>
      </c>
      <c r="J435" s="7"/>
      <c r="K435" s="8"/>
      <c r="L435" s="16"/>
      <c r="M435" s="22"/>
      <c r="N435" s="22"/>
      <c r="O435" s="22"/>
      <c r="P435" s="22"/>
      <c r="Q435" s="1">
        <f t="shared" si="214"/>
        <v>0.60744618579017706</v>
      </c>
      <c r="R435" s="12">
        <f t="shared" ca="1" si="197"/>
        <v>12152</v>
      </c>
      <c r="S435" s="88">
        <f t="shared" si="205"/>
        <v>0</v>
      </c>
      <c r="T435" s="19">
        <f t="shared" si="206"/>
        <v>0</v>
      </c>
      <c r="U435" s="19">
        <f t="shared" si="196"/>
        <v>0</v>
      </c>
      <c r="V435" s="19">
        <f t="shared" si="219"/>
        <v>0</v>
      </c>
      <c r="W435" s="20">
        <f t="shared" ca="1" si="198"/>
        <v>0</v>
      </c>
      <c r="X435" s="19">
        <f t="shared" ca="1" si="199"/>
        <v>0</v>
      </c>
      <c r="Y435" s="19">
        <f t="shared" ca="1" si="200"/>
        <v>0</v>
      </c>
      <c r="Z435" s="20">
        <f t="shared" ca="1" si="201"/>
        <v>0</v>
      </c>
      <c r="AA435" s="1">
        <f t="shared" si="215"/>
        <v>5432.58</v>
      </c>
      <c r="AB435" s="91"/>
      <c r="AC435" s="92"/>
      <c r="AD435" s="101">
        <f t="shared" si="216"/>
        <v>53274</v>
      </c>
      <c r="AE435" s="103">
        <f t="shared" si="217"/>
        <v>0</v>
      </c>
      <c r="AG435" s="1">
        <f t="shared" si="207"/>
        <v>0</v>
      </c>
      <c r="AH435" s="1">
        <f t="shared" si="222"/>
        <v>0</v>
      </c>
      <c r="AI435" s="1">
        <f t="shared" si="218"/>
        <v>5432.58</v>
      </c>
      <c r="AJ435" s="20">
        <f t="shared" si="220"/>
        <v>0</v>
      </c>
      <c r="AK435" s="100">
        <f t="shared" si="223"/>
        <v>0</v>
      </c>
      <c r="AL435" s="100">
        <f t="shared" si="224"/>
        <v>0</v>
      </c>
      <c r="AN435" s="100">
        <f t="shared" si="225"/>
        <v>4423.5691325009357</v>
      </c>
      <c r="AO435" s="20">
        <f t="shared" si="226"/>
        <v>0</v>
      </c>
      <c r="AQ435" s="109">
        <f t="shared" si="208"/>
        <v>0</v>
      </c>
      <c r="AU435" s="109">
        <f t="shared" si="209"/>
        <v>26.113797038719724</v>
      </c>
      <c r="AV435" s="101">
        <f t="shared" si="204"/>
        <v>53304</v>
      </c>
      <c r="AW435" s="99">
        <f t="shared" si="202"/>
        <v>0</v>
      </c>
      <c r="AX435" s="1">
        <f t="shared" si="210"/>
        <v>0</v>
      </c>
      <c r="AY435" s="29">
        <f t="shared" si="211"/>
        <v>0</v>
      </c>
      <c r="AZ435" s="1">
        <f t="shared" si="212"/>
        <v>0</v>
      </c>
      <c r="CB435" s="20">
        <f t="shared" si="221"/>
        <v>0</v>
      </c>
      <c r="CC435" s="173">
        <f t="shared" si="213"/>
        <v>0</v>
      </c>
    </row>
    <row r="436" spans="2:81" x14ac:dyDescent="0.25">
      <c r="B436" s="41"/>
      <c r="C436" s="42"/>
      <c r="D436" s="43"/>
      <c r="E436" s="44"/>
      <c r="F436" s="44"/>
      <c r="G436" s="45"/>
      <c r="H436" s="81" t="str">
        <f t="shared" si="203"/>
        <v/>
      </c>
      <c r="J436" s="9"/>
      <c r="K436" s="10"/>
      <c r="L436" s="17"/>
      <c r="M436" s="23"/>
      <c r="N436" s="23"/>
      <c r="O436" s="23"/>
      <c r="P436" s="23"/>
      <c r="Q436" s="1">
        <f t="shared" si="214"/>
        <v>0.60744618579017706</v>
      </c>
      <c r="R436" s="12">
        <f t="shared" ca="1" si="197"/>
        <v>12182</v>
      </c>
      <c r="S436" s="88">
        <f t="shared" si="205"/>
        <v>0</v>
      </c>
      <c r="T436" s="19">
        <f t="shared" si="206"/>
        <v>0</v>
      </c>
      <c r="U436" s="19">
        <f t="shared" si="196"/>
        <v>0</v>
      </c>
      <c r="V436" s="19">
        <f t="shared" si="219"/>
        <v>0</v>
      </c>
      <c r="W436" s="20">
        <f t="shared" ca="1" si="198"/>
        <v>0</v>
      </c>
      <c r="X436" s="19">
        <f t="shared" ca="1" si="199"/>
        <v>0</v>
      </c>
      <c r="Y436" s="19">
        <f t="shared" ca="1" si="200"/>
        <v>0</v>
      </c>
      <c r="Z436" s="20">
        <f t="shared" ca="1" si="201"/>
        <v>0</v>
      </c>
      <c r="AA436" s="1">
        <f t="shared" si="215"/>
        <v>5432.58</v>
      </c>
      <c r="AB436" s="93"/>
      <c r="AC436" s="94"/>
      <c r="AD436" s="101">
        <f t="shared" si="216"/>
        <v>53304</v>
      </c>
      <c r="AE436" s="103">
        <f t="shared" si="217"/>
        <v>0</v>
      </c>
      <c r="AG436" s="1">
        <f t="shared" si="207"/>
        <v>0</v>
      </c>
      <c r="AH436" s="1">
        <f t="shared" si="222"/>
        <v>0</v>
      </c>
      <c r="AI436" s="1">
        <f t="shared" si="218"/>
        <v>5432.58</v>
      </c>
      <c r="AJ436" s="20">
        <f t="shared" si="220"/>
        <v>0</v>
      </c>
      <c r="AK436" s="100">
        <f t="shared" si="223"/>
        <v>0</v>
      </c>
      <c r="AL436" s="100">
        <f t="shared" si="224"/>
        <v>0</v>
      </c>
      <c r="AN436" s="100">
        <f t="shared" si="225"/>
        <v>4421.3310319413786</v>
      </c>
      <c r="AO436" s="20">
        <f t="shared" si="226"/>
        <v>0</v>
      </c>
      <c r="AQ436" s="109">
        <f t="shared" si="208"/>
        <v>0</v>
      </c>
      <c r="AU436" s="109">
        <f t="shared" si="209"/>
        <v>26.111505028833864</v>
      </c>
      <c r="AV436" s="101">
        <f t="shared" si="204"/>
        <v>53334</v>
      </c>
      <c r="AW436" s="99">
        <f t="shared" si="202"/>
        <v>0</v>
      </c>
      <c r="AX436" s="1">
        <f t="shared" si="210"/>
        <v>0</v>
      </c>
      <c r="AY436" s="29">
        <f t="shared" si="211"/>
        <v>0</v>
      </c>
      <c r="AZ436" s="1">
        <f t="shared" si="212"/>
        <v>0</v>
      </c>
      <c r="CB436" s="20">
        <f t="shared" si="221"/>
        <v>0</v>
      </c>
      <c r="CC436" s="173">
        <f t="shared" si="213"/>
        <v>0</v>
      </c>
    </row>
    <row r="437" spans="2:81" x14ac:dyDescent="0.25">
      <c r="B437" s="41"/>
      <c r="C437" s="42"/>
      <c r="D437" s="43"/>
      <c r="E437" s="44"/>
      <c r="F437" s="44"/>
      <c r="G437" s="45"/>
      <c r="H437" s="81" t="str">
        <f t="shared" si="203"/>
        <v/>
      </c>
      <c r="J437" s="7"/>
      <c r="K437" s="8"/>
      <c r="L437" s="16"/>
      <c r="M437" s="22"/>
      <c r="N437" s="22"/>
      <c r="O437" s="22"/>
      <c r="P437" s="22"/>
      <c r="Q437" s="1">
        <f t="shared" si="214"/>
        <v>0.60744618579017706</v>
      </c>
      <c r="R437" s="12">
        <f t="shared" ca="1" si="197"/>
        <v>12212</v>
      </c>
      <c r="S437" s="88">
        <f t="shared" si="205"/>
        <v>0</v>
      </c>
      <c r="T437" s="19">
        <f t="shared" si="206"/>
        <v>0</v>
      </c>
      <c r="U437" s="19">
        <f t="shared" si="196"/>
        <v>0</v>
      </c>
      <c r="V437" s="19">
        <f t="shared" si="219"/>
        <v>0</v>
      </c>
      <c r="W437" s="20">
        <f t="shared" ca="1" si="198"/>
        <v>0</v>
      </c>
      <c r="X437" s="19">
        <f t="shared" ca="1" si="199"/>
        <v>0</v>
      </c>
      <c r="Y437" s="19">
        <f t="shared" ca="1" si="200"/>
        <v>0</v>
      </c>
      <c r="Z437" s="20">
        <f t="shared" ca="1" si="201"/>
        <v>0</v>
      </c>
      <c r="AA437" s="1">
        <f t="shared" si="215"/>
        <v>5432.58</v>
      </c>
      <c r="AB437" s="91"/>
      <c r="AC437" s="92"/>
      <c r="AD437" s="101">
        <f t="shared" si="216"/>
        <v>53334</v>
      </c>
      <c r="AE437" s="103">
        <f t="shared" si="217"/>
        <v>0</v>
      </c>
      <c r="AG437" s="1">
        <f t="shared" si="207"/>
        <v>0</v>
      </c>
      <c r="AH437" s="1">
        <f t="shared" si="222"/>
        <v>0</v>
      </c>
      <c r="AI437" s="1">
        <f t="shared" si="218"/>
        <v>5432.58</v>
      </c>
      <c r="AJ437" s="20">
        <f t="shared" si="220"/>
        <v>0</v>
      </c>
      <c r="AK437" s="100">
        <f t="shared" si="223"/>
        <v>0</v>
      </c>
      <c r="AL437" s="100">
        <f t="shared" si="224"/>
        <v>0</v>
      </c>
      <c r="AN437" s="100">
        <f t="shared" si="225"/>
        <v>4419.0940637466529</v>
      </c>
      <c r="AO437" s="20">
        <f t="shared" si="226"/>
        <v>0</v>
      </c>
      <c r="AQ437" s="109">
        <f t="shared" si="208"/>
        <v>0</v>
      </c>
      <c r="AU437" s="109">
        <f t="shared" si="209"/>
        <v>26.10921322011788</v>
      </c>
      <c r="AV437" s="101">
        <f t="shared" si="204"/>
        <v>53364</v>
      </c>
      <c r="AW437" s="99">
        <f t="shared" si="202"/>
        <v>0</v>
      </c>
      <c r="AX437" s="1">
        <f t="shared" si="210"/>
        <v>0</v>
      </c>
      <c r="AY437" s="29">
        <f t="shared" si="211"/>
        <v>0</v>
      </c>
      <c r="AZ437" s="1">
        <f t="shared" si="212"/>
        <v>0</v>
      </c>
      <c r="CB437" s="20">
        <f t="shared" si="221"/>
        <v>0</v>
      </c>
      <c r="CC437" s="173">
        <f t="shared" si="213"/>
        <v>0</v>
      </c>
    </row>
    <row r="438" spans="2:81" x14ac:dyDescent="0.25">
      <c r="B438" s="41"/>
      <c r="C438" s="42"/>
      <c r="D438" s="43"/>
      <c r="E438" s="44"/>
      <c r="F438" s="44"/>
      <c r="G438" s="45"/>
      <c r="H438" s="81" t="str">
        <f t="shared" si="203"/>
        <v/>
      </c>
      <c r="J438" s="9"/>
      <c r="K438" s="10"/>
      <c r="L438" s="17"/>
      <c r="M438" s="23"/>
      <c r="N438" s="23"/>
      <c r="O438" s="23"/>
      <c r="P438" s="23"/>
      <c r="Q438" s="1">
        <f t="shared" si="214"/>
        <v>0.60744618579017706</v>
      </c>
      <c r="R438" s="12">
        <f t="shared" ca="1" si="197"/>
        <v>12242</v>
      </c>
      <c r="S438" s="88">
        <f t="shared" si="205"/>
        <v>0</v>
      </c>
      <c r="T438" s="19">
        <f t="shared" si="206"/>
        <v>0</v>
      </c>
      <c r="U438" s="19">
        <f t="shared" si="196"/>
        <v>0</v>
      </c>
      <c r="V438" s="19">
        <f t="shared" si="219"/>
        <v>0</v>
      </c>
      <c r="W438" s="20">
        <f t="shared" ca="1" si="198"/>
        <v>0</v>
      </c>
      <c r="X438" s="19">
        <f t="shared" ca="1" si="199"/>
        <v>0</v>
      </c>
      <c r="Y438" s="19">
        <f t="shared" ca="1" si="200"/>
        <v>0</v>
      </c>
      <c r="Z438" s="20">
        <f t="shared" ca="1" si="201"/>
        <v>0</v>
      </c>
      <c r="AA438" s="1">
        <f t="shared" si="215"/>
        <v>5432.58</v>
      </c>
      <c r="AB438" s="93"/>
      <c r="AC438" s="94"/>
      <c r="AD438" s="101">
        <f t="shared" si="216"/>
        <v>53364</v>
      </c>
      <c r="AE438" s="103">
        <f t="shared" si="217"/>
        <v>0</v>
      </c>
      <c r="AG438" s="1">
        <f t="shared" si="207"/>
        <v>0</v>
      </c>
      <c r="AH438" s="1">
        <f t="shared" si="222"/>
        <v>0</v>
      </c>
      <c r="AI438" s="1">
        <f t="shared" si="218"/>
        <v>5432.58</v>
      </c>
      <c r="AJ438" s="20">
        <f t="shared" si="220"/>
        <v>0</v>
      </c>
      <c r="AK438" s="100">
        <f t="shared" si="223"/>
        <v>0</v>
      </c>
      <c r="AL438" s="100">
        <f t="shared" si="224"/>
        <v>0</v>
      </c>
      <c r="AN438" s="100">
        <f t="shared" si="225"/>
        <v>4416.8582273438378</v>
      </c>
      <c r="AO438" s="20">
        <f t="shared" si="226"/>
        <v>0</v>
      </c>
      <c r="AQ438" s="109">
        <f t="shared" si="208"/>
        <v>0</v>
      </c>
      <c r="AU438" s="109">
        <f t="shared" si="209"/>
        <v>26.10692161255411</v>
      </c>
      <c r="AV438" s="101">
        <f t="shared" si="204"/>
        <v>53394</v>
      </c>
      <c r="AW438" s="99">
        <f t="shared" si="202"/>
        <v>0</v>
      </c>
      <c r="AX438" s="1">
        <f t="shared" si="210"/>
        <v>0</v>
      </c>
      <c r="AY438" s="29">
        <f t="shared" si="211"/>
        <v>0</v>
      </c>
      <c r="AZ438" s="1">
        <f t="shared" si="212"/>
        <v>0</v>
      </c>
      <c r="CB438" s="20">
        <f t="shared" si="221"/>
        <v>0</v>
      </c>
      <c r="CC438" s="173">
        <f t="shared" si="213"/>
        <v>0</v>
      </c>
    </row>
    <row r="439" spans="2:81" x14ac:dyDescent="0.25">
      <c r="B439" s="41"/>
      <c r="C439" s="42"/>
      <c r="D439" s="43"/>
      <c r="E439" s="44"/>
      <c r="F439" s="44"/>
      <c r="G439" s="45"/>
      <c r="H439" s="81" t="str">
        <f t="shared" si="203"/>
        <v/>
      </c>
      <c r="J439" s="7"/>
      <c r="K439" s="8"/>
      <c r="L439" s="16"/>
      <c r="M439" s="22"/>
      <c r="N439" s="22"/>
      <c r="O439" s="22"/>
      <c r="P439" s="22"/>
      <c r="Q439" s="1">
        <f t="shared" si="214"/>
        <v>0.60744618579017706</v>
      </c>
      <c r="R439" s="12">
        <f t="shared" ca="1" si="197"/>
        <v>12272</v>
      </c>
      <c r="S439" s="88">
        <f t="shared" si="205"/>
        <v>0</v>
      </c>
      <c r="T439" s="19">
        <f t="shared" si="206"/>
        <v>0</v>
      </c>
      <c r="U439" s="19">
        <f t="shared" si="196"/>
        <v>0</v>
      </c>
      <c r="V439" s="19">
        <f t="shared" si="219"/>
        <v>0</v>
      </c>
      <c r="W439" s="20">
        <f t="shared" ca="1" si="198"/>
        <v>0</v>
      </c>
      <c r="X439" s="19">
        <f t="shared" ca="1" si="199"/>
        <v>0</v>
      </c>
      <c r="Y439" s="19">
        <f t="shared" ca="1" si="200"/>
        <v>0</v>
      </c>
      <c r="Z439" s="20">
        <f t="shared" ca="1" si="201"/>
        <v>0</v>
      </c>
      <c r="AA439" s="1">
        <f t="shared" si="215"/>
        <v>5432.58</v>
      </c>
      <c r="AB439" s="91"/>
      <c r="AC439" s="92"/>
      <c r="AD439" s="101">
        <f t="shared" si="216"/>
        <v>53394</v>
      </c>
      <c r="AE439" s="103">
        <f t="shared" si="217"/>
        <v>0</v>
      </c>
      <c r="AG439" s="1">
        <f t="shared" si="207"/>
        <v>0</v>
      </c>
      <c r="AH439" s="1">
        <f t="shared" si="222"/>
        <v>0</v>
      </c>
      <c r="AI439" s="1">
        <f t="shared" si="218"/>
        <v>5432.58</v>
      </c>
      <c r="AJ439" s="20">
        <f t="shared" si="220"/>
        <v>0</v>
      </c>
      <c r="AK439" s="100">
        <f t="shared" si="223"/>
        <v>0</v>
      </c>
      <c r="AL439" s="100">
        <f t="shared" si="224"/>
        <v>0</v>
      </c>
      <c r="AN439" s="100">
        <f t="shared" si="225"/>
        <v>4414.6235221603074</v>
      </c>
      <c r="AO439" s="20">
        <f t="shared" si="226"/>
        <v>0</v>
      </c>
      <c r="AQ439" s="109">
        <f t="shared" si="208"/>
        <v>0</v>
      </c>
      <c r="AU439" s="109">
        <f t="shared" si="209"/>
        <v>26.104630206124909</v>
      </c>
      <c r="AV439" s="101">
        <f t="shared" si="204"/>
        <v>53424</v>
      </c>
      <c r="AW439" s="99">
        <f t="shared" si="202"/>
        <v>0</v>
      </c>
      <c r="AX439" s="1">
        <f t="shared" si="210"/>
        <v>0</v>
      </c>
      <c r="AY439" s="29">
        <f t="shared" si="211"/>
        <v>0</v>
      </c>
      <c r="AZ439" s="1">
        <f t="shared" si="212"/>
        <v>0</v>
      </c>
      <c r="CB439" s="20">
        <f t="shared" si="221"/>
        <v>0</v>
      </c>
      <c r="CC439" s="173">
        <f t="shared" si="213"/>
        <v>0</v>
      </c>
    </row>
    <row r="440" spans="2:81" x14ac:dyDescent="0.25">
      <c r="B440" s="41"/>
      <c r="C440" s="42"/>
      <c r="D440" s="43"/>
      <c r="E440" s="44"/>
      <c r="F440" s="44"/>
      <c r="G440" s="45"/>
      <c r="H440" s="81" t="str">
        <f t="shared" si="203"/>
        <v/>
      </c>
      <c r="J440" s="9"/>
      <c r="K440" s="10"/>
      <c r="L440" s="17"/>
      <c r="M440" s="23"/>
      <c r="N440" s="23"/>
      <c r="O440" s="23"/>
      <c r="P440" s="23"/>
      <c r="Q440" s="1">
        <f t="shared" si="214"/>
        <v>0.60744618579017706</v>
      </c>
      <c r="R440" s="12">
        <f t="shared" ca="1" si="197"/>
        <v>12302</v>
      </c>
      <c r="S440" s="88">
        <f t="shared" si="205"/>
        <v>0</v>
      </c>
      <c r="T440" s="19">
        <f t="shared" si="206"/>
        <v>0</v>
      </c>
      <c r="U440" s="19">
        <f t="shared" si="196"/>
        <v>0</v>
      </c>
      <c r="V440" s="19">
        <f t="shared" si="219"/>
        <v>0</v>
      </c>
      <c r="W440" s="20">
        <f t="shared" ca="1" si="198"/>
        <v>0</v>
      </c>
      <c r="X440" s="19">
        <f t="shared" ca="1" si="199"/>
        <v>0</v>
      </c>
      <c r="Y440" s="19">
        <f t="shared" ca="1" si="200"/>
        <v>0</v>
      </c>
      <c r="Z440" s="20">
        <f t="shared" ca="1" si="201"/>
        <v>0</v>
      </c>
      <c r="AA440" s="1">
        <f t="shared" si="215"/>
        <v>5432.58</v>
      </c>
      <c r="AB440" s="93"/>
      <c r="AC440" s="94"/>
      <c r="AD440" s="101">
        <f t="shared" si="216"/>
        <v>53424</v>
      </c>
      <c r="AE440" s="103">
        <f t="shared" si="217"/>
        <v>0</v>
      </c>
      <c r="AG440" s="1">
        <f t="shared" si="207"/>
        <v>0</v>
      </c>
      <c r="AH440" s="1">
        <f t="shared" si="222"/>
        <v>0</v>
      </c>
      <c r="AI440" s="1">
        <f t="shared" si="218"/>
        <v>5432.58</v>
      </c>
      <c r="AJ440" s="20">
        <f t="shared" si="220"/>
        <v>0</v>
      </c>
      <c r="AK440" s="100">
        <f t="shared" si="223"/>
        <v>0</v>
      </c>
      <c r="AL440" s="100">
        <f t="shared" si="224"/>
        <v>0</v>
      </c>
      <c r="AN440" s="100">
        <f t="shared" si="225"/>
        <v>4412.389947623722</v>
      </c>
      <c r="AO440" s="20">
        <f t="shared" si="226"/>
        <v>0</v>
      </c>
      <c r="AQ440" s="109">
        <f t="shared" si="208"/>
        <v>0</v>
      </c>
      <c r="AU440" s="109">
        <f t="shared" si="209"/>
        <v>26.102339000812616</v>
      </c>
      <c r="AV440" s="101">
        <f t="shared" si="204"/>
        <v>53454</v>
      </c>
      <c r="AW440" s="99">
        <f t="shared" si="202"/>
        <v>0</v>
      </c>
      <c r="AX440" s="1">
        <f t="shared" si="210"/>
        <v>0</v>
      </c>
      <c r="AY440" s="29">
        <f t="shared" si="211"/>
        <v>0</v>
      </c>
      <c r="AZ440" s="1">
        <f t="shared" si="212"/>
        <v>0</v>
      </c>
      <c r="CB440" s="20">
        <f t="shared" si="221"/>
        <v>0</v>
      </c>
      <c r="CC440" s="173">
        <f t="shared" si="213"/>
        <v>0</v>
      </c>
    </row>
    <row r="441" spans="2:81" x14ac:dyDescent="0.25">
      <c r="B441" s="41"/>
      <c r="C441" s="42"/>
      <c r="D441" s="43"/>
      <c r="E441" s="44"/>
      <c r="F441" s="44"/>
      <c r="G441" s="45"/>
      <c r="H441" s="81" t="str">
        <f t="shared" si="203"/>
        <v/>
      </c>
      <c r="J441" s="7"/>
      <c r="K441" s="8"/>
      <c r="L441" s="16"/>
      <c r="M441" s="22"/>
      <c r="N441" s="22"/>
      <c r="O441" s="22"/>
      <c r="P441" s="22"/>
      <c r="Q441" s="1">
        <f t="shared" si="214"/>
        <v>0.60744618579017706</v>
      </c>
      <c r="R441" s="12">
        <f t="shared" ca="1" si="197"/>
        <v>12332</v>
      </c>
      <c r="S441" s="88">
        <f t="shared" si="205"/>
        <v>0</v>
      </c>
      <c r="T441" s="19">
        <f t="shared" si="206"/>
        <v>0</v>
      </c>
      <c r="U441" s="19">
        <f t="shared" si="196"/>
        <v>0</v>
      </c>
      <c r="V441" s="19">
        <f t="shared" si="219"/>
        <v>0</v>
      </c>
      <c r="W441" s="20">
        <f t="shared" ca="1" si="198"/>
        <v>0</v>
      </c>
      <c r="X441" s="19">
        <f t="shared" ca="1" si="199"/>
        <v>0</v>
      </c>
      <c r="Y441" s="19">
        <f t="shared" ca="1" si="200"/>
        <v>0</v>
      </c>
      <c r="Z441" s="20">
        <f t="shared" ca="1" si="201"/>
        <v>0</v>
      </c>
      <c r="AA441" s="1">
        <f t="shared" si="215"/>
        <v>5432.58</v>
      </c>
      <c r="AB441" s="91"/>
      <c r="AC441" s="92"/>
      <c r="AD441" s="101">
        <f t="shared" si="216"/>
        <v>53454</v>
      </c>
      <c r="AE441" s="103">
        <f t="shared" si="217"/>
        <v>0</v>
      </c>
      <c r="AG441" s="1">
        <f t="shared" si="207"/>
        <v>0</v>
      </c>
      <c r="AH441" s="1">
        <f t="shared" si="222"/>
        <v>0</v>
      </c>
      <c r="AI441" s="1">
        <f t="shared" si="218"/>
        <v>5432.58</v>
      </c>
      <c r="AJ441" s="20">
        <f t="shared" si="220"/>
        <v>0</v>
      </c>
      <c r="AK441" s="100">
        <f t="shared" si="223"/>
        <v>0</v>
      </c>
      <c r="AL441" s="100">
        <f t="shared" si="224"/>
        <v>0</v>
      </c>
      <c r="AN441" s="100">
        <f t="shared" si="225"/>
        <v>4410.1575031620296</v>
      </c>
      <c r="AO441" s="20">
        <f t="shared" si="226"/>
        <v>0</v>
      </c>
      <c r="AQ441" s="109">
        <f t="shared" si="208"/>
        <v>0</v>
      </c>
      <c r="AU441" s="109">
        <f t="shared" si="209"/>
        <v>26.100047996599592</v>
      </c>
      <c r="AV441" s="101">
        <f t="shared" si="204"/>
        <v>53484</v>
      </c>
      <c r="AW441" s="99">
        <f t="shared" si="202"/>
        <v>0</v>
      </c>
      <c r="AX441" s="1">
        <f t="shared" si="210"/>
        <v>0</v>
      </c>
      <c r="AY441" s="29">
        <f t="shared" si="211"/>
        <v>0</v>
      </c>
      <c r="AZ441" s="1">
        <f t="shared" si="212"/>
        <v>0</v>
      </c>
      <c r="CB441" s="20">
        <f t="shared" si="221"/>
        <v>0</v>
      </c>
      <c r="CC441" s="173">
        <f t="shared" si="213"/>
        <v>0</v>
      </c>
    </row>
    <row r="442" spans="2:81" x14ac:dyDescent="0.25">
      <c r="B442" s="41"/>
      <c r="C442" s="42"/>
      <c r="D442" s="43"/>
      <c r="E442" s="44"/>
      <c r="F442" s="44"/>
      <c r="G442" s="45"/>
      <c r="H442" s="81" t="str">
        <f t="shared" si="203"/>
        <v/>
      </c>
      <c r="J442" s="9"/>
      <c r="K442" s="10"/>
      <c r="L442" s="17"/>
      <c r="M442" s="23"/>
      <c r="N442" s="23"/>
      <c r="O442" s="23"/>
      <c r="P442" s="23"/>
      <c r="Q442" s="1">
        <f t="shared" si="214"/>
        <v>0.60744618579017706</v>
      </c>
      <c r="R442" s="12">
        <f t="shared" ca="1" si="197"/>
        <v>12362</v>
      </c>
      <c r="S442" s="88">
        <f t="shared" si="205"/>
        <v>0</v>
      </c>
      <c r="T442" s="19">
        <f t="shared" si="206"/>
        <v>0</v>
      </c>
      <c r="U442" s="19">
        <f t="shared" si="196"/>
        <v>0</v>
      </c>
      <c r="V442" s="19">
        <f t="shared" si="219"/>
        <v>0</v>
      </c>
      <c r="W442" s="20">
        <f t="shared" ca="1" si="198"/>
        <v>0</v>
      </c>
      <c r="X442" s="19">
        <f t="shared" ca="1" si="199"/>
        <v>0</v>
      </c>
      <c r="Y442" s="19">
        <f t="shared" ca="1" si="200"/>
        <v>0</v>
      </c>
      <c r="Z442" s="20">
        <f t="shared" ca="1" si="201"/>
        <v>0</v>
      </c>
      <c r="AA442" s="1">
        <f t="shared" si="215"/>
        <v>5432.58</v>
      </c>
      <c r="AB442" s="93"/>
      <c r="AC442" s="94"/>
      <c r="AD442" s="101">
        <f t="shared" si="216"/>
        <v>53484</v>
      </c>
      <c r="AE442" s="103">
        <f t="shared" si="217"/>
        <v>0</v>
      </c>
      <c r="AG442" s="1">
        <f t="shared" si="207"/>
        <v>0</v>
      </c>
      <c r="AH442" s="1">
        <f t="shared" si="222"/>
        <v>0</v>
      </c>
      <c r="AI442" s="1">
        <f t="shared" si="218"/>
        <v>5432.58</v>
      </c>
      <c r="AJ442" s="20">
        <f t="shared" si="220"/>
        <v>0</v>
      </c>
      <c r="AK442" s="100">
        <f t="shared" si="223"/>
        <v>0</v>
      </c>
      <c r="AL442" s="100">
        <f t="shared" si="224"/>
        <v>0</v>
      </c>
      <c r="AN442" s="100">
        <f t="shared" si="225"/>
        <v>4407.9261882034716</v>
      </c>
      <c r="AO442" s="20">
        <f t="shared" si="226"/>
        <v>0</v>
      </c>
      <c r="AQ442" s="109">
        <f t="shared" si="208"/>
        <v>0</v>
      </c>
      <c r="AU442" s="109">
        <f t="shared" si="209"/>
        <v>26.097757193468162</v>
      </c>
      <c r="AV442" s="101">
        <f t="shared" si="204"/>
        <v>53514</v>
      </c>
      <c r="AW442" s="99">
        <f t="shared" si="202"/>
        <v>0</v>
      </c>
      <c r="AX442" s="1">
        <f t="shared" si="210"/>
        <v>0</v>
      </c>
      <c r="AY442" s="29">
        <f t="shared" si="211"/>
        <v>0</v>
      </c>
      <c r="AZ442" s="1">
        <f t="shared" si="212"/>
        <v>0</v>
      </c>
      <c r="CB442" s="20">
        <f t="shared" si="221"/>
        <v>0</v>
      </c>
      <c r="CC442" s="173">
        <f t="shared" si="213"/>
        <v>0</v>
      </c>
    </row>
    <row r="443" spans="2:81" x14ac:dyDescent="0.25">
      <c r="B443" s="41"/>
      <c r="C443" s="42"/>
      <c r="D443" s="43"/>
      <c r="E443" s="44"/>
      <c r="F443" s="44"/>
      <c r="G443" s="45"/>
      <c r="H443" s="81" t="str">
        <f t="shared" si="203"/>
        <v/>
      </c>
      <c r="J443" s="7"/>
      <c r="K443" s="8"/>
      <c r="L443" s="16"/>
      <c r="M443" s="22"/>
      <c r="N443" s="22"/>
      <c r="O443" s="22"/>
      <c r="P443" s="22"/>
      <c r="Q443" s="1">
        <f t="shared" si="214"/>
        <v>0.60744618579017706</v>
      </c>
      <c r="R443" s="12">
        <f t="shared" ca="1" si="197"/>
        <v>12392</v>
      </c>
      <c r="S443" s="88">
        <f t="shared" si="205"/>
        <v>0</v>
      </c>
      <c r="T443" s="19">
        <f t="shared" si="206"/>
        <v>0</v>
      </c>
      <c r="U443" s="19">
        <f t="shared" si="196"/>
        <v>0</v>
      </c>
      <c r="V443" s="19">
        <f t="shared" si="219"/>
        <v>0</v>
      </c>
      <c r="W443" s="20">
        <f t="shared" ca="1" si="198"/>
        <v>0</v>
      </c>
      <c r="X443" s="19">
        <f t="shared" ca="1" si="199"/>
        <v>0</v>
      </c>
      <c r="Y443" s="19">
        <f t="shared" ca="1" si="200"/>
        <v>0</v>
      </c>
      <c r="Z443" s="20">
        <f t="shared" ca="1" si="201"/>
        <v>0</v>
      </c>
      <c r="AA443" s="1">
        <f t="shared" si="215"/>
        <v>5432.58</v>
      </c>
      <c r="AB443" s="91"/>
      <c r="AC443" s="92"/>
      <c r="AD443" s="101">
        <f t="shared" si="216"/>
        <v>53514</v>
      </c>
      <c r="AE443" s="103">
        <f t="shared" si="217"/>
        <v>0</v>
      </c>
      <c r="AG443" s="1">
        <f t="shared" si="207"/>
        <v>0</v>
      </c>
      <c r="AH443" s="1">
        <f t="shared" si="222"/>
        <v>0</v>
      </c>
      <c r="AI443" s="1">
        <f t="shared" si="218"/>
        <v>5432.58</v>
      </c>
      <c r="AJ443" s="20">
        <f t="shared" si="220"/>
        <v>0</v>
      </c>
      <c r="AK443" s="100">
        <f t="shared" si="223"/>
        <v>0</v>
      </c>
      <c r="AL443" s="100">
        <f t="shared" si="224"/>
        <v>0</v>
      </c>
      <c r="AN443" s="100">
        <f t="shared" si="225"/>
        <v>4405.6960021765772</v>
      </c>
      <c r="AO443" s="20">
        <f t="shared" si="226"/>
        <v>0</v>
      </c>
      <c r="AQ443" s="109">
        <f t="shared" si="208"/>
        <v>0</v>
      </c>
      <c r="AU443" s="109">
        <f t="shared" si="209"/>
        <v>26.09546659140069</v>
      </c>
      <c r="AV443" s="101">
        <f t="shared" si="204"/>
        <v>53544</v>
      </c>
      <c r="AW443" s="99">
        <f t="shared" si="202"/>
        <v>0</v>
      </c>
      <c r="AX443" s="1">
        <f t="shared" si="210"/>
        <v>0</v>
      </c>
      <c r="AY443" s="29">
        <f t="shared" si="211"/>
        <v>0</v>
      </c>
      <c r="AZ443" s="1">
        <f t="shared" si="212"/>
        <v>0</v>
      </c>
      <c r="CB443" s="20">
        <f t="shared" si="221"/>
        <v>0</v>
      </c>
      <c r="CC443" s="173">
        <f t="shared" si="213"/>
        <v>0</v>
      </c>
    </row>
    <row r="444" spans="2:81" x14ac:dyDescent="0.25">
      <c r="B444" s="41"/>
      <c r="C444" s="42"/>
      <c r="D444" s="43"/>
      <c r="E444" s="44"/>
      <c r="F444" s="44"/>
      <c r="G444" s="45"/>
      <c r="H444" s="81" t="str">
        <f t="shared" si="203"/>
        <v/>
      </c>
      <c r="J444" s="9"/>
      <c r="K444" s="10"/>
      <c r="L444" s="17"/>
      <c r="M444" s="23"/>
      <c r="N444" s="23"/>
      <c r="O444" s="23"/>
      <c r="P444" s="23"/>
      <c r="Q444" s="1">
        <f t="shared" si="214"/>
        <v>0.60744618579017706</v>
      </c>
      <c r="R444" s="12">
        <f t="shared" ca="1" si="197"/>
        <v>12422</v>
      </c>
      <c r="S444" s="88">
        <f t="shared" si="205"/>
        <v>0</v>
      </c>
      <c r="T444" s="19">
        <f t="shared" si="206"/>
        <v>0</v>
      </c>
      <c r="U444" s="19">
        <f t="shared" si="196"/>
        <v>0</v>
      </c>
      <c r="V444" s="19">
        <f t="shared" si="219"/>
        <v>0</v>
      </c>
      <c r="W444" s="20">
        <f t="shared" ca="1" si="198"/>
        <v>0</v>
      </c>
      <c r="X444" s="19">
        <f t="shared" ca="1" si="199"/>
        <v>0</v>
      </c>
      <c r="Y444" s="19">
        <f t="shared" ca="1" si="200"/>
        <v>0</v>
      </c>
      <c r="Z444" s="20">
        <f t="shared" ca="1" si="201"/>
        <v>0</v>
      </c>
      <c r="AA444" s="1">
        <f t="shared" si="215"/>
        <v>5432.58</v>
      </c>
      <c r="AB444" s="93"/>
      <c r="AC444" s="94"/>
      <c r="AD444" s="101">
        <f t="shared" si="216"/>
        <v>53544</v>
      </c>
      <c r="AE444" s="103">
        <f t="shared" si="217"/>
        <v>0</v>
      </c>
      <c r="AG444" s="1">
        <f t="shared" si="207"/>
        <v>0</v>
      </c>
      <c r="AH444" s="1">
        <f t="shared" si="222"/>
        <v>0</v>
      </c>
      <c r="AI444" s="1">
        <f t="shared" si="218"/>
        <v>5432.58</v>
      </c>
      <c r="AJ444" s="20">
        <f t="shared" si="220"/>
        <v>0</v>
      </c>
      <c r="AK444" s="100">
        <f t="shared" si="223"/>
        <v>0</v>
      </c>
      <c r="AL444" s="100">
        <f t="shared" si="224"/>
        <v>0</v>
      </c>
      <c r="AN444" s="100">
        <f t="shared" si="225"/>
        <v>4403.4669445101626</v>
      </c>
      <c r="AO444" s="20">
        <f t="shared" si="226"/>
        <v>0</v>
      </c>
      <c r="AQ444" s="109">
        <f t="shared" si="208"/>
        <v>0</v>
      </c>
      <c r="AU444" s="109">
        <f t="shared" si="209"/>
        <v>26.093176190379552</v>
      </c>
      <c r="AV444" s="101">
        <f t="shared" si="204"/>
        <v>53574</v>
      </c>
      <c r="AW444" s="99">
        <f t="shared" si="202"/>
        <v>0</v>
      </c>
      <c r="AX444" s="1">
        <f t="shared" si="210"/>
        <v>0</v>
      </c>
      <c r="AY444" s="29">
        <f t="shared" si="211"/>
        <v>0</v>
      </c>
      <c r="AZ444" s="1">
        <f t="shared" si="212"/>
        <v>0</v>
      </c>
      <c r="CB444" s="20">
        <f t="shared" si="221"/>
        <v>0</v>
      </c>
      <c r="CC444" s="173">
        <f t="shared" si="213"/>
        <v>0</v>
      </c>
    </row>
    <row r="445" spans="2:81" x14ac:dyDescent="0.25">
      <c r="B445" s="41"/>
      <c r="C445" s="42"/>
      <c r="D445" s="43"/>
      <c r="E445" s="44"/>
      <c r="F445" s="44"/>
      <c r="G445" s="45"/>
      <c r="H445" s="81" t="str">
        <f t="shared" si="203"/>
        <v/>
      </c>
      <c r="J445" s="7"/>
      <c r="K445" s="8"/>
      <c r="L445" s="16"/>
      <c r="M445" s="22"/>
      <c r="N445" s="22"/>
      <c r="O445" s="22"/>
      <c r="P445" s="22"/>
      <c r="Q445" s="1">
        <f t="shared" si="214"/>
        <v>0.60744618579017706</v>
      </c>
      <c r="R445" s="12">
        <f t="shared" ca="1" si="197"/>
        <v>12452</v>
      </c>
      <c r="S445" s="88">
        <f t="shared" si="205"/>
        <v>0</v>
      </c>
      <c r="T445" s="19">
        <f t="shared" si="206"/>
        <v>0</v>
      </c>
      <c r="U445" s="19">
        <f t="shared" si="196"/>
        <v>0</v>
      </c>
      <c r="V445" s="19">
        <f t="shared" si="219"/>
        <v>0</v>
      </c>
      <c r="W445" s="20">
        <f t="shared" ca="1" si="198"/>
        <v>0</v>
      </c>
      <c r="X445" s="19">
        <f t="shared" ca="1" si="199"/>
        <v>0</v>
      </c>
      <c r="Y445" s="19">
        <f t="shared" ca="1" si="200"/>
        <v>0</v>
      </c>
      <c r="Z445" s="20">
        <f t="shared" ca="1" si="201"/>
        <v>0</v>
      </c>
      <c r="AA445" s="1">
        <f t="shared" si="215"/>
        <v>5432.58</v>
      </c>
      <c r="AB445" s="91"/>
      <c r="AC445" s="92"/>
      <c r="AD445" s="101">
        <f t="shared" si="216"/>
        <v>53574</v>
      </c>
      <c r="AE445" s="103">
        <f t="shared" si="217"/>
        <v>0</v>
      </c>
      <c r="AG445" s="1">
        <f t="shared" si="207"/>
        <v>0</v>
      </c>
      <c r="AH445" s="1">
        <f t="shared" si="222"/>
        <v>0</v>
      </c>
      <c r="AI445" s="1">
        <f t="shared" si="218"/>
        <v>5432.58</v>
      </c>
      <c r="AJ445" s="20">
        <f t="shared" si="220"/>
        <v>0</v>
      </c>
      <c r="AK445" s="100">
        <f t="shared" si="223"/>
        <v>0</v>
      </c>
      <c r="AL445" s="100">
        <f t="shared" si="224"/>
        <v>0</v>
      </c>
      <c r="AN445" s="100">
        <f t="shared" si="225"/>
        <v>4401.2390146333373</v>
      </c>
      <c r="AO445" s="20">
        <f t="shared" si="226"/>
        <v>0</v>
      </c>
      <c r="AQ445" s="109">
        <f t="shared" si="208"/>
        <v>0</v>
      </c>
      <c r="AU445" s="109">
        <f t="shared" si="209"/>
        <v>26.090885990387065</v>
      </c>
      <c r="AV445" s="101">
        <f t="shared" si="204"/>
        <v>53604</v>
      </c>
      <c r="AW445" s="99">
        <f t="shared" si="202"/>
        <v>0</v>
      </c>
      <c r="AX445" s="1">
        <f t="shared" si="210"/>
        <v>0</v>
      </c>
      <c r="AY445" s="29">
        <f t="shared" si="211"/>
        <v>0</v>
      </c>
      <c r="AZ445" s="1">
        <f t="shared" si="212"/>
        <v>0</v>
      </c>
      <c r="CB445" s="20">
        <f t="shared" si="221"/>
        <v>0</v>
      </c>
      <c r="CC445" s="173">
        <f t="shared" si="213"/>
        <v>0</v>
      </c>
    </row>
    <row r="446" spans="2:81" x14ac:dyDescent="0.25">
      <c r="B446" s="41"/>
      <c r="C446" s="42"/>
      <c r="D446" s="43"/>
      <c r="E446" s="44"/>
      <c r="F446" s="44"/>
      <c r="G446" s="45"/>
      <c r="H446" s="81" t="str">
        <f t="shared" si="203"/>
        <v/>
      </c>
      <c r="J446" s="9"/>
      <c r="K446" s="10"/>
      <c r="L446" s="17"/>
      <c r="M446" s="23"/>
      <c r="N446" s="23"/>
      <c r="O446" s="23"/>
      <c r="P446" s="23"/>
      <c r="Q446" s="1">
        <f t="shared" si="214"/>
        <v>0.60744618579017706</v>
      </c>
      <c r="R446" s="12">
        <f t="shared" ca="1" si="197"/>
        <v>12482</v>
      </c>
      <c r="S446" s="88">
        <f t="shared" si="205"/>
        <v>0</v>
      </c>
      <c r="T446" s="19">
        <f t="shared" si="206"/>
        <v>0</v>
      </c>
      <c r="U446" s="19">
        <f t="shared" si="196"/>
        <v>0</v>
      </c>
      <c r="V446" s="19">
        <f t="shared" si="219"/>
        <v>0</v>
      </c>
      <c r="W446" s="20">
        <f t="shared" ca="1" si="198"/>
        <v>0</v>
      </c>
      <c r="X446" s="19">
        <f t="shared" ca="1" si="199"/>
        <v>0</v>
      </c>
      <c r="Y446" s="19">
        <f t="shared" ca="1" si="200"/>
        <v>0</v>
      </c>
      <c r="Z446" s="20">
        <f t="shared" ca="1" si="201"/>
        <v>0</v>
      </c>
      <c r="AA446" s="1">
        <f t="shared" si="215"/>
        <v>5432.58</v>
      </c>
      <c r="AB446" s="93"/>
      <c r="AC446" s="94"/>
      <c r="AD446" s="101">
        <f t="shared" si="216"/>
        <v>53604</v>
      </c>
      <c r="AE446" s="103">
        <f t="shared" si="217"/>
        <v>0</v>
      </c>
      <c r="AG446" s="1">
        <f t="shared" si="207"/>
        <v>0</v>
      </c>
      <c r="AH446" s="1">
        <f t="shared" si="222"/>
        <v>0</v>
      </c>
      <c r="AI446" s="1">
        <f t="shared" si="218"/>
        <v>5432.58</v>
      </c>
      <c r="AJ446" s="20">
        <f t="shared" si="220"/>
        <v>0</v>
      </c>
      <c r="AK446" s="100">
        <f t="shared" si="223"/>
        <v>0</v>
      </c>
      <c r="AL446" s="100">
        <f t="shared" si="224"/>
        <v>0</v>
      </c>
      <c r="AN446" s="100">
        <f t="shared" si="225"/>
        <v>4399.0122119754969</v>
      </c>
      <c r="AO446" s="20">
        <f t="shared" si="226"/>
        <v>0</v>
      </c>
      <c r="AQ446" s="109">
        <f t="shared" si="208"/>
        <v>0</v>
      </c>
      <c r="AU446" s="109">
        <f t="shared" si="209"/>
        <v>26.088595991405597</v>
      </c>
      <c r="AV446" s="101">
        <f t="shared" si="204"/>
        <v>53634</v>
      </c>
      <c r="AW446" s="99">
        <f t="shared" si="202"/>
        <v>0</v>
      </c>
      <c r="AX446" s="1">
        <f t="shared" si="210"/>
        <v>0</v>
      </c>
      <c r="AY446" s="29">
        <f t="shared" si="211"/>
        <v>0</v>
      </c>
      <c r="AZ446" s="1">
        <f t="shared" si="212"/>
        <v>0</v>
      </c>
      <c r="CB446" s="20">
        <f t="shared" si="221"/>
        <v>0</v>
      </c>
      <c r="CC446" s="173">
        <f t="shared" si="213"/>
        <v>0</v>
      </c>
    </row>
    <row r="447" spans="2:81" x14ac:dyDescent="0.25">
      <c r="B447" s="41"/>
      <c r="C447" s="42"/>
      <c r="D447" s="43"/>
      <c r="E447" s="44"/>
      <c r="F447" s="44"/>
      <c r="G447" s="45"/>
      <c r="H447" s="81" t="str">
        <f t="shared" si="203"/>
        <v/>
      </c>
      <c r="J447" s="7"/>
      <c r="K447" s="8"/>
      <c r="L447" s="16"/>
      <c r="M447" s="22"/>
      <c r="N447" s="22"/>
      <c r="O447" s="22"/>
      <c r="P447" s="22"/>
      <c r="Q447" s="1">
        <f t="shared" si="214"/>
        <v>0.60744618579017706</v>
      </c>
      <c r="R447" s="12">
        <f t="shared" ca="1" si="197"/>
        <v>12512</v>
      </c>
      <c r="S447" s="88">
        <f t="shared" si="205"/>
        <v>0</v>
      </c>
      <c r="T447" s="19">
        <f t="shared" si="206"/>
        <v>0</v>
      </c>
      <c r="U447" s="19">
        <f t="shared" si="196"/>
        <v>0</v>
      </c>
      <c r="V447" s="19">
        <f t="shared" si="219"/>
        <v>0</v>
      </c>
      <c r="W447" s="20">
        <f t="shared" ca="1" si="198"/>
        <v>0</v>
      </c>
      <c r="X447" s="19">
        <f t="shared" ca="1" si="199"/>
        <v>0</v>
      </c>
      <c r="Y447" s="19">
        <f t="shared" ca="1" si="200"/>
        <v>0</v>
      </c>
      <c r="Z447" s="20">
        <f t="shared" ca="1" si="201"/>
        <v>0</v>
      </c>
      <c r="AA447" s="1">
        <f t="shared" si="215"/>
        <v>5432.58</v>
      </c>
      <c r="AB447" s="91"/>
      <c r="AC447" s="92"/>
      <c r="AD447" s="101">
        <f t="shared" si="216"/>
        <v>53634</v>
      </c>
      <c r="AE447" s="103">
        <f t="shared" si="217"/>
        <v>0</v>
      </c>
      <c r="AG447" s="1">
        <f t="shared" si="207"/>
        <v>0</v>
      </c>
      <c r="AH447" s="1">
        <f t="shared" si="222"/>
        <v>0</v>
      </c>
      <c r="AI447" s="1">
        <f t="shared" si="218"/>
        <v>5432.58</v>
      </c>
      <c r="AJ447" s="20">
        <f t="shared" si="220"/>
        <v>0</v>
      </c>
      <c r="AK447" s="100">
        <f t="shared" si="223"/>
        <v>0</v>
      </c>
      <c r="AL447" s="100">
        <f t="shared" si="224"/>
        <v>0</v>
      </c>
      <c r="AN447" s="100">
        <f t="shared" si="225"/>
        <v>4396.7865359663247</v>
      </c>
      <c r="AO447" s="20">
        <f t="shared" si="226"/>
        <v>0</v>
      </c>
      <c r="AQ447" s="109">
        <f t="shared" si="208"/>
        <v>0</v>
      </c>
      <c r="AU447" s="109">
        <f t="shared" si="209"/>
        <v>26.086306193417514</v>
      </c>
      <c r="AV447" s="101">
        <f t="shared" si="204"/>
        <v>53664</v>
      </c>
      <c r="AW447" s="99">
        <f t="shared" si="202"/>
        <v>0</v>
      </c>
      <c r="AX447" s="1">
        <f t="shared" si="210"/>
        <v>0</v>
      </c>
      <c r="AY447" s="29">
        <f t="shared" si="211"/>
        <v>0</v>
      </c>
      <c r="AZ447" s="1">
        <f t="shared" si="212"/>
        <v>0</v>
      </c>
      <c r="CB447" s="20">
        <f t="shared" si="221"/>
        <v>0</v>
      </c>
      <c r="CC447" s="173">
        <f t="shared" si="213"/>
        <v>0</v>
      </c>
    </row>
    <row r="448" spans="2:81" x14ac:dyDescent="0.25">
      <c r="B448" s="41"/>
      <c r="C448" s="42"/>
      <c r="D448" s="43"/>
      <c r="E448" s="44"/>
      <c r="F448" s="44"/>
      <c r="G448" s="45"/>
      <c r="H448" s="81" t="str">
        <f t="shared" si="203"/>
        <v/>
      </c>
      <c r="J448" s="9"/>
      <c r="K448" s="10"/>
      <c r="L448" s="17"/>
      <c r="M448" s="23"/>
      <c r="N448" s="23"/>
      <c r="O448" s="23"/>
      <c r="P448" s="23"/>
      <c r="Q448" s="1">
        <f t="shared" si="214"/>
        <v>0.60744618579017706</v>
      </c>
      <c r="R448" s="12">
        <f t="shared" ca="1" si="197"/>
        <v>12542</v>
      </c>
      <c r="S448" s="88">
        <f t="shared" si="205"/>
        <v>0</v>
      </c>
      <c r="T448" s="19">
        <f t="shared" si="206"/>
        <v>0</v>
      </c>
      <c r="U448" s="19">
        <f t="shared" ref="U448:U502" si="227">AA448*(IF(ROW()-30&lt;$H$22,$H$21,0))</f>
        <v>0</v>
      </c>
      <c r="V448" s="19">
        <f t="shared" si="219"/>
        <v>0</v>
      </c>
      <c r="W448" s="20">
        <f t="shared" ca="1" si="198"/>
        <v>0</v>
      </c>
      <c r="X448" s="19">
        <f t="shared" ca="1" si="199"/>
        <v>0</v>
      </c>
      <c r="Y448" s="19">
        <f t="shared" ca="1" si="200"/>
        <v>0</v>
      </c>
      <c r="Z448" s="20">
        <f t="shared" ca="1" si="201"/>
        <v>0</v>
      </c>
      <c r="AA448" s="1">
        <f t="shared" si="215"/>
        <v>5432.58</v>
      </c>
      <c r="AB448" s="93"/>
      <c r="AC448" s="94"/>
      <c r="AD448" s="101">
        <f t="shared" si="216"/>
        <v>53664</v>
      </c>
      <c r="AE448" s="103">
        <f t="shared" si="217"/>
        <v>0</v>
      </c>
      <c r="AG448" s="1">
        <f t="shared" si="207"/>
        <v>0</v>
      </c>
      <c r="AH448" s="1">
        <f t="shared" si="222"/>
        <v>0</v>
      </c>
      <c r="AI448" s="1">
        <f t="shared" si="218"/>
        <v>5432.58</v>
      </c>
      <c r="AJ448" s="20">
        <f t="shared" si="220"/>
        <v>0</v>
      </c>
      <c r="AK448" s="100">
        <f t="shared" si="223"/>
        <v>0</v>
      </c>
      <c r="AL448" s="100">
        <f t="shared" si="224"/>
        <v>0</v>
      </c>
      <c r="AN448" s="100">
        <f t="shared" si="225"/>
        <v>4394.5619860357947</v>
      </c>
      <c r="AO448" s="20">
        <f t="shared" si="226"/>
        <v>0</v>
      </c>
      <c r="AQ448" s="109">
        <f t="shared" si="208"/>
        <v>0</v>
      </c>
      <c r="AU448" s="109">
        <f t="shared" si="209"/>
        <v>26.084016596405167</v>
      </c>
      <c r="AV448" s="101">
        <f t="shared" si="204"/>
        <v>53694</v>
      </c>
      <c r="AW448" s="99">
        <f t="shared" si="202"/>
        <v>0</v>
      </c>
      <c r="AX448" s="1">
        <f t="shared" si="210"/>
        <v>0</v>
      </c>
      <c r="AY448" s="29">
        <f t="shared" si="211"/>
        <v>0</v>
      </c>
      <c r="AZ448" s="1">
        <f t="shared" si="212"/>
        <v>0</v>
      </c>
      <c r="CB448" s="20">
        <f t="shared" si="221"/>
        <v>0</v>
      </c>
      <c r="CC448" s="173">
        <f t="shared" si="213"/>
        <v>0</v>
      </c>
    </row>
    <row r="449" spans="2:81" x14ac:dyDescent="0.25">
      <c r="B449" s="41"/>
      <c r="C449" s="42"/>
      <c r="D449" s="43"/>
      <c r="E449" s="44"/>
      <c r="F449" s="44"/>
      <c r="G449" s="45"/>
      <c r="H449" s="81" t="str">
        <f t="shared" si="203"/>
        <v/>
      </c>
      <c r="J449" s="7"/>
      <c r="K449" s="8"/>
      <c r="L449" s="16"/>
      <c r="M449" s="22"/>
      <c r="N449" s="22"/>
      <c r="O449" s="22"/>
      <c r="P449" s="22"/>
      <c r="Q449" s="1">
        <f t="shared" si="214"/>
        <v>0.60744618579017706</v>
      </c>
      <c r="R449" s="12">
        <f t="shared" ref="R449:R502" ca="1" si="228">IF(ROW()&gt;$T$20,R448+30,DAYS360(K448,K449)+R448)</f>
        <v>12572</v>
      </c>
      <c r="S449" s="88">
        <f t="shared" si="205"/>
        <v>0</v>
      </c>
      <c r="T449" s="19">
        <f t="shared" si="206"/>
        <v>0</v>
      </c>
      <c r="U449" s="19">
        <f t="shared" si="227"/>
        <v>0</v>
      </c>
      <c r="V449" s="19">
        <f t="shared" si="219"/>
        <v>0</v>
      </c>
      <c r="W449" s="20">
        <f t="shared" ref="W449:W502" ca="1" si="229">(T449)/(1+((1+$T$12)^$R449-1))</f>
        <v>0</v>
      </c>
      <c r="X449" s="19">
        <f t="shared" ref="X449:X502" ca="1" si="230">(U449)/(1+((1+$T$12)^$R449-1))</f>
        <v>0</v>
      </c>
      <c r="Y449" s="19">
        <f t="shared" ref="Y449:Y502" ca="1" si="231">P449/(1+((1+$T$12)^$R449-1))</f>
        <v>0</v>
      </c>
      <c r="Z449" s="20">
        <f t="shared" ref="Z449:Z502" ca="1" si="232">W449+X449</f>
        <v>0</v>
      </c>
      <c r="AA449" s="1">
        <f t="shared" si="215"/>
        <v>5432.58</v>
      </c>
      <c r="AB449" s="91"/>
      <c r="AC449" s="92"/>
      <c r="AD449" s="101">
        <f t="shared" si="216"/>
        <v>53694</v>
      </c>
      <c r="AE449" s="103">
        <f t="shared" si="217"/>
        <v>0</v>
      </c>
      <c r="AG449" s="1">
        <f t="shared" si="207"/>
        <v>0</v>
      </c>
      <c r="AH449" s="1">
        <f t="shared" si="222"/>
        <v>0</v>
      </c>
      <c r="AI449" s="1">
        <f t="shared" si="218"/>
        <v>5432.58</v>
      </c>
      <c r="AJ449" s="20">
        <f t="shared" si="220"/>
        <v>0</v>
      </c>
      <c r="AK449" s="100">
        <f t="shared" si="223"/>
        <v>0</v>
      </c>
      <c r="AL449" s="100">
        <f t="shared" si="224"/>
        <v>0</v>
      </c>
      <c r="AN449" s="100">
        <f t="shared" si="225"/>
        <v>4392.3385616141677</v>
      </c>
      <c r="AO449" s="20">
        <f t="shared" si="226"/>
        <v>0</v>
      </c>
      <c r="AQ449" s="109">
        <f t="shared" si="208"/>
        <v>0</v>
      </c>
      <c r="AU449" s="109">
        <f t="shared" si="209"/>
        <v>26.081727200350912</v>
      </c>
      <c r="AV449" s="101">
        <f t="shared" si="204"/>
        <v>53724</v>
      </c>
      <c r="AW449" s="99">
        <f t="shared" si="202"/>
        <v>0</v>
      </c>
      <c r="AX449" s="1">
        <f t="shared" si="210"/>
        <v>0</v>
      </c>
      <c r="AY449" s="29">
        <f t="shared" si="211"/>
        <v>0</v>
      </c>
      <c r="AZ449" s="1">
        <f t="shared" si="212"/>
        <v>0</v>
      </c>
      <c r="CB449" s="20">
        <f t="shared" si="221"/>
        <v>0</v>
      </c>
      <c r="CC449" s="173">
        <f t="shared" si="213"/>
        <v>0</v>
      </c>
    </row>
    <row r="450" spans="2:81" x14ac:dyDescent="0.25">
      <c r="B450" s="41"/>
      <c r="C450" s="42"/>
      <c r="D450" s="43"/>
      <c r="E450" s="44"/>
      <c r="F450" s="44"/>
      <c r="G450" s="45"/>
      <c r="H450" s="81" t="str">
        <f t="shared" si="203"/>
        <v/>
      </c>
      <c r="J450" s="9"/>
      <c r="K450" s="10"/>
      <c r="L450" s="17"/>
      <c r="M450" s="23"/>
      <c r="N450" s="23"/>
      <c r="O450" s="23"/>
      <c r="P450" s="23"/>
      <c r="Q450" s="1">
        <f t="shared" si="214"/>
        <v>0.60744618579017706</v>
      </c>
      <c r="R450" s="12">
        <f t="shared" ca="1" si="228"/>
        <v>12602</v>
      </c>
      <c r="S450" s="88">
        <f>N450+M450</f>
        <v>0</v>
      </c>
      <c r="T450" s="19">
        <f t="shared" si="206"/>
        <v>0</v>
      </c>
      <c r="U450" s="19">
        <f t="shared" si="227"/>
        <v>0</v>
      </c>
      <c r="V450" s="19">
        <f t="shared" si="219"/>
        <v>0</v>
      </c>
      <c r="W450" s="20">
        <f t="shared" ca="1" si="229"/>
        <v>0</v>
      </c>
      <c r="X450" s="19">
        <f t="shared" ca="1" si="230"/>
        <v>0</v>
      </c>
      <c r="Y450" s="19">
        <f t="shared" ca="1" si="231"/>
        <v>0</v>
      </c>
      <c r="Z450" s="20">
        <f t="shared" ca="1" si="232"/>
        <v>0</v>
      </c>
      <c r="AA450" s="1">
        <f t="shared" si="215"/>
        <v>5432.58</v>
      </c>
      <c r="AB450" s="93"/>
      <c r="AC450" s="94"/>
      <c r="AD450" s="101">
        <f t="shared" si="216"/>
        <v>53724</v>
      </c>
      <c r="AE450" s="103">
        <f t="shared" si="217"/>
        <v>0</v>
      </c>
      <c r="AG450" s="1">
        <f t="shared" si="207"/>
        <v>0</v>
      </c>
      <c r="AH450" s="1">
        <f t="shared" si="222"/>
        <v>0</v>
      </c>
      <c r="AI450" s="1">
        <f t="shared" si="218"/>
        <v>5432.58</v>
      </c>
      <c r="AJ450" s="20">
        <f t="shared" si="220"/>
        <v>0</v>
      </c>
      <c r="AK450" s="100">
        <f t="shared" si="223"/>
        <v>0</v>
      </c>
      <c r="AL450" s="100">
        <f t="shared" si="224"/>
        <v>0</v>
      </c>
      <c r="AN450" s="100">
        <f t="shared" si="225"/>
        <v>4390.1162621319945</v>
      </c>
      <c r="AO450" s="20">
        <f t="shared" si="226"/>
        <v>0</v>
      </c>
      <c r="AQ450" s="109">
        <f t="shared" si="208"/>
        <v>0</v>
      </c>
      <c r="AU450" s="109">
        <f t="shared" si="209"/>
        <v>26.079438005237122</v>
      </c>
      <c r="AV450" s="101">
        <f t="shared" si="204"/>
        <v>53754</v>
      </c>
      <c r="AW450" s="99">
        <f t="shared" si="202"/>
        <v>0</v>
      </c>
      <c r="AX450" s="1">
        <f t="shared" si="210"/>
        <v>0</v>
      </c>
      <c r="AY450" s="29">
        <f t="shared" si="211"/>
        <v>0</v>
      </c>
      <c r="AZ450" s="1">
        <f t="shared" si="212"/>
        <v>0</v>
      </c>
      <c r="CB450" s="20">
        <f t="shared" si="221"/>
        <v>0</v>
      </c>
      <c r="CC450" s="173">
        <f t="shared" si="213"/>
        <v>0</v>
      </c>
    </row>
    <row r="451" spans="2:81" x14ac:dyDescent="0.25">
      <c r="B451" s="41"/>
      <c r="C451" s="42"/>
      <c r="D451" s="43"/>
      <c r="E451" s="44"/>
      <c r="F451" s="44"/>
      <c r="G451" s="45"/>
      <c r="H451" s="81" t="str">
        <f t="shared" si="203"/>
        <v/>
      </c>
      <c r="J451" s="7"/>
      <c r="K451" s="8"/>
      <c r="L451" s="16"/>
      <c r="M451" s="22"/>
      <c r="N451" s="22"/>
      <c r="O451" s="22"/>
      <c r="P451" s="22"/>
      <c r="Q451" s="1">
        <f t="shared" si="214"/>
        <v>0.60744618579017706</v>
      </c>
      <c r="R451" s="12">
        <f t="shared" ca="1" si="228"/>
        <v>12632</v>
      </c>
      <c r="S451" s="88">
        <f t="shared" ref="S451:S514" si="233">N451+M451</f>
        <v>0</v>
      </c>
      <c r="T451" s="19">
        <f t="shared" si="206"/>
        <v>0</v>
      </c>
      <c r="U451" s="19">
        <f t="shared" si="227"/>
        <v>0</v>
      </c>
      <c r="V451" s="19">
        <f t="shared" si="219"/>
        <v>0</v>
      </c>
      <c r="W451" s="20">
        <f t="shared" ca="1" si="229"/>
        <v>0</v>
      </c>
      <c r="X451" s="19">
        <f t="shared" ca="1" si="230"/>
        <v>0</v>
      </c>
      <c r="Y451" s="19">
        <f t="shared" ca="1" si="231"/>
        <v>0</v>
      </c>
      <c r="Z451" s="20">
        <f t="shared" ca="1" si="232"/>
        <v>0</v>
      </c>
      <c r="AA451" s="1">
        <f t="shared" si="215"/>
        <v>5432.58</v>
      </c>
      <c r="AB451" s="91"/>
      <c r="AC451" s="92"/>
      <c r="AD451" s="101">
        <f t="shared" si="216"/>
        <v>53754</v>
      </c>
      <c r="AE451" s="103">
        <f t="shared" si="217"/>
        <v>0</v>
      </c>
      <c r="AG451" s="1">
        <f t="shared" si="207"/>
        <v>0</v>
      </c>
      <c r="AH451" s="1">
        <f t="shared" si="222"/>
        <v>0</v>
      </c>
      <c r="AI451" s="1">
        <f t="shared" si="218"/>
        <v>5432.58</v>
      </c>
      <c r="AJ451" s="20">
        <f t="shared" si="220"/>
        <v>0</v>
      </c>
      <c r="AK451" s="100">
        <f t="shared" si="223"/>
        <v>0</v>
      </c>
      <c r="AL451" s="100">
        <f t="shared" si="224"/>
        <v>0</v>
      </c>
      <c r="AN451" s="100">
        <f t="shared" si="225"/>
        <v>4387.8950870201124</v>
      </c>
      <c r="AO451" s="20">
        <f t="shared" si="226"/>
        <v>0</v>
      </c>
      <c r="AQ451" s="109">
        <f t="shared" si="208"/>
        <v>0</v>
      </c>
      <c r="AU451" s="109">
        <f t="shared" si="209"/>
        <v>26.07714901104616</v>
      </c>
      <c r="AV451" s="101">
        <f t="shared" si="204"/>
        <v>53784</v>
      </c>
      <c r="AW451" s="99">
        <f t="shared" si="202"/>
        <v>0</v>
      </c>
      <c r="AX451" s="1">
        <f t="shared" si="210"/>
        <v>0</v>
      </c>
      <c r="AY451" s="29">
        <f t="shared" si="211"/>
        <v>0</v>
      </c>
      <c r="AZ451" s="1">
        <f t="shared" si="212"/>
        <v>0</v>
      </c>
      <c r="CB451" s="20">
        <f t="shared" si="221"/>
        <v>0</v>
      </c>
      <c r="CC451" s="173">
        <f t="shared" si="213"/>
        <v>0</v>
      </c>
    </row>
    <row r="452" spans="2:81" x14ac:dyDescent="0.25">
      <c r="B452" s="41"/>
      <c r="C452" s="42"/>
      <c r="D452" s="43"/>
      <c r="E452" s="44"/>
      <c r="F452" s="44"/>
      <c r="G452" s="45"/>
      <c r="H452" s="81" t="str">
        <f t="shared" si="203"/>
        <v/>
      </c>
      <c r="J452" s="9"/>
      <c r="K452" s="10"/>
      <c r="L452" s="17"/>
      <c r="M452" s="23"/>
      <c r="N452" s="23"/>
      <c r="O452" s="23"/>
      <c r="P452" s="23"/>
      <c r="Q452" s="1">
        <f t="shared" si="214"/>
        <v>0.60744618579017706</v>
      </c>
      <c r="R452" s="12">
        <f t="shared" ca="1" si="228"/>
        <v>12662</v>
      </c>
      <c r="S452" s="88">
        <f t="shared" si="233"/>
        <v>0</v>
      </c>
      <c r="T452" s="19">
        <f t="shared" si="206"/>
        <v>0</v>
      </c>
      <c r="U452" s="19">
        <f t="shared" si="227"/>
        <v>0</v>
      </c>
      <c r="V452" s="19">
        <f t="shared" si="219"/>
        <v>0</v>
      </c>
      <c r="W452" s="20">
        <f t="shared" ca="1" si="229"/>
        <v>0</v>
      </c>
      <c r="X452" s="19">
        <f t="shared" ca="1" si="230"/>
        <v>0</v>
      </c>
      <c r="Y452" s="19">
        <f t="shared" ca="1" si="231"/>
        <v>0</v>
      </c>
      <c r="Z452" s="20">
        <f t="shared" ca="1" si="232"/>
        <v>0</v>
      </c>
      <c r="AA452" s="1">
        <f t="shared" si="215"/>
        <v>5432.58</v>
      </c>
      <c r="AB452" s="93"/>
      <c r="AC452" s="94"/>
      <c r="AD452" s="101">
        <f t="shared" si="216"/>
        <v>53784</v>
      </c>
      <c r="AE452" s="103">
        <f t="shared" si="217"/>
        <v>0</v>
      </c>
      <c r="AG452" s="1">
        <f t="shared" si="207"/>
        <v>0</v>
      </c>
      <c r="AH452" s="1">
        <f t="shared" si="222"/>
        <v>0</v>
      </c>
      <c r="AI452" s="1">
        <f t="shared" si="218"/>
        <v>5432.58</v>
      </c>
      <c r="AJ452" s="20">
        <f t="shared" si="220"/>
        <v>0</v>
      </c>
      <c r="AK452" s="100">
        <f t="shared" si="223"/>
        <v>0</v>
      </c>
      <c r="AL452" s="100">
        <f t="shared" si="224"/>
        <v>0</v>
      </c>
      <c r="AN452" s="100">
        <f t="shared" si="225"/>
        <v>4385.6750357096471</v>
      </c>
      <c r="AO452" s="20">
        <f t="shared" si="226"/>
        <v>0</v>
      </c>
      <c r="AQ452" s="109">
        <f t="shared" si="208"/>
        <v>0</v>
      </c>
      <c r="AU452" s="109">
        <f t="shared" si="209"/>
        <v>26.074860217760385</v>
      </c>
      <c r="AV452" s="101">
        <f t="shared" si="204"/>
        <v>53814</v>
      </c>
      <c r="AW452" s="99">
        <f t="shared" si="202"/>
        <v>0</v>
      </c>
      <c r="AX452" s="1">
        <f t="shared" si="210"/>
        <v>0</v>
      </c>
      <c r="AY452" s="29">
        <f t="shared" si="211"/>
        <v>0</v>
      </c>
      <c r="AZ452" s="1">
        <f t="shared" si="212"/>
        <v>0</v>
      </c>
      <c r="CB452" s="20">
        <f t="shared" si="221"/>
        <v>0</v>
      </c>
      <c r="CC452" s="173">
        <f t="shared" si="213"/>
        <v>0</v>
      </c>
    </row>
    <row r="453" spans="2:81" x14ac:dyDescent="0.25">
      <c r="B453" s="41"/>
      <c r="C453" s="42"/>
      <c r="D453" s="43"/>
      <c r="E453" s="44"/>
      <c r="F453" s="44"/>
      <c r="G453" s="45"/>
      <c r="H453" s="81" t="str">
        <f t="shared" si="203"/>
        <v/>
      </c>
      <c r="J453" s="7"/>
      <c r="K453" s="8"/>
      <c r="L453" s="16"/>
      <c r="M453" s="22"/>
      <c r="N453" s="22"/>
      <c r="O453" s="22"/>
      <c r="P453" s="22"/>
      <c r="Q453" s="1">
        <f t="shared" si="214"/>
        <v>0.60744618579017706</v>
      </c>
      <c r="R453" s="12">
        <f t="shared" ca="1" si="228"/>
        <v>12692</v>
      </c>
      <c r="S453" s="88">
        <f t="shared" si="233"/>
        <v>0</v>
      </c>
      <c r="T453" s="19">
        <f t="shared" si="206"/>
        <v>0</v>
      </c>
      <c r="U453" s="19">
        <f t="shared" si="227"/>
        <v>0</v>
      </c>
      <c r="V453" s="19">
        <f t="shared" si="219"/>
        <v>0</v>
      </c>
      <c r="W453" s="20">
        <f t="shared" ca="1" si="229"/>
        <v>0</v>
      </c>
      <c r="X453" s="19">
        <f t="shared" ca="1" si="230"/>
        <v>0</v>
      </c>
      <c r="Y453" s="19">
        <f t="shared" ca="1" si="231"/>
        <v>0</v>
      </c>
      <c r="Z453" s="20">
        <f t="shared" ca="1" si="232"/>
        <v>0</v>
      </c>
      <c r="AA453" s="1">
        <f t="shared" si="215"/>
        <v>5432.58</v>
      </c>
      <c r="AB453" s="91"/>
      <c r="AC453" s="92"/>
      <c r="AD453" s="101">
        <f t="shared" si="216"/>
        <v>53814</v>
      </c>
      <c r="AE453" s="103">
        <f t="shared" si="217"/>
        <v>0</v>
      </c>
      <c r="AG453" s="1">
        <f t="shared" si="207"/>
        <v>0</v>
      </c>
      <c r="AH453" s="1">
        <f t="shared" si="222"/>
        <v>0</v>
      </c>
      <c r="AI453" s="1">
        <f t="shared" si="218"/>
        <v>5432.58</v>
      </c>
      <c r="AJ453" s="20">
        <f t="shared" si="220"/>
        <v>0</v>
      </c>
      <c r="AK453" s="100">
        <f t="shared" si="223"/>
        <v>0</v>
      </c>
      <c r="AL453" s="100">
        <f t="shared" si="224"/>
        <v>0</v>
      </c>
      <c r="AN453" s="100">
        <f t="shared" si="225"/>
        <v>4383.4561076320133</v>
      </c>
      <c r="AO453" s="20">
        <f t="shared" si="226"/>
        <v>0</v>
      </c>
      <c r="AQ453" s="109">
        <f t="shared" si="208"/>
        <v>0</v>
      </c>
      <c r="AU453" s="109">
        <f t="shared" si="209"/>
        <v>26.072571625362158</v>
      </c>
      <c r="AV453" s="101">
        <f t="shared" si="204"/>
        <v>53844</v>
      </c>
      <c r="AW453" s="99">
        <f t="shared" si="202"/>
        <v>0</v>
      </c>
      <c r="AX453" s="1">
        <f t="shared" si="210"/>
        <v>0</v>
      </c>
      <c r="AY453" s="29">
        <f t="shared" si="211"/>
        <v>0</v>
      </c>
      <c r="AZ453" s="1">
        <f t="shared" si="212"/>
        <v>0</v>
      </c>
      <c r="CB453" s="20">
        <f t="shared" si="221"/>
        <v>0</v>
      </c>
      <c r="CC453" s="173">
        <f t="shared" si="213"/>
        <v>0</v>
      </c>
    </row>
    <row r="454" spans="2:81" x14ac:dyDescent="0.25">
      <c r="B454" s="41"/>
      <c r="C454" s="42"/>
      <c r="D454" s="43"/>
      <c r="E454" s="44"/>
      <c r="F454" s="44"/>
      <c r="G454" s="45"/>
      <c r="H454" s="81" t="str">
        <f t="shared" si="203"/>
        <v/>
      </c>
      <c r="J454" s="9"/>
      <c r="K454" s="10"/>
      <c r="L454" s="17"/>
      <c r="M454" s="23"/>
      <c r="N454" s="23"/>
      <c r="O454" s="23"/>
      <c r="P454" s="23"/>
      <c r="Q454" s="1">
        <f t="shared" si="214"/>
        <v>0.60744618579017706</v>
      </c>
      <c r="R454" s="12">
        <f t="shared" ca="1" si="228"/>
        <v>12722</v>
      </c>
      <c r="S454" s="88">
        <f t="shared" si="233"/>
        <v>0</v>
      </c>
      <c r="T454" s="19">
        <f t="shared" si="206"/>
        <v>0</v>
      </c>
      <c r="U454" s="19">
        <f t="shared" si="227"/>
        <v>0</v>
      </c>
      <c r="V454" s="19">
        <f t="shared" si="219"/>
        <v>0</v>
      </c>
      <c r="W454" s="20">
        <f t="shared" ca="1" si="229"/>
        <v>0</v>
      </c>
      <c r="X454" s="19">
        <f t="shared" ca="1" si="230"/>
        <v>0</v>
      </c>
      <c r="Y454" s="19">
        <f t="shared" ca="1" si="231"/>
        <v>0</v>
      </c>
      <c r="Z454" s="20">
        <f t="shared" ca="1" si="232"/>
        <v>0</v>
      </c>
      <c r="AA454" s="1">
        <f t="shared" si="215"/>
        <v>5432.58</v>
      </c>
      <c r="AB454" s="93"/>
      <c r="AC454" s="94"/>
      <c r="AD454" s="101">
        <f t="shared" si="216"/>
        <v>53844</v>
      </c>
      <c r="AE454" s="103">
        <f t="shared" si="217"/>
        <v>0</v>
      </c>
      <c r="AG454" s="1">
        <f t="shared" si="207"/>
        <v>0</v>
      </c>
      <c r="AH454" s="1">
        <f t="shared" si="222"/>
        <v>0</v>
      </c>
      <c r="AI454" s="1">
        <f t="shared" si="218"/>
        <v>5432.58</v>
      </c>
      <c r="AJ454" s="20">
        <f t="shared" si="220"/>
        <v>0</v>
      </c>
      <c r="AK454" s="100">
        <f t="shared" si="223"/>
        <v>0</v>
      </c>
      <c r="AL454" s="100">
        <f t="shared" si="224"/>
        <v>0</v>
      </c>
      <c r="AN454" s="100">
        <f t="shared" si="225"/>
        <v>4381.2383022189124</v>
      </c>
      <c r="AO454" s="20">
        <f t="shared" si="226"/>
        <v>0</v>
      </c>
      <c r="AQ454" s="109">
        <f t="shared" si="208"/>
        <v>0</v>
      </c>
      <c r="AU454" s="109">
        <f t="shared" si="209"/>
        <v>26.070283233833859</v>
      </c>
      <c r="AV454" s="101">
        <f t="shared" si="204"/>
        <v>53874</v>
      </c>
      <c r="AW454" s="99">
        <f t="shared" si="202"/>
        <v>0</v>
      </c>
      <c r="AX454" s="1">
        <f t="shared" si="210"/>
        <v>0</v>
      </c>
      <c r="AY454" s="29">
        <f t="shared" si="211"/>
        <v>0</v>
      </c>
      <c r="AZ454" s="1">
        <f t="shared" si="212"/>
        <v>0</v>
      </c>
      <c r="CB454" s="20">
        <f t="shared" si="221"/>
        <v>0</v>
      </c>
      <c r="CC454" s="173">
        <f t="shared" si="213"/>
        <v>0</v>
      </c>
    </row>
    <row r="455" spans="2:81" x14ac:dyDescent="0.25">
      <c r="B455" s="41"/>
      <c r="C455" s="42"/>
      <c r="D455" s="43"/>
      <c r="E455" s="44"/>
      <c r="F455" s="44"/>
      <c r="G455" s="45"/>
      <c r="H455" s="81" t="str">
        <f t="shared" si="203"/>
        <v/>
      </c>
      <c r="J455" s="7"/>
      <c r="K455" s="8"/>
      <c r="L455" s="16"/>
      <c r="M455" s="22"/>
      <c r="N455" s="22"/>
      <c r="O455" s="22"/>
      <c r="P455" s="22"/>
      <c r="Q455" s="1">
        <f t="shared" si="214"/>
        <v>0.60744618579017706</v>
      </c>
      <c r="R455" s="12">
        <f t="shared" ca="1" si="228"/>
        <v>12752</v>
      </c>
      <c r="S455" s="88">
        <f t="shared" si="233"/>
        <v>0</v>
      </c>
      <c r="T455" s="19">
        <f t="shared" si="206"/>
        <v>0</v>
      </c>
      <c r="U455" s="19">
        <f t="shared" si="227"/>
        <v>0</v>
      </c>
      <c r="V455" s="19">
        <f t="shared" si="219"/>
        <v>0</v>
      </c>
      <c r="W455" s="20">
        <f t="shared" ca="1" si="229"/>
        <v>0</v>
      </c>
      <c r="X455" s="19">
        <f t="shared" ca="1" si="230"/>
        <v>0</v>
      </c>
      <c r="Y455" s="19">
        <f t="shared" ca="1" si="231"/>
        <v>0</v>
      </c>
      <c r="Z455" s="20">
        <f t="shared" ca="1" si="232"/>
        <v>0</v>
      </c>
      <c r="AA455" s="1">
        <f t="shared" si="215"/>
        <v>5432.58</v>
      </c>
      <c r="AB455" s="91"/>
      <c r="AC455" s="92"/>
      <c r="AD455" s="101">
        <f t="shared" si="216"/>
        <v>53874</v>
      </c>
      <c r="AE455" s="103">
        <f t="shared" si="217"/>
        <v>0</v>
      </c>
      <c r="AG455" s="1">
        <f t="shared" si="207"/>
        <v>0</v>
      </c>
      <c r="AH455" s="1">
        <f t="shared" si="222"/>
        <v>0</v>
      </c>
      <c r="AI455" s="1">
        <f t="shared" si="218"/>
        <v>5432.58</v>
      </c>
      <c r="AJ455" s="20">
        <f t="shared" si="220"/>
        <v>0</v>
      </c>
      <c r="AK455" s="100">
        <f t="shared" si="223"/>
        <v>0</v>
      </c>
      <c r="AL455" s="100">
        <f t="shared" si="224"/>
        <v>0</v>
      </c>
      <c r="AN455" s="100">
        <f t="shared" si="225"/>
        <v>4379.0216189023331</v>
      </c>
      <c r="AO455" s="20">
        <f t="shared" si="226"/>
        <v>0</v>
      </c>
      <c r="AQ455" s="109">
        <f t="shared" si="208"/>
        <v>0</v>
      </c>
      <c r="AU455" s="109">
        <f t="shared" si="209"/>
        <v>26.067995043157843</v>
      </c>
      <c r="AV455" s="101">
        <f t="shared" si="204"/>
        <v>53904</v>
      </c>
      <c r="AW455" s="99">
        <f t="shared" si="202"/>
        <v>0</v>
      </c>
      <c r="AX455" s="1">
        <f t="shared" si="210"/>
        <v>0</v>
      </c>
      <c r="AY455" s="29">
        <f t="shared" si="211"/>
        <v>0</v>
      </c>
      <c r="AZ455" s="1">
        <f t="shared" si="212"/>
        <v>0</v>
      </c>
      <c r="CB455" s="20">
        <f t="shared" si="221"/>
        <v>0</v>
      </c>
      <c r="CC455" s="173">
        <f t="shared" si="213"/>
        <v>0</v>
      </c>
    </row>
    <row r="456" spans="2:81" x14ac:dyDescent="0.25">
      <c r="B456" s="41"/>
      <c r="C456" s="42"/>
      <c r="D456" s="43"/>
      <c r="E456" s="44"/>
      <c r="F456" s="44"/>
      <c r="G456" s="45"/>
      <c r="H456" s="81" t="str">
        <f t="shared" si="203"/>
        <v/>
      </c>
      <c r="J456" s="9"/>
      <c r="K456" s="10"/>
      <c r="L456" s="17"/>
      <c r="M456" s="23"/>
      <c r="N456" s="23"/>
      <c r="O456" s="23"/>
      <c r="P456" s="23"/>
      <c r="Q456" s="1">
        <f t="shared" si="214"/>
        <v>0.60744618579017706</v>
      </c>
      <c r="R456" s="12">
        <f t="shared" ca="1" si="228"/>
        <v>12782</v>
      </c>
      <c r="S456" s="88">
        <f t="shared" si="233"/>
        <v>0</v>
      </c>
      <c r="T456" s="19">
        <f t="shared" si="206"/>
        <v>0</v>
      </c>
      <c r="U456" s="19">
        <f t="shared" si="227"/>
        <v>0</v>
      </c>
      <c r="V456" s="19">
        <f t="shared" si="219"/>
        <v>0</v>
      </c>
      <c r="W456" s="20">
        <f t="shared" ca="1" si="229"/>
        <v>0</v>
      </c>
      <c r="X456" s="19">
        <f t="shared" ca="1" si="230"/>
        <v>0</v>
      </c>
      <c r="Y456" s="19">
        <f t="shared" ca="1" si="231"/>
        <v>0</v>
      </c>
      <c r="Z456" s="20">
        <f t="shared" ca="1" si="232"/>
        <v>0</v>
      </c>
      <c r="AA456" s="1">
        <f t="shared" si="215"/>
        <v>5432.58</v>
      </c>
      <c r="AB456" s="93"/>
      <c r="AC456" s="94"/>
      <c r="AD456" s="101">
        <f t="shared" si="216"/>
        <v>53904</v>
      </c>
      <c r="AE456" s="103">
        <f t="shared" si="217"/>
        <v>0</v>
      </c>
      <c r="AG456" s="1">
        <f t="shared" si="207"/>
        <v>0</v>
      </c>
      <c r="AH456" s="1">
        <f t="shared" si="222"/>
        <v>0</v>
      </c>
      <c r="AI456" s="1">
        <f t="shared" si="218"/>
        <v>5432.58</v>
      </c>
      <c r="AJ456" s="20">
        <f t="shared" si="220"/>
        <v>0</v>
      </c>
      <c r="AK456" s="100">
        <f t="shared" si="223"/>
        <v>0</v>
      </c>
      <c r="AL456" s="100">
        <f t="shared" si="224"/>
        <v>0</v>
      </c>
      <c r="AN456" s="100">
        <f t="shared" si="225"/>
        <v>4376.8060571145525</v>
      </c>
      <c r="AO456" s="20">
        <f t="shared" si="226"/>
        <v>0</v>
      </c>
      <c r="AQ456" s="109">
        <f t="shared" si="208"/>
        <v>0</v>
      </c>
      <c r="AU456" s="109">
        <f t="shared" si="209"/>
        <v>26.065707053316501</v>
      </c>
      <c r="AV456" s="101">
        <f t="shared" si="204"/>
        <v>53934</v>
      </c>
      <c r="AW456" s="99">
        <f t="shared" si="202"/>
        <v>0</v>
      </c>
      <c r="AX456" s="1">
        <f t="shared" si="210"/>
        <v>0</v>
      </c>
      <c r="AY456" s="29">
        <f t="shared" si="211"/>
        <v>0</v>
      </c>
      <c r="AZ456" s="1">
        <f t="shared" si="212"/>
        <v>0</v>
      </c>
      <c r="CB456" s="20">
        <f t="shared" si="221"/>
        <v>0</v>
      </c>
      <c r="CC456" s="173">
        <f t="shared" si="213"/>
        <v>0</v>
      </c>
    </row>
    <row r="457" spans="2:81" x14ac:dyDescent="0.25">
      <c r="B457" s="41"/>
      <c r="C457" s="42"/>
      <c r="D457" s="43"/>
      <c r="E457" s="44"/>
      <c r="F457" s="44"/>
      <c r="G457" s="45"/>
      <c r="H457" s="81" t="str">
        <f t="shared" si="203"/>
        <v/>
      </c>
      <c r="J457" s="7"/>
      <c r="K457" s="8"/>
      <c r="L457" s="16"/>
      <c r="M457" s="22"/>
      <c r="N457" s="22"/>
      <c r="O457" s="22"/>
      <c r="P457" s="22"/>
      <c r="Q457" s="1">
        <f t="shared" si="214"/>
        <v>0.60744618579017706</v>
      </c>
      <c r="R457" s="12">
        <f t="shared" ca="1" si="228"/>
        <v>12812</v>
      </c>
      <c r="S457" s="88">
        <f t="shared" si="233"/>
        <v>0</v>
      </c>
      <c r="T457" s="19">
        <f t="shared" si="206"/>
        <v>0</v>
      </c>
      <c r="U457" s="19">
        <f t="shared" si="227"/>
        <v>0</v>
      </c>
      <c r="V457" s="19">
        <f t="shared" si="219"/>
        <v>0</v>
      </c>
      <c r="W457" s="20">
        <f t="shared" ca="1" si="229"/>
        <v>0</v>
      </c>
      <c r="X457" s="19">
        <f t="shared" ca="1" si="230"/>
        <v>0</v>
      </c>
      <c r="Y457" s="19">
        <f t="shared" ca="1" si="231"/>
        <v>0</v>
      </c>
      <c r="Z457" s="20">
        <f t="shared" ca="1" si="232"/>
        <v>0</v>
      </c>
      <c r="AA457" s="1">
        <f t="shared" si="215"/>
        <v>5432.58</v>
      </c>
      <c r="AB457" s="91"/>
      <c r="AC457" s="92"/>
      <c r="AD457" s="101">
        <f t="shared" si="216"/>
        <v>53934</v>
      </c>
      <c r="AE457" s="103">
        <f t="shared" si="217"/>
        <v>0</v>
      </c>
      <c r="AG457" s="1">
        <f t="shared" si="207"/>
        <v>0</v>
      </c>
      <c r="AH457" s="1">
        <f t="shared" si="222"/>
        <v>0</v>
      </c>
      <c r="AI457" s="1">
        <f t="shared" si="218"/>
        <v>5432.58</v>
      </c>
      <c r="AJ457" s="20">
        <f t="shared" si="220"/>
        <v>0</v>
      </c>
      <c r="AK457" s="100">
        <f t="shared" si="223"/>
        <v>0</v>
      </c>
      <c r="AL457" s="100">
        <f t="shared" si="224"/>
        <v>0</v>
      </c>
      <c r="AN457" s="100">
        <f t="shared" si="225"/>
        <v>4374.5916162881304</v>
      </c>
      <c r="AO457" s="20">
        <f t="shared" si="226"/>
        <v>0</v>
      </c>
      <c r="AQ457" s="109">
        <f t="shared" si="208"/>
        <v>0</v>
      </c>
      <c r="AU457" s="109">
        <f t="shared" si="209"/>
        <v>26.063419264292197</v>
      </c>
      <c r="AV457" s="101">
        <f t="shared" si="204"/>
        <v>53964</v>
      </c>
      <c r="AW457" s="99">
        <f t="shared" si="202"/>
        <v>0</v>
      </c>
      <c r="AX457" s="1">
        <f t="shared" si="210"/>
        <v>0</v>
      </c>
      <c r="AY457" s="29">
        <f t="shared" si="211"/>
        <v>0</v>
      </c>
      <c r="AZ457" s="1">
        <f t="shared" si="212"/>
        <v>0</v>
      </c>
      <c r="CB457" s="20">
        <f t="shared" si="221"/>
        <v>0</v>
      </c>
      <c r="CC457" s="173">
        <f t="shared" si="213"/>
        <v>0</v>
      </c>
    </row>
    <row r="458" spans="2:81" x14ac:dyDescent="0.25">
      <c r="B458" s="41"/>
      <c r="C458" s="42"/>
      <c r="D458" s="43"/>
      <c r="E458" s="44"/>
      <c r="F458" s="44"/>
      <c r="G458" s="45"/>
      <c r="H458" s="81" t="str">
        <f t="shared" si="203"/>
        <v/>
      </c>
      <c r="J458" s="9"/>
      <c r="K458" s="10"/>
      <c r="L458" s="17"/>
      <c r="M458" s="23"/>
      <c r="N458" s="23"/>
      <c r="O458" s="23"/>
      <c r="P458" s="23"/>
      <c r="Q458" s="1">
        <f t="shared" si="214"/>
        <v>0.60744618579017706</v>
      </c>
      <c r="R458" s="12">
        <f t="shared" ca="1" si="228"/>
        <v>12842</v>
      </c>
      <c r="S458" s="88">
        <f t="shared" si="233"/>
        <v>0</v>
      </c>
      <c r="T458" s="19">
        <f t="shared" si="206"/>
        <v>0</v>
      </c>
      <c r="U458" s="19">
        <f t="shared" si="227"/>
        <v>0</v>
      </c>
      <c r="V458" s="19">
        <f t="shared" si="219"/>
        <v>0</v>
      </c>
      <c r="W458" s="20">
        <f t="shared" ca="1" si="229"/>
        <v>0</v>
      </c>
      <c r="X458" s="19">
        <f t="shared" ca="1" si="230"/>
        <v>0</v>
      </c>
      <c r="Y458" s="19">
        <f t="shared" ca="1" si="231"/>
        <v>0</v>
      </c>
      <c r="Z458" s="20">
        <f t="shared" ca="1" si="232"/>
        <v>0</v>
      </c>
      <c r="AA458" s="1">
        <f t="shared" si="215"/>
        <v>5432.58</v>
      </c>
      <c r="AB458" s="93"/>
      <c r="AC458" s="94"/>
      <c r="AD458" s="101">
        <f t="shared" si="216"/>
        <v>53964</v>
      </c>
      <c r="AE458" s="103">
        <f t="shared" si="217"/>
        <v>0</v>
      </c>
      <c r="AG458" s="1">
        <f t="shared" si="207"/>
        <v>0</v>
      </c>
      <c r="AH458" s="1">
        <f t="shared" si="222"/>
        <v>0</v>
      </c>
      <c r="AI458" s="1">
        <f t="shared" si="218"/>
        <v>5432.58</v>
      </c>
      <c r="AJ458" s="20">
        <f t="shared" si="220"/>
        <v>0</v>
      </c>
      <c r="AK458" s="100">
        <f t="shared" si="223"/>
        <v>0</v>
      </c>
      <c r="AL458" s="100">
        <f t="shared" si="224"/>
        <v>0</v>
      </c>
      <c r="AN458" s="100">
        <f t="shared" si="225"/>
        <v>4372.3782958559223</v>
      </c>
      <c r="AO458" s="20">
        <f t="shared" si="226"/>
        <v>0</v>
      </c>
      <c r="AQ458" s="109">
        <f t="shared" si="208"/>
        <v>0</v>
      </c>
      <c r="AU458" s="109">
        <f t="shared" si="209"/>
        <v>26.061131676067305</v>
      </c>
      <c r="AV458" s="101">
        <f t="shared" si="204"/>
        <v>53994</v>
      </c>
      <c r="AW458" s="99">
        <f t="shared" si="202"/>
        <v>0</v>
      </c>
      <c r="AX458" s="1">
        <f t="shared" si="210"/>
        <v>0</v>
      </c>
      <c r="AY458" s="29">
        <f t="shared" si="211"/>
        <v>0</v>
      </c>
      <c r="AZ458" s="1">
        <f t="shared" si="212"/>
        <v>0</v>
      </c>
      <c r="CB458" s="20">
        <f t="shared" si="221"/>
        <v>0</v>
      </c>
      <c r="CC458" s="173">
        <f t="shared" si="213"/>
        <v>0</v>
      </c>
    </row>
    <row r="459" spans="2:81" x14ac:dyDescent="0.25">
      <c r="B459" s="41"/>
      <c r="C459" s="42"/>
      <c r="D459" s="43"/>
      <c r="E459" s="44"/>
      <c r="F459" s="44"/>
      <c r="G459" s="45"/>
      <c r="H459" s="81" t="str">
        <f t="shared" si="203"/>
        <v/>
      </c>
      <c r="J459" s="7"/>
      <c r="K459" s="8"/>
      <c r="L459" s="16"/>
      <c r="M459" s="22"/>
      <c r="N459" s="22"/>
      <c r="O459" s="22"/>
      <c r="P459" s="22"/>
      <c r="Q459" s="1">
        <f t="shared" si="214"/>
        <v>0.60744618579017706</v>
      </c>
      <c r="R459" s="12">
        <f t="shared" ca="1" si="228"/>
        <v>12872</v>
      </c>
      <c r="S459" s="88">
        <f t="shared" si="233"/>
        <v>0</v>
      </c>
      <c r="T459" s="19">
        <f t="shared" si="206"/>
        <v>0</v>
      </c>
      <c r="U459" s="19">
        <f t="shared" si="227"/>
        <v>0</v>
      </c>
      <c r="V459" s="19">
        <f t="shared" si="219"/>
        <v>0</v>
      </c>
      <c r="W459" s="20">
        <f t="shared" ca="1" si="229"/>
        <v>0</v>
      </c>
      <c r="X459" s="19">
        <f t="shared" ca="1" si="230"/>
        <v>0</v>
      </c>
      <c r="Y459" s="19">
        <f t="shared" ca="1" si="231"/>
        <v>0</v>
      </c>
      <c r="Z459" s="20">
        <f t="shared" ca="1" si="232"/>
        <v>0</v>
      </c>
      <c r="AA459" s="1">
        <f t="shared" si="215"/>
        <v>5432.58</v>
      </c>
      <c r="AB459" s="91"/>
      <c r="AC459" s="92"/>
      <c r="AD459" s="101">
        <f t="shared" si="216"/>
        <v>53994</v>
      </c>
      <c r="AE459" s="103">
        <f t="shared" si="217"/>
        <v>0</v>
      </c>
      <c r="AG459" s="1">
        <f t="shared" si="207"/>
        <v>0</v>
      </c>
      <c r="AH459" s="1">
        <f t="shared" si="222"/>
        <v>0</v>
      </c>
      <c r="AI459" s="1">
        <f t="shared" si="218"/>
        <v>5432.58</v>
      </c>
      <c r="AJ459" s="20">
        <f t="shared" si="220"/>
        <v>0</v>
      </c>
      <c r="AK459" s="100">
        <f t="shared" si="223"/>
        <v>0</v>
      </c>
      <c r="AL459" s="100">
        <f t="shared" si="224"/>
        <v>0</v>
      </c>
      <c r="AN459" s="100">
        <f t="shared" si="225"/>
        <v>4370.1660952510638</v>
      </c>
      <c r="AO459" s="20">
        <f t="shared" si="226"/>
        <v>0</v>
      </c>
      <c r="AQ459" s="109">
        <f t="shared" si="208"/>
        <v>0</v>
      </c>
      <c r="AU459" s="109">
        <f t="shared" si="209"/>
        <v>26.05884428862419</v>
      </c>
      <c r="AV459" s="101">
        <f t="shared" si="204"/>
        <v>54024</v>
      </c>
      <c r="AW459" s="99">
        <f t="shared" si="202"/>
        <v>0</v>
      </c>
      <c r="AX459" s="1">
        <f t="shared" si="210"/>
        <v>0</v>
      </c>
      <c r="AY459" s="29">
        <f t="shared" si="211"/>
        <v>0</v>
      </c>
      <c r="AZ459" s="1">
        <f t="shared" si="212"/>
        <v>0</v>
      </c>
      <c r="CB459" s="20">
        <f t="shared" si="221"/>
        <v>0</v>
      </c>
      <c r="CC459" s="173">
        <f t="shared" si="213"/>
        <v>0</v>
      </c>
    </row>
    <row r="460" spans="2:81" x14ac:dyDescent="0.25">
      <c r="B460" s="41"/>
      <c r="C460" s="42"/>
      <c r="D460" s="43"/>
      <c r="E460" s="44"/>
      <c r="F460" s="44"/>
      <c r="G460" s="45"/>
      <c r="H460" s="81" t="str">
        <f t="shared" si="203"/>
        <v/>
      </c>
      <c r="J460" s="9"/>
      <c r="K460" s="10"/>
      <c r="L460" s="17"/>
      <c r="M460" s="23"/>
      <c r="N460" s="23"/>
      <c r="O460" s="23"/>
      <c r="P460" s="23"/>
      <c r="Q460" s="1">
        <f t="shared" si="214"/>
        <v>0.60744618579017706</v>
      </c>
      <c r="R460" s="12">
        <f t="shared" ca="1" si="228"/>
        <v>12902</v>
      </c>
      <c r="S460" s="88">
        <f t="shared" si="233"/>
        <v>0</v>
      </c>
      <c r="T460" s="19">
        <f t="shared" si="206"/>
        <v>0</v>
      </c>
      <c r="U460" s="19">
        <f t="shared" si="227"/>
        <v>0</v>
      </c>
      <c r="V460" s="19">
        <f t="shared" si="219"/>
        <v>0</v>
      </c>
      <c r="W460" s="20">
        <f t="shared" ca="1" si="229"/>
        <v>0</v>
      </c>
      <c r="X460" s="19">
        <f t="shared" ca="1" si="230"/>
        <v>0</v>
      </c>
      <c r="Y460" s="19">
        <f t="shared" ca="1" si="231"/>
        <v>0</v>
      </c>
      <c r="Z460" s="20">
        <f t="shared" ca="1" si="232"/>
        <v>0</v>
      </c>
      <c r="AA460" s="1">
        <f t="shared" si="215"/>
        <v>5432.58</v>
      </c>
      <c r="AB460" s="93"/>
      <c r="AC460" s="94"/>
      <c r="AD460" s="101">
        <f t="shared" si="216"/>
        <v>54024</v>
      </c>
      <c r="AE460" s="103">
        <f t="shared" si="217"/>
        <v>0</v>
      </c>
      <c r="AG460" s="1">
        <f t="shared" si="207"/>
        <v>0</v>
      </c>
      <c r="AH460" s="1">
        <f t="shared" si="222"/>
        <v>0</v>
      </c>
      <c r="AI460" s="1">
        <f t="shared" si="218"/>
        <v>5432.58</v>
      </c>
      <c r="AJ460" s="20">
        <f t="shared" si="220"/>
        <v>0</v>
      </c>
      <c r="AK460" s="100">
        <f t="shared" si="223"/>
        <v>0</v>
      </c>
      <c r="AL460" s="100">
        <f t="shared" si="224"/>
        <v>0</v>
      </c>
      <c r="AN460" s="100">
        <f t="shared" si="225"/>
        <v>4367.9550139069788</v>
      </c>
      <c r="AO460" s="20">
        <f t="shared" si="226"/>
        <v>0</v>
      </c>
      <c r="AQ460" s="109">
        <f t="shared" si="208"/>
        <v>0</v>
      </c>
      <c r="AU460" s="109">
        <f t="shared" si="209"/>
        <v>26.056557101945252</v>
      </c>
      <c r="AV460" s="101">
        <f t="shared" si="204"/>
        <v>54054</v>
      </c>
      <c r="AW460" s="99">
        <f t="shared" si="202"/>
        <v>0</v>
      </c>
      <c r="AX460" s="1">
        <f t="shared" si="210"/>
        <v>0</v>
      </c>
      <c r="AY460" s="29">
        <f t="shared" si="211"/>
        <v>0</v>
      </c>
      <c r="AZ460" s="1">
        <f t="shared" si="212"/>
        <v>0</v>
      </c>
      <c r="CB460" s="20">
        <f t="shared" si="221"/>
        <v>0</v>
      </c>
      <c r="CC460" s="173">
        <f t="shared" si="213"/>
        <v>0</v>
      </c>
    </row>
    <row r="461" spans="2:81" x14ac:dyDescent="0.25">
      <c r="B461" s="41"/>
      <c r="C461" s="42"/>
      <c r="D461" s="43"/>
      <c r="E461" s="44"/>
      <c r="F461" s="44"/>
      <c r="G461" s="45"/>
      <c r="H461" s="81" t="str">
        <f t="shared" si="203"/>
        <v/>
      </c>
      <c r="J461" s="7"/>
      <c r="K461" s="8"/>
      <c r="L461" s="16"/>
      <c r="M461" s="22"/>
      <c r="N461" s="22"/>
      <c r="O461" s="22"/>
      <c r="P461" s="22"/>
      <c r="Q461" s="1">
        <f t="shared" si="214"/>
        <v>0.60744618579017706</v>
      </c>
      <c r="R461" s="12">
        <f t="shared" ca="1" si="228"/>
        <v>12932</v>
      </c>
      <c r="S461" s="88">
        <f t="shared" si="233"/>
        <v>0</v>
      </c>
      <c r="T461" s="19">
        <f t="shared" si="206"/>
        <v>0</v>
      </c>
      <c r="U461" s="19">
        <f t="shared" si="227"/>
        <v>0</v>
      </c>
      <c r="V461" s="19">
        <f t="shared" si="219"/>
        <v>0</v>
      </c>
      <c r="W461" s="20">
        <f t="shared" ca="1" si="229"/>
        <v>0</v>
      </c>
      <c r="X461" s="19">
        <f t="shared" ca="1" si="230"/>
        <v>0</v>
      </c>
      <c r="Y461" s="19">
        <f t="shared" ca="1" si="231"/>
        <v>0</v>
      </c>
      <c r="Z461" s="20">
        <f t="shared" ca="1" si="232"/>
        <v>0</v>
      </c>
      <c r="AA461" s="1">
        <f t="shared" si="215"/>
        <v>5432.58</v>
      </c>
      <c r="AB461" s="91"/>
      <c r="AC461" s="92"/>
      <c r="AD461" s="101">
        <f t="shared" si="216"/>
        <v>54054</v>
      </c>
      <c r="AE461" s="103">
        <f t="shared" si="217"/>
        <v>0</v>
      </c>
      <c r="AG461" s="1">
        <f t="shared" si="207"/>
        <v>0</v>
      </c>
      <c r="AH461" s="1">
        <f t="shared" si="222"/>
        <v>0</v>
      </c>
      <c r="AI461" s="1">
        <f t="shared" si="218"/>
        <v>5432.58</v>
      </c>
      <c r="AJ461" s="20">
        <f t="shared" si="220"/>
        <v>0</v>
      </c>
      <c r="AK461" s="100">
        <f t="shared" si="223"/>
        <v>0</v>
      </c>
      <c r="AL461" s="100">
        <f t="shared" si="224"/>
        <v>0</v>
      </c>
      <c r="AN461" s="100">
        <f t="shared" si="225"/>
        <v>4365.7450512573796</v>
      </c>
      <c r="AO461" s="20">
        <f t="shared" si="226"/>
        <v>0</v>
      </c>
      <c r="AQ461" s="109">
        <f t="shared" si="208"/>
        <v>0</v>
      </c>
      <c r="AU461" s="109">
        <f t="shared" si="209"/>
        <v>26.05427011601283</v>
      </c>
      <c r="AV461" s="101">
        <f t="shared" si="204"/>
        <v>54084</v>
      </c>
      <c r="AW461" s="99">
        <f t="shared" si="202"/>
        <v>0</v>
      </c>
      <c r="AX461" s="1">
        <f t="shared" si="210"/>
        <v>0</v>
      </c>
      <c r="AY461" s="29">
        <f t="shared" si="211"/>
        <v>0</v>
      </c>
      <c r="AZ461" s="1">
        <f t="shared" si="212"/>
        <v>0</v>
      </c>
      <c r="CB461" s="20">
        <f t="shared" si="221"/>
        <v>0</v>
      </c>
      <c r="CC461" s="173">
        <f t="shared" si="213"/>
        <v>0</v>
      </c>
    </row>
    <row r="462" spans="2:81" x14ac:dyDescent="0.25">
      <c r="B462" s="41"/>
      <c r="C462" s="42"/>
      <c r="D462" s="43"/>
      <c r="E462" s="44"/>
      <c r="F462" s="44"/>
      <c r="G462" s="45"/>
      <c r="H462" s="81" t="str">
        <f t="shared" si="203"/>
        <v/>
      </c>
      <c r="J462" s="9"/>
      <c r="K462" s="10"/>
      <c r="L462" s="17"/>
      <c r="M462" s="23"/>
      <c r="N462" s="23"/>
      <c r="O462" s="23"/>
      <c r="P462" s="23"/>
      <c r="Q462" s="1">
        <f t="shared" si="214"/>
        <v>0.60744618579017706</v>
      </c>
      <c r="R462" s="12">
        <f t="shared" ca="1" si="228"/>
        <v>12962</v>
      </c>
      <c r="S462" s="88">
        <f t="shared" si="233"/>
        <v>0</v>
      </c>
      <c r="T462" s="19">
        <f t="shared" si="206"/>
        <v>0</v>
      </c>
      <c r="U462" s="19">
        <f t="shared" si="227"/>
        <v>0</v>
      </c>
      <c r="V462" s="19">
        <f t="shared" si="219"/>
        <v>0</v>
      </c>
      <c r="W462" s="20">
        <f t="shared" ca="1" si="229"/>
        <v>0</v>
      </c>
      <c r="X462" s="19">
        <f t="shared" ca="1" si="230"/>
        <v>0</v>
      </c>
      <c r="Y462" s="19">
        <f t="shared" ca="1" si="231"/>
        <v>0</v>
      </c>
      <c r="Z462" s="20">
        <f t="shared" ca="1" si="232"/>
        <v>0</v>
      </c>
      <c r="AA462" s="1">
        <f t="shared" si="215"/>
        <v>5432.58</v>
      </c>
      <c r="AB462" s="93"/>
      <c r="AC462" s="94"/>
      <c r="AD462" s="101">
        <f t="shared" si="216"/>
        <v>54084</v>
      </c>
      <c r="AE462" s="103">
        <f t="shared" si="217"/>
        <v>0</v>
      </c>
      <c r="AG462" s="1">
        <f t="shared" si="207"/>
        <v>0</v>
      </c>
      <c r="AH462" s="1">
        <f t="shared" si="222"/>
        <v>0</v>
      </c>
      <c r="AI462" s="1">
        <f t="shared" si="218"/>
        <v>5432.58</v>
      </c>
      <c r="AJ462" s="20">
        <f t="shared" si="220"/>
        <v>0</v>
      </c>
      <c r="AK462" s="100">
        <f t="shared" si="223"/>
        <v>0</v>
      </c>
      <c r="AL462" s="100">
        <f t="shared" si="224"/>
        <v>0</v>
      </c>
      <c r="AN462" s="100">
        <f t="shared" si="225"/>
        <v>4363.5362067362621</v>
      </c>
      <c r="AO462" s="20">
        <f t="shared" si="226"/>
        <v>0</v>
      </c>
      <c r="AQ462" s="109">
        <f t="shared" si="208"/>
        <v>0</v>
      </c>
      <c r="AU462" s="109">
        <f t="shared" si="209"/>
        <v>26.051983330809371</v>
      </c>
      <c r="AV462" s="101">
        <f t="shared" si="204"/>
        <v>54114</v>
      </c>
      <c r="AW462" s="99">
        <f t="shared" si="202"/>
        <v>0</v>
      </c>
      <c r="AX462" s="1">
        <f t="shared" si="210"/>
        <v>0</v>
      </c>
      <c r="AY462" s="29">
        <f t="shared" si="211"/>
        <v>0</v>
      </c>
      <c r="AZ462" s="1">
        <f t="shared" si="212"/>
        <v>0</v>
      </c>
      <c r="CB462" s="20">
        <f t="shared" si="221"/>
        <v>0</v>
      </c>
      <c r="CC462" s="173">
        <f t="shared" si="213"/>
        <v>0</v>
      </c>
    </row>
    <row r="463" spans="2:81" x14ac:dyDescent="0.25">
      <c r="B463" s="41"/>
      <c r="C463" s="42"/>
      <c r="D463" s="43"/>
      <c r="E463" s="44"/>
      <c r="F463" s="44"/>
      <c r="G463" s="45"/>
      <c r="H463" s="81" t="str">
        <f t="shared" si="203"/>
        <v/>
      </c>
      <c r="J463" s="7"/>
      <c r="K463" s="8"/>
      <c r="L463" s="16"/>
      <c r="M463" s="22"/>
      <c r="N463" s="22"/>
      <c r="O463" s="22"/>
      <c r="P463" s="22"/>
      <c r="Q463" s="1">
        <f t="shared" si="214"/>
        <v>0.60744618579017706</v>
      </c>
      <c r="R463" s="12">
        <f t="shared" ca="1" si="228"/>
        <v>12992</v>
      </c>
      <c r="S463" s="88">
        <f t="shared" si="233"/>
        <v>0</v>
      </c>
      <c r="T463" s="19">
        <f t="shared" si="206"/>
        <v>0</v>
      </c>
      <c r="U463" s="19">
        <f t="shared" si="227"/>
        <v>0</v>
      </c>
      <c r="V463" s="19">
        <f t="shared" si="219"/>
        <v>0</v>
      </c>
      <c r="W463" s="20">
        <f t="shared" ca="1" si="229"/>
        <v>0</v>
      </c>
      <c r="X463" s="19">
        <f t="shared" ca="1" si="230"/>
        <v>0</v>
      </c>
      <c r="Y463" s="19">
        <f t="shared" ca="1" si="231"/>
        <v>0</v>
      </c>
      <c r="Z463" s="20">
        <f t="shared" ca="1" si="232"/>
        <v>0</v>
      </c>
      <c r="AA463" s="1">
        <f t="shared" si="215"/>
        <v>5432.58</v>
      </c>
      <c r="AB463" s="91"/>
      <c r="AC463" s="92"/>
      <c r="AD463" s="101">
        <f t="shared" si="216"/>
        <v>54114</v>
      </c>
      <c r="AE463" s="103">
        <f t="shared" si="217"/>
        <v>0</v>
      </c>
      <c r="AG463" s="1">
        <f t="shared" si="207"/>
        <v>0</v>
      </c>
      <c r="AH463" s="1">
        <f t="shared" si="222"/>
        <v>0</v>
      </c>
      <c r="AI463" s="1">
        <f t="shared" si="218"/>
        <v>5432.58</v>
      </c>
      <c r="AJ463" s="20">
        <f t="shared" si="220"/>
        <v>0</v>
      </c>
      <c r="AK463" s="100">
        <f t="shared" si="223"/>
        <v>0</v>
      </c>
      <c r="AL463" s="100">
        <f t="shared" si="224"/>
        <v>0</v>
      </c>
      <c r="AN463" s="100">
        <f t="shared" si="225"/>
        <v>4361.3284797779143</v>
      </c>
      <c r="AO463" s="20">
        <f t="shared" si="226"/>
        <v>0</v>
      </c>
      <c r="AQ463" s="109">
        <f t="shared" si="208"/>
        <v>0</v>
      </c>
      <c r="AU463" s="109">
        <f t="shared" si="209"/>
        <v>26.049696746317192</v>
      </c>
      <c r="AV463" s="101">
        <f t="shared" si="204"/>
        <v>54144</v>
      </c>
      <c r="AW463" s="99">
        <f t="shared" si="202"/>
        <v>0</v>
      </c>
      <c r="AX463" s="1">
        <f t="shared" si="210"/>
        <v>0</v>
      </c>
      <c r="AY463" s="29">
        <f t="shared" si="211"/>
        <v>0</v>
      </c>
      <c r="AZ463" s="1">
        <f t="shared" si="212"/>
        <v>0</v>
      </c>
      <c r="CB463" s="20">
        <f t="shared" si="221"/>
        <v>0</v>
      </c>
      <c r="CC463" s="173">
        <f t="shared" si="213"/>
        <v>0</v>
      </c>
    </row>
    <row r="464" spans="2:81" x14ac:dyDescent="0.25">
      <c r="B464" s="41"/>
      <c r="C464" s="42"/>
      <c r="D464" s="43"/>
      <c r="E464" s="44"/>
      <c r="F464" s="44"/>
      <c r="G464" s="45"/>
      <c r="H464" s="81" t="str">
        <f t="shared" si="203"/>
        <v/>
      </c>
      <c r="J464" s="9"/>
      <c r="K464" s="10"/>
      <c r="L464" s="17"/>
      <c r="M464" s="23"/>
      <c r="N464" s="23"/>
      <c r="O464" s="23"/>
      <c r="P464" s="23"/>
      <c r="Q464" s="1">
        <f t="shared" si="214"/>
        <v>0.60744618579017706</v>
      </c>
      <c r="R464" s="12">
        <f t="shared" ca="1" si="228"/>
        <v>13022</v>
      </c>
      <c r="S464" s="88">
        <f t="shared" si="233"/>
        <v>0</v>
      </c>
      <c r="T464" s="19">
        <f t="shared" si="206"/>
        <v>0</v>
      </c>
      <c r="U464" s="19">
        <f t="shared" si="227"/>
        <v>0</v>
      </c>
      <c r="V464" s="19">
        <f t="shared" si="219"/>
        <v>0</v>
      </c>
      <c r="W464" s="20">
        <f t="shared" ca="1" si="229"/>
        <v>0</v>
      </c>
      <c r="X464" s="19">
        <f t="shared" ca="1" si="230"/>
        <v>0</v>
      </c>
      <c r="Y464" s="19">
        <f t="shared" ca="1" si="231"/>
        <v>0</v>
      </c>
      <c r="Z464" s="20">
        <f t="shared" ca="1" si="232"/>
        <v>0</v>
      </c>
      <c r="AA464" s="1">
        <f t="shared" si="215"/>
        <v>5432.58</v>
      </c>
      <c r="AB464" s="93"/>
      <c r="AC464" s="94"/>
      <c r="AD464" s="101">
        <f t="shared" si="216"/>
        <v>54144</v>
      </c>
      <c r="AE464" s="103">
        <f t="shared" si="217"/>
        <v>0</v>
      </c>
      <c r="AG464" s="1">
        <f t="shared" si="207"/>
        <v>0</v>
      </c>
      <c r="AH464" s="1">
        <f t="shared" si="222"/>
        <v>0</v>
      </c>
      <c r="AI464" s="1">
        <f t="shared" si="218"/>
        <v>5432.58</v>
      </c>
      <c r="AJ464" s="20">
        <f t="shared" si="220"/>
        <v>0</v>
      </c>
      <c r="AK464" s="100">
        <f t="shared" si="223"/>
        <v>0</v>
      </c>
      <c r="AL464" s="100">
        <f t="shared" si="224"/>
        <v>0</v>
      </c>
      <c r="AN464" s="100">
        <f t="shared" si="225"/>
        <v>4359.1218698169005</v>
      </c>
      <c r="AO464" s="20">
        <f t="shared" si="226"/>
        <v>0</v>
      </c>
      <c r="AQ464" s="109">
        <f t="shared" si="208"/>
        <v>0</v>
      </c>
      <c r="AU464" s="109">
        <f t="shared" si="209"/>
        <v>26.047410362518715</v>
      </c>
      <c r="AV464" s="101">
        <f t="shared" si="204"/>
        <v>54174</v>
      </c>
      <c r="AW464" s="99">
        <f t="shared" si="202"/>
        <v>0</v>
      </c>
      <c r="AX464" s="1">
        <f t="shared" si="210"/>
        <v>0</v>
      </c>
      <c r="AY464" s="29">
        <f t="shared" si="211"/>
        <v>0</v>
      </c>
      <c r="AZ464" s="1">
        <f t="shared" si="212"/>
        <v>0</v>
      </c>
      <c r="CB464" s="20">
        <f t="shared" si="221"/>
        <v>0</v>
      </c>
      <c r="CC464" s="173">
        <f t="shared" si="213"/>
        <v>0</v>
      </c>
    </row>
    <row r="465" spans="2:81" x14ac:dyDescent="0.25">
      <c r="B465" s="41"/>
      <c r="C465" s="42"/>
      <c r="D465" s="43"/>
      <c r="E465" s="44"/>
      <c r="F465" s="44"/>
      <c r="G465" s="45"/>
      <c r="H465" s="81" t="str">
        <f t="shared" si="203"/>
        <v/>
      </c>
      <c r="J465" s="7"/>
      <c r="K465" s="8"/>
      <c r="L465" s="16"/>
      <c r="M465" s="22"/>
      <c r="N465" s="22"/>
      <c r="O465" s="22"/>
      <c r="P465" s="22"/>
      <c r="Q465" s="1">
        <f t="shared" si="214"/>
        <v>0.60744618579017706</v>
      </c>
      <c r="R465" s="12">
        <f t="shared" ca="1" si="228"/>
        <v>13052</v>
      </c>
      <c r="S465" s="88">
        <f t="shared" si="233"/>
        <v>0</v>
      </c>
      <c r="T465" s="19">
        <f t="shared" si="206"/>
        <v>0</v>
      </c>
      <c r="U465" s="19">
        <f t="shared" si="227"/>
        <v>0</v>
      </c>
      <c r="V465" s="19">
        <f t="shared" si="219"/>
        <v>0</v>
      </c>
      <c r="W465" s="20">
        <f t="shared" ca="1" si="229"/>
        <v>0</v>
      </c>
      <c r="X465" s="19">
        <f t="shared" ca="1" si="230"/>
        <v>0</v>
      </c>
      <c r="Y465" s="19">
        <f t="shared" ca="1" si="231"/>
        <v>0</v>
      </c>
      <c r="Z465" s="20">
        <f t="shared" ca="1" si="232"/>
        <v>0</v>
      </c>
      <c r="AA465" s="1">
        <f t="shared" si="215"/>
        <v>5432.58</v>
      </c>
      <c r="AB465" s="91"/>
      <c r="AC465" s="92"/>
      <c r="AD465" s="101">
        <f t="shared" si="216"/>
        <v>54174</v>
      </c>
      <c r="AE465" s="103">
        <f t="shared" si="217"/>
        <v>0</v>
      </c>
      <c r="AG465" s="1">
        <f t="shared" si="207"/>
        <v>0</v>
      </c>
      <c r="AH465" s="1">
        <f t="shared" si="222"/>
        <v>0</v>
      </c>
      <c r="AI465" s="1">
        <f t="shared" si="218"/>
        <v>5432.58</v>
      </c>
      <c r="AJ465" s="20">
        <f t="shared" si="220"/>
        <v>0</v>
      </c>
      <c r="AK465" s="100">
        <f t="shared" si="223"/>
        <v>0</v>
      </c>
      <c r="AL465" s="100">
        <f t="shared" si="224"/>
        <v>0</v>
      </c>
      <c r="AN465" s="100">
        <f t="shared" si="225"/>
        <v>4356.9163762880808</v>
      </c>
      <c r="AO465" s="20">
        <f t="shared" si="226"/>
        <v>0</v>
      </c>
      <c r="AQ465" s="109">
        <f t="shared" si="208"/>
        <v>0</v>
      </c>
      <c r="AU465" s="109">
        <f t="shared" si="209"/>
        <v>26.0451241793963</v>
      </c>
      <c r="AV465" s="101">
        <f t="shared" si="204"/>
        <v>54204</v>
      </c>
      <c r="AW465" s="99">
        <f t="shared" ref="AW465:AW501" si="234">IF(AJ466&lt;0,0,AJ466)</f>
        <v>0</v>
      </c>
      <c r="AX465" s="1">
        <f t="shared" si="210"/>
        <v>0</v>
      </c>
      <c r="AY465" s="29">
        <f t="shared" si="211"/>
        <v>0</v>
      </c>
      <c r="AZ465" s="1">
        <f t="shared" si="212"/>
        <v>0</v>
      </c>
      <c r="CB465" s="20">
        <f t="shared" si="221"/>
        <v>0</v>
      </c>
      <c r="CC465" s="173">
        <f t="shared" si="213"/>
        <v>0</v>
      </c>
    </row>
    <row r="466" spans="2:81" x14ac:dyDescent="0.25">
      <c r="B466" s="41"/>
      <c r="C466" s="42"/>
      <c r="D466" s="43"/>
      <c r="E466" s="44"/>
      <c r="F466" s="44"/>
      <c r="G466" s="45"/>
      <c r="H466" s="81" t="str">
        <f t="shared" si="203"/>
        <v/>
      </c>
      <c r="J466" s="9"/>
      <c r="K466" s="10"/>
      <c r="L466" s="17"/>
      <c r="M466" s="23"/>
      <c r="N466" s="23"/>
      <c r="O466" s="23"/>
      <c r="P466" s="23"/>
      <c r="Q466" s="1">
        <f t="shared" si="214"/>
        <v>0.60744618579017706</v>
      </c>
      <c r="R466" s="12">
        <f t="shared" ca="1" si="228"/>
        <v>13082</v>
      </c>
      <c r="S466" s="88">
        <f t="shared" si="233"/>
        <v>0</v>
      </c>
      <c r="T466" s="19">
        <f t="shared" si="206"/>
        <v>0</v>
      </c>
      <c r="U466" s="19">
        <f t="shared" si="227"/>
        <v>0</v>
      </c>
      <c r="V466" s="19">
        <f t="shared" si="219"/>
        <v>0</v>
      </c>
      <c r="W466" s="20">
        <f t="shared" ca="1" si="229"/>
        <v>0</v>
      </c>
      <c r="X466" s="19">
        <f t="shared" ca="1" si="230"/>
        <v>0</v>
      </c>
      <c r="Y466" s="19">
        <f t="shared" ca="1" si="231"/>
        <v>0</v>
      </c>
      <c r="Z466" s="20">
        <f t="shared" ca="1" si="232"/>
        <v>0</v>
      </c>
      <c r="AA466" s="1">
        <f t="shared" si="215"/>
        <v>5432.58</v>
      </c>
      <c r="AB466" s="93"/>
      <c r="AC466" s="94"/>
      <c r="AD466" s="101">
        <f t="shared" si="216"/>
        <v>54204</v>
      </c>
      <c r="AE466" s="103">
        <f t="shared" si="217"/>
        <v>0</v>
      </c>
      <c r="AG466" s="1">
        <f t="shared" si="207"/>
        <v>0</v>
      </c>
      <c r="AH466" s="1">
        <f t="shared" si="222"/>
        <v>0</v>
      </c>
      <c r="AI466" s="1">
        <f t="shared" si="218"/>
        <v>5432.58</v>
      </c>
      <c r="AJ466" s="20">
        <f t="shared" si="220"/>
        <v>0</v>
      </c>
      <c r="AK466" s="100">
        <f t="shared" si="223"/>
        <v>0</v>
      </c>
      <c r="AL466" s="100">
        <f t="shared" si="224"/>
        <v>0</v>
      </c>
      <c r="AN466" s="100">
        <f t="shared" si="225"/>
        <v>4354.711998626598</v>
      </c>
      <c r="AO466" s="20">
        <f t="shared" si="226"/>
        <v>0</v>
      </c>
      <c r="AQ466" s="109">
        <f t="shared" si="208"/>
        <v>0</v>
      </c>
      <c r="AU466" s="109">
        <f t="shared" si="209"/>
        <v>26.042838196932347</v>
      </c>
      <c r="AV466" s="101">
        <f t="shared" si="204"/>
        <v>54234</v>
      </c>
      <c r="AW466" s="99">
        <f t="shared" si="234"/>
        <v>0</v>
      </c>
      <c r="AX466" s="1">
        <f t="shared" si="210"/>
        <v>0</v>
      </c>
      <c r="AY466" s="29">
        <f t="shared" si="211"/>
        <v>0</v>
      </c>
      <c r="AZ466" s="1">
        <f t="shared" si="212"/>
        <v>0</v>
      </c>
      <c r="CB466" s="20">
        <f t="shared" si="221"/>
        <v>0</v>
      </c>
      <c r="CC466" s="173">
        <f t="shared" si="213"/>
        <v>0</v>
      </c>
    </row>
    <row r="467" spans="2:81" x14ac:dyDescent="0.25">
      <c r="B467" s="41"/>
      <c r="C467" s="42"/>
      <c r="D467" s="43"/>
      <c r="E467" s="44"/>
      <c r="F467" s="44"/>
      <c r="G467" s="45"/>
      <c r="H467" s="81" t="str">
        <f t="shared" si="203"/>
        <v/>
      </c>
      <c r="J467" s="7"/>
      <c r="K467" s="8"/>
      <c r="L467" s="16"/>
      <c r="M467" s="22"/>
      <c r="N467" s="22"/>
      <c r="O467" s="22"/>
      <c r="P467" s="22"/>
      <c r="Q467" s="1">
        <f t="shared" si="214"/>
        <v>0.60744618579017706</v>
      </c>
      <c r="R467" s="12">
        <f t="shared" ca="1" si="228"/>
        <v>13112</v>
      </c>
      <c r="S467" s="88">
        <f t="shared" si="233"/>
        <v>0</v>
      </c>
      <c r="T467" s="19">
        <f t="shared" si="206"/>
        <v>0</v>
      </c>
      <c r="U467" s="19">
        <f t="shared" si="227"/>
        <v>0</v>
      </c>
      <c r="V467" s="19">
        <f t="shared" si="219"/>
        <v>0</v>
      </c>
      <c r="W467" s="20">
        <f t="shared" ca="1" si="229"/>
        <v>0</v>
      </c>
      <c r="X467" s="19">
        <f t="shared" ca="1" si="230"/>
        <v>0</v>
      </c>
      <c r="Y467" s="19">
        <f t="shared" ca="1" si="231"/>
        <v>0</v>
      </c>
      <c r="Z467" s="20">
        <f t="shared" ca="1" si="232"/>
        <v>0</v>
      </c>
      <c r="AA467" s="1">
        <f t="shared" si="215"/>
        <v>5432.58</v>
      </c>
      <c r="AB467" s="91"/>
      <c r="AC467" s="92"/>
      <c r="AD467" s="101">
        <f t="shared" si="216"/>
        <v>54234</v>
      </c>
      <c r="AE467" s="103">
        <f t="shared" si="217"/>
        <v>0</v>
      </c>
      <c r="AG467" s="1">
        <f t="shared" si="207"/>
        <v>0</v>
      </c>
      <c r="AH467" s="1">
        <f t="shared" si="222"/>
        <v>0</v>
      </c>
      <c r="AI467" s="1">
        <f t="shared" si="218"/>
        <v>5432.58</v>
      </c>
      <c r="AJ467" s="20">
        <f t="shared" si="220"/>
        <v>0</v>
      </c>
      <c r="AK467" s="100">
        <f t="shared" si="223"/>
        <v>0</v>
      </c>
      <c r="AL467" s="100">
        <f t="shared" si="224"/>
        <v>0</v>
      </c>
      <c r="AN467" s="100">
        <f t="shared" si="225"/>
        <v>4352.5087362678769</v>
      </c>
      <c r="AO467" s="20">
        <f t="shared" si="226"/>
        <v>0</v>
      </c>
      <c r="AQ467" s="109">
        <f t="shared" si="208"/>
        <v>0</v>
      </c>
      <c r="AU467" s="109">
        <f t="shared" si="209"/>
        <v>26.040552415109243</v>
      </c>
      <c r="AV467" s="101">
        <f t="shared" si="204"/>
        <v>54264</v>
      </c>
      <c r="AW467" s="99">
        <f t="shared" si="234"/>
        <v>0</v>
      </c>
      <c r="AX467" s="1">
        <f t="shared" si="210"/>
        <v>0</v>
      </c>
      <c r="AY467" s="29">
        <f t="shared" si="211"/>
        <v>0</v>
      </c>
      <c r="AZ467" s="1">
        <f t="shared" si="212"/>
        <v>0</v>
      </c>
      <c r="CB467" s="20">
        <f t="shared" si="221"/>
        <v>0</v>
      </c>
      <c r="CC467" s="173">
        <f t="shared" si="213"/>
        <v>0</v>
      </c>
    </row>
    <row r="468" spans="2:81" x14ac:dyDescent="0.25">
      <c r="B468" s="41"/>
      <c r="C468" s="42"/>
      <c r="D468" s="43"/>
      <c r="E468" s="44"/>
      <c r="F468" s="44"/>
      <c r="G468" s="45"/>
      <c r="H468" s="81" t="str">
        <f t="shared" si="203"/>
        <v/>
      </c>
      <c r="J468" s="9"/>
      <c r="K468" s="10"/>
      <c r="L468" s="17"/>
      <c r="M468" s="23"/>
      <c r="N468" s="23"/>
      <c r="O468" s="23"/>
      <c r="P468" s="23"/>
      <c r="Q468" s="1">
        <f t="shared" si="214"/>
        <v>0.60744618579017706</v>
      </c>
      <c r="R468" s="12">
        <f t="shared" ca="1" si="228"/>
        <v>13142</v>
      </c>
      <c r="S468" s="88">
        <f t="shared" si="233"/>
        <v>0</v>
      </c>
      <c r="T468" s="19">
        <f t="shared" si="206"/>
        <v>0</v>
      </c>
      <c r="U468" s="19">
        <f t="shared" si="227"/>
        <v>0</v>
      </c>
      <c r="V468" s="19">
        <f t="shared" si="219"/>
        <v>0</v>
      </c>
      <c r="W468" s="20">
        <f t="shared" ca="1" si="229"/>
        <v>0</v>
      </c>
      <c r="X468" s="19">
        <f t="shared" ca="1" si="230"/>
        <v>0</v>
      </c>
      <c r="Y468" s="19">
        <f t="shared" ca="1" si="231"/>
        <v>0</v>
      </c>
      <c r="Z468" s="20">
        <f t="shared" ca="1" si="232"/>
        <v>0</v>
      </c>
      <c r="AA468" s="1">
        <f t="shared" si="215"/>
        <v>5432.58</v>
      </c>
      <c r="AB468" s="93"/>
      <c r="AC468" s="94"/>
      <c r="AD468" s="101">
        <f t="shared" si="216"/>
        <v>54264</v>
      </c>
      <c r="AE468" s="103">
        <f t="shared" si="217"/>
        <v>0</v>
      </c>
      <c r="AG468" s="1">
        <f t="shared" si="207"/>
        <v>0</v>
      </c>
      <c r="AH468" s="1">
        <f t="shared" si="222"/>
        <v>0</v>
      </c>
      <c r="AI468" s="1">
        <f t="shared" si="218"/>
        <v>5432.58</v>
      </c>
      <c r="AJ468" s="20">
        <f t="shared" si="220"/>
        <v>0</v>
      </c>
      <c r="AK468" s="100">
        <f t="shared" si="223"/>
        <v>0</v>
      </c>
      <c r="AL468" s="100">
        <f t="shared" si="224"/>
        <v>0</v>
      </c>
      <c r="AN468" s="100">
        <f t="shared" si="225"/>
        <v>4350.3065886476334</v>
      </c>
      <c r="AO468" s="20">
        <f t="shared" si="226"/>
        <v>0</v>
      </c>
      <c r="AQ468" s="109">
        <f t="shared" si="208"/>
        <v>0</v>
      </c>
      <c r="AU468" s="109">
        <f t="shared" si="209"/>
        <v>26.038266833909379</v>
      </c>
      <c r="AV468" s="101">
        <f t="shared" si="204"/>
        <v>54294</v>
      </c>
      <c r="AW468" s="99">
        <f t="shared" si="234"/>
        <v>0</v>
      </c>
      <c r="AX468" s="1">
        <f t="shared" si="210"/>
        <v>0</v>
      </c>
      <c r="AY468" s="29">
        <f t="shared" si="211"/>
        <v>0</v>
      </c>
      <c r="AZ468" s="1">
        <f t="shared" si="212"/>
        <v>0</v>
      </c>
      <c r="CB468" s="20">
        <f t="shared" si="221"/>
        <v>0</v>
      </c>
      <c r="CC468" s="173">
        <f t="shared" si="213"/>
        <v>0</v>
      </c>
    </row>
    <row r="469" spans="2:81" x14ac:dyDescent="0.25">
      <c r="B469" s="41"/>
      <c r="C469" s="42"/>
      <c r="D469" s="43"/>
      <c r="E469" s="44"/>
      <c r="F469" s="44"/>
      <c r="G469" s="45"/>
      <c r="H469" s="81" t="str">
        <f t="shared" si="203"/>
        <v/>
      </c>
      <c r="J469" s="7"/>
      <c r="K469" s="8"/>
      <c r="L469" s="16"/>
      <c r="M469" s="22"/>
      <c r="N469" s="22"/>
      <c r="O469" s="22"/>
      <c r="P469" s="22"/>
      <c r="Q469" s="1">
        <f t="shared" si="214"/>
        <v>0.60744618579017706</v>
      </c>
      <c r="R469" s="12">
        <f t="shared" ca="1" si="228"/>
        <v>13172</v>
      </c>
      <c r="S469" s="88">
        <f t="shared" si="233"/>
        <v>0</v>
      </c>
      <c r="T469" s="19">
        <f t="shared" si="206"/>
        <v>0</v>
      </c>
      <c r="U469" s="19">
        <f t="shared" si="227"/>
        <v>0</v>
      </c>
      <c r="V469" s="19">
        <f t="shared" si="219"/>
        <v>0</v>
      </c>
      <c r="W469" s="20">
        <f t="shared" ca="1" si="229"/>
        <v>0</v>
      </c>
      <c r="X469" s="19">
        <f t="shared" ca="1" si="230"/>
        <v>0</v>
      </c>
      <c r="Y469" s="19">
        <f t="shared" ca="1" si="231"/>
        <v>0</v>
      </c>
      <c r="Z469" s="20">
        <f t="shared" ca="1" si="232"/>
        <v>0</v>
      </c>
      <c r="AA469" s="1">
        <f t="shared" si="215"/>
        <v>5432.58</v>
      </c>
      <c r="AB469" s="91"/>
      <c r="AC469" s="92"/>
      <c r="AD469" s="101">
        <f t="shared" si="216"/>
        <v>54294</v>
      </c>
      <c r="AE469" s="103">
        <f t="shared" si="217"/>
        <v>0</v>
      </c>
      <c r="AG469" s="1">
        <f t="shared" si="207"/>
        <v>0</v>
      </c>
      <c r="AH469" s="1">
        <f t="shared" si="222"/>
        <v>0</v>
      </c>
      <c r="AI469" s="1">
        <f t="shared" si="218"/>
        <v>5432.58</v>
      </c>
      <c r="AJ469" s="20">
        <f t="shared" si="220"/>
        <v>0</v>
      </c>
      <c r="AK469" s="100">
        <f t="shared" si="223"/>
        <v>0</v>
      </c>
      <c r="AL469" s="100">
        <f t="shared" si="224"/>
        <v>0</v>
      </c>
      <c r="AN469" s="100">
        <f t="shared" si="225"/>
        <v>4348.1055552018652</v>
      </c>
      <c r="AO469" s="20">
        <f t="shared" si="226"/>
        <v>0</v>
      </c>
      <c r="AQ469" s="109">
        <f t="shared" si="208"/>
        <v>0</v>
      </c>
      <c r="AU469" s="109">
        <f t="shared" si="209"/>
        <v>26.035981453315149</v>
      </c>
      <c r="AV469" s="101">
        <f t="shared" si="204"/>
        <v>54324</v>
      </c>
      <c r="AW469" s="99">
        <f t="shared" si="234"/>
        <v>0</v>
      </c>
      <c r="AX469" s="1">
        <f t="shared" si="210"/>
        <v>0</v>
      </c>
      <c r="AY469" s="29">
        <f t="shared" si="211"/>
        <v>0</v>
      </c>
      <c r="AZ469" s="1">
        <f t="shared" si="212"/>
        <v>0</v>
      </c>
      <c r="CB469" s="20">
        <f t="shared" si="221"/>
        <v>0</v>
      </c>
      <c r="CC469" s="173">
        <f t="shared" si="213"/>
        <v>0</v>
      </c>
    </row>
    <row r="470" spans="2:81" x14ac:dyDescent="0.25">
      <c r="B470" s="41"/>
      <c r="C470" s="42"/>
      <c r="D470" s="43"/>
      <c r="E470" s="44"/>
      <c r="F470" s="44"/>
      <c r="G470" s="45"/>
      <c r="H470" s="81" t="str">
        <f t="shared" ref="H470:H533" si="235">IF(ISERROR(VLOOKUP(C468,AB:AC,2,0)),"",VLOOKUP(C468,AB:AC,2,0))</f>
        <v/>
      </c>
      <c r="J470" s="9"/>
      <c r="K470" s="10"/>
      <c r="L470" s="17"/>
      <c r="M470" s="23"/>
      <c r="N470" s="23"/>
      <c r="O470" s="23"/>
      <c r="P470" s="23"/>
      <c r="Q470" s="1">
        <f t="shared" si="214"/>
        <v>0.60744618579017706</v>
      </c>
      <c r="R470" s="12">
        <f t="shared" ca="1" si="228"/>
        <v>13202</v>
      </c>
      <c r="S470" s="88">
        <f t="shared" si="233"/>
        <v>0</v>
      </c>
      <c r="T470" s="19">
        <f t="shared" si="206"/>
        <v>0</v>
      </c>
      <c r="U470" s="19">
        <f t="shared" si="227"/>
        <v>0</v>
      </c>
      <c r="V470" s="19">
        <f t="shared" si="219"/>
        <v>0</v>
      </c>
      <c r="W470" s="20">
        <f t="shared" ca="1" si="229"/>
        <v>0</v>
      </c>
      <c r="X470" s="19">
        <f t="shared" ca="1" si="230"/>
        <v>0</v>
      </c>
      <c r="Y470" s="19">
        <f t="shared" ca="1" si="231"/>
        <v>0</v>
      </c>
      <c r="Z470" s="20">
        <f t="shared" ca="1" si="232"/>
        <v>0</v>
      </c>
      <c r="AA470" s="1">
        <f t="shared" si="215"/>
        <v>5432.58</v>
      </c>
      <c r="AB470" s="93"/>
      <c r="AC470" s="94"/>
      <c r="AD470" s="101">
        <f t="shared" si="216"/>
        <v>54324</v>
      </c>
      <c r="AE470" s="103">
        <f t="shared" si="217"/>
        <v>0</v>
      </c>
      <c r="AG470" s="1">
        <f t="shared" si="207"/>
        <v>0</v>
      </c>
      <c r="AH470" s="1">
        <f t="shared" si="222"/>
        <v>0</v>
      </c>
      <c r="AI470" s="1">
        <f t="shared" si="218"/>
        <v>5432.58</v>
      </c>
      <c r="AJ470" s="20">
        <f t="shared" si="220"/>
        <v>0</v>
      </c>
      <c r="AK470" s="100">
        <f t="shared" si="223"/>
        <v>0</v>
      </c>
      <c r="AL470" s="100">
        <f t="shared" si="224"/>
        <v>0</v>
      </c>
      <c r="AN470" s="100">
        <f t="shared" si="225"/>
        <v>4345.9056353668575</v>
      </c>
      <c r="AO470" s="20">
        <f t="shared" si="226"/>
        <v>0</v>
      </c>
      <c r="AQ470" s="109">
        <f t="shared" si="208"/>
        <v>0</v>
      </c>
      <c r="AU470" s="109">
        <f t="shared" si="209"/>
        <v>26.033696273308937</v>
      </c>
      <c r="AV470" s="101">
        <f t="shared" si="204"/>
        <v>54354</v>
      </c>
      <c r="AW470" s="99">
        <f t="shared" si="234"/>
        <v>0</v>
      </c>
      <c r="AX470" s="1">
        <f t="shared" si="210"/>
        <v>0</v>
      </c>
      <c r="AY470" s="29">
        <f t="shared" si="211"/>
        <v>0</v>
      </c>
      <c r="AZ470" s="1">
        <f t="shared" si="212"/>
        <v>0</v>
      </c>
      <c r="CB470" s="20">
        <f t="shared" si="221"/>
        <v>0</v>
      </c>
      <c r="CC470" s="173">
        <f t="shared" si="213"/>
        <v>0</v>
      </c>
    </row>
    <row r="471" spans="2:81" x14ac:dyDescent="0.25">
      <c r="B471" s="41"/>
      <c r="C471" s="42"/>
      <c r="D471" s="43"/>
      <c r="E471" s="44"/>
      <c r="F471" s="44"/>
      <c r="G471" s="45"/>
      <c r="H471" s="81" t="str">
        <f t="shared" si="235"/>
        <v/>
      </c>
      <c r="J471" s="7"/>
      <c r="K471" s="8"/>
      <c r="L471" s="16"/>
      <c r="M471" s="22"/>
      <c r="N471" s="22"/>
      <c r="O471" s="22"/>
      <c r="P471" s="22"/>
      <c r="Q471" s="1">
        <f t="shared" si="214"/>
        <v>0.60744618579017706</v>
      </c>
      <c r="R471" s="12">
        <f t="shared" ca="1" si="228"/>
        <v>13232</v>
      </c>
      <c r="S471" s="88">
        <f t="shared" si="233"/>
        <v>0</v>
      </c>
      <c r="T471" s="19">
        <f t="shared" si="206"/>
        <v>0</v>
      </c>
      <c r="U471" s="19">
        <f t="shared" si="227"/>
        <v>0</v>
      </c>
      <c r="V471" s="19">
        <f t="shared" si="219"/>
        <v>0</v>
      </c>
      <c r="W471" s="20">
        <f t="shared" ca="1" si="229"/>
        <v>0</v>
      </c>
      <c r="X471" s="19">
        <f t="shared" ca="1" si="230"/>
        <v>0</v>
      </c>
      <c r="Y471" s="19">
        <f t="shared" ca="1" si="231"/>
        <v>0</v>
      </c>
      <c r="Z471" s="20">
        <f t="shared" ca="1" si="232"/>
        <v>0</v>
      </c>
      <c r="AA471" s="1">
        <f t="shared" si="215"/>
        <v>5432.58</v>
      </c>
      <c r="AB471" s="91"/>
      <c r="AC471" s="92"/>
      <c r="AD471" s="101">
        <f t="shared" si="216"/>
        <v>54354</v>
      </c>
      <c r="AE471" s="103">
        <f t="shared" si="217"/>
        <v>0</v>
      </c>
      <c r="AG471" s="1">
        <f t="shared" si="207"/>
        <v>0</v>
      </c>
      <c r="AH471" s="1">
        <f t="shared" si="222"/>
        <v>0</v>
      </c>
      <c r="AI471" s="1">
        <f t="shared" si="218"/>
        <v>5432.58</v>
      </c>
      <c r="AJ471" s="20">
        <f t="shared" si="220"/>
        <v>0</v>
      </c>
      <c r="AK471" s="100">
        <f t="shared" si="223"/>
        <v>0</v>
      </c>
      <c r="AL471" s="100">
        <f t="shared" si="224"/>
        <v>0</v>
      </c>
      <c r="AN471" s="100">
        <f t="shared" si="225"/>
        <v>4343.7068285791811</v>
      </c>
      <c r="AO471" s="20">
        <f t="shared" si="226"/>
        <v>0</v>
      </c>
      <c r="AQ471" s="109">
        <f t="shared" si="208"/>
        <v>0</v>
      </c>
      <c r="AU471" s="109">
        <f t="shared" si="209"/>
        <v>26.031411293873148</v>
      </c>
      <c r="AV471" s="101">
        <f t="shared" si="204"/>
        <v>54384</v>
      </c>
      <c r="AW471" s="99">
        <f t="shared" si="234"/>
        <v>0</v>
      </c>
      <c r="AX471" s="1">
        <f t="shared" si="210"/>
        <v>0</v>
      </c>
      <c r="AY471" s="29">
        <f t="shared" si="211"/>
        <v>0</v>
      </c>
      <c r="AZ471" s="1">
        <f t="shared" si="212"/>
        <v>0</v>
      </c>
      <c r="CB471" s="20">
        <f t="shared" si="221"/>
        <v>0</v>
      </c>
      <c r="CC471" s="173">
        <f t="shared" si="213"/>
        <v>0</v>
      </c>
    </row>
    <row r="472" spans="2:81" x14ac:dyDescent="0.25">
      <c r="B472" s="41"/>
      <c r="C472" s="42"/>
      <c r="D472" s="43"/>
      <c r="E472" s="44"/>
      <c r="F472" s="44"/>
      <c r="G472" s="45"/>
      <c r="H472" s="81" t="str">
        <f t="shared" si="235"/>
        <v/>
      </c>
      <c r="J472" s="9"/>
      <c r="K472" s="10"/>
      <c r="L472" s="17"/>
      <c r="M472" s="23"/>
      <c r="N472" s="23"/>
      <c r="O472" s="23"/>
      <c r="P472" s="23"/>
      <c r="Q472" s="1">
        <f t="shared" si="214"/>
        <v>0.60744618579017706</v>
      </c>
      <c r="R472" s="12">
        <f t="shared" ca="1" si="228"/>
        <v>13262</v>
      </c>
      <c r="S472" s="88">
        <f t="shared" si="233"/>
        <v>0</v>
      </c>
      <c r="T472" s="19">
        <f t="shared" si="206"/>
        <v>0</v>
      </c>
      <c r="U472" s="19">
        <f t="shared" si="227"/>
        <v>0</v>
      </c>
      <c r="V472" s="19">
        <f t="shared" si="219"/>
        <v>0</v>
      </c>
      <c r="W472" s="20">
        <f t="shared" ca="1" si="229"/>
        <v>0</v>
      </c>
      <c r="X472" s="19">
        <f t="shared" ca="1" si="230"/>
        <v>0</v>
      </c>
      <c r="Y472" s="19">
        <f t="shared" ca="1" si="231"/>
        <v>0</v>
      </c>
      <c r="Z472" s="20">
        <f t="shared" ca="1" si="232"/>
        <v>0</v>
      </c>
      <c r="AA472" s="1">
        <f t="shared" si="215"/>
        <v>5432.58</v>
      </c>
      <c r="AB472" s="93"/>
      <c r="AC472" s="94"/>
      <c r="AD472" s="101">
        <f t="shared" si="216"/>
        <v>54384</v>
      </c>
      <c r="AE472" s="103">
        <f t="shared" si="217"/>
        <v>0</v>
      </c>
      <c r="AG472" s="1">
        <f t="shared" si="207"/>
        <v>0</v>
      </c>
      <c r="AH472" s="1">
        <f t="shared" si="222"/>
        <v>0</v>
      </c>
      <c r="AI472" s="1">
        <f t="shared" si="218"/>
        <v>5432.58</v>
      </c>
      <c r="AJ472" s="20">
        <f t="shared" si="220"/>
        <v>0</v>
      </c>
      <c r="AK472" s="100">
        <f t="shared" si="223"/>
        <v>0</v>
      </c>
      <c r="AL472" s="100">
        <f t="shared" si="224"/>
        <v>0</v>
      </c>
      <c r="AN472" s="100">
        <f t="shared" si="225"/>
        <v>4341.5091342756914</v>
      </c>
      <c r="AO472" s="20">
        <f t="shared" si="226"/>
        <v>0</v>
      </c>
      <c r="AQ472" s="109">
        <f t="shared" si="208"/>
        <v>0</v>
      </c>
      <c r="AU472" s="109">
        <f t="shared" si="209"/>
        <v>26.029126514990171</v>
      </c>
      <c r="AV472" s="101">
        <f t="shared" si="204"/>
        <v>54414</v>
      </c>
      <c r="AW472" s="99">
        <f t="shared" si="234"/>
        <v>0</v>
      </c>
      <c r="AX472" s="1">
        <f t="shared" si="210"/>
        <v>0</v>
      </c>
      <c r="AY472" s="29">
        <f t="shared" si="211"/>
        <v>0</v>
      </c>
      <c r="AZ472" s="1">
        <f t="shared" si="212"/>
        <v>0</v>
      </c>
      <c r="CB472" s="20">
        <f t="shared" si="221"/>
        <v>0</v>
      </c>
      <c r="CC472" s="173">
        <f t="shared" si="213"/>
        <v>0</v>
      </c>
    </row>
    <row r="473" spans="2:81" x14ac:dyDescent="0.25">
      <c r="B473" s="41"/>
      <c r="C473" s="42"/>
      <c r="D473" s="43"/>
      <c r="E473" s="44"/>
      <c r="F473" s="44"/>
      <c r="G473" s="45"/>
      <c r="H473" s="81" t="str">
        <f t="shared" si="235"/>
        <v/>
      </c>
      <c r="J473" s="7"/>
      <c r="K473" s="8"/>
      <c r="L473" s="16"/>
      <c r="M473" s="22"/>
      <c r="N473" s="22"/>
      <c r="O473" s="22"/>
      <c r="P473" s="22"/>
      <c r="Q473" s="1">
        <f t="shared" si="214"/>
        <v>0.60744618579017706</v>
      </c>
      <c r="R473" s="12">
        <f t="shared" ca="1" si="228"/>
        <v>13292</v>
      </c>
      <c r="S473" s="88">
        <f t="shared" si="233"/>
        <v>0</v>
      </c>
      <c r="T473" s="19">
        <f t="shared" si="206"/>
        <v>0</v>
      </c>
      <c r="U473" s="19">
        <f t="shared" si="227"/>
        <v>0</v>
      </c>
      <c r="V473" s="19">
        <f t="shared" si="219"/>
        <v>0</v>
      </c>
      <c r="W473" s="20">
        <f t="shared" ca="1" si="229"/>
        <v>0</v>
      </c>
      <c r="X473" s="19">
        <f t="shared" ca="1" si="230"/>
        <v>0</v>
      </c>
      <c r="Y473" s="19">
        <f t="shared" ca="1" si="231"/>
        <v>0</v>
      </c>
      <c r="Z473" s="20">
        <f t="shared" ca="1" si="232"/>
        <v>0</v>
      </c>
      <c r="AA473" s="1">
        <f t="shared" si="215"/>
        <v>5432.58</v>
      </c>
      <c r="AB473" s="91"/>
      <c r="AC473" s="92"/>
      <c r="AD473" s="101">
        <f t="shared" si="216"/>
        <v>54414</v>
      </c>
      <c r="AE473" s="103">
        <f t="shared" si="217"/>
        <v>0</v>
      </c>
      <c r="AG473" s="1">
        <f t="shared" si="207"/>
        <v>0</v>
      </c>
      <c r="AH473" s="1">
        <f t="shared" si="222"/>
        <v>0</v>
      </c>
      <c r="AI473" s="1">
        <f t="shared" si="218"/>
        <v>5432.58</v>
      </c>
      <c r="AJ473" s="20">
        <f t="shared" si="220"/>
        <v>0</v>
      </c>
      <c r="AK473" s="100">
        <f t="shared" si="223"/>
        <v>0</v>
      </c>
      <c r="AL473" s="100">
        <f t="shared" si="224"/>
        <v>0</v>
      </c>
      <c r="AN473" s="100">
        <f t="shared" si="225"/>
        <v>4339.312551893524</v>
      </c>
      <c r="AO473" s="20">
        <f t="shared" si="226"/>
        <v>0</v>
      </c>
      <c r="AQ473" s="109">
        <f t="shared" si="208"/>
        <v>0</v>
      </c>
      <c r="AU473" s="109">
        <f t="shared" si="209"/>
        <v>26.026841936642398</v>
      </c>
      <c r="AV473" s="101">
        <f t="shared" si="204"/>
        <v>54444</v>
      </c>
      <c r="AW473" s="99">
        <f t="shared" si="234"/>
        <v>0</v>
      </c>
      <c r="AX473" s="1">
        <f t="shared" si="210"/>
        <v>0</v>
      </c>
      <c r="AY473" s="29">
        <f t="shared" si="211"/>
        <v>0</v>
      </c>
      <c r="AZ473" s="1">
        <f t="shared" si="212"/>
        <v>0</v>
      </c>
      <c r="CB473" s="20">
        <f t="shared" si="221"/>
        <v>0</v>
      </c>
      <c r="CC473" s="173">
        <f t="shared" si="213"/>
        <v>0</v>
      </c>
    </row>
    <row r="474" spans="2:81" x14ac:dyDescent="0.25">
      <c r="B474" s="41"/>
      <c r="C474" s="42"/>
      <c r="D474" s="43"/>
      <c r="E474" s="44"/>
      <c r="F474" s="44"/>
      <c r="G474" s="45"/>
      <c r="H474" s="81" t="str">
        <f t="shared" si="235"/>
        <v/>
      </c>
      <c r="J474" s="9"/>
      <c r="K474" s="10"/>
      <c r="L474" s="17"/>
      <c r="M474" s="23"/>
      <c r="N474" s="23"/>
      <c r="O474" s="23"/>
      <c r="P474" s="23"/>
      <c r="Q474" s="1">
        <f t="shared" si="214"/>
        <v>0.60744618579017706</v>
      </c>
      <c r="R474" s="12">
        <f t="shared" ca="1" si="228"/>
        <v>13322</v>
      </c>
      <c r="S474" s="88">
        <f t="shared" si="233"/>
        <v>0</v>
      </c>
      <c r="T474" s="19">
        <f t="shared" si="206"/>
        <v>0</v>
      </c>
      <c r="U474" s="19">
        <f t="shared" si="227"/>
        <v>0</v>
      </c>
      <c r="V474" s="19">
        <f t="shared" si="219"/>
        <v>0</v>
      </c>
      <c r="W474" s="20">
        <f t="shared" ca="1" si="229"/>
        <v>0</v>
      </c>
      <c r="X474" s="19">
        <f t="shared" ca="1" si="230"/>
        <v>0</v>
      </c>
      <c r="Y474" s="19">
        <f t="shared" ca="1" si="231"/>
        <v>0</v>
      </c>
      <c r="Z474" s="20">
        <f t="shared" ca="1" si="232"/>
        <v>0</v>
      </c>
      <c r="AA474" s="1">
        <f t="shared" si="215"/>
        <v>5432.58</v>
      </c>
      <c r="AB474" s="93"/>
      <c r="AC474" s="94"/>
      <c r="AD474" s="101">
        <f t="shared" si="216"/>
        <v>54444</v>
      </c>
      <c r="AE474" s="103">
        <f t="shared" si="217"/>
        <v>0</v>
      </c>
      <c r="AG474" s="1">
        <f t="shared" si="207"/>
        <v>0</v>
      </c>
      <c r="AH474" s="1">
        <f t="shared" si="222"/>
        <v>0</v>
      </c>
      <c r="AI474" s="1">
        <f t="shared" si="218"/>
        <v>5432.58</v>
      </c>
      <c r="AJ474" s="20">
        <f t="shared" si="220"/>
        <v>0</v>
      </c>
      <c r="AK474" s="100">
        <f t="shared" si="223"/>
        <v>0</v>
      </c>
      <c r="AL474" s="100">
        <f t="shared" si="224"/>
        <v>0</v>
      </c>
      <c r="AN474" s="100">
        <f t="shared" si="225"/>
        <v>4337.1170808701063</v>
      </c>
      <c r="AO474" s="20">
        <f t="shared" si="226"/>
        <v>0</v>
      </c>
      <c r="AQ474" s="109">
        <f t="shared" si="208"/>
        <v>0</v>
      </c>
      <c r="AU474" s="109">
        <f t="shared" si="209"/>
        <v>26.024557558812244</v>
      </c>
      <c r="AV474" s="101">
        <f t="shared" si="204"/>
        <v>54474</v>
      </c>
      <c r="AW474" s="99">
        <f t="shared" si="234"/>
        <v>0</v>
      </c>
      <c r="AX474" s="1">
        <f t="shared" si="210"/>
        <v>0</v>
      </c>
      <c r="AY474" s="29">
        <f t="shared" si="211"/>
        <v>0</v>
      </c>
      <c r="AZ474" s="1">
        <f t="shared" si="212"/>
        <v>0</v>
      </c>
      <c r="CB474" s="20">
        <f t="shared" si="221"/>
        <v>0</v>
      </c>
      <c r="CC474" s="173">
        <f t="shared" si="213"/>
        <v>0</v>
      </c>
    </row>
    <row r="475" spans="2:81" x14ac:dyDescent="0.25">
      <c r="B475" s="41"/>
      <c r="C475" s="42"/>
      <c r="D475" s="43"/>
      <c r="E475" s="44"/>
      <c r="F475" s="44"/>
      <c r="G475" s="45"/>
      <c r="H475" s="81" t="str">
        <f t="shared" si="235"/>
        <v/>
      </c>
      <c r="J475" s="7"/>
      <c r="K475" s="8"/>
      <c r="L475" s="16"/>
      <c r="M475" s="22"/>
      <c r="N475" s="22"/>
      <c r="O475" s="22"/>
      <c r="P475" s="22"/>
      <c r="Q475" s="1">
        <f t="shared" si="214"/>
        <v>0.60744618579017706</v>
      </c>
      <c r="R475" s="12">
        <f t="shared" ca="1" si="228"/>
        <v>13352</v>
      </c>
      <c r="S475" s="88">
        <f t="shared" si="233"/>
        <v>0</v>
      </c>
      <c r="T475" s="19">
        <f t="shared" si="206"/>
        <v>0</v>
      </c>
      <c r="U475" s="19">
        <f t="shared" si="227"/>
        <v>0</v>
      </c>
      <c r="V475" s="19">
        <f t="shared" si="219"/>
        <v>0</v>
      </c>
      <c r="W475" s="20">
        <f t="shared" ca="1" si="229"/>
        <v>0</v>
      </c>
      <c r="X475" s="19">
        <f t="shared" ca="1" si="230"/>
        <v>0</v>
      </c>
      <c r="Y475" s="19">
        <f t="shared" ca="1" si="231"/>
        <v>0</v>
      </c>
      <c r="Z475" s="20">
        <f t="shared" ca="1" si="232"/>
        <v>0</v>
      </c>
      <c r="AA475" s="1">
        <f t="shared" si="215"/>
        <v>5432.58</v>
      </c>
      <c r="AB475" s="91"/>
      <c r="AC475" s="92"/>
      <c r="AD475" s="101">
        <f t="shared" si="216"/>
        <v>54474</v>
      </c>
      <c r="AE475" s="103">
        <f t="shared" si="217"/>
        <v>0</v>
      </c>
      <c r="AG475" s="1">
        <f t="shared" si="207"/>
        <v>0</v>
      </c>
      <c r="AH475" s="1">
        <f t="shared" si="222"/>
        <v>0</v>
      </c>
      <c r="AI475" s="1">
        <f t="shared" si="218"/>
        <v>5432.58</v>
      </c>
      <c r="AJ475" s="20">
        <f t="shared" si="220"/>
        <v>0</v>
      </c>
      <c r="AK475" s="100">
        <f t="shared" si="223"/>
        <v>0</v>
      </c>
      <c r="AL475" s="100">
        <f t="shared" si="224"/>
        <v>0</v>
      </c>
      <c r="AN475" s="100">
        <f t="shared" si="225"/>
        <v>4334.9227206431478</v>
      </c>
      <c r="AO475" s="20">
        <f t="shared" si="226"/>
        <v>0</v>
      </c>
      <c r="AQ475" s="109">
        <f t="shared" si="208"/>
        <v>0</v>
      </c>
      <c r="AU475" s="109">
        <f t="shared" si="209"/>
        <v>26.022273381482087</v>
      </c>
      <c r="AV475" s="101">
        <f t="shared" si="204"/>
        <v>54504</v>
      </c>
      <c r="AW475" s="99">
        <f t="shared" si="234"/>
        <v>0</v>
      </c>
      <c r="AX475" s="1">
        <f t="shared" si="210"/>
        <v>0</v>
      </c>
      <c r="AY475" s="29">
        <f t="shared" si="211"/>
        <v>0</v>
      </c>
      <c r="AZ475" s="1">
        <f t="shared" si="212"/>
        <v>0</v>
      </c>
      <c r="CB475" s="20">
        <f t="shared" si="221"/>
        <v>0</v>
      </c>
      <c r="CC475" s="173">
        <f t="shared" si="213"/>
        <v>0</v>
      </c>
    </row>
    <row r="476" spans="2:81" x14ac:dyDescent="0.25">
      <c r="B476" s="41"/>
      <c r="C476" s="42"/>
      <c r="D476" s="43"/>
      <c r="E476" s="44"/>
      <c r="F476" s="44"/>
      <c r="G476" s="45"/>
      <c r="H476" s="81" t="str">
        <f t="shared" si="235"/>
        <v/>
      </c>
      <c r="J476" s="9"/>
      <c r="K476" s="10"/>
      <c r="L476" s="17"/>
      <c r="M476" s="23"/>
      <c r="N476" s="23"/>
      <c r="O476" s="23"/>
      <c r="P476" s="23"/>
      <c r="Q476" s="1">
        <f t="shared" si="214"/>
        <v>0.60744618579017706</v>
      </c>
      <c r="R476" s="12">
        <f t="shared" ca="1" si="228"/>
        <v>13382</v>
      </c>
      <c r="S476" s="88">
        <f t="shared" si="233"/>
        <v>0</v>
      </c>
      <c r="T476" s="19">
        <f t="shared" si="206"/>
        <v>0</v>
      </c>
      <c r="U476" s="19">
        <f t="shared" si="227"/>
        <v>0</v>
      </c>
      <c r="V476" s="19">
        <f t="shared" si="219"/>
        <v>0</v>
      </c>
      <c r="W476" s="20">
        <f t="shared" ca="1" si="229"/>
        <v>0</v>
      </c>
      <c r="X476" s="19">
        <f t="shared" ca="1" si="230"/>
        <v>0</v>
      </c>
      <c r="Y476" s="19">
        <f t="shared" ca="1" si="231"/>
        <v>0</v>
      </c>
      <c r="Z476" s="20">
        <f t="shared" ca="1" si="232"/>
        <v>0</v>
      </c>
      <c r="AA476" s="1">
        <f t="shared" si="215"/>
        <v>5432.58</v>
      </c>
      <c r="AB476" s="93"/>
      <c r="AC476" s="94"/>
      <c r="AD476" s="101">
        <f t="shared" si="216"/>
        <v>54504</v>
      </c>
      <c r="AE476" s="103">
        <f t="shared" si="217"/>
        <v>0</v>
      </c>
      <c r="AG476" s="1">
        <f t="shared" si="207"/>
        <v>0</v>
      </c>
      <c r="AH476" s="1">
        <f t="shared" si="222"/>
        <v>0</v>
      </c>
      <c r="AI476" s="1">
        <f t="shared" si="218"/>
        <v>5432.58</v>
      </c>
      <c r="AJ476" s="20">
        <f t="shared" si="220"/>
        <v>0</v>
      </c>
      <c r="AK476" s="100">
        <f t="shared" si="223"/>
        <v>0</v>
      </c>
      <c r="AL476" s="100">
        <f t="shared" si="224"/>
        <v>0</v>
      </c>
      <c r="AN476" s="100">
        <f t="shared" si="225"/>
        <v>4332.7294706506409</v>
      </c>
      <c r="AO476" s="20">
        <f t="shared" si="226"/>
        <v>0</v>
      </c>
      <c r="AQ476" s="109">
        <f t="shared" si="208"/>
        <v>0</v>
      </c>
      <c r="AU476" s="109">
        <f t="shared" si="209"/>
        <v>26.019989404634359</v>
      </c>
      <c r="AV476" s="101">
        <f t="shared" si="204"/>
        <v>54534</v>
      </c>
      <c r="AW476" s="99">
        <f t="shared" si="234"/>
        <v>0</v>
      </c>
      <c r="AX476" s="1">
        <f t="shared" si="210"/>
        <v>0</v>
      </c>
      <c r="AY476" s="29">
        <f t="shared" si="211"/>
        <v>0</v>
      </c>
      <c r="AZ476" s="1">
        <f t="shared" si="212"/>
        <v>0</v>
      </c>
      <c r="CB476" s="20">
        <f t="shared" si="221"/>
        <v>0</v>
      </c>
      <c r="CC476" s="173">
        <f t="shared" si="213"/>
        <v>0</v>
      </c>
    </row>
    <row r="477" spans="2:81" x14ac:dyDescent="0.25">
      <c r="B477" s="41"/>
      <c r="C477" s="42"/>
      <c r="D477" s="43"/>
      <c r="E477" s="44"/>
      <c r="F477" s="44"/>
      <c r="G477" s="45"/>
      <c r="H477" s="81" t="str">
        <f t="shared" si="235"/>
        <v/>
      </c>
      <c r="J477" s="7"/>
      <c r="K477" s="8"/>
      <c r="L477" s="16"/>
      <c r="M477" s="22"/>
      <c r="N477" s="22"/>
      <c r="O477" s="22"/>
      <c r="P477" s="22"/>
      <c r="Q477" s="1">
        <f t="shared" si="214"/>
        <v>0.60744618579017706</v>
      </c>
      <c r="R477" s="12">
        <f t="shared" ca="1" si="228"/>
        <v>13412</v>
      </c>
      <c r="S477" s="88">
        <f t="shared" si="233"/>
        <v>0</v>
      </c>
      <c r="T477" s="19">
        <f t="shared" si="206"/>
        <v>0</v>
      </c>
      <c r="U477" s="19">
        <f t="shared" si="227"/>
        <v>0</v>
      </c>
      <c r="V477" s="19">
        <f t="shared" si="219"/>
        <v>0</v>
      </c>
      <c r="W477" s="20">
        <f t="shared" ca="1" si="229"/>
        <v>0</v>
      </c>
      <c r="X477" s="19">
        <f t="shared" ca="1" si="230"/>
        <v>0</v>
      </c>
      <c r="Y477" s="19">
        <f t="shared" ca="1" si="231"/>
        <v>0</v>
      </c>
      <c r="Z477" s="20">
        <f t="shared" ca="1" si="232"/>
        <v>0</v>
      </c>
      <c r="AA477" s="1">
        <f t="shared" si="215"/>
        <v>5432.58</v>
      </c>
      <c r="AB477" s="91"/>
      <c r="AC477" s="92"/>
      <c r="AD477" s="101">
        <f t="shared" si="216"/>
        <v>54534</v>
      </c>
      <c r="AE477" s="103">
        <f t="shared" si="217"/>
        <v>0</v>
      </c>
      <c r="AG477" s="1">
        <f t="shared" si="207"/>
        <v>0</v>
      </c>
      <c r="AH477" s="1">
        <f t="shared" si="222"/>
        <v>0</v>
      </c>
      <c r="AI477" s="1">
        <f t="shared" si="218"/>
        <v>5432.58</v>
      </c>
      <c r="AJ477" s="20">
        <f t="shared" si="220"/>
        <v>0</v>
      </c>
      <c r="AK477" s="100">
        <f t="shared" si="223"/>
        <v>0</v>
      </c>
      <c r="AL477" s="100">
        <f t="shared" si="224"/>
        <v>0</v>
      </c>
      <c r="AN477" s="100">
        <f t="shared" si="225"/>
        <v>4330.5373303308652</v>
      </c>
      <c r="AO477" s="20">
        <f t="shared" si="226"/>
        <v>0</v>
      </c>
      <c r="AQ477" s="109">
        <f t="shared" si="208"/>
        <v>0</v>
      </c>
      <c r="AU477" s="109">
        <f t="shared" si="209"/>
        <v>26.017705628251438</v>
      </c>
      <c r="AV477" s="101">
        <f t="shared" si="204"/>
        <v>54564</v>
      </c>
      <c r="AW477" s="99">
        <f t="shared" si="234"/>
        <v>0</v>
      </c>
      <c r="AX477" s="1">
        <f t="shared" si="210"/>
        <v>0</v>
      </c>
      <c r="AY477" s="29">
        <f t="shared" si="211"/>
        <v>0</v>
      </c>
      <c r="AZ477" s="1">
        <f t="shared" si="212"/>
        <v>0</v>
      </c>
      <c r="CB477" s="20">
        <f t="shared" si="221"/>
        <v>0</v>
      </c>
      <c r="CC477" s="173">
        <f t="shared" si="213"/>
        <v>0</v>
      </c>
    </row>
    <row r="478" spans="2:81" x14ac:dyDescent="0.25">
      <c r="B478" s="41"/>
      <c r="C478" s="42"/>
      <c r="D478" s="43"/>
      <c r="E478" s="44"/>
      <c r="F478" s="44"/>
      <c r="G478" s="45"/>
      <c r="H478" s="81" t="str">
        <f t="shared" si="235"/>
        <v/>
      </c>
      <c r="J478" s="9"/>
      <c r="K478" s="10"/>
      <c r="L478" s="17"/>
      <c r="M478" s="23"/>
      <c r="N478" s="23"/>
      <c r="O478" s="23"/>
      <c r="P478" s="23"/>
      <c r="Q478" s="1">
        <f t="shared" si="214"/>
        <v>0.60744618579017706</v>
      </c>
      <c r="R478" s="12">
        <f t="shared" ca="1" si="228"/>
        <v>13442</v>
      </c>
      <c r="S478" s="88">
        <f t="shared" si="233"/>
        <v>0</v>
      </c>
      <c r="T478" s="19">
        <f t="shared" si="206"/>
        <v>0</v>
      </c>
      <c r="U478" s="19">
        <f t="shared" si="227"/>
        <v>0</v>
      </c>
      <c r="V478" s="19">
        <f t="shared" si="219"/>
        <v>0</v>
      </c>
      <c r="W478" s="20">
        <f t="shared" ca="1" si="229"/>
        <v>0</v>
      </c>
      <c r="X478" s="19">
        <f t="shared" ca="1" si="230"/>
        <v>0</v>
      </c>
      <c r="Y478" s="19">
        <f t="shared" ca="1" si="231"/>
        <v>0</v>
      </c>
      <c r="Z478" s="20">
        <f t="shared" ca="1" si="232"/>
        <v>0</v>
      </c>
      <c r="AA478" s="1">
        <f t="shared" si="215"/>
        <v>5432.58</v>
      </c>
      <c r="AB478" s="93"/>
      <c r="AC478" s="94"/>
      <c r="AD478" s="101">
        <f t="shared" si="216"/>
        <v>54564</v>
      </c>
      <c r="AE478" s="103">
        <f t="shared" si="217"/>
        <v>0</v>
      </c>
      <c r="AG478" s="1">
        <f t="shared" si="207"/>
        <v>0</v>
      </c>
      <c r="AH478" s="1">
        <f t="shared" si="222"/>
        <v>0</v>
      </c>
      <c r="AI478" s="1">
        <f t="shared" si="218"/>
        <v>5432.58</v>
      </c>
      <c r="AJ478" s="20">
        <f t="shared" si="220"/>
        <v>0</v>
      </c>
      <c r="AK478" s="100">
        <f t="shared" si="223"/>
        <v>0</v>
      </c>
      <c r="AL478" s="100">
        <f t="shared" si="224"/>
        <v>0</v>
      </c>
      <c r="AN478" s="100">
        <f t="shared" si="225"/>
        <v>4328.3462991223805</v>
      </c>
      <c r="AO478" s="20">
        <f t="shared" si="226"/>
        <v>0</v>
      </c>
      <c r="AQ478" s="109">
        <f t="shared" si="208"/>
        <v>0</v>
      </c>
      <c r="AU478" s="109">
        <f t="shared" si="209"/>
        <v>26.015422052315731</v>
      </c>
      <c r="AV478" s="101">
        <f t="shared" ref="AV478:AV501" si="236">AD479</f>
        <v>54594</v>
      </c>
      <c r="AW478" s="99">
        <f t="shared" si="234"/>
        <v>0</v>
      </c>
      <c r="AX478" s="1">
        <f t="shared" si="210"/>
        <v>0</v>
      </c>
      <c r="AY478" s="29">
        <f t="shared" si="211"/>
        <v>0</v>
      </c>
      <c r="AZ478" s="1">
        <f t="shared" si="212"/>
        <v>0</v>
      </c>
      <c r="CB478" s="20">
        <f t="shared" si="221"/>
        <v>0</v>
      </c>
      <c r="CC478" s="173">
        <f t="shared" si="213"/>
        <v>0</v>
      </c>
    </row>
    <row r="479" spans="2:81" x14ac:dyDescent="0.25">
      <c r="B479" s="41"/>
      <c r="C479" s="42"/>
      <c r="D479" s="43"/>
      <c r="E479" s="44"/>
      <c r="F479" s="44"/>
      <c r="G479" s="45"/>
      <c r="H479" s="81" t="str">
        <f t="shared" si="235"/>
        <v/>
      </c>
      <c r="J479" s="7"/>
      <c r="K479" s="8"/>
      <c r="L479" s="16"/>
      <c r="M479" s="22"/>
      <c r="N479" s="22"/>
      <c r="O479" s="22"/>
      <c r="P479" s="22"/>
      <c r="Q479" s="1">
        <f t="shared" si="214"/>
        <v>0.60744618579017706</v>
      </c>
      <c r="R479" s="12">
        <f t="shared" ca="1" si="228"/>
        <v>13472</v>
      </c>
      <c r="S479" s="88">
        <f t="shared" si="233"/>
        <v>0</v>
      </c>
      <c r="T479" s="19">
        <f t="shared" ref="T479:T502" si="237">IF(ISERROR((previousBalance*Q479/1200)*(IF(ROW()-30&lt;$G$22,$G$21,0))),0,(previousBalance*Q479/1200)*(IF(ROW()-30&lt;$G$22,$G$21,0)))</f>
        <v>0</v>
      </c>
      <c r="U479" s="19">
        <f t="shared" si="227"/>
        <v>0</v>
      </c>
      <c r="V479" s="19">
        <f t="shared" si="219"/>
        <v>0</v>
      </c>
      <c r="W479" s="20">
        <f t="shared" ca="1" si="229"/>
        <v>0</v>
      </c>
      <c r="X479" s="19">
        <f t="shared" ca="1" si="230"/>
        <v>0</v>
      </c>
      <c r="Y479" s="19">
        <f t="shared" ca="1" si="231"/>
        <v>0</v>
      </c>
      <c r="Z479" s="20">
        <f t="shared" ca="1" si="232"/>
        <v>0</v>
      </c>
      <c r="AA479" s="1">
        <f t="shared" si="215"/>
        <v>5432.58</v>
      </c>
      <c r="AB479" s="91"/>
      <c r="AC479" s="92"/>
      <c r="AD479" s="101">
        <f t="shared" si="216"/>
        <v>54594</v>
      </c>
      <c r="AE479" s="103">
        <f t="shared" si="217"/>
        <v>0</v>
      </c>
      <c r="AG479" s="1">
        <f t="shared" ref="AG479:AG502" si="238">AE479/360</f>
        <v>0</v>
      </c>
      <c r="AH479" s="1">
        <f t="shared" si="222"/>
        <v>0</v>
      </c>
      <c r="AI479" s="1">
        <f t="shared" si="218"/>
        <v>5432.58</v>
      </c>
      <c r="AJ479" s="20">
        <f t="shared" si="220"/>
        <v>0</v>
      </c>
      <c r="AK479" s="100">
        <f t="shared" si="223"/>
        <v>0</v>
      </c>
      <c r="AL479" s="100">
        <f t="shared" si="224"/>
        <v>0</v>
      </c>
      <c r="AN479" s="100">
        <f t="shared" si="225"/>
        <v>4326.1563764640341</v>
      </c>
      <c r="AO479" s="20">
        <f t="shared" si="226"/>
        <v>0</v>
      </c>
      <c r="AQ479" s="109">
        <f t="shared" ref="AQ479:AQ501" si="239">AO479/(1+((1+$AM$27)^((ROW()-29)*30)-1))</f>
        <v>0</v>
      </c>
      <c r="AU479" s="109">
        <f t="shared" ref="AU479:AU542" si="240">(($AT$27/(1+((1+$AM$27)^(ROW()-29)*30)-1))/292)*0.32</f>
        <v>26.013138676809668</v>
      </c>
      <c r="AV479" s="101">
        <f t="shared" si="236"/>
        <v>54624</v>
      </c>
      <c r="AW479" s="99">
        <f t="shared" si="234"/>
        <v>0</v>
      </c>
      <c r="AX479" s="1">
        <f t="shared" ref="AX479:AX501" si="241">IF(AG479&gt;0,AA479,0)</f>
        <v>0</v>
      </c>
      <c r="AY479" s="29">
        <f t="shared" ref="AY479:AY501" si="242">AE479</f>
        <v>0</v>
      </c>
      <c r="AZ479" s="1">
        <f t="shared" ref="AZ479:AZ542" si="243">AY479/360</f>
        <v>0</v>
      </c>
      <c r="CB479" s="20">
        <f t="shared" si="221"/>
        <v>0</v>
      </c>
      <c r="CC479" s="173">
        <f t="shared" ref="CC479:CC542" si="244">AJ479+U479+T479</f>
        <v>0</v>
      </c>
    </row>
    <row r="480" spans="2:81" x14ac:dyDescent="0.25">
      <c r="B480" s="41"/>
      <c r="C480" s="42"/>
      <c r="D480" s="43"/>
      <c r="E480" s="44"/>
      <c r="F480" s="44"/>
      <c r="G480" s="45"/>
      <c r="H480" s="81" t="str">
        <f t="shared" si="235"/>
        <v/>
      </c>
      <c r="J480" s="9"/>
      <c r="K480" s="10"/>
      <c r="L480" s="17"/>
      <c r="M480" s="23"/>
      <c r="N480" s="23"/>
      <c r="O480" s="23"/>
      <c r="P480" s="23"/>
      <c r="Q480" s="1">
        <f t="shared" ref="Q480:Q543" si="245">IF(M480=0,Q479,(M480*1200)/O479)</f>
        <v>0.60744618579017706</v>
      </c>
      <c r="R480" s="12">
        <f t="shared" ca="1" si="228"/>
        <v>13502</v>
      </c>
      <c r="S480" s="88">
        <f t="shared" si="233"/>
        <v>0</v>
      </c>
      <c r="T480" s="19">
        <f t="shared" si="237"/>
        <v>0</v>
      </c>
      <c r="U480" s="19">
        <f t="shared" si="227"/>
        <v>0</v>
      </c>
      <c r="V480" s="19">
        <f t="shared" si="219"/>
        <v>0</v>
      </c>
      <c r="W480" s="20">
        <f t="shared" ca="1" si="229"/>
        <v>0</v>
      </c>
      <c r="X480" s="19">
        <f t="shared" ca="1" si="230"/>
        <v>0</v>
      </c>
      <c r="Y480" s="19">
        <f t="shared" ca="1" si="231"/>
        <v>0</v>
      </c>
      <c r="Z480" s="20">
        <f t="shared" ca="1" si="232"/>
        <v>0</v>
      </c>
      <c r="AA480" s="1">
        <f t="shared" ref="AA480:AA543" si="246">IF(S480=0,AA479,N480)</f>
        <v>5432.58</v>
      </c>
      <c r="AB480" s="93"/>
      <c r="AC480" s="94"/>
      <c r="AD480" s="101">
        <f t="shared" ref="AD480:AD543" si="247">IF(M480=0,AD479+30,K480)</f>
        <v>54624</v>
      </c>
      <c r="AE480" s="103">
        <f t="shared" ref="AE480:AE543" si="248">IF(V480=0,0,R480)</f>
        <v>0</v>
      </c>
      <c r="AG480" s="1">
        <f t="shared" si="238"/>
        <v>0</v>
      </c>
      <c r="AH480" s="1">
        <f t="shared" si="222"/>
        <v>0</v>
      </c>
      <c r="AI480" s="1">
        <f t="shared" ref="AI480:AI543" si="249">IF(M480-1=0,IF(M480=0,IF(V480=0,N480,AI479),AA480),AA480)</f>
        <v>5432.58</v>
      </c>
      <c r="AJ480" s="20">
        <f t="shared" si="220"/>
        <v>0</v>
      </c>
      <c r="AK480" s="100">
        <f t="shared" si="223"/>
        <v>0</v>
      </c>
      <c r="AL480" s="100">
        <f t="shared" si="224"/>
        <v>0</v>
      </c>
      <c r="AN480" s="100">
        <f t="shared" si="225"/>
        <v>4323.9675617949561</v>
      </c>
      <c r="AO480" s="20">
        <f t="shared" si="226"/>
        <v>0</v>
      </c>
      <c r="AQ480" s="109">
        <f t="shared" si="239"/>
        <v>0</v>
      </c>
      <c r="AU480" s="109">
        <f t="shared" si="240"/>
        <v>26.010855501715628</v>
      </c>
      <c r="AV480" s="101">
        <f t="shared" si="236"/>
        <v>54654</v>
      </c>
      <c r="AW480" s="99">
        <f t="shared" si="234"/>
        <v>0</v>
      </c>
      <c r="AX480" s="1">
        <f t="shared" si="241"/>
        <v>0</v>
      </c>
      <c r="AY480" s="29">
        <f t="shared" si="242"/>
        <v>0</v>
      </c>
      <c r="AZ480" s="1">
        <f t="shared" si="243"/>
        <v>0</v>
      </c>
      <c r="CB480" s="20">
        <f t="shared" si="221"/>
        <v>0</v>
      </c>
      <c r="CC480" s="173">
        <f t="shared" si="244"/>
        <v>0</v>
      </c>
    </row>
    <row r="481" spans="2:81" x14ac:dyDescent="0.25">
      <c r="B481" s="41"/>
      <c r="C481" s="42"/>
      <c r="D481" s="43"/>
      <c r="E481" s="44"/>
      <c r="F481" s="44"/>
      <c r="G481" s="45"/>
      <c r="H481" s="81" t="str">
        <f t="shared" si="235"/>
        <v/>
      </c>
      <c r="J481" s="7"/>
      <c r="K481" s="8"/>
      <c r="L481" s="16"/>
      <c r="M481" s="22"/>
      <c r="N481" s="22"/>
      <c r="O481" s="22"/>
      <c r="P481" s="22"/>
      <c r="Q481" s="1">
        <f t="shared" si="245"/>
        <v>0.60744618579017706</v>
      </c>
      <c r="R481" s="12">
        <f t="shared" ca="1" si="228"/>
        <v>13532</v>
      </c>
      <c r="S481" s="88">
        <f t="shared" si="233"/>
        <v>0</v>
      </c>
      <c r="T481" s="19">
        <f t="shared" si="237"/>
        <v>0</v>
      </c>
      <c r="U481" s="19">
        <f t="shared" si="227"/>
        <v>0</v>
      </c>
      <c r="V481" s="19">
        <f t="shared" si="219"/>
        <v>0</v>
      </c>
      <c r="W481" s="20">
        <f t="shared" ca="1" si="229"/>
        <v>0</v>
      </c>
      <c r="X481" s="19">
        <f t="shared" ca="1" si="230"/>
        <v>0</v>
      </c>
      <c r="Y481" s="19">
        <f t="shared" ca="1" si="231"/>
        <v>0</v>
      </c>
      <c r="Z481" s="20">
        <f t="shared" ca="1" si="232"/>
        <v>0</v>
      </c>
      <c r="AA481" s="1">
        <f t="shared" si="246"/>
        <v>5432.58</v>
      </c>
      <c r="AB481" s="91"/>
      <c r="AC481" s="92"/>
      <c r="AD481" s="101">
        <f t="shared" si="247"/>
        <v>54654</v>
      </c>
      <c r="AE481" s="103">
        <f t="shared" si="248"/>
        <v>0</v>
      </c>
      <c r="AG481" s="1">
        <f t="shared" si="238"/>
        <v>0</v>
      </c>
      <c r="AH481" s="1">
        <f t="shared" si="222"/>
        <v>0</v>
      </c>
      <c r="AI481" s="1">
        <f t="shared" si="249"/>
        <v>5432.58</v>
      </c>
      <c r="AJ481" s="20">
        <f t="shared" si="220"/>
        <v>0</v>
      </c>
      <c r="AK481" s="100">
        <f t="shared" si="223"/>
        <v>0</v>
      </c>
      <c r="AL481" s="100">
        <f t="shared" si="224"/>
        <v>0</v>
      </c>
      <c r="AN481" s="100">
        <f t="shared" si="225"/>
        <v>4321.7798545545602</v>
      </c>
      <c r="AO481" s="20">
        <f t="shared" si="226"/>
        <v>0</v>
      </c>
      <c r="AQ481" s="109">
        <f t="shared" si="239"/>
        <v>0</v>
      </c>
      <c r="AU481" s="109">
        <f t="shared" si="240"/>
        <v>26.008572527016035</v>
      </c>
      <c r="AV481" s="101">
        <f t="shared" si="236"/>
        <v>54684</v>
      </c>
      <c r="AW481" s="99">
        <f t="shared" si="234"/>
        <v>0</v>
      </c>
      <c r="AX481" s="1">
        <f t="shared" si="241"/>
        <v>0</v>
      </c>
      <c r="AY481" s="29">
        <f t="shared" si="242"/>
        <v>0</v>
      </c>
      <c r="AZ481" s="1">
        <f t="shared" si="243"/>
        <v>0</v>
      </c>
      <c r="CB481" s="20">
        <f t="shared" si="221"/>
        <v>0</v>
      </c>
      <c r="CC481" s="173">
        <f t="shared" si="244"/>
        <v>0</v>
      </c>
    </row>
    <row r="482" spans="2:81" x14ac:dyDescent="0.25">
      <c r="B482" s="41"/>
      <c r="C482" s="42"/>
      <c r="D482" s="43"/>
      <c r="E482" s="44"/>
      <c r="F482" s="44"/>
      <c r="G482" s="45"/>
      <c r="H482" s="81" t="str">
        <f t="shared" si="235"/>
        <v/>
      </c>
      <c r="J482" s="9"/>
      <c r="K482" s="10"/>
      <c r="L482" s="17"/>
      <c r="M482" s="23"/>
      <c r="N482" s="23"/>
      <c r="O482" s="23"/>
      <c r="P482" s="23"/>
      <c r="Q482" s="1">
        <f t="shared" si="245"/>
        <v>0.60744618579017706</v>
      </c>
      <c r="R482" s="12">
        <f t="shared" ca="1" si="228"/>
        <v>13562</v>
      </c>
      <c r="S482" s="88">
        <f t="shared" si="233"/>
        <v>0</v>
      </c>
      <c r="T482" s="19">
        <f t="shared" si="237"/>
        <v>0</v>
      </c>
      <c r="U482" s="19">
        <f t="shared" si="227"/>
        <v>0</v>
      </c>
      <c r="V482" s="19">
        <f t="shared" ref="V482:V545" si="250">IF(ISERROR(IF(V481+U482+T482+(V481*Q482/1200)-AA482-P482&lt;0,0,V481+U482+T482-AA482-P482)),0,IF(V481+U482+T482+(V481*Q482/1200)-AA482-CB482&lt;0,0,V481+U482+T482-AA482-CB482))</f>
        <v>0</v>
      </c>
      <c r="W482" s="20">
        <f t="shared" ca="1" si="229"/>
        <v>0</v>
      </c>
      <c r="X482" s="19">
        <f t="shared" ca="1" si="230"/>
        <v>0</v>
      </c>
      <c r="Y482" s="19">
        <f t="shared" ca="1" si="231"/>
        <v>0</v>
      </c>
      <c r="Z482" s="20">
        <f t="shared" ca="1" si="232"/>
        <v>0</v>
      </c>
      <c r="AA482" s="1">
        <f t="shared" si="246"/>
        <v>5432.58</v>
      </c>
      <c r="AB482" s="93"/>
      <c r="AC482" s="94"/>
      <c r="AD482" s="101">
        <f t="shared" si="247"/>
        <v>54684</v>
      </c>
      <c r="AE482" s="103">
        <f t="shared" si="248"/>
        <v>0</v>
      </c>
      <c r="AG482" s="1">
        <f t="shared" si="238"/>
        <v>0</v>
      </c>
      <c r="AH482" s="1">
        <f t="shared" si="222"/>
        <v>0</v>
      </c>
      <c r="AI482" s="1">
        <f t="shared" si="249"/>
        <v>5432.58</v>
      </c>
      <c r="AJ482" s="20">
        <f t="shared" si="220"/>
        <v>0</v>
      </c>
      <c r="AK482" s="100">
        <f t="shared" si="223"/>
        <v>0</v>
      </c>
      <c r="AL482" s="100">
        <f t="shared" si="224"/>
        <v>0</v>
      </c>
      <c r="AN482" s="100">
        <f t="shared" si="225"/>
        <v>4319.593254182545</v>
      </c>
      <c r="AO482" s="20">
        <f t="shared" si="226"/>
        <v>0</v>
      </c>
      <c r="AQ482" s="109">
        <f t="shared" si="239"/>
        <v>0</v>
      </c>
      <c r="AU482" s="109">
        <f t="shared" si="240"/>
        <v>26.006289752693302</v>
      </c>
      <c r="AV482" s="101">
        <f t="shared" si="236"/>
        <v>54714</v>
      </c>
      <c r="AW482" s="99">
        <f t="shared" si="234"/>
        <v>0</v>
      </c>
      <c r="AX482" s="1">
        <f t="shared" si="241"/>
        <v>0</v>
      </c>
      <c r="AY482" s="29">
        <f t="shared" si="242"/>
        <v>0</v>
      </c>
      <c r="AZ482" s="1">
        <f t="shared" si="243"/>
        <v>0</v>
      </c>
      <c r="CB482" s="20">
        <f t="shared" si="221"/>
        <v>0</v>
      </c>
      <c r="CC482" s="173">
        <f t="shared" si="244"/>
        <v>0</v>
      </c>
    </row>
    <row r="483" spans="2:81" x14ac:dyDescent="0.25">
      <c r="B483" s="41"/>
      <c r="C483" s="42"/>
      <c r="D483" s="43"/>
      <c r="E483" s="44"/>
      <c r="F483" s="44"/>
      <c r="G483" s="45"/>
      <c r="H483" s="81" t="str">
        <f t="shared" si="235"/>
        <v/>
      </c>
      <c r="J483" s="7"/>
      <c r="K483" s="8"/>
      <c r="L483" s="16"/>
      <c r="M483" s="22"/>
      <c r="N483" s="22"/>
      <c r="O483" s="22"/>
      <c r="P483" s="22"/>
      <c r="Q483" s="1">
        <f t="shared" si="245"/>
        <v>0.60744618579017706</v>
      </c>
      <c r="R483" s="12">
        <f t="shared" ca="1" si="228"/>
        <v>13592</v>
      </c>
      <c r="S483" s="88">
        <f t="shared" si="233"/>
        <v>0</v>
      </c>
      <c r="T483" s="19">
        <f t="shared" si="237"/>
        <v>0</v>
      </c>
      <c r="U483" s="19">
        <f t="shared" si="227"/>
        <v>0</v>
      </c>
      <c r="V483" s="19">
        <f t="shared" si="250"/>
        <v>0</v>
      </c>
      <c r="W483" s="20">
        <f t="shared" ca="1" si="229"/>
        <v>0</v>
      </c>
      <c r="X483" s="19">
        <f t="shared" ca="1" si="230"/>
        <v>0</v>
      </c>
      <c r="Y483" s="19">
        <f t="shared" ca="1" si="231"/>
        <v>0</v>
      </c>
      <c r="Z483" s="20">
        <f t="shared" ca="1" si="232"/>
        <v>0</v>
      </c>
      <c r="AA483" s="1">
        <f t="shared" si="246"/>
        <v>5432.58</v>
      </c>
      <c r="AB483" s="91"/>
      <c r="AC483" s="92"/>
      <c r="AD483" s="101">
        <f t="shared" si="247"/>
        <v>54714</v>
      </c>
      <c r="AE483" s="103">
        <f t="shared" si="248"/>
        <v>0</v>
      </c>
      <c r="AG483" s="1">
        <f t="shared" si="238"/>
        <v>0</v>
      </c>
      <c r="AH483" s="1">
        <f t="shared" si="222"/>
        <v>0</v>
      </c>
      <c r="AI483" s="1">
        <f t="shared" si="249"/>
        <v>5432.58</v>
      </c>
      <c r="AJ483" s="20">
        <f t="shared" si="220"/>
        <v>0</v>
      </c>
      <c r="AK483" s="100">
        <f t="shared" si="223"/>
        <v>0</v>
      </c>
      <c r="AL483" s="100">
        <f t="shared" si="224"/>
        <v>0</v>
      </c>
      <c r="AN483" s="100">
        <f t="shared" si="225"/>
        <v>4317.4077601188901</v>
      </c>
      <c r="AO483" s="20">
        <f t="shared" si="226"/>
        <v>0</v>
      </c>
      <c r="AQ483" s="109">
        <f t="shared" si="239"/>
        <v>0</v>
      </c>
      <c r="AU483" s="109">
        <f t="shared" si="240"/>
        <v>26.004007178729843</v>
      </c>
      <c r="AV483" s="101">
        <f t="shared" si="236"/>
        <v>54744</v>
      </c>
      <c r="AW483" s="99">
        <f t="shared" si="234"/>
        <v>0</v>
      </c>
      <c r="AX483" s="1">
        <f t="shared" si="241"/>
        <v>0</v>
      </c>
      <c r="AY483" s="29">
        <f t="shared" si="242"/>
        <v>0</v>
      </c>
      <c r="AZ483" s="1">
        <f t="shared" si="243"/>
        <v>0</v>
      </c>
      <c r="CB483" s="20">
        <f t="shared" si="221"/>
        <v>0</v>
      </c>
      <c r="CC483" s="173">
        <f t="shared" si="244"/>
        <v>0</v>
      </c>
    </row>
    <row r="484" spans="2:81" x14ac:dyDescent="0.25">
      <c r="B484" s="41"/>
      <c r="C484" s="42"/>
      <c r="D484" s="43"/>
      <c r="E484" s="44"/>
      <c r="F484" s="44"/>
      <c r="G484" s="45"/>
      <c r="H484" s="81" t="str">
        <f t="shared" si="235"/>
        <v/>
      </c>
      <c r="J484" s="9"/>
      <c r="K484" s="10"/>
      <c r="L484" s="17"/>
      <c r="M484" s="23"/>
      <c r="N484" s="23"/>
      <c r="O484" s="23"/>
      <c r="P484" s="23"/>
      <c r="Q484" s="1">
        <f t="shared" si="245"/>
        <v>0.60744618579017706</v>
      </c>
      <c r="R484" s="12">
        <f t="shared" ca="1" si="228"/>
        <v>13622</v>
      </c>
      <c r="S484" s="88">
        <f t="shared" si="233"/>
        <v>0</v>
      </c>
      <c r="T484" s="19">
        <f t="shared" si="237"/>
        <v>0</v>
      </c>
      <c r="U484" s="19">
        <f t="shared" si="227"/>
        <v>0</v>
      </c>
      <c r="V484" s="19">
        <f t="shared" si="250"/>
        <v>0</v>
      </c>
      <c r="W484" s="20">
        <f t="shared" ca="1" si="229"/>
        <v>0</v>
      </c>
      <c r="X484" s="19">
        <f t="shared" ca="1" si="230"/>
        <v>0</v>
      </c>
      <c r="Y484" s="19">
        <f t="shared" ca="1" si="231"/>
        <v>0</v>
      </c>
      <c r="Z484" s="20">
        <f t="shared" ca="1" si="232"/>
        <v>0</v>
      </c>
      <c r="AA484" s="1">
        <f t="shared" si="246"/>
        <v>5432.58</v>
      </c>
      <c r="AB484" s="93"/>
      <c r="AC484" s="94"/>
      <c r="AD484" s="101">
        <f t="shared" si="247"/>
        <v>54744</v>
      </c>
      <c r="AE484" s="103">
        <f t="shared" si="248"/>
        <v>0</v>
      </c>
      <c r="AG484" s="1">
        <f t="shared" si="238"/>
        <v>0</v>
      </c>
      <c r="AH484" s="1">
        <f t="shared" si="222"/>
        <v>0</v>
      </c>
      <c r="AI484" s="1">
        <f t="shared" si="249"/>
        <v>5432.58</v>
      </c>
      <c r="AJ484" s="20">
        <f t="shared" si="220"/>
        <v>0</v>
      </c>
      <c r="AK484" s="100">
        <f t="shared" si="223"/>
        <v>0</v>
      </c>
      <c r="AL484" s="100">
        <f t="shared" si="224"/>
        <v>0</v>
      </c>
      <c r="AN484" s="100">
        <f t="shared" si="225"/>
        <v>4315.2233718038606</v>
      </c>
      <c r="AO484" s="20">
        <f t="shared" si="226"/>
        <v>0</v>
      </c>
      <c r="AQ484" s="109">
        <f t="shared" si="239"/>
        <v>0</v>
      </c>
      <c r="AU484" s="109">
        <f t="shared" si="240"/>
        <v>26.001724805108065</v>
      </c>
      <c r="AV484" s="101">
        <f t="shared" si="236"/>
        <v>54774</v>
      </c>
      <c r="AW484" s="99">
        <f t="shared" si="234"/>
        <v>0</v>
      </c>
      <c r="AX484" s="1">
        <f t="shared" si="241"/>
        <v>0</v>
      </c>
      <c r="AY484" s="29">
        <f t="shared" si="242"/>
        <v>0</v>
      </c>
      <c r="AZ484" s="1">
        <f t="shared" si="243"/>
        <v>0</v>
      </c>
      <c r="CB484" s="20">
        <f t="shared" si="221"/>
        <v>0</v>
      </c>
      <c r="CC484" s="173">
        <f t="shared" si="244"/>
        <v>0</v>
      </c>
    </row>
    <row r="485" spans="2:81" x14ac:dyDescent="0.25">
      <c r="B485" s="41"/>
      <c r="C485" s="42"/>
      <c r="D485" s="43"/>
      <c r="E485" s="44"/>
      <c r="F485" s="44"/>
      <c r="G485" s="45"/>
      <c r="H485" s="81" t="str">
        <f t="shared" si="235"/>
        <v/>
      </c>
      <c r="J485" s="7"/>
      <c r="K485" s="8"/>
      <c r="L485" s="16"/>
      <c r="M485" s="22"/>
      <c r="N485" s="22"/>
      <c r="O485" s="22"/>
      <c r="P485" s="22"/>
      <c r="Q485" s="1">
        <f t="shared" si="245"/>
        <v>0.60744618579017706</v>
      </c>
      <c r="R485" s="12">
        <f t="shared" ca="1" si="228"/>
        <v>13652</v>
      </c>
      <c r="S485" s="88">
        <f t="shared" si="233"/>
        <v>0</v>
      </c>
      <c r="T485" s="19">
        <f t="shared" si="237"/>
        <v>0</v>
      </c>
      <c r="U485" s="19">
        <f t="shared" si="227"/>
        <v>0</v>
      </c>
      <c r="V485" s="19">
        <f t="shared" si="250"/>
        <v>0</v>
      </c>
      <c r="W485" s="20">
        <f t="shared" ca="1" si="229"/>
        <v>0</v>
      </c>
      <c r="X485" s="19">
        <f t="shared" ca="1" si="230"/>
        <v>0</v>
      </c>
      <c r="Y485" s="19">
        <f t="shared" ca="1" si="231"/>
        <v>0</v>
      </c>
      <c r="Z485" s="20">
        <f t="shared" ca="1" si="232"/>
        <v>0</v>
      </c>
      <c r="AA485" s="1">
        <f t="shared" si="246"/>
        <v>5432.58</v>
      </c>
      <c r="AB485" s="91"/>
      <c r="AC485" s="92"/>
      <c r="AD485" s="101">
        <f t="shared" si="247"/>
        <v>54774</v>
      </c>
      <c r="AE485" s="103">
        <f t="shared" si="248"/>
        <v>0</v>
      </c>
      <c r="AG485" s="1">
        <f t="shared" si="238"/>
        <v>0</v>
      </c>
      <c r="AH485" s="1">
        <f t="shared" si="222"/>
        <v>0</v>
      </c>
      <c r="AI485" s="1">
        <f t="shared" si="249"/>
        <v>5432.58</v>
      </c>
      <c r="AJ485" s="20">
        <f t="shared" si="220"/>
        <v>0</v>
      </c>
      <c r="AK485" s="100">
        <f t="shared" si="223"/>
        <v>0</v>
      </c>
      <c r="AL485" s="100">
        <f t="shared" si="224"/>
        <v>0</v>
      </c>
      <c r="AN485" s="100">
        <f t="shared" si="225"/>
        <v>4313.0400886780044</v>
      </c>
      <c r="AO485" s="20">
        <f t="shared" si="226"/>
        <v>0</v>
      </c>
      <c r="AQ485" s="109">
        <f t="shared" si="239"/>
        <v>0</v>
      </c>
      <c r="AU485" s="109">
        <f t="shared" si="240"/>
        <v>25.999442631810382</v>
      </c>
      <c r="AV485" s="101">
        <f t="shared" si="236"/>
        <v>54804</v>
      </c>
      <c r="AW485" s="99">
        <f t="shared" si="234"/>
        <v>0</v>
      </c>
      <c r="AX485" s="1">
        <f t="shared" si="241"/>
        <v>0</v>
      </c>
      <c r="AY485" s="29">
        <f t="shared" si="242"/>
        <v>0</v>
      </c>
      <c r="AZ485" s="1">
        <f t="shared" si="243"/>
        <v>0</v>
      </c>
      <c r="CB485" s="20">
        <f t="shared" si="221"/>
        <v>0</v>
      </c>
      <c r="CC485" s="173">
        <f t="shared" si="244"/>
        <v>0</v>
      </c>
    </row>
    <row r="486" spans="2:81" x14ac:dyDescent="0.25">
      <c r="B486" s="41"/>
      <c r="C486" s="42"/>
      <c r="D486" s="43"/>
      <c r="E486" s="44"/>
      <c r="F486" s="44"/>
      <c r="G486" s="45"/>
      <c r="H486" s="81" t="str">
        <f t="shared" si="235"/>
        <v/>
      </c>
      <c r="J486" s="9"/>
      <c r="K486" s="10"/>
      <c r="L486" s="17"/>
      <c r="M486" s="23"/>
      <c r="N486" s="23"/>
      <c r="O486" s="23"/>
      <c r="P486" s="23"/>
      <c r="Q486" s="1">
        <f t="shared" si="245"/>
        <v>0.60744618579017706</v>
      </c>
      <c r="R486" s="12">
        <f t="shared" ca="1" si="228"/>
        <v>13682</v>
      </c>
      <c r="S486" s="88">
        <f t="shared" si="233"/>
        <v>0</v>
      </c>
      <c r="T486" s="19">
        <f t="shared" si="237"/>
        <v>0</v>
      </c>
      <c r="U486" s="19">
        <f t="shared" si="227"/>
        <v>0</v>
      </c>
      <c r="V486" s="19">
        <f t="shared" si="250"/>
        <v>0</v>
      </c>
      <c r="W486" s="20">
        <f t="shared" ca="1" si="229"/>
        <v>0</v>
      </c>
      <c r="X486" s="19">
        <f t="shared" ca="1" si="230"/>
        <v>0</v>
      </c>
      <c r="Y486" s="19">
        <f t="shared" ca="1" si="231"/>
        <v>0</v>
      </c>
      <c r="Z486" s="20">
        <f t="shared" ca="1" si="232"/>
        <v>0</v>
      </c>
      <c r="AA486" s="1">
        <f t="shared" si="246"/>
        <v>5432.58</v>
      </c>
      <c r="AB486" s="93"/>
      <c r="AC486" s="94"/>
      <c r="AD486" s="101">
        <f t="shared" si="247"/>
        <v>54804</v>
      </c>
      <c r="AE486" s="103">
        <f t="shared" si="248"/>
        <v>0</v>
      </c>
      <c r="AG486" s="1">
        <f t="shared" si="238"/>
        <v>0</v>
      </c>
      <c r="AH486" s="1">
        <f t="shared" si="222"/>
        <v>0</v>
      </c>
      <c r="AI486" s="1">
        <f t="shared" si="249"/>
        <v>5432.58</v>
      </c>
      <c r="AJ486" s="20">
        <f t="shared" si="220"/>
        <v>0</v>
      </c>
      <c r="AK486" s="100">
        <f t="shared" si="223"/>
        <v>0</v>
      </c>
      <c r="AL486" s="100">
        <f t="shared" si="224"/>
        <v>0</v>
      </c>
      <c r="AN486" s="100">
        <f t="shared" si="225"/>
        <v>4310.8579101821506</v>
      </c>
      <c r="AO486" s="20">
        <f t="shared" si="226"/>
        <v>0</v>
      </c>
      <c r="AQ486" s="109">
        <f t="shared" si="239"/>
        <v>0</v>
      </c>
      <c r="AU486" s="109">
        <f t="shared" si="240"/>
        <v>25.997160658819229</v>
      </c>
      <c r="AV486" s="101">
        <f t="shared" si="236"/>
        <v>54834</v>
      </c>
      <c r="AW486" s="99">
        <f t="shared" si="234"/>
        <v>0</v>
      </c>
      <c r="AX486" s="1">
        <f t="shared" si="241"/>
        <v>0</v>
      </c>
      <c r="AY486" s="29">
        <f t="shared" si="242"/>
        <v>0</v>
      </c>
      <c r="AZ486" s="1">
        <f t="shared" si="243"/>
        <v>0</v>
      </c>
      <c r="CB486" s="20">
        <f t="shared" si="221"/>
        <v>0</v>
      </c>
      <c r="CC486" s="173">
        <f t="shared" si="244"/>
        <v>0</v>
      </c>
    </row>
    <row r="487" spans="2:81" x14ac:dyDescent="0.25">
      <c r="B487" s="41"/>
      <c r="C487" s="42"/>
      <c r="D487" s="43"/>
      <c r="E487" s="44"/>
      <c r="F487" s="44"/>
      <c r="G487" s="45"/>
      <c r="H487" s="81" t="str">
        <f t="shared" si="235"/>
        <v/>
      </c>
      <c r="J487" s="7"/>
      <c r="K487" s="8"/>
      <c r="L487" s="16"/>
      <c r="M487" s="22"/>
      <c r="N487" s="22"/>
      <c r="O487" s="22"/>
      <c r="P487" s="22"/>
      <c r="Q487" s="1">
        <f t="shared" si="245"/>
        <v>0.60744618579017706</v>
      </c>
      <c r="R487" s="12">
        <f t="shared" ca="1" si="228"/>
        <v>13712</v>
      </c>
      <c r="S487" s="88">
        <f t="shared" si="233"/>
        <v>0</v>
      </c>
      <c r="T487" s="19">
        <f t="shared" si="237"/>
        <v>0</v>
      </c>
      <c r="U487" s="19">
        <f t="shared" si="227"/>
        <v>0</v>
      </c>
      <c r="V487" s="19">
        <f t="shared" si="250"/>
        <v>0</v>
      </c>
      <c r="W487" s="20">
        <f t="shared" ca="1" si="229"/>
        <v>0</v>
      </c>
      <c r="X487" s="19">
        <f t="shared" ca="1" si="230"/>
        <v>0</v>
      </c>
      <c r="Y487" s="19">
        <f t="shared" ca="1" si="231"/>
        <v>0</v>
      </c>
      <c r="Z487" s="20">
        <f t="shared" ca="1" si="232"/>
        <v>0</v>
      </c>
      <c r="AA487" s="1">
        <f t="shared" si="246"/>
        <v>5432.58</v>
      </c>
      <c r="AB487" s="91"/>
      <c r="AC487" s="92"/>
      <c r="AD487" s="101">
        <f t="shared" si="247"/>
        <v>54834</v>
      </c>
      <c r="AE487" s="103">
        <f t="shared" si="248"/>
        <v>0</v>
      </c>
      <c r="AG487" s="1">
        <f t="shared" si="238"/>
        <v>0</v>
      </c>
      <c r="AH487" s="1">
        <f t="shared" si="222"/>
        <v>0</v>
      </c>
      <c r="AI487" s="1">
        <f t="shared" si="249"/>
        <v>5432.58</v>
      </c>
      <c r="AJ487" s="20">
        <f t="shared" si="220"/>
        <v>0</v>
      </c>
      <c r="AK487" s="100">
        <f t="shared" si="223"/>
        <v>0</v>
      </c>
      <c r="AL487" s="100">
        <f t="shared" si="224"/>
        <v>0</v>
      </c>
      <c r="AN487" s="100">
        <f t="shared" si="225"/>
        <v>4308.6768357574147</v>
      </c>
      <c r="AO487" s="20">
        <f t="shared" si="226"/>
        <v>0</v>
      </c>
      <c r="AQ487" s="109">
        <f t="shared" si="239"/>
        <v>0</v>
      </c>
      <c r="AU487" s="109">
        <f t="shared" si="240"/>
        <v>25.994878886116993</v>
      </c>
      <c r="AV487" s="101">
        <f t="shared" si="236"/>
        <v>54864</v>
      </c>
      <c r="AW487" s="99">
        <f t="shared" si="234"/>
        <v>0</v>
      </c>
      <c r="AX487" s="1">
        <f t="shared" si="241"/>
        <v>0</v>
      </c>
      <c r="AY487" s="29">
        <f t="shared" si="242"/>
        <v>0</v>
      </c>
      <c r="AZ487" s="1">
        <f t="shared" si="243"/>
        <v>0</v>
      </c>
      <c r="CB487" s="20">
        <f t="shared" si="221"/>
        <v>0</v>
      </c>
      <c r="CC487" s="173">
        <f t="shared" si="244"/>
        <v>0</v>
      </c>
    </row>
    <row r="488" spans="2:81" x14ac:dyDescent="0.25">
      <c r="B488" s="41"/>
      <c r="C488" s="42"/>
      <c r="D488" s="43"/>
      <c r="E488" s="44"/>
      <c r="F488" s="44"/>
      <c r="G488" s="45"/>
      <c r="H488" s="81" t="str">
        <f t="shared" si="235"/>
        <v/>
      </c>
      <c r="J488" s="9"/>
      <c r="K488" s="10"/>
      <c r="L488" s="17"/>
      <c r="M488" s="23"/>
      <c r="N488" s="23"/>
      <c r="O488" s="23"/>
      <c r="P488" s="23"/>
      <c r="Q488" s="1">
        <f t="shared" si="245"/>
        <v>0.60744618579017706</v>
      </c>
      <c r="R488" s="12">
        <f t="shared" ca="1" si="228"/>
        <v>13742</v>
      </c>
      <c r="S488" s="88">
        <f t="shared" si="233"/>
        <v>0</v>
      </c>
      <c r="T488" s="19">
        <f t="shared" si="237"/>
        <v>0</v>
      </c>
      <c r="U488" s="19">
        <f t="shared" si="227"/>
        <v>0</v>
      </c>
      <c r="V488" s="19">
        <f t="shared" si="250"/>
        <v>0</v>
      </c>
      <c r="W488" s="20">
        <f t="shared" ca="1" si="229"/>
        <v>0</v>
      </c>
      <c r="X488" s="19">
        <f t="shared" ca="1" si="230"/>
        <v>0</v>
      </c>
      <c r="Y488" s="19">
        <f t="shared" ca="1" si="231"/>
        <v>0</v>
      </c>
      <c r="Z488" s="20">
        <f t="shared" ca="1" si="232"/>
        <v>0</v>
      </c>
      <c r="AA488" s="1">
        <f t="shared" si="246"/>
        <v>5432.58</v>
      </c>
      <c r="AB488" s="93"/>
      <c r="AC488" s="94"/>
      <c r="AD488" s="101">
        <f t="shared" si="247"/>
        <v>54864</v>
      </c>
      <c r="AE488" s="103">
        <f t="shared" si="248"/>
        <v>0</v>
      </c>
      <c r="AG488" s="1">
        <f t="shared" si="238"/>
        <v>0</v>
      </c>
      <c r="AH488" s="1">
        <f t="shared" si="222"/>
        <v>0</v>
      </c>
      <c r="AI488" s="1">
        <f t="shared" si="249"/>
        <v>5432.58</v>
      </c>
      <c r="AJ488" s="20">
        <f t="shared" ref="AJ488:AJ551" si="251">IF(ISERROR(IF(V487+U488+T488+(V487*Q488/1200)-AA488-P488&lt;0,V487,-(U488+T488-AA488+P488-AH488))),0,IF(V487+U488+T488+(V487*Q488/1200)-AA488-P488&lt;0,0,-(U488+T488-AA488-AH488)))</f>
        <v>0</v>
      </c>
      <c r="AK488" s="100">
        <f t="shared" si="223"/>
        <v>0</v>
      </c>
      <c r="AL488" s="100">
        <f t="shared" si="224"/>
        <v>0</v>
      </c>
      <c r="AN488" s="100">
        <f t="shared" si="225"/>
        <v>4306.4968648451913</v>
      </c>
      <c r="AO488" s="20">
        <f t="shared" si="226"/>
        <v>0</v>
      </c>
      <c r="AQ488" s="109">
        <f t="shared" si="239"/>
        <v>0</v>
      </c>
      <c r="AU488" s="109">
        <f t="shared" si="240"/>
        <v>25.992597313686144</v>
      </c>
      <c r="AV488" s="101">
        <f t="shared" si="236"/>
        <v>54894</v>
      </c>
      <c r="AW488" s="99">
        <f t="shared" si="234"/>
        <v>0</v>
      </c>
      <c r="AX488" s="1">
        <f t="shared" si="241"/>
        <v>0</v>
      </c>
      <c r="AY488" s="29">
        <f t="shared" si="242"/>
        <v>0</v>
      </c>
      <c r="AZ488" s="1">
        <f t="shared" si="243"/>
        <v>0</v>
      </c>
      <c r="CB488" s="20">
        <f t="shared" si="221"/>
        <v>0</v>
      </c>
      <c r="CC488" s="173">
        <f t="shared" si="244"/>
        <v>0</v>
      </c>
    </row>
    <row r="489" spans="2:81" x14ac:dyDescent="0.25">
      <c r="B489" s="41"/>
      <c r="C489" s="42"/>
      <c r="D489" s="43"/>
      <c r="E489" s="44"/>
      <c r="F489" s="44"/>
      <c r="G489" s="45"/>
      <c r="H489" s="81" t="str">
        <f t="shared" si="235"/>
        <v/>
      </c>
      <c r="J489" s="7"/>
      <c r="K489" s="8"/>
      <c r="L489" s="16"/>
      <c r="M489" s="22"/>
      <c r="N489" s="22"/>
      <c r="O489" s="22"/>
      <c r="P489" s="22"/>
      <c r="Q489" s="1">
        <f t="shared" si="245"/>
        <v>0.60744618579017706</v>
      </c>
      <c r="R489" s="12">
        <f t="shared" ca="1" si="228"/>
        <v>13772</v>
      </c>
      <c r="S489" s="88">
        <f t="shared" si="233"/>
        <v>0</v>
      </c>
      <c r="T489" s="19">
        <f t="shared" si="237"/>
        <v>0</v>
      </c>
      <c r="U489" s="19">
        <f t="shared" si="227"/>
        <v>0</v>
      </c>
      <c r="V489" s="19">
        <f t="shared" si="250"/>
        <v>0</v>
      </c>
      <c r="W489" s="20">
        <f t="shared" ca="1" si="229"/>
        <v>0</v>
      </c>
      <c r="X489" s="19">
        <f t="shared" ca="1" si="230"/>
        <v>0</v>
      </c>
      <c r="Y489" s="19">
        <f t="shared" ca="1" si="231"/>
        <v>0</v>
      </c>
      <c r="Z489" s="20">
        <f t="shared" ca="1" si="232"/>
        <v>0</v>
      </c>
      <c r="AA489" s="1">
        <f t="shared" si="246"/>
        <v>5432.58</v>
      </c>
      <c r="AB489" s="91"/>
      <c r="AC489" s="92"/>
      <c r="AD489" s="101">
        <f t="shared" si="247"/>
        <v>54894</v>
      </c>
      <c r="AE489" s="103">
        <f t="shared" si="248"/>
        <v>0</v>
      </c>
      <c r="AG489" s="1">
        <f t="shared" si="238"/>
        <v>0</v>
      </c>
      <c r="AH489" s="1">
        <f t="shared" si="222"/>
        <v>0</v>
      </c>
      <c r="AI489" s="1">
        <f t="shared" si="249"/>
        <v>5432.58</v>
      </c>
      <c r="AJ489" s="20">
        <f t="shared" si="251"/>
        <v>0</v>
      </c>
      <c r="AK489" s="100">
        <f t="shared" si="223"/>
        <v>0</v>
      </c>
      <c r="AL489" s="100">
        <f t="shared" si="224"/>
        <v>0</v>
      </c>
      <c r="AN489" s="100">
        <f t="shared" si="225"/>
        <v>4304.3179968871591</v>
      </c>
      <c r="AO489" s="20">
        <f t="shared" si="226"/>
        <v>0</v>
      </c>
      <c r="AQ489" s="109">
        <f t="shared" si="239"/>
        <v>0</v>
      </c>
      <c r="AU489" s="109">
        <f t="shared" si="240"/>
        <v>25.990315941509056</v>
      </c>
      <c r="AV489" s="101">
        <f t="shared" si="236"/>
        <v>54924</v>
      </c>
      <c r="AW489" s="99">
        <f t="shared" si="234"/>
        <v>0</v>
      </c>
      <c r="AX489" s="1">
        <f t="shared" si="241"/>
        <v>0</v>
      </c>
      <c r="AY489" s="29">
        <f t="shared" si="242"/>
        <v>0</v>
      </c>
      <c r="AZ489" s="1">
        <f t="shared" si="243"/>
        <v>0</v>
      </c>
      <c r="CB489" s="20">
        <f t="shared" si="221"/>
        <v>0</v>
      </c>
      <c r="CC489" s="173">
        <f t="shared" si="244"/>
        <v>0</v>
      </c>
    </row>
    <row r="490" spans="2:81" x14ac:dyDescent="0.25">
      <c r="B490" s="41"/>
      <c r="C490" s="42"/>
      <c r="D490" s="43"/>
      <c r="E490" s="44"/>
      <c r="F490" s="44"/>
      <c r="G490" s="45"/>
      <c r="H490" s="81" t="str">
        <f t="shared" si="235"/>
        <v/>
      </c>
      <c r="J490" s="9"/>
      <c r="K490" s="10"/>
      <c r="L490" s="17"/>
      <c r="M490" s="23"/>
      <c r="N490" s="23"/>
      <c r="O490" s="23"/>
      <c r="P490" s="23"/>
      <c r="Q490" s="1">
        <f t="shared" si="245"/>
        <v>0.60744618579017706</v>
      </c>
      <c r="R490" s="12">
        <f t="shared" ca="1" si="228"/>
        <v>13802</v>
      </c>
      <c r="S490" s="88">
        <f t="shared" si="233"/>
        <v>0</v>
      </c>
      <c r="T490" s="19">
        <f t="shared" si="237"/>
        <v>0</v>
      </c>
      <c r="U490" s="19">
        <f t="shared" si="227"/>
        <v>0</v>
      </c>
      <c r="V490" s="19">
        <f t="shared" si="250"/>
        <v>0</v>
      </c>
      <c r="W490" s="20">
        <f t="shared" ca="1" si="229"/>
        <v>0</v>
      </c>
      <c r="X490" s="19">
        <f t="shared" ca="1" si="230"/>
        <v>0</v>
      </c>
      <c r="Y490" s="19">
        <f t="shared" ca="1" si="231"/>
        <v>0</v>
      </c>
      <c r="Z490" s="20">
        <f t="shared" ca="1" si="232"/>
        <v>0</v>
      </c>
      <c r="AA490" s="1">
        <f t="shared" si="246"/>
        <v>5432.58</v>
      </c>
      <c r="AB490" s="93"/>
      <c r="AC490" s="94"/>
      <c r="AD490" s="101">
        <f t="shared" si="247"/>
        <v>54924</v>
      </c>
      <c r="AE490" s="103">
        <f t="shared" si="248"/>
        <v>0</v>
      </c>
      <c r="AG490" s="1">
        <f t="shared" si="238"/>
        <v>0</v>
      </c>
      <c r="AH490" s="1">
        <f t="shared" si="222"/>
        <v>0</v>
      </c>
      <c r="AI490" s="1">
        <f t="shared" si="249"/>
        <v>5432.58</v>
      </c>
      <c r="AJ490" s="20">
        <f t="shared" si="251"/>
        <v>0</v>
      </c>
      <c r="AK490" s="100">
        <f t="shared" si="223"/>
        <v>0</v>
      </c>
      <c r="AL490" s="100">
        <f t="shared" si="224"/>
        <v>0</v>
      </c>
      <c r="AN490" s="100">
        <f t="shared" si="225"/>
        <v>4302.1402313252811</v>
      </c>
      <c r="AO490" s="20">
        <f t="shared" si="226"/>
        <v>0</v>
      </c>
      <c r="AQ490" s="109">
        <f t="shared" si="239"/>
        <v>0</v>
      </c>
      <c r="AU490" s="109">
        <f t="shared" si="240"/>
        <v>25.988034769568166</v>
      </c>
      <c r="AV490" s="101">
        <f t="shared" si="236"/>
        <v>54954</v>
      </c>
      <c r="AW490" s="99">
        <f t="shared" si="234"/>
        <v>0</v>
      </c>
      <c r="AX490" s="1">
        <f t="shared" si="241"/>
        <v>0</v>
      </c>
      <c r="AY490" s="29">
        <f t="shared" si="242"/>
        <v>0</v>
      </c>
      <c r="AZ490" s="1">
        <f t="shared" si="243"/>
        <v>0</v>
      </c>
      <c r="CB490" s="20">
        <f t="shared" si="221"/>
        <v>0</v>
      </c>
      <c r="CC490" s="173">
        <f t="shared" si="244"/>
        <v>0</v>
      </c>
    </row>
    <row r="491" spans="2:81" x14ac:dyDescent="0.25">
      <c r="B491" s="41"/>
      <c r="C491" s="42"/>
      <c r="D491" s="43"/>
      <c r="E491" s="44"/>
      <c r="F491" s="44"/>
      <c r="G491" s="45"/>
      <c r="H491" s="81" t="str">
        <f t="shared" si="235"/>
        <v/>
      </c>
      <c r="J491" s="7"/>
      <c r="K491" s="8"/>
      <c r="L491" s="16"/>
      <c r="M491" s="22"/>
      <c r="N491" s="22"/>
      <c r="O491" s="22"/>
      <c r="P491" s="22"/>
      <c r="Q491" s="1">
        <f t="shared" si="245"/>
        <v>0.60744618579017706</v>
      </c>
      <c r="R491" s="12">
        <f t="shared" ca="1" si="228"/>
        <v>13832</v>
      </c>
      <c r="S491" s="88">
        <f t="shared" si="233"/>
        <v>0</v>
      </c>
      <c r="T491" s="19">
        <f t="shared" si="237"/>
        <v>0</v>
      </c>
      <c r="U491" s="19">
        <f t="shared" si="227"/>
        <v>0</v>
      </c>
      <c r="V491" s="19">
        <f t="shared" si="250"/>
        <v>0</v>
      </c>
      <c r="W491" s="20">
        <f t="shared" ca="1" si="229"/>
        <v>0</v>
      </c>
      <c r="X491" s="19">
        <f t="shared" ca="1" si="230"/>
        <v>0</v>
      </c>
      <c r="Y491" s="19">
        <f t="shared" ca="1" si="231"/>
        <v>0</v>
      </c>
      <c r="Z491" s="20">
        <f t="shared" ca="1" si="232"/>
        <v>0</v>
      </c>
      <c r="AA491" s="1">
        <f t="shared" si="246"/>
        <v>5432.58</v>
      </c>
      <c r="AB491" s="91"/>
      <c r="AC491" s="92"/>
      <c r="AD491" s="101">
        <f t="shared" si="247"/>
        <v>54954</v>
      </c>
      <c r="AE491" s="103">
        <f t="shared" si="248"/>
        <v>0</v>
      </c>
      <c r="AG491" s="1">
        <f t="shared" si="238"/>
        <v>0</v>
      </c>
      <c r="AH491" s="1">
        <f t="shared" si="222"/>
        <v>0</v>
      </c>
      <c r="AI491" s="1">
        <f t="shared" si="249"/>
        <v>5432.58</v>
      </c>
      <c r="AJ491" s="20">
        <f t="shared" si="251"/>
        <v>0</v>
      </c>
      <c r="AK491" s="100">
        <f t="shared" si="223"/>
        <v>0</v>
      </c>
      <c r="AL491" s="100">
        <f t="shared" si="224"/>
        <v>0</v>
      </c>
      <c r="AN491" s="100">
        <f t="shared" si="225"/>
        <v>4299.9635676018006</v>
      </c>
      <c r="AO491" s="20">
        <f t="shared" si="226"/>
        <v>0</v>
      </c>
      <c r="AQ491" s="109">
        <f t="shared" si="239"/>
        <v>0</v>
      </c>
      <c r="AU491" s="109">
        <f t="shared" si="240"/>
        <v>25.98575379784592</v>
      </c>
      <c r="AV491" s="101">
        <f t="shared" si="236"/>
        <v>54984</v>
      </c>
      <c r="AW491" s="99">
        <f t="shared" si="234"/>
        <v>0</v>
      </c>
      <c r="AX491" s="1">
        <f t="shared" si="241"/>
        <v>0</v>
      </c>
      <c r="AY491" s="29">
        <f t="shared" si="242"/>
        <v>0</v>
      </c>
      <c r="AZ491" s="1">
        <f t="shared" si="243"/>
        <v>0</v>
      </c>
      <c r="CB491" s="20">
        <f t="shared" si="221"/>
        <v>0</v>
      </c>
      <c r="CC491" s="173">
        <f t="shared" si="244"/>
        <v>0</v>
      </c>
    </row>
    <row r="492" spans="2:81" x14ac:dyDescent="0.25">
      <c r="B492" s="41"/>
      <c r="C492" s="42"/>
      <c r="D492" s="43"/>
      <c r="E492" s="44"/>
      <c r="F492" s="44"/>
      <c r="G492" s="45"/>
      <c r="H492" s="81" t="str">
        <f t="shared" si="235"/>
        <v/>
      </c>
      <c r="J492" s="9"/>
      <c r="K492" s="10"/>
      <c r="L492" s="17"/>
      <c r="M492" s="23"/>
      <c r="N492" s="23"/>
      <c r="O492" s="23"/>
      <c r="P492" s="23"/>
      <c r="Q492" s="1">
        <f t="shared" si="245"/>
        <v>0.60744618579017706</v>
      </c>
      <c r="R492" s="12">
        <f t="shared" ca="1" si="228"/>
        <v>13862</v>
      </c>
      <c r="S492" s="88">
        <f t="shared" si="233"/>
        <v>0</v>
      </c>
      <c r="T492" s="19">
        <f t="shared" si="237"/>
        <v>0</v>
      </c>
      <c r="U492" s="19">
        <f t="shared" si="227"/>
        <v>0</v>
      </c>
      <c r="V492" s="19">
        <f t="shared" si="250"/>
        <v>0</v>
      </c>
      <c r="W492" s="20">
        <f t="shared" ca="1" si="229"/>
        <v>0</v>
      </c>
      <c r="X492" s="19">
        <f t="shared" ca="1" si="230"/>
        <v>0</v>
      </c>
      <c r="Y492" s="19">
        <f t="shared" ca="1" si="231"/>
        <v>0</v>
      </c>
      <c r="Z492" s="20">
        <f t="shared" ca="1" si="232"/>
        <v>0</v>
      </c>
      <c r="AA492" s="1">
        <f t="shared" si="246"/>
        <v>5432.58</v>
      </c>
      <c r="AB492" s="93"/>
      <c r="AC492" s="94"/>
      <c r="AD492" s="101">
        <f t="shared" si="247"/>
        <v>54984</v>
      </c>
      <c r="AE492" s="103">
        <f t="shared" si="248"/>
        <v>0</v>
      </c>
      <c r="AG492" s="1">
        <f t="shared" si="238"/>
        <v>0</v>
      </c>
      <c r="AH492" s="1">
        <f t="shared" si="222"/>
        <v>0</v>
      </c>
      <c r="AI492" s="1">
        <f t="shared" si="249"/>
        <v>5432.58</v>
      </c>
      <c r="AJ492" s="20">
        <f t="shared" si="251"/>
        <v>0</v>
      </c>
      <c r="AK492" s="100">
        <f t="shared" si="223"/>
        <v>0</v>
      </c>
      <c r="AL492" s="100">
        <f t="shared" si="224"/>
        <v>0</v>
      </c>
      <c r="AN492" s="100">
        <f t="shared" si="225"/>
        <v>4297.7880051592429</v>
      </c>
      <c r="AO492" s="20">
        <f t="shared" si="226"/>
        <v>0</v>
      </c>
      <c r="AQ492" s="109">
        <f t="shared" si="239"/>
        <v>0</v>
      </c>
      <c r="AU492" s="109">
        <f t="shared" si="240"/>
        <v>25.983473026324727</v>
      </c>
      <c r="AV492" s="101">
        <f t="shared" si="236"/>
        <v>55014</v>
      </c>
      <c r="AW492" s="99">
        <f t="shared" si="234"/>
        <v>0</v>
      </c>
      <c r="AX492" s="1">
        <f t="shared" si="241"/>
        <v>0</v>
      </c>
      <c r="AY492" s="29">
        <f t="shared" si="242"/>
        <v>0</v>
      </c>
      <c r="AZ492" s="1">
        <f t="shared" si="243"/>
        <v>0</v>
      </c>
      <c r="CB492" s="20">
        <f t="shared" si="221"/>
        <v>0</v>
      </c>
      <c r="CC492" s="173">
        <f t="shared" si="244"/>
        <v>0</v>
      </c>
    </row>
    <row r="493" spans="2:81" x14ac:dyDescent="0.25">
      <c r="B493" s="41"/>
      <c r="C493" s="42"/>
      <c r="D493" s="43"/>
      <c r="E493" s="44"/>
      <c r="F493" s="44"/>
      <c r="G493" s="45"/>
      <c r="H493" s="81" t="str">
        <f t="shared" si="235"/>
        <v/>
      </c>
      <c r="J493" s="7"/>
      <c r="K493" s="8"/>
      <c r="L493" s="16"/>
      <c r="M493" s="22"/>
      <c r="N493" s="22"/>
      <c r="O493" s="22"/>
      <c r="P493" s="22"/>
      <c r="Q493" s="1">
        <f t="shared" si="245"/>
        <v>0.60744618579017706</v>
      </c>
      <c r="R493" s="12">
        <f t="shared" ca="1" si="228"/>
        <v>13892</v>
      </c>
      <c r="S493" s="88">
        <f t="shared" si="233"/>
        <v>0</v>
      </c>
      <c r="T493" s="19">
        <f t="shared" si="237"/>
        <v>0</v>
      </c>
      <c r="U493" s="19">
        <f t="shared" si="227"/>
        <v>0</v>
      </c>
      <c r="V493" s="19">
        <f t="shared" si="250"/>
        <v>0</v>
      </c>
      <c r="W493" s="20">
        <f t="shared" ca="1" si="229"/>
        <v>0</v>
      </c>
      <c r="X493" s="19">
        <f t="shared" ca="1" si="230"/>
        <v>0</v>
      </c>
      <c r="Y493" s="19">
        <f t="shared" ca="1" si="231"/>
        <v>0</v>
      </c>
      <c r="Z493" s="20">
        <f t="shared" ca="1" si="232"/>
        <v>0</v>
      </c>
      <c r="AA493" s="1">
        <f t="shared" si="246"/>
        <v>5432.58</v>
      </c>
      <c r="AB493" s="91"/>
      <c r="AC493" s="92"/>
      <c r="AD493" s="101">
        <f t="shared" si="247"/>
        <v>55014</v>
      </c>
      <c r="AE493" s="103">
        <f t="shared" si="248"/>
        <v>0</v>
      </c>
      <c r="AG493" s="1">
        <f t="shared" si="238"/>
        <v>0</v>
      </c>
      <c r="AH493" s="1">
        <f t="shared" si="222"/>
        <v>0</v>
      </c>
      <c r="AI493" s="1">
        <f t="shared" si="249"/>
        <v>5432.58</v>
      </c>
      <c r="AJ493" s="20">
        <f t="shared" si="251"/>
        <v>0</v>
      </c>
      <c r="AK493" s="100">
        <f t="shared" si="223"/>
        <v>0</v>
      </c>
      <c r="AL493" s="100">
        <f t="shared" si="224"/>
        <v>0</v>
      </c>
      <c r="AN493" s="100">
        <f t="shared" si="225"/>
        <v>4295.6135434404168</v>
      </c>
      <c r="AO493" s="20">
        <f t="shared" si="226"/>
        <v>0</v>
      </c>
      <c r="AQ493" s="109">
        <f t="shared" si="239"/>
        <v>0</v>
      </c>
      <c r="AU493" s="109">
        <f t="shared" si="240"/>
        <v>25.981192454987013</v>
      </c>
      <c r="AV493" s="101">
        <f t="shared" si="236"/>
        <v>55044</v>
      </c>
      <c r="AW493" s="99">
        <f t="shared" si="234"/>
        <v>0</v>
      </c>
      <c r="AX493" s="1">
        <f t="shared" si="241"/>
        <v>0</v>
      </c>
      <c r="AY493" s="29">
        <f t="shared" si="242"/>
        <v>0</v>
      </c>
      <c r="AZ493" s="1">
        <f t="shared" si="243"/>
        <v>0</v>
      </c>
      <c r="CB493" s="20">
        <f t="shared" si="221"/>
        <v>0</v>
      </c>
      <c r="CC493" s="173">
        <f t="shared" si="244"/>
        <v>0</v>
      </c>
    </row>
    <row r="494" spans="2:81" x14ac:dyDescent="0.25">
      <c r="B494" s="41"/>
      <c r="C494" s="42"/>
      <c r="D494" s="43"/>
      <c r="E494" s="44"/>
      <c r="F494" s="44"/>
      <c r="G494" s="45"/>
      <c r="H494" s="81" t="str">
        <f t="shared" si="235"/>
        <v/>
      </c>
      <c r="J494" s="9"/>
      <c r="K494" s="10"/>
      <c r="L494" s="17"/>
      <c r="M494" s="23"/>
      <c r="N494" s="23"/>
      <c r="O494" s="23"/>
      <c r="P494" s="23"/>
      <c r="Q494" s="1">
        <f t="shared" si="245"/>
        <v>0.60744618579017706</v>
      </c>
      <c r="R494" s="12">
        <f t="shared" ca="1" si="228"/>
        <v>13922</v>
      </c>
      <c r="S494" s="88">
        <f t="shared" si="233"/>
        <v>0</v>
      </c>
      <c r="T494" s="19">
        <f t="shared" si="237"/>
        <v>0</v>
      </c>
      <c r="U494" s="19">
        <f t="shared" si="227"/>
        <v>0</v>
      </c>
      <c r="V494" s="19">
        <f t="shared" si="250"/>
        <v>0</v>
      </c>
      <c r="W494" s="20">
        <f t="shared" ca="1" si="229"/>
        <v>0</v>
      </c>
      <c r="X494" s="19">
        <f t="shared" ca="1" si="230"/>
        <v>0</v>
      </c>
      <c r="Y494" s="19">
        <f t="shared" ca="1" si="231"/>
        <v>0</v>
      </c>
      <c r="Z494" s="20">
        <f t="shared" ca="1" si="232"/>
        <v>0</v>
      </c>
      <c r="AA494" s="1">
        <f t="shared" si="246"/>
        <v>5432.58</v>
      </c>
      <c r="AB494" s="93"/>
      <c r="AC494" s="94"/>
      <c r="AD494" s="101">
        <f t="shared" si="247"/>
        <v>55044</v>
      </c>
      <c r="AE494" s="103">
        <f t="shared" si="248"/>
        <v>0</v>
      </c>
      <c r="AG494" s="1">
        <f t="shared" si="238"/>
        <v>0</v>
      </c>
      <c r="AH494" s="1">
        <f t="shared" si="222"/>
        <v>0</v>
      </c>
      <c r="AI494" s="1">
        <f t="shared" si="249"/>
        <v>5432.58</v>
      </c>
      <c r="AJ494" s="20">
        <f t="shared" si="251"/>
        <v>0</v>
      </c>
      <c r="AK494" s="100">
        <f t="shared" si="223"/>
        <v>0</v>
      </c>
      <c r="AL494" s="100">
        <f t="shared" si="224"/>
        <v>0</v>
      </c>
      <c r="AN494" s="100">
        <f t="shared" si="225"/>
        <v>4293.4401818884098</v>
      </c>
      <c r="AO494" s="20">
        <f t="shared" si="226"/>
        <v>0</v>
      </c>
      <c r="AQ494" s="109">
        <f t="shared" si="239"/>
        <v>0</v>
      </c>
      <c r="AU494" s="109">
        <f t="shared" si="240"/>
        <v>25.978912083815203</v>
      </c>
      <c r="AV494" s="101">
        <f t="shared" si="236"/>
        <v>55074</v>
      </c>
      <c r="AW494" s="99">
        <f t="shared" si="234"/>
        <v>0</v>
      </c>
      <c r="AX494" s="1">
        <f t="shared" si="241"/>
        <v>0</v>
      </c>
      <c r="AY494" s="29">
        <f t="shared" si="242"/>
        <v>0</v>
      </c>
      <c r="AZ494" s="1">
        <f t="shared" si="243"/>
        <v>0</v>
      </c>
      <c r="CB494" s="20">
        <f t="shared" ref="CB494:CB557" si="252">IF(O494=0,IF(P494&gt;0,V493,IF(O493=0,0,P494)),IF(O493=0,0,P494))</f>
        <v>0</v>
      </c>
      <c r="CC494" s="173">
        <f t="shared" si="244"/>
        <v>0</v>
      </c>
    </row>
    <row r="495" spans="2:81" x14ac:dyDescent="0.25">
      <c r="B495" s="41"/>
      <c r="C495" s="42"/>
      <c r="D495" s="43"/>
      <c r="E495" s="44"/>
      <c r="F495" s="44"/>
      <c r="G495" s="45"/>
      <c r="H495" s="81" t="str">
        <f t="shared" si="235"/>
        <v/>
      </c>
      <c r="J495" s="7"/>
      <c r="K495" s="8"/>
      <c r="L495" s="16"/>
      <c r="M495" s="22"/>
      <c r="N495" s="22"/>
      <c r="O495" s="22"/>
      <c r="P495" s="22"/>
      <c r="Q495" s="1">
        <f t="shared" si="245"/>
        <v>0.60744618579017706</v>
      </c>
      <c r="R495" s="12">
        <f t="shared" ca="1" si="228"/>
        <v>13952</v>
      </c>
      <c r="S495" s="88">
        <f t="shared" si="233"/>
        <v>0</v>
      </c>
      <c r="T495" s="19">
        <f t="shared" si="237"/>
        <v>0</v>
      </c>
      <c r="U495" s="19">
        <f t="shared" si="227"/>
        <v>0</v>
      </c>
      <c r="V495" s="19">
        <f t="shared" si="250"/>
        <v>0</v>
      </c>
      <c r="W495" s="20">
        <f t="shared" ca="1" si="229"/>
        <v>0</v>
      </c>
      <c r="X495" s="19">
        <f t="shared" ca="1" si="230"/>
        <v>0</v>
      </c>
      <c r="Y495" s="19">
        <f t="shared" ca="1" si="231"/>
        <v>0</v>
      </c>
      <c r="Z495" s="20">
        <f t="shared" ca="1" si="232"/>
        <v>0</v>
      </c>
      <c r="AA495" s="1">
        <f t="shared" si="246"/>
        <v>5432.58</v>
      </c>
      <c r="AB495" s="91"/>
      <c r="AC495" s="92"/>
      <c r="AD495" s="101">
        <f t="shared" si="247"/>
        <v>55074</v>
      </c>
      <c r="AE495" s="103">
        <f t="shared" si="248"/>
        <v>0</v>
      </c>
      <c r="AG495" s="1">
        <f t="shared" si="238"/>
        <v>0</v>
      </c>
      <c r="AH495" s="1">
        <f t="shared" ref="AH495:AH502" si="253">IF(ISERROR(IF(V494+U495+T495+(V494*Q495/1200)-AA495-P495&lt;0,0,(V494*Q495/1200))),0,IF(V494+U495+T495+(V494*Q495/1200)-AA495-P495&lt;0,0,(V494*Q495/1200)))</f>
        <v>0</v>
      </c>
      <c r="AI495" s="1">
        <f t="shared" si="249"/>
        <v>5432.58</v>
      </c>
      <c r="AJ495" s="20">
        <f t="shared" si="251"/>
        <v>0</v>
      </c>
      <c r="AK495" s="100">
        <f t="shared" ref="AK495:AK501" si="254">IF(ISERROR(AJ495/(1+(Q495)/1200)^(ROW()-29)),0,AJ495/(1+(Q495)/1200)^(ROW()-29))</f>
        <v>0</v>
      </c>
      <c r="AL495" s="100">
        <f t="shared" ref="AL495:AL501" si="255">IF(ISERROR((Q495/1200)*O495),0,(Q495/1200)*O495)</f>
        <v>0</v>
      </c>
      <c r="AN495" s="100">
        <f t="shared" ref="AN495:AN501" si="256">IF(ISERROR(AA495/(1+(Q495)/1200)^(ROW()-29)),0,AA495/(1+(Q495)/1200)^(ROW()-29))</f>
        <v>4291.2679199465974</v>
      </c>
      <c r="AO495" s="20">
        <f t="shared" ref="AO495:AO501" si="257">IF(ISERROR(V494+U495+T495+(V494*Q495/1200)-AA495-P495),0,IF(V494+U495+T495+(V494*Q495/1200)-AA495-P495&lt;0,V494,-(U495+T495-AA495+P495-AH495)))</f>
        <v>0</v>
      </c>
      <c r="AQ495" s="109">
        <f t="shared" si="239"/>
        <v>0</v>
      </c>
      <c r="AU495" s="109">
        <f t="shared" si="240"/>
        <v>25.97663191279176</v>
      </c>
      <c r="AV495" s="101">
        <f t="shared" si="236"/>
        <v>55104</v>
      </c>
      <c r="AW495" s="99">
        <f t="shared" si="234"/>
        <v>0</v>
      </c>
      <c r="AX495" s="1">
        <f t="shared" si="241"/>
        <v>0</v>
      </c>
      <c r="AY495" s="29">
        <f t="shared" si="242"/>
        <v>0</v>
      </c>
      <c r="AZ495" s="1">
        <f t="shared" si="243"/>
        <v>0</v>
      </c>
      <c r="CB495" s="20">
        <f t="shared" si="252"/>
        <v>0</v>
      </c>
      <c r="CC495" s="173">
        <f t="shared" si="244"/>
        <v>0</v>
      </c>
    </row>
    <row r="496" spans="2:81" x14ac:dyDescent="0.25">
      <c r="B496" s="41"/>
      <c r="C496" s="42"/>
      <c r="D496" s="43"/>
      <c r="E496" s="44"/>
      <c r="F496" s="44"/>
      <c r="G496" s="45"/>
      <c r="H496" s="81" t="str">
        <f t="shared" si="235"/>
        <v/>
      </c>
      <c r="J496" s="9"/>
      <c r="K496" s="10"/>
      <c r="L496" s="17"/>
      <c r="M496" s="23"/>
      <c r="N496" s="23"/>
      <c r="O496" s="23"/>
      <c r="P496" s="23"/>
      <c r="Q496" s="1">
        <f t="shared" si="245"/>
        <v>0.60744618579017706</v>
      </c>
      <c r="R496" s="12">
        <f t="shared" ca="1" si="228"/>
        <v>13982</v>
      </c>
      <c r="S496" s="88">
        <f t="shared" si="233"/>
        <v>0</v>
      </c>
      <c r="T496" s="19">
        <f t="shared" si="237"/>
        <v>0</v>
      </c>
      <c r="U496" s="19">
        <f t="shared" si="227"/>
        <v>0</v>
      </c>
      <c r="V496" s="19">
        <f t="shared" si="250"/>
        <v>0</v>
      </c>
      <c r="W496" s="20">
        <f t="shared" ca="1" si="229"/>
        <v>0</v>
      </c>
      <c r="X496" s="19">
        <f t="shared" ca="1" si="230"/>
        <v>0</v>
      </c>
      <c r="Y496" s="19">
        <f t="shared" ca="1" si="231"/>
        <v>0</v>
      </c>
      <c r="Z496" s="20">
        <f t="shared" ca="1" si="232"/>
        <v>0</v>
      </c>
      <c r="AA496" s="1">
        <f t="shared" si="246"/>
        <v>5432.58</v>
      </c>
      <c r="AB496" s="93"/>
      <c r="AC496" s="94"/>
      <c r="AD496" s="101">
        <f t="shared" si="247"/>
        <v>55104</v>
      </c>
      <c r="AE496" s="103">
        <f t="shared" si="248"/>
        <v>0</v>
      </c>
      <c r="AG496" s="1">
        <f t="shared" si="238"/>
        <v>0</v>
      </c>
      <c r="AH496" s="1">
        <f t="shared" si="253"/>
        <v>0</v>
      </c>
      <c r="AI496" s="1">
        <f t="shared" si="249"/>
        <v>5432.58</v>
      </c>
      <c r="AJ496" s="20">
        <f t="shared" si="251"/>
        <v>0</v>
      </c>
      <c r="AK496" s="100">
        <f t="shared" si="254"/>
        <v>0</v>
      </c>
      <c r="AL496" s="100">
        <f t="shared" si="255"/>
        <v>0</v>
      </c>
      <c r="AN496" s="100">
        <f t="shared" si="256"/>
        <v>4289.0967570586308</v>
      </c>
      <c r="AO496" s="20">
        <f t="shared" si="257"/>
        <v>0</v>
      </c>
      <c r="AQ496" s="109">
        <f t="shared" si="239"/>
        <v>0</v>
      </c>
      <c r="AU496" s="109">
        <f t="shared" si="240"/>
        <v>25.974351941899076</v>
      </c>
      <c r="AV496" s="101">
        <f t="shared" si="236"/>
        <v>55134</v>
      </c>
      <c r="AW496" s="99">
        <f t="shared" si="234"/>
        <v>0</v>
      </c>
      <c r="AX496" s="1">
        <f t="shared" si="241"/>
        <v>0</v>
      </c>
      <c r="AY496" s="29">
        <f t="shared" si="242"/>
        <v>0</v>
      </c>
      <c r="AZ496" s="1">
        <f t="shared" si="243"/>
        <v>0</v>
      </c>
      <c r="CB496" s="20">
        <f t="shared" si="252"/>
        <v>0</v>
      </c>
      <c r="CC496" s="173">
        <f t="shared" si="244"/>
        <v>0</v>
      </c>
    </row>
    <row r="497" spans="2:81" x14ac:dyDescent="0.25">
      <c r="B497" s="41"/>
      <c r="C497" s="42"/>
      <c r="D497" s="43"/>
      <c r="E497" s="44"/>
      <c r="F497" s="44"/>
      <c r="G497" s="45"/>
      <c r="H497" s="81" t="str">
        <f t="shared" si="235"/>
        <v/>
      </c>
      <c r="J497" s="7"/>
      <c r="K497" s="8"/>
      <c r="L497" s="16"/>
      <c r="M497" s="22"/>
      <c r="N497" s="22"/>
      <c r="O497" s="22"/>
      <c r="P497" s="22"/>
      <c r="Q497" s="1">
        <f t="shared" si="245"/>
        <v>0.60744618579017706</v>
      </c>
      <c r="R497" s="12">
        <f t="shared" ca="1" si="228"/>
        <v>14012</v>
      </c>
      <c r="S497" s="88">
        <f t="shared" si="233"/>
        <v>0</v>
      </c>
      <c r="T497" s="19">
        <f t="shared" si="237"/>
        <v>0</v>
      </c>
      <c r="U497" s="19">
        <f t="shared" si="227"/>
        <v>0</v>
      </c>
      <c r="V497" s="19">
        <f t="shared" si="250"/>
        <v>0</v>
      </c>
      <c r="W497" s="20">
        <f t="shared" ca="1" si="229"/>
        <v>0</v>
      </c>
      <c r="X497" s="19">
        <f t="shared" ca="1" si="230"/>
        <v>0</v>
      </c>
      <c r="Y497" s="19">
        <f t="shared" ca="1" si="231"/>
        <v>0</v>
      </c>
      <c r="Z497" s="20">
        <f t="shared" ca="1" si="232"/>
        <v>0</v>
      </c>
      <c r="AA497" s="1">
        <f t="shared" si="246"/>
        <v>5432.58</v>
      </c>
      <c r="AB497" s="91"/>
      <c r="AC497" s="92"/>
      <c r="AD497" s="101">
        <f t="shared" si="247"/>
        <v>55134</v>
      </c>
      <c r="AE497" s="103">
        <f t="shared" si="248"/>
        <v>0</v>
      </c>
      <c r="AG497" s="1">
        <f t="shared" si="238"/>
        <v>0</v>
      </c>
      <c r="AH497" s="1">
        <f t="shared" si="253"/>
        <v>0</v>
      </c>
      <c r="AI497" s="1">
        <f t="shared" si="249"/>
        <v>5432.58</v>
      </c>
      <c r="AJ497" s="20">
        <f t="shared" si="251"/>
        <v>0</v>
      </c>
      <c r="AK497" s="100">
        <f t="shared" si="254"/>
        <v>0</v>
      </c>
      <c r="AL497" s="100">
        <f t="shared" si="255"/>
        <v>0</v>
      </c>
      <c r="AN497" s="100">
        <f t="shared" si="256"/>
        <v>4286.9266926684422</v>
      </c>
      <c r="AO497" s="20">
        <f t="shared" si="257"/>
        <v>0</v>
      </c>
      <c r="AQ497" s="109">
        <f t="shared" si="239"/>
        <v>0</v>
      </c>
      <c r="AU497" s="109">
        <f t="shared" si="240"/>
        <v>25.972072171119621</v>
      </c>
      <c r="AV497" s="101">
        <f t="shared" si="236"/>
        <v>55164</v>
      </c>
      <c r="AW497" s="99">
        <f t="shared" si="234"/>
        <v>0</v>
      </c>
      <c r="AX497" s="1">
        <f t="shared" si="241"/>
        <v>0</v>
      </c>
      <c r="AY497" s="29">
        <f t="shared" si="242"/>
        <v>0</v>
      </c>
      <c r="AZ497" s="1">
        <f t="shared" si="243"/>
        <v>0</v>
      </c>
      <c r="CB497" s="20">
        <f t="shared" si="252"/>
        <v>0</v>
      </c>
      <c r="CC497" s="173">
        <f t="shared" si="244"/>
        <v>0</v>
      </c>
    </row>
    <row r="498" spans="2:81" x14ac:dyDescent="0.25">
      <c r="B498" s="41"/>
      <c r="C498" s="42"/>
      <c r="D498" s="43"/>
      <c r="E498" s="44"/>
      <c r="F498" s="44"/>
      <c r="G498" s="45"/>
      <c r="H498" s="81" t="str">
        <f t="shared" si="235"/>
        <v/>
      </c>
      <c r="J498" s="9"/>
      <c r="K498" s="10"/>
      <c r="L498" s="17"/>
      <c r="M498" s="23"/>
      <c r="N498" s="23"/>
      <c r="O498" s="23"/>
      <c r="P498" s="23"/>
      <c r="Q498" s="1">
        <f t="shared" si="245"/>
        <v>0.60744618579017706</v>
      </c>
      <c r="R498" s="12">
        <f t="shared" ca="1" si="228"/>
        <v>14042</v>
      </c>
      <c r="S498" s="88">
        <f t="shared" si="233"/>
        <v>0</v>
      </c>
      <c r="T498" s="19">
        <f t="shared" si="237"/>
        <v>0</v>
      </c>
      <c r="U498" s="19">
        <f t="shared" si="227"/>
        <v>0</v>
      </c>
      <c r="V498" s="19">
        <f t="shared" si="250"/>
        <v>0</v>
      </c>
      <c r="W498" s="20">
        <f t="shared" ca="1" si="229"/>
        <v>0</v>
      </c>
      <c r="X498" s="19">
        <f t="shared" ca="1" si="230"/>
        <v>0</v>
      </c>
      <c r="Y498" s="19">
        <f t="shared" ca="1" si="231"/>
        <v>0</v>
      </c>
      <c r="Z498" s="20">
        <f t="shared" ca="1" si="232"/>
        <v>0</v>
      </c>
      <c r="AA498" s="1">
        <f t="shared" si="246"/>
        <v>5432.58</v>
      </c>
      <c r="AB498" s="93"/>
      <c r="AC498" s="94"/>
      <c r="AD498" s="101">
        <f t="shared" si="247"/>
        <v>55164</v>
      </c>
      <c r="AE498" s="103">
        <f t="shared" si="248"/>
        <v>0</v>
      </c>
      <c r="AG498" s="1">
        <f t="shared" si="238"/>
        <v>0</v>
      </c>
      <c r="AH498" s="1">
        <f t="shared" si="253"/>
        <v>0</v>
      </c>
      <c r="AI498" s="1">
        <f t="shared" si="249"/>
        <v>5432.58</v>
      </c>
      <c r="AJ498" s="20">
        <f t="shared" si="251"/>
        <v>0</v>
      </c>
      <c r="AK498" s="100">
        <f t="shared" si="254"/>
        <v>0</v>
      </c>
      <c r="AL498" s="100">
        <f t="shared" si="255"/>
        <v>0</v>
      </c>
      <c r="AN498" s="100">
        <f t="shared" si="256"/>
        <v>4284.7577262202549</v>
      </c>
      <c r="AO498" s="20">
        <f t="shared" si="257"/>
        <v>0</v>
      </c>
      <c r="AQ498" s="109">
        <f t="shared" si="239"/>
        <v>0</v>
      </c>
      <c r="AU498" s="109">
        <f t="shared" si="240"/>
        <v>25.969792600435799</v>
      </c>
      <c r="AV498" s="101">
        <f t="shared" si="236"/>
        <v>55194</v>
      </c>
      <c r="AW498" s="99">
        <f t="shared" si="234"/>
        <v>0</v>
      </c>
      <c r="AX498" s="1">
        <f t="shared" si="241"/>
        <v>0</v>
      </c>
      <c r="AY498" s="29">
        <f t="shared" si="242"/>
        <v>0</v>
      </c>
      <c r="AZ498" s="1">
        <f t="shared" si="243"/>
        <v>0</v>
      </c>
      <c r="CB498" s="20">
        <f t="shared" si="252"/>
        <v>0</v>
      </c>
      <c r="CC498" s="173">
        <f t="shared" si="244"/>
        <v>0</v>
      </c>
    </row>
    <row r="499" spans="2:81" x14ac:dyDescent="0.25">
      <c r="B499" s="41"/>
      <c r="C499" s="42"/>
      <c r="D499" s="43"/>
      <c r="E499" s="44"/>
      <c r="F499" s="44"/>
      <c r="G499" s="45"/>
      <c r="H499" s="81" t="str">
        <f t="shared" si="235"/>
        <v/>
      </c>
      <c r="J499" s="7"/>
      <c r="K499" s="8"/>
      <c r="L499" s="16"/>
      <c r="M499" s="22"/>
      <c r="N499" s="22"/>
      <c r="O499" s="22"/>
      <c r="P499" s="22"/>
      <c r="Q499" s="1">
        <f t="shared" si="245"/>
        <v>0.60744618579017706</v>
      </c>
      <c r="R499" s="12">
        <f t="shared" ca="1" si="228"/>
        <v>14072</v>
      </c>
      <c r="S499" s="88">
        <f t="shared" si="233"/>
        <v>0</v>
      </c>
      <c r="T499" s="19">
        <f t="shared" si="237"/>
        <v>0</v>
      </c>
      <c r="U499" s="19">
        <f t="shared" si="227"/>
        <v>0</v>
      </c>
      <c r="V499" s="19">
        <f t="shared" si="250"/>
        <v>0</v>
      </c>
      <c r="W499" s="20">
        <f t="shared" ca="1" si="229"/>
        <v>0</v>
      </c>
      <c r="X499" s="19">
        <f t="shared" ca="1" si="230"/>
        <v>0</v>
      </c>
      <c r="Y499" s="19">
        <f t="shared" ca="1" si="231"/>
        <v>0</v>
      </c>
      <c r="Z499" s="20">
        <f t="shared" ca="1" si="232"/>
        <v>0</v>
      </c>
      <c r="AA499" s="1">
        <f t="shared" si="246"/>
        <v>5432.58</v>
      </c>
      <c r="AB499" s="91"/>
      <c r="AC499" s="92"/>
      <c r="AD499" s="101">
        <f t="shared" si="247"/>
        <v>55194</v>
      </c>
      <c r="AE499" s="103">
        <f t="shared" si="248"/>
        <v>0</v>
      </c>
      <c r="AG499" s="1">
        <f t="shared" si="238"/>
        <v>0</v>
      </c>
      <c r="AH499" s="1">
        <f t="shared" si="253"/>
        <v>0</v>
      </c>
      <c r="AI499" s="1">
        <f t="shared" si="249"/>
        <v>5432.58</v>
      </c>
      <c r="AJ499" s="20">
        <f t="shared" si="251"/>
        <v>0</v>
      </c>
      <c r="AK499" s="100">
        <f t="shared" si="254"/>
        <v>0</v>
      </c>
      <c r="AL499" s="100">
        <f t="shared" si="255"/>
        <v>0</v>
      </c>
      <c r="AN499" s="100">
        <f t="shared" si="256"/>
        <v>4282.5898571585567</v>
      </c>
      <c r="AO499" s="20">
        <f t="shared" si="257"/>
        <v>0</v>
      </c>
      <c r="AQ499" s="109">
        <f t="shared" si="239"/>
        <v>0</v>
      </c>
      <c r="AU499" s="109">
        <f t="shared" si="240"/>
        <v>25.967513229830079</v>
      </c>
      <c r="AV499" s="101">
        <f t="shared" si="236"/>
        <v>55224</v>
      </c>
      <c r="AW499" s="99">
        <f t="shared" si="234"/>
        <v>0</v>
      </c>
      <c r="AX499" s="1">
        <f t="shared" si="241"/>
        <v>0</v>
      </c>
      <c r="AY499" s="29">
        <f t="shared" si="242"/>
        <v>0</v>
      </c>
      <c r="AZ499" s="1">
        <f t="shared" si="243"/>
        <v>0</v>
      </c>
      <c r="CB499" s="20">
        <f t="shared" si="252"/>
        <v>0</v>
      </c>
      <c r="CC499" s="173">
        <f t="shared" si="244"/>
        <v>0</v>
      </c>
    </row>
    <row r="500" spans="2:81" x14ac:dyDescent="0.25">
      <c r="B500" s="41"/>
      <c r="C500" s="42"/>
      <c r="D500" s="43"/>
      <c r="E500" s="44"/>
      <c r="F500" s="44"/>
      <c r="G500" s="45"/>
      <c r="H500" s="81" t="str">
        <f t="shared" si="235"/>
        <v/>
      </c>
      <c r="J500" s="9"/>
      <c r="K500" s="10"/>
      <c r="L500" s="17"/>
      <c r="M500" s="23"/>
      <c r="N500" s="23"/>
      <c r="O500" s="23"/>
      <c r="P500" s="23"/>
      <c r="Q500" s="1">
        <f t="shared" si="245"/>
        <v>0.60744618579017706</v>
      </c>
      <c r="R500" s="12">
        <f t="shared" ca="1" si="228"/>
        <v>14102</v>
      </c>
      <c r="S500" s="88">
        <f t="shared" si="233"/>
        <v>0</v>
      </c>
      <c r="T500" s="19">
        <f t="shared" si="237"/>
        <v>0</v>
      </c>
      <c r="U500" s="19">
        <f t="shared" si="227"/>
        <v>0</v>
      </c>
      <c r="V500" s="19">
        <f t="shared" si="250"/>
        <v>0</v>
      </c>
      <c r="W500" s="20">
        <f t="shared" ca="1" si="229"/>
        <v>0</v>
      </c>
      <c r="X500" s="19">
        <f t="shared" ca="1" si="230"/>
        <v>0</v>
      </c>
      <c r="Y500" s="19">
        <f t="shared" ca="1" si="231"/>
        <v>0</v>
      </c>
      <c r="Z500" s="20">
        <f t="shared" ca="1" si="232"/>
        <v>0</v>
      </c>
      <c r="AA500" s="1">
        <f t="shared" si="246"/>
        <v>5432.58</v>
      </c>
      <c r="AB500" s="93"/>
      <c r="AC500" s="94"/>
      <c r="AD500" s="101">
        <f t="shared" si="247"/>
        <v>55224</v>
      </c>
      <c r="AE500" s="103">
        <f t="shared" si="248"/>
        <v>0</v>
      </c>
      <c r="AG500" s="1">
        <f t="shared" si="238"/>
        <v>0</v>
      </c>
      <c r="AH500" s="1">
        <f t="shared" si="253"/>
        <v>0</v>
      </c>
      <c r="AI500" s="1">
        <f t="shared" si="249"/>
        <v>5432.58</v>
      </c>
      <c r="AJ500" s="20">
        <f t="shared" si="251"/>
        <v>0</v>
      </c>
      <c r="AK500" s="100">
        <f t="shared" si="254"/>
        <v>0</v>
      </c>
      <c r="AL500" s="100">
        <f t="shared" si="255"/>
        <v>0</v>
      </c>
      <c r="AN500" s="100">
        <f t="shared" si="256"/>
        <v>4280.423084928133</v>
      </c>
      <c r="AO500" s="20">
        <f t="shared" si="257"/>
        <v>0</v>
      </c>
      <c r="AQ500" s="109">
        <f t="shared" si="239"/>
        <v>0</v>
      </c>
      <c r="AU500" s="109">
        <f t="shared" si="240"/>
        <v>25.965234059284871</v>
      </c>
      <c r="AV500" s="101">
        <f t="shared" si="236"/>
        <v>55254</v>
      </c>
      <c r="AW500" s="99">
        <f t="shared" si="234"/>
        <v>0</v>
      </c>
      <c r="AX500" s="1">
        <f t="shared" si="241"/>
        <v>0</v>
      </c>
      <c r="AY500" s="29">
        <f t="shared" si="242"/>
        <v>0</v>
      </c>
      <c r="AZ500" s="1">
        <f t="shared" si="243"/>
        <v>0</v>
      </c>
      <c r="CB500" s="20">
        <f t="shared" si="252"/>
        <v>0</v>
      </c>
      <c r="CC500" s="173">
        <f t="shared" si="244"/>
        <v>0</v>
      </c>
    </row>
    <row r="501" spans="2:81" x14ac:dyDescent="0.25">
      <c r="B501" s="41"/>
      <c r="C501" s="42"/>
      <c r="D501" s="43"/>
      <c r="E501" s="44"/>
      <c r="F501" s="44"/>
      <c r="G501" s="45"/>
      <c r="H501" s="81" t="str">
        <f t="shared" si="235"/>
        <v/>
      </c>
      <c r="J501" s="7"/>
      <c r="K501" s="8"/>
      <c r="L501" s="16"/>
      <c r="M501" s="22"/>
      <c r="N501" s="22"/>
      <c r="O501" s="22"/>
      <c r="P501" s="22"/>
      <c r="Q501" s="1">
        <f t="shared" si="245"/>
        <v>0.60744618579017706</v>
      </c>
      <c r="R501" s="12">
        <f t="shared" ca="1" si="228"/>
        <v>14132</v>
      </c>
      <c r="S501" s="88">
        <f t="shared" si="233"/>
        <v>0</v>
      </c>
      <c r="T501" s="19">
        <f t="shared" si="237"/>
        <v>0</v>
      </c>
      <c r="U501" s="19">
        <f t="shared" si="227"/>
        <v>0</v>
      </c>
      <c r="V501" s="19">
        <f t="shared" si="250"/>
        <v>0</v>
      </c>
      <c r="W501" s="20">
        <f t="shared" ca="1" si="229"/>
        <v>0</v>
      </c>
      <c r="X501" s="19">
        <f t="shared" ca="1" si="230"/>
        <v>0</v>
      </c>
      <c r="Y501" s="19">
        <f t="shared" ca="1" si="231"/>
        <v>0</v>
      </c>
      <c r="Z501" s="20">
        <f t="shared" ca="1" si="232"/>
        <v>0</v>
      </c>
      <c r="AA501" s="1">
        <f t="shared" si="246"/>
        <v>5432.58</v>
      </c>
      <c r="AB501" s="91"/>
      <c r="AC501" s="92"/>
      <c r="AD501" s="101">
        <f t="shared" si="247"/>
        <v>55254</v>
      </c>
      <c r="AE501" s="103">
        <f t="shared" si="248"/>
        <v>0</v>
      </c>
      <c r="AG501" s="1">
        <f t="shared" si="238"/>
        <v>0</v>
      </c>
      <c r="AH501" s="1">
        <f t="shared" si="253"/>
        <v>0</v>
      </c>
      <c r="AI501" s="1">
        <f t="shared" si="249"/>
        <v>5432.58</v>
      </c>
      <c r="AJ501" s="20">
        <f t="shared" si="251"/>
        <v>0</v>
      </c>
      <c r="AK501" s="100">
        <f t="shared" si="254"/>
        <v>0</v>
      </c>
      <c r="AL501" s="100">
        <f t="shared" si="255"/>
        <v>0</v>
      </c>
      <c r="AN501" s="100">
        <f t="shared" si="256"/>
        <v>4278.2574089740428</v>
      </c>
      <c r="AO501" s="20">
        <f t="shared" si="257"/>
        <v>0</v>
      </c>
      <c r="AQ501" s="109">
        <f t="shared" si="239"/>
        <v>0</v>
      </c>
      <c r="AU501" s="109">
        <f t="shared" si="240"/>
        <v>25.962955088782646</v>
      </c>
      <c r="AV501" s="101">
        <f t="shared" si="236"/>
        <v>55284</v>
      </c>
      <c r="AW501" s="99">
        <f t="shared" si="234"/>
        <v>0</v>
      </c>
      <c r="AX501" s="1">
        <f t="shared" si="241"/>
        <v>0</v>
      </c>
      <c r="AY501" s="29">
        <f t="shared" si="242"/>
        <v>0</v>
      </c>
      <c r="AZ501" s="1">
        <f t="shared" si="243"/>
        <v>0</v>
      </c>
      <c r="CB501" s="20">
        <f t="shared" si="252"/>
        <v>0</v>
      </c>
      <c r="CC501" s="173">
        <f t="shared" si="244"/>
        <v>0</v>
      </c>
    </row>
    <row r="502" spans="2:81" x14ac:dyDescent="0.25">
      <c r="B502" s="46"/>
      <c r="C502" s="42"/>
      <c r="D502" s="43"/>
      <c r="E502" s="44"/>
      <c r="F502" s="44"/>
      <c r="G502" s="45"/>
      <c r="H502" s="81" t="str">
        <f t="shared" si="235"/>
        <v/>
      </c>
      <c r="J502" s="13"/>
      <c r="K502" s="158"/>
      <c r="L502" s="18"/>
      <c r="M502" s="24"/>
      <c r="N502" s="24"/>
      <c r="O502" s="24"/>
      <c r="P502" s="24"/>
      <c r="Q502" s="1">
        <f t="shared" si="245"/>
        <v>0.60744618579017706</v>
      </c>
      <c r="R502" s="12">
        <f t="shared" ca="1" si="228"/>
        <v>14162</v>
      </c>
      <c r="S502" s="88">
        <f t="shared" si="233"/>
        <v>0</v>
      </c>
      <c r="T502" s="19">
        <f t="shared" si="237"/>
        <v>0</v>
      </c>
      <c r="U502" s="19">
        <f t="shared" si="227"/>
        <v>0</v>
      </c>
      <c r="V502" s="19">
        <f t="shared" si="250"/>
        <v>0</v>
      </c>
      <c r="W502" s="20">
        <f t="shared" ca="1" si="229"/>
        <v>0</v>
      </c>
      <c r="X502" s="19">
        <f t="shared" ca="1" si="230"/>
        <v>0</v>
      </c>
      <c r="Y502" s="19">
        <f t="shared" ca="1" si="231"/>
        <v>0</v>
      </c>
      <c r="Z502" s="20">
        <f t="shared" ca="1" si="232"/>
        <v>0</v>
      </c>
      <c r="AA502" s="1">
        <f t="shared" si="246"/>
        <v>5432.58</v>
      </c>
      <c r="AB502" s="93"/>
      <c r="AC502" s="94"/>
      <c r="AD502" s="101">
        <f t="shared" si="247"/>
        <v>55284</v>
      </c>
      <c r="AE502" s="103">
        <f t="shared" si="248"/>
        <v>0</v>
      </c>
      <c r="AG502" s="1">
        <f t="shared" si="238"/>
        <v>0</v>
      </c>
      <c r="AH502" s="1">
        <f t="shared" si="253"/>
        <v>0</v>
      </c>
      <c r="AI502" s="1">
        <f t="shared" si="249"/>
        <v>5432.58</v>
      </c>
      <c r="AJ502" s="20">
        <f t="shared" si="251"/>
        <v>0</v>
      </c>
      <c r="AK502" s="100">
        <f t="shared" ref="AK502:AK565" si="258">IF(ISERROR(AJ502/(1+(Q502)/1200)^(ROW()-29)),0,AJ502/(1+(Q502)/1200)^(ROW()-29))</f>
        <v>0</v>
      </c>
      <c r="AL502" s="100">
        <f t="shared" ref="AL502:AL565" si="259">IF(ISERROR((Q502/1200)*O502),0,(Q502/1200)*O502)</f>
        <v>0</v>
      </c>
      <c r="AN502" s="100">
        <f t="shared" ref="AN502:AN565" si="260">IF(ISERROR(AA502/(1+(Q502)/1200)^(ROW()-29)),0,AA502/(1+(Q502)/1200)^(ROW()-29))</f>
        <v>4276.0928287416209</v>
      </c>
      <c r="AO502" s="20">
        <f t="shared" ref="AO502:AO565" si="261">IF(ISERROR(V501+U502+T502+(V501*Q502/1200)-AA502-P502),0,IF(V501+U502+T502+(V501*Q502/1200)-AA502-P502&lt;0,V501,-(U502+T502-AA502+P502-AH502)))</f>
        <v>0</v>
      </c>
      <c r="AQ502" s="109">
        <f t="shared" ref="AQ502:AQ565" si="262">AO502/(1+((1+$AM$27)^((ROW()-29)*30)-1))</f>
        <v>0</v>
      </c>
      <c r="AU502" s="109">
        <f t="shared" si="240"/>
        <v>25.960676318305815</v>
      </c>
      <c r="AV502" s="101">
        <f t="shared" ref="AV502:AV565" si="263">AD503</f>
        <v>55314</v>
      </c>
      <c r="AW502" s="99">
        <f t="shared" ref="AW502:AW565" si="264">IF(AJ503&lt;0,0,AJ503)</f>
        <v>0</v>
      </c>
      <c r="AX502" s="1">
        <f t="shared" ref="AX502:AX565" si="265">IF(AG502&gt;0,AA502,0)</f>
        <v>0</v>
      </c>
      <c r="AY502" s="29">
        <f t="shared" ref="AY502:AY565" si="266">AE502</f>
        <v>0</v>
      </c>
      <c r="AZ502" s="1">
        <f t="shared" si="243"/>
        <v>0</v>
      </c>
      <c r="CB502" s="20">
        <f t="shared" si="252"/>
        <v>0</v>
      </c>
      <c r="CC502" s="173">
        <f t="shared" si="244"/>
        <v>0</v>
      </c>
    </row>
    <row r="503" spans="2:81" x14ac:dyDescent="0.25">
      <c r="C503" s="42"/>
      <c r="D503" s="43"/>
      <c r="E503" s="44"/>
      <c r="F503" s="44"/>
      <c r="G503" s="45"/>
      <c r="H503" s="81" t="str">
        <f t="shared" si="235"/>
        <v/>
      </c>
      <c r="I503" s="25"/>
      <c r="J503" s="7"/>
      <c r="K503" s="8"/>
      <c r="L503" s="16"/>
      <c r="M503" s="22"/>
      <c r="N503" s="22"/>
      <c r="O503" s="22"/>
      <c r="P503" s="22"/>
      <c r="Q503" s="1">
        <f t="shared" si="245"/>
        <v>0.60744618579017706</v>
      </c>
      <c r="R503" s="12">
        <f t="shared" ref="R503:R566" ca="1" si="267">IF(ROW()&gt;$T$20,R502+30,DAYS360(K502,K503)+R502)</f>
        <v>14192</v>
      </c>
      <c r="S503" s="88">
        <f t="shared" si="233"/>
        <v>0</v>
      </c>
      <c r="T503" s="19">
        <f t="shared" ref="T503:T566" si="268">IF(ISERROR((previousBalance*Q503/1200)*(IF(ROW()-30&lt;$G$22,$G$21,0))),0,(previousBalance*Q503/1200)*(IF(ROW()-30&lt;$G$22,$G$21,0)))</f>
        <v>0</v>
      </c>
      <c r="U503" s="19">
        <f t="shared" ref="U503:U566" si="269">AA503*(IF(ROW()-30&lt;$H$22,$H$21,0))</f>
        <v>0</v>
      </c>
      <c r="V503" s="19">
        <f t="shared" si="250"/>
        <v>0</v>
      </c>
      <c r="W503" s="20">
        <f t="shared" ref="W503:W566" ca="1" si="270">(T503)/(1+((1+$T$12)^$R503-1))</f>
        <v>0</v>
      </c>
      <c r="X503" s="19">
        <f t="shared" ref="X503:X566" ca="1" si="271">(U503)/(1+((1+$T$12)^$R503-1))</f>
        <v>0</v>
      </c>
      <c r="Y503" s="19">
        <f t="shared" ref="Y503:Y566" ca="1" si="272">P503/(1+((1+$T$12)^$R503-1))</f>
        <v>0</v>
      </c>
      <c r="Z503" s="20">
        <f t="shared" ref="Z503:Z566" ca="1" si="273">W503+X503</f>
        <v>0</v>
      </c>
      <c r="AA503" s="1">
        <f t="shared" si="246"/>
        <v>5432.58</v>
      </c>
      <c r="AB503" s="91"/>
      <c r="AC503" s="92"/>
      <c r="AD503" s="101">
        <f t="shared" si="247"/>
        <v>55314</v>
      </c>
      <c r="AE503" s="103">
        <f t="shared" si="248"/>
        <v>0</v>
      </c>
      <c r="AG503" s="1">
        <f t="shared" ref="AG503:AG566" si="274">AE503/360</f>
        <v>0</v>
      </c>
      <c r="AH503" s="1">
        <f t="shared" ref="AH503:AH566" si="275">IF(ISERROR(IF(V502+U503+T503+(V502*Q503/1200)-AA503-P503&lt;0,0,(V502*Q503/1200))),0,IF(V502+U503+T503+(V502*Q503/1200)-AA503-P503&lt;0,0,(V502*Q503/1200)))</f>
        <v>0</v>
      </c>
      <c r="AI503" s="1">
        <f t="shared" si="249"/>
        <v>5432.58</v>
      </c>
      <c r="AJ503" s="20">
        <f t="shared" si="251"/>
        <v>0</v>
      </c>
      <c r="AK503" s="100">
        <f t="shared" si="258"/>
        <v>0</v>
      </c>
      <c r="AL503" s="100">
        <f t="shared" si="259"/>
        <v>0</v>
      </c>
      <c r="AN503" s="100">
        <f t="shared" si="260"/>
        <v>4273.9293436764929</v>
      </c>
      <c r="AO503" s="20">
        <f t="shared" si="261"/>
        <v>0</v>
      </c>
      <c r="AQ503" s="109">
        <f t="shared" si="262"/>
        <v>0</v>
      </c>
      <c r="AU503" s="109">
        <f t="shared" si="240"/>
        <v>25.958397747836848</v>
      </c>
      <c r="AV503" s="101">
        <f t="shared" si="263"/>
        <v>55344</v>
      </c>
      <c r="AW503" s="99">
        <f t="shared" si="264"/>
        <v>0</v>
      </c>
      <c r="AX503" s="1">
        <f t="shared" si="265"/>
        <v>0</v>
      </c>
      <c r="AY503" s="29">
        <f t="shared" si="266"/>
        <v>0</v>
      </c>
      <c r="AZ503" s="1">
        <f t="shared" si="243"/>
        <v>0</v>
      </c>
      <c r="CB503" s="20">
        <f t="shared" si="252"/>
        <v>0</v>
      </c>
      <c r="CC503" s="173">
        <f t="shared" si="244"/>
        <v>0</v>
      </c>
    </row>
    <row r="504" spans="2:81" x14ac:dyDescent="0.25">
      <c r="C504" s="42"/>
      <c r="D504" s="43"/>
      <c r="E504" s="44"/>
      <c r="F504" s="44"/>
      <c r="G504" s="45"/>
      <c r="H504" s="81" t="str">
        <f t="shared" si="235"/>
        <v/>
      </c>
      <c r="I504" s="25"/>
      <c r="J504" s="9"/>
      <c r="K504" s="10"/>
      <c r="L504" s="17"/>
      <c r="M504" s="23"/>
      <c r="N504" s="23"/>
      <c r="O504" s="23"/>
      <c r="P504" s="23"/>
      <c r="Q504" s="1">
        <f t="shared" si="245"/>
        <v>0.60744618579017706</v>
      </c>
      <c r="R504" s="12">
        <f t="shared" ca="1" si="267"/>
        <v>14222</v>
      </c>
      <c r="S504" s="88">
        <f t="shared" si="233"/>
        <v>0</v>
      </c>
      <c r="T504" s="19">
        <f t="shared" si="268"/>
        <v>0</v>
      </c>
      <c r="U504" s="19">
        <f t="shared" si="269"/>
        <v>0</v>
      </c>
      <c r="V504" s="19">
        <f t="shared" si="250"/>
        <v>0</v>
      </c>
      <c r="W504" s="20">
        <f t="shared" ca="1" si="270"/>
        <v>0</v>
      </c>
      <c r="X504" s="19">
        <f t="shared" ca="1" si="271"/>
        <v>0</v>
      </c>
      <c r="Y504" s="19">
        <f t="shared" ca="1" si="272"/>
        <v>0</v>
      </c>
      <c r="Z504" s="20">
        <f t="shared" ca="1" si="273"/>
        <v>0</v>
      </c>
      <c r="AA504" s="1">
        <f t="shared" si="246"/>
        <v>5432.58</v>
      </c>
      <c r="AB504" s="93"/>
      <c r="AC504" s="94"/>
      <c r="AD504" s="101">
        <f t="shared" si="247"/>
        <v>55344</v>
      </c>
      <c r="AE504" s="103">
        <f t="shared" si="248"/>
        <v>0</v>
      </c>
      <c r="AG504" s="1">
        <f t="shared" si="274"/>
        <v>0</v>
      </c>
      <c r="AH504" s="1">
        <f t="shared" si="275"/>
        <v>0</v>
      </c>
      <c r="AI504" s="1">
        <f t="shared" si="249"/>
        <v>5432.58</v>
      </c>
      <c r="AJ504" s="20">
        <f t="shared" si="251"/>
        <v>0</v>
      </c>
      <c r="AK504" s="100">
        <f t="shared" si="258"/>
        <v>0</v>
      </c>
      <c r="AL504" s="100">
        <f t="shared" si="259"/>
        <v>0</v>
      </c>
      <c r="AN504" s="100">
        <f t="shared" si="260"/>
        <v>4271.7669532245591</v>
      </c>
      <c r="AO504" s="20">
        <f t="shared" si="261"/>
        <v>0</v>
      </c>
      <c r="AQ504" s="109">
        <f t="shared" si="262"/>
        <v>0</v>
      </c>
      <c r="AU504" s="109">
        <f t="shared" si="240"/>
        <v>25.956119377358167</v>
      </c>
      <c r="AV504" s="101">
        <f t="shared" si="263"/>
        <v>55374</v>
      </c>
      <c r="AW504" s="99">
        <f t="shared" si="264"/>
        <v>0</v>
      </c>
      <c r="AX504" s="1">
        <f t="shared" si="265"/>
        <v>0</v>
      </c>
      <c r="AY504" s="29">
        <f t="shared" si="266"/>
        <v>0</v>
      </c>
      <c r="AZ504" s="1">
        <f t="shared" si="243"/>
        <v>0</v>
      </c>
      <c r="CB504" s="20">
        <f t="shared" si="252"/>
        <v>0</v>
      </c>
      <c r="CC504" s="173">
        <f t="shared" si="244"/>
        <v>0</v>
      </c>
    </row>
    <row r="505" spans="2:81" x14ac:dyDescent="0.25">
      <c r="C505" s="42"/>
      <c r="D505" s="43"/>
      <c r="E505" s="44"/>
      <c r="F505" s="44"/>
      <c r="G505" s="45"/>
      <c r="H505" s="81" t="str">
        <f t="shared" si="235"/>
        <v/>
      </c>
      <c r="I505" s="25"/>
      <c r="J505" s="7"/>
      <c r="K505" s="8"/>
      <c r="L505" s="16"/>
      <c r="M505" s="22"/>
      <c r="N505" s="22"/>
      <c r="O505" s="22"/>
      <c r="P505" s="22"/>
      <c r="Q505" s="1">
        <f t="shared" si="245"/>
        <v>0.60744618579017706</v>
      </c>
      <c r="R505" s="12">
        <f t="shared" ca="1" si="267"/>
        <v>14252</v>
      </c>
      <c r="S505" s="88">
        <f t="shared" si="233"/>
        <v>0</v>
      </c>
      <c r="T505" s="19">
        <f t="shared" si="268"/>
        <v>0</v>
      </c>
      <c r="U505" s="19">
        <f t="shared" si="269"/>
        <v>0</v>
      </c>
      <c r="V505" s="19">
        <f t="shared" si="250"/>
        <v>0</v>
      </c>
      <c r="W505" s="20">
        <f t="shared" ca="1" si="270"/>
        <v>0</v>
      </c>
      <c r="X505" s="19">
        <f t="shared" ca="1" si="271"/>
        <v>0</v>
      </c>
      <c r="Y505" s="19">
        <f t="shared" ca="1" si="272"/>
        <v>0</v>
      </c>
      <c r="Z505" s="20">
        <f t="shared" ca="1" si="273"/>
        <v>0</v>
      </c>
      <c r="AA505" s="1">
        <f t="shared" si="246"/>
        <v>5432.58</v>
      </c>
      <c r="AB505" s="91"/>
      <c r="AC505" s="92"/>
      <c r="AD505" s="101">
        <f t="shared" si="247"/>
        <v>55374</v>
      </c>
      <c r="AE505" s="103">
        <f t="shared" si="248"/>
        <v>0</v>
      </c>
      <c r="AG505" s="1">
        <f t="shared" si="274"/>
        <v>0</v>
      </c>
      <c r="AH505" s="1">
        <f t="shared" si="275"/>
        <v>0</v>
      </c>
      <c r="AI505" s="1">
        <f t="shared" si="249"/>
        <v>5432.58</v>
      </c>
      <c r="AJ505" s="20">
        <f t="shared" si="251"/>
        <v>0</v>
      </c>
      <c r="AK505" s="100">
        <f t="shared" si="258"/>
        <v>0</v>
      </c>
      <c r="AL505" s="100">
        <f t="shared" si="259"/>
        <v>0</v>
      </c>
      <c r="AN505" s="100">
        <f t="shared" si="260"/>
        <v>4269.605656832</v>
      </c>
      <c r="AO505" s="20">
        <f t="shared" si="261"/>
        <v>0</v>
      </c>
      <c r="AQ505" s="109">
        <f t="shared" si="262"/>
        <v>0</v>
      </c>
      <c r="AU505" s="109">
        <f t="shared" si="240"/>
        <v>25.953841206852239</v>
      </c>
      <c r="AV505" s="101">
        <f t="shared" si="263"/>
        <v>55404</v>
      </c>
      <c r="AW505" s="99">
        <f t="shared" si="264"/>
        <v>0</v>
      </c>
      <c r="AX505" s="1">
        <f t="shared" si="265"/>
        <v>0</v>
      </c>
      <c r="AY505" s="29">
        <f t="shared" si="266"/>
        <v>0</v>
      </c>
      <c r="AZ505" s="1">
        <f t="shared" si="243"/>
        <v>0</v>
      </c>
      <c r="CB505" s="20">
        <f t="shared" si="252"/>
        <v>0</v>
      </c>
      <c r="CC505" s="173">
        <f t="shared" si="244"/>
        <v>0</v>
      </c>
    </row>
    <row r="506" spans="2:81" x14ac:dyDescent="0.25">
      <c r="C506" s="42"/>
      <c r="D506" s="43"/>
      <c r="E506" s="44"/>
      <c r="F506" s="44"/>
      <c r="G506" s="45"/>
      <c r="H506" s="81" t="str">
        <f t="shared" si="235"/>
        <v/>
      </c>
      <c r="I506" s="25"/>
      <c r="J506" s="9"/>
      <c r="K506" s="10"/>
      <c r="L506" s="17"/>
      <c r="M506" s="23"/>
      <c r="N506" s="23"/>
      <c r="O506" s="23"/>
      <c r="P506" s="23"/>
      <c r="Q506" s="1">
        <f t="shared" si="245"/>
        <v>0.60744618579017706</v>
      </c>
      <c r="R506" s="12">
        <f t="shared" ca="1" si="267"/>
        <v>14282</v>
      </c>
      <c r="S506" s="88">
        <f t="shared" si="233"/>
        <v>0</v>
      </c>
      <c r="T506" s="19">
        <f t="shared" si="268"/>
        <v>0</v>
      </c>
      <c r="U506" s="19">
        <f t="shared" si="269"/>
        <v>0</v>
      </c>
      <c r="V506" s="19">
        <f t="shared" si="250"/>
        <v>0</v>
      </c>
      <c r="W506" s="20">
        <f t="shared" ca="1" si="270"/>
        <v>0</v>
      </c>
      <c r="X506" s="19">
        <f t="shared" ca="1" si="271"/>
        <v>0</v>
      </c>
      <c r="Y506" s="19">
        <f t="shared" ca="1" si="272"/>
        <v>0</v>
      </c>
      <c r="Z506" s="20">
        <f t="shared" ca="1" si="273"/>
        <v>0</v>
      </c>
      <c r="AA506" s="1">
        <f t="shared" si="246"/>
        <v>5432.58</v>
      </c>
      <c r="AB506" s="93"/>
      <c r="AC506" s="94"/>
      <c r="AD506" s="101">
        <f t="shared" si="247"/>
        <v>55404</v>
      </c>
      <c r="AE506" s="103">
        <f t="shared" si="248"/>
        <v>0</v>
      </c>
      <c r="AG506" s="1">
        <f t="shared" si="274"/>
        <v>0</v>
      </c>
      <c r="AH506" s="1">
        <f t="shared" si="275"/>
        <v>0</v>
      </c>
      <c r="AI506" s="1">
        <f t="shared" si="249"/>
        <v>5432.58</v>
      </c>
      <c r="AJ506" s="20">
        <f t="shared" si="251"/>
        <v>0</v>
      </c>
      <c r="AK506" s="100">
        <f t="shared" si="258"/>
        <v>0</v>
      </c>
      <c r="AL506" s="100">
        <f t="shared" si="259"/>
        <v>0</v>
      </c>
      <c r="AN506" s="100">
        <f t="shared" si="260"/>
        <v>4267.4454539452772</v>
      </c>
      <c r="AO506" s="20">
        <f t="shared" si="261"/>
        <v>0</v>
      </c>
      <c r="AQ506" s="109">
        <f t="shared" si="262"/>
        <v>0</v>
      </c>
      <c r="AU506" s="109">
        <f t="shared" si="240"/>
        <v>25.951563236301503</v>
      </c>
      <c r="AV506" s="101">
        <f t="shared" si="263"/>
        <v>55434</v>
      </c>
      <c r="AW506" s="99">
        <f t="shared" si="264"/>
        <v>0</v>
      </c>
      <c r="AX506" s="1">
        <f t="shared" si="265"/>
        <v>0</v>
      </c>
      <c r="AY506" s="29">
        <f t="shared" si="266"/>
        <v>0</v>
      </c>
      <c r="AZ506" s="1">
        <f t="shared" si="243"/>
        <v>0</v>
      </c>
      <c r="CB506" s="20">
        <f t="shared" si="252"/>
        <v>0</v>
      </c>
      <c r="CC506" s="173">
        <f t="shared" si="244"/>
        <v>0</v>
      </c>
    </row>
    <row r="507" spans="2:81" x14ac:dyDescent="0.25">
      <c r="C507" s="42"/>
      <c r="D507" s="43"/>
      <c r="E507" s="44"/>
      <c r="F507" s="44"/>
      <c r="G507" s="45"/>
      <c r="H507" s="81" t="str">
        <f t="shared" si="235"/>
        <v/>
      </c>
      <c r="I507" s="25"/>
      <c r="J507" s="7"/>
      <c r="K507" s="8"/>
      <c r="L507" s="16"/>
      <c r="M507" s="22"/>
      <c r="N507" s="22"/>
      <c r="O507" s="22"/>
      <c r="P507" s="22"/>
      <c r="Q507" s="1">
        <f t="shared" si="245"/>
        <v>0.60744618579017706</v>
      </c>
      <c r="R507" s="12">
        <f t="shared" ca="1" si="267"/>
        <v>14312</v>
      </c>
      <c r="S507" s="88">
        <f t="shared" si="233"/>
        <v>0</v>
      </c>
      <c r="T507" s="19">
        <f t="shared" si="268"/>
        <v>0</v>
      </c>
      <c r="U507" s="19">
        <f t="shared" si="269"/>
        <v>0</v>
      </c>
      <c r="V507" s="19">
        <f t="shared" si="250"/>
        <v>0</v>
      </c>
      <c r="W507" s="20">
        <f t="shared" ca="1" si="270"/>
        <v>0</v>
      </c>
      <c r="X507" s="19">
        <f t="shared" ca="1" si="271"/>
        <v>0</v>
      </c>
      <c r="Y507" s="19">
        <f t="shared" ca="1" si="272"/>
        <v>0</v>
      </c>
      <c r="Z507" s="20">
        <f t="shared" ca="1" si="273"/>
        <v>0</v>
      </c>
      <c r="AA507" s="1">
        <f t="shared" si="246"/>
        <v>5432.58</v>
      </c>
      <c r="AB507" s="91"/>
      <c r="AC507" s="92"/>
      <c r="AD507" s="101">
        <f t="shared" si="247"/>
        <v>55434</v>
      </c>
      <c r="AE507" s="103">
        <f t="shared" si="248"/>
        <v>0</v>
      </c>
      <c r="AG507" s="1">
        <f t="shared" si="274"/>
        <v>0</v>
      </c>
      <c r="AH507" s="1">
        <f t="shared" si="275"/>
        <v>0</v>
      </c>
      <c r="AI507" s="1">
        <f t="shared" si="249"/>
        <v>5432.58</v>
      </c>
      <c r="AJ507" s="20">
        <f t="shared" si="251"/>
        <v>0</v>
      </c>
      <c r="AK507" s="100">
        <f t="shared" si="258"/>
        <v>0</v>
      </c>
      <c r="AL507" s="100">
        <f t="shared" si="259"/>
        <v>0</v>
      </c>
      <c r="AN507" s="100">
        <f t="shared" si="260"/>
        <v>4265.2863440111314</v>
      </c>
      <c r="AO507" s="20">
        <f t="shared" si="261"/>
        <v>0</v>
      </c>
      <c r="AQ507" s="109">
        <f t="shared" si="262"/>
        <v>0</v>
      </c>
      <c r="AU507" s="109">
        <f t="shared" si="240"/>
        <v>25.949285465688405</v>
      </c>
      <c r="AV507" s="101">
        <f t="shared" si="263"/>
        <v>55464</v>
      </c>
      <c r="AW507" s="99">
        <f t="shared" si="264"/>
        <v>0</v>
      </c>
      <c r="AX507" s="1">
        <f t="shared" si="265"/>
        <v>0</v>
      </c>
      <c r="AY507" s="29">
        <f t="shared" si="266"/>
        <v>0</v>
      </c>
      <c r="AZ507" s="1">
        <f t="shared" si="243"/>
        <v>0</v>
      </c>
      <c r="CB507" s="20">
        <f t="shared" si="252"/>
        <v>0</v>
      </c>
      <c r="CC507" s="173">
        <f t="shared" si="244"/>
        <v>0</v>
      </c>
    </row>
    <row r="508" spans="2:81" x14ac:dyDescent="0.25">
      <c r="C508" s="42"/>
      <c r="D508" s="43"/>
      <c r="E508" s="44"/>
      <c r="F508" s="44"/>
      <c r="G508" s="45"/>
      <c r="H508" s="81" t="str">
        <f t="shared" si="235"/>
        <v/>
      </c>
      <c r="I508" s="3"/>
      <c r="J508" s="9"/>
      <c r="K508" s="10"/>
      <c r="L508" s="17"/>
      <c r="M508" s="23"/>
      <c r="N508" s="23"/>
      <c r="O508" s="23"/>
      <c r="P508" s="23"/>
      <c r="Q508" s="1">
        <f t="shared" si="245"/>
        <v>0.60744618579017706</v>
      </c>
      <c r="R508" s="12">
        <f t="shared" ca="1" si="267"/>
        <v>14342</v>
      </c>
      <c r="S508" s="88">
        <f t="shared" si="233"/>
        <v>0</v>
      </c>
      <c r="T508" s="19">
        <f t="shared" si="268"/>
        <v>0</v>
      </c>
      <c r="U508" s="19">
        <f t="shared" si="269"/>
        <v>0</v>
      </c>
      <c r="V508" s="19">
        <f t="shared" si="250"/>
        <v>0</v>
      </c>
      <c r="W508" s="20">
        <f t="shared" ca="1" si="270"/>
        <v>0</v>
      </c>
      <c r="X508" s="19">
        <f t="shared" ca="1" si="271"/>
        <v>0</v>
      </c>
      <c r="Y508" s="19">
        <f t="shared" ca="1" si="272"/>
        <v>0</v>
      </c>
      <c r="Z508" s="20">
        <f t="shared" ca="1" si="273"/>
        <v>0</v>
      </c>
      <c r="AA508" s="1">
        <f t="shared" si="246"/>
        <v>5432.58</v>
      </c>
      <c r="AB508" s="93"/>
      <c r="AC508" s="94"/>
      <c r="AD508" s="101">
        <f t="shared" si="247"/>
        <v>55464</v>
      </c>
      <c r="AE508" s="103">
        <f t="shared" si="248"/>
        <v>0</v>
      </c>
      <c r="AG508" s="1">
        <f t="shared" si="274"/>
        <v>0</v>
      </c>
      <c r="AH508" s="1">
        <f t="shared" si="275"/>
        <v>0</v>
      </c>
      <c r="AI508" s="1">
        <f t="shared" si="249"/>
        <v>5432.58</v>
      </c>
      <c r="AJ508" s="20">
        <f t="shared" si="251"/>
        <v>0</v>
      </c>
      <c r="AK508" s="100">
        <f t="shared" si="258"/>
        <v>0</v>
      </c>
      <c r="AL508" s="100">
        <f t="shared" si="259"/>
        <v>0</v>
      </c>
      <c r="AN508" s="100">
        <f t="shared" si="260"/>
        <v>4263.1283264765889</v>
      </c>
      <c r="AO508" s="20">
        <f t="shared" si="261"/>
        <v>0</v>
      </c>
      <c r="AQ508" s="109">
        <f t="shared" si="262"/>
        <v>0</v>
      </c>
      <c r="AU508" s="109">
        <f t="shared" si="240"/>
        <v>25.947007894995402</v>
      </c>
      <c r="AV508" s="101">
        <f t="shared" si="263"/>
        <v>55494</v>
      </c>
      <c r="AW508" s="99">
        <f t="shared" si="264"/>
        <v>0</v>
      </c>
      <c r="AX508" s="1">
        <f t="shared" si="265"/>
        <v>0</v>
      </c>
      <c r="AY508" s="29">
        <f t="shared" si="266"/>
        <v>0</v>
      </c>
      <c r="AZ508" s="1">
        <f t="shared" si="243"/>
        <v>0</v>
      </c>
      <c r="CB508" s="20">
        <f t="shared" si="252"/>
        <v>0</v>
      </c>
      <c r="CC508" s="173">
        <f t="shared" si="244"/>
        <v>0</v>
      </c>
    </row>
    <row r="509" spans="2:81" x14ac:dyDescent="0.25">
      <c r="C509" s="42"/>
      <c r="D509" s="43"/>
      <c r="E509" s="44"/>
      <c r="F509" s="44"/>
      <c r="G509" s="45"/>
      <c r="H509" s="81" t="str">
        <f t="shared" si="235"/>
        <v/>
      </c>
      <c r="I509" s="3"/>
      <c r="J509" s="7"/>
      <c r="K509" s="8"/>
      <c r="L509" s="16"/>
      <c r="M509" s="22"/>
      <c r="N509" s="22"/>
      <c r="O509" s="22"/>
      <c r="P509" s="22"/>
      <c r="Q509" s="1">
        <f t="shared" si="245"/>
        <v>0.60744618579017706</v>
      </c>
      <c r="R509" s="12">
        <f t="shared" ca="1" si="267"/>
        <v>14372</v>
      </c>
      <c r="S509" s="88">
        <f t="shared" si="233"/>
        <v>0</v>
      </c>
      <c r="T509" s="19">
        <f t="shared" si="268"/>
        <v>0</v>
      </c>
      <c r="U509" s="19">
        <f t="shared" si="269"/>
        <v>0</v>
      </c>
      <c r="V509" s="19">
        <f t="shared" si="250"/>
        <v>0</v>
      </c>
      <c r="W509" s="20">
        <f t="shared" ca="1" si="270"/>
        <v>0</v>
      </c>
      <c r="X509" s="19">
        <f t="shared" ca="1" si="271"/>
        <v>0</v>
      </c>
      <c r="Y509" s="19">
        <f t="shared" ca="1" si="272"/>
        <v>0</v>
      </c>
      <c r="Z509" s="20">
        <f t="shared" ca="1" si="273"/>
        <v>0</v>
      </c>
      <c r="AA509" s="1">
        <f t="shared" si="246"/>
        <v>5432.58</v>
      </c>
      <c r="AB509" s="91"/>
      <c r="AC509" s="92"/>
      <c r="AD509" s="101">
        <f t="shared" si="247"/>
        <v>55494</v>
      </c>
      <c r="AE509" s="103">
        <f t="shared" si="248"/>
        <v>0</v>
      </c>
      <c r="AG509" s="1">
        <f t="shared" si="274"/>
        <v>0</v>
      </c>
      <c r="AH509" s="1">
        <f t="shared" si="275"/>
        <v>0</v>
      </c>
      <c r="AI509" s="1">
        <f t="shared" si="249"/>
        <v>5432.58</v>
      </c>
      <c r="AJ509" s="20">
        <f t="shared" si="251"/>
        <v>0</v>
      </c>
      <c r="AK509" s="100">
        <f t="shared" si="258"/>
        <v>0</v>
      </c>
      <c r="AL509" s="100">
        <f t="shared" si="259"/>
        <v>0</v>
      </c>
      <c r="AN509" s="100">
        <f t="shared" si="260"/>
        <v>4260.9714007889461</v>
      </c>
      <c r="AO509" s="20">
        <f t="shared" si="261"/>
        <v>0</v>
      </c>
      <c r="AQ509" s="109">
        <f t="shared" si="262"/>
        <v>0</v>
      </c>
      <c r="AU509" s="109">
        <f t="shared" si="240"/>
        <v>25.944730524204946</v>
      </c>
      <c r="AV509" s="101">
        <f t="shared" si="263"/>
        <v>55524</v>
      </c>
      <c r="AW509" s="99">
        <f t="shared" si="264"/>
        <v>0</v>
      </c>
      <c r="AX509" s="1">
        <f t="shared" si="265"/>
        <v>0</v>
      </c>
      <c r="AY509" s="29">
        <f t="shared" si="266"/>
        <v>0</v>
      </c>
      <c r="AZ509" s="1">
        <f t="shared" si="243"/>
        <v>0</v>
      </c>
      <c r="CB509" s="20">
        <f t="shared" si="252"/>
        <v>0</v>
      </c>
      <c r="CC509" s="173">
        <f t="shared" si="244"/>
        <v>0</v>
      </c>
    </row>
    <row r="510" spans="2:81" x14ac:dyDescent="0.25">
      <c r="C510" s="42"/>
      <c r="D510" s="43"/>
      <c r="E510" s="44"/>
      <c r="F510" s="44"/>
      <c r="G510" s="45"/>
      <c r="H510" s="81" t="str">
        <f t="shared" si="235"/>
        <v/>
      </c>
      <c r="I510" s="3"/>
      <c r="J510" s="9"/>
      <c r="K510" s="10"/>
      <c r="L510" s="17"/>
      <c r="M510" s="23"/>
      <c r="N510" s="23"/>
      <c r="O510" s="23"/>
      <c r="P510" s="23"/>
      <c r="Q510" s="1">
        <f t="shared" si="245"/>
        <v>0.60744618579017706</v>
      </c>
      <c r="R510" s="12">
        <f t="shared" ca="1" si="267"/>
        <v>14402</v>
      </c>
      <c r="S510" s="88">
        <f t="shared" si="233"/>
        <v>0</v>
      </c>
      <c r="T510" s="19">
        <f t="shared" si="268"/>
        <v>0</v>
      </c>
      <c r="U510" s="19">
        <f t="shared" si="269"/>
        <v>0</v>
      </c>
      <c r="V510" s="19">
        <f t="shared" si="250"/>
        <v>0</v>
      </c>
      <c r="W510" s="20">
        <f t="shared" ca="1" si="270"/>
        <v>0</v>
      </c>
      <c r="X510" s="19">
        <f t="shared" ca="1" si="271"/>
        <v>0</v>
      </c>
      <c r="Y510" s="19">
        <f t="shared" ca="1" si="272"/>
        <v>0</v>
      </c>
      <c r="Z510" s="20">
        <f t="shared" ca="1" si="273"/>
        <v>0</v>
      </c>
      <c r="AA510" s="1">
        <f t="shared" si="246"/>
        <v>5432.58</v>
      </c>
      <c r="AB510" s="93"/>
      <c r="AC510" s="94"/>
      <c r="AD510" s="101">
        <f t="shared" si="247"/>
        <v>55524</v>
      </c>
      <c r="AE510" s="103">
        <f t="shared" si="248"/>
        <v>0</v>
      </c>
      <c r="AG510" s="1">
        <f t="shared" si="274"/>
        <v>0</v>
      </c>
      <c r="AH510" s="1">
        <f t="shared" si="275"/>
        <v>0</v>
      </c>
      <c r="AI510" s="1">
        <f t="shared" si="249"/>
        <v>5432.58</v>
      </c>
      <c r="AJ510" s="20">
        <f t="shared" si="251"/>
        <v>0</v>
      </c>
      <c r="AK510" s="100">
        <f t="shared" si="258"/>
        <v>0</v>
      </c>
      <c r="AL510" s="100">
        <f t="shared" si="259"/>
        <v>0</v>
      </c>
      <c r="AN510" s="100">
        <f t="shared" si="260"/>
        <v>4258.8155663957868</v>
      </c>
      <c r="AO510" s="20">
        <f t="shared" si="261"/>
        <v>0</v>
      </c>
      <c r="AQ510" s="109">
        <f t="shared" si="262"/>
        <v>0</v>
      </c>
      <c r="AU510" s="109">
        <f t="shared" si="240"/>
        <v>25.942453353299495</v>
      </c>
      <c r="AV510" s="101">
        <f t="shared" si="263"/>
        <v>55554</v>
      </c>
      <c r="AW510" s="99">
        <f t="shared" si="264"/>
        <v>0</v>
      </c>
      <c r="AX510" s="1">
        <f t="shared" si="265"/>
        <v>0</v>
      </c>
      <c r="AY510" s="29">
        <f t="shared" si="266"/>
        <v>0</v>
      </c>
      <c r="AZ510" s="1">
        <f t="shared" si="243"/>
        <v>0</v>
      </c>
      <c r="CB510" s="20">
        <f t="shared" si="252"/>
        <v>0</v>
      </c>
      <c r="CC510" s="173">
        <f t="shared" si="244"/>
        <v>0</v>
      </c>
    </row>
    <row r="511" spans="2:81" x14ac:dyDescent="0.25">
      <c r="C511" s="42"/>
      <c r="D511" s="43"/>
      <c r="E511" s="44"/>
      <c r="F511" s="44"/>
      <c r="G511" s="45"/>
      <c r="H511" s="81" t="str">
        <f t="shared" si="235"/>
        <v/>
      </c>
      <c r="I511" s="3"/>
      <c r="J511" s="7"/>
      <c r="K511" s="8"/>
      <c r="L511" s="16"/>
      <c r="M511" s="22"/>
      <c r="N511" s="22"/>
      <c r="O511" s="22"/>
      <c r="P511" s="22"/>
      <c r="Q511" s="1">
        <f t="shared" si="245"/>
        <v>0.60744618579017706</v>
      </c>
      <c r="R511" s="12">
        <f t="shared" ca="1" si="267"/>
        <v>14432</v>
      </c>
      <c r="S511" s="88">
        <f t="shared" si="233"/>
        <v>0</v>
      </c>
      <c r="T511" s="19">
        <f t="shared" si="268"/>
        <v>0</v>
      </c>
      <c r="U511" s="19">
        <f t="shared" si="269"/>
        <v>0</v>
      </c>
      <c r="V511" s="19">
        <f t="shared" si="250"/>
        <v>0</v>
      </c>
      <c r="W511" s="20">
        <f t="shared" ca="1" si="270"/>
        <v>0</v>
      </c>
      <c r="X511" s="19">
        <f t="shared" ca="1" si="271"/>
        <v>0</v>
      </c>
      <c r="Y511" s="19">
        <f t="shared" ca="1" si="272"/>
        <v>0</v>
      </c>
      <c r="Z511" s="20">
        <f t="shared" ca="1" si="273"/>
        <v>0</v>
      </c>
      <c r="AA511" s="1">
        <f t="shared" si="246"/>
        <v>5432.58</v>
      </c>
      <c r="AB511" s="91"/>
      <c r="AC511" s="92"/>
      <c r="AD511" s="101">
        <f t="shared" si="247"/>
        <v>55554</v>
      </c>
      <c r="AE511" s="103">
        <f t="shared" si="248"/>
        <v>0</v>
      </c>
      <c r="AG511" s="1">
        <f t="shared" si="274"/>
        <v>0</v>
      </c>
      <c r="AH511" s="1">
        <f t="shared" si="275"/>
        <v>0</v>
      </c>
      <c r="AI511" s="1">
        <f t="shared" si="249"/>
        <v>5432.58</v>
      </c>
      <c r="AJ511" s="20">
        <f t="shared" si="251"/>
        <v>0</v>
      </c>
      <c r="AK511" s="100">
        <f t="shared" si="258"/>
        <v>0</v>
      </c>
      <c r="AL511" s="100">
        <f t="shared" si="259"/>
        <v>0</v>
      </c>
      <c r="AN511" s="100">
        <f t="shared" si="260"/>
        <v>4256.6608227449715</v>
      </c>
      <c r="AO511" s="20">
        <f t="shared" si="261"/>
        <v>0</v>
      </c>
      <c r="AQ511" s="109">
        <f t="shared" si="262"/>
        <v>0</v>
      </c>
      <c r="AU511" s="109">
        <f t="shared" si="240"/>
        <v>25.940176382261495</v>
      </c>
      <c r="AV511" s="101">
        <f t="shared" si="263"/>
        <v>55584</v>
      </c>
      <c r="AW511" s="99">
        <f t="shared" si="264"/>
        <v>0</v>
      </c>
      <c r="AX511" s="1">
        <f t="shared" si="265"/>
        <v>0</v>
      </c>
      <c r="AY511" s="29">
        <f t="shared" si="266"/>
        <v>0</v>
      </c>
      <c r="AZ511" s="1">
        <f t="shared" si="243"/>
        <v>0</v>
      </c>
      <c r="CB511" s="20">
        <f t="shared" si="252"/>
        <v>0</v>
      </c>
      <c r="CC511" s="173">
        <f t="shared" si="244"/>
        <v>0</v>
      </c>
    </row>
    <row r="512" spans="2:81" x14ac:dyDescent="0.25">
      <c r="C512" s="42"/>
      <c r="D512" s="43"/>
      <c r="E512" s="44"/>
      <c r="F512" s="44"/>
      <c r="G512" s="45"/>
      <c r="H512" s="81" t="str">
        <f t="shared" si="235"/>
        <v/>
      </c>
      <c r="I512" s="3"/>
      <c r="J512" s="9"/>
      <c r="K512" s="10"/>
      <c r="L512" s="17"/>
      <c r="M512" s="23"/>
      <c r="N512" s="23"/>
      <c r="O512" s="23"/>
      <c r="P512" s="23"/>
      <c r="Q512" s="1">
        <f t="shared" si="245"/>
        <v>0.60744618579017706</v>
      </c>
      <c r="R512" s="12">
        <f t="shared" ca="1" si="267"/>
        <v>14462</v>
      </c>
      <c r="S512" s="88">
        <f t="shared" si="233"/>
        <v>0</v>
      </c>
      <c r="T512" s="19">
        <f t="shared" si="268"/>
        <v>0</v>
      </c>
      <c r="U512" s="19">
        <f t="shared" si="269"/>
        <v>0</v>
      </c>
      <c r="V512" s="19">
        <f t="shared" si="250"/>
        <v>0</v>
      </c>
      <c r="W512" s="20">
        <f t="shared" ca="1" si="270"/>
        <v>0</v>
      </c>
      <c r="X512" s="19">
        <f t="shared" ca="1" si="271"/>
        <v>0</v>
      </c>
      <c r="Y512" s="19">
        <f t="shared" ca="1" si="272"/>
        <v>0</v>
      </c>
      <c r="Z512" s="20">
        <f t="shared" ca="1" si="273"/>
        <v>0</v>
      </c>
      <c r="AA512" s="1">
        <f t="shared" si="246"/>
        <v>5432.58</v>
      </c>
      <c r="AB512" s="93"/>
      <c r="AC512" s="94"/>
      <c r="AD512" s="101">
        <f t="shared" si="247"/>
        <v>55584</v>
      </c>
      <c r="AE512" s="103">
        <f t="shared" si="248"/>
        <v>0</v>
      </c>
      <c r="AG512" s="1">
        <f t="shared" si="274"/>
        <v>0</v>
      </c>
      <c r="AH512" s="1">
        <f t="shared" si="275"/>
        <v>0</v>
      </c>
      <c r="AI512" s="1">
        <f t="shared" si="249"/>
        <v>5432.58</v>
      </c>
      <c r="AJ512" s="20">
        <f t="shared" si="251"/>
        <v>0</v>
      </c>
      <c r="AK512" s="100">
        <f t="shared" si="258"/>
        <v>0</v>
      </c>
      <c r="AL512" s="100">
        <f t="shared" si="259"/>
        <v>0</v>
      </c>
      <c r="AN512" s="100">
        <f t="shared" si="260"/>
        <v>4254.5071692846386</v>
      </c>
      <c r="AO512" s="20">
        <f t="shared" si="261"/>
        <v>0</v>
      </c>
      <c r="AQ512" s="109">
        <f t="shared" si="262"/>
        <v>0</v>
      </c>
      <c r="AU512" s="109">
        <f t="shared" si="240"/>
        <v>25.937899611073423</v>
      </c>
      <c r="AV512" s="101">
        <f t="shared" si="263"/>
        <v>55614</v>
      </c>
      <c r="AW512" s="99">
        <f t="shared" si="264"/>
        <v>0</v>
      </c>
      <c r="AX512" s="1">
        <f t="shared" si="265"/>
        <v>0</v>
      </c>
      <c r="AY512" s="29">
        <f t="shared" si="266"/>
        <v>0</v>
      </c>
      <c r="AZ512" s="1">
        <f t="shared" si="243"/>
        <v>0</v>
      </c>
      <c r="CB512" s="20">
        <f t="shared" si="252"/>
        <v>0</v>
      </c>
      <c r="CC512" s="173">
        <f t="shared" si="244"/>
        <v>0</v>
      </c>
    </row>
    <row r="513" spans="3:81" x14ac:dyDescent="0.25">
      <c r="C513" s="42"/>
      <c r="D513" s="43"/>
      <c r="E513" s="44"/>
      <c r="F513" s="44"/>
      <c r="G513" s="45"/>
      <c r="H513" s="81" t="str">
        <f t="shared" si="235"/>
        <v/>
      </c>
      <c r="I513" s="3"/>
      <c r="J513" s="7"/>
      <c r="K513" s="8"/>
      <c r="L513" s="16"/>
      <c r="M513" s="22"/>
      <c r="N513" s="22"/>
      <c r="O513" s="22"/>
      <c r="P513" s="22"/>
      <c r="Q513" s="1">
        <f t="shared" si="245"/>
        <v>0.60744618579017706</v>
      </c>
      <c r="R513" s="12">
        <f t="shared" ca="1" si="267"/>
        <v>14492</v>
      </c>
      <c r="S513" s="88">
        <f t="shared" si="233"/>
        <v>0</v>
      </c>
      <c r="T513" s="19">
        <f t="shared" si="268"/>
        <v>0</v>
      </c>
      <c r="U513" s="19">
        <f t="shared" si="269"/>
        <v>0</v>
      </c>
      <c r="V513" s="19">
        <f t="shared" si="250"/>
        <v>0</v>
      </c>
      <c r="W513" s="20">
        <f t="shared" ca="1" si="270"/>
        <v>0</v>
      </c>
      <c r="X513" s="19">
        <f t="shared" ca="1" si="271"/>
        <v>0</v>
      </c>
      <c r="Y513" s="19">
        <f t="shared" ca="1" si="272"/>
        <v>0</v>
      </c>
      <c r="Z513" s="20">
        <f t="shared" ca="1" si="273"/>
        <v>0</v>
      </c>
      <c r="AA513" s="1">
        <f t="shared" si="246"/>
        <v>5432.58</v>
      </c>
      <c r="AB513" s="91"/>
      <c r="AC513" s="92"/>
      <c r="AD513" s="101">
        <f t="shared" si="247"/>
        <v>55614</v>
      </c>
      <c r="AE513" s="103">
        <f t="shared" si="248"/>
        <v>0</v>
      </c>
      <c r="AG513" s="1">
        <f t="shared" si="274"/>
        <v>0</v>
      </c>
      <c r="AH513" s="1">
        <f t="shared" si="275"/>
        <v>0</v>
      </c>
      <c r="AI513" s="1">
        <f t="shared" si="249"/>
        <v>5432.58</v>
      </c>
      <c r="AJ513" s="20">
        <f t="shared" si="251"/>
        <v>0</v>
      </c>
      <c r="AK513" s="100">
        <f t="shared" si="258"/>
        <v>0</v>
      </c>
      <c r="AL513" s="100">
        <f t="shared" si="259"/>
        <v>0</v>
      </c>
      <c r="AN513" s="100">
        <f t="shared" si="260"/>
        <v>4252.354605463207</v>
      </c>
      <c r="AO513" s="20">
        <f t="shared" si="261"/>
        <v>0</v>
      </c>
      <c r="AQ513" s="109">
        <f t="shared" si="262"/>
        <v>0</v>
      </c>
      <c r="AU513" s="109">
        <f t="shared" si="240"/>
        <v>25.935623039717715</v>
      </c>
      <c r="AV513" s="101">
        <f t="shared" si="263"/>
        <v>55644</v>
      </c>
      <c r="AW513" s="99">
        <f t="shared" si="264"/>
        <v>0</v>
      </c>
      <c r="AX513" s="1">
        <f t="shared" si="265"/>
        <v>0</v>
      </c>
      <c r="AY513" s="29">
        <f t="shared" si="266"/>
        <v>0</v>
      </c>
      <c r="AZ513" s="1">
        <f t="shared" si="243"/>
        <v>0</v>
      </c>
      <c r="CB513" s="20">
        <f t="shared" si="252"/>
        <v>0</v>
      </c>
      <c r="CC513" s="173">
        <f t="shared" si="244"/>
        <v>0</v>
      </c>
    </row>
    <row r="514" spans="3:81" x14ac:dyDescent="0.25">
      <c r="C514" s="42"/>
      <c r="D514" s="43"/>
      <c r="E514" s="44"/>
      <c r="F514" s="44"/>
      <c r="G514" s="45"/>
      <c r="H514" s="81" t="str">
        <f t="shared" si="235"/>
        <v/>
      </c>
      <c r="I514" s="3"/>
      <c r="J514" s="9"/>
      <c r="K514" s="10"/>
      <c r="L514" s="17"/>
      <c r="M514" s="23"/>
      <c r="N514" s="23"/>
      <c r="O514" s="23"/>
      <c r="P514" s="23"/>
      <c r="Q514" s="1">
        <f t="shared" si="245"/>
        <v>0.60744618579017706</v>
      </c>
      <c r="R514" s="12">
        <f t="shared" ca="1" si="267"/>
        <v>14522</v>
      </c>
      <c r="S514" s="88">
        <f t="shared" si="233"/>
        <v>0</v>
      </c>
      <c r="T514" s="19">
        <f t="shared" si="268"/>
        <v>0</v>
      </c>
      <c r="U514" s="19">
        <f t="shared" si="269"/>
        <v>0</v>
      </c>
      <c r="V514" s="19">
        <f t="shared" si="250"/>
        <v>0</v>
      </c>
      <c r="W514" s="20">
        <f t="shared" ca="1" si="270"/>
        <v>0</v>
      </c>
      <c r="X514" s="19">
        <f t="shared" ca="1" si="271"/>
        <v>0</v>
      </c>
      <c r="Y514" s="19">
        <f t="shared" ca="1" si="272"/>
        <v>0</v>
      </c>
      <c r="Z514" s="20">
        <f t="shared" ca="1" si="273"/>
        <v>0</v>
      </c>
      <c r="AA514" s="1">
        <f t="shared" si="246"/>
        <v>5432.58</v>
      </c>
      <c r="AB514" s="93"/>
      <c r="AC514" s="94"/>
      <c r="AD514" s="101">
        <f t="shared" si="247"/>
        <v>55644</v>
      </c>
      <c r="AE514" s="103">
        <f t="shared" si="248"/>
        <v>0</v>
      </c>
      <c r="AG514" s="1">
        <f t="shared" si="274"/>
        <v>0</v>
      </c>
      <c r="AH514" s="1">
        <f t="shared" si="275"/>
        <v>0</v>
      </c>
      <c r="AI514" s="1">
        <f t="shared" si="249"/>
        <v>5432.58</v>
      </c>
      <c r="AJ514" s="20">
        <f t="shared" si="251"/>
        <v>0</v>
      </c>
      <c r="AK514" s="100">
        <f t="shared" si="258"/>
        <v>0</v>
      </c>
      <c r="AL514" s="100">
        <f t="shared" si="259"/>
        <v>0</v>
      </c>
      <c r="AN514" s="100">
        <f t="shared" si="260"/>
        <v>4250.2031307293773</v>
      </c>
      <c r="AO514" s="20">
        <f t="shared" si="261"/>
        <v>0</v>
      </c>
      <c r="AQ514" s="109">
        <f t="shared" si="262"/>
        <v>0</v>
      </c>
      <c r="AU514" s="109">
        <f t="shared" si="240"/>
        <v>25.933346668176828</v>
      </c>
      <c r="AV514" s="101">
        <f t="shared" si="263"/>
        <v>55674</v>
      </c>
      <c r="AW514" s="99">
        <f t="shared" si="264"/>
        <v>0</v>
      </c>
      <c r="AX514" s="1">
        <f t="shared" si="265"/>
        <v>0</v>
      </c>
      <c r="AY514" s="29">
        <f t="shared" si="266"/>
        <v>0</v>
      </c>
      <c r="AZ514" s="1">
        <f t="shared" si="243"/>
        <v>0</v>
      </c>
      <c r="CB514" s="20">
        <f t="shared" si="252"/>
        <v>0</v>
      </c>
      <c r="CC514" s="173">
        <f t="shared" si="244"/>
        <v>0</v>
      </c>
    </row>
    <row r="515" spans="3:81" x14ac:dyDescent="0.25">
      <c r="C515" s="42"/>
      <c r="D515" s="43"/>
      <c r="E515" s="44"/>
      <c r="F515" s="44"/>
      <c r="G515" s="45"/>
      <c r="H515" s="81" t="str">
        <f t="shared" si="235"/>
        <v/>
      </c>
      <c r="I515" s="3"/>
      <c r="J515" s="7"/>
      <c r="K515" s="8"/>
      <c r="L515" s="16"/>
      <c r="M515" s="22"/>
      <c r="N515" s="22"/>
      <c r="O515" s="22"/>
      <c r="P515" s="22"/>
      <c r="Q515" s="1">
        <f t="shared" si="245"/>
        <v>0.60744618579017706</v>
      </c>
      <c r="R515" s="12">
        <f t="shared" ca="1" si="267"/>
        <v>14552</v>
      </c>
      <c r="S515" s="88">
        <f t="shared" ref="S515:S578" si="276">N515+M515</f>
        <v>0</v>
      </c>
      <c r="T515" s="19">
        <f t="shared" si="268"/>
        <v>0</v>
      </c>
      <c r="U515" s="19">
        <f t="shared" si="269"/>
        <v>0</v>
      </c>
      <c r="V515" s="19">
        <f t="shared" si="250"/>
        <v>0</v>
      </c>
      <c r="W515" s="20">
        <f t="shared" ca="1" si="270"/>
        <v>0</v>
      </c>
      <c r="X515" s="19">
        <f t="shared" ca="1" si="271"/>
        <v>0</v>
      </c>
      <c r="Y515" s="19">
        <f t="shared" ca="1" si="272"/>
        <v>0</v>
      </c>
      <c r="Z515" s="20">
        <f t="shared" ca="1" si="273"/>
        <v>0</v>
      </c>
      <c r="AA515" s="1">
        <f t="shared" si="246"/>
        <v>5432.58</v>
      </c>
      <c r="AB515" s="91"/>
      <c r="AC515" s="92"/>
      <c r="AD515" s="101">
        <f t="shared" si="247"/>
        <v>55674</v>
      </c>
      <c r="AE515" s="103">
        <f t="shared" si="248"/>
        <v>0</v>
      </c>
      <c r="AG515" s="1">
        <f t="shared" si="274"/>
        <v>0</v>
      </c>
      <c r="AH515" s="1">
        <f t="shared" si="275"/>
        <v>0</v>
      </c>
      <c r="AI515" s="1">
        <f t="shared" si="249"/>
        <v>5432.58</v>
      </c>
      <c r="AJ515" s="20">
        <f t="shared" si="251"/>
        <v>0</v>
      </c>
      <c r="AK515" s="100">
        <f t="shared" si="258"/>
        <v>0</v>
      </c>
      <c r="AL515" s="100">
        <f t="shared" si="259"/>
        <v>0</v>
      </c>
      <c r="AN515" s="100">
        <f t="shared" si="260"/>
        <v>4248.052744532125</v>
      </c>
      <c r="AO515" s="20">
        <f t="shared" si="261"/>
        <v>0</v>
      </c>
      <c r="AQ515" s="109">
        <f t="shared" si="262"/>
        <v>0</v>
      </c>
      <c r="AU515" s="109">
        <f t="shared" si="240"/>
        <v>25.931070496433264</v>
      </c>
      <c r="AV515" s="101">
        <f t="shared" si="263"/>
        <v>55704</v>
      </c>
      <c r="AW515" s="99">
        <f t="shared" si="264"/>
        <v>0</v>
      </c>
      <c r="AX515" s="1">
        <f t="shared" si="265"/>
        <v>0</v>
      </c>
      <c r="AY515" s="29">
        <f t="shared" si="266"/>
        <v>0</v>
      </c>
      <c r="AZ515" s="1">
        <f t="shared" si="243"/>
        <v>0</v>
      </c>
      <c r="CB515" s="20">
        <f t="shared" si="252"/>
        <v>0</v>
      </c>
      <c r="CC515" s="173">
        <f t="shared" si="244"/>
        <v>0</v>
      </c>
    </row>
    <row r="516" spans="3:81" x14ac:dyDescent="0.25">
      <c r="C516" s="42"/>
      <c r="D516" s="43"/>
      <c r="E516" s="44"/>
      <c r="F516" s="44"/>
      <c r="G516" s="45"/>
      <c r="H516" s="81" t="str">
        <f t="shared" si="235"/>
        <v/>
      </c>
      <c r="I516" s="3"/>
      <c r="J516" s="9"/>
      <c r="K516" s="10"/>
      <c r="L516" s="17"/>
      <c r="M516" s="23"/>
      <c r="N516" s="23"/>
      <c r="O516" s="23"/>
      <c r="P516" s="23"/>
      <c r="Q516" s="1">
        <f t="shared" si="245"/>
        <v>0.60744618579017706</v>
      </c>
      <c r="R516" s="12">
        <f t="shared" ca="1" si="267"/>
        <v>14582</v>
      </c>
      <c r="S516" s="88">
        <f t="shared" si="276"/>
        <v>0</v>
      </c>
      <c r="T516" s="19">
        <f t="shared" si="268"/>
        <v>0</v>
      </c>
      <c r="U516" s="19">
        <f t="shared" si="269"/>
        <v>0</v>
      </c>
      <c r="V516" s="19">
        <f t="shared" si="250"/>
        <v>0</v>
      </c>
      <c r="W516" s="20">
        <f t="shared" ca="1" si="270"/>
        <v>0</v>
      </c>
      <c r="X516" s="19">
        <f t="shared" ca="1" si="271"/>
        <v>0</v>
      </c>
      <c r="Y516" s="19">
        <f t="shared" ca="1" si="272"/>
        <v>0</v>
      </c>
      <c r="Z516" s="20">
        <f t="shared" ca="1" si="273"/>
        <v>0</v>
      </c>
      <c r="AA516" s="1">
        <f t="shared" si="246"/>
        <v>5432.58</v>
      </c>
      <c r="AB516" s="93"/>
      <c r="AC516" s="94"/>
      <c r="AD516" s="101">
        <f t="shared" si="247"/>
        <v>55704</v>
      </c>
      <c r="AE516" s="103">
        <f t="shared" si="248"/>
        <v>0</v>
      </c>
      <c r="AG516" s="1">
        <f t="shared" si="274"/>
        <v>0</v>
      </c>
      <c r="AH516" s="1">
        <f t="shared" si="275"/>
        <v>0</v>
      </c>
      <c r="AI516" s="1">
        <f t="shared" si="249"/>
        <v>5432.58</v>
      </c>
      <c r="AJ516" s="20">
        <f t="shared" si="251"/>
        <v>0</v>
      </c>
      <c r="AK516" s="100">
        <f t="shared" si="258"/>
        <v>0</v>
      </c>
      <c r="AL516" s="100">
        <f t="shared" si="259"/>
        <v>0</v>
      </c>
      <c r="AN516" s="100">
        <f t="shared" si="260"/>
        <v>4245.9034463207081</v>
      </c>
      <c r="AO516" s="20">
        <f t="shared" si="261"/>
        <v>0</v>
      </c>
      <c r="AQ516" s="109">
        <f t="shared" si="262"/>
        <v>0</v>
      </c>
      <c r="AU516" s="109">
        <f t="shared" si="240"/>
        <v>25.928794524469453</v>
      </c>
      <c r="AV516" s="101">
        <f t="shared" si="263"/>
        <v>55734</v>
      </c>
      <c r="AW516" s="99">
        <f t="shared" si="264"/>
        <v>0</v>
      </c>
      <c r="AX516" s="1">
        <f t="shared" si="265"/>
        <v>0</v>
      </c>
      <c r="AY516" s="29">
        <f t="shared" si="266"/>
        <v>0</v>
      </c>
      <c r="AZ516" s="1">
        <f t="shared" si="243"/>
        <v>0</v>
      </c>
      <c r="CB516" s="20">
        <f t="shared" si="252"/>
        <v>0</v>
      </c>
      <c r="CC516" s="173">
        <f t="shared" si="244"/>
        <v>0</v>
      </c>
    </row>
    <row r="517" spans="3:81" x14ac:dyDescent="0.25">
      <c r="C517" s="42"/>
      <c r="D517" s="43"/>
      <c r="E517" s="44"/>
      <c r="F517" s="44"/>
      <c r="G517" s="45"/>
      <c r="H517" s="81" t="str">
        <f t="shared" si="235"/>
        <v/>
      </c>
      <c r="I517" s="3"/>
      <c r="J517" s="7"/>
      <c r="K517" s="8"/>
      <c r="L517" s="16"/>
      <c r="M517" s="22"/>
      <c r="N517" s="22"/>
      <c r="O517" s="22"/>
      <c r="P517" s="22"/>
      <c r="Q517" s="1">
        <f t="shared" si="245"/>
        <v>0.60744618579017706</v>
      </c>
      <c r="R517" s="12">
        <f t="shared" ca="1" si="267"/>
        <v>14612</v>
      </c>
      <c r="S517" s="88">
        <f t="shared" si="276"/>
        <v>0</v>
      </c>
      <c r="T517" s="19">
        <f t="shared" si="268"/>
        <v>0</v>
      </c>
      <c r="U517" s="19">
        <f t="shared" si="269"/>
        <v>0</v>
      </c>
      <c r="V517" s="19">
        <f t="shared" si="250"/>
        <v>0</v>
      </c>
      <c r="W517" s="20">
        <f t="shared" ca="1" si="270"/>
        <v>0</v>
      </c>
      <c r="X517" s="19">
        <f t="shared" ca="1" si="271"/>
        <v>0</v>
      </c>
      <c r="Y517" s="19">
        <f t="shared" ca="1" si="272"/>
        <v>0</v>
      </c>
      <c r="Z517" s="20">
        <f t="shared" ca="1" si="273"/>
        <v>0</v>
      </c>
      <c r="AA517" s="1">
        <f t="shared" si="246"/>
        <v>5432.58</v>
      </c>
      <c r="AB517" s="91"/>
      <c r="AC517" s="92"/>
      <c r="AD517" s="101">
        <f t="shared" si="247"/>
        <v>55734</v>
      </c>
      <c r="AE517" s="103">
        <f t="shared" si="248"/>
        <v>0</v>
      </c>
      <c r="AG517" s="1">
        <f t="shared" si="274"/>
        <v>0</v>
      </c>
      <c r="AH517" s="1">
        <f t="shared" si="275"/>
        <v>0</v>
      </c>
      <c r="AI517" s="1">
        <f t="shared" si="249"/>
        <v>5432.58</v>
      </c>
      <c r="AJ517" s="20">
        <f t="shared" si="251"/>
        <v>0</v>
      </c>
      <c r="AK517" s="100">
        <f t="shared" si="258"/>
        <v>0</v>
      </c>
      <c r="AL517" s="100">
        <f t="shared" si="259"/>
        <v>0</v>
      </c>
      <c r="AN517" s="100">
        <f t="shared" si="260"/>
        <v>4243.7552355446587</v>
      </c>
      <c r="AO517" s="20">
        <f t="shared" si="261"/>
        <v>0</v>
      </c>
      <c r="AQ517" s="109">
        <f t="shared" si="262"/>
        <v>0</v>
      </c>
      <c r="AU517" s="109">
        <f t="shared" si="240"/>
        <v>25.926518752267874</v>
      </c>
      <c r="AV517" s="101">
        <f t="shared" si="263"/>
        <v>55764</v>
      </c>
      <c r="AW517" s="99">
        <f t="shared" si="264"/>
        <v>0</v>
      </c>
      <c r="AX517" s="1">
        <f t="shared" si="265"/>
        <v>0</v>
      </c>
      <c r="AY517" s="29">
        <f t="shared" si="266"/>
        <v>0</v>
      </c>
      <c r="AZ517" s="1">
        <f t="shared" si="243"/>
        <v>0</v>
      </c>
      <c r="CB517" s="20">
        <f t="shared" si="252"/>
        <v>0</v>
      </c>
      <c r="CC517" s="173">
        <f t="shared" si="244"/>
        <v>0</v>
      </c>
    </row>
    <row r="518" spans="3:81" x14ac:dyDescent="0.25">
      <c r="C518" s="42"/>
      <c r="D518" s="43"/>
      <c r="E518" s="44"/>
      <c r="F518" s="44"/>
      <c r="G518" s="45"/>
      <c r="H518" s="81" t="str">
        <f t="shared" si="235"/>
        <v/>
      </c>
      <c r="I518" s="3"/>
      <c r="J518" s="9"/>
      <c r="K518" s="10"/>
      <c r="L518" s="17"/>
      <c r="M518" s="23"/>
      <c r="N518" s="23"/>
      <c r="O518" s="23"/>
      <c r="P518" s="23"/>
      <c r="Q518" s="1">
        <f t="shared" si="245"/>
        <v>0.60744618579017706</v>
      </c>
      <c r="R518" s="12">
        <f t="shared" ca="1" si="267"/>
        <v>14642</v>
      </c>
      <c r="S518" s="88">
        <f t="shared" si="276"/>
        <v>0</v>
      </c>
      <c r="T518" s="19">
        <f t="shared" si="268"/>
        <v>0</v>
      </c>
      <c r="U518" s="19">
        <f t="shared" si="269"/>
        <v>0</v>
      </c>
      <c r="V518" s="19">
        <f t="shared" si="250"/>
        <v>0</v>
      </c>
      <c r="W518" s="20">
        <f t="shared" ca="1" si="270"/>
        <v>0</v>
      </c>
      <c r="X518" s="19">
        <f t="shared" ca="1" si="271"/>
        <v>0</v>
      </c>
      <c r="Y518" s="19">
        <f t="shared" ca="1" si="272"/>
        <v>0</v>
      </c>
      <c r="Z518" s="20">
        <f t="shared" ca="1" si="273"/>
        <v>0</v>
      </c>
      <c r="AA518" s="1">
        <f t="shared" si="246"/>
        <v>5432.58</v>
      </c>
      <c r="AB518" s="93"/>
      <c r="AC518" s="94"/>
      <c r="AD518" s="101">
        <f t="shared" si="247"/>
        <v>55764</v>
      </c>
      <c r="AE518" s="103">
        <f t="shared" si="248"/>
        <v>0</v>
      </c>
      <c r="AG518" s="1">
        <f t="shared" si="274"/>
        <v>0</v>
      </c>
      <c r="AH518" s="1">
        <f t="shared" si="275"/>
        <v>0</v>
      </c>
      <c r="AI518" s="1">
        <f t="shared" si="249"/>
        <v>5432.58</v>
      </c>
      <c r="AJ518" s="20">
        <f t="shared" si="251"/>
        <v>0</v>
      </c>
      <c r="AK518" s="100">
        <f t="shared" si="258"/>
        <v>0</v>
      </c>
      <c r="AL518" s="100">
        <f t="shared" si="259"/>
        <v>0</v>
      </c>
      <c r="AN518" s="100">
        <f t="shared" si="260"/>
        <v>4241.6081116537916</v>
      </c>
      <c r="AO518" s="20">
        <f t="shared" si="261"/>
        <v>0</v>
      </c>
      <c r="AQ518" s="109">
        <f t="shared" si="262"/>
        <v>0</v>
      </c>
      <c r="AU518" s="109">
        <f t="shared" si="240"/>
        <v>25.924243179810979</v>
      </c>
      <c r="AV518" s="101">
        <f t="shared" si="263"/>
        <v>55794</v>
      </c>
      <c r="AW518" s="99">
        <f t="shared" si="264"/>
        <v>0</v>
      </c>
      <c r="AX518" s="1">
        <f t="shared" si="265"/>
        <v>0</v>
      </c>
      <c r="AY518" s="29">
        <f t="shared" si="266"/>
        <v>0</v>
      </c>
      <c r="AZ518" s="1">
        <f t="shared" si="243"/>
        <v>0</v>
      </c>
      <c r="CB518" s="20">
        <f t="shared" si="252"/>
        <v>0</v>
      </c>
      <c r="CC518" s="173">
        <f t="shared" si="244"/>
        <v>0</v>
      </c>
    </row>
    <row r="519" spans="3:81" x14ac:dyDescent="0.25">
      <c r="C519" s="42"/>
      <c r="D519" s="43"/>
      <c r="E519" s="44"/>
      <c r="F519" s="44"/>
      <c r="G519" s="45"/>
      <c r="H519" s="81" t="str">
        <f t="shared" si="235"/>
        <v/>
      </c>
      <c r="I519" s="3"/>
      <c r="J519" s="7"/>
      <c r="K519" s="8"/>
      <c r="L519" s="16"/>
      <c r="M519" s="22"/>
      <c r="N519" s="22"/>
      <c r="O519" s="22"/>
      <c r="P519" s="22"/>
      <c r="Q519" s="1">
        <f t="shared" si="245"/>
        <v>0.60744618579017706</v>
      </c>
      <c r="R519" s="12">
        <f t="shared" ca="1" si="267"/>
        <v>14672</v>
      </c>
      <c r="S519" s="88">
        <f t="shared" si="276"/>
        <v>0</v>
      </c>
      <c r="T519" s="19">
        <f t="shared" si="268"/>
        <v>0</v>
      </c>
      <c r="U519" s="19">
        <f t="shared" si="269"/>
        <v>0</v>
      </c>
      <c r="V519" s="19">
        <f t="shared" si="250"/>
        <v>0</v>
      </c>
      <c r="W519" s="20">
        <f t="shared" ca="1" si="270"/>
        <v>0</v>
      </c>
      <c r="X519" s="19">
        <f t="shared" ca="1" si="271"/>
        <v>0</v>
      </c>
      <c r="Y519" s="19">
        <f t="shared" ca="1" si="272"/>
        <v>0</v>
      </c>
      <c r="Z519" s="20">
        <f t="shared" ca="1" si="273"/>
        <v>0</v>
      </c>
      <c r="AA519" s="1">
        <f t="shared" si="246"/>
        <v>5432.58</v>
      </c>
      <c r="AB519" s="91"/>
      <c r="AC519" s="92"/>
      <c r="AD519" s="101">
        <f t="shared" si="247"/>
        <v>55794</v>
      </c>
      <c r="AE519" s="103">
        <f t="shared" si="248"/>
        <v>0</v>
      </c>
      <c r="AG519" s="1">
        <f t="shared" si="274"/>
        <v>0</v>
      </c>
      <c r="AH519" s="1">
        <f t="shared" si="275"/>
        <v>0</v>
      </c>
      <c r="AI519" s="1">
        <f t="shared" si="249"/>
        <v>5432.58</v>
      </c>
      <c r="AJ519" s="20">
        <f t="shared" si="251"/>
        <v>0</v>
      </c>
      <c r="AK519" s="100">
        <f t="shared" si="258"/>
        <v>0</v>
      </c>
      <c r="AL519" s="100">
        <f t="shared" si="259"/>
        <v>0</v>
      </c>
      <c r="AN519" s="100">
        <f t="shared" si="260"/>
        <v>4239.4620740981954</v>
      </c>
      <c r="AO519" s="20">
        <f t="shared" si="261"/>
        <v>0</v>
      </c>
      <c r="AQ519" s="109">
        <f t="shared" si="262"/>
        <v>0</v>
      </c>
      <c r="AU519" s="109">
        <f t="shared" si="240"/>
        <v>25.921967807081252</v>
      </c>
      <c r="AV519" s="101">
        <f t="shared" si="263"/>
        <v>55824</v>
      </c>
      <c r="AW519" s="99">
        <f t="shared" si="264"/>
        <v>0</v>
      </c>
      <c r="AX519" s="1">
        <f t="shared" si="265"/>
        <v>0</v>
      </c>
      <c r="AY519" s="29">
        <f t="shared" si="266"/>
        <v>0</v>
      </c>
      <c r="AZ519" s="1">
        <f t="shared" si="243"/>
        <v>0</v>
      </c>
      <c r="CB519" s="20">
        <f t="shared" si="252"/>
        <v>0</v>
      </c>
      <c r="CC519" s="173">
        <f t="shared" si="244"/>
        <v>0</v>
      </c>
    </row>
    <row r="520" spans="3:81" x14ac:dyDescent="0.25">
      <c r="C520" s="42"/>
      <c r="D520" s="43"/>
      <c r="E520" s="44"/>
      <c r="F520" s="44"/>
      <c r="G520" s="45"/>
      <c r="H520" s="81" t="str">
        <f t="shared" si="235"/>
        <v/>
      </c>
      <c r="J520" s="9"/>
      <c r="K520" s="10"/>
      <c r="L520" s="17"/>
      <c r="M520" s="23"/>
      <c r="N520" s="23"/>
      <c r="O520" s="23"/>
      <c r="P520" s="23"/>
      <c r="Q520" s="1">
        <f t="shared" si="245"/>
        <v>0.60744618579017706</v>
      </c>
      <c r="R520" s="12">
        <f t="shared" ca="1" si="267"/>
        <v>14702</v>
      </c>
      <c r="S520" s="88">
        <f t="shared" si="276"/>
        <v>0</v>
      </c>
      <c r="T520" s="19">
        <f t="shared" si="268"/>
        <v>0</v>
      </c>
      <c r="U520" s="19">
        <f t="shared" si="269"/>
        <v>0</v>
      </c>
      <c r="V520" s="19">
        <f t="shared" si="250"/>
        <v>0</v>
      </c>
      <c r="W520" s="20">
        <f t="shared" ca="1" si="270"/>
        <v>0</v>
      </c>
      <c r="X520" s="19">
        <f t="shared" ca="1" si="271"/>
        <v>0</v>
      </c>
      <c r="Y520" s="19">
        <f t="shared" ca="1" si="272"/>
        <v>0</v>
      </c>
      <c r="Z520" s="20">
        <f t="shared" ca="1" si="273"/>
        <v>0</v>
      </c>
      <c r="AA520" s="1">
        <f t="shared" si="246"/>
        <v>5432.58</v>
      </c>
      <c r="AB520" s="93"/>
      <c r="AC520" s="94"/>
      <c r="AD520" s="101">
        <f t="shared" si="247"/>
        <v>55824</v>
      </c>
      <c r="AE520" s="103">
        <f t="shared" si="248"/>
        <v>0</v>
      </c>
      <c r="AG520" s="1">
        <f t="shared" si="274"/>
        <v>0</v>
      </c>
      <c r="AH520" s="1">
        <f t="shared" si="275"/>
        <v>0</v>
      </c>
      <c r="AI520" s="1">
        <f t="shared" si="249"/>
        <v>5432.58</v>
      </c>
      <c r="AJ520" s="20">
        <f t="shared" si="251"/>
        <v>0</v>
      </c>
      <c r="AK520" s="100">
        <f t="shared" si="258"/>
        <v>0</v>
      </c>
      <c r="AL520" s="100">
        <f t="shared" si="259"/>
        <v>0</v>
      </c>
      <c r="AN520" s="100">
        <f t="shared" si="260"/>
        <v>4237.3171223282452</v>
      </c>
      <c r="AO520" s="20">
        <f t="shared" si="261"/>
        <v>0</v>
      </c>
      <c r="AQ520" s="109">
        <f t="shared" si="262"/>
        <v>0</v>
      </c>
      <c r="AU520" s="109">
        <f t="shared" si="240"/>
        <v>25.91969263406115</v>
      </c>
      <c r="AV520" s="101">
        <f t="shared" si="263"/>
        <v>55854</v>
      </c>
      <c r="AW520" s="99">
        <f t="shared" si="264"/>
        <v>0</v>
      </c>
      <c r="AX520" s="1">
        <f t="shared" si="265"/>
        <v>0</v>
      </c>
      <c r="AY520" s="29">
        <f t="shared" si="266"/>
        <v>0</v>
      </c>
      <c r="AZ520" s="1">
        <f t="shared" si="243"/>
        <v>0</v>
      </c>
      <c r="CB520" s="20">
        <f t="shared" si="252"/>
        <v>0</v>
      </c>
      <c r="CC520" s="173">
        <f t="shared" si="244"/>
        <v>0</v>
      </c>
    </row>
    <row r="521" spans="3:81" x14ac:dyDescent="0.25">
      <c r="C521" s="42"/>
      <c r="D521" s="43"/>
      <c r="E521" s="44"/>
      <c r="F521" s="44"/>
      <c r="G521" s="45"/>
      <c r="H521" s="81" t="str">
        <f t="shared" si="235"/>
        <v/>
      </c>
      <c r="J521" s="7"/>
      <c r="K521" s="8"/>
      <c r="L521" s="16"/>
      <c r="M521" s="22"/>
      <c r="N521" s="22"/>
      <c r="O521" s="22"/>
      <c r="P521" s="22"/>
      <c r="Q521" s="1">
        <f t="shared" si="245"/>
        <v>0.60744618579017706</v>
      </c>
      <c r="R521" s="12">
        <f t="shared" ca="1" si="267"/>
        <v>14732</v>
      </c>
      <c r="S521" s="88">
        <f t="shared" si="276"/>
        <v>0</v>
      </c>
      <c r="T521" s="19">
        <f t="shared" si="268"/>
        <v>0</v>
      </c>
      <c r="U521" s="19">
        <f t="shared" si="269"/>
        <v>0</v>
      </c>
      <c r="V521" s="19">
        <f t="shared" si="250"/>
        <v>0</v>
      </c>
      <c r="W521" s="20">
        <f t="shared" ca="1" si="270"/>
        <v>0</v>
      </c>
      <c r="X521" s="19">
        <f t="shared" ca="1" si="271"/>
        <v>0</v>
      </c>
      <c r="Y521" s="19">
        <f t="shared" ca="1" si="272"/>
        <v>0</v>
      </c>
      <c r="Z521" s="20">
        <f t="shared" ca="1" si="273"/>
        <v>0</v>
      </c>
      <c r="AA521" s="1">
        <f t="shared" si="246"/>
        <v>5432.58</v>
      </c>
      <c r="AB521" s="91"/>
      <c r="AC521" s="92"/>
      <c r="AD521" s="101">
        <f t="shared" si="247"/>
        <v>55854</v>
      </c>
      <c r="AE521" s="103">
        <f t="shared" si="248"/>
        <v>0</v>
      </c>
      <c r="AG521" s="1">
        <f t="shared" si="274"/>
        <v>0</v>
      </c>
      <c r="AH521" s="1">
        <f t="shared" si="275"/>
        <v>0</v>
      </c>
      <c r="AI521" s="1">
        <f t="shared" si="249"/>
        <v>5432.58</v>
      </c>
      <c r="AJ521" s="20">
        <f t="shared" si="251"/>
        <v>0</v>
      </c>
      <c r="AK521" s="100">
        <f t="shared" si="258"/>
        <v>0</v>
      </c>
      <c r="AL521" s="100">
        <f t="shared" si="259"/>
        <v>0</v>
      </c>
      <c r="AN521" s="100">
        <f t="shared" si="260"/>
        <v>4235.1732557945825</v>
      </c>
      <c r="AO521" s="20">
        <f t="shared" si="261"/>
        <v>0</v>
      </c>
      <c r="AQ521" s="109">
        <f t="shared" si="262"/>
        <v>0</v>
      </c>
      <c r="AU521" s="109">
        <f t="shared" si="240"/>
        <v>25.917417660733165</v>
      </c>
      <c r="AV521" s="101">
        <f t="shared" si="263"/>
        <v>55884</v>
      </c>
      <c r="AW521" s="99">
        <f t="shared" si="264"/>
        <v>0</v>
      </c>
      <c r="AX521" s="1">
        <f t="shared" si="265"/>
        <v>0</v>
      </c>
      <c r="AY521" s="29">
        <f t="shared" si="266"/>
        <v>0</v>
      </c>
      <c r="AZ521" s="1">
        <f t="shared" si="243"/>
        <v>0</v>
      </c>
      <c r="CB521" s="20">
        <f t="shared" si="252"/>
        <v>0</v>
      </c>
      <c r="CC521" s="173">
        <f t="shared" si="244"/>
        <v>0</v>
      </c>
    </row>
    <row r="522" spans="3:81" x14ac:dyDescent="0.25">
      <c r="C522" s="42"/>
      <c r="D522" s="43"/>
      <c r="E522" s="44"/>
      <c r="F522" s="44"/>
      <c r="G522" s="45"/>
      <c r="H522" s="81" t="str">
        <f t="shared" si="235"/>
        <v/>
      </c>
      <c r="J522" s="9"/>
      <c r="K522" s="10"/>
      <c r="L522" s="17"/>
      <c r="M522" s="23"/>
      <c r="N522" s="23"/>
      <c r="O522" s="23"/>
      <c r="P522" s="23"/>
      <c r="Q522" s="1">
        <f t="shared" si="245"/>
        <v>0.60744618579017706</v>
      </c>
      <c r="R522" s="12">
        <f t="shared" ca="1" si="267"/>
        <v>14762</v>
      </c>
      <c r="S522" s="88">
        <f t="shared" si="276"/>
        <v>0</v>
      </c>
      <c r="T522" s="19">
        <f t="shared" si="268"/>
        <v>0</v>
      </c>
      <c r="U522" s="19">
        <f t="shared" si="269"/>
        <v>0</v>
      </c>
      <c r="V522" s="19">
        <f t="shared" si="250"/>
        <v>0</v>
      </c>
      <c r="W522" s="20">
        <f t="shared" ca="1" si="270"/>
        <v>0</v>
      </c>
      <c r="X522" s="19">
        <f t="shared" ca="1" si="271"/>
        <v>0</v>
      </c>
      <c r="Y522" s="19">
        <f t="shared" ca="1" si="272"/>
        <v>0</v>
      </c>
      <c r="Z522" s="20">
        <f t="shared" ca="1" si="273"/>
        <v>0</v>
      </c>
      <c r="AA522" s="1">
        <f t="shared" si="246"/>
        <v>5432.58</v>
      </c>
      <c r="AB522" s="93"/>
      <c r="AC522" s="94"/>
      <c r="AD522" s="101">
        <f t="shared" si="247"/>
        <v>55884</v>
      </c>
      <c r="AE522" s="103">
        <f t="shared" si="248"/>
        <v>0</v>
      </c>
      <c r="AG522" s="1">
        <f t="shared" si="274"/>
        <v>0</v>
      </c>
      <c r="AH522" s="1">
        <f t="shared" si="275"/>
        <v>0</v>
      </c>
      <c r="AI522" s="1">
        <f t="shared" si="249"/>
        <v>5432.58</v>
      </c>
      <c r="AJ522" s="20">
        <f t="shared" si="251"/>
        <v>0</v>
      </c>
      <c r="AK522" s="100">
        <f t="shared" si="258"/>
        <v>0</v>
      </c>
      <c r="AL522" s="100">
        <f t="shared" si="259"/>
        <v>0</v>
      </c>
      <c r="AN522" s="100">
        <f t="shared" si="260"/>
        <v>4233.0304739481371</v>
      </c>
      <c r="AO522" s="20">
        <f t="shared" si="261"/>
        <v>0</v>
      </c>
      <c r="AQ522" s="109">
        <f t="shared" si="262"/>
        <v>0</v>
      </c>
      <c r="AU522" s="109">
        <f t="shared" si="240"/>
        <v>25.915142887079742</v>
      </c>
      <c r="AV522" s="101">
        <f t="shared" si="263"/>
        <v>55914</v>
      </c>
      <c r="AW522" s="99">
        <f t="shared" si="264"/>
        <v>0</v>
      </c>
      <c r="AX522" s="1">
        <f t="shared" si="265"/>
        <v>0</v>
      </c>
      <c r="AY522" s="29">
        <f t="shared" si="266"/>
        <v>0</v>
      </c>
      <c r="AZ522" s="1">
        <f t="shared" si="243"/>
        <v>0</v>
      </c>
      <c r="CB522" s="20">
        <f t="shared" si="252"/>
        <v>0</v>
      </c>
      <c r="CC522" s="173">
        <f t="shared" si="244"/>
        <v>0</v>
      </c>
    </row>
    <row r="523" spans="3:81" x14ac:dyDescent="0.25">
      <c r="C523" s="42"/>
      <c r="D523" s="43"/>
      <c r="E523" s="44"/>
      <c r="F523" s="44"/>
      <c r="G523" s="45"/>
      <c r="H523" s="81" t="str">
        <f t="shared" si="235"/>
        <v/>
      </c>
      <c r="J523" s="7"/>
      <c r="K523" s="8"/>
      <c r="L523" s="16"/>
      <c r="M523" s="22"/>
      <c r="N523" s="22"/>
      <c r="O523" s="22"/>
      <c r="P523" s="22"/>
      <c r="Q523" s="1">
        <f t="shared" si="245"/>
        <v>0.60744618579017706</v>
      </c>
      <c r="R523" s="12">
        <f t="shared" ca="1" si="267"/>
        <v>14792</v>
      </c>
      <c r="S523" s="88">
        <f t="shared" si="276"/>
        <v>0</v>
      </c>
      <c r="T523" s="19">
        <f t="shared" si="268"/>
        <v>0</v>
      </c>
      <c r="U523" s="19">
        <f t="shared" si="269"/>
        <v>0</v>
      </c>
      <c r="V523" s="19">
        <f t="shared" si="250"/>
        <v>0</v>
      </c>
      <c r="W523" s="20">
        <f t="shared" ca="1" si="270"/>
        <v>0</v>
      </c>
      <c r="X523" s="19">
        <f t="shared" ca="1" si="271"/>
        <v>0</v>
      </c>
      <c r="Y523" s="19">
        <f t="shared" ca="1" si="272"/>
        <v>0</v>
      </c>
      <c r="Z523" s="20">
        <f t="shared" ca="1" si="273"/>
        <v>0</v>
      </c>
      <c r="AA523" s="1">
        <f t="shared" si="246"/>
        <v>5432.58</v>
      </c>
      <c r="AB523" s="91"/>
      <c r="AC523" s="92"/>
      <c r="AD523" s="101">
        <f t="shared" si="247"/>
        <v>55914</v>
      </c>
      <c r="AE523" s="103">
        <f t="shared" si="248"/>
        <v>0</v>
      </c>
      <c r="AG523" s="1">
        <f t="shared" si="274"/>
        <v>0</v>
      </c>
      <c r="AH523" s="1">
        <f t="shared" si="275"/>
        <v>0</v>
      </c>
      <c r="AI523" s="1">
        <f t="shared" si="249"/>
        <v>5432.58</v>
      </c>
      <c r="AJ523" s="20">
        <f t="shared" si="251"/>
        <v>0</v>
      </c>
      <c r="AK523" s="100">
        <f t="shared" si="258"/>
        <v>0</v>
      </c>
      <c r="AL523" s="100">
        <f t="shared" si="259"/>
        <v>0</v>
      </c>
      <c r="AN523" s="100">
        <f t="shared" si="260"/>
        <v>4230.8887762401127</v>
      </c>
      <c r="AO523" s="20">
        <f t="shared" si="261"/>
        <v>0</v>
      </c>
      <c r="AQ523" s="109">
        <f t="shared" si="262"/>
        <v>0</v>
      </c>
      <c r="AU523" s="109">
        <f t="shared" si="240"/>
        <v>25.912868313083379</v>
      </c>
      <c r="AV523" s="101">
        <f t="shared" si="263"/>
        <v>55944</v>
      </c>
      <c r="AW523" s="99">
        <f t="shared" si="264"/>
        <v>0</v>
      </c>
      <c r="AX523" s="1">
        <f t="shared" si="265"/>
        <v>0</v>
      </c>
      <c r="AY523" s="29">
        <f t="shared" si="266"/>
        <v>0</v>
      </c>
      <c r="AZ523" s="1">
        <f t="shared" si="243"/>
        <v>0</v>
      </c>
      <c r="CB523" s="20">
        <f t="shared" si="252"/>
        <v>0</v>
      </c>
      <c r="CC523" s="173">
        <f t="shared" si="244"/>
        <v>0</v>
      </c>
    </row>
    <row r="524" spans="3:81" x14ac:dyDescent="0.25">
      <c r="C524" s="42"/>
      <c r="D524" s="43"/>
      <c r="E524" s="44"/>
      <c r="F524" s="44"/>
      <c r="G524" s="45"/>
      <c r="H524" s="81" t="str">
        <f t="shared" si="235"/>
        <v/>
      </c>
      <c r="J524" s="9"/>
      <c r="K524" s="10"/>
      <c r="L524" s="17"/>
      <c r="M524" s="23"/>
      <c r="N524" s="23"/>
      <c r="O524" s="23"/>
      <c r="P524" s="23"/>
      <c r="Q524" s="1">
        <f t="shared" si="245"/>
        <v>0.60744618579017706</v>
      </c>
      <c r="R524" s="12">
        <f t="shared" ca="1" si="267"/>
        <v>14822</v>
      </c>
      <c r="S524" s="88">
        <f t="shared" si="276"/>
        <v>0</v>
      </c>
      <c r="T524" s="19">
        <f t="shared" si="268"/>
        <v>0</v>
      </c>
      <c r="U524" s="19">
        <f t="shared" si="269"/>
        <v>0</v>
      </c>
      <c r="V524" s="19">
        <f t="shared" si="250"/>
        <v>0</v>
      </c>
      <c r="W524" s="20">
        <f t="shared" ca="1" si="270"/>
        <v>0</v>
      </c>
      <c r="X524" s="19">
        <f t="shared" ca="1" si="271"/>
        <v>0</v>
      </c>
      <c r="Y524" s="19">
        <f t="shared" ca="1" si="272"/>
        <v>0</v>
      </c>
      <c r="Z524" s="20">
        <f t="shared" ca="1" si="273"/>
        <v>0</v>
      </c>
      <c r="AA524" s="1">
        <f t="shared" si="246"/>
        <v>5432.58</v>
      </c>
      <c r="AB524" s="93"/>
      <c r="AC524" s="94"/>
      <c r="AD524" s="101">
        <f t="shared" si="247"/>
        <v>55944</v>
      </c>
      <c r="AE524" s="103">
        <f t="shared" si="248"/>
        <v>0</v>
      </c>
      <c r="AG524" s="1">
        <f t="shared" si="274"/>
        <v>0</v>
      </c>
      <c r="AH524" s="1">
        <f t="shared" si="275"/>
        <v>0</v>
      </c>
      <c r="AI524" s="1">
        <f t="shared" si="249"/>
        <v>5432.58</v>
      </c>
      <c r="AJ524" s="20">
        <f t="shared" si="251"/>
        <v>0</v>
      </c>
      <c r="AK524" s="100">
        <f t="shared" si="258"/>
        <v>0</v>
      </c>
      <c r="AL524" s="100">
        <f t="shared" si="259"/>
        <v>0</v>
      </c>
      <c r="AN524" s="100">
        <f t="shared" si="260"/>
        <v>4228.7481621219895</v>
      </c>
      <c r="AO524" s="20">
        <f t="shared" si="261"/>
        <v>0</v>
      </c>
      <c r="AQ524" s="109">
        <f t="shared" si="262"/>
        <v>0</v>
      </c>
      <c r="AU524" s="109">
        <f t="shared" si="240"/>
        <v>25.910593938726542</v>
      </c>
      <c r="AV524" s="101">
        <f t="shared" si="263"/>
        <v>55974</v>
      </c>
      <c r="AW524" s="99">
        <f t="shared" si="264"/>
        <v>0</v>
      </c>
      <c r="AX524" s="1">
        <f t="shared" si="265"/>
        <v>0</v>
      </c>
      <c r="AY524" s="29">
        <f t="shared" si="266"/>
        <v>0</v>
      </c>
      <c r="AZ524" s="1">
        <f t="shared" si="243"/>
        <v>0</v>
      </c>
      <c r="CB524" s="20">
        <f t="shared" si="252"/>
        <v>0</v>
      </c>
      <c r="CC524" s="173">
        <f t="shared" si="244"/>
        <v>0</v>
      </c>
    </row>
    <row r="525" spans="3:81" x14ac:dyDescent="0.25">
      <c r="C525" s="42"/>
      <c r="D525" s="43"/>
      <c r="E525" s="44"/>
      <c r="F525" s="44"/>
      <c r="G525" s="45"/>
      <c r="H525" s="81" t="str">
        <f t="shared" si="235"/>
        <v/>
      </c>
      <c r="J525" s="7"/>
      <c r="K525" s="8"/>
      <c r="L525" s="16"/>
      <c r="M525" s="22"/>
      <c r="N525" s="22"/>
      <c r="O525" s="22"/>
      <c r="P525" s="22"/>
      <c r="Q525" s="1">
        <f t="shared" si="245"/>
        <v>0.60744618579017706</v>
      </c>
      <c r="R525" s="12">
        <f t="shared" ca="1" si="267"/>
        <v>14852</v>
      </c>
      <c r="S525" s="88">
        <f t="shared" si="276"/>
        <v>0</v>
      </c>
      <c r="T525" s="19">
        <f t="shared" si="268"/>
        <v>0</v>
      </c>
      <c r="U525" s="19">
        <f t="shared" si="269"/>
        <v>0</v>
      </c>
      <c r="V525" s="19">
        <f t="shared" si="250"/>
        <v>0</v>
      </c>
      <c r="W525" s="20">
        <f t="shared" ca="1" si="270"/>
        <v>0</v>
      </c>
      <c r="X525" s="19">
        <f t="shared" ca="1" si="271"/>
        <v>0</v>
      </c>
      <c r="Y525" s="19">
        <f t="shared" ca="1" si="272"/>
        <v>0</v>
      </c>
      <c r="Z525" s="20">
        <f t="shared" ca="1" si="273"/>
        <v>0</v>
      </c>
      <c r="AA525" s="1">
        <f t="shared" si="246"/>
        <v>5432.58</v>
      </c>
      <c r="AB525" s="91"/>
      <c r="AC525" s="92"/>
      <c r="AD525" s="101">
        <f t="shared" si="247"/>
        <v>55974</v>
      </c>
      <c r="AE525" s="103">
        <f t="shared" si="248"/>
        <v>0</v>
      </c>
      <c r="AG525" s="1">
        <f t="shared" si="274"/>
        <v>0</v>
      </c>
      <c r="AH525" s="1">
        <f t="shared" si="275"/>
        <v>0</v>
      </c>
      <c r="AI525" s="1">
        <f t="shared" si="249"/>
        <v>5432.58</v>
      </c>
      <c r="AJ525" s="20">
        <f t="shared" si="251"/>
        <v>0</v>
      </c>
      <c r="AK525" s="100">
        <f t="shared" si="258"/>
        <v>0</v>
      </c>
      <c r="AL525" s="100">
        <f t="shared" si="259"/>
        <v>0</v>
      </c>
      <c r="AN525" s="100">
        <f t="shared" si="260"/>
        <v>4226.6086310455248</v>
      </c>
      <c r="AO525" s="20">
        <f t="shared" si="261"/>
        <v>0</v>
      </c>
      <c r="AQ525" s="109">
        <f t="shared" si="262"/>
        <v>0</v>
      </c>
      <c r="AU525" s="109">
        <f t="shared" si="240"/>
        <v>25.908319763991695</v>
      </c>
      <c r="AV525" s="101">
        <f t="shared" si="263"/>
        <v>56004</v>
      </c>
      <c r="AW525" s="99">
        <f t="shared" si="264"/>
        <v>0</v>
      </c>
      <c r="AX525" s="1">
        <f t="shared" si="265"/>
        <v>0</v>
      </c>
      <c r="AY525" s="29">
        <f t="shared" si="266"/>
        <v>0</v>
      </c>
      <c r="AZ525" s="1">
        <f t="shared" si="243"/>
        <v>0</v>
      </c>
      <c r="CB525" s="20">
        <f t="shared" si="252"/>
        <v>0</v>
      </c>
      <c r="CC525" s="173">
        <f t="shared" si="244"/>
        <v>0</v>
      </c>
    </row>
    <row r="526" spans="3:81" x14ac:dyDescent="0.25">
      <c r="C526" s="42"/>
      <c r="D526" s="43"/>
      <c r="E526" s="44"/>
      <c r="F526" s="44"/>
      <c r="G526" s="45"/>
      <c r="H526" s="81" t="str">
        <f t="shared" si="235"/>
        <v/>
      </c>
      <c r="J526" s="9"/>
      <c r="K526" s="10"/>
      <c r="L526" s="17"/>
      <c r="M526" s="23"/>
      <c r="N526" s="23"/>
      <c r="O526" s="23"/>
      <c r="P526" s="23"/>
      <c r="Q526" s="1">
        <f t="shared" si="245"/>
        <v>0.60744618579017706</v>
      </c>
      <c r="R526" s="12">
        <f t="shared" ca="1" si="267"/>
        <v>14882</v>
      </c>
      <c r="S526" s="88">
        <f t="shared" si="276"/>
        <v>0</v>
      </c>
      <c r="T526" s="19">
        <f t="shared" si="268"/>
        <v>0</v>
      </c>
      <c r="U526" s="19">
        <f t="shared" si="269"/>
        <v>0</v>
      </c>
      <c r="V526" s="19">
        <f t="shared" si="250"/>
        <v>0</v>
      </c>
      <c r="W526" s="20">
        <f t="shared" ca="1" si="270"/>
        <v>0</v>
      </c>
      <c r="X526" s="19">
        <f t="shared" ca="1" si="271"/>
        <v>0</v>
      </c>
      <c r="Y526" s="19">
        <f t="shared" ca="1" si="272"/>
        <v>0</v>
      </c>
      <c r="Z526" s="20">
        <f t="shared" ca="1" si="273"/>
        <v>0</v>
      </c>
      <c r="AA526" s="1">
        <f t="shared" si="246"/>
        <v>5432.58</v>
      </c>
      <c r="AB526" s="93"/>
      <c r="AC526" s="94"/>
      <c r="AD526" s="101">
        <f t="shared" si="247"/>
        <v>56004</v>
      </c>
      <c r="AE526" s="103">
        <f t="shared" si="248"/>
        <v>0</v>
      </c>
      <c r="AG526" s="1">
        <f t="shared" si="274"/>
        <v>0</v>
      </c>
      <c r="AH526" s="1">
        <f t="shared" si="275"/>
        <v>0</v>
      </c>
      <c r="AI526" s="1">
        <f t="shared" si="249"/>
        <v>5432.58</v>
      </c>
      <c r="AJ526" s="20">
        <f t="shared" si="251"/>
        <v>0</v>
      </c>
      <c r="AK526" s="100">
        <f t="shared" si="258"/>
        <v>0</v>
      </c>
      <c r="AL526" s="100">
        <f t="shared" si="259"/>
        <v>0</v>
      </c>
      <c r="AN526" s="100">
        <f t="shared" si="260"/>
        <v>4224.4701824627555</v>
      </c>
      <c r="AO526" s="20">
        <f t="shared" si="261"/>
        <v>0</v>
      </c>
      <c r="AQ526" s="109">
        <f t="shared" si="262"/>
        <v>0</v>
      </c>
      <c r="AU526" s="109">
        <f t="shared" si="240"/>
        <v>25.906045788861345</v>
      </c>
      <c r="AV526" s="101">
        <f t="shared" si="263"/>
        <v>56034</v>
      </c>
      <c r="AW526" s="99">
        <f t="shared" si="264"/>
        <v>0</v>
      </c>
      <c r="AX526" s="1">
        <f t="shared" si="265"/>
        <v>0</v>
      </c>
      <c r="AY526" s="29">
        <f t="shared" si="266"/>
        <v>0</v>
      </c>
      <c r="AZ526" s="1">
        <f t="shared" si="243"/>
        <v>0</v>
      </c>
      <c r="CB526" s="20">
        <f t="shared" si="252"/>
        <v>0</v>
      </c>
      <c r="CC526" s="173">
        <f t="shared" si="244"/>
        <v>0</v>
      </c>
    </row>
    <row r="527" spans="3:81" x14ac:dyDescent="0.25">
      <c r="C527" s="42"/>
      <c r="D527" s="43"/>
      <c r="E527" s="44"/>
      <c r="F527" s="44"/>
      <c r="G527" s="45"/>
      <c r="H527" s="81" t="str">
        <f t="shared" si="235"/>
        <v/>
      </c>
      <c r="J527" s="7"/>
      <c r="K527" s="8"/>
      <c r="L527" s="16"/>
      <c r="M527" s="22"/>
      <c r="N527" s="22"/>
      <c r="O527" s="22"/>
      <c r="P527" s="22"/>
      <c r="Q527" s="1">
        <f t="shared" si="245"/>
        <v>0.60744618579017706</v>
      </c>
      <c r="R527" s="12">
        <f t="shared" ca="1" si="267"/>
        <v>14912</v>
      </c>
      <c r="S527" s="88">
        <f t="shared" si="276"/>
        <v>0</v>
      </c>
      <c r="T527" s="19">
        <f t="shared" si="268"/>
        <v>0</v>
      </c>
      <c r="U527" s="19">
        <f t="shared" si="269"/>
        <v>0</v>
      </c>
      <c r="V527" s="19">
        <f t="shared" si="250"/>
        <v>0</v>
      </c>
      <c r="W527" s="20">
        <f t="shared" ca="1" si="270"/>
        <v>0</v>
      </c>
      <c r="X527" s="19">
        <f t="shared" ca="1" si="271"/>
        <v>0</v>
      </c>
      <c r="Y527" s="19">
        <f t="shared" ca="1" si="272"/>
        <v>0</v>
      </c>
      <c r="Z527" s="20">
        <f t="shared" ca="1" si="273"/>
        <v>0</v>
      </c>
      <c r="AA527" s="1">
        <f t="shared" si="246"/>
        <v>5432.58</v>
      </c>
      <c r="AB527" s="91"/>
      <c r="AC527" s="92"/>
      <c r="AD527" s="101">
        <f t="shared" si="247"/>
        <v>56034</v>
      </c>
      <c r="AE527" s="103">
        <f t="shared" si="248"/>
        <v>0</v>
      </c>
      <c r="AG527" s="1">
        <f t="shared" si="274"/>
        <v>0</v>
      </c>
      <c r="AH527" s="1">
        <f t="shared" si="275"/>
        <v>0</v>
      </c>
      <c r="AI527" s="1">
        <f t="shared" si="249"/>
        <v>5432.58</v>
      </c>
      <c r="AJ527" s="20">
        <f t="shared" si="251"/>
        <v>0</v>
      </c>
      <c r="AK527" s="100">
        <f t="shared" si="258"/>
        <v>0</v>
      </c>
      <c r="AL527" s="100">
        <f t="shared" si="259"/>
        <v>0</v>
      </c>
      <c r="AN527" s="100">
        <f t="shared" si="260"/>
        <v>4222.3328158259983</v>
      </c>
      <c r="AO527" s="20">
        <f t="shared" si="261"/>
        <v>0</v>
      </c>
      <c r="AQ527" s="109">
        <f t="shared" si="262"/>
        <v>0</v>
      </c>
      <c r="AU527" s="109">
        <f t="shared" si="240"/>
        <v>25.903772013317948</v>
      </c>
      <c r="AV527" s="101">
        <f t="shared" si="263"/>
        <v>56064</v>
      </c>
      <c r="AW527" s="99">
        <f t="shared" si="264"/>
        <v>0</v>
      </c>
      <c r="AX527" s="1">
        <f t="shared" si="265"/>
        <v>0</v>
      </c>
      <c r="AY527" s="29">
        <f t="shared" si="266"/>
        <v>0</v>
      </c>
      <c r="AZ527" s="1">
        <f t="shared" si="243"/>
        <v>0</v>
      </c>
      <c r="CB527" s="20">
        <f t="shared" si="252"/>
        <v>0</v>
      </c>
      <c r="CC527" s="173">
        <f t="shared" si="244"/>
        <v>0</v>
      </c>
    </row>
    <row r="528" spans="3:81" x14ac:dyDescent="0.25">
      <c r="C528" s="42"/>
      <c r="D528" s="43"/>
      <c r="E528" s="44"/>
      <c r="F528" s="44"/>
      <c r="G528" s="45"/>
      <c r="H528" s="81" t="str">
        <f t="shared" si="235"/>
        <v/>
      </c>
      <c r="J528" s="9"/>
      <c r="K528" s="10"/>
      <c r="L528" s="17"/>
      <c r="M528" s="23"/>
      <c r="N528" s="23"/>
      <c r="O528" s="23"/>
      <c r="P528" s="23"/>
      <c r="Q528" s="1">
        <f t="shared" si="245"/>
        <v>0.60744618579017706</v>
      </c>
      <c r="R528" s="12">
        <f t="shared" ca="1" si="267"/>
        <v>14942</v>
      </c>
      <c r="S528" s="88">
        <f t="shared" si="276"/>
        <v>0</v>
      </c>
      <c r="T528" s="19">
        <f t="shared" si="268"/>
        <v>0</v>
      </c>
      <c r="U528" s="19">
        <f t="shared" si="269"/>
        <v>0</v>
      </c>
      <c r="V528" s="19">
        <f t="shared" si="250"/>
        <v>0</v>
      </c>
      <c r="W528" s="20">
        <f t="shared" ca="1" si="270"/>
        <v>0</v>
      </c>
      <c r="X528" s="19">
        <f t="shared" ca="1" si="271"/>
        <v>0</v>
      </c>
      <c r="Y528" s="19">
        <f t="shared" ca="1" si="272"/>
        <v>0</v>
      </c>
      <c r="Z528" s="20">
        <f t="shared" ca="1" si="273"/>
        <v>0</v>
      </c>
      <c r="AA528" s="1">
        <f t="shared" si="246"/>
        <v>5432.58</v>
      </c>
      <c r="AB528" s="93"/>
      <c r="AC528" s="94"/>
      <c r="AD528" s="101">
        <f t="shared" si="247"/>
        <v>56064</v>
      </c>
      <c r="AE528" s="103">
        <f t="shared" si="248"/>
        <v>0</v>
      </c>
      <c r="AG528" s="1">
        <f t="shared" si="274"/>
        <v>0</v>
      </c>
      <c r="AH528" s="1">
        <f t="shared" si="275"/>
        <v>0</v>
      </c>
      <c r="AI528" s="1">
        <f t="shared" si="249"/>
        <v>5432.58</v>
      </c>
      <c r="AJ528" s="20">
        <f t="shared" si="251"/>
        <v>0</v>
      </c>
      <c r="AK528" s="100">
        <f t="shared" si="258"/>
        <v>0</v>
      </c>
      <c r="AL528" s="100">
        <f t="shared" si="259"/>
        <v>0</v>
      </c>
      <c r="AN528" s="100">
        <f t="shared" si="260"/>
        <v>4220.1965305878384</v>
      </c>
      <c r="AO528" s="20">
        <f t="shared" si="261"/>
        <v>0</v>
      </c>
      <c r="AQ528" s="109">
        <f t="shared" si="262"/>
        <v>0</v>
      </c>
      <c r="AU528" s="109">
        <f t="shared" si="240"/>
        <v>25.901498437344017</v>
      </c>
      <c r="AV528" s="101">
        <f t="shared" si="263"/>
        <v>56094</v>
      </c>
      <c r="AW528" s="99">
        <f t="shared" si="264"/>
        <v>0</v>
      </c>
      <c r="AX528" s="1">
        <f t="shared" si="265"/>
        <v>0</v>
      </c>
      <c r="AY528" s="29">
        <f t="shared" si="266"/>
        <v>0</v>
      </c>
      <c r="AZ528" s="1">
        <f t="shared" si="243"/>
        <v>0</v>
      </c>
      <c r="CB528" s="20">
        <f t="shared" si="252"/>
        <v>0</v>
      </c>
      <c r="CC528" s="173">
        <f t="shared" si="244"/>
        <v>0</v>
      </c>
    </row>
    <row r="529" spans="3:81" x14ac:dyDescent="0.25">
      <c r="C529" s="42"/>
      <c r="D529" s="43"/>
      <c r="E529" s="44"/>
      <c r="F529" s="44"/>
      <c r="G529" s="45"/>
      <c r="H529" s="81" t="str">
        <f t="shared" si="235"/>
        <v/>
      </c>
      <c r="J529" s="7"/>
      <c r="K529" s="8"/>
      <c r="L529" s="16"/>
      <c r="M529" s="22"/>
      <c r="N529" s="22"/>
      <c r="O529" s="22"/>
      <c r="P529" s="22"/>
      <c r="Q529" s="1">
        <f t="shared" si="245"/>
        <v>0.60744618579017706</v>
      </c>
      <c r="R529" s="12">
        <f t="shared" ca="1" si="267"/>
        <v>14972</v>
      </c>
      <c r="S529" s="88">
        <f t="shared" si="276"/>
        <v>0</v>
      </c>
      <c r="T529" s="19">
        <f t="shared" si="268"/>
        <v>0</v>
      </c>
      <c r="U529" s="19">
        <f t="shared" si="269"/>
        <v>0</v>
      </c>
      <c r="V529" s="19">
        <f t="shared" si="250"/>
        <v>0</v>
      </c>
      <c r="W529" s="20">
        <f t="shared" ca="1" si="270"/>
        <v>0</v>
      </c>
      <c r="X529" s="19">
        <f t="shared" ca="1" si="271"/>
        <v>0</v>
      </c>
      <c r="Y529" s="19">
        <f t="shared" ca="1" si="272"/>
        <v>0</v>
      </c>
      <c r="Z529" s="20">
        <f t="shared" ca="1" si="273"/>
        <v>0</v>
      </c>
      <c r="AA529" s="1">
        <f t="shared" si="246"/>
        <v>5432.58</v>
      </c>
      <c r="AB529" s="91"/>
      <c r="AC529" s="92"/>
      <c r="AD529" s="101">
        <f t="shared" si="247"/>
        <v>56094</v>
      </c>
      <c r="AE529" s="103">
        <f t="shared" si="248"/>
        <v>0</v>
      </c>
      <c r="AG529" s="1">
        <f t="shared" si="274"/>
        <v>0</v>
      </c>
      <c r="AH529" s="1">
        <f t="shared" si="275"/>
        <v>0</v>
      </c>
      <c r="AI529" s="1">
        <f t="shared" si="249"/>
        <v>5432.58</v>
      </c>
      <c r="AJ529" s="20">
        <f t="shared" si="251"/>
        <v>0</v>
      </c>
      <c r="AK529" s="100">
        <f t="shared" si="258"/>
        <v>0</v>
      </c>
      <c r="AL529" s="100">
        <f t="shared" si="259"/>
        <v>0</v>
      </c>
      <c r="AN529" s="100">
        <f t="shared" si="260"/>
        <v>4218.0613262011457</v>
      </c>
      <c r="AO529" s="20">
        <f t="shared" si="261"/>
        <v>0</v>
      </c>
      <c r="AQ529" s="109">
        <f t="shared" si="262"/>
        <v>0</v>
      </c>
      <c r="AU529" s="109">
        <f t="shared" si="240"/>
        <v>25.89922506092201</v>
      </c>
      <c r="AV529" s="101">
        <f t="shared" si="263"/>
        <v>56124</v>
      </c>
      <c r="AW529" s="99">
        <f t="shared" si="264"/>
        <v>0</v>
      </c>
      <c r="AX529" s="1">
        <f t="shared" si="265"/>
        <v>0</v>
      </c>
      <c r="AY529" s="29">
        <f t="shared" si="266"/>
        <v>0</v>
      </c>
      <c r="AZ529" s="1">
        <f t="shared" si="243"/>
        <v>0</v>
      </c>
      <c r="CB529" s="20">
        <f t="shared" si="252"/>
        <v>0</v>
      </c>
      <c r="CC529" s="173">
        <f t="shared" si="244"/>
        <v>0</v>
      </c>
    </row>
    <row r="530" spans="3:81" x14ac:dyDescent="0.25">
      <c r="C530" s="42"/>
      <c r="D530" s="43"/>
      <c r="E530" s="44"/>
      <c r="F530" s="44"/>
      <c r="G530" s="45"/>
      <c r="H530" s="81" t="str">
        <f t="shared" si="235"/>
        <v/>
      </c>
      <c r="J530" s="9"/>
      <c r="K530" s="10"/>
      <c r="L530" s="17"/>
      <c r="M530" s="23"/>
      <c r="N530" s="23"/>
      <c r="O530" s="23"/>
      <c r="P530" s="23"/>
      <c r="Q530" s="1">
        <f t="shared" si="245"/>
        <v>0.60744618579017706</v>
      </c>
      <c r="R530" s="12">
        <f t="shared" ca="1" si="267"/>
        <v>15002</v>
      </c>
      <c r="S530" s="88">
        <f t="shared" si="276"/>
        <v>0</v>
      </c>
      <c r="T530" s="19">
        <f t="shared" si="268"/>
        <v>0</v>
      </c>
      <c r="U530" s="19">
        <f t="shared" si="269"/>
        <v>0</v>
      </c>
      <c r="V530" s="19">
        <f t="shared" si="250"/>
        <v>0</v>
      </c>
      <c r="W530" s="20">
        <f t="shared" ca="1" si="270"/>
        <v>0</v>
      </c>
      <c r="X530" s="19">
        <f t="shared" ca="1" si="271"/>
        <v>0</v>
      </c>
      <c r="Y530" s="19">
        <f t="shared" ca="1" si="272"/>
        <v>0</v>
      </c>
      <c r="Z530" s="20">
        <f t="shared" ca="1" si="273"/>
        <v>0</v>
      </c>
      <c r="AA530" s="1">
        <f t="shared" si="246"/>
        <v>5432.58</v>
      </c>
      <c r="AB530" s="93"/>
      <c r="AC530" s="94"/>
      <c r="AD530" s="101">
        <f t="shared" si="247"/>
        <v>56124</v>
      </c>
      <c r="AE530" s="103">
        <f t="shared" si="248"/>
        <v>0</v>
      </c>
      <c r="AG530" s="1">
        <f t="shared" si="274"/>
        <v>0</v>
      </c>
      <c r="AH530" s="1">
        <f t="shared" si="275"/>
        <v>0</v>
      </c>
      <c r="AI530" s="1">
        <f t="shared" si="249"/>
        <v>5432.58</v>
      </c>
      <c r="AJ530" s="20">
        <f t="shared" si="251"/>
        <v>0</v>
      </c>
      <c r="AK530" s="100">
        <f t="shared" si="258"/>
        <v>0</v>
      </c>
      <c r="AL530" s="100">
        <f t="shared" si="259"/>
        <v>0</v>
      </c>
      <c r="AN530" s="100">
        <f t="shared" si="260"/>
        <v>4215.9272021190664</v>
      </c>
      <c r="AO530" s="20">
        <f t="shared" si="261"/>
        <v>0</v>
      </c>
      <c r="AQ530" s="109">
        <f t="shared" si="262"/>
        <v>0</v>
      </c>
      <c r="AU530" s="109">
        <f t="shared" si="240"/>
        <v>25.896951884034397</v>
      </c>
      <c r="AV530" s="101">
        <f t="shared" si="263"/>
        <v>56154</v>
      </c>
      <c r="AW530" s="99">
        <f t="shared" si="264"/>
        <v>0</v>
      </c>
      <c r="AX530" s="1">
        <f t="shared" si="265"/>
        <v>0</v>
      </c>
      <c r="AY530" s="29">
        <f t="shared" si="266"/>
        <v>0</v>
      </c>
      <c r="AZ530" s="1">
        <f t="shared" si="243"/>
        <v>0</v>
      </c>
      <c r="CB530" s="20">
        <f t="shared" si="252"/>
        <v>0</v>
      </c>
      <c r="CC530" s="173">
        <f t="shared" si="244"/>
        <v>0</v>
      </c>
    </row>
    <row r="531" spans="3:81" x14ac:dyDescent="0.25">
      <c r="C531" s="42"/>
      <c r="D531" s="43"/>
      <c r="E531" s="44"/>
      <c r="F531" s="44"/>
      <c r="G531" s="45"/>
      <c r="H531" s="81" t="str">
        <f t="shared" si="235"/>
        <v/>
      </c>
      <c r="J531" s="7"/>
      <c r="K531" s="8"/>
      <c r="L531" s="16"/>
      <c r="M531" s="22"/>
      <c r="N531" s="22"/>
      <c r="O531" s="22"/>
      <c r="P531" s="22"/>
      <c r="Q531" s="1">
        <f t="shared" si="245"/>
        <v>0.60744618579017706</v>
      </c>
      <c r="R531" s="12">
        <f t="shared" ca="1" si="267"/>
        <v>15032</v>
      </c>
      <c r="S531" s="88">
        <f t="shared" si="276"/>
        <v>0</v>
      </c>
      <c r="T531" s="19">
        <f t="shared" si="268"/>
        <v>0</v>
      </c>
      <c r="U531" s="19">
        <f t="shared" si="269"/>
        <v>0</v>
      </c>
      <c r="V531" s="19">
        <f t="shared" si="250"/>
        <v>0</v>
      </c>
      <c r="W531" s="20">
        <f t="shared" ca="1" si="270"/>
        <v>0</v>
      </c>
      <c r="X531" s="19">
        <f t="shared" ca="1" si="271"/>
        <v>0</v>
      </c>
      <c r="Y531" s="19">
        <f t="shared" ca="1" si="272"/>
        <v>0</v>
      </c>
      <c r="Z531" s="20">
        <f t="shared" ca="1" si="273"/>
        <v>0</v>
      </c>
      <c r="AA531" s="1">
        <f t="shared" si="246"/>
        <v>5432.58</v>
      </c>
      <c r="AB531" s="91"/>
      <c r="AC531" s="92"/>
      <c r="AD531" s="101">
        <f t="shared" si="247"/>
        <v>56154</v>
      </c>
      <c r="AE531" s="103">
        <f t="shared" si="248"/>
        <v>0</v>
      </c>
      <c r="AG531" s="1">
        <f t="shared" si="274"/>
        <v>0</v>
      </c>
      <c r="AH531" s="1">
        <f t="shared" si="275"/>
        <v>0</v>
      </c>
      <c r="AI531" s="1">
        <f t="shared" si="249"/>
        <v>5432.58</v>
      </c>
      <c r="AJ531" s="20">
        <f t="shared" si="251"/>
        <v>0</v>
      </c>
      <c r="AK531" s="100">
        <f t="shared" si="258"/>
        <v>0</v>
      </c>
      <c r="AL531" s="100">
        <f t="shared" si="259"/>
        <v>0</v>
      </c>
      <c r="AN531" s="100">
        <f t="shared" si="260"/>
        <v>4213.7941577950178</v>
      </c>
      <c r="AO531" s="20">
        <f t="shared" si="261"/>
        <v>0</v>
      </c>
      <c r="AQ531" s="109">
        <f t="shared" si="262"/>
        <v>0</v>
      </c>
      <c r="AU531" s="109">
        <f t="shared" si="240"/>
        <v>25.894678906663714</v>
      </c>
      <c r="AV531" s="101">
        <f t="shared" si="263"/>
        <v>56184</v>
      </c>
      <c r="AW531" s="99">
        <f t="shared" si="264"/>
        <v>0</v>
      </c>
      <c r="AX531" s="1">
        <f t="shared" si="265"/>
        <v>0</v>
      </c>
      <c r="AY531" s="29">
        <f t="shared" si="266"/>
        <v>0</v>
      </c>
      <c r="AZ531" s="1">
        <f t="shared" si="243"/>
        <v>0</v>
      </c>
      <c r="CB531" s="20">
        <f t="shared" si="252"/>
        <v>0</v>
      </c>
      <c r="CC531" s="173">
        <f t="shared" si="244"/>
        <v>0</v>
      </c>
    </row>
    <row r="532" spans="3:81" x14ac:dyDescent="0.25">
      <c r="C532" s="42"/>
      <c r="D532" s="43"/>
      <c r="E532" s="44"/>
      <c r="F532" s="44"/>
      <c r="G532" s="45"/>
      <c r="H532" s="81" t="str">
        <f t="shared" si="235"/>
        <v/>
      </c>
      <c r="J532" s="9"/>
      <c r="K532" s="10"/>
      <c r="L532" s="17"/>
      <c r="M532" s="23"/>
      <c r="N532" s="23"/>
      <c r="O532" s="23"/>
      <c r="P532" s="23"/>
      <c r="Q532" s="1">
        <f t="shared" si="245"/>
        <v>0.60744618579017706</v>
      </c>
      <c r="R532" s="12">
        <f t="shared" ca="1" si="267"/>
        <v>15062</v>
      </c>
      <c r="S532" s="88">
        <f t="shared" si="276"/>
        <v>0</v>
      </c>
      <c r="T532" s="19">
        <f t="shared" si="268"/>
        <v>0</v>
      </c>
      <c r="U532" s="19">
        <f t="shared" si="269"/>
        <v>0</v>
      </c>
      <c r="V532" s="19">
        <f t="shared" si="250"/>
        <v>0</v>
      </c>
      <c r="W532" s="20">
        <f t="shared" ca="1" si="270"/>
        <v>0</v>
      </c>
      <c r="X532" s="19">
        <f t="shared" ca="1" si="271"/>
        <v>0</v>
      </c>
      <c r="Y532" s="19">
        <f t="shared" ca="1" si="272"/>
        <v>0</v>
      </c>
      <c r="Z532" s="20">
        <f t="shared" ca="1" si="273"/>
        <v>0</v>
      </c>
      <c r="AA532" s="1">
        <f t="shared" si="246"/>
        <v>5432.58</v>
      </c>
      <c r="AB532" s="93"/>
      <c r="AC532" s="94"/>
      <c r="AD532" s="101">
        <f t="shared" si="247"/>
        <v>56184</v>
      </c>
      <c r="AE532" s="103">
        <f t="shared" si="248"/>
        <v>0</v>
      </c>
      <c r="AG532" s="1">
        <f t="shared" si="274"/>
        <v>0</v>
      </c>
      <c r="AH532" s="1">
        <f t="shared" si="275"/>
        <v>0</v>
      </c>
      <c r="AI532" s="1">
        <f t="shared" si="249"/>
        <v>5432.58</v>
      </c>
      <c r="AJ532" s="20">
        <f t="shared" si="251"/>
        <v>0</v>
      </c>
      <c r="AK532" s="100">
        <f t="shared" si="258"/>
        <v>0</v>
      </c>
      <c r="AL532" s="100">
        <f t="shared" si="259"/>
        <v>0</v>
      </c>
      <c r="AN532" s="100">
        <f t="shared" si="260"/>
        <v>4211.6621926826992</v>
      </c>
      <c r="AO532" s="20">
        <f t="shared" si="261"/>
        <v>0</v>
      </c>
      <c r="AQ532" s="109">
        <f t="shared" si="262"/>
        <v>0</v>
      </c>
      <c r="AU532" s="109">
        <f t="shared" si="240"/>
        <v>25.892406128792409</v>
      </c>
      <c r="AV532" s="101">
        <f t="shared" si="263"/>
        <v>56214</v>
      </c>
      <c r="AW532" s="99">
        <f t="shared" si="264"/>
        <v>0</v>
      </c>
      <c r="AX532" s="1">
        <f t="shared" si="265"/>
        <v>0</v>
      </c>
      <c r="AY532" s="29">
        <f t="shared" si="266"/>
        <v>0</v>
      </c>
      <c r="AZ532" s="1">
        <f t="shared" si="243"/>
        <v>0</v>
      </c>
      <c r="CB532" s="20">
        <f t="shared" si="252"/>
        <v>0</v>
      </c>
      <c r="CC532" s="173">
        <f t="shared" si="244"/>
        <v>0</v>
      </c>
    </row>
    <row r="533" spans="3:81" x14ac:dyDescent="0.25">
      <c r="C533" s="42"/>
      <c r="D533" s="43"/>
      <c r="E533" s="44"/>
      <c r="F533" s="44"/>
      <c r="G533" s="45"/>
      <c r="H533" s="81" t="str">
        <f t="shared" si="235"/>
        <v/>
      </c>
      <c r="J533" s="7"/>
      <c r="K533" s="8"/>
      <c r="L533" s="16"/>
      <c r="M533" s="22"/>
      <c r="N533" s="22"/>
      <c r="O533" s="22"/>
      <c r="P533" s="22"/>
      <c r="Q533" s="1">
        <f t="shared" si="245"/>
        <v>0.60744618579017706</v>
      </c>
      <c r="R533" s="12">
        <f t="shared" ca="1" si="267"/>
        <v>15092</v>
      </c>
      <c r="S533" s="88">
        <f t="shared" si="276"/>
        <v>0</v>
      </c>
      <c r="T533" s="19">
        <f t="shared" si="268"/>
        <v>0</v>
      </c>
      <c r="U533" s="19">
        <f t="shared" si="269"/>
        <v>0</v>
      </c>
      <c r="V533" s="19">
        <f t="shared" si="250"/>
        <v>0</v>
      </c>
      <c r="W533" s="20">
        <f t="shared" ca="1" si="270"/>
        <v>0</v>
      </c>
      <c r="X533" s="19">
        <f t="shared" ca="1" si="271"/>
        <v>0</v>
      </c>
      <c r="Y533" s="19">
        <f t="shared" ca="1" si="272"/>
        <v>0</v>
      </c>
      <c r="Z533" s="20">
        <f t="shared" ca="1" si="273"/>
        <v>0</v>
      </c>
      <c r="AA533" s="1">
        <f t="shared" si="246"/>
        <v>5432.58</v>
      </c>
      <c r="AB533" s="91"/>
      <c r="AC533" s="92"/>
      <c r="AD533" s="101">
        <f t="shared" si="247"/>
        <v>56214</v>
      </c>
      <c r="AE533" s="103">
        <f t="shared" si="248"/>
        <v>0</v>
      </c>
      <c r="AG533" s="1">
        <f t="shared" si="274"/>
        <v>0</v>
      </c>
      <c r="AH533" s="1">
        <f t="shared" si="275"/>
        <v>0</v>
      </c>
      <c r="AI533" s="1">
        <f t="shared" si="249"/>
        <v>5432.58</v>
      </c>
      <c r="AJ533" s="20">
        <f t="shared" si="251"/>
        <v>0</v>
      </c>
      <c r="AK533" s="100">
        <f t="shared" si="258"/>
        <v>0</v>
      </c>
      <c r="AL533" s="100">
        <f t="shared" si="259"/>
        <v>0</v>
      </c>
      <c r="AN533" s="100">
        <f t="shared" si="260"/>
        <v>4209.5313062360838</v>
      </c>
      <c r="AO533" s="20">
        <f t="shared" si="261"/>
        <v>0</v>
      </c>
      <c r="AQ533" s="109">
        <f t="shared" si="262"/>
        <v>0</v>
      </c>
      <c r="AU533" s="109">
        <f t="shared" si="240"/>
        <v>25.890133550402993</v>
      </c>
      <c r="AV533" s="101">
        <f t="shared" si="263"/>
        <v>56244</v>
      </c>
      <c r="AW533" s="99">
        <f t="shared" si="264"/>
        <v>0</v>
      </c>
      <c r="AX533" s="1">
        <f t="shared" si="265"/>
        <v>0</v>
      </c>
      <c r="AY533" s="29">
        <f t="shared" si="266"/>
        <v>0</v>
      </c>
      <c r="AZ533" s="1">
        <f t="shared" si="243"/>
        <v>0</v>
      </c>
      <c r="CB533" s="20">
        <f t="shared" si="252"/>
        <v>0</v>
      </c>
      <c r="CC533" s="173">
        <f t="shared" si="244"/>
        <v>0</v>
      </c>
    </row>
    <row r="534" spans="3:81" x14ac:dyDescent="0.25">
      <c r="C534" s="42"/>
      <c r="D534" s="43"/>
      <c r="E534" s="44"/>
      <c r="F534" s="44"/>
      <c r="G534" s="45"/>
      <c r="H534" s="81" t="str">
        <f t="shared" ref="H534:H597" si="277">IF(ISERROR(VLOOKUP(C532,AB:AC,2,0)),"",VLOOKUP(C532,AB:AC,2,0))</f>
        <v/>
      </c>
      <c r="J534" s="9"/>
      <c r="K534" s="10"/>
      <c r="L534" s="17"/>
      <c r="M534" s="23"/>
      <c r="N534" s="23"/>
      <c r="O534" s="23"/>
      <c r="P534" s="23"/>
      <c r="Q534" s="1">
        <f t="shared" si="245"/>
        <v>0.60744618579017706</v>
      </c>
      <c r="R534" s="12">
        <f t="shared" ca="1" si="267"/>
        <v>15122</v>
      </c>
      <c r="S534" s="88">
        <f t="shared" si="276"/>
        <v>0</v>
      </c>
      <c r="T534" s="19">
        <f t="shared" si="268"/>
        <v>0</v>
      </c>
      <c r="U534" s="19">
        <f t="shared" si="269"/>
        <v>0</v>
      </c>
      <c r="V534" s="19">
        <f t="shared" si="250"/>
        <v>0</v>
      </c>
      <c r="W534" s="20">
        <f t="shared" ca="1" si="270"/>
        <v>0</v>
      </c>
      <c r="X534" s="19">
        <f t="shared" ca="1" si="271"/>
        <v>0</v>
      </c>
      <c r="Y534" s="19">
        <f t="shared" ca="1" si="272"/>
        <v>0</v>
      </c>
      <c r="Z534" s="20">
        <f t="shared" ca="1" si="273"/>
        <v>0</v>
      </c>
      <c r="AA534" s="1">
        <f t="shared" si="246"/>
        <v>5432.58</v>
      </c>
      <c r="AB534" s="93"/>
      <c r="AC534" s="94"/>
      <c r="AD534" s="101">
        <f t="shared" si="247"/>
        <v>56244</v>
      </c>
      <c r="AE534" s="103">
        <f t="shared" si="248"/>
        <v>0</v>
      </c>
      <c r="AG534" s="1">
        <f t="shared" si="274"/>
        <v>0</v>
      </c>
      <c r="AH534" s="1">
        <f t="shared" si="275"/>
        <v>0</v>
      </c>
      <c r="AI534" s="1">
        <f t="shared" si="249"/>
        <v>5432.58</v>
      </c>
      <c r="AJ534" s="20">
        <f t="shared" si="251"/>
        <v>0</v>
      </c>
      <c r="AK534" s="100">
        <f t="shared" si="258"/>
        <v>0</v>
      </c>
      <c r="AL534" s="100">
        <f t="shared" si="259"/>
        <v>0</v>
      </c>
      <c r="AN534" s="100">
        <f t="shared" si="260"/>
        <v>4207.4014979094227</v>
      </c>
      <c r="AO534" s="20">
        <f t="shared" si="261"/>
        <v>0</v>
      </c>
      <c r="AQ534" s="109">
        <f t="shared" si="262"/>
        <v>0</v>
      </c>
      <c r="AU534" s="109">
        <f t="shared" si="240"/>
        <v>25.887861171477944</v>
      </c>
      <c r="AV534" s="101">
        <f t="shared" si="263"/>
        <v>56274</v>
      </c>
      <c r="AW534" s="99">
        <f t="shared" si="264"/>
        <v>0</v>
      </c>
      <c r="AX534" s="1">
        <f t="shared" si="265"/>
        <v>0</v>
      </c>
      <c r="AY534" s="29">
        <f t="shared" si="266"/>
        <v>0</v>
      </c>
      <c r="AZ534" s="1">
        <f t="shared" si="243"/>
        <v>0</v>
      </c>
      <c r="CB534" s="20">
        <f t="shared" si="252"/>
        <v>0</v>
      </c>
      <c r="CC534" s="173">
        <f t="shared" si="244"/>
        <v>0</v>
      </c>
    </row>
    <row r="535" spans="3:81" x14ac:dyDescent="0.25">
      <c r="C535" s="42"/>
      <c r="D535" s="43"/>
      <c r="E535" s="44"/>
      <c r="F535" s="44"/>
      <c r="G535" s="45"/>
      <c r="H535" s="81" t="str">
        <f t="shared" si="277"/>
        <v/>
      </c>
      <c r="J535" s="7"/>
      <c r="K535" s="8"/>
      <c r="L535" s="16"/>
      <c r="M535" s="22"/>
      <c r="N535" s="22"/>
      <c r="O535" s="22"/>
      <c r="P535" s="22"/>
      <c r="Q535" s="1">
        <f t="shared" si="245"/>
        <v>0.60744618579017706</v>
      </c>
      <c r="R535" s="12">
        <f t="shared" ca="1" si="267"/>
        <v>15152</v>
      </c>
      <c r="S535" s="88">
        <f t="shared" si="276"/>
        <v>0</v>
      </c>
      <c r="T535" s="19">
        <f t="shared" si="268"/>
        <v>0</v>
      </c>
      <c r="U535" s="19">
        <f t="shared" si="269"/>
        <v>0</v>
      </c>
      <c r="V535" s="19">
        <f t="shared" si="250"/>
        <v>0</v>
      </c>
      <c r="W535" s="20">
        <f t="shared" ca="1" si="270"/>
        <v>0</v>
      </c>
      <c r="X535" s="19">
        <f t="shared" ca="1" si="271"/>
        <v>0</v>
      </c>
      <c r="Y535" s="19">
        <f t="shared" ca="1" si="272"/>
        <v>0</v>
      </c>
      <c r="Z535" s="20">
        <f t="shared" ca="1" si="273"/>
        <v>0</v>
      </c>
      <c r="AA535" s="1">
        <f t="shared" si="246"/>
        <v>5432.58</v>
      </c>
      <c r="AB535" s="91"/>
      <c r="AC535" s="92"/>
      <c r="AD535" s="101">
        <f t="shared" si="247"/>
        <v>56274</v>
      </c>
      <c r="AE535" s="103">
        <f t="shared" si="248"/>
        <v>0</v>
      </c>
      <c r="AG535" s="1">
        <f t="shared" si="274"/>
        <v>0</v>
      </c>
      <c r="AH535" s="1">
        <f t="shared" si="275"/>
        <v>0</v>
      </c>
      <c r="AI535" s="1">
        <f t="shared" si="249"/>
        <v>5432.58</v>
      </c>
      <c r="AJ535" s="20">
        <f t="shared" si="251"/>
        <v>0</v>
      </c>
      <c r="AK535" s="100">
        <f t="shared" si="258"/>
        <v>0</v>
      </c>
      <c r="AL535" s="100">
        <f t="shared" si="259"/>
        <v>0</v>
      </c>
      <c r="AN535" s="100">
        <f t="shared" si="260"/>
        <v>4205.272767157242</v>
      </c>
      <c r="AO535" s="20">
        <f t="shared" si="261"/>
        <v>0</v>
      </c>
      <c r="AQ535" s="109">
        <f t="shared" si="262"/>
        <v>0</v>
      </c>
      <c r="AU535" s="109">
        <f t="shared" si="240"/>
        <v>25.885588991999757</v>
      </c>
      <c r="AV535" s="101">
        <f t="shared" si="263"/>
        <v>56304</v>
      </c>
      <c r="AW535" s="99">
        <f t="shared" si="264"/>
        <v>0</v>
      </c>
      <c r="AX535" s="1">
        <f t="shared" si="265"/>
        <v>0</v>
      </c>
      <c r="AY535" s="29">
        <f t="shared" si="266"/>
        <v>0</v>
      </c>
      <c r="AZ535" s="1">
        <f t="shared" si="243"/>
        <v>0</v>
      </c>
      <c r="CB535" s="20">
        <f t="shared" si="252"/>
        <v>0</v>
      </c>
      <c r="CC535" s="173">
        <f t="shared" si="244"/>
        <v>0</v>
      </c>
    </row>
    <row r="536" spans="3:81" x14ac:dyDescent="0.25">
      <c r="C536" s="42"/>
      <c r="D536" s="43"/>
      <c r="E536" s="44"/>
      <c r="F536" s="44"/>
      <c r="G536" s="45"/>
      <c r="H536" s="81" t="str">
        <f t="shared" si="277"/>
        <v/>
      </c>
      <c r="J536" s="9"/>
      <c r="K536" s="10"/>
      <c r="L536" s="17"/>
      <c r="M536" s="23"/>
      <c r="N536" s="23"/>
      <c r="O536" s="23"/>
      <c r="P536" s="23"/>
      <c r="Q536" s="1">
        <f t="shared" si="245"/>
        <v>0.60744618579017706</v>
      </c>
      <c r="R536" s="12">
        <f t="shared" ca="1" si="267"/>
        <v>15182</v>
      </c>
      <c r="S536" s="88">
        <f t="shared" si="276"/>
        <v>0</v>
      </c>
      <c r="T536" s="19">
        <f t="shared" si="268"/>
        <v>0</v>
      </c>
      <c r="U536" s="19">
        <f t="shared" si="269"/>
        <v>0</v>
      </c>
      <c r="V536" s="19">
        <f t="shared" si="250"/>
        <v>0</v>
      </c>
      <c r="W536" s="20">
        <f t="shared" ca="1" si="270"/>
        <v>0</v>
      </c>
      <c r="X536" s="19">
        <f t="shared" ca="1" si="271"/>
        <v>0</v>
      </c>
      <c r="Y536" s="19">
        <f t="shared" ca="1" si="272"/>
        <v>0</v>
      </c>
      <c r="Z536" s="20">
        <f t="shared" ca="1" si="273"/>
        <v>0</v>
      </c>
      <c r="AA536" s="1">
        <f t="shared" si="246"/>
        <v>5432.58</v>
      </c>
      <c r="AB536" s="93"/>
      <c r="AC536" s="94"/>
      <c r="AD536" s="101">
        <f t="shared" si="247"/>
        <v>56304</v>
      </c>
      <c r="AE536" s="103">
        <f t="shared" si="248"/>
        <v>0</v>
      </c>
      <c r="AG536" s="1">
        <f t="shared" si="274"/>
        <v>0</v>
      </c>
      <c r="AH536" s="1">
        <f t="shared" si="275"/>
        <v>0</v>
      </c>
      <c r="AI536" s="1">
        <f t="shared" si="249"/>
        <v>5432.58</v>
      </c>
      <c r="AJ536" s="20">
        <f t="shared" si="251"/>
        <v>0</v>
      </c>
      <c r="AK536" s="100">
        <f t="shared" si="258"/>
        <v>0</v>
      </c>
      <c r="AL536" s="100">
        <f t="shared" si="259"/>
        <v>0</v>
      </c>
      <c r="AN536" s="100">
        <f t="shared" si="260"/>
        <v>4203.1451134343433</v>
      </c>
      <c r="AO536" s="20">
        <f t="shared" si="261"/>
        <v>0</v>
      </c>
      <c r="AQ536" s="109">
        <f t="shared" si="262"/>
        <v>0</v>
      </c>
      <c r="AU536" s="109">
        <f t="shared" si="240"/>
        <v>25.883317011950936</v>
      </c>
      <c r="AV536" s="101">
        <f t="shared" si="263"/>
        <v>56334</v>
      </c>
      <c r="AW536" s="99">
        <f t="shared" si="264"/>
        <v>0</v>
      </c>
      <c r="AX536" s="1">
        <f t="shared" si="265"/>
        <v>0</v>
      </c>
      <c r="AY536" s="29">
        <f t="shared" si="266"/>
        <v>0</v>
      </c>
      <c r="AZ536" s="1">
        <f t="shared" si="243"/>
        <v>0</v>
      </c>
      <c r="CB536" s="20">
        <f t="shared" si="252"/>
        <v>0</v>
      </c>
      <c r="CC536" s="173">
        <f t="shared" si="244"/>
        <v>0</v>
      </c>
    </row>
    <row r="537" spans="3:81" x14ac:dyDescent="0.25">
      <c r="C537" s="42"/>
      <c r="D537" s="43"/>
      <c r="E537" s="44"/>
      <c r="F537" s="44"/>
      <c r="G537" s="45"/>
      <c r="H537" s="81" t="str">
        <f t="shared" si="277"/>
        <v/>
      </c>
      <c r="J537" s="7"/>
      <c r="K537" s="8"/>
      <c r="L537" s="16"/>
      <c r="M537" s="22"/>
      <c r="N537" s="22"/>
      <c r="O537" s="22"/>
      <c r="P537" s="22"/>
      <c r="Q537" s="1">
        <f t="shared" si="245"/>
        <v>0.60744618579017706</v>
      </c>
      <c r="R537" s="12">
        <f t="shared" ca="1" si="267"/>
        <v>15212</v>
      </c>
      <c r="S537" s="88">
        <f t="shared" si="276"/>
        <v>0</v>
      </c>
      <c r="T537" s="19">
        <f t="shared" si="268"/>
        <v>0</v>
      </c>
      <c r="U537" s="19">
        <f t="shared" si="269"/>
        <v>0</v>
      </c>
      <c r="V537" s="19">
        <f t="shared" si="250"/>
        <v>0</v>
      </c>
      <c r="W537" s="20">
        <f t="shared" ca="1" si="270"/>
        <v>0</v>
      </c>
      <c r="X537" s="19">
        <f t="shared" ca="1" si="271"/>
        <v>0</v>
      </c>
      <c r="Y537" s="19">
        <f t="shared" ca="1" si="272"/>
        <v>0</v>
      </c>
      <c r="Z537" s="20">
        <f t="shared" ca="1" si="273"/>
        <v>0</v>
      </c>
      <c r="AA537" s="1">
        <f t="shared" si="246"/>
        <v>5432.58</v>
      </c>
      <c r="AB537" s="91"/>
      <c r="AC537" s="92"/>
      <c r="AD537" s="101">
        <f t="shared" si="247"/>
        <v>56334</v>
      </c>
      <c r="AE537" s="103">
        <f t="shared" si="248"/>
        <v>0</v>
      </c>
      <c r="AG537" s="1">
        <f t="shared" si="274"/>
        <v>0</v>
      </c>
      <c r="AH537" s="1">
        <f t="shared" si="275"/>
        <v>0</v>
      </c>
      <c r="AI537" s="1">
        <f t="shared" si="249"/>
        <v>5432.58</v>
      </c>
      <c r="AJ537" s="20">
        <f t="shared" si="251"/>
        <v>0</v>
      </c>
      <c r="AK537" s="100">
        <f t="shared" si="258"/>
        <v>0</v>
      </c>
      <c r="AL537" s="100">
        <f t="shared" si="259"/>
        <v>0</v>
      </c>
      <c r="AN537" s="100">
        <f t="shared" si="260"/>
        <v>4201.0185361958029</v>
      </c>
      <c r="AO537" s="20">
        <f t="shared" si="261"/>
        <v>0</v>
      </c>
      <c r="AQ537" s="109">
        <f t="shared" si="262"/>
        <v>0</v>
      </c>
      <c r="AU537" s="109">
        <f t="shared" si="240"/>
        <v>25.881045231313969</v>
      </c>
      <c r="AV537" s="101">
        <f t="shared" si="263"/>
        <v>56364</v>
      </c>
      <c r="AW537" s="99">
        <f t="shared" si="264"/>
        <v>0</v>
      </c>
      <c r="AX537" s="1">
        <f t="shared" si="265"/>
        <v>0</v>
      </c>
      <c r="AY537" s="29">
        <f t="shared" si="266"/>
        <v>0</v>
      </c>
      <c r="AZ537" s="1">
        <f t="shared" si="243"/>
        <v>0</v>
      </c>
      <c r="CB537" s="20">
        <f t="shared" si="252"/>
        <v>0</v>
      </c>
      <c r="CC537" s="173">
        <f t="shared" si="244"/>
        <v>0</v>
      </c>
    </row>
    <row r="538" spans="3:81" x14ac:dyDescent="0.25">
      <c r="C538" s="42"/>
      <c r="D538" s="43"/>
      <c r="E538" s="44"/>
      <c r="F538" s="44"/>
      <c r="G538" s="45"/>
      <c r="H538" s="81" t="str">
        <f t="shared" si="277"/>
        <v/>
      </c>
      <c r="J538" s="9"/>
      <c r="K538" s="10"/>
      <c r="L538" s="17"/>
      <c r="M538" s="23"/>
      <c r="N538" s="23"/>
      <c r="O538" s="23"/>
      <c r="P538" s="23"/>
      <c r="Q538" s="1">
        <f t="shared" si="245"/>
        <v>0.60744618579017706</v>
      </c>
      <c r="R538" s="12">
        <f t="shared" ca="1" si="267"/>
        <v>15242</v>
      </c>
      <c r="S538" s="88">
        <f t="shared" si="276"/>
        <v>0</v>
      </c>
      <c r="T538" s="19">
        <f t="shared" si="268"/>
        <v>0</v>
      </c>
      <c r="U538" s="19">
        <f t="shared" si="269"/>
        <v>0</v>
      </c>
      <c r="V538" s="19">
        <f t="shared" si="250"/>
        <v>0</v>
      </c>
      <c r="W538" s="20">
        <f t="shared" ca="1" si="270"/>
        <v>0</v>
      </c>
      <c r="X538" s="19">
        <f t="shared" ca="1" si="271"/>
        <v>0</v>
      </c>
      <c r="Y538" s="19">
        <f t="shared" ca="1" si="272"/>
        <v>0</v>
      </c>
      <c r="Z538" s="20">
        <f t="shared" ca="1" si="273"/>
        <v>0</v>
      </c>
      <c r="AA538" s="1">
        <f t="shared" si="246"/>
        <v>5432.58</v>
      </c>
      <c r="AB538" s="93"/>
      <c r="AC538" s="94"/>
      <c r="AD538" s="101">
        <f t="shared" si="247"/>
        <v>56364</v>
      </c>
      <c r="AE538" s="103">
        <f t="shared" si="248"/>
        <v>0</v>
      </c>
      <c r="AG538" s="1">
        <f t="shared" si="274"/>
        <v>0</v>
      </c>
      <c r="AH538" s="1">
        <f t="shared" si="275"/>
        <v>0</v>
      </c>
      <c r="AI538" s="1">
        <f t="shared" si="249"/>
        <v>5432.58</v>
      </c>
      <c r="AJ538" s="20">
        <f t="shared" si="251"/>
        <v>0</v>
      </c>
      <c r="AK538" s="100">
        <f t="shared" si="258"/>
        <v>0</v>
      </c>
      <c r="AL538" s="100">
        <f t="shared" si="259"/>
        <v>0</v>
      </c>
      <c r="AN538" s="100">
        <f t="shared" si="260"/>
        <v>4198.893034896978</v>
      </c>
      <c r="AO538" s="20">
        <f t="shared" si="261"/>
        <v>0</v>
      </c>
      <c r="AQ538" s="109">
        <f t="shared" si="262"/>
        <v>0</v>
      </c>
      <c r="AU538" s="109">
        <f t="shared" si="240"/>
        <v>25.878773650071359</v>
      </c>
      <c r="AV538" s="101">
        <f t="shared" si="263"/>
        <v>56394</v>
      </c>
      <c r="AW538" s="99">
        <f t="shared" si="264"/>
        <v>0</v>
      </c>
      <c r="AX538" s="1">
        <f t="shared" si="265"/>
        <v>0</v>
      </c>
      <c r="AY538" s="29">
        <f t="shared" si="266"/>
        <v>0</v>
      </c>
      <c r="AZ538" s="1">
        <f t="shared" si="243"/>
        <v>0</v>
      </c>
      <c r="CB538" s="20">
        <f t="shared" si="252"/>
        <v>0</v>
      </c>
      <c r="CC538" s="173">
        <f t="shared" si="244"/>
        <v>0</v>
      </c>
    </row>
    <row r="539" spans="3:81" x14ac:dyDescent="0.25">
      <c r="C539" s="42"/>
      <c r="D539" s="43"/>
      <c r="E539" s="44"/>
      <c r="F539" s="44"/>
      <c r="G539" s="45"/>
      <c r="H539" s="81" t="str">
        <f t="shared" si="277"/>
        <v/>
      </c>
      <c r="J539" s="7"/>
      <c r="K539" s="8"/>
      <c r="L539" s="16"/>
      <c r="M539" s="22"/>
      <c r="N539" s="22"/>
      <c r="O539" s="22"/>
      <c r="P539" s="22"/>
      <c r="Q539" s="1">
        <f t="shared" si="245"/>
        <v>0.60744618579017706</v>
      </c>
      <c r="R539" s="12">
        <f t="shared" ca="1" si="267"/>
        <v>15272</v>
      </c>
      <c r="S539" s="88">
        <f t="shared" si="276"/>
        <v>0</v>
      </c>
      <c r="T539" s="19">
        <f t="shared" si="268"/>
        <v>0</v>
      </c>
      <c r="U539" s="19">
        <f t="shared" si="269"/>
        <v>0</v>
      </c>
      <c r="V539" s="19">
        <f t="shared" si="250"/>
        <v>0</v>
      </c>
      <c r="W539" s="20">
        <f t="shared" ca="1" si="270"/>
        <v>0</v>
      </c>
      <c r="X539" s="19">
        <f t="shared" ca="1" si="271"/>
        <v>0</v>
      </c>
      <c r="Y539" s="19">
        <f t="shared" ca="1" si="272"/>
        <v>0</v>
      </c>
      <c r="Z539" s="20">
        <f t="shared" ca="1" si="273"/>
        <v>0</v>
      </c>
      <c r="AA539" s="1">
        <f t="shared" si="246"/>
        <v>5432.58</v>
      </c>
      <c r="AB539" s="91"/>
      <c r="AC539" s="92"/>
      <c r="AD539" s="101">
        <f t="shared" si="247"/>
        <v>56394</v>
      </c>
      <c r="AE539" s="103">
        <f t="shared" si="248"/>
        <v>0</v>
      </c>
      <c r="AG539" s="1">
        <f t="shared" si="274"/>
        <v>0</v>
      </c>
      <c r="AH539" s="1">
        <f t="shared" si="275"/>
        <v>0</v>
      </c>
      <c r="AI539" s="1">
        <f t="shared" si="249"/>
        <v>5432.58</v>
      </c>
      <c r="AJ539" s="20">
        <f t="shared" si="251"/>
        <v>0</v>
      </c>
      <c r="AK539" s="100">
        <f t="shared" si="258"/>
        <v>0</v>
      </c>
      <c r="AL539" s="100">
        <f t="shared" si="259"/>
        <v>0</v>
      </c>
      <c r="AN539" s="100">
        <f t="shared" si="260"/>
        <v>4196.7686089934978</v>
      </c>
      <c r="AO539" s="20">
        <f t="shared" si="261"/>
        <v>0</v>
      </c>
      <c r="AQ539" s="109">
        <f t="shared" si="262"/>
        <v>0</v>
      </c>
      <c r="AU539" s="109">
        <f t="shared" si="240"/>
        <v>25.876502268205591</v>
      </c>
      <c r="AV539" s="101">
        <f t="shared" si="263"/>
        <v>56424</v>
      </c>
      <c r="AW539" s="99">
        <f t="shared" si="264"/>
        <v>0</v>
      </c>
      <c r="AX539" s="1">
        <f t="shared" si="265"/>
        <v>0</v>
      </c>
      <c r="AY539" s="29">
        <f t="shared" si="266"/>
        <v>0</v>
      </c>
      <c r="AZ539" s="1">
        <f t="shared" si="243"/>
        <v>0</v>
      </c>
      <c r="CB539" s="20">
        <f t="shared" si="252"/>
        <v>0</v>
      </c>
      <c r="CC539" s="173">
        <f t="shared" si="244"/>
        <v>0</v>
      </c>
    </row>
    <row r="540" spans="3:81" x14ac:dyDescent="0.25">
      <c r="C540" s="42"/>
      <c r="D540" s="43"/>
      <c r="E540" s="44"/>
      <c r="F540" s="44"/>
      <c r="G540" s="45"/>
      <c r="H540" s="81" t="str">
        <f t="shared" si="277"/>
        <v/>
      </c>
      <c r="J540" s="9"/>
      <c r="K540" s="10"/>
      <c r="L540" s="17"/>
      <c r="M540" s="23"/>
      <c r="N540" s="23"/>
      <c r="O540" s="23"/>
      <c r="P540" s="23"/>
      <c r="Q540" s="1">
        <f t="shared" si="245"/>
        <v>0.60744618579017706</v>
      </c>
      <c r="R540" s="12">
        <f t="shared" ca="1" si="267"/>
        <v>15302</v>
      </c>
      <c r="S540" s="88">
        <f t="shared" si="276"/>
        <v>0</v>
      </c>
      <c r="T540" s="19">
        <f t="shared" si="268"/>
        <v>0</v>
      </c>
      <c r="U540" s="19">
        <f t="shared" si="269"/>
        <v>0</v>
      </c>
      <c r="V540" s="19">
        <f t="shared" si="250"/>
        <v>0</v>
      </c>
      <c r="W540" s="20">
        <f t="shared" ca="1" si="270"/>
        <v>0</v>
      </c>
      <c r="X540" s="19">
        <f t="shared" ca="1" si="271"/>
        <v>0</v>
      </c>
      <c r="Y540" s="19">
        <f t="shared" ca="1" si="272"/>
        <v>0</v>
      </c>
      <c r="Z540" s="20">
        <f t="shared" ca="1" si="273"/>
        <v>0</v>
      </c>
      <c r="AA540" s="1">
        <f t="shared" si="246"/>
        <v>5432.58</v>
      </c>
      <c r="AB540" s="93"/>
      <c r="AC540" s="94"/>
      <c r="AD540" s="101">
        <f t="shared" si="247"/>
        <v>56424</v>
      </c>
      <c r="AE540" s="103">
        <f t="shared" si="248"/>
        <v>0</v>
      </c>
      <c r="AG540" s="1">
        <f t="shared" si="274"/>
        <v>0</v>
      </c>
      <c r="AH540" s="1">
        <f t="shared" si="275"/>
        <v>0</v>
      </c>
      <c r="AI540" s="1">
        <f t="shared" si="249"/>
        <v>5432.58</v>
      </c>
      <c r="AJ540" s="20">
        <f t="shared" si="251"/>
        <v>0</v>
      </c>
      <c r="AK540" s="100">
        <f t="shared" si="258"/>
        <v>0</v>
      </c>
      <c r="AL540" s="100">
        <f t="shared" si="259"/>
        <v>0</v>
      </c>
      <c r="AN540" s="100">
        <f t="shared" si="260"/>
        <v>4194.6452579412626</v>
      </c>
      <c r="AO540" s="20">
        <f t="shared" si="261"/>
        <v>0</v>
      </c>
      <c r="AQ540" s="109">
        <f t="shared" si="262"/>
        <v>0</v>
      </c>
      <c r="AU540" s="109">
        <f t="shared" si="240"/>
        <v>25.874231085699186</v>
      </c>
      <c r="AV540" s="101">
        <f t="shared" si="263"/>
        <v>56454</v>
      </c>
      <c r="AW540" s="99">
        <f t="shared" si="264"/>
        <v>0</v>
      </c>
      <c r="AX540" s="1">
        <f t="shared" si="265"/>
        <v>0</v>
      </c>
      <c r="AY540" s="29">
        <f t="shared" si="266"/>
        <v>0</v>
      </c>
      <c r="AZ540" s="1">
        <f t="shared" si="243"/>
        <v>0</v>
      </c>
      <c r="CB540" s="20">
        <f t="shared" si="252"/>
        <v>0</v>
      </c>
      <c r="CC540" s="173">
        <f t="shared" si="244"/>
        <v>0</v>
      </c>
    </row>
    <row r="541" spans="3:81" x14ac:dyDescent="0.25">
      <c r="C541" s="42"/>
      <c r="D541" s="43"/>
      <c r="E541" s="44"/>
      <c r="F541" s="44"/>
      <c r="G541" s="45"/>
      <c r="H541" s="81" t="str">
        <f t="shared" si="277"/>
        <v/>
      </c>
      <c r="J541" s="7"/>
      <c r="K541" s="8"/>
      <c r="L541" s="16"/>
      <c r="M541" s="22"/>
      <c r="N541" s="22"/>
      <c r="O541" s="22"/>
      <c r="P541" s="22"/>
      <c r="Q541" s="1">
        <f t="shared" si="245"/>
        <v>0.60744618579017706</v>
      </c>
      <c r="R541" s="12">
        <f t="shared" ca="1" si="267"/>
        <v>15332</v>
      </c>
      <c r="S541" s="88">
        <f t="shared" si="276"/>
        <v>0</v>
      </c>
      <c r="T541" s="19">
        <f t="shared" si="268"/>
        <v>0</v>
      </c>
      <c r="U541" s="19">
        <f t="shared" si="269"/>
        <v>0</v>
      </c>
      <c r="V541" s="19">
        <f t="shared" si="250"/>
        <v>0</v>
      </c>
      <c r="W541" s="20">
        <f t="shared" ca="1" si="270"/>
        <v>0</v>
      </c>
      <c r="X541" s="19">
        <f t="shared" ca="1" si="271"/>
        <v>0</v>
      </c>
      <c r="Y541" s="19">
        <f t="shared" ca="1" si="272"/>
        <v>0</v>
      </c>
      <c r="Z541" s="20">
        <f t="shared" ca="1" si="273"/>
        <v>0</v>
      </c>
      <c r="AA541" s="1">
        <f t="shared" si="246"/>
        <v>5432.58</v>
      </c>
      <c r="AB541" s="91"/>
      <c r="AC541" s="92"/>
      <c r="AD541" s="101">
        <f t="shared" si="247"/>
        <v>56454</v>
      </c>
      <c r="AE541" s="103">
        <f t="shared" si="248"/>
        <v>0</v>
      </c>
      <c r="AG541" s="1">
        <f t="shared" si="274"/>
        <v>0</v>
      </c>
      <c r="AH541" s="1">
        <f t="shared" si="275"/>
        <v>0</v>
      </c>
      <c r="AI541" s="1">
        <f t="shared" si="249"/>
        <v>5432.58</v>
      </c>
      <c r="AJ541" s="20">
        <f t="shared" si="251"/>
        <v>0</v>
      </c>
      <c r="AK541" s="100">
        <f t="shared" si="258"/>
        <v>0</v>
      </c>
      <c r="AL541" s="100">
        <f t="shared" si="259"/>
        <v>0</v>
      </c>
      <c r="AN541" s="100">
        <f t="shared" si="260"/>
        <v>4192.5229811964591</v>
      </c>
      <c r="AO541" s="20">
        <f t="shared" si="261"/>
        <v>0</v>
      </c>
      <c r="AQ541" s="109">
        <f t="shared" si="262"/>
        <v>0</v>
      </c>
      <c r="AU541" s="109">
        <f t="shared" si="240"/>
        <v>25.871960102534636</v>
      </c>
      <c r="AV541" s="101">
        <f t="shared" si="263"/>
        <v>56484</v>
      </c>
      <c r="AW541" s="99">
        <f t="shared" si="264"/>
        <v>0</v>
      </c>
      <c r="AX541" s="1">
        <f t="shared" si="265"/>
        <v>0</v>
      </c>
      <c r="AY541" s="29">
        <f t="shared" si="266"/>
        <v>0</v>
      </c>
      <c r="AZ541" s="1">
        <f t="shared" si="243"/>
        <v>0</v>
      </c>
      <c r="CB541" s="20">
        <f t="shared" si="252"/>
        <v>0</v>
      </c>
      <c r="CC541" s="173">
        <f t="shared" si="244"/>
        <v>0</v>
      </c>
    </row>
    <row r="542" spans="3:81" x14ac:dyDescent="0.25">
      <c r="C542" s="42"/>
      <c r="D542" s="43"/>
      <c r="E542" s="44"/>
      <c r="F542" s="44"/>
      <c r="G542" s="45"/>
      <c r="H542" s="81" t="str">
        <f t="shared" si="277"/>
        <v/>
      </c>
      <c r="J542" s="9"/>
      <c r="K542" s="10"/>
      <c r="L542" s="17"/>
      <c r="M542" s="23"/>
      <c r="N542" s="23"/>
      <c r="O542" s="23"/>
      <c r="P542" s="23"/>
      <c r="Q542" s="1">
        <f t="shared" si="245"/>
        <v>0.60744618579017706</v>
      </c>
      <c r="R542" s="12">
        <f t="shared" ca="1" si="267"/>
        <v>15362</v>
      </c>
      <c r="S542" s="88">
        <f t="shared" si="276"/>
        <v>0</v>
      </c>
      <c r="T542" s="19">
        <f t="shared" si="268"/>
        <v>0</v>
      </c>
      <c r="U542" s="19">
        <f t="shared" si="269"/>
        <v>0</v>
      </c>
      <c r="V542" s="19">
        <f t="shared" si="250"/>
        <v>0</v>
      </c>
      <c r="W542" s="20">
        <f t="shared" ca="1" si="270"/>
        <v>0</v>
      </c>
      <c r="X542" s="19">
        <f t="shared" ca="1" si="271"/>
        <v>0</v>
      </c>
      <c r="Y542" s="19">
        <f t="shared" ca="1" si="272"/>
        <v>0</v>
      </c>
      <c r="Z542" s="20">
        <f t="shared" ca="1" si="273"/>
        <v>0</v>
      </c>
      <c r="AA542" s="1">
        <f t="shared" si="246"/>
        <v>5432.58</v>
      </c>
      <c r="AB542" s="93"/>
      <c r="AC542" s="94"/>
      <c r="AD542" s="101">
        <f t="shared" si="247"/>
        <v>56484</v>
      </c>
      <c r="AE542" s="103">
        <f t="shared" si="248"/>
        <v>0</v>
      </c>
      <c r="AG542" s="1">
        <f t="shared" si="274"/>
        <v>0</v>
      </c>
      <c r="AH542" s="1">
        <f t="shared" si="275"/>
        <v>0</v>
      </c>
      <c r="AI542" s="1">
        <f t="shared" si="249"/>
        <v>5432.58</v>
      </c>
      <c r="AJ542" s="20">
        <f t="shared" si="251"/>
        <v>0</v>
      </c>
      <c r="AK542" s="100">
        <f t="shared" si="258"/>
        <v>0</v>
      </c>
      <c r="AL542" s="100">
        <f t="shared" si="259"/>
        <v>0</v>
      </c>
      <c r="AN542" s="100">
        <f t="shared" si="260"/>
        <v>4190.4017782155379</v>
      </c>
      <c r="AO542" s="20">
        <f t="shared" si="261"/>
        <v>0</v>
      </c>
      <c r="AQ542" s="109">
        <f t="shared" si="262"/>
        <v>0</v>
      </c>
      <c r="AU542" s="109">
        <f t="shared" si="240"/>
        <v>25.869689318694437</v>
      </c>
      <c r="AV542" s="101">
        <f t="shared" si="263"/>
        <v>56514</v>
      </c>
      <c r="AW542" s="99">
        <f t="shared" si="264"/>
        <v>0</v>
      </c>
      <c r="AX542" s="1">
        <f t="shared" si="265"/>
        <v>0</v>
      </c>
      <c r="AY542" s="29">
        <f t="shared" si="266"/>
        <v>0</v>
      </c>
      <c r="AZ542" s="1">
        <f t="shared" si="243"/>
        <v>0</v>
      </c>
      <c r="CB542" s="20">
        <f t="shared" si="252"/>
        <v>0</v>
      </c>
      <c r="CC542" s="173">
        <f t="shared" si="244"/>
        <v>0</v>
      </c>
    </row>
    <row r="543" spans="3:81" x14ac:dyDescent="0.25">
      <c r="C543" s="42"/>
      <c r="D543" s="43"/>
      <c r="E543" s="44"/>
      <c r="F543" s="44"/>
      <c r="G543" s="45"/>
      <c r="H543" s="81" t="str">
        <f t="shared" si="277"/>
        <v/>
      </c>
      <c r="J543" s="7"/>
      <c r="K543" s="8"/>
      <c r="L543" s="16"/>
      <c r="M543" s="22"/>
      <c r="N543" s="22"/>
      <c r="O543" s="22"/>
      <c r="P543" s="22"/>
      <c r="Q543" s="1">
        <f t="shared" si="245"/>
        <v>0.60744618579017706</v>
      </c>
      <c r="R543" s="12">
        <f t="shared" ca="1" si="267"/>
        <v>15392</v>
      </c>
      <c r="S543" s="88">
        <f t="shared" si="276"/>
        <v>0</v>
      </c>
      <c r="T543" s="19">
        <f t="shared" si="268"/>
        <v>0</v>
      </c>
      <c r="U543" s="19">
        <f t="shared" si="269"/>
        <v>0</v>
      </c>
      <c r="V543" s="19">
        <f t="shared" si="250"/>
        <v>0</v>
      </c>
      <c r="W543" s="20">
        <f t="shared" ca="1" si="270"/>
        <v>0</v>
      </c>
      <c r="X543" s="19">
        <f t="shared" ca="1" si="271"/>
        <v>0</v>
      </c>
      <c r="Y543" s="19">
        <f t="shared" ca="1" si="272"/>
        <v>0</v>
      </c>
      <c r="Z543" s="20">
        <f t="shared" ca="1" si="273"/>
        <v>0</v>
      </c>
      <c r="AA543" s="1">
        <f t="shared" si="246"/>
        <v>5432.58</v>
      </c>
      <c r="AB543" s="91"/>
      <c r="AC543" s="92"/>
      <c r="AD543" s="101">
        <f t="shared" si="247"/>
        <v>56514</v>
      </c>
      <c r="AE543" s="103">
        <f t="shared" si="248"/>
        <v>0</v>
      </c>
      <c r="AG543" s="1">
        <f t="shared" si="274"/>
        <v>0</v>
      </c>
      <c r="AH543" s="1">
        <f t="shared" si="275"/>
        <v>0</v>
      </c>
      <c r="AI543" s="1">
        <f t="shared" si="249"/>
        <v>5432.58</v>
      </c>
      <c r="AJ543" s="20">
        <f t="shared" si="251"/>
        <v>0</v>
      </c>
      <c r="AK543" s="100">
        <f t="shared" si="258"/>
        <v>0</v>
      </c>
      <c r="AL543" s="100">
        <f t="shared" si="259"/>
        <v>0</v>
      </c>
      <c r="AN543" s="100">
        <f t="shared" si="260"/>
        <v>4188.2816484552304</v>
      </c>
      <c r="AO543" s="20">
        <f t="shared" si="261"/>
        <v>0</v>
      </c>
      <c r="AQ543" s="109">
        <f t="shared" si="262"/>
        <v>0</v>
      </c>
      <c r="AU543" s="109">
        <f t="shared" ref="AU543:AU606" si="278">(($AT$27/(1+((1+$AM$27)^(ROW()-29)*30)-1))/292)*0.32</f>
        <v>25.867418734161109</v>
      </c>
      <c r="AV543" s="101">
        <f t="shared" si="263"/>
        <v>56544</v>
      </c>
      <c r="AW543" s="99">
        <f t="shared" si="264"/>
        <v>0</v>
      </c>
      <c r="AX543" s="1">
        <f t="shared" si="265"/>
        <v>0</v>
      </c>
      <c r="AY543" s="29">
        <f t="shared" si="266"/>
        <v>0</v>
      </c>
      <c r="AZ543" s="1">
        <f t="shared" ref="AZ543:AZ606" si="279">AY543/360</f>
        <v>0</v>
      </c>
      <c r="CB543" s="20">
        <f t="shared" si="252"/>
        <v>0</v>
      </c>
      <c r="CC543" s="173">
        <f t="shared" ref="CC543:CC606" si="280">AJ543+U543+T543</f>
        <v>0</v>
      </c>
    </row>
    <row r="544" spans="3:81" x14ac:dyDescent="0.25">
      <c r="C544" s="42"/>
      <c r="D544" s="43"/>
      <c r="E544" s="44"/>
      <c r="F544" s="44"/>
      <c r="G544" s="45"/>
      <c r="H544" s="81" t="str">
        <f t="shared" si="277"/>
        <v/>
      </c>
      <c r="J544" s="9"/>
      <c r="K544" s="10"/>
      <c r="L544" s="17"/>
      <c r="M544" s="23"/>
      <c r="N544" s="23"/>
      <c r="O544" s="23"/>
      <c r="P544" s="23"/>
      <c r="Q544" s="1">
        <f t="shared" ref="Q544:Q607" si="281">IF(M544=0,Q543,(M544*1200)/O543)</f>
        <v>0.60744618579017706</v>
      </c>
      <c r="R544" s="12">
        <f t="shared" ca="1" si="267"/>
        <v>15422</v>
      </c>
      <c r="S544" s="88">
        <f t="shared" si="276"/>
        <v>0</v>
      </c>
      <c r="T544" s="19">
        <f t="shared" si="268"/>
        <v>0</v>
      </c>
      <c r="U544" s="19">
        <f t="shared" si="269"/>
        <v>0</v>
      </c>
      <c r="V544" s="19">
        <f t="shared" si="250"/>
        <v>0</v>
      </c>
      <c r="W544" s="20">
        <f t="shared" ca="1" si="270"/>
        <v>0</v>
      </c>
      <c r="X544" s="19">
        <f t="shared" ca="1" si="271"/>
        <v>0</v>
      </c>
      <c r="Y544" s="19">
        <f t="shared" ca="1" si="272"/>
        <v>0</v>
      </c>
      <c r="Z544" s="20">
        <f t="shared" ca="1" si="273"/>
        <v>0</v>
      </c>
      <c r="AA544" s="1">
        <f t="shared" ref="AA544:AA607" si="282">IF(S544=0,AA543,N544)</f>
        <v>5432.58</v>
      </c>
      <c r="AB544" s="93"/>
      <c r="AC544" s="94"/>
      <c r="AD544" s="101">
        <f t="shared" ref="AD544:AD607" si="283">IF(M544=0,AD543+30,K544)</f>
        <v>56544</v>
      </c>
      <c r="AE544" s="103">
        <f t="shared" ref="AE544:AE607" si="284">IF(V544=0,0,R544)</f>
        <v>0</v>
      </c>
      <c r="AG544" s="1">
        <f t="shared" si="274"/>
        <v>0</v>
      </c>
      <c r="AH544" s="1">
        <f t="shared" si="275"/>
        <v>0</v>
      </c>
      <c r="AI544" s="1">
        <f t="shared" ref="AI544:AI607" si="285">IF(M544-1=0,IF(M544=0,IF(V544=0,N544,AI543),AA544),AA544)</f>
        <v>5432.58</v>
      </c>
      <c r="AJ544" s="20">
        <f t="shared" si="251"/>
        <v>0</v>
      </c>
      <c r="AK544" s="100">
        <f t="shared" si="258"/>
        <v>0</v>
      </c>
      <c r="AL544" s="100">
        <f t="shared" si="259"/>
        <v>0</v>
      </c>
      <c r="AN544" s="100">
        <f t="shared" si="260"/>
        <v>4186.1625913725402</v>
      </c>
      <c r="AO544" s="20">
        <f t="shared" si="261"/>
        <v>0</v>
      </c>
      <c r="AQ544" s="109">
        <f t="shared" si="262"/>
        <v>0</v>
      </c>
      <c r="AU544" s="109">
        <f t="shared" si="278"/>
        <v>25.865148348917156</v>
      </c>
      <c r="AV544" s="101">
        <f t="shared" si="263"/>
        <v>56574</v>
      </c>
      <c r="AW544" s="99">
        <f t="shared" si="264"/>
        <v>0</v>
      </c>
      <c r="AX544" s="1">
        <f t="shared" si="265"/>
        <v>0</v>
      </c>
      <c r="AY544" s="29">
        <f t="shared" si="266"/>
        <v>0</v>
      </c>
      <c r="AZ544" s="1">
        <f t="shared" si="279"/>
        <v>0</v>
      </c>
      <c r="CB544" s="20">
        <f t="shared" si="252"/>
        <v>0</v>
      </c>
      <c r="CC544" s="173">
        <f t="shared" si="280"/>
        <v>0</v>
      </c>
    </row>
    <row r="545" spans="3:81" x14ac:dyDescent="0.25">
      <c r="C545" s="42"/>
      <c r="D545" s="43"/>
      <c r="E545" s="44"/>
      <c r="F545" s="44"/>
      <c r="G545" s="45"/>
      <c r="H545" s="81" t="str">
        <f t="shared" si="277"/>
        <v/>
      </c>
      <c r="J545" s="7"/>
      <c r="K545" s="8"/>
      <c r="L545" s="16"/>
      <c r="M545" s="22"/>
      <c r="N545" s="22"/>
      <c r="O545" s="22"/>
      <c r="P545" s="22"/>
      <c r="Q545" s="1">
        <f t="shared" si="281"/>
        <v>0.60744618579017706</v>
      </c>
      <c r="R545" s="12">
        <f t="shared" ca="1" si="267"/>
        <v>15452</v>
      </c>
      <c r="S545" s="88">
        <f t="shared" si="276"/>
        <v>0</v>
      </c>
      <c r="T545" s="19">
        <f t="shared" si="268"/>
        <v>0</v>
      </c>
      <c r="U545" s="19">
        <f t="shared" si="269"/>
        <v>0</v>
      </c>
      <c r="V545" s="19">
        <f t="shared" si="250"/>
        <v>0</v>
      </c>
      <c r="W545" s="20">
        <f t="shared" ca="1" si="270"/>
        <v>0</v>
      </c>
      <c r="X545" s="19">
        <f t="shared" ca="1" si="271"/>
        <v>0</v>
      </c>
      <c r="Y545" s="19">
        <f t="shared" ca="1" si="272"/>
        <v>0</v>
      </c>
      <c r="Z545" s="20">
        <f t="shared" ca="1" si="273"/>
        <v>0</v>
      </c>
      <c r="AA545" s="1">
        <f t="shared" si="282"/>
        <v>5432.58</v>
      </c>
      <c r="AB545" s="91"/>
      <c r="AC545" s="92"/>
      <c r="AD545" s="101">
        <f t="shared" si="283"/>
        <v>56574</v>
      </c>
      <c r="AE545" s="103">
        <f t="shared" si="284"/>
        <v>0</v>
      </c>
      <c r="AG545" s="1">
        <f t="shared" si="274"/>
        <v>0</v>
      </c>
      <c r="AH545" s="1">
        <f t="shared" si="275"/>
        <v>0</v>
      </c>
      <c r="AI545" s="1">
        <f t="shared" si="285"/>
        <v>5432.58</v>
      </c>
      <c r="AJ545" s="20">
        <f t="shared" si="251"/>
        <v>0</v>
      </c>
      <c r="AK545" s="100">
        <f t="shared" si="258"/>
        <v>0</v>
      </c>
      <c r="AL545" s="100">
        <f t="shared" si="259"/>
        <v>0</v>
      </c>
      <c r="AN545" s="100">
        <f t="shared" si="260"/>
        <v>4184.0446064247499</v>
      </c>
      <c r="AO545" s="20">
        <f t="shared" si="261"/>
        <v>0</v>
      </c>
      <c r="AQ545" s="109">
        <f t="shared" si="262"/>
        <v>0</v>
      </c>
      <c r="AU545" s="109">
        <f t="shared" si="278"/>
        <v>25.862878162945076</v>
      </c>
      <c r="AV545" s="101">
        <f t="shared" si="263"/>
        <v>56604</v>
      </c>
      <c r="AW545" s="99">
        <f t="shared" si="264"/>
        <v>0</v>
      </c>
      <c r="AX545" s="1">
        <f t="shared" si="265"/>
        <v>0</v>
      </c>
      <c r="AY545" s="29">
        <f t="shared" si="266"/>
        <v>0</v>
      </c>
      <c r="AZ545" s="1">
        <f t="shared" si="279"/>
        <v>0</v>
      </c>
      <c r="CB545" s="20">
        <f t="shared" si="252"/>
        <v>0</v>
      </c>
      <c r="CC545" s="173">
        <f t="shared" si="280"/>
        <v>0</v>
      </c>
    </row>
    <row r="546" spans="3:81" x14ac:dyDescent="0.25">
      <c r="C546" s="42"/>
      <c r="D546" s="43"/>
      <c r="E546" s="44"/>
      <c r="F546" s="44"/>
      <c r="G546" s="45"/>
      <c r="H546" s="81" t="str">
        <f t="shared" si="277"/>
        <v/>
      </c>
      <c r="J546" s="9"/>
      <c r="K546" s="10"/>
      <c r="L546" s="17"/>
      <c r="M546" s="23"/>
      <c r="N546" s="23"/>
      <c r="O546" s="23"/>
      <c r="P546" s="23"/>
      <c r="Q546" s="1">
        <f t="shared" si="281"/>
        <v>0.60744618579017706</v>
      </c>
      <c r="R546" s="12">
        <f t="shared" ca="1" si="267"/>
        <v>15482</v>
      </c>
      <c r="S546" s="88">
        <f t="shared" si="276"/>
        <v>0</v>
      </c>
      <c r="T546" s="19">
        <f t="shared" si="268"/>
        <v>0</v>
      </c>
      <c r="U546" s="19">
        <f t="shared" si="269"/>
        <v>0</v>
      </c>
      <c r="V546" s="19">
        <f t="shared" ref="V546:V609" si="286">IF(ISERROR(IF(V545+U546+T546+(V545*Q546/1200)-AA546-P546&lt;0,0,V545+U546+T546-AA546-P546)),0,IF(V545+U546+T546+(V545*Q546/1200)-AA546-CB546&lt;0,0,V545+U546+T546-AA546-CB546))</f>
        <v>0</v>
      </c>
      <c r="W546" s="20">
        <f t="shared" ca="1" si="270"/>
        <v>0</v>
      </c>
      <c r="X546" s="19">
        <f t="shared" ca="1" si="271"/>
        <v>0</v>
      </c>
      <c r="Y546" s="19">
        <f t="shared" ca="1" si="272"/>
        <v>0</v>
      </c>
      <c r="Z546" s="20">
        <f t="shared" ca="1" si="273"/>
        <v>0</v>
      </c>
      <c r="AA546" s="1">
        <f t="shared" si="282"/>
        <v>5432.58</v>
      </c>
      <c r="AB546" s="93"/>
      <c r="AC546" s="94"/>
      <c r="AD546" s="101">
        <f t="shared" si="283"/>
        <v>56604</v>
      </c>
      <c r="AE546" s="103">
        <f t="shared" si="284"/>
        <v>0</v>
      </c>
      <c r="AG546" s="1">
        <f t="shared" si="274"/>
        <v>0</v>
      </c>
      <c r="AH546" s="1">
        <f t="shared" si="275"/>
        <v>0</v>
      </c>
      <c r="AI546" s="1">
        <f t="shared" si="285"/>
        <v>5432.58</v>
      </c>
      <c r="AJ546" s="20">
        <f t="shared" si="251"/>
        <v>0</v>
      </c>
      <c r="AK546" s="100">
        <f t="shared" si="258"/>
        <v>0</v>
      </c>
      <c r="AL546" s="100">
        <f t="shared" si="259"/>
        <v>0</v>
      </c>
      <c r="AN546" s="100">
        <f t="shared" si="260"/>
        <v>4181.9276930694123</v>
      </c>
      <c r="AO546" s="20">
        <f t="shared" si="261"/>
        <v>0</v>
      </c>
      <c r="AQ546" s="109">
        <f t="shared" si="262"/>
        <v>0</v>
      </c>
      <c r="AU546" s="109">
        <f t="shared" si="278"/>
        <v>25.860608176227394</v>
      </c>
      <c r="AV546" s="101">
        <f t="shared" si="263"/>
        <v>56634</v>
      </c>
      <c r="AW546" s="99">
        <f t="shared" si="264"/>
        <v>0</v>
      </c>
      <c r="AX546" s="1">
        <f t="shared" si="265"/>
        <v>0</v>
      </c>
      <c r="AY546" s="29">
        <f t="shared" si="266"/>
        <v>0</v>
      </c>
      <c r="AZ546" s="1">
        <f t="shared" si="279"/>
        <v>0</v>
      </c>
      <c r="CB546" s="20">
        <f t="shared" si="252"/>
        <v>0</v>
      </c>
      <c r="CC546" s="173">
        <f t="shared" si="280"/>
        <v>0</v>
      </c>
    </row>
    <row r="547" spans="3:81" x14ac:dyDescent="0.25">
      <c r="C547" s="42"/>
      <c r="D547" s="43"/>
      <c r="E547" s="44"/>
      <c r="F547" s="44"/>
      <c r="G547" s="45"/>
      <c r="H547" s="81" t="str">
        <f t="shared" si="277"/>
        <v/>
      </c>
      <c r="J547" s="7"/>
      <c r="K547" s="8"/>
      <c r="L547" s="16"/>
      <c r="M547" s="22"/>
      <c r="N547" s="22"/>
      <c r="O547" s="22"/>
      <c r="P547" s="22"/>
      <c r="Q547" s="1">
        <f t="shared" si="281"/>
        <v>0.60744618579017706</v>
      </c>
      <c r="R547" s="12">
        <f t="shared" ca="1" si="267"/>
        <v>15512</v>
      </c>
      <c r="S547" s="88">
        <f t="shared" si="276"/>
        <v>0</v>
      </c>
      <c r="T547" s="19">
        <f t="shared" si="268"/>
        <v>0</v>
      </c>
      <c r="U547" s="19">
        <f t="shared" si="269"/>
        <v>0</v>
      </c>
      <c r="V547" s="19">
        <f t="shared" si="286"/>
        <v>0</v>
      </c>
      <c r="W547" s="20">
        <f t="shared" ca="1" si="270"/>
        <v>0</v>
      </c>
      <c r="X547" s="19">
        <f t="shared" ca="1" si="271"/>
        <v>0</v>
      </c>
      <c r="Y547" s="19">
        <f t="shared" ca="1" si="272"/>
        <v>0</v>
      </c>
      <c r="Z547" s="20">
        <f t="shared" ca="1" si="273"/>
        <v>0</v>
      </c>
      <c r="AA547" s="1">
        <f t="shared" si="282"/>
        <v>5432.58</v>
      </c>
      <c r="AB547" s="91"/>
      <c r="AC547" s="92"/>
      <c r="AD547" s="101">
        <f t="shared" si="283"/>
        <v>56634</v>
      </c>
      <c r="AE547" s="103">
        <f t="shared" si="284"/>
        <v>0</v>
      </c>
      <c r="AG547" s="1">
        <f t="shared" si="274"/>
        <v>0</v>
      </c>
      <c r="AH547" s="1">
        <f t="shared" si="275"/>
        <v>0</v>
      </c>
      <c r="AI547" s="1">
        <f t="shared" si="285"/>
        <v>5432.58</v>
      </c>
      <c r="AJ547" s="20">
        <f t="shared" si="251"/>
        <v>0</v>
      </c>
      <c r="AK547" s="100">
        <f t="shared" si="258"/>
        <v>0</v>
      </c>
      <c r="AL547" s="100">
        <f t="shared" si="259"/>
        <v>0</v>
      </c>
      <c r="AN547" s="100">
        <f t="shared" si="260"/>
        <v>4179.8118507643539</v>
      </c>
      <c r="AO547" s="20">
        <f t="shared" si="261"/>
        <v>0</v>
      </c>
      <c r="AQ547" s="109">
        <f t="shared" si="262"/>
        <v>0</v>
      </c>
      <c r="AU547" s="109">
        <f t="shared" si="278"/>
        <v>25.858338388746603</v>
      </c>
      <c r="AV547" s="101">
        <f t="shared" si="263"/>
        <v>56664</v>
      </c>
      <c r="AW547" s="99">
        <f t="shared" si="264"/>
        <v>0</v>
      </c>
      <c r="AX547" s="1">
        <f t="shared" si="265"/>
        <v>0</v>
      </c>
      <c r="AY547" s="29">
        <f t="shared" si="266"/>
        <v>0</v>
      </c>
      <c r="AZ547" s="1">
        <f t="shared" si="279"/>
        <v>0</v>
      </c>
      <c r="CB547" s="20">
        <f t="shared" si="252"/>
        <v>0</v>
      </c>
      <c r="CC547" s="173">
        <f t="shared" si="280"/>
        <v>0</v>
      </c>
    </row>
    <row r="548" spans="3:81" x14ac:dyDescent="0.25">
      <c r="C548" s="42"/>
      <c r="D548" s="43"/>
      <c r="E548" s="44"/>
      <c r="F548" s="44"/>
      <c r="G548" s="45"/>
      <c r="H548" s="81" t="str">
        <f t="shared" si="277"/>
        <v/>
      </c>
      <c r="J548" s="9"/>
      <c r="K548" s="10"/>
      <c r="L548" s="17"/>
      <c r="M548" s="23"/>
      <c r="N548" s="23"/>
      <c r="O548" s="23"/>
      <c r="P548" s="23"/>
      <c r="Q548" s="1">
        <f t="shared" si="281"/>
        <v>0.60744618579017706</v>
      </c>
      <c r="R548" s="12">
        <f t="shared" ca="1" si="267"/>
        <v>15542</v>
      </c>
      <c r="S548" s="88">
        <f t="shared" si="276"/>
        <v>0</v>
      </c>
      <c r="T548" s="19">
        <f t="shared" si="268"/>
        <v>0</v>
      </c>
      <c r="U548" s="19">
        <f t="shared" si="269"/>
        <v>0</v>
      </c>
      <c r="V548" s="19">
        <f t="shared" si="286"/>
        <v>0</v>
      </c>
      <c r="W548" s="20">
        <f t="shared" ca="1" si="270"/>
        <v>0</v>
      </c>
      <c r="X548" s="19">
        <f t="shared" ca="1" si="271"/>
        <v>0</v>
      </c>
      <c r="Y548" s="19">
        <f t="shared" ca="1" si="272"/>
        <v>0</v>
      </c>
      <c r="Z548" s="20">
        <f t="shared" ca="1" si="273"/>
        <v>0</v>
      </c>
      <c r="AA548" s="1">
        <f t="shared" si="282"/>
        <v>5432.58</v>
      </c>
      <c r="AB548" s="93"/>
      <c r="AC548" s="94"/>
      <c r="AD548" s="101">
        <f t="shared" si="283"/>
        <v>56664</v>
      </c>
      <c r="AE548" s="103">
        <f t="shared" si="284"/>
        <v>0</v>
      </c>
      <c r="AG548" s="1">
        <f t="shared" si="274"/>
        <v>0</v>
      </c>
      <c r="AH548" s="1">
        <f t="shared" si="275"/>
        <v>0</v>
      </c>
      <c r="AI548" s="1">
        <f t="shared" si="285"/>
        <v>5432.58</v>
      </c>
      <c r="AJ548" s="20">
        <f t="shared" si="251"/>
        <v>0</v>
      </c>
      <c r="AK548" s="100">
        <f t="shared" si="258"/>
        <v>0</v>
      </c>
      <c r="AL548" s="100">
        <f t="shared" si="259"/>
        <v>0</v>
      </c>
      <c r="AN548" s="100">
        <f t="shared" si="260"/>
        <v>4177.6970789676825</v>
      </c>
      <c r="AO548" s="20">
        <f t="shared" si="261"/>
        <v>0</v>
      </c>
      <c r="AQ548" s="109">
        <f t="shared" si="262"/>
        <v>0</v>
      </c>
      <c r="AU548" s="109">
        <f t="shared" si="278"/>
        <v>25.856068800485229</v>
      </c>
      <c r="AV548" s="101">
        <f t="shared" si="263"/>
        <v>56694</v>
      </c>
      <c r="AW548" s="99">
        <f t="shared" si="264"/>
        <v>0</v>
      </c>
      <c r="AX548" s="1">
        <f t="shared" si="265"/>
        <v>0</v>
      </c>
      <c r="AY548" s="29">
        <f t="shared" si="266"/>
        <v>0</v>
      </c>
      <c r="AZ548" s="1">
        <f t="shared" si="279"/>
        <v>0</v>
      </c>
      <c r="CB548" s="20">
        <f t="shared" si="252"/>
        <v>0</v>
      </c>
      <c r="CC548" s="173">
        <f t="shared" si="280"/>
        <v>0</v>
      </c>
    </row>
    <row r="549" spans="3:81" x14ac:dyDescent="0.25">
      <c r="C549" s="42"/>
      <c r="D549" s="43"/>
      <c r="E549" s="44"/>
      <c r="F549" s="44"/>
      <c r="G549" s="45"/>
      <c r="H549" s="81" t="str">
        <f t="shared" si="277"/>
        <v/>
      </c>
      <c r="J549" s="7"/>
      <c r="K549" s="8"/>
      <c r="L549" s="16"/>
      <c r="M549" s="22"/>
      <c r="N549" s="22"/>
      <c r="O549" s="22"/>
      <c r="P549" s="22"/>
      <c r="Q549" s="1">
        <f t="shared" si="281"/>
        <v>0.60744618579017706</v>
      </c>
      <c r="R549" s="12">
        <f t="shared" ca="1" si="267"/>
        <v>15572</v>
      </c>
      <c r="S549" s="88">
        <f t="shared" si="276"/>
        <v>0</v>
      </c>
      <c r="T549" s="19">
        <f t="shared" si="268"/>
        <v>0</v>
      </c>
      <c r="U549" s="19">
        <f t="shared" si="269"/>
        <v>0</v>
      </c>
      <c r="V549" s="19">
        <f t="shared" si="286"/>
        <v>0</v>
      </c>
      <c r="W549" s="20">
        <f t="shared" ca="1" si="270"/>
        <v>0</v>
      </c>
      <c r="X549" s="19">
        <f t="shared" ca="1" si="271"/>
        <v>0</v>
      </c>
      <c r="Y549" s="19">
        <f t="shared" ca="1" si="272"/>
        <v>0</v>
      </c>
      <c r="Z549" s="20">
        <f t="shared" ca="1" si="273"/>
        <v>0</v>
      </c>
      <c r="AA549" s="1">
        <f t="shared" si="282"/>
        <v>5432.58</v>
      </c>
      <c r="AB549" s="91"/>
      <c r="AC549" s="92"/>
      <c r="AD549" s="101">
        <f t="shared" si="283"/>
        <v>56694</v>
      </c>
      <c r="AE549" s="103">
        <f t="shared" si="284"/>
        <v>0</v>
      </c>
      <c r="AG549" s="1">
        <f t="shared" si="274"/>
        <v>0</v>
      </c>
      <c r="AH549" s="1">
        <f t="shared" si="275"/>
        <v>0</v>
      </c>
      <c r="AI549" s="1">
        <f t="shared" si="285"/>
        <v>5432.58</v>
      </c>
      <c r="AJ549" s="20">
        <f t="shared" si="251"/>
        <v>0</v>
      </c>
      <c r="AK549" s="100">
        <f t="shared" si="258"/>
        <v>0</v>
      </c>
      <c r="AL549" s="100">
        <f t="shared" si="259"/>
        <v>0</v>
      </c>
      <c r="AN549" s="100">
        <f t="shared" si="260"/>
        <v>4175.5833771377729</v>
      </c>
      <c r="AO549" s="20">
        <f t="shared" si="261"/>
        <v>0</v>
      </c>
      <c r="AQ549" s="109">
        <f t="shared" si="262"/>
        <v>0</v>
      </c>
      <c r="AU549" s="109">
        <f t="shared" si="278"/>
        <v>25.85379941142579</v>
      </c>
      <c r="AV549" s="101">
        <f t="shared" si="263"/>
        <v>56724</v>
      </c>
      <c r="AW549" s="99">
        <f t="shared" si="264"/>
        <v>0</v>
      </c>
      <c r="AX549" s="1">
        <f t="shared" si="265"/>
        <v>0</v>
      </c>
      <c r="AY549" s="29">
        <f t="shared" si="266"/>
        <v>0</v>
      </c>
      <c r="AZ549" s="1">
        <f t="shared" si="279"/>
        <v>0</v>
      </c>
      <c r="CB549" s="20">
        <f t="shared" si="252"/>
        <v>0</v>
      </c>
      <c r="CC549" s="173">
        <f t="shared" si="280"/>
        <v>0</v>
      </c>
    </row>
    <row r="550" spans="3:81" x14ac:dyDescent="0.25">
      <c r="C550" s="42"/>
      <c r="D550" s="43"/>
      <c r="E550" s="44"/>
      <c r="F550" s="44"/>
      <c r="G550" s="45"/>
      <c r="H550" s="81" t="str">
        <f t="shared" si="277"/>
        <v/>
      </c>
      <c r="J550" s="9"/>
      <c r="K550" s="10"/>
      <c r="L550" s="17"/>
      <c r="M550" s="23"/>
      <c r="N550" s="23"/>
      <c r="O550" s="23"/>
      <c r="P550" s="23"/>
      <c r="Q550" s="1">
        <f t="shared" si="281"/>
        <v>0.60744618579017706</v>
      </c>
      <c r="R550" s="12">
        <f t="shared" ca="1" si="267"/>
        <v>15602</v>
      </c>
      <c r="S550" s="88">
        <f t="shared" si="276"/>
        <v>0</v>
      </c>
      <c r="T550" s="19">
        <f t="shared" si="268"/>
        <v>0</v>
      </c>
      <c r="U550" s="19">
        <f t="shared" si="269"/>
        <v>0</v>
      </c>
      <c r="V550" s="19">
        <f t="shared" si="286"/>
        <v>0</v>
      </c>
      <c r="W550" s="20">
        <f t="shared" ca="1" si="270"/>
        <v>0</v>
      </c>
      <c r="X550" s="19">
        <f t="shared" ca="1" si="271"/>
        <v>0</v>
      </c>
      <c r="Y550" s="19">
        <f t="shared" ca="1" si="272"/>
        <v>0</v>
      </c>
      <c r="Z550" s="20">
        <f t="shared" ca="1" si="273"/>
        <v>0</v>
      </c>
      <c r="AA550" s="1">
        <f t="shared" si="282"/>
        <v>5432.58</v>
      </c>
      <c r="AB550" s="93"/>
      <c r="AC550" s="94"/>
      <c r="AD550" s="101">
        <f t="shared" si="283"/>
        <v>56724</v>
      </c>
      <c r="AE550" s="103">
        <f t="shared" si="284"/>
        <v>0</v>
      </c>
      <c r="AG550" s="1">
        <f t="shared" si="274"/>
        <v>0</v>
      </c>
      <c r="AH550" s="1">
        <f t="shared" si="275"/>
        <v>0</v>
      </c>
      <c r="AI550" s="1">
        <f t="shared" si="285"/>
        <v>5432.58</v>
      </c>
      <c r="AJ550" s="20">
        <f t="shared" si="251"/>
        <v>0</v>
      </c>
      <c r="AK550" s="100">
        <f t="shared" si="258"/>
        <v>0</v>
      </c>
      <c r="AL550" s="100">
        <f t="shared" si="259"/>
        <v>0</v>
      </c>
      <c r="AN550" s="100">
        <f t="shared" si="260"/>
        <v>4173.4707447332767</v>
      </c>
      <c r="AO550" s="20">
        <f t="shared" si="261"/>
        <v>0</v>
      </c>
      <c r="AQ550" s="109">
        <f t="shared" si="262"/>
        <v>0</v>
      </c>
      <c r="AU550" s="109">
        <f t="shared" si="278"/>
        <v>25.851530221550789</v>
      </c>
      <c r="AV550" s="101">
        <f t="shared" si="263"/>
        <v>56754</v>
      </c>
      <c r="AW550" s="99">
        <f t="shared" si="264"/>
        <v>0</v>
      </c>
      <c r="AX550" s="1">
        <f t="shared" si="265"/>
        <v>0</v>
      </c>
      <c r="AY550" s="29">
        <f t="shared" si="266"/>
        <v>0</v>
      </c>
      <c r="AZ550" s="1">
        <f t="shared" si="279"/>
        <v>0</v>
      </c>
      <c r="CB550" s="20">
        <f t="shared" si="252"/>
        <v>0</v>
      </c>
      <c r="CC550" s="173">
        <f t="shared" si="280"/>
        <v>0</v>
      </c>
    </row>
    <row r="551" spans="3:81" x14ac:dyDescent="0.25">
      <c r="C551" s="42"/>
      <c r="D551" s="43"/>
      <c r="E551" s="44"/>
      <c r="F551" s="44"/>
      <c r="G551" s="45"/>
      <c r="H551" s="81" t="str">
        <f t="shared" si="277"/>
        <v/>
      </c>
      <c r="J551" s="7"/>
      <c r="K551" s="8"/>
      <c r="L551" s="16"/>
      <c r="M551" s="22"/>
      <c r="N551" s="22"/>
      <c r="O551" s="22"/>
      <c r="P551" s="22"/>
      <c r="Q551" s="1">
        <f t="shared" si="281"/>
        <v>0.60744618579017706</v>
      </c>
      <c r="R551" s="12">
        <f t="shared" ca="1" si="267"/>
        <v>15632</v>
      </c>
      <c r="S551" s="88">
        <f t="shared" si="276"/>
        <v>0</v>
      </c>
      <c r="T551" s="19">
        <f t="shared" si="268"/>
        <v>0</v>
      </c>
      <c r="U551" s="19">
        <f t="shared" si="269"/>
        <v>0</v>
      </c>
      <c r="V551" s="19">
        <f t="shared" si="286"/>
        <v>0</v>
      </c>
      <c r="W551" s="20">
        <f t="shared" ca="1" si="270"/>
        <v>0</v>
      </c>
      <c r="X551" s="19">
        <f t="shared" ca="1" si="271"/>
        <v>0</v>
      </c>
      <c r="Y551" s="19">
        <f t="shared" ca="1" si="272"/>
        <v>0</v>
      </c>
      <c r="Z551" s="20">
        <f t="shared" ca="1" si="273"/>
        <v>0</v>
      </c>
      <c r="AA551" s="1">
        <f t="shared" si="282"/>
        <v>5432.58</v>
      </c>
      <c r="AB551" s="91"/>
      <c r="AC551" s="92"/>
      <c r="AD551" s="101">
        <f t="shared" si="283"/>
        <v>56754</v>
      </c>
      <c r="AE551" s="103">
        <f t="shared" si="284"/>
        <v>0</v>
      </c>
      <c r="AG551" s="1">
        <f t="shared" si="274"/>
        <v>0</v>
      </c>
      <c r="AH551" s="1">
        <f t="shared" si="275"/>
        <v>0</v>
      </c>
      <c r="AI551" s="1">
        <f t="shared" si="285"/>
        <v>5432.58</v>
      </c>
      <c r="AJ551" s="20">
        <f t="shared" si="251"/>
        <v>0</v>
      </c>
      <c r="AK551" s="100">
        <f t="shared" si="258"/>
        <v>0</v>
      </c>
      <c r="AL551" s="100">
        <f t="shared" si="259"/>
        <v>0</v>
      </c>
      <c r="AN551" s="100">
        <f t="shared" si="260"/>
        <v>4171.359181213119</v>
      </c>
      <c r="AO551" s="20">
        <f t="shared" si="261"/>
        <v>0</v>
      </c>
      <c r="AQ551" s="109">
        <f t="shared" si="262"/>
        <v>0</v>
      </c>
      <c r="AU551" s="109">
        <f t="shared" si="278"/>
        <v>25.84926123084275</v>
      </c>
      <c r="AV551" s="101">
        <f t="shared" si="263"/>
        <v>56784</v>
      </c>
      <c r="AW551" s="99">
        <f t="shared" si="264"/>
        <v>0</v>
      </c>
      <c r="AX551" s="1">
        <f t="shared" si="265"/>
        <v>0</v>
      </c>
      <c r="AY551" s="29">
        <f t="shared" si="266"/>
        <v>0</v>
      </c>
      <c r="AZ551" s="1">
        <f t="shared" si="279"/>
        <v>0</v>
      </c>
      <c r="CB551" s="20">
        <f t="shared" si="252"/>
        <v>0</v>
      </c>
      <c r="CC551" s="173">
        <f t="shared" si="280"/>
        <v>0</v>
      </c>
    </row>
    <row r="552" spans="3:81" x14ac:dyDescent="0.25">
      <c r="C552" s="42"/>
      <c r="D552" s="43"/>
      <c r="E552" s="44"/>
      <c r="F552" s="44"/>
      <c r="G552" s="45"/>
      <c r="H552" s="81" t="str">
        <f t="shared" si="277"/>
        <v/>
      </c>
      <c r="J552" s="9"/>
      <c r="K552" s="10"/>
      <c r="L552" s="17"/>
      <c r="M552" s="23"/>
      <c r="N552" s="23"/>
      <c r="O552" s="23"/>
      <c r="P552" s="23"/>
      <c r="Q552" s="1">
        <f t="shared" si="281"/>
        <v>0.60744618579017706</v>
      </c>
      <c r="R552" s="12">
        <f t="shared" ca="1" si="267"/>
        <v>15662</v>
      </c>
      <c r="S552" s="88">
        <f t="shared" si="276"/>
        <v>0</v>
      </c>
      <c r="T552" s="19">
        <f t="shared" si="268"/>
        <v>0</v>
      </c>
      <c r="U552" s="19">
        <f t="shared" si="269"/>
        <v>0</v>
      </c>
      <c r="V552" s="19">
        <f t="shared" si="286"/>
        <v>0</v>
      </c>
      <c r="W552" s="20">
        <f t="shared" ca="1" si="270"/>
        <v>0</v>
      </c>
      <c r="X552" s="19">
        <f t="shared" ca="1" si="271"/>
        <v>0</v>
      </c>
      <c r="Y552" s="19">
        <f t="shared" ca="1" si="272"/>
        <v>0</v>
      </c>
      <c r="Z552" s="20">
        <f t="shared" ca="1" si="273"/>
        <v>0</v>
      </c>
      <c r="AA552" s="1">
        <f t="shared" si="282"/>
        <v>5432.58</v>
      </c>
      <c r="AB552" s="93"/>
      <c r="AC552" s="94"/>
      <c r="AD552" s="101">
        <f t="shared" si="283"/>
        <v>56784</v>
      </c>
      <c r="AE552" s="103">
        <f t="shared" si="284"/>
        <v>0</v>
      </c>
      <c r="AG552" s="1">
        <f t="shared" si="274"/>
        <v>0</v>
      </c>
      <c r="AH552" s="1">
        <f t="shared" si="275"/>
        <v>0</v>
      </c>
      <c r="AI552" s="1">
        <f t="shared" si="285"/>
        <v>5432.58</v>
      </c>
      <c r="AJ552" s="20">
        <f t="shared" ref="AJ552:AJ615" si="287">IF(ISERROR(IF(V551+U552+T552+(V551*Q552/1200)-AA552-P552&lt;0,V551,-(U552+T552-AA552+P552-AH552))),0,IF(V551+U552+T552+(V551*Q552/1200)-AA552-P552&lt;0,0,-(U552+T552-AA552-AH552)))</f>
        <v>0</v>
      </c>
      <c r="AK552" s="100">
        <f t="shared" si="258"/>
        <v>0</v>
      </c>
      <c r="AL552" s="100">
        <f t="shared" si="259"/>
        <v>0</v>
      </c>
      <c r="AN552" s="100">
        <f t="shared" si="260"/>
        <v>4169.2486860364988</v>
      </c>
      <c r="AO552" s="20">
        <f t="shared" si="261"/>
        <v>0</v>
      </c>
      <c r="AQ552" s="109">
        <f t="shared" si="262"/>
        <v>0</v>
      </c>
      <c r="AU552" s="109">
        <f t="shared" si="278"/>
        <v>25.846992439284197</v>
      </c>
      <c r="AV552" s="101">
        <f t="shared" si="263"/>
        <v>56814</v>
      </c>
      <c r="AW552" s="99">
        <f t="shared" si="264"/>
        <v>0</v>
      </c>
      <c r="AX552" s="1">
        <f t="shared" si="265"/>
        <v>0</v>
      </c>
      <c r="AY552" s="29">
        <f t="shared" si="266"/>
        <v>0</v>
      </c>
      <c r="AZ552" s="1">
        <f t="shared" si="279"/>
        <v>0</v>
      </c>
      <c r="CB552" s="20">
        <f t="shared" si="252"/>
        <v>0</v>
      </c>
      <c r="CC552" s="173">
        <f t="shared" si="280"/>
        <v>0</v>
      </c>
    </row>
    <row r="553" spans="3:81" x14ac:dyDescent="0.25">
      <c r="C553" s="42"/>
      <c r="D553" s="43"/>
      <c r="E553" s="44"/>
      <c r="F553" s="44"/>
      <c r="G553" s="45"/>
      <c r="H553" s="81" t="str">
        <f t="shared" si="277"/>
        <v/>
      </c>
      <c r="J553" s="7"/>
      <c r="K553" s="8"/>
      <c r="L553" s="16"/>
      <c r="M553" s="22"/>
      <c r="N553" s="22"/>
      <c r="O553" s="22"/>
      <c r="P553" s="22"/>
      <c r="Q553" s="1">
        <f t="shared" si="281"/>
        <v>0.60744618579017706</v>
      </c>
      <c r="R553" s="12">
        <f t="shared" ca="1" si="267"/>
        <v>15692</v>
      </c>
      <c r="S553" s="88">
        <f t="shared" si="276"/>
        <v>0</v>
      </c>
      <c r="T553" s="19">
        <f t="shared" si="268"/>
        <v>0</v>
      </c>
      <c r="U553" s="19">
        <f t="shared" si="269"/>
        <v>0</v>
      </c>
      <c r="V553" s="19">
        <f t="shared" si="286"/>
        <v>0</v>
      </c>
      <c r="W553" s="20">
        <f t="shared" ca="1" si="270"/>
        <v>0</v>
      </c>
      <c r="X553" s="19">
        <f t="shared" ca="1" si="271"/>
        <v>0</v>
      </c>
      <c r="Y553" s="19">
        <f t="shared" ca="1" si="272"/>
        <v>0</v>
      </c>
      <c r="Z553" s="20">
        <f t="shared" ca="1" si="273"/>
        <v>0</v>
      </c>
      <c r="AA553" s="1">
        <f t="shared" si="282"/>
        <v>5432.58</v>
      </c>
      <c r="AB553" s="91"/>
      <c r="AC553" s="92"/>
      <c r="AD553" s="101">
        <f t="shared" si="283"/>
        <v>56814</v>
      </c>
      <c r="AE553" s="103">
        <f t="shared" si="284"/>
        <v>0</v>
      </c>
      <c r="AG553" s="1">
        <f t="shared" si="274"/>
        <v>0</v>
      </c>
      <c r="AH553" s="1">
        <f t="shared" si="275"/>
        <v>0</v>
      </c>
      <c r="AI553" s="1">
        <f t="shared" si="285"/>
        <v>5432.58</v>
      </c>
      <c r="AJ553" s="20">
        <f t="shared" si="287"/>
        <v>0</v>
      </c>
      <c r="AK553" s="100">
        <f t="shared" si="258"/>
        <v>0</v>
      </c>
      <c r="AL553" s="100">
        <f t="shared" si="259"/>
        <v>0</v>
      </c>
      <c r="AN553" s="100">
        <f t="shared" si="260"/>
        <v>4167.139258662889</v>
      </c>
      <c r="AO553" s="20">
        <f t="shared" si="261"/>
        <v>0</v>
      </c>
      <c r="AQ553" s="109">
        <f t="shared" si="262"/>
        <v>0</v>
      </c>
      <c r="AU553" s="109">
        <f t="shared" si="278"/>
        <v>25.844723846857644</v>
      </c>
      <c r="AV553" s="101">
        <f t="shared" si="263"/>
        <v>56844</v>
      </c>
      <c r="AW553" s="99">
        <f t="shared" si="264"/>
        <v>0</v>
      </c>
      <c r="AX553" s="1">
        <f t="shared" si="265"/>
        <v>0</v>
      </c>
      <c r="AY553" s="29">
        <f t="shared" si="266"/>
        <v>0</v>
      </c>
      <c r="AZ553" s="1">
        <f t="shared" si="279"/>
        <v>0</v>
      </c>
      <c r="CB553" s="20">
        <f t="shared" si="252"/>
        <v>0</v>
      </c>
      <c r="CC553" s="173">
        <f t="shared" si="280"/>
        <v>0</v>
      </c>
    </row>
    <row r="554" spans="3:81" x14ac:dyDescent="0.25">
      <c r="C554" s="42"/>
      <c r="D554" s="43"/>
      <c r="E554" s="44"/>
      <c r="F554" s="44"/>
      <c r="G554" s="45"/>
      <c r="H554" s="81" t="str">
        <f t="shared" si="277"/>
        <v/>
      </c>
      <c r="J554" s="9"/>
      <c r="K554" s="10"/>
      <c r="L554" s="17"/>
      <c r="M554" s="23"/>
      <c r="N554" s="23"/>
      <c r="O554" s="23"/>
      <c r="P554" s="23"/>
      <c r="Q554" s="1">
        <f t="shared" si="281"/>
        <v>0.60744618579017706</v>
      </c>
      <c r="R554" s="12">
        <f t="shared" ca="1" si="267"/>
        <v>15722</v>
      </c>
      <c r="S554" s="88">
        <f t="shared" si="276"/>
        <v>0</v>
      </c>
      <c r="T554" s="19">
        <f t="shared" si="268"/>
        <v>0</v>
      </c>
      <c r="U554" s="19">
        <f t="shared" si="269"/>
        <v>0</v>
      </c>
      <c r="V554" s="19">
        <f t="shared" si="286"/>
        <v>0</v>
      </c>
      <c r="W554" s="20">
        <f t="shared" ca="1" si="270"/>
        <v>0</v>
      </c>
      <c r="X554" s="19">
        <f t="shared" ca="1" si="271"/>
        <v>0</v>
      </c>
      <c r="Y554" s="19">
        <f t="shared" ca="1" si="272"/>
        <v>0</v>
      </c>
      <c r="Z554" s="20">
        <f t="shared" ca="1" si="273"/>
        <v>0</v>
      </c>
      <c r="AA554" s="1">
        <f t="shared" si="282"/>
        <v>5432.58</v>
      </c>
      <c r="AB554" s="93"/>
      <c r="AC554" s="94"/>
      <c r="AD554" s="101">
        <f t="shared" si="283"/>
        <v>56844</v>
      </c>
      <c r="AE554" s="103">
        <f t="shared" si="284"/>
        <v>0</v>
      </c>
      <c r="AG554" s="1">
        <f t="shared" si="274"/>
        <v>0</v>
      </c>
      <c r="AH554" s="1">
        <f t="shared" si="275"/>
        <v>0</v>
      </c>
      <c r="AI554" s="1">
        <f t="shared" si="285"/>
        <v>5432.58</v>
      </c>
      <c r="AJ554" s="20">
        <f t="shared" si="287"/>
        <v>0</v>
      </c>
      <c r="AK554" s="100">
        <f t="shared" si="258"/>
        <v>0</v>
      </c>
      <c r="AL554" s="100">
        <f t="shared" si="259"/>
        <v>0</v>
      </c>
      <c r="AN554" s="100">
        <f t="shared" si="260"/>
        <v>4165.0308985520351</v>
      </c>
      <c r="AO554" s="20">
        <f t="shared" si="261"/>
        <v>0</v>
      </c>
      <c r="AQ554" s="109">
        <f t="shared" si="262"/>
        <v>0</v>
      </c>
      <c r="AU554" s="109">
        <f t="shared" si="278"/>
        <v>25.842455453545604</v>
      </c>
      <c r="AV554" s="101">
        <f t="shared" si="263"/>
        <v>56874</v>
      </c>
      <c r="AW554" s="99">
        <f t="shared" si="264"/>
        <v>0</v>
      </c>
      <c r="AX554" s="1">
        <f t="shared" si="265"/>
        <v>0</v>
      </c>
      <c r="AY554" s="29">
        <f t="shared" si="266"/>
        <v>0</v>
      </c>
      <c r="AZ554" s="1">
        <f t="shared" si="279"/>
        <v>0</v>
      </c>
      <c r="CB554" s="20">
        <f t="shared" si="252"/>
        <v>0</v>
      </c>
      <c r="CC554" s="173">
        <f t="shared" si="280"/>
        <v>0</v>
      </c>
    </row>
    <row r="555" spans="3:81" x14ac:dyDescent="0.25">
      <c r="C555" s="42"/>
      <c r="D555" s="43"/>
      <c r="E555" s="44"/>
      <c r="F555" s="44"/>
      <c r="G555" s="45"/>
      <c r="H555" s="81" t="str">
        <f t="shared" si="277"/>
        <v/>
      </c>
      <c r="J555" s="7"/>
      <c r="K555" s="8"/>
      <c r="L555" s="16"/>
      <c r="M555" s="22"/>
      <c r="N555" s="22"/>
      <c r="O555" s="22"/>
      <c r="P555" s="22"/>
      <c r="Q555" s="1">
        <f t="shared" si="281"/>
        <v>0.60744618579017706</v>
      </c>
      <c r="R555" s="12">
        <f t="shared" ca="1" si="267"/>
        <v>15752</v>
      </c>
      <c r="S555" s="88">
        <f t="shared" si="276"/>
        <v>0</v>
      </c>
      <c r="T555" s="19">
        <f t="shared" si="268"/>
        <v>0</v>
      </c>
      <c r="U555" s="19">
        <f t="shared" si="269"/>
        <v>0</v>
      </c>
      <c r="V555" s="19">
        <f t="shared" si="286"/>
        <v>0</v>
      </c>
      <c r="W555" s="20">
        <f t="shared" ca="1" si="270"/>
        <v>0</v>
      </c>
      <c r="X555" s="19">
        <f t="shared" ca="1" si="271"/>
        <v>0</v>
      </c>
      <c r="Y555" s="19">
        <f t="shared" ca="1" si="272"/>
        <v>0</v>
      </c>
      <c r="Z555" s="20">
        <f t="shared" ca="1" si="273"/>
        <v>0</v>
      </c>
      <c r="AA555" s="1">
        <f t="shared" si="282"/>
        <v>5432.58</v>
      </c>
      <c r="AB555" s="91"/>
      <c r="AC555" s="92"/>
      <c r="AD555" s="101">
        <f t="shared" si="283"/>
        <v>56874</v>
      </c>
      <c r="AE555" s="103">
        <f t="shared" si="284"/>
        <v>0</v>
      </c>
      <c r="AG555" s="1">
        <f t="shared" si="274"/>
        <v>0</v>
      </c>
      <c r="AH555" s="1">
        <f t="shared" si="275"/>
        <v>0</v>
      </c>
      <c r="AI555" s="1">
        <f t="shared" si="285"/>
        <v>5432.58</v>
      </c>
      <c r="AJ555" s="20">
        <f t="shared" si="287"/>
        <v>0</v>
      </c>
      <c r="AK555" s="100">
        <f t="shared" si="258"/>
        <v>0</v>
      </c>
      <c r="AL555" s="100">
        <f t="shared" si="259"/>
        <v>0</v>
      </c>
      <c r="AN555" s="100">
        <f t="shared" si="260"/>
        <v>4162.9236051639573</v>
      </c>
      <c r="AO555" s="20">
        <f t="shared" si="261"/>
        <v>0</v>
      </c>
      <c r="AQ555" s="109">
        <f t="shared" si="262"/>
        <v>0</v>
      </c>
      <c r="AU555" s="109">
        <f t="shared" si="278"/>
        <v>25.840187259330623</v>
      </c>
      <c r="AV555" s="101">
        <f t="shared" si="263"/>
        <v>56904</v>
      </c>
      <c r="AW555" s="99">
        <f t="shared" si="264"/>
        <v>0</v>
      </c>
      <c r="AX555" s="1">
        <f t="shared" si="265"/>
        <v>0</v>
      </c>
      <c r="AY555" s="29">
        <f t="shared" si="266"/>
        <v>0</v>
      </c>
      <c r="AZ555" s="1">
        <f t="shared" si="279"/>
        <v>0</v>
      </c>
      <c r="CB555" s="20">
        <f t="shared" si="252"/>
        <v>0</v>
      </c>
      <c r="CC555" s="173">
        <f t="shared" si="280"/>
        <v>0</v>
      </c>
    </row>
    <row r="556" spans="3:81" x14ac:dyDescent="0.25">
      <c r="C556" s="42"/>
      <c r="D556" s="43"/>
      <c r="E556" s="44"/>
      <c r="F556" s="44"/>
      <c r="G556" s="45"/>
      <c r="H556" s="81" t="str">
        <f t="shared" si="277"/>
        <v/>
      </c>
      <c r="J556" s="9"/>
      <c r="K556" s="10"/>
      <c r="L556" s="17"/>
      <c r="M556" s="23"/>
      <c r="N556" s="23"/>
      <c r="O556" s="23"/>
      <c r="P556" s="23"/>
      <c r="Q556" s="1">
        <f t="shared" si="281"/>
        <v>0.60744618579017706</v>
      </c>
      <c r="R556" s="12">
        <f t="shared" ca="1" si="267"/>
        <v>15782</v>
      </c>
      <c r="S556" s="88">
        <f t="shared" si="276"/>
        <v>0</v>
      </c>
      <c r="T556" s="19">
        <f t="shared" si="268"/>
        <v>0</v>
      </c>
      <c r="U556" s="19">
        <f t="shared" si="269"/>
        <v>0</v>
      </c>
      <c r="V556" s="19">
        <f t="shared" si="286"/>
        <v>0</v>
      </c>
      <c r="W556" s="20">
        <f t="shared" ca="1" si="270"/>
        <v>0</v>
      </c>
      <c r="X556" s="19">
        <f t="shared" ca="1" si="271"/>
        <v>0</v>
      </c>
      <c r="Y556" s="19">
        <f t="shared" ca="1" si="272"/>
        <v>0</v>
      </c>
      <c r="Z556" s="20">
        <f t="shared" ca="1" si="273"/>
        <v>0</v>
      </c>
      <c r="AA556" s="1">
        <f t="shared" si="282"/>
        <v>5432.58</v>
      </c>
      <c r="AB556" s="93"/>
      <c r="AC556" s="94"/>
      <c r="AD556" s="101">
        <f t="shared" si="283"/>
        <v>56904</v>
      </c>
      <c r="AE556" s="103">
        <f t="shared" si="284"/>
        <v>0</v>
      </c>
      <c r="AG556" s="1">
        <f t="shared" si="274"/>
        <v>0</v>
      </c>
      <c r="AH556" s="1">
        <f t="shared" si="275"/>
        <v>0</v>
      </c>
      <c r="AI556" s="1">
        <f t="shared" si="285"/>
        <v>5432.58</v>
      </c>
      <c r="AJ556" s="20">
        <f t="shared" si="287"/>
        <v>0</v>
      </c>
      <c r="AK556" s="100">
        <f t="shared" si="258"/>
        <v>0</v>
      </c>
      <c r="AL556" s="100">
        <f t="shared" si="259"/>
        <v>0</v>
      </c>
      <c r="AN556" s="100">
        <f t="shared" si="260"/>
        <v>4160.8173779589479</v>
      </c>
      <c r="AO556" s="20">
        <f t="shared" si="261"/>
        <v>0</v>
      </c>
      <c r="AQ556" s="109">
        <f t="shared" si="262"/>
        <v>0</v>
      </c>
      <c r="AU556" s="109">
        <f t="shared" si="278"/>
        <v>25.837919264195222</v>
      </c>
      <c r="AV556" s="101">
        <f t="shared" si="263"/>
        <v>56934</v>
      </c>
      <c r="AW556" s="99">
        <f t="shared" si="264"/>
        <v>0</v>
      </c>
      <c r="AX556" s="1">
        <f t="shared" si="265"/>
        <v>0</v>
      </c>
      <c r="AY556" s="29">
        <f t="shared" si="266"/>
        <v>0</v>
      </c>
      <c r="AZ556" s="1">
        <f t="shared" si="279"/>
        <v>0</v>
      </c>
      <c r="CB556" s="20">
        <f t="shared" si="252"/>
        <v>0</v>
      </c>
      <c r="CC556" s="173">
        <f t="shared" si="280"/>
        <v>0</v>
      </c>
    </row>
    <row r="557" spans="3:81" x14ac:dyDescent="0.25">
      <c r="C557" s="42"/>
      <c r="D557" s="43"/>
      <c r="E557" s="44"/>
      <c r="F557" s="44"/>
      <c r="G557" s="45"/>
      <c r="H557" s="81" t="str">
        <f t="shared" si="277"/>
        <v/>
      </c>
      <c r="J557" s="7"/>
      <c r="K557" s="8"/>
      <c r="L557" s="16"/>
      <c r="M557" s="22"/>
      <c r="N557" s="22"/>
      <c r="O557" s="22"/>
      <c r="P557" s="22"/>
      <c r="Q557" s="1">
        <f t="shared" si="281"/>
        <v>0.60744618579017706</v>
      </c>
      <c r="R557" s="12">
        <f t="shared" ca="1" si="267"/>
        <v>15812</v>
      </c>
      <c r="S557" s="88">
        <f t="shared" si="276"/>
        <v>0</v>
      </c>
      <c r="T557" s="19">
        <f t="shared" si="268"/>
        <v>0</v>
      </c>
      <c r="U557" s="19">
        <f t="shared" si="269"/>
        <v>0</v>
      </c>
      <c r="V557" s="19">
        <f t="shared" si="286"/>
        <v>0</v>
      </c>
      <c r="W557" s="20">
        <f t="shared" ca="1" si="270"/>
        <v>0</v>
      </c>
      <c r="X557" s="19">
        <f t="shared" ca="1" si="271"/>
        <v>0</v>
      </c>
      <c r="Y557" s="19">
        <f t="shared" ca="1" si="272"/>
        <v>0</v>
      </c>
      <c r="Z557" s="20">
        <f t="shared" ca="1" si="273"/>
        <v>0</v>
      </c>
      <c r="AA557" s="1">
        <f t="shared" si="282"/>
        <v>5432.58</v>
      </c>
      <c r="AB557" s="91"/>
      <c r="AC557" s="92"/>
      <c r="AD557" s="101">
        <f t="shared" si="283"/>
        <v>56934</v>
      </c>
      <c r="AE557" s="103">
        <f t="shared" si="284"/>
        <v>0</v>
      </c>
      <c r="AG557" s="1">
        <f t="shared" si="274"/>
        <v>0</v>
      </c>
      <c r="AH557" s="1">
        <f t="shared" si="275"/>
        <v>0</v>
      </c>
      <c r="AI557" s="1">
        <f t="shared" si="285"/>
        <v>5432.58</v>
      </c>
      <c r="AJ557" s="20">
        <f t="shared" si="287"/>
        <v>0</v>
      </c>
      <c r="AK557" s="100">
        <f t="shared" si="258"/>
        <v>0</v>
      </c>
      <c r="AL557" s="100">
        <f t="shared" si="259"/>
        <v>0</v>
      </c>
      <c r="AN557" s="100">
        <f t="shared" si="260"/>
        <v>4158.7122163975737</v>
      </c>
      <c r="AO557" s="20">
        <f t="shared" si="261"/>
        <v>0</v>
      </c>
      <c r="AQ557" s="109">
        <f t="shared" si="262"/>
        <v>0</v>
      </c>
      <c r="AU557" s="109">
        <f t="shared" si="278"/>
        <v>25.835651468121906</v>
      </c>
      <c r="AV557" s="101">
        <f t="shared" si="263"/>
        <v>56964</v>
      </c>
      <c r="AW557" s="99">
        <f t="shared" si="264"/>
        <v>0</v>
      </c>
      <c r="AX557" s="1">
        <f t="shared" si="265"/>
        <v>0</v>
      </c>
      <c r="AY557" s="29">
        <f t="shared" si="266"/>
        <v>0</v>
      </c>
      <c r="AZ557" s="1">
        <f t="shared" si="279"/>
        <v>0</v>
      </c>
      <c r="CB557" s="20">
        <f t="shared" si="252"/>
        <v>0</v>
      </c>
      <c r="CC557" s="173">
        <f t="shared" si="280"/>
        <v>0</v>
      </c>
    </row>
    <row r="558" spans="3:81" x14ac:dyDescent="0.25">
      <c r="C558" s="42"/>
      <c r="D558" s="43"/>
      <c r="E558" s="44"/>
      <c r="F558" s="44"/>
      <c r="G558" s="45"/>
      <c r="H558" s="81" t="str">
        <f t="shared" si="277"/>
        <v/>
      </c>
      <c r="J558" s="9"/>
      <c r="K558" s="10"/>
      <c r="L558" s="17"/>
      <c r="M558" s="23"/>
      <c r="N558" s="23"/>
      <c r="O558" s="23"/>
      <c r="P558" s="23"/>
      <c r="Q558" s="1">
        <f t="shared" si="281"/>
        <v>0.60744618579017706</v>
      </c>
      <c r="R558" s="12">
        <f t="shared" ca="1" si="267"/>
        <v>15842</v>
      </c>
      <c r="S558" s="88">
        <f t="shared" si="276"/>
        <v>0</v>
      </c>
      <c r="T558" s="19">
        <f t="shared" si="268"/>
        <v>0</v>
      </c>
      <c r="U558" s="19">
        <f t="shared" si="269"/>
        <v>0</v>
      </c>
      <c r="V558" s="19">
        <f t="shared" si="286"/>
        <v>0</v>
      </c>
      <c r="W558" s="20">
        <f t="shared" ca="1" si="270"/>
        <v>0</v>
      </c>
      <c r="X558" s="19">
        <f t="shared" ca="1" si="271"/>
        <v>0</v>
      </c>
      <c r="Y558" s="19">
        <f t="shared" ca="1" si="272"/>
        <v>0</v>
      </c>
      <c r="Z558" s="20">
        <f t="shared" ca="1" si="273"/>
        <v>0</v>
      </c>
      <c r="AA558" s="1">
        <f t="shared" si="282"/>
        <v>5432.58</v>
      </c>
      <c r="AB558" s="93"/>
      <c r="AC558" s="94"/>
      <c r="AD558" s="101">
        <f t="shared" si="283"/>
        <v>56964</v>
      </c>
      <c r="AE558" s="103">
        <f t="shared" si="284"/>
        <v>0</v>
      </c>
      <c r="AG558" s="1">
        <f t="shared" si="274"/>
        <v>0</v>
      </c>
      <c r="AH558" s="1">
        <f t="shared" si="275"/>
        <v>0</v>
      </c>
      <c r="AI558" s="1">
        <f t="shared" si="285"/>
        <v>5432.58</v>
      </c>
      <c r="AJ558" s="20">
        <f t="shared" si="287"/>
        <v>0</v>
      </c>
      <c r="AK558" s="100">
        <f t="shared" si="258"/>
        <v>0</v>
      </c>
      <c r="AL558" s="100">
        <f t="shared" si="259"/>
        <v>0</v>
      </c>
      <c r="AN558" s="100">
        <f t="shared" si="260"/>
        <v>4156.6081199406708</v>
      </c>
      <c r="AO558" s="20">
        <f t="shared" si="261"/>
        <v>0</v>
      </c>
      <c r="AQ558" s="109">
        <f t="shared" si="262"/>
        <v>0</v>
      </c>
      <c r="AU558" s="109">
        <f t="shared" si="278"/>
        <v>25.833383871093226</v>
      </c>
      <c r="AV558" s="101">
        <f t="shared" si="263"/>
        <v>56994</v>
      </c>
      <c r="AW558" s="99">
        <f t="shared" si="264"/>
        <v>0</v>
      </c>
      <c r="AX558" s="1">
        <f t="shared" si="265"/>
        <v>0</v>
      </c>
      <c r="AY558" s="29">
        <f t="shared" si="266"/>
        <v>0</v>
      </c>
      <c r="AZ558" s="1">
        <f t="shared" si="279"/>
        <v>0</v>
      </c>
      <c r="CB558" s="20">
        <f t="shared" ref="CB558:CB621" si="288">IF(O558=0,IF(P558&gt;0,V557,IF(O557=0,0,P558)),IF(O557=0,0,P558))</f>
        <v>0</v>
      </c>
      <c r="CC558" s="173">
        <f t="shared" si="280"/>
        <v>0</v>
      </c>
    </row>
    <row r="559" spans="3:81" x14ac:dyDescent="0.25">
      <c r="C559" s="42"/>
      <c r="D559" s="43"/>
      <c r="E559" s="44"/>
      <c r="F559" s="44"/>
      <c r="G559" s="45"/>
      <c r="H559" s="81" t="str">
        <f t="shared" si="277"/>
        <v/>
      </c>
      <c r="J559" s="7"/>
      <c r="K559" s="8"/>
      <c r="L559" s="16"/>
      <c r="M559" s="22"/>
      <c r="N559" s="22"/>
      <c r="O559" s="22"/>
      <c r="P559" s="22"/>
      <c r="Q559" s="1">
        <f t="shared" si="281"/>
        <v>0.60744618579017706</v>
      </c>
      <c r="R559" s="12">
        <f t="shared" ca="1" si="267"/>
        <v>15872</v>
      </c>
      <c r="S559" s="88">
        <f t="shared" si="276"/>
        <v>0</v>
      </c>
      <c r="T559" s="19">
        <f t="shared" si="268"/>
        <v>0</v>
      </c>
      <c r="U559" s="19">
        <f t="shared" si="269"/>
        <v>0</v>
      </c>
      <c r="V559" s="19">
        <f t="shared" si="286"/>
        <v>0</v>
      </c>
      <c r="W559" s="20">
        <f t="shared" ca="1" si="270"/>
        <v>0</v>
      </c>
      <c r="X559" s="19">
        <f t="shared" ca="1" si="271"/>
        <v>0</v>
      </c>
      <c r="Y559" s="19">
        <f t="shared" ca="1" si="272"/>
        <v>0</v>
      </c>
      <c r="Z559" s="20">
        <f t="shared" ca="1" si="273"/>
        <v>0</v>
      </c>
      <c r="AA559" s="1">
        <f t="shared" si="282"/>
        <v>5432.58</v>
      </c>
      <c r="AB559" s="91"/>
      <c r="AC559" s="92"/>
      <c r="AD559" s="101">
        <f t="shared" si="283"/>
        <v>56994</v>
      </c>
      <c r="AE559" s="103">
        <f t="shared" si="284"/>
        <v>0</v>
      </c>
      <c r="AG559" s="1">
        <f t="shared" si="274"/>
        <v>0</v>
      </c>
      <c r="AH559" s="1">
        <f t="shared" si="275"/>
        <v>0</v>
      </c>
      <c r="AI559" s="1">
        <f t="shared" si="285"/>
        <v>5432.58</v>
      </c>
      <c r="AJ559" s="20">
        <f t="shared" si="287"/>
        <v>0</v>
      </c>
      <c r="AK559" s="100">
        <f t="shared" si="258"/>
        <v>0</v>
      </c>
      <c r="AL559" s="100">
        <f t="shared" si="259"/>
        <v>0</v>
      </c>
      <c r="AN559" s="100">
        <f t="shared" si="260"/>
        <v>4154.5050880493527</v>
      </c>
      <c r="AO559" s="20">
        <f t="shared" si="261"/>
        <v>0</v>
      </c>
      <c r="AQ559" s="109">
        <f t="shared" si="262"/>
        <v>0</v>
      </c>
      <c r="AU559" s="109">
        <f t="shared" si="278"/>
        <v>25.831116473091697</v>
      </c>
      <c r="AV559" s="101">
        <f t="shared" si="263"/>
        <v>57024</v>
      </c>
      <c r="AW559" s="99">
        <f t="shared" si="264"/>
        <v>0</v>
      </c>
      <c r="AX559" s="1">
        <f t="shared" si="265"/>
        <v>0</v>
      </c>
      <c r="AY559" s="29">
        <f t="shared" si="266"/>
        <v>0</v>
      </c>
      <c r="AZ559" s="1">
        <f t="shared" si="279"/>
        <v>0</v>
      </c>
      <c r="CB559" s="20">
        <f t="shared" si="288"/>
        <v>0</v>
      </c>
      <c r="CC559" s="173">
        <f t="shared" si="280"/>
        <v>0</v>
      </c>
    </row>
    <row r="560" spans="3:81" x14ac:dyDescent="0.25">
      <c r="C560" s="42"/>
      <c r="D560" s="43"/>
      <c r="E560" s="44"/>
      <c r="F560" s="44"/>
      <c r="G560" s="45"/>
      <c r="H560" s="81" t="str">
        <f t="shared" si="277"/>
        <v/>
      </c>
      <c r="J560" s="9"/>
      <c r="K560" s="10"/>
      <c r="L560" s="17"/>
      <c r="M560" s="23"/>
      <c r="N560" s="23"/>
      <c r="O560" s="23"/>
      <c r="P560" s="23"/>
      <c r="Q560" s="1">
        <f t="shared" si="281"/>
        <v>0.60744618579017706</v>
      </c>
      <c r="R560" s="12">
        <f t="shared" ca="1" si="267"/>
        <v>15902</v>
      </c>
      <c r="S560" s="88">
        <f t="shared" si="276"/>
        <v>0</v>
      </c>
      <c r="T560" s="19">
        <f t="shared" si="268"/>
        <v>0</v>
      </c>
      <c r="U560" s="19">
        <f t="shared" si="269"/>
        <v>0</v>
      </c>
      <c r="V560" s="19">
        <f t="shared" si="286"/>
        <v>0</v>
      </c>
      <c r="W560" s="20">
        <f t="shared" ca="1" si="270"/>
        <v>0</v>
      </c>
      <c r="X560" s="19">
        <f t="shared" ca="1" si="271"/>
        <v>0</v>
      </c>
      <c r="Y560" s="19">
        <f t="shared" ca="1" si="272"/>
        <v>0</v>
      </c>
      <c r="Z560" s="20">
        <f t="shared" ca="1" si="273"/>
        <v>0</v>
      </c>
      <c r="AA560" s="1">
        <f t="shared" si="282"/>
        <v>5432.58</v>
      </c>
      <c r="AB560" s="93"/>
      <c r="AC560" s="94"/>
      <c r="AD560" s="101">
        <f t="shared" si="283"/>
        <v>57024</v>
      </c>
      <c r="AE560" s="103">
        <f t="shared" si="284"/>
        <v>0</v>
      </c>
      <c r="AG560" s="1">
        <f t="shared" si="274"/>
        <v>0</v>
      </c>
      <c r="AH560" s="1">
        <f t="shared" si="275"/>
        <v>0</v>
      </c>
      <c r="AI560" s="1">
        <f t="shared" si="285"/>
        <v>5432.58</v>
      </c>
      <c r="AJ560" s="20">
        <f t="shared" si="287"/>
        <v>0</v>
      </c>
      <c r="AK560" s="100">
        <f t="shared" si="258"/>
        <v>0</v>
      </c>
      <c r="AL560" s="100">
        <f t="shared" si="259"/>
        <v>0</v>
      </c>
      <c r="AN560" s="100">
        <f t="shared" si="260"/>
        <v>4152.403120185003</v>
      </c>
      <c r="AO560" s="20">
        <f t="shared" si="261"/>
        <v>0</v>
      </c>
      <c r="AQ560" s="109">
        <f t="shared" si="262"/>
        <v>0</v>
      </c>
      <c r="AU560" s="109">
        <f t="shared" si="278"/>
        <v>25.828849274099866</v>
      </c>
      <c r="AV560" s="101">
        <f t="shared" si="263"/>
        <v>57054</v>
      </c>
      <c r="AW560" s="99">
        <f t="shared" si="264"/>
        <v>0</v>
      </c>
      <c r="AX560" s="1">
        <f t="shared" si="265"/>
        <v>0</v>
      </c>
      <c r="AY560" s="29">
        <f t="shared" si="266"/>
        <v>0</v>
      </c>
      <c r="AZ560" s="1">
        <f t="shared" si="279"/>
        <v>0</v>
      </c>
      <c r="CB560" s="20">
        <f t="shared" si="288"/>
        <v>0</v>
      </c>
      <c r="CC560" s="173">
        <f t="shared" si="280"/>
        <v>0</v>
      </c>
    </row>
    <row r="561" spans="3:81" x14ac:dyDescent="0.25">
      <c r="C561" s="42"/>
      <c r="D561" s="43"/>
      <c r="E561" s="44"/>
      <c r="F561" s="44"/>
      <c r="G561" s="45"/>
      <c r="H561" s="81" t="str">
        <f t="shared" si="277"/>
        <v/>
      </c>
      <c r="J561" s="7"/>
      <c r="K561" s="8"/>
      <c r="L561" s="16"/>
      <c r="M561" s="22"/>
      <c r="N561" s="22"/>
      <c r="O561" s="22"/>
      <c r="P561" s="22"/>
      <c r="Q561" s="1">
        <f t="shared" si="281"/>
        <v>0.60744618579017706</v>
      </c>
      <c r="R561" s="12">
        <f t="shared" ca="1" si="267"/>
        <v>15932</v>
      </c>
      <c r="S561" s="88">
        <f t="shared" si="276"/>
        <v>0</v>
      </c>
      <c r="T561" s="19">
        <f t="shared" si="268"/>
        <v>0</v>
      </c>
      <c r="U561" s="19">
        <f t="shared" si="269"/>
        <v>0</v>
      </c>
      <c r="V561" s="19">
        <f t="shared" si="286"/>
        <v>0</v>
      </c>
      <c r="W561" s="20">
        <f t="shared" ca="1" si="270"/>
        <v>0</v>
      </c>
      <c r="X561" s="19">
        <f t="shared" ca="1" si="271"/>
        <v>0</v>
      </c>
      <c r="Y561" s="19">
        <f t="shared" ca="1" si="272"/>
        <v>0</v>
      </c>
      <c r="Z561" s="20">
        <f t="shared" ca="1" si="273"/>
        <v>0</v>
      </c>
      <c r="AA561" s="1">
        <f t="shared" si="282"/>
        <v>5432.58</v>
      </c>
      <c r="AB561" s="91"/>
      <c r="AC561" s="92"/>
      <c r="AD561" s="101">
        <f t="shared" si="283"/>
        <v>57054</v>
      </c>
      <c r="AE561" s="103">
        <f t="shared" si="284"/>
        <v>0</v>
      </c>
      <c r="AG561" s="1">
        <f t="shared" si="274"/>
        <v>0</v>
      </c>
      <c r="AH561" s="1">
        <f t="shared" si="275"/>
        <v>0</v>
      </c>
      <c r="AI561" s="1">
        <f t="shared" si="285"/>
        <v>5432.58</v>
      </c>
      <c r="AJ561" s="20">
        <f t="shared" si="287"/>
        <v>0</v>
      </c>
      <c r="AK561" s="100">
        <f t="shared" si="258"/>
        <v>0</v>
      </c>
      <c r="AL561" s="100">
        <f t="shared" si="259"/>
        <v>0</v>
      </c>
      <c r="AN561" s="100">
        <f t="shared" si="260"/>
        <v>4150.3022158092772</v>
      </c>
      <c r="AO561" s="20">
        <f t="shared" si="261"/>
        <v>0</v>
      </c>
      <c r="AQ561" s="109">
        <f t="shared" si="262"/>
        <v>0</v>
      </c>
      <c r="AU561" s="109">
        <f t="shared" si="278"/>
        <v>25.82658227410025</v>
      </c>
      <c r="AV561" s="101">
        <f t="shared" si="263"/>
        <v>57084</v>
      </c>
      <c r="AW561" s="99">
        <f t="shared" si="264"/>
        <v>0</v>
      </c>
      <c r="AX561" s="1">
        <f t="shared" si="265"/>
        <v>0</v>
      </c>
      <c r="AY561" s="29">
        <f t="shared" si="266"/>
        <v>0</v>
      </c>
      <c r="AZ561" s="1">
        <f t="shared" si="279"/>
        <v>0</v>
      </c>
      <c r="CB561" s="20">
        <f t="shared" si="288"/>
        <v>0</v>
      </c>
      <c r="CC561" s="173">
        <f t="shared" si="280"/>
        <v>0</v>
      </c>
    </row>
    <row r="562" spans="3:81" x14ac:dyDescent="0.25">
      <c r="C562" s="42"/>
      <c r="D562" s="43"/>
      <c r="E562" s="44"/>
      <c r="F562" s="44"/>
      <c r="G562" s="45"/>
      <c r="H562" s="81" t="str">
        <f t="shared" si="277"/>
        <v/>
      </c>
      <c r="J562" s="9"/>
      <c r="K562" s="10"/>
      <c r="L562" s="17"/>
      <c r="M562" s="23"/>
      <c r="N562" s="23"/>
      <c r="O562" s="23"/>
      <c r="P562" s="23"/>
      <c r="Q562" s="1">
        <f t="shared" si="281"/>
        <v>0.60744618579017706</v>
      </c>
      <c r="R562" s="12">
        <f t="shared" ca="1" si="267"/>
        <v>15962</v>
      </c>
      <c r="S562" s="88">
        <f t="shared" si="276"/>
        <v>0</v>
      </c>
      <c r="T562" s="19">
        <f t="shared" si="268"/>
        <v>0</v>
      </c>
      <c r="U562" s="19">
        <f t="shared" si="269"/>
        <v>0</v>
      </c>
      <c r="V562" s="19">
        <f t="shared" si="286"/>
        <v>0</v>
      </c>
      <c r="W562" s="20">
        <f t="shared" ca="1" si="270"/>
        <v>0</v>
      </c>
      <c r="X562" s="19">
        <f t="shared" ca="1" si="271"/>
        <v>0</v>
      </c>
      <c r="Y562" s="19">
        <f t="shared" ca="1" si="272"/>
        <v>0</v>
      </c>
      <c r="Z562" s="20">
        <f t="shared" ca="1" si="273"/>
        <v>0</v>
      </c>
      <c r="AA562" s="1">
        <f t="shared" si="282"/>
        <v>5432.58</v>
      </c>
      <c r="AB562" s="93"/>
      <c r="AC562" s="94"/>
      <c r="AD562" s="101">
        <f t="shared" si="283"/>
        <v>57084</v>
      </c>
      <c r="AE562" s="103">
        <f t="shared" si="284"/>
        <v>0</v>
      </c>
      <c r="AG562" s="1">
        <f t="shared" si="274"/>
        <v>0</v>
      </c>
      <c r="AH562" s="1">
        <f t="shared" si="275"/>
        <v>0</v>
      </c>
      <c r="AI562" s="1">
        <f t="shared" si="285"/>
        <v>5432.58</v>
      </c>
      <c r="AJ562" s="20">
        <f t="shared" si="287"/>
        <v>0</v>
      </c>
      <c r="AK562" s="100">
        <f t="shared" si="258"/>
        <v>0</v>
      </c>
      <c r="AL562" s="100">
        <f t="shared" si="259"/>
        <v>0</v>
      </c>
      <c r="AN562" s="100">
        <f t="shared" si="260"/>
        <v>4148.2023743841064</v>
      </c>
      <c r="AO562" s="20">
        <f t="shared" si="261"/>
        <v>0</v>
      </c>
      <c r="AQ562" s="109">
        <f t="shared" si="262"/>
        <v>0</v>
      </c>
      <c r="AU562" s="109">
        <f t="shared" si="278"/>
        <v>25.824315473075394</v>
      </c>
      <c r="AV562" s="101">
        <f t="shared" si="263"/>
        <v>57114</v>
      </c>
      <c r="AW562" s="99">
        <f t="shared" si="264"/>
        <v>0</v>
      </c>
      <c r="AX562" s="1">
        <f t="shared" si="265"/>
        <v>0</v>
      </c>
      <c r="AY562" s="29">
        <f t="shared" si="266"/>
        <v>0</v>
      </c>
      <c r="AZ562" s="1">
        <f t="shared" si="279"/>
        <v>0</v>
      </c>
      <c r="CB562" s="20">
        <f t="shared" si="288"/>
        <v>0</v>
      </c>
      <c r="CC562" s="173">
        <f t="shared" si="280"/>
        <v>0</v>
      </c>
    </row>
    <row r="563" spans="3:81" x14ac:dyDescent="0.25">
      <c r="C563" s="42"/>
      <c r="D563" s="43"/>
      <c r="E563" s="44"/>
      <c r="F563" s="44"/>
      <c r="G563" s="45"/>
      <c r="H563" s="81" t="str">
        <f t="shared" si="277"/>
        <v/>
      </c>
      <c r="J563" s="7"/>
      <c r="K563" s="8"/>
      <c r="L563" s="16"/>
      <c r="M563" s="22"/>
      <c r="N563" s="22"/>
      <c r="O563" s="22"/>
      <c r="P563" s="22"/>
      <c r="Q563" s="1">
        <f t="shared" si="281"/>
        <v>0.60744618579017706</v>
      </c>
      <c r="R563" s="12">
        <f t="shared" ca="1" si="267"/>
        <v>15992</v>
      </c>
      <c r="S563" s="88">
        <f t="shared" si="276"/>
        <v>0</v>
      </c>
      <c r="T563" s="19">
        <f t="shared" si="268"/>
        <v>0</v>
      </c>
      <c r="U563" s="19">
        <f t="shared" si="269"/>
        <v>0</v>
      </c>
      <c r="V563" s="19">
        <f t="shared" si="286"/>
        <v>0</v>
      </c>
      <c r="W563" s="20">
        <f t="shared" ca="1" si="270"/>
        <v>0</v>
      </c>
      <c r="X563" s="19">
        <f t="shared" ca="1" si="271"/>
        <v>0</v>
      </c>
      <c r="Y563" s="19">
        <f t="shared" ca="1" si="272"/>
        <v>0</v>
      </c>
      <c r="Z563" s="20">
        <f t="shared" ca="1" si="273"/>
        <v>0</v>
      </c>
      <c r="AA563" s="1">
        <f t="shared" si="282"/>
        <v>5432.58</v>
      </c>
      <c r="AB563" s="91"/>
      <c r="AC563" s="92"/>
      <c r="AD563" s="101">
        <f t="shared" si="283"/>
        <v>57114</v>
      </c>
      <c r="AE563" s="103">
        <f t="shared" si="284"/>
        <v>0</v>
      </c>
      <c r="AG563" s="1">
        <f t="shared" si="274"/>
        <v>0</v>
      </c>
      <c r="AH563" s="1">
        <f t="shared" si="275"/>
        <v>0</v>
      </c>
      <c r="AI563" s="1">
        <f t="shared" si="285"/>
        <v>5432.58</v>
      </c>
      <c r="AJ563" s="20">
        <f t="shared" si="287"/>
        <v>0</v>
      </c>
      <c r="AK563" s="100">
        <f t="shared" si="258"/>
        <v>0</v>
      </c>
      <c r="AL563" s="100">
        <f t="shared" si="259"/>
        <v>0</v>
      </c>
      <c r="AN563" s="100">
        <f t="shared" si="260"/>
        <v>4146.1035953716882</v>
      </c>
      <c r="AO563" s="20">
        <f t="shared" si="261"/>
        <v>0</v>
      </c>
      <c r="AQ563" s="109">
        <f t="shared" si="262"/>
        <v>0</v>
      </c>
      <c r="AU563" s="109">
        <f t="shared" si="278"/>
        <v>25.82204887100783</v>
      </c>
      <c r="AV563" s="101">
        <f t="shared" si="263"/>
        <v>57144</v>
      </c>
      <c r="AW563" s="99">
        <f t="shared" si="264"/>
        <v>0</v>
      </c>
      <c r="AX563" s="1">
        <f t="shared" si="265"/>
        <v>0</v>
      </c>
      <c r="AY563" s="29">
        <f t="shared" si="266"/>
        <v>0</v>
      </c>
      <c r="AZ563" s="1">
        <f t="shared" si="279"/>
        <v>0</v>
      </c>
      <c r="CB563" s="20">
        <f t="shared" si="288"/>
        <v>0</v>
      </c>
      <c r="CC563" s="173">
        <f t="shared" si="280"/>
        <v>0</v>
      </c>
    </row>
    <row r="564" spans="3:81" x14ac:dyDescent="0.25">
      <c r="C564" s="42"/>
      <c r="D564" s="43"/>
      <c r="E564" s="44"/>
      <c r="F564" s="44"/>
      <c r="G564" s="45"/>
      <c r="H564" s="81" t="str">
        <f t="shared" si="277"/>
        <v/>
      </c>
      <c r="J564" s="9"/>
      <c r="K564" s="10"/>
      <c r="L564" s="17"/>
      <c r="M564" s="23"/>
      <c r="N564" s="23"/>
      <c r="O564" s="23"/>
      <c r="P564" s="23"/>
      <c r="Q564" s="1">
        <f t="shared" si="281"/>
        <v>0.60744618579017706</v>
      </c>
      <c r="R564" s="12">
        <f t="shared" ca="1" si="267"/>
        <v>16022</v>
      </c>
      <c r="S564" s="88">
        <f t="shared" si="276"/>
        <v>0</v>
      </c>
      <c r="T564" s="19">
        <f t="shared" si="268"/>
        <v>0</v>
      </c>
      <c r="U564" s="19">
        <f t="shared" si="269"/>
        <v>0</v>
      </c>
      <c r="V564" s="19">
        <f t="shared" si="286"/>
        <v>0</v>
      </c>
      <c r="W564" s="20">
        <f t="shared" ca="1" si="270"/>
        <v>0</v>
      </c>
      <c r="X564" s="19">
        <f t="shared" ca="1" si="271"/>
        <v>0</v>
      </c>
      <c r="Y564" s="19">
        <f t="shared" ca="1" si="272"/>
        <v>0</v>
      </c>
      <c r="Z564" s="20">
        <f t="shared" ca="1" si="273"/>
        <v>0</v>
      </c>
      <c r="AA564" s="1">
        <f t="shared" si="282"/>
        <v>5432.58</v>
      </c>
      <c r="AB564" s="93"/>
      <c r="AC564" s="94"/>
      <c r="AD564" s="101">
        <f t="shared" si="283"/>
        <v>57144</v>
      </c>
      <c r="AE564" s="103">
        <f t="shared" si="284"/>
        <v>0</v>
      </c>
      <c r="AG564" s="1">
        <f t="shared" si="274"/>
        <v>0</v>
      </c>
      <c r="AH564" s="1">
        <f t="shared" si="275"/>
        <v>0</v>
      </c>
      <c r="AI564" s="1">
        <f t="shared" si="285"/>
        <v>5432.58</v>
      </c>
      <c r="AJ564" s="20">
        <f t="shared" si="287"/>
        <v>0</v>
      </c>
      <c r="AK564" s="100">
        <f t="shared" si="258"/>
        <v>0</v>
      </c>
      <c r="AL564" s="100">
        <f t="shared" si="259"/>
        <v>0</v>
      </c>
      <c r="AN564" s="100">
        <f t="shared" si="260"/>
        <v>4144.0058782345004</v>
      </c>
      <c r="AO564" s="20">
        <f t="shared" si="261"/>
        <v>0</v>
      </c>
      <c r="AQ564" s="109">
        <f t="shared" si="262"/>
        <v>0</v>
      </c>
      <c r="AU564" s="109">
        <f t="shared" si="278"/>
        <v>25.819782467880099</v>
      </c>
      <c r="AV564" s="101">
        <f t="shared" si="263"/>
        <v>57174</v>
      </c>
      <c r="AW564" s="99">
        <f t="shared" si="264"/>
        <v>0</v>
      </c>
      <c r="AX564" s="1">
        <f t="shared" si="265"/>
        <v>0</v>
      </c>
      <c r="AY564" s="29">
        <f t="shared" si="266"/>
        <v>0</v>
      </c>
      <c r="AZ564" s="1">
        <f t="shared" si="279"/>
        <v>0</v>
      </c>
      <c r="CB564" s="20">
        <f t="shared" si="288"/>
        <v>0</v>
      </c>
      <c r="CC564" s="173">
        <f t="shared" si="280"/>
        <v>0</v>
      </c>
    </row>
    <row r="565" spans="3:81" x14ac:dyDescent="0.25">
      <c r="C565" s="42"/>
      <c r="D565" s="43"/>
      <c r="E565" s="44"/>
      <c r="F565" s="44"/>
      <c r="G565" s="45"/>
      <c r="H565" s="81" t="str">
        <f t="shared" si="277"/>
        <v/>
      </c>
      <c r="J565" s="7"/>
      <c r="K565" s="8"/>
      <c r="L565" s="16"/>
      <c r="M565" s="22"/>
      <c r="N565" s="22"/>
      <c r="O565" s="22"/>
      <c r="P565" s="22"/>
      <c r="Q565" s="1">
        <f t="shared" si="281"/>
        <v>0.60744618579017706</v>
      </c>
      <c r="R565" s="12">
        <f t="shared" ca="1" si="267"/>
        <v>16052</v>
      </c>
      <c r="S565" s="88">
        <f t="shared" si="276"/>
        <v>0</v>
      </c>
      <c r="T565" s="19">
        <f t="shared" si="268"/>
        <v>0</v>
      </c>
      <c r="U565" s="19">
        <f t="shared" si="269"/>
        <v>0</v>
      </c>
      <c r="V565" s="19">
        <f t="shared" si="286"/>
        <v>0</v>
      </c>
      <c r="W565" s="20">
        <f t="shared" ca="1" si="270"/>
        <v>0</v>
      </c>
      <c r="X565" s="19">
        <f t="shared" ca="1" si="271"/>
        <v>0</v>
      </c>
      <c r="Y565" s="19">
        <f t="shared" ca="1" si="272"/>
        <v>0</v>
      </c>
      <c r="Z565" s="20">
        <f t="shared" ca="1" si="273"/>
        <v>0</v>
      </c>
      <c r="AA565" s="1">
        <f t="shared" si="282"/>
        <v>5432.58</v>
      </c>
      <c r="AB565" s="91"/>
      <c r="AC565" s="92"/>
      <c r="AD565" s="101">
        <f t="shared" si="283"/>
        <v>57174</v>
      </c>
      <c r="AE565" s="103">
        <f t="shared" si="284"/>
        <v>0</v>
      </c>
      <c r="AG565" s="1">
        <f t="shared" si="274"/>
        <v>0</v>
      </c>
      <c r="AH565" s="1">
        <f t="shared" si="275"/>
        <v>0</v>
      </c>
      <c r="AI565" s="1">
        <f t="shared" si="285"/>
        <v>5432.58</v>
      </c>
      <c r="AJ565" s="20">
        <f t="shared" si="287"/>
        <v>0</v>
      </c>
      <c r="AK565" s="100">
        <f t="shared" si="258"/>
        <v>0</v>
      </c>
      <c r="AL565" s="100">
        <f t="shared" si="259"/>
        <v>0</v>
      </c>
      <c r="AN565" s="100">
        <f t="shared" si="260"/>
        <v>4141.9092224352862</v>
      </c>
      <c r="AO565" s="20">
        <f t="shared" si="261"/>
        <v>0</v>
      </c>
      <c r="AQ565" s="109">
        <f t="shared" si="262"/>
        <v>0</v>
      </c>
      <c r="AU565" s="109">
        <f t="shared" si="278"/>
        <v>25.817516263674733</v>
      </c>
      <c r="AV565" s="101">
        <f t="shared" si="263"/>
        <v>57204</v>
      </c>
      <c r="AW565" s="99">
        <f t="shared" si="264"/>
        <v>0</v>
      </c>
      <c r="AX565" s="1">
        <f t="shared" si="265"/>
        <v>0</v>
      </c>
      <c r="AY565" s="29">
        <f t="shared" si="266"/>
        <v>0</v>
      </c>
      <c r="AZ565" s="1">
        <f t="shared" si="279"/>
        <v>0</v>
      </c>
      <c r="CB565" s="20">
        <f t="shared" si="288"/>
        <v>0</v>
      </c>
      <c r="CC565" s="173">
        <f t="shared" si="280"/>
        <v>0</v>
      </c>
    </row>
    <row r="566" spans="3:81" x14ac:dyDescent="0.25">
      <c r="C566" s="42"/>
      <c r="D566" s="43"/>
      <c r="E566" s="44"/>
      <c r="F566" s="44"/>
      <c r="G566" s="45"/>
      <c r="H566" s="81" t="str">
        <f t="shared" si="277"/>
        <v/>
      </c>
      <c r="J566" s="9"/>
      <c r="K566" s="10"/>
      <c r="L566" s="17"/>
      <c r="M566" s="23"/>
      <c r="N566" s="23"/>
      <c r="O566" s="23"/>
      <c r="P566" s="23"/>
      <c r="Q566" s="1">
        <f t="shared" si="281"/>
        <v>0.60744618579017706</v>
      </c>
      <c r="R566" s="12">
        <f t="shared" ca="1" si="267"/>
        <v>16082</v>
      </c>
      <c r="S566" s="88">
        <f t="shared" si="276"/>
        <v>0</v>
      </c>
      <c r="T566" s="19">
        <f t="shared" si="268"/>
        <v>0</v>
      </c>
      <c r="U566" s="19">
        <f t="shared" si="269"/>
        <v>0</v>
      </c>
      <c r="V566" s="19">
        <f t="shared" si="286"/>
        <v>0</v>
      </c>
      <c r="W566" s="20">
        <f t="shared" ca="1" si="270"/>
        <v>0</v>
      </c>
      <c r="X566" s="19">
        <f t="shared" ca="1" si="271"/>
        <v>0</v>
      </c>
      <c r="Y566" s="19">
        <f t="shared" ca="1" si="272"/>
        <v>0</v>
      </c>
      <c r="Z566" s="20">
        <f t="shared" ca="1" si="273"/>
        <v>0</v>
      </c>
      <c r="AA566" s="1">
        <f t="shared" si="282"/>
        <v>5432.58</v>
      </c>
      <c r="AB566" s="93"/>
      <c r="AC566" s="94"/>
      <c r="AD566" s="101">
        <f t="shared" si="283"/>
        <v>57204</v>
      </c>
      <c r="AE566" s="103">
        <f t="shared" si="284"/>
        <v>0</v>
      </c>
      <c r="AG566" s="1">
        <f t="shared" si="274"/>
        <v>0</v>
      </c>
      <c r="AH566" s="1">
        <f t="shared" si="275"/>
        <v>0</v>
      </c>
      <c r="AI566" s="1">
        <f t="shared" si="285"/>
        <v>5432.58</v>
      </c>
      <c r="AJ566" s="20">
        <f t="shared" si="287"/>
        <v>0</v>
      </c>
      <c r="AK566" s="100">
        <f t="shared" ref="AK566:AK629" si="289">IF(ISERROR(AJ566/(1+(Q566)/1200)^(ROW()-29)),0,AJ566/(1+(Q566)/1200)^(ROW()-29))</f>
        <v>0</v>
      </c>
      <c r="AL566" s="100">
        <f t="shared" ref="AL566:AL629" si="290">IF(ISERROR((Q566/1200)*O566),0,(Q566/1200)*O566)</f>
        <v>0</v>
      </c>
      <c r="AN566" s="100">
        <f t="shared" ref="AN566:AN629" si="291">IF(ISERROR(AA566/(1+(Q566)/1200)^(ROW()-29)),0,AA566/(1+(Q566)/1200)^(ROW()-29))</f>
        <v>4139.8136274370609</v>
      </c>
      <c r="AO566" s="20">
        <f t="shared" ref="AO566:AO629" si="292">IF(ISERROR(V565+U566+T566+(V565*Q566/1200)-AA566-P566),0,IF(V565+U566+T566+(V565*Q566/1200)-AA566-P566&lt;0,V565,-(U566+T566-AA566+P566-AH566)))</f>
        <v>0</v>
      </c>
      <c r="AQ566" s="109">
        <f t="shared" ref="AQ566:AQ629" si="293">AO566/(1+((1+$AM$27)^((ROW()-29)*30)-1))</f>
        <v>0</v>
      </c>
      <c r="AU566" s="109">
        <f t="shared" si="278"/>
        <v>25.815250258374281</v>
      </c>
      <c r="AV566" s="101">
        <f t="shared" ref="AV566:AV629" si="294">AD567</f>
        <v>57234</v>
      </c>
      <c r="AW566" s="99">
        <f t="shared" ref="AW566:AW629" si="295">IF(AJ567&lt;0,0,AJ567)</f>
        <v>0</v>
      </c>
      <c r="AX566" s="1">
        <f t="shared" ref="AX566:AX629" si="296">IF(AG566&gt;0,AA566,0)</f>
        <v>0</v>
      </c>
      <c r="AY566" s="29">
        <f t="shared" ref="AY566:AY629" si="297">AE566</f>
        <v>0</v>
      </c>
      <c r="AZ566" s="1">
        <f t="shared" si="279"/>
        <v>0</v>
      </c>
      <c r="CB566" s="20">
        <f t="shared" si="288"/>
        <v>0</v>
      </c>
      <c r="CC566" s="173">
        <f t="shared" si="280"/>
        <v>0</v>
      </c>
    </row>
    <row r="567" spans="3:81" x14ac:dyDescent="0.25">
      <c r="C567" s="42"/>
      <c r="D567" s="43"/>
      <c r="E567" s="44"/>
      <c r="F567" s="44"/>
      <c r="G567" s="45"/>
      <c r="H567" s="81" t="str">
        <f t="shared" si="277"/>
        <v/>
      </c>
      <c r="J567" s="7"/>
      <c r="K567" s="8"/>
      <c r="L567" s="16"/>
      <c r="M567" s="22"/>
      <c r="N567" s="22"/>
      <c r="O567" s="22"/>
      <c r="P567" s="22"/>
      <c r="Q567" s="1">
        <f t="shared" si="281"/>
        <v>0.60744618579017706</v>
      </c>
      <c r="R567" s="12">
        <f t="shared" ref="R567:R630" ca="1" si="298">IF(ROW()&gt;$T$20,R566+30,DAYS360(K566,K567)+R566)</f>
        <v>16112</v>
      </c>
      <c r="S567" s="88">
        <f t="shared" si="276"/>
        <v>0</v>
      </c>
      <c r="T567" s="19">
        <f t="shared" ref="T567:T630" si="299">IF(ISERROR((previousBalance*Q567/1200)*(IF(ROW()-30&lt;$G$22,$G$21,0))),0,(previousBalance*Q567/1200)*(IF(ROW()-30&lt;$G$22,$G$21,0)))</f>
        <v>0</v>
      </c>
      <c r="U567" s="19">
        <f t="shared" ref="U567:U630" si="300">AA567*(IF(ROW()-30&lt;$H$22,$H$21,0))</f>
        <v>0</v>
      </c>
      <c r="V567" s="19">
        <f t="shared" si="286"/>
        <v>0</v>
      </c>
      <c r="W567" s="20">
        <f t="shared" ref="W567:W630" ca="1" si="301">(T567)/(1+((1+$T$12)^$R567-1))</f>
        <v>0</v>
      </c>
      <c r="X567" s="19">
        <f t="shared" ref="X567:X630" ca="1" si="302">(U567)/(1+((1+$T$12)^$R567-1))</f>
        <v>0</v>
      </c>
      <c r="Y567" s="19">
        <f t="shared" ref="Y567:Y630" ca="1" si="303">P567/(1+((1+$T$12)^$R567-1))</f>
        <v>0</v>
      </c>
      <c r="Z567" s="20">
        <f t="shared" ref="Z567:Z630" ca="1" si="304">W567+X567</f>
        <v>0</v>
      </c>
      <c r="AA567" s="1">
        <f t="shared" si="282"/>
        <v>5432.58</v>
      </c>
      <c r="AB567" s="91"/>
      <c r="AC567" s="92"/>
      <c r="AD567" s="101">
        <f t="shared" si="283"/>
        <v>57234</v>
      </c>
      <c r="AE567" s="103">
        <f t="shared" si="284"/>
        <v>0</v>
      </c>
      <c r="AG567" s="1">
        <f t="shared" ref="AG567:AG630" si="305">AE567/360</f>
        <v>0</v>
      </c>
      <c r="AH567" s="1">
        <f t="shared" ref="AH567:AH630" si="306">IF(ISERROR(IF(V566+U567+T567+(V566*Q567/1200)-AA567-P567&lt;0,0,(V566*Q567/1200))),0,IF(V566+U567+T567+(V566*Q567/1200)-AA567-P567&lt;0,0,(V566*Q567/1200)))</f>
        <v>0</v>
      </c>
      <c r="AI567" s="1">
        <f t="shared" si="285"/>
        <v>5432.58</v>
      </c>
      <c r="AJ567" s="20">
        <f t="shared" si="287"/>
        <v>0</v>
      </c>
      <c r="AK567" s="100">
        <f t="shared" si="289"/>
        <v>0</v>
      </c>
      <c r="AL567" s="100">
        <f t="shared" si="290"/>
        <v>0</v>
      </c>
      <c r="AN567" s="100">
        <f t="shared" si="291"/>
        <v>4137.7190927031161</v>
      </c>
      <c r="AO567" s="20">
        <f t="shared" si="292"/>
        <v>0</v>
      </c>
      <c r="AQ567" s="109">
        <f t="shared" si="293"/>
        <v>0</v>
      </c>
      <c r="AU567" s="109">
        <f t="shared" si="278"/>
        <v>25.812984451961274</v>
      </c>
      <c r="AV567" s="101">
        <f t="shared" si="294"/>
        <v>57264</v>
      </c>
      <c r="AW567" s="99">
        <f t="shared" si="295"/>
        <v>0</v>
      </c>
      <c r="AX567" s="1">
        <f t="shared" si="296"/>
        <v>0</v>
      </c>
      <c r="AY567" s="29">
        <f t="shared" si="297"/>
        <v>0</v>
      </c>
      <c r="AZ567" s="1">
        <f t="shared" si="279"/>
        <v>0</v>
      </c>
      <c r="CB567" s="20">
        <f t="shared" si="288"/>
        <v>0</v>
      </c>
      <c r="CC567" s="173">
        <f t="shared" si="280"/>
        <v>0</v>
      </c>
    </row>
    <row r="568" spans="3:81" x14ac:dyDescent="0.25">
      <c r="C568" s="42"/>
      <c r="D568" s="43"/>
      <c r="E568" s="44"/>
      <c r="F568" s="44"/>
      <c r="G568" s="45"/>
      <c r="H568" s="81" t="str">
        <f t="shared" si="277"/>
        <v/>
      </c>
      <c r="J568" s="9"/>
      <c r="K568" s="10"/>
      <c r="L568" s="17"/>
      <c r="M568" s="23"/>
      <c r="N568" s="23"/>
      <c r="O568" s="23"/>
      <c r="P568" s="23"/>
      <c r="Q568" s="1">
        <f t="shared" si="281"/>
        <v>0.60744618579017706</v>
      </c>
      <c r="R568" s="12">
        <f t="shared" ca="1" si="298"/>
        <v>16142</v>
      </c>
      <c r="S568" s="88">
        <f t="shared" si="276"/>
        <v>0</v>
      </c>
      <c r="T568" s="19">
        <f t="shared" si="299"/>
        <v>0</v>
      </c>
      <c r="U568" s="19">
        <f t="shared" si="300"/>
        <v>0</v>
      </c>
      <c r="V568" s="19">
        <f t="shared" si="286"/>
        <v>0</v>
      </c>
      <c r="W568" s="20">
        <f t="shared" ca="1" si="301"/>
        <v>0</v>
      </c>
      <c r="X568" s="19">
        <f t="shared" ca="1" si="302"/>
        <v>0</v>
      </c>
      <c r="Y568" s="19">
        <f t="shared" ca="1" si="303"/>
        <v>0</v>
      </c>
      <c r="Z568" s="20">
        <f t="shared" ca="1" si="304"/>
        <v>0</v>
      </c>
      <c r="AA568" s="1">
        <f t="shared" si="282"/>
        <v>5432.58</v>
      </c>
      <c r="AB568" s="93"/>
      <c r="AC568" s="94"/>
      <c r="AD568" s="101">
        <f t="shared" si="283"/>
        <v>57264</v>
      </c>
      <c r="AE568" s="103">
        <f t="shared" si="284"/>
        <v>0</v>
      </c>
      <c r="AG568" s="1">
        <f t="shared" si="305"/>
        <v>0</v>
      </c>
      <c r="AH568" s="1">
        <f t="shared" si="306"/>
        <v>0</v>
      </c>
      <c r="AI568" s="1">
        <f t="shared" si="285"/>
        <v>5432.58</v>
      </c>
      <c r="AJ568" s="20">
        <f t="shared" si="287"/>
        <v>0</v>
      </c>
      <c r="AK568" s="100">
        <f t="shared" si="289"/>
        <v>0</v>
      </c>
      <c r="AL568" s="100">
        <f t="shared" si="290"/>
        <v>0</v>
      </c>
      <c r="AN568" s="100">
        <f t="shared" si="291"/>
        <v>4135.6256176970101</v>
      </c>
      <c r="AO568" s="20">
        <f t="shared" si="292"/>
        <v>0</v>
      </c>
      <c r="AQ568" s="109">
        <f t="shared" si="293"/>
        <v>0</v>
      </c>
      <c r="AU568" s="109">
        <f t="shared" si="278"/>
        <v>25.810718844418279</v>
      </c>
      <c r="AV568" s="101">
        <f t="shared" si="294"/>
        <v>57294</v>
      </c>
      <c r="AW568" s="99">
        <f t="shared" si="295"/>
        <v>0</v>
      </c>
      <c r="AX568" s="1">
        <f t="shared" si="296"/>
        <v>0</v>
      </c>
      <c r="AY568" s="29">
        <f t="shared" si="297"/>
        <v>0</v>
      </c>
      <c r="AZ568" s="1">
        <f t="shared" si="279"/>
        <v>0</v>
      </c>
      <c r="CB568" s="20">
        <f t="shared" si="288"/>
        <v>0</v>
      </c>
      <c r="CC568" s="173">
        <f t="shared" si="280"/>
        <v>0</v>
      </c>
    </row>
    <row r="569" spans="3:81" x14ac:dyDescent="0.25">
      <c r="C569" s="42"/>
      <c r="D569" s="43"/>
      <c r="E569" s="44"/>
      <c r="F569" s="44"/>
      <c r="G569" s="45"/>
      <c r="H569" s="81" t="str">
        <f t="shared" si="277"/>
        <v/>
      </c>
      <c r="J569" s="7"/>
      <c r="K569" s="8"/>
      <c r="L569" s="16"/>
      <c r="M569" s="22"/>
      <c r="N569" s="22"/>
      <c r="O569" s="22"/>
      <c r="P569" s="22"/>
      <c r="Q569" s="1">
        <f t="shared" si="281"/>
        <v>0.60744618579017706</v>
      </c>
      <c r="R569" s="12">
        <f t="shared" ca="1" si="298"/>
        <v>16172</v>
      </c>
      <c r="S569" s="88">
        <f t="shared" si="276"/>
        <v>0</v>
      </c>
      <c r="T569" s="19">
        <f t="shared" si="299"/>
        <v>0</v>
      </c>
      <c r="U569" s="19">
        <f t="shared" si="300"/>
        <v>0</v>
      </c>
      <c r="V569" s="19">
        <f t="shared" si="286"/>
        <v>0</v>
      </c>
      <c r="W569" s="20">
        <f t="shared" ca="1" si="301"/>
        <v>0</v>
      </c>
      <c r="X569" s="19">
        <f t="shared" ca="1" si="302"/>
        <v>0</v>
      </c>
      <c r="Y569" s="19">
        <f t="shared" ca="1" si="303"/>
        <v>0</v>
      </c>
      <c r="Z569" s="20">
        <f t="shared" ca="1" si="304"/>
        <v>0</v>
      </c>
      <c r="AA569" s="1">
        <f t="shared" si="282"/>
        <v>5432.58</v>
      </c>
      <c r="AB569" s="91"/>
      <c r="AC569" s="92"/>
      <c r="AD569" s="101">
        <f t="shared" si="283"/>
        <v>57294</v>
      </c>
      <c r="AE569" s="103">
        <f t="shared" si="284"/>
        <v>0</v>
      </c>
      <c r="AG569" s="1">
        <f t="shared" si="305"/>
        <v>0</v>
      </c>
      <c r="AH569" s="1">
        <f t="shared" si="306"/>
        <v>0</v>
      </c>
      <c r="AI569" s="1">
        <f t="shared" si="285"/>
        <v>5432.58</v>
      </c>
      <c r="AJ569" s="20">
        <f t="shared" si="287"/>
        <v>0</v>
      </c>
      <c r="AK569" s="100">
        <f t="shared" si="289"/>
        <v>0</v>
      </c>
      <c r="AL569" s="100">
        <f t="shared" si="290"/>
        <v>0</v>
      </c>
      <c r="AN569" s="100">
        <f t="shared" si="291"/>
        <v>4133.5332018825757</v>
      </c>
      <c r="AO569" s="20">
        <f t="shared" si="292"/>
        <v>0</v>
      </c>
      <c r="AQ569" s="109">
        <f t="shared" si="293"/>
        <v>0</v>
      </c>
      <c r="AU569" s="109">
        <f t="shared" si="278"/>
        <v>25.808453435727813</v>
      </c>
      <c r="AV569" s="101">
        <f t="shared" si="294"/>
        <v>57324</v>
      </c>
      <c r="AW569" s="99">
        <f t="shared" si="295"/>
        <v>0</v>
      </c>
      <c r="AX569" s="1">
        <f t="shared" si="296"/>
        <v>0</v>
      </c>
      <c r="AY569" s="29">
        <f t="shared" si="297"/>
        <v>0</v>
      </c>
      <c r="AZ569" s="1">
        <f t="shared" si="279"/>
        <v>0</v>
      </c>
      <c r="CB569" s="20">
        <f t="shared" si="288"/>
        <v>0</v>
      </c>
      <c r="CC569" s="173">
        <f t="shared" si="280"/>
        <v>0</v>
      </c>
    </row>
    <row r="570" spans="3:81" x14ac:dyDescent="0.25">
      <c r="C570" s="42"/>
      <c r="D570" s="43"/>
      <c r="E570" s="44"/>
      <c r="F570" s="44"/>
      <c r="G570" s="45"/>
      <c r="H570" s="81" t="str">
        <f t="shared" si="277"/>
        <v/>
      </c>
      <c r="J570" s="9"/>
      <c r="K570" s="10"/>
      <c r="L570" s="17"/>
      <c r="M570" s="23"/>
      <c r="N570" s="23"/>
      <c r="O570" s="23"/>
      <c r="P570" s="23"/>
      <c r="Q570" s="1">
        <f t="shared" si="281"/>
        <v>0.60744618579017706</v>
      </c>
      <c r="R570" s="12">
        <f t="shared" ca="1" si="298"/>
        <v>16202</v>
      </c>
      <c r="S570" s="88">
        <f t="shared" si="276"/>
        <v>0</v>
      </c>
      <c r="T570" s="19">
        <f t="shared" si="299"/>
        <v>0</v>
      </c>
      <c r="U570" s="19">
        <f t="shared" si="300"/>
        <v>0</v>
      </c>
      <c r="V570" s="19">
        <f t="shared" si="286"/>
        <v>0</v>
      </c>
      <c r="W570" s="20">
        <f t="shared" ca="1" si="301"/>
        <v>0</v>
      </c>
      <c r="X570" s="19">
        <f t="shared" ca="1" si="302"/>
        <v>0</v>
      </c>
      <c r="Y570" s="19">
        <f t="shared" ca="1" si="303"/>
        <v>0</v>
      </c>
      <c r="Z570" s="20">
        <f t="shared" ca="1" si="304"/>
        <v>0</v>
      </c>
      <c r="AA570" s="1">
        <f t="shared" si="282"/>
        <v>5432.58</v>
      </c>
      <c r="AB570" s="93"/>
      <c r="AC570" s="94"/>
      <c r="AD570" s="101">
        <f t="shared" si="283"/>
        <v>57324</v>
      </c>
      <c r="AE570" s="103">
        <f t="shared" si="284"/>
        <v>0</v>
      </c>
      <c r="AG570" s="1">
        <f t="shared" si="305"/>
        <v>0</v>
      </c>
      <c r="AH570" s="1">
        <f t="shared" si="306"/>
        <v>0</v>
      </c>
      <c r="AI570" s="1">
        <f t="shared" si="285"/>
        <v>5432.58</v>
      </c>
      <c r="AJ570" s="20">
        <f t="shared" si="287"/>
        <v>0</v>
      </c>
      <c r="AK570" s="100">
        <f t="shared" si="289"/>
        <v>0</v>
      </c>
      <c r="AL570" s="100">
        <f t="shared" si="290"/>
        <v>0</v>
      </c>
      <c r="AN570" s="100">
        <f t="shared" si="291"/>
        <v>4131.4418447239159</v>
      </c>
      <c r="AO570" s="20">
        <f t="shared" si="292"/>
        <v>0</v>
      </c>
      <c r="AQ570" s="109">
        <f t="shared" si="293"/>
        <v>0</v>
      </c>
      <c r="AU570" s="109">
        <f t="shared" si="278"/>
        <v>25.806188225872425</v>
      </c>
      <c r="AV570" s="101">
        <f t="shared" si="294"/>
        <v>57354</v>
      </c>
      <c r="AW570" s="99">
        <f t="shared" si="295"/>
        <v>0</v>
      </c>
      <c r="AX570" s="1">
        <f t="shared" si="296"/>
        <v>0</v>
      </c>
      <c r="AY570" s="29">
        <f t="shared" si="297"/>
        <v>0</v>
      </c>
      <c r="AZ570" s="1">
        <f t="shared" si="279"/>
        <v>0</v>
      </c>
      <c r="CB570" s="20">
        <f t="shared" si="288"/>
        <v>0</v>
      </c>
      <c r="CC570" s="173">
        <f t="shared" si="280"/>
        <v>0</v>
      </c>
    </row>
    <row r="571" spans="3:81" x14ac:dyDescent="0.25">
      <c r="C571" s="42"/>
      <c r="D571" s="43"/>
      <c r="E571" s="44"/>
      <c r="F571" s="44"/>
      <c r="G571" s="45"/>
      <c r="H571" s="81" t="str">
        <f t="shared" si="277"/>
        <v/>
      </c>
      <c r="J571" s="7"/>
      <c r="K571" s="8"/>
      <c r="L571" s="16"/>
      <c r="M571" s="22"/>
      <c r="N571" s="22"/>
      <c r="O571" s="22"/>
      <c r="P571" s="22"/>
      <c r="Q571" s="1">
        <f t="shared" si="281"/>
        <v>0.60744618579017706</v>
      </c>
      <c r="R571" s="12">
        <f t="shared" ca="1" si="298"/>
        <v>16232</v>
      </c>
      <c r="S571" s="88">
        <f t="shared" si="276"/>
        <v>0</v>
      </c>
      <c r="T571" s="19">
        <f t="shared" si="299"/>
        <v>0</v>
      </c>
      <c r="U571" s="19">
        <f t="shared" si="300"/>
        <v>0</v>
      </c>
      <c r="V571" s="19">
        <f t="shared" si="286"/>
        <v>0</v>
      </c>
      <c r="W571" s="20">
        <f t="shared" ca="1" si="301"/>
        <v>0</v>
      </c>
      <c r="X571" s="19">
        <f t="shared" ca="1" si="302"/>
        <v>0</v>
      </c>
      <c r="Y571" s="19">
        <f t="shared" ca="1" si="303"/>
        <v>0</v>
      </c>
      <c r="Z571" s="20">
        <f t="shared" ca="1" si="304"/>
        <v>0</v>
      </c>
      <c r="AA571" s="1">
        <f t="shared" si="282"/>
        <v>5432.58</v>
      </c>
      <c r="AB571" s="91"/>
      <c r="AC571" s="92"/>
      <c r="AD571" s="101">
        <f t="shared" si="283"/>
        <v>57354</v>
      </c>
      <c r="AE571" s="103">
        <f t="shared" si="284"/>
        <v>0</v>
      </c>
      <c r="AG571" s="1">
        <f t="shared" si="305"/>
        <v>0</v>
      </c>
      <c r="AH571" s="1">
        <f t="shared" si="306"/>
        <v>0</v>
      </c>
      <c r="AI571" s="1">
        <f t="shared" si="285"/>
        <v>5432.58</v>
      </c>
      <c r="AJ571" s="20">
        <f t="shared" si="287"/>
        <v>0</v>
      </c>
      <c r="AK571" s="100">
        <f t="shared" si="289"/>
        <v>0</v>
      </c>
      <c r="AL571" s="100">
        <f t="shared" si="290"/>
        <v>0</v>
      </c>
      <c r="AN571" s="100">
        <f t="shared" si="291"/>
        <v>4129.3515456854038</v>
      </c>
      <c r="AO571" s="20">
        <f t="shared" si="292"/>
        <v>0</v>
      </c>
      <c r="AQ571" s="109">
        <f t="shared" si="293"/>
        <v>0</v>
      </c>
      <c r="AU571" s="109">
        <f t="shared" si="278"/>
        <v>25.803923214834676</v>
      </c>
      <c r="AV571" s="101">
        <f t="shared" si="294"/>
        <v>57384</v>
      </c>
      <c r="AW571" s="99">
        <f t="shared" si="295"/>
        <v>0</v>
      </c>
      <c r="AX571" s="1">
        <f t="shared" si="296"/>
        <v>0</v>
      </c>
      <c r="AY571" s="29">
        <f t="shared" si="297"/>
        <v>0</v>
      </c>
      <c r="AZ571" s="1">
        <f t="shared" si="279"/>
        <v>0</v>
      </c>
      <c r="CB571" s="20">
        <f t="shared" si="288"/>
        <v>0</v>
      </c>
      <c r="CC571" s="173">
        <f t="shared" si="280"/>
        <v>0</v>
      </c>
    </row>
    <row r="572" spans="3:81" x14ac:dyDescent="0.25">
      <c r="C572" s="42"/>
      <c r="D572" s="43"/>
      <c r="E572" s="44"/>
      <c r="F572" s="44"/>
      <c r="G572" s="45"/>
      <c r="H572" s="81" t="str">
        <f t="shared" si="277"/>
        <v/>
      </c>
      <c r="J572" s="9"/>
      <c r="K572" s="10"/>
      <c r="L572" s="17"/>
      <c r="M572" s="23"/>
      <c r="N572" s="23"/>
      <c r="O572" s="23"/>
      <c r="P572" s="23"/>
      <c r="Q572" s="1">
        <f t="shared" si="281"/>
        <v>0.60744618579017706</v>
      </c>
      <c r="R572" s="12">
        <f t="shared" ca="1" si="298"/>
        <v>16262</v>
      </c>
      <c r="S572" s="88">
        <f t="shared" si="276"/>
        <v>0</v>
      </c>
      <c r="T572" s="19">
        <f t="shared" si="299"/>
        <v>0</v>
      </c>
      <c r="U572" s="19">
        <f t="shared" si="300"/>
        <v>0</v>
      </c>
      <c r="V572" s="19">
        <f t="shared" si="286"/>
        <v>0</v>
      </c>
      <c r="W572" s="20">
        <f t="shared" ca="1" si="301"/>
        <v>0</v>
      </c>
      <c r="X572" s="19">
        <f t="shared" ca="1" si="302"/>
        <v>0</v>
      </c>
      <c r="Y572" s="19">
        <f t="shared" ca="1" si="303"/>
        <v>0</v>
      </c>
      <c r="Z572" s="20">
        <f t="shared" ca="1" si="304"/>
        <v>0</v>
      </c>
      <c r="AA572" s="1">
        <f t="shared" si="282"/>
        <v>5432.58</v>
      </c>
      <c r="AB572" s="93"/>
      <c r="AC572" s="94"/>
      <c r="AD572" s="101">
        <f t="shared" si="283"/>
        <v>57384</v>
      </c>
      <c r="AE572" s="103">
        <f t="shared" si="284"/>
        <v>0</v>
      </c>
      <c r="AG572" s="1">
        <f t="shared" si="305"/>
        <v>0</v>
      </c>
      <c r="AH572" s="1">
        <f t="shared" si="306"/>
        <v>0</v>
      </c>
      <c r="AI572" s="1">
        <f t="shared" si="285"/>
        <v>5432.58</v>
      </c>
      <c r="AJ572" s="20">
        <f t="shared" si="287"/>
        <v>0</v>
      </c>
      <c r="AK572" s="100">
        <f t="shared" si="289"/>
        <v>0</v>
      </c>
      <c r="AL572" s="100">
        <f t="shared" si="290"/>
        <v>0</v>
      </c>
      <c r="AN572" s="100">
        <f t="shared" si="291"/>
        <v>4127.2623042316864</v>
      </c>
      <c r="AO572" s="20">
        <f t="shared" si="292"/>
        <v>0</v>
      </c>
      <c r="AQ572" s="109">
        <f t="shared" si="293"/>
        <v>0</v>
      </c>
      <c r="AU572" s="109">
        <f t="shared" si="278"/>
        <v>25.801658402597127</v>
      </c>
      <c r="AV572" s="101">
        <f t="shared" si="294"/>
        <v>57414</v>
      </c>
      <c r="AW572" s="99">
        <f t="shared" si="295"/>
        <v>0</v>
      </c>
      <c r="AX572" s="1">
        <f t="shared" si="296"/>
        <v>0</v>
      </c>
      <c r="AY572" s="29">
        <f t="shared" si="297"/>
        <v>0</v>
      </c>
      <c r="AZ572" s="1">
        <f t="shared" si="279"/>
        <v>0</v>
      </c>
      <c r="CB572" s="20">
        <f t="shared" si="288"/>
        <v>0</v>
      </c>
      <c r="CC572" s="173">
        <f t="shared" si="280"/>
        <v>0</v>
      </c>
    </row>
    <row r="573" spans="3:81" x14ac:dyDescent="0.25">
      <c r="C573" s="42"/>
      <c r="D573" s="43"/>
      <c r="E573" s="44"/>
      <c r="F573" s="44"/>
      <c r="G573" s="45"/>
      <c r="H573" s="81" t="str">
        <f t="shared" si="277"/>
        <v/>
      </c>
      <c r="J573" s="7"/>
      <c r="K573" s="8"/>
      <c r="L573" s="16"/>
      <c r="M573" s="22"/>
      <c r="N573" s="22"/>
      <c r="O573" s="22"/>
      <c r="P573" s="22"/>
      <c r="Q573" s="1">
        <f t="shared" si="281"/>
        <v>0.60744618579017706</v>
      </c>
      <c r="R573" s="12">
        <f t="shared" ca="1" si="298"/>
        <v>16292</v>
      </c>
      <c r="S573" s="88">
        <f t="shared" si="276"/>
        <v>0</v>
      </c>
      <c r="T573" s="19">
        <f t="shared" si="299"/>
        <v>0</v>
      </c>
      <c r="U573" s="19">
        <f t="shared" si="300"/>
        <v>0</v>
      </c>
      <c r="V573" s="19">
        <f t="shared" si="286"/>
        <v>0</v>
      </c>
      <c r="W573" s="20">
        <f t="shared" ca="1" si="301"/>
        <v>0</v>
      </c>
      <c r="X573" s="19">
        <f t="shared" ca="1" si="302"/>
        <v>0</v>
      </c>
      <c r="Y573" s="19">
        <f t="shared" ca="1" si="303"/>
        <v>0</v>
      </c>
      <c r="Z573" s="20">
        <f t="shared" ca="1" si="304"/>
        <v>0</v>
      </c>
      <c r="AA573" s="1">
        <f t="shared" si="282"/>
        <v>5432.58</v>
      </c>
      <c r="AB573" s="91"/>
      <c r="AC573" s="92"/>
      <c r="AD573" s="101">
        <f t="shared" si="283"/>
        <v>57414</v>
      </c>
      <c r="AE573" s="103">
        <f t="shared" si="284"/>
        <v>0</v>
      </c>
      <c r="AG573" s="1">
        <f t="shared" si="305"/>
        <v>0</v>
      </c>
      <c r="AH573" s="1">
        <f t="shared" si="306"/>
        <v>0</v>
      </c>
      <c r="AI573" s="1">
        <f t="shared" si="285"/>
        <v>5432.58</v>
      </c>
      <c r="AJ573" s="20">
        <f t="shared" si="287"/>
        <v>0</v>
      </c>
      <c r="AK573" s="100">
        <f t="shared" si="289"/>
        <v>0</v>
      </c>
      <c r="AL573" s="100">
        <f t="shared" si="290"/>
        <v>0</v>
      </c>
      <c r="AN573" s="100">
        <f t="shared" si="291"/>
        <v>4125.1741198276777</v>
      </c>
      <c r="AO573" s="20">
        <f t="shared" si="292"/>
        <v>0</v>
      </c>
      <c r="AQ573" s="109">
        <f t="shared" si="293"/>
        <v>0</v>
      </c>
      <c r="AU573" s="109">
        <f t="shared" si="278"/>
        <v>25.7993937891423</v>
      </c>
      <c r="AV573" s="101">
        <f t="shared" si="294"/>
        <v>57444</v>
      </c>
      <c r="AW573" s="99">
        <f t="shared" si="295"/>
        <v>0</v>
      </c>
      <c r="AX573" s="1">
        <f t="shared" si="296"/>
        <v>0</v>
      </c>
      <c r="AY573" s="29">
        <f t="shared" si="297"/>
        <v>0</v>
      </c>
      <c r="AZ573" s="1">
        <f t="shared" si="279"/>
        <v>0</v>
      </c>
      <c r="CB573" s="20">
        <f t="shared" si="288"/>
        <v>0</v>
      </c>
      <c r="CC573" s="173">
        <f t="shared" si="280"/>
        <v>0</v>
      </c>
    </row>
    <row r="574" spans="3:81" x14ac:dyDescent="0.25">
      <c r="C574" s="42"/>
      <c r="D574" s="43"/>
      <c r="E574" s="44"/>
      <c r="F574" s="44"/>
      <c r="G574" s="45"/>
      <c r="H574" s="81" t="str">
        <f t="shared" si="277"/>
        <v/>
      </c>
      <c r="J574" s="9"/>
      <c r="K574" s="10"/>
      <c r="L574" s="17"/>
      <c r="M574" s="23"/>
      <c r="N574" s="23"/>
      <c r="O574" s="23"/>
      <c r="P574" s="23"/>
      <c r="Q574" s="1">
        <f t="shared" si="281"/>
        <v>0.60744618579017706</v>
      </c>
      <c r="R574" s="12">
        <f t="shared" ca="1" si="298"/>
        <v>16322</v>
      </c>
      <c r="S574" s="88">
        <f t="shared" si="276"/>
        <v>0</v>
      </c>
      <c r="T574" s="19">
        <f t="shared" si="299"/>
        <v>0</v>
      </c>
      <c r="U574" s="19">
        <f t="shared" si="300"/>
        <v>0</v>
      </c>
      <c r="V574" s="19">
        <f t="shared" si="286"/>
        <v>0</v>
      </c>
      <c r="W574" s="20">
        <f t="shared" ca="1" si="301"/>
        <v>0</v>
      </c>
      <c r="X574" s="19">
        <f t="shared" ca="1" si="302"/>
        <v>0</v>
      </c>
      <c r="Y574" s="19">
        <f t="shared" ca="1" si="303"/>
        <v>0</v>
      </c>
      <c r="Z574" s="20">
        <f t="shared" ca="1" si="304"/>
        <v>0</v>
      </c>
      <c r="AA574" s="1">
        <f t="shared" si="282"/>
        <v>5432.58</v>
      </c>
      <c r="AB574" s="93"/>
      <c r="AC574" s="94"/>
      <c r="AD574" s="101">
        <f t="shared" si="283"/>
        <v>57444</v>
      </c>
      <c r="AE574" s="103">
        <f t="shared" si="284"/>
        <v>0</v>
      </c>
      <c r="AG574" s="1">
        <f t="shared" si="305"/>
        <v>0</v>
      </c>
      <c r="AH574" s="1">
        <f t="shared" si="306"/>
        <v>0</v>
      </c>
      <c r="AI574" s="1">
        <f t="shared" si="285"/>
        <v>5432.58</v>
      </c>
      <c r="AJ574" s="20">
        <f t="shared" si="287"/>
        <v>0</v>
      </c>
      <c r="AK574" s="100">
        <f t="shared" si="289"/>
        <v>0</v>
      </c>
      <c r="AL574" s="100">
        <f t="shared" si="290"/>
        <v>0</v>
      </c>
      <c r="AN574" s="100">
        <f t="shared" si="291"/>
        <v>4123.086991938565</v>
      </c>
      <c r="AO574" s="20">
        <f t="shared" si="292"/>
        <v>0</v>
      </c>
      <c r="AQ574" s="109">
        <f t="shared" si="293"/>
        <v>0</v>
      </c>
      <c r="AU574" s="109">
        <f t="shared" si="278"/>
        <v>25.797129374452776</v>
      </c>
      <c r="AV574" s="101">
        <f t="shared" si="294"/>
        <v>57474</v>
      </c>
      <c r="AW574" s="99">
        <f t="shared" si="295"/>
        <v>0</v>
      </c>
      <c r="AX574" s="1">
        <f t="shared" si="296"/>
        <v>0</v>
      </c>
      <c r="AY574" s="29">
        <f t="shared" si="297"/>
        <v>0</v>
      </c>
      <c r="AZ574" s="1">
        <f t="shared" si="279"/>
        <v>0</v>
      </c>
      <c r="CB574" s="20">
        <f t="shared" si="288"/>
        <v>0</v>
      </c>
      <c r="CC574" s="173">
        <f t="shared" si="280"/>
        <v>0</v>
      </c>
    </row>
    <row r="575" spans="3:81" x14ac:dyDescent="0.25">
      <c r="C575" s="42"/>
      <c r="D575" s="43"/>
      <c r="E575" s="44"/>
      <c r="F575" s="44"/>
      <c r="G575" s="45"/>
      <c r="H575" s="81" t="str">
        <f t="shared" si="277"/>
        <v/>
      </c>
      <c r="J575" s="7"/>
      <c r="K575" s="8"/>
      <c r="L575" s="16"/>
      <c r="M575" s="22"/>
      <c r="N575" s="22"/>
      <c r="O575" s="22"/>
      <c r="P575" s="22"/>
      <c r="Q575" s="1">
        <f t="shared" si="281"/>
        <v>0.60744618579017706</v>
      </c>
      <c r="R575" s="12">
        <f t="shared" ca="1" si="298"/>
        <v>16352</v>
      </c>
      <c r="S575" s="88">
        <f t="shared" si="276"/>
        <v>0</v>
      </c>
      <c r="T575" s="19">
        <f t="shared" si="299"/>
        <v>0</v>
      </c>
      <c r="U575" s="19">
        <f t="shared" si="300"/>
        <v>0</v>
      </c>
      <c r="V575" s="19">
        <f t="shared" si="286"/>
        <v>0</v>
      </c>
      <c r="W575" s="20">
        <f t="shared" ca="1" si="301"/>
        <v>0</v>
      </c>
      <c r="X575" s="19">
        <f t="shared" ca="1" si="302"/>
        <v>0</v>
      </c>
      <c r="Y575" s="19">
        <f t="shared" ca="1" si="303"/>
        <v>0</v>
      </c>
      <c r="Z575" s="20">
        <f t="shared" ca="1" si="304"/>
        <v>0</v>
      </c>
      <c r="AA575" s="1">
        <f t="shared" si="282"/>
        <v>5432.58</v>
      </c>
      <c r="AB575" s="91"/>
      <c r="AC575" s="92"/>
      <c r="AD575" s="101">
        <f t="shared" si="283"/>
        <v>57474</v>
      </c>
      <c r="AE575" s="103">
        <f t="shared" si="284"/>
        <v>0</v>
      </c>
      <c r="AG575" s="1">
        <f t="shared" si="305"/>
        <v>0</v>
      </c>
      <c r="AH575" s="1">
        <f t="shared" si="306"/>
        <v>0</v>
      </c>
      <c r="AI575" s="1">
        <f t="shared" si="285"/>
        <v>5432.58</v>
      </c>
      <c r="AJ575" s="20">
        <f t="shared" si="287"/>
        <v>0</v>
      </c>
      <c r="AK575" s="100">
        <f t="shared" si="289"/>
        <v>0</v>
      </c>
      <c r="AL575" s="100">
        <f t="shared" si="290"/>
        <v>0</v>
      </c>
      <c r="AN575" s="100">
        <f t="shared" si="291"/>
        <v>4121.0009200298073</v>
      </c>
      <c r="AO575" s="20">
        <f t="shared" si="292"/>
        <v>0</v>
      </c>
      <c r="AQ575" s="109">
        <f t="shared" si="293"/>
        <v>0</v>
      </c>
      <c r="AU575" s="109">
        <f t="shared" si="278"/>
        <v>25.794865158511083</v>
      </c>
      <c r="AV575" s="101">
        <f t="shared" si="294"/>
        <v>57504</v>
      </c>
      <c r="AW575" s="99">
        <f t="shared" si="295"/>
        <v>0</v>
      </c>
      <c r="AX575" s="1">
        <f t="shared" si="296"/>
        <v>0</v>
      </c>
      <c r="AY575" s="29">
        <f t="shared" si="297"/>
        <v>0</v>
      </c>
      <c r="AZ575" s="1">
        <f t="shared" si="279"/>
        <v>0</v>
      </c>
      <c r="CB575" s="20">
        <f t="shared" si="288"/>
        <v>0</v>
      </c>
      <c r="CC575" s="173">
        <f t="shared" si="280"/>
        <v>0</v>
      </c>
    </row>
    <row r="576" spans="3:81" x14ac:dyDescent="0.25">
      <c r="C576" s="42"/>
      <c r="D576" s="43"/>
      <c r="E576" s="44"/>
      <c r="F576" s="44"/>
      <c r="G576" s="45"/>
      <c r="H576" s="81" t="str">
        <f t="shared" si="277"/>
        <v/>
      </c>
      <c r="J576" s="9"/>
      <c r="K576" s="10"/>
      <c r="L576" s="17"/>
      <c r="M576" s="23"/>
      <c r="N576" s="23"/>
      <c r="O576" s="23"/>
      <c r="P576" s="23"/>
      <c r="Q576" s="1">
        <f t="shared" si="281"/>
        <v>0.60744618579017706</v>
      </c>
      <c r="R576" s="12">
        <f t="shared" ca="1" si="298"/>
        <v>16382</v>
      </c>
      <c r="S576" s="88">
        <f t="shared" si="276"/>
        <v>0</v>
      </c>
      <c r="T576" s="19">
        <f t="shared" si="299"/>
        <v>0</v>
      </c>
      <c r="U576" s="19">
        <f t="shared" si="300"/>
        <v>0</v>
      </c>
      <c r="V576" s="19">
        <f t="shared" si="286"/>
        <v>0</v>
      </c>
      <c r="W576" s="20">
        <f t="shared" ca="1" si="301"/>
        <v>0</v>
      </c>
      <c r="X576" s="19">
        <f t="shared" ca="1" si="302"/>
        <v>0</v>
      </c>
      <c r="Y576" s="19">
        <f t="shared" ca="1" si="303"/>
        <v>0</v>
      </c>
      <c r="Z576" s="20">
        <f t="shared" ca="1" si="304"/>
        <v>0</v>
      </c>
      <c r="AA576" s="1">
        <f t="shared" si="282"/>
        <v>5432.58</v>
      </c>
      <c r="AB576" s="93"/>
      <c r="AC576" s="94"/>
      <c r="AD576" s="101">
        <f t="shared" si="283"/>
        <v>57504</v>
      </c>
      <c r="AE576" s="103">
        <f t="shared" si="284"/>
        <v>0</v>
      </c>
      <c r="AG576" s="1">
        <f t="shared" si="305"/>
        <v>0</v>
      </c>
      <c r="AH576" s="1">
        <f t="shared" si="306"/>
        <v>0</v>
      </c>
      <c r="AI576" s="1">
        <f t="shared" si="285"/>
        <v>5432.58</v>
      </c>
      <c r="AJ576" s="20">
        <f t="shared" si="287"/>
        <v>0</v>
      </c>
      <c r="AK576" s="100">
        <f t="shared" si="289"/>
        <v>0</v>
      </c>
      <c r="AL576" s="100">
        <f t="shared" si="290"/>
        <v>0</v>
      </c>
      <c r="AN576" s="100">
        <f t="shared" si="291"/>
        <v>4118.9159035671291</v>
      </c>
      <c r="AO576" s="20">
        <f t="shared" si="292"/>
        <v>0</v>
      </c>
      <c r="AQ576" s="109">
        <f t="shared" si="293"/>
        <v>0</v>
      </c>
      <c r="AU576" s="109">
        <f t="shared" si="278"/>
        <v>25.792601141299794</v>
      </c>
      <c r="AV576" s="101">
        <f t="shared" si="294"/>
        <v>57534</v>
      </c>
      <c r="AW576" s="99">
        <f t="shared" si="295"/>
        <v>0</v>
      </c>
      <c r="AX576" s="1">
        <f t="shared" si="296"/>
        <v>0</v>
      </c>
      <c r="AY576" s="29">
        <f t="shared" si="297"/>
        <v>0</v>
      </c>
      <c r="AZ576" s="1">
        <f t="shared" si="279"/>
        <v>0</v>
      </c>
      <c r="CB576" s="20">
        <f t="shared" si="288"/>
        <v>0</v>
      </c>
      <c r="CC576" s="173">
        <f t="shared" si="280"/>
        <v>0</v>
      </c>
    </row>
    <row r="577" spans="3:81" x14ac:dyDescent="0.25">
      <c r="C577" s="42"/>
      <c r="D577" s="43"/>
      <c r="E577" s="44"/>
      <c r="F577" s="44"/>
      <c r="G577" s="45"/>
      <c r="H577" s="81" t="str">
        <f t="shared" si="277"/>
        <v/>
      </c>
      <c r="J577" s="7"/>
      <c r="K577" s="8"/>
      <c r="L577" s="16"/>
      <c r="M577" s="22"/>
      <c r="N577" s="22"/>
      <c r="O577" s="22"/>
      <c r="P577" s="22"/>
      <c r="Q577" s="1">
        <f t="shared" si="281"/>
        <v>0.60744618579017706</v>
      </c>
      <c r="R577" s="12">
        <f t="shared" ca="1" si="298"/>
        <v>16412</v>
      </c>
      <c r="S577" s="88">
        <f t="shared" si="276"/>
        <v>0</v>
      </c>
      <c r="T577" s="19">
        <f t="shared" si="299"/>
        <v>0</v>
      </c>
      <c r="U577" s="19">
        <f t="shared" si="300"/>
        <v>0</v>
      </c>
      <c r="V577" s="19">
        <f t="shared" si="286"/>
        <v>0</v>
      </c>
      <c r="W577" s="20">
        <f t="shared" ca="1" si="301"/>
        <v>0</v>
      </c>
      <c r="X577" s="19">
        <f t="shared" ca="1" si="302"/>
        <v>0</v>
      </c>
      <c r="Y577" s="19">
        <f t="shared" ca="1" si="303"/>
        <v>0</v>
      </c>
      <c r="Z577" s="20">
        <f t="shared" ca="1" si="304"/>
        <v>0</v>
      </c>
      <c r="AA577" s="1">
        <f t="shared" si="282"/>
        <v>5432.58</v>
      </c>
      <c r="AB577" s="91"/>
      <c r="AC577" s="92"/>
      <c r="AD577" s="101">
        <f t="shared" si="283"/>
        <v>57534</v>
      </c>
      <c r="AE577" s="103">
        <f t="shared" si="284"/>
        <v>0</v>
      </c>
      <c r="AG577" s="1">
        <f t="shared" si="305"/>
        <v>0</v>
      </c>
      <c r="AH577" s="1">
        <f t="shared" si="306"/>
        <v>0</v>
      </c>
      <c r="AI577" s="1">
        <f t="shared" si="285"/>
        <v>5432.58</v>
      </c>
      <c r="AJ577" s="20">
        <f t="shared" si="287"/>
        <v>0</v>
      </c>
      <c r="AK577" s="100">
        <f t="shared" si="289"/>
        <v>0</v>
      </c>
      <c r="AL577" s="100">
        <f t="shared" si="290"/>
        <v>0</v>
      </c>
      <c r="AN577" s="100">
        <f t="shared" si="291"/>
        <v>4116.8319420165317</v>
      </c>
      <c r="AO577" s="20">
        <f t="shared" si="292"/>
        <v>0</v>
      </c>
      <c r="AQ577" s="109">
        <f t="shared" si="293"/>
        <v>0</v>
      </c>
      <c r="AU577" s="109">
        <f t="shared" si="278"/>
        <v>25.790337322801467</v>
      </c>
      <c r="AV577" s="101">
        <f t="shared" si="294"/>
        <v>57564</v>
      </c>
      <c r="AW577" s="99">
        <f t="shared" si="295"/>
        <v>0</v>
      </c>
      <c r="AX577" s="1">
        <f t="shared" si="296"/>
        <v>0</v>
      </c>
      <c r="AY577" s="29">
        <f t="shared" si="297"/>
        <v>0</v>
      </c>
      <c r="AZ577" s="1">
        <f t="shared" si="279"/>
        <v>0</v>
      </c>
      <c r="CB577" s="20">
        <f t="shared" si="288"/>
        <v>0</v>
      </c>
      <c r="CC577" s="173">
        <f t="shared" si="280"/>
        <v>0</v>
      </c>
    </row>
    <row r="578" spans="3:81" x14ac:dyDescent="0.25">
      <c r="C578" s="42"/>
      <c r="D578" s="43"/>
      <c r="E578" s="44"/>
      <c r="F578" s="44"/>
      <c r="G578" s="45"/>
      <c r="H578" s="81" t="str">
        <f t="shared" si="277"/>
        <v/>
      </c>
      <c r="J578" s="9"/>
      <c r="K578" s="10"/>
      <c r="L578" s="17"/>
      <c r="M578" s="23"/>
      <c r="N578" s="23"/>
      <c r="O578" s="23"/>
      <c r="P578" s="23"/>
      <c r="Q578" s="1">
        <f t="shared" si="281"/>
        <v>0.60744618579017706</v>
      </c>
      <c r="R578" s="12">
        <f t="shared" ca="1" si="298"/>
        <v>16442</v>
      </c>
      <c r="S578" s="88">
        <f t="shared" si="276"/>
        <v>0</v>
      </c>
      <c r="T578" s="19">
        <f t="shared" si="299"/>
        <v>0</v>
      </c>
      <c r="U578" s="19">
        <f t="shared" si="300"/>
        <v>0</v>
      </c>
      <c r="V578" s="19">
        <f t="shared" si="286"/>
        <v>0</v>
      </c>
      <c r="W578" s="20">
        <f t="shared" ca="1" si="301"/>
        <v>0</v>
      </c>
      <c r="X578" s="19">
        <f t="shared" ca="1" si="302"/>
        <v>0</v>
      </c>
      <c r="Y578" s="19">
        <f t="shared" ca="1" si="303"/>
        <v>0</v>
      </c>
      <c r="Z578" s="20">
        <f t="shared" ca="1" si="304"/>
        <v>0</v>
      </c>
      <c r="AA578" s="1">
        <f t="shared" si="282"/>
        <v>5432.58</v>
      </c>
      <c r="AB578" s="93"/>
      <c r="AC578" s="94"/>
      <c r="AD578" s="101">
        <f t="shared" si="283"/>
        <v>57564</v>
      </c>
      <c r="AE578" s="103">
        <f t="shared" si="284"/>
        <v>0</v>
      </c>
      <c r="AG578" s="1">
        <f t="shared" si="305"/>
        <v>0</v>
      </c>
      <c r="AH578" s="1">
        <f t="shared" si="306"/>
        <v>0</v>
      </c>
      <c r="AI578" s="1">
        <f t="shared" si="285"/>
        <v>5432.58</v>
      </c>
      <c r="AJ578" s="20">
        <f t="shared" si="287"/>
        <v>0</v>
      </c>
      <c r="AK578" s="100">
        <f t="shared" si="289"/>
        <v>0</v>
      </c>
      <c r="AL578" s="100">
        <f t="shared" si="290"/>
        <v>0</v>
      </c>
      <c r="AN578" s="100">
        <f t="shared" si="291"/>
        <v>4114.7490348442816</v>
      </c>
      <c r="AO578" s="20">
        <f t="shared" si="292"/>
        <v>0</v>
      </c>
      <c r="AQ578" s="109">
        <f t="shared" si="293"/>
        <v>0</v>
      </c>
      <c r="AU578" s="109">
        <f t="shared" si="278"/>
        <v>25.788073702998645</v>
      </c>
      <c r="AV578" s="101">
        <f t="shared" si="294"/>
        <v>57594</v>
      </c>
      <c r="AW578" s="99">
        <f t="shared" si="295"/>
        <v>0</v>
      </c>
      <c r="AX578" s="1">
        <f t="shared" si="296"/>
        <v>0</v>
      </c>
      <c r="AY578" s="29">
        <f t="shared" si="297"/>
        <v>0</v>
      </c>
      <c r="AZ578" s="1">
        <f t="shared" si="279"/>
        <v>0</v>
      </c>
      <c r="CB578" s="20">
        <f t="shared" si="288"/>
        <v>0</v>
      </c>
      <c r="CC578" s="173">
        <f t="shared" si="280"/>
        <v>0</v>
      </c>
    </row>
    <row r="579" spans="3:81" x14ac:dyDescent="0.25">
      <c r="C579" s="42"/>
      <c r="D579" s="43"/>
      <c r="E579" s="44"/>
      <c r="F579" s="44"/>
      <c r="G579" s="45"/>
      <c r="H579" s="81" t="str">
        <f t="shared" si="277"/>
        <v/>
      </c>
      <c r="J579" s="7"/>
      <c r="K579" s="8"/>
      <c r="L579" s="16"/>
      <c r="M579" s="22"/>
      <c r="N579" s="22"/>
      <c r="O579" s="22"/>
      <c r="P579" s="22"/>
      <c r="Q579" s="1">
        <f t="shared" si="281"/>
        <v>0.60744618579017706</v>
      </c>
      <c r="R579" s="12">
        <f t="shared" ca="1" si="298"/>
        <v>16472</v>
      </c>
      <c r="S579" s="88">
        <f t="shared" ref="S579:S642" si="307">N579+M579</f>
        <v>0</v>
      </c>
      <c r="T579" s="19">
        <f t="shared" si="299"/>
        <v>0</v>
      </c>
      <c r="U579" s="19">
        <f t="shared" si="300"/>
        <v>0</v>
      </c>
      <c r="V579" s="19">
        <f t="shared" si="286"/>
        <v>0</v>
      </c>
      <c r="W579" s="20">
        <f t="shared" ca="1" si="301"/>
        <v>0</v>
      </c>
      <c r="X579" s="19">
        <f t="shared" ca="1" si="302"/>
        <v>0</v>
      </c>
      <c r="Y579" s="19">
        <f t="shared" ca="1" si="303"/>
        <v>0</v>
      </c>
      <c r="Z579" s="20">
        <f t="shared" ca="1" si="304"/>
        <v>0</v>
      </c>
      <c r="AA579" s="1">
        <f t="shared" si="282"/>
        <v>5432.58</v>
      </c>
      <c r="AB579" s="91"/>
      <c r="AC579" s="92"/>
      <c r="AD579" s="101">
        <f t="shared" si="283"/>
        <v>57594</v>
      </c>
      <c r="AE579" s="103">
        <f t="shared" si="284"/>
        <v>0</v>
      </c>
      <c r="AG579" s="1">
        <f t="shared" si="305"/>
        <v>0</v>
      </c>
      <c r="AH579" s="1">
        <f t="shared" si="306"/>
        <v>0</v>
      </c>
      <c r="AI579" s="1">
        <f t="shared" si="285"/>
        <v>5432.58</v>
      </c>
      <c r="AJ579" s="20">
        <f t="shared" si="287"/>
        <v>0</v>
      </c>
      <c r="AK579" s="100">
        <f t="shared" si="289"/>
        <v>0</v>
      </c>
      <c r="AL579" s="100">
        <f t="shared" si="290"/>
        <v>0</v>
      </c>
      <c r="AN579" s="100">
        <f t="shared" si="291"/>
        <v>4112.6671815169157</v>
      </c>
      <c r="AO579" s="20">
        <f t="shared" si="292"/>
        <v>0</v>
      </c>
      <c r="AQ579" s="109">
        <f t="shared" si="293"/>
        <v>0</v>
      </c>
      <c r="AU579" s="109">
        <f t="shared" si="278"/>
        <v>25.785810281873907</v>
      </c>
      <c r="AV579" s="101">
        <f t="shared" si="294"/>
        <v>57624</v>
      </c>
      <c r="AW579" s="99">
        <f t="shared" si="295"/>
        <v>0</v>
      </c>
      <c r="AX579" s="1">
        <f t="shared" si="296"/>
        <v>0</v>
      </c>
      <c r="AY579" s="29">
        <f t="shared" si="297"/>
        <v>0</v>
      </c>
      <c r="AZ579" s="1">
        <f t="shared" si="279"/>
        <v>0</v>
      </c>
      <c r="CB579" s="20">
        <f t="shared" si="288"/>
        <v>0</v>
      </c>
      <c r="CC579" s="173">
        <f t="shared" si="280"/>
        <v>0</v>
      </c>
    </row>
    <row r="580" spans="3:81" x14ac:dyDescent="0.25">
      <c r="C580" s="42"/>
      <c r="D580" s="43"/>
      <c r="E580" s="44"/>
      <c r="F580" s="44"/>
      <c r="G580" s="45"/>
      <c r="H580" s="81" t="str">
        <f t="shared" si="277"/>
        <v/>
      </c>
      <c r="J580" s="9"/>
      <c r="K580" s="10"/>
      <c r="L580" s="17"/>
      <c r="M580" s="23"/>
      <c r="N580" s="23"/>
      <c r="O580" s="23"/>
      <c r="P580" s="23"/>
      <c r="Q580" s="1">
        <f t="shared" si="281"/>
        <v>0.60744618579017706</v>
      </c>
      <c r="R580" s="12">
        <f t="shared" ca="1" si="298"/>
        <v>16502</v>
      </c>
      <c r="S580" s="88">
        <f t="shared" si="307"/>
        <v>0</v>
      </c>
      <c r="T580" s="19">
        <f t="shared" si="299"/>
        <v>0</v>
      </c>
      <c r="U580" s="19">
        <f t="shared" si="300"/>
        <v>0</v>
      </c>
      <c r="V580" s="19">
        <f t="shared" si="286"/>
        <v>0</v>
      </c>
      <c r="W580" s="20">
        <f t="shared" ca="1" si="301"/>
        <v>0</v>
      </c>
      <c r="X580" s="19">
        <f t="shared" ca="1" si="302"/>
        <v>0</v>
      </c>
      <c r="Y580" s="19">
        <f t="shared" ca="1" si="303"/>
        <v>0</v>
      </c>
      <c r="Z580" s="20">
        <f t="shared" ca="1" si="304"/>
        <v>0</v>
      </c>
      <c r="AA580" s="1">
        <f t="shared" si="282"/>
        <v>5432.58</v>
      </c>
      <c r="AB580" s="93"/>
      <c r="AC580" s="94"/>
      <c r="AD580" s="101">
        <f t="shared" si="283"/>
        <v>57624</v>
      </c>
      <c r="AE580" s="103">
        <f t="shared" si="284"/>
        <v>0</v>
      </c>
      <c r="AG580" s="1">
        <f t="shared" si="305"/>
        <v>0</v>
      </c>
      <c r="AH580" s="1">
        <f t="shared" si="306"/>
        <v>0</v>
      </c>
      <c r="AI580" s="1">
        <f t="shared" si="285"/>
        <v>5432.58</v>
      </c>
      <c r="AJ580" s="20">
        <f t="shared" si="287"/>
        <v>0</v>
      </c>
      <c r="AK580" s="100">
        <f t="shared" si="289"/>
        <v>0</v>
      </c>
      <c r="AL580" s="100">
        <f t="shared" si="290"/>
        <v>0</v>
      </c>
      <c r="AN580" s="100">
        <f t="shared" si="291"/>
        <v>4110.5863815012463</v>
      </c>
      <c r="AO580" s="20">
        <f t="shared" si="292"/>
        <v>0</v>
      </c>
      <c r="AQ580" s="109">
        <f t="shared" si="293"/>
        <v>0</v>
      </c>
      <c r="AU580" s="109">
        <f t="shared" si="278"/>
        <v>25.783547059409802</v>
      </c>
      <c r="AV580" s="101">
        <f t="shared" si="294"/>
        <v>57654</v>
      </c>
      <c r="AW580" s="99">
        <f t="shared" si="295"/>
        <v>0</v>
      </c>
      <c r="AX580" s="1">
        <f t="shared" si="296"/>
        <v>0</v>
      </c>
      <c r="AY580" s="29">
        <f t="shared" si="297"/>
        <v>0</v>
      </c>
      <c r="AZ580" s="1">
        <f t="shared" si="279"/>
        <v>0</v>
      </c>
      <c r="CB580" s="20">
        <f t="shared" si="288"/>
        <v>0</v>
      </c>
      <c r="CC580" s="173">
        <f t="shared" si="280"/>
        <v>0</v>
      </c>
    </row>
    <row r="581" spans="3:81" x14ac:dyDescent="0.25">
      <c r="C581" s="42"/>
      <c r="D581" s="43"/>
      <c r="E581" s="44"/>
      <c r="F581" s="44"/>
      <c r="G581" s="45"/>
      <c r="H581" s="81" t="str">
        <f t="shared" si="277"/>
        <v/>
      </c>
      <c r="J581" s="7"/>
      <c r="K581" s="8"/>
      <c r="L581" s="16"/>
      <c r="M581" s="22"/>
      <c r="N581" s="22"/>
      <c r="O581" s="22"/>
      <c r="P581" s="22"/>
      <c r="Q581" s="1">
        <f t="shared" si="281"/>
        <v>0.60744618579017706</v>
      </c>
      <c r="R581" s="12">
        <f t="shared" ca="1" si="298"/>
        <v>16532</v>
      </c>
      <c r="S581" s="88">
        <f t="shared" si="307"/>
        <v>0</v>
      </c>
      <c r="T581" s="19">
        <f t="shared" si="299"/>
        <v>0</v>
      </c>
      <c r="U581" s="19">
        <f t="shared" si="300"/>
        <v>0</v>
      </c>
      <c r="V581" s="19">
        <f t="shared" si="286"/>
        <v>0</v>
      </c>
      <c r="W581" s="20">
        <f t="shared" ca="1" si="301"/>
        <v>0</v>
      </c>
      <c r="X581" s="19">
        <f t="shared" ca="1" si="302"/>
        <v>0</v>
      </c>
      <c r="Y581" s="19">
        <f t="shared" ca="1" si="303"/>
        <v>0</v>
      </c>
      <c r="Z581" s="20">
        <f t="shared" ca="1" si="304"/>
        <v>0</v>
      </c>
      <c r="AA581" s="1">
        <f t="shared" si="282"/>
        <v>5432.58</v>
      </c>
      <c r="AB581" s="91"/>
      <c r="AC581" s="92"/>
      <c r="AD581" s="101">
        <f t="shared" si="283"/>
        <v>57654</v>
      </c>
      <c r="AE581" s="103">
        <f t="shared" si="284"/>
        <v>0</v>
      </c>
      <c r="AG581" s="1">
        <f t="shared" si="305"/>
        <v>0</v>
      </c>
      <c r="AH581" s="1">
        <f t="shared" si="306"/>
        <v>0</v>
      </c>
      <c r="AI581" s="1">
        <f t="shared" si="285"/>
        <v>5432.58</v>
      </c>
      <c r="AJ581" s="20">
        <f t="shared" si="287"/>
        <v>0</v>
      </c>
      <c r="AK581" s="100">
        <f t="shared" si="289"/>
        <v>0</v>
      </c>
      <c r="AL581" s="100">
        <f t="shared" si="290"/>
        <v>0</v>
      </c>
      <c r="AN581" s="100">
        <f t="shared" si="291"/>
        <v>4108.5066342643477</v>
      </c>
      <c r="AO581" s="20">
        <f t="shared" si="292"/>
        <v>0</v>
      </c>
      <c r="AQ581" s="109">
        <f t="shared" si="293"/>
        <v>0</v>
      </c>
      <c r="AU581" s="109">
        <f t="shared" si="278"/>
        <v>25.781284035588911</v>
      </c>
      <c r="AV581" s="101">
        <f t="shared" si="294"/>
        <v>57684</v>
      </c>
      <c r="AW581" s="99">
        <f t="shared" si="295"/>
        <v>0</v>
      </c>
      <c r="AX581" s="1">
        <f t="shared" si="296"/>
        <v>0</v>
      </c>
      <c r="AY581" s="29">
        <f t="shared" si="297"/>
        <v>0</v>
      </c>
      <c r="AZ581" s="1">
        <f t="shared" si="279"/>
        <v>0</v>
      </c>
      <c r="CB581" s="20">
        <f t="shared" si="288"/>
        <v>0</v>
      </c>
      <c r="CC581" s="173">
        <f t="shared" si="280"/>
        <v>0</v>
      </c>
    </row>
    <row r="582" spans="3:81" x14ac:dyDescent="0.25">
      <c r="C582" s="42"/>
      <c r="D582" s="43"/>
      <c r="E582" s="44"/>
      <c r="F582" s="44"/>
      <c r="G582" s="45"/>
      <c r="H582" s="81" t="str">
        <f t="shared" si="277"/>
        <v/>
      </c>
      <c r="J582" s="9"/>
      <c r="K582" s="10"/>
      <c r="L582" s="17"/>
      <c r="M582" s="23"/>
      <c r="N582" s="23"/>
      <c r="O582" s="23"/>
      <c r="P582" s="23"/>
      <c r="Q582" s="1">
        <f t="shared" si="281"/>
        <v>0.60744618579017706</v>
      </c>
      <c r="R582" s="12">
        <f t="shared" ca="1" si="298"/>
        <v>16562</v>
      </c>
      <c r="S582" s="88">
        <f t="shared" si="307"/>
        <v>0</v>
      </c>
      <c r="T582" s="19">
        <f t="shared" si="299"/>
        <v>0</v>
      </c>
      <c r="U582" s="19">
        <f t="shared" si="300"/>
        <v>0</v>
      </c>
      <c r="V582" s="19">
        <f t="shared" si="286"/>
        <v>0</v>
      </c>
      <c r="W582" s="20">
        <f t="shared" ca="1" si="301"/>
        <v>0</v>
      </c>
      <c r="X582" s="19">
        <f t="shared" ca="1" si="302"/>
        <v>0</v>
      </c>
      <c r="Y582" s="19">
        <f t="shared" ca="1" si="303"/>
        <v>0</v>
      </c>
      <c r="Z582" s="20">
        <f t="shared" ca="1" si="304"/>
        <v>0</v>
      </c>
      <c r="AA582" s="1">
        <f t="shared" si="282"/>
        <v>5432.58</v>
      </c>
      <c r="AB582" s="93"/>
      <c r="AC582" s="94"/>
      <c r="AD582" s="101">
        <f t="shared" si="283"/>
        <v>57684</v>
      </c>
      <c r="AE582" s="103">
        <f t="shared" si="284"/>
        <v>0</v>
      </c>
      <c r="AG582" s="1">
        <f t="shared" si="305"/>
        <v>0</v>
      </c>
      <c r="AH582" s="1">
        <f t="shared" si="306"/>
        <v>0</v>
      </c>
      <c r="AI582" s="1">
        <f t="shared" si="285"/>
        <v>5432.58</v>
      </c>
      <c r="AJ582" s="20">
        <f t="shared" si="287"/>
        <v>0</v>
      </c>
      <c r="AK582" s="100">
        <f t="shared" si="289"/>
        <v>0</v>
      </c>
      <c r="AL582" s="100">
        <f t="shared" si="290"/>
        <v>0</v>
      </c>
      <c r="AN582" s="100">
        <f t="shared" si="291"/>
        <v>4106.4279392735689</v>
      </c>
      <c r="AO582" s="20">
        <f t="shared" si="292"/>
        <v>0</v>
      </c>
      <c r="AQ582" s="109">
        <f t="shared" si="293"/>
        <v>0</v>
      </c>
      <c r="AU582" s="109">
        <f t="shared" si="278"/>
        <v>25.779021210393779</v>
      </c>
      <c r="AV582" s="101">
        <f t="shared" si="294"/>
        <v>57714</v>
      </c>
      <c r="AW582" s="99">
        <f t="shared" si="295"/>
        <v>0</v>
      </c>
      <c r="AX582" s="1">
        <f t="shared" si="296"/>
        <v>0</v>
      </c>
      <c r="AY582" s="29">
        <f t="shared" si="297"/>
        <v>0</v>
      </c>
      <c r="AZ582" s="1">
        <f t="shared" si="279"/>
        <v>0</v>
      </c>
      <c r="CB582" s="20">
        <f t="shared" si="288"/>
        <v>0</v>
      </c>
      <c r="CC582" s="173">
        <f t="shared" si="280"/>
        <v>0</v>
      </c>
    </row>
    <row r="583" spans="3:81" x14ac:dyDescent="0.25">
      <c r="C583" s="42"/>
      <c r="D583" s="43"/>
      <c r="E583" s="44"/>
      <c r="F583" s="44"/>
      <c r="G583" s="45"/>
      <c r="H583" s="81" t="str">
        <f t="shared" si="277"/>
        <v/>
      </c>
      <c r="J583" s="7"/>
      <c r="K583" s="8"/>
      <c r="L583" s="16"/>
      <c r="M583" s="22"/>
      <c r="N583" s="22"/>
      <c r="O583" s="22"/>
      <c r="P583" s="22"/>
      <c r="Q583" s="1">
        <f t="shared" si="281"/>
        <v>0.60744618579017706</v>
      </c>
      <c r="R583" s="12">
        <f t="shared" ca="1" si="298"/>
        <v>16592</v>
      </c>
      <c r="S583" s="88">
        <f t="shared" si="307"/>
        <v>0</v>
      </c>
      <c r="T583" s="19">
        <f t="shared" si="299"/>
        <v>0</v>
      </c>
      <c r="U583" s="19">
        <f t="shared" si="300"/>
        <v>0</v>
      </c>
      <c r="V583" s="19">
        <f t="shared" si="286"/>
        <v>0</v>
      </c>
      <c r="W583" s="20">
        <f t="shared" ca="1" si="301"/>
        <v>0</v>
      </c>
      <c r="X583" s="19">
        <f t="shared" ca="1" si="302"/>
        <v>0</v>
      </c>
      <c r="Y583" s="19">
        <f t="shared" ca="1" si="303"/>
        <v>0</v>
      </c>
      <c r="Z583" s="20">
        <f t="shared" ca="1" si="304"/>
        <v>0</v>
      </c>
      <c r="AA583" s="1">
        <f t="shared" si="282"/>
        <v>5432.58</v>
      </c>
      <c r="AB583" s="91"/>
      <c r="AC583" s="92"/>
      <c r="AD583" s="101">
        <f t="shared" si="283"/>
        <v>57714</v>
      </c>
      <c r="AE583" s="103">
        <f t="shared" si="284"/>
        <v>0</v>
      </c>
      <c r="AG583" s="1">
        <f t="shared" si="305"/>
        <v>0</v>
      </c>
      <c r="AH583" s="1">
        <f t="shared" si="306"/>
        <v>0</v>
      </c>
      <c r="AI583" s="1">
        <f t="shared" si="285"/>
        <v>5432.58</v>
      </c>
      <c r="AJ583" s="20">
        <f t="shared" si="287"/>
        <v>0</v>
      </c>
      <c r="AK583" s="100">
        <f t="shared" si="289"/>
        <v>0</v>
      </c>
      <c r="AL583" s="100">
        <f t="shared" si="290"/>
        <v>0</v>
      </c>
      <c r="AN583" s="100">
        <f t="shared" si="291"/>
        <v>4104.3502959965272</v>
      </c>
      <c r="AO583" s="20">
        <f t="shared" si="292"/>
        <v>0</v>
      </c>
      <c r="AQ583" s="109">
        <f t="shared" si="293"/>
        <v>0</v>
      </c>
      <c r="AU583" s="109">
        <f t="shared" si="278"/>
        <v>25.776758583806981</v>
      </c>
      <c r="AV583" s="101">
        <f t="shared" si="294"/>
        <v>57744</v>
      </c>
      <c r="AW583" s="99">
        <f t="shared" si="295"/>
        <v>0</v>
      </c>
      <c r="AX583" s="1">
        <f t="shared" si="296"/>
        <v>0</v>
      </c>
      <c r="AY583" s="29">
        <f t="shared" si="297"/>
        <v>0</v>
      </c>
      <c r="AZ583" s="1">
        <f t="shared" si="279"/>
        <v>0</v>
      </c>
      <c r="CB583" s="20">
        <f t="shared" si="288"/>
        <v>0</v>
      </c>
      <c r="CC583" s="173">
        <f t="shared" si="280"/>
        <v>0</v>
      </c>
    </row>
    <row r="584" spans="3:81" x14ac:dyDescent="0.25">
      <c r="C584" s="42"/>
      <c r="D584" s="43"/>
      <c r="E584" s="44"/>
      <c r="F584" s="44"/>
      <c r="G584" s="45"/>
      <c r="H584" s="81" t="str">
        <f t="shared" si="277"/>
        <v/>
      </c>
      <c r="J584" s="9"/>
      <c r="K584" s="10"/>
      <c r="L584" s="17"/>
      <c r="M584" s="23"/>
      <c r="N584" s="23"/>
      <c r="O584" s="23"/>
      <c r="P584" s="23"/>
      <c r="Q584" s="1">
        <f t="shared" si="281"/>
        <v>0.60744618579017706</v>
      </c>
      <c r="R584" s="12">
        <f t="shared" ca="1" si="298"/>
        <v>16622</v>
      </c>
      <c r="S584" s="88">
        <f t="shared" si="307"/>
        <v>0</v>
      </c>
      <c r="T584" s="19">
        <f t="shared" si="299"/>
        <v>0</v>
      </c>
      <c r="U584" s="19">
        <f t="shared" si="300"/>
        <v>0</v>
      </c>
      <c r="V584" s="19">
        <f t="shared" si="286"/>
        <v>0</v>
      </c>
      <c r="W584" s="20">
        <f t="shared" ca="1" si="301"/>
        <v>0</v>
      </c>
      <c r="X584" s="19">
        <f t="shared" ca="1" si="302"/>
        <v>0</v>
      </c>
      <c r="Y584" s="19">
        <f t="shared" ca="1" si="303"/>
        <v>0</v>
      </c>
      <c r="Z584" s="20">
        <f t="shared" ca="1" si="304"/>
        <v>0</v>
      </c>
      <c r="AA584" s="1">
        <f t="shared" si="282"/>
        <v>5432.58</v>
      </c>
      <c r="AB584" s="93"/>
      <c r="AC584" s="94"/>
      <c r="AD584" s="101">
        <f t="shared" si="283"/>
        <v>57744</v>
      </c>
      <c r="AE584" s="103">
        <f t="shared" si="284"/>
        <v>0</v>
      </c>
      <c r="AG584" s="1">
        <f t="shared" si="305"/>
        <v>0</v>
      </c>
      <c r="AH584" s="1">
        <f t="shared" si="306"/>
        <v>0</v>
      </c>
      <c r="AI584" s="1">
        <f t="shared" si="285"/>
        <v>5432.58</v>
      </c>
      <c r="AJ584" s="20">
        <f t="shared" si="287"/>
        <v>0</v>
      </c>
      <c r="AK584" s="100">
        <f t="shared" si="289"/>
        <v>0</v>
      </c>
      <c r="AL584" s="100">
        <f t="shared" si="290"/>
        <v>0</v>
      </c>
      <c r="AN584" s="100">
        <f t="shared" si="291"/>
        <v>4102.273703901109</v>
      </c>
      <c r="AO584" s="20">
        <f t="shared" si="292"/>
        <v>0</v>
      </c>
      <c r="AQ584" s="109">
        <f t="shared" si="293"/>
        <v>0</v>
      </c>
      <c r="AU584" s="109">
        <f t="shared" si="278"/>
        <v>25.774496155811079</v>
      </c>
      <c r="AV584" s="101">
        <f t="shared" si="294"/>
        <v>57774</v>
      </c>
      <c r="AW584" s="99">
        <f t="shared" si="295"/>
        <v>0</v>
      </c>
      <c r="AX584" s="1">
        <f t="shared" si="296"/>
        <v>0</v>
      </c>
      <c r="AY584" s="29">
        <f t="shared" si="297"/>
        <v>0</v>
      </c>
      <c r="AZ584" s="1">
        <f t="shared" si="279"/>
        <v>0</v>
      </c>
      <c r="CB584" s="20">
        <f t="shared" si="288"/>
        <v>0</v>
      </c>
      <c r="CC584" s="173">
        <f t="shared" si="280"/>
        <v>0</v>
      </c>
    </row>
    <row r="585" spans="3:81" x14ac:dyDescent="0.25">
      <c r="C585" s="42"/>
      <c r="D585" s="43"/>
      <c r="E585" s="44"/>
      <c r="F585" s="44"/>
      <c r="G585" s="45"/>
      <c r="H585" s="81" t="str">
        <f t="shared" si="277"/>
        <v/>
      </c>
      <c r="J585" s="7"/>
      <c r="K585" s="8"/>
      <c r="L585" s="16"/>
      <c r="M585" s="22"/>
      <c r="N585" s="22"/>
      <c r="O585" s="22"/>
      <c r="P585" s="22"/>
      <c r="Q585" s="1">
        <f t="shared" si="281"/>
        <v>0.60744618579017706</v>
      </c>
      <c r="R585" s="12">
        <f t="shared" ca="1" si="298"/>
        <v>16652</v>
      </c>
      <c r="S585" s="88">
        <f t="shared" si="307"/>
        <v>0</v>
      </c>
      <c r="T585" s="19">
        <f t="shared" si="299"/>
        <v>0</v>
      </c>
      <c r="U585" s="19">
        <f t="shared" si="300"/>
        <v>0</v>
      </c>
      <c r="V585" s="19">
        <f t="shared" si="286"/>
        <v>0</v>
      </c>
      <c r="W585" s="20">
        <f t="shared" ca="1" si="301"/>
        <v>0</v>
      </c>
      <c r="X585" s="19">
        <f t="shared" ca="1" si="302"/>
        <v>0</v>
      </c>
      <c r="Y585" s="19">
        <f t="shared" ca="1" si="303"/>
        <v>0</v>
      </c>
      <c r="Z585" s="20">
        <f t="shared" ca="1" si="304"/>
        <v>0</v>
      </c>
      <c r="AA585" s="1">
        <f t="shared" si="282"/>
        <v>5432.58</v>
      </c>
      <c r="AB585" s="91"/>
      <c r="AC585" s="92"/>
      <c r="AD585" s="101">
        <f t="shared" si="283"/>
        <v>57774</v>
      </c>
      <c r="AE585" s="103">
        <f t="shared" si="284"/>
        <v>0</v>
      </c>
      <c r="AG585" s="1">
        <f t="shared" si="305"/>
        <v>0</v>
      </c>
      <c r="AH585" s="1">
        <f t="shared" si="306"/>
        <v>0</v>
      </c>
      <c r="AI585" s="1">
        <f t="shared" si="285"/>
        <v>5432.58</v>
      </c>
      <c r="AJ585" s="20">
        <f t="shared" si="287"/>
        <v>0</v>
      </c>
      <c r="AK585" s="100">
        <f t="shared" si="289"/>
        <v>0</v>
      </c>
      <c r="AL585" s="100">
        <f t="shared" si="290"/>
        <v>0</v>
      </c>
      <c r="AN585" s="100">
        <f t="shared" si="291"/>
        <v>4100.1981624554674</v>
      </c>
      <c r="AO585" s="20">
        <f t="shared" si="292"/>
        <v>0</v>
      </c>
      <c r="AQ585" s="109">
        <f t="shared" si="293"/>
        <v>0</v>
      </c>
      <c r="AU585" s="109">
        <f t="shared" si="278"/>
        <v>25.772233926388662</v>
      </c>
      <c r="AV585" s="101">
        <f t="shared" si="294"/>
        <v>57804</v>
      </c>
      <c r="AW585" s="99">
        <f t="shared" si="295"/>
        <v>0</v>
      </c>
      <c r="AX585" s="1">
        <f t="shared" si="296"/>
        <v>0</v>
      </c>
      <c r="AY585" s="29">
        <f t="shared" si="297"/>
        <v>0</v>
      </c>
      <c r="AZ585" s="1">
        <f t="shared" si="279"/>
        <v>0</v>
      </c>
      <c r="CB585" s="20">
        <f t="shared" si="288"/>
        <v>0</v>
      </c>
      <c r="CC585" s="173">
        <f t="shared" si="280"/>
        <v>0</v>
      </c>
    </row>
    <row r="586" spans="3:81" x14ac:dyDescent="0.25">
      <c r="C586" s="42"/>
      <c r="D586" s="43"/>
      <c r="E586" s="44"/>
      <c r="F586" s="44"/>
      <c r="G586" s="45"/>
      <c r="H586" s="81" t="str">
        <f t="shared" si="277"/>
        <v/>
      </c>
      <c r="J586" s="9"/>
      <c r="K586" s="10"/>
      <c r="L586" s="17"/>
      <c r="M586" s="23"/>
      <c r="N586" s="23"/>
      <c r="O586" s="23"/>
      <c r="P586" s="23"/>
      <c r="Q586" s="1">
        <f t="shared" si="281"/>
        <v>0.60744618579017706</v>
      </c>
      <c r="R586" s="12">
        <f t="shared" ca="1" si="298"/>
        <v>16682</v>
      </c>
      <c r="S586" s="88">
        <f t="shared" si="307"/>
        <v>0</v>
      </c>
      <c r="T586" s="19">
        <f t="shared" si="299"/>
        <v>0</v>
      </c>
      <c r="U586" s="19">
        <f t="shared" si="300"/>
        <v>0</v>
      </c>
      <c r="V586" s="19">
        <f t="shared" si="286"/>
        <v>0</v>
      </c>
      <c r="W586" s="20">
        <f t="shared" ca="1" si="301"/>
        <v>0</v>
      </c>
      <c r="X586" s="19">
        <f t="shared" ca="1" si="302"/>
        <v>0</v>
      </c>
      <c r="Y586" s="19">
        <f t="shared" ca="1" si="303"/>
        <v>0</v>
      </c>
      <c r="Z586" s="20">
        <f t="shared" ca="1" si="304"/>
        <v>0</v>
      </c>
      <c r="AA586" s="1">
        <f t="shared" si="282"/>
        <v>5432.58</v>
      </c>
      <c r="AB586" s="93"/>
      <c r="AC586" s="94"/>
      <c r="AD586" s="101">
        <f t="shared" si="283"/>
        <v>57804</v>
      </c>
      <c r="AE586" s="103">
        <f t="shared" si="284"/>
        <v>0</v>
      </c>
      <c r="AG586" s="1">
        <f t="shared" si="305"/>
        <v>0</v>
      </c>
      <c r="AH586" s="1">
        <f t="shared" si="306"/>
        <v>0</v>
      </c>
      <c r="AI586" s="1">
        <f t="shared" si="285"/>
        <v>5432.58</v>
      </c>
      <c r="AJ586" s="20">
        <f t="shared" si="287"/>
        <v>0</v>
      </c>
      <c r="AK586" s="100">
        <f t="shared" si="289"/>
        <v>0</v>
      </c>
      <c r="AL586" s="100">
        <f t="shared" si="290"/>
        <v>0</v>
      </c>
      <c r="AN586" s="100">
        <f t="shared" si="291"/>
        <v>4098.1236711280317</v>
      </c>
      <c r="AO586" s="20">
        <f t="shared" si="292"/>
        <v>0</v>
      </c>
      <c r="AQ586" s="109">
        <f t="shared" si="293"/>
        <v>0</v>
      </c>
      <c r="AU586" s="109">
        <f t="shared" si="278"/>
        <v>25.769971895522282</v>
      </c>
      <c r="AV586" s="101">
        <f t="shared" si="294"/>
        <v>57834</v>
      </c>
      <c r="AW586" s="99">
        <f t="shared" si="295"/>
        <v>0</v>
      </c>
      <c r="AX586" s="1">
        <f t="shared" si="296"/>
        <v>0</v>
      </c>
      <c r="AY586" s="29">
        <f t="shared" si="297"/>
        <v>0</v>
      </c>
      <c r="AZ586" s="1">
        <f t="shared" si="279"/>
        <v>0</v>
      </c>
      <c r="CB586" s="20">
        <f t="shared" si="288"/>
        <v>0</v>
      </c>
      <c r="CC586" s="173">
        <f t="shared" si="280"/>
        <v>0</v>
      </c>
    </row>
    <row r="587" spans="3:81" x14ac:dyDescent="0.25">
      <c r="C587" s="42"/>
      <c r="D587" s="43"/>
      <c r="E587" s="44"/>
      <c r="F587" s="44"/>
      <c r="G587" s="45"/>
      <c r="H587" s="81" t="str">
        <f t="shared" si="277"/>
        <v/>
      </c>
      <c r="J587" s="7"/>
      <c r="K587" s="8"/>
      <c r="L587" s="16"/>
      <c r="M587" s="22"/>
      <c r="N587" s="22"/>
      <c r="O587" s="22"/>
      <c r="P587" s="22"/>
      <c r="Q587" s="1">
        <f t="shared" si="281"/>
        <v>0.60744618579017706</v>
      </c>
      <c r="R587" s="12">
        <f t="shared" ca="1" si="298"/>
        <v>16712</v>
      </c>
      <c r="S587" s="88">
        <f t="shared" si="307"/>
        <v>0</v>
      </c>
      <c r="T587" s="19">
        <f t="shared" si="299"/>
        <v>0</v>
      </c>
      <c r="U587" s="19">
        <f t="shared" si="300"/>
        <v>0</v>
      </c>
      <c r="V587" s="19">
        <f t="shared" si="286"/>
        <v>0</v>
      </c>
      <c r="W587" s="20">
        <f t="shared" ca="1" si="301"/>
        <v>0</v>
      </c>
      <c r="X587" s="19">
        <f t="shared" ca="1" si="302"/>
        <v>0</v>
      </c>
      <c r="Y587" s="19">
        <f t="shared" ca="1" si="303"/>
        <v>0</v>
      </c>
      <c r="Z587" s="20">
        <f t="shared" ca="1" si="304"/>
        <v>0</v>
      </c>
      <c r="AA587" s="1">
        <f t="shared" si="282"/>
        <v>5432.58</v>
      </c>
      <c r="AB587" s="91"/>
      <c r="AC587" s="92"/>
      <c r="AD587" s="101">
        <f t="shared" si="283"/>
        <v>57834</v>
      </c>
      <c r="AE587" s="103">
        <f t="shared" si="284"/>
        <v>0</v>
      </c>
      <c r="AG587" s="1">
        <f t="shared" si="305"/>
        <v>0</v>
      </c>
      <c r="AH587" s="1">
        <f t="shared" si="306"/>
        <v>0</v>
      </c>
      <c r="AI587" s="1">
        <f t="shared" si="285"/>
        <v>5432.58</v>
      </c>
      <c r="AJ587" s="20">
        <f t="shared" si="287"/>
        <v>0</v>
      </c>
      <c r="AK587" s="100">
        <f t="shared" si="289"/>
        <v>0</v>
      </c>
      <c r="AL587" s="100">
        <f t="shared" si="290"/>
        <v>0</v>
      </c>
      <c r="AN587" s="100">
        <f t="shared" si="291"/>
        <v>4096.0502293874924</v>
      </c>
      <c r="AO587" s="20">
        <f t="shared" si="292"/>
        <v>0</v>
      </c>
      <c r="AQ587" s="109">
        <f t="shared" si="293"/>
        <v>0</v>
      </c>
      <c r="AU587" s="109">
        <f t="shared" si="278"/>
        <v>25.767710063194514</v>
      </c>
      <c r="AV587" s="101">
        <f t="shared" si="294"/>
        <v>57864</v>
      </c>
      <c r="AW587" s="99">
        <f t="shared" si="295"/>
        <v>0</v>
      </c>
      <c r="AX587" s="1">
        <f t="shared" si="296"/>
        <v>0</v>
      </c>
      <c r="AY587" s="29">
        <f t="shared" si="297"/>
        <v>0</v>
      </c>
      <c r="AZ587" s="1">
        <f t="shared" si="279"/>
        <v>0</v>
      </c>
      <c r="CB587" s="20">
        <f t="shared" si="288"/>
        <v>0</v>
      </c>
      <c r="CC587" s="173">
        <f t="shared" si="280"/>
        <v>0</v>
      </c>
    </row>
    <row r="588" spans="3:81" x14ac:dyDescent="0.25">
      <c r="C588" s="42"/>
      <c r="D588" s="43"/>
      <c r="E588" s="44"/>
      <c r="F588" s="44"/>
      <c r="G588" s="45"/>
      <c r="H588" s="81" t="str">
        <f t="shared" si="277"/>
        <v/>
      </c>
      <c r="J588" s="9"/>
      <c r="K588" s="10"/>
      <c r="L588" s="17"/>
      <c r="M588" s="23"/>
      <c r="N588" s="23"/>
      <c r="O588" s="23"/>
      <c r="P588" s="23"/>
      <c r="Q588" s="1">
        <f t="shared" si="281"/>
        <v>0.60744618579017706</v>
      </c>
      <c r="R588" s="12">
        <f t="shared" ca="1" si="298"/>
        <v>16742</v>
      </c>
      <c r="S588" s="88">
        <f t="shared" si="307"/>
        <v>0</v>
      </c>
      <c r="T588" s="19">
        <f t="shared" si="299"/>
        <v>0</v>
      </c>
      <c r="U588" s="19">
        <f t="shared" si="300"/>
        <v>0</v>
      </c>
      <c r="V588" s="19">
        <f t="shared" si="286"/>
        <v>0</v>
      </c>
      <c r="W588" s="20">
        <f t="shared" ca="1" si="301"/>
        <v>0</v>
      </c>
      <c r="X588" s="19">
        <f t="shared" ca="1" si="302"/>
        <v>0</v>
      </c>
      <c r="Y588" s="19">
        <f t="shared" ca="1" si="303"/>
        <v>0</v>
      </c>
      <c r="Z588" s="20">
        <f t="shared" ca="1" si="304"/>
        <v>0</v>
      </c>
      <c r="AA588" s="1">
        <f t="shared" si="282"/>
        <v>5432.58</v>
      </c>
      <c r="AB588" s="93"/>
      <c r="AC588" s="94"/>
      <c r="AD588" s="101">
        <f t="shared" si="283"/>
        <v>57864</v>
      </c>
      <c r="AE588" s="103">
        <f t="shared" si="284"/>
        <v>0</v>
      </c>
      <c r="AG588" s="1">
        <f t="shared" si="305"/>
        <v>0</v>
      </c>
      <c r="AH588" s="1">
        <f t="shared" si="306"/>
        <v>0</v>
      </c>
      <c r="AI588" s="1">
        <f t="shared" si="285"/>
        <v>5432.58</v>
      </c>
      <c r="AJ588" s="20">
        <f t="shared" si="287"/>
        <v>0</v>
      </c>
      <c r="AK588" s="100">
        <f t="shared" si="289"/>
        <v>0</v>
      </c>
      <c r="AL588" s="100">
        <f t="shared" si="290"/>
        <v>0</v>
      </c>
      <c r="AN588" s="100">
        <f t="shared" si="291"/>
        <v>4093.9778367028139</v>
      </c>
      <c r="AO588" s="20">
        <f t="shared" si="292"/>
        <v>0</v>
      </c>
      <c r="AQ588" s="109">
        <f t="shared" si="293"/>
        <v>0</v>
      </c>
      <c r="AU588" s="109">
        <f t="shared" si="278"/>
        <v>25.765448429387934</v>
      </c>
      <c r="AV588" s="101">
        <f t="shared" si="294"/>
        <v>57894</v>
      </c>
      <c r="AW588" s="99">
        <f t="shared" si="295"/>
        <v>0</v>
      </c>
      <c r="AX588" s="1">
        <f t="shared" si="296"/>
        <v>0</v>
      </c>
      <c r="AY588" s="29">
        <f t="shared" si="297"/>
        <v>0</v>
      </c>
      <c r="AZ588" s="1">
        <f t="shared" si="279"/>
        <v>0</v>
      </c>
      <c r="CB588" s="20">
        <f t="shared" si="288"/>
        <v>0</v>
      </c>
      <c r="CC588" s="173">
        <f t="shared" si="280"/>
        <v>0</v>
      </c>
    </row>
    <row r="589" spans="3:81" x14ac:dyDescent="0.25">
      <c r="C589" s="42"/>
      <c r="D589" s="43"/>
      <c r="E589" s="44"/>
      <c r="F589" s="44"/>
      <c r="G589" s="45"/>
      <c r="H589" s="81" t="str">
        <f t="shared" si="277"/>
        <v/>
      </c>
      <c r="J589" s="7"/>
      <c r="K589" s="8"/>
      <c r="L589" s="16"/>
      <c r="M589" s="22"/>
      <c r="N589" s="22"/>
      <c r="O589" s="22"/>
      <c r="P589" s="22"/>
      <c r="Q589" s="1">
        <f t="shared" si="281"/>
        <v>0.60744618579017706</v>
      </c>
      <c r="R589" s="12">
        <f t="shared" ca="1" si="298"/>
        <v>16772</v>
      </c>
      <c r="S589" s="88">
        <f t="shared" si="307"/>
        <v>0</v>
      </c>
      <c r="T589" s="19">
        <f t="shared" si="299"/>
        <v>0</v>
      </c>
      <c r="U589" s="19">
        <f t="shared" si="300"/>
        <v>0</v>
      </c>
      <c r="V589" s="19">
        <f t="shared" si="286"/>
        <v>0</v>
      </c>
      <c r="W589" s="20">
        <f t="shared" ca="1" si="301"/>
        <v>0</v>
      </c>
      <c r="X589" s="19">
        <f t="shared" ca="1" si="302"/>
        <v>0</v>
      </c>
      <c r="Y589" s="19">
        <f t="shared" ca="1" si="303"/>
        <v>0</v>
      </c>
      <c r="Z589" s="20">
        <f t="shared" ca="1" si="304"/>
        <v>0</v>
      </c>
      <c r="AA589" s="1">
        <f t="shared" si="282"/>
        <v>5432.58</v>
      </c>
      <c r="AB589" s="91"/>
      <c r="AC589" s="92"/>
      <c r="AD589" s="101">
        <f t="shared" si="283"/>
        <v>57894</v>
      </c>
      <c r="AE589" s="103">
        <f t="shared" si="284"/>
        <v>0</v>
      </c>
      <c r="AG589" s="1">
        <f t="shared" si="305"/>
        <v>0</v>
      </c>
      <c r="AH589" s="1">
        <f t="shared" si="306"/>
        <v>0</v>
      </c>
      <c r="AI589" s="1">
        <f t="shared" si="285"/>
        <v>5432.58</v>
      </c>
      <c r="AJ589" s="20">
        <f t="shared" si="287"/>
        <v>0</v>
      </c>
      <c r="AK589" s="100">
        <f t="shared" si="289"/>
        <v>0</v>
      </c>
      <c r="AL589" s="100">
        <f t="shared" si="290"/>
        <v>0</v>
      </c>
      <c r="AN589" s="100">
        <f t="shared" si="291"/>
        <v>4091.9064925432249</v>
      </c>
      <c r="AO589" s="20">
        <f t="shared" si="292"/>
        <v>0</v>
      </c>
      <c r="AQ589" s="109">
        <f t="shared" si="293"/>
        <v>0</v>
      </c>
      <c r="AU589" s="109">
        <f t="shared" si="278"/>
        <v>25.763186994085121</v>
      </c>
      <c r="AV589" s="101">
        <f t="shared" si="294"/>
        <v>57924</v>
      </c>
      <c r="AW589" s="99">
        <f t="shared" si="295"/>
        <v>0</v>
      </c>
      <c r="AX589" s="1">
        <f t="shared" si="296"/>
        <v>0</v>
      </c>
      <c r="AY589" s="29">
        <f t="shared" si="297"/>
        <v>0</v>
      </c>
      <c r="AZ589" s="1">
        <f t="shared" si="279"/>
        <v>0</v>
      </c>
      <c r="CB589" s="20">
        <f t="shared" si="288"/>
        <v>0</v>
      </c>
      <c r="CC589" s="173">
        <f t="shared" si="280"/>
        <v>0</v>
      </c>
    </row>
    <row r="590" spans="3:81" x14ac:dyDescent="0.25">
      <c r="C590" s="42"/>
      <c r="D590" s="43"/>
      <c r="E590" s="44"/>
      <c r="F590" s="44"/>
      <c r="G590" s="45"/>
      <c r="H590" s="81" t="str">
        <f t="shared" si="277"/>
        <v/>
      </c>
      <c r="J590" s="9"/>
      <c r="K590" s="10"/>
      <c r="L590" s="17"/>
      <c r="M590" s="23"/>
      <c r="N590" s="23"/>
      <c r="O590" s="23"/>
      <c r="P590" s="23"/>
      <c r="Q590" s="1">
        <f t="shared" si="281"/>
        <v>0.60744618579017706</v>
      </c>
      <c r="R590" s="12">
        <f t="shared" ca="1" si="298"/>
        <v>16802</v>
      </c>
      <c r="S590" s="88">
        <f t="shared" si="307"/>
        <v>0</v>
      </c>
      <c r="T590" s="19">
        <f t="shared" si="299"/>
        <v>0</v>
      </c>
      <c r="U590" s="19">
        <f t="shared" si="300"/>
        <v>0</v>
      </c>
      <c r="V590" s="19">
        <f t="shared" si="286"/>
        <v>0</v>
      </c>
      <c r="W590" s="20">
        <f t="shared" ca="1" si="301"/>
        <v>0</v>
      </c>
      <c r="X590" s="19">
        <f t="shared" ca="1" si="302"/>
        <v>0</v>
      </c>
      <c r="Y590" s="19">
        <f t="shared" ca="1" si="303"/>
        <v>0</v>
      </c>
      <c r="Z590" s="20">
        <f t="shared" ca="1" si="304"/>
        <v>0</v>
      </c>
      <c r="AA590" s="1">
        <f t="shared" si="282"/>
        <v>5432.58</v>
      </c>
      <c r="AB590" s="93"/>
      <c r="AC590" s="94"/>
      <c r="AD590" s="101">
        <f t="shared" si="283"/>
        <v>57924</v>
      </c>
      <c r="AE590" s="103">
        <f t="shared" si="284"/>
        <v>0</v>
      </c>
      <c r="AG590" s="1">
        <f t="shared" si="305"/>
        <v>0</v>
      </c>
      <c r="AH590" s="1">
        <f t="shared" si="306"/>
        <v>0</v>
      </c>
      <c r="AI590" s="1">
        <f t="shared" si="285"/>
        <v>5432.58</v>
      </c>
      <c r="AJ590" s="20">
        <f t="shared" si="287"/>
        <v>0</v>
      </c>
      <c r="AK590" s="100">
        <f t="shared" si="289"/>
        <v>0</v>
      </c>
      <c r="AL590" s="100">
        <f t="shared" si="290"/>
        <v>0</v>
      </c>
      <c r="AN590" s="100">
        <f t="shared" si="291"/>
        <v>4089.8361963782268</v>
      </c>
      <c r="AO590" s="20">
        <f t="shared" si="292"/>
        <v>0</v>
      </c>
      <c r="AQ590" s="109">
        <f t="shared" si="293"/>
        <v>0</v>
      </c>
      <c r="AU590" s="109">
        <f t="shared" si="278"/>
        <v>25.760925757268655</v>
      </c>
      <c r="AV590" s="101">
        <f t="shared" si="294"/>
        <v>57954</v>
      </c>
      <c r="AW590" s="99">
        <f t="shared" si="295"/>
        <v>0</v>
      </c>
      <c r="AX590" s="1">
        <f t="shared" si="296"/>
        <v>0</v>
      </c>
      <c r="AY590" s="29">
        <f t="shared" si="297"/>
        <v>0</v>
      </c>
      <c r="AZ590" s="1">
        <f t="shared" si="279"/>
        <v>0</v>
      </c>
      <c r="CB590" s="20">
        <f t="shared" si="288"/>
        <v>0</v>
      </c>
      <c r="CC590" s="173">
        <f t="shared" si="280"/>
        <v>0</v>
      </c>
    </row>
    <row r="591" spans="3:81" x14ac:dyDescent="0.25">
      <c r="C591" s="42"/>
      <c r="D591" s="43"/>
      <c r="E591" s="44"/>
      <c r="F591" s="44"/>
      <c r="G591" s="45"/>
      <c r="H591" s="81" t="str">
        <f t="shared" si="277"/>
        <v/>
      </c>
      <c r="J591" s="7"/>
      <c r="K591" s="8"/>
      <c r="L591" s="16"/>
      <c r="M591" s="22"/>
      <c r="N591" s="22"/>
      <c r="O591" s="22"/>
      <c r="P591" s="22"/>
      <c r="Q591" s="1">
        <f t="shared" si="281"/>
        <v>0.60744618579017706</v>
      </c>
      <c r="R591" s="12">
        <f t="shared" ca="1" si="298"/>
        <v>16832</v>
      </c>
      <c r="S591" s="88">
        <f t="shared" si="307"/>
        <v>0</v>
      </c>
      <c r="T591" s="19">
        <f t="shared" si="299"/>
        <v>0</v>
      </c>
      <c r="U591" s="19">
        <f t="shared" si="300"/>
        <v>0</v>
      </c>
      <c r="V591" s="19">
        <f t="shared" si="286"/>
        <v>0</v>
      </c>
      <c r="W591" s="20">
        <f t="shared" ca="1" si="301"/>
        <v>0</v>
      </c>
      <c r="X591" s="19">
        <f t="shared" ca="1" si="302"/>
        <v>0</v>
      </c>
      <c r="Y591" s="19">
        <f t="shared" ca="1" si="303"/>
        <v>0</v>
      </c>
      <c r="Z591" s="20">
        <f t="shared" ca="1" si="304"/>
        <v>0</v>
      </c>
      <c r="AA591" s="1">
        <f t="shared" si="282"/>
        <v>5432.58</v>
      </c>
      <c r="AB591" s="91"/>
      <c r="AC591" s="92"/>
      <c r="AD591" s="101">
        <f t="shared" si="283"/>
        <v>57954</v>
      </c>
      <c r="AE591" s="103">
        <f t="shared" si="284"/>
        <v>0</v>
      </c>
      <c r="AG591" s="1">
        <f t="shared" si="305"/>
        <v>0</v>
      </c>
      <c r="AH591" s="1">
        <f t="shared" si="306"/>
        <v>0</v>
      </c>
      <c r="AI591" s="1">
        <f t="shared" si="285"/>
        <v>5432.58</v>
      </c>
      <c r="AJ591" s="20">
        <f t="shared" si="287"/>
        <v>0</v>
      </c>
      <c r="AK591" s="100">
        <f t="shared" si="289"/>
        <v>0</v>
      </c>
      <c r="AL591" s="100">
        <f t="shared" si="290"/>
        <v>0</v>
      </c>
      <c r="AN591" s="100">
        <f t="shared" si="291"/>
        <v>4087.7669476775891</v>
      </c>
      <c r="AO591" s="20">
        <f t="shared" si="292"/>
        <v>0</v>
      </c>
      <c r="AQ591" s="109">
        <f t="shared" si="293"/>
        <v>0</v>
      </c>
      <c r="AU591" s="109">
        <f t="shared" si="278"/>
        <v>25.758664718921111</v>
      </c>
      <c r="AV591" s="101">
        <f t="shared" si="294"/>
        <v>57984</v>
      </c>
      <c r="AW591" s="99">
        <f t="shared" si="295"/>
        <v>0</v>
      </c>
      <c r="AX591" s="1">
        <f t="shared" si="296"/>
        <v>0</v>
      </c>
      <c r="AY591" s="29">
        <f t="shared" si="297"/>
        <v>0</v>
      </c>
      <c r="AZ591" s="1">
        <f t="shared" si="279"/>
        <v>0</v>
      </c>
      <c r="CB591" s="20">
        <f t="shared" si="288"/>
        <v>0</v>
      </c>
      <c r="CC591" s="173">
        <f t="shared" si="280"/>
        <v>0</v>
      </c>
    </row>
    <row r="592" spans="3:81" x14ac:dyDescent="0.25">
      <c r="C592" s="42"/>
      <c r="D592" s="43"/>
      <c r="E592" s="44"/>
      <c r="F592" s="44"/>
      <c r="G592" s="45"/>
      <c r="H592" s="81" t="str">
        <f t="shared" si="277"/>
        <v/>
      </c>
      <c r="J592" s="9"/>
      <c r="K592" s="10"/>
      <c r="L592" s="17"/>
      <c r="M592" s="23"/>
      <c r="N592" s="23"/>
      <c r="O592" s="23"/>
      <c r="P592" s="23"/>
      <c r="Q592" s="1">
        <f t="shared" si="281"/>
        <v>0.60744618579017706</v>
      </c>
      <c r="R592" s="12">
        <f t="shared" ca="1" si="298"/>
        <v>16862</v>
      </c>
      <c r="S592" s="88">
        <f t="shared" si="307"/>
        <v>0</v>
      </c>
      <c r="T592" s="19">
        <f t="shared" si="299"/>
        <v>0</v>
      </c>
      <c r="U592" s="19">
        <f t="shared" si="300"/>
        <v>0</v>
      </c>
      <c r="V592" s="19">
        <f t="shared" si="286"/>
        <v>0</v>
      </c>
      <c r="W592" s="20">
        <f t="shared" ca="1" si="301"/>
        <v>0</v>
      </c>
      <c r="X592" s="19">
        <f t="shared" ca="1" si="302"/>
        <v>0</v>
      </c>
      <c r="Y592" s="19">
        <f t="shared" ca="1" si="303"/>
        <v>0</v>
      </c>
      <c r="Z592" s="20">
        <f t="shared" ca="1" si="304"/>
        <v>0</v>
      </c>
      <c r="AA592" s="1">
        <f t="shared" si="282"/>
        <v>5432.58</v>
      </c>
      <c r="AB592" s="93"/>
      <c r="AC592" s="94"/>
      <c r="AD592" s="101">
        <f t="shared" si="283"/>
        <v>57984</v>
      </c>
      <c r="AE592" s="103">
        <f t="shared" si="284"/>
        <v>0</v>
      </c>
      <c r="AG592" s="1">
        <f t="shared" si="305"/>
        <v>0</v>
      </c>
      <c r="AH592" s="1">
        <f t="shared" si="306"/>
        <v>0</v>
      </c>
      <c r="AI592" s="1">
        <f t="shared" si="285"/>
        <v>5432.58</v>
      </c>
      <c r="AJ592" s="20">
        <f t="shared" si="287"/>
        <v>0</v>
      </c>
      <c r="AK592" s="100">
        <f t="shared" si="289"/>
        <v>0</v>
      </c>
      <c r="AL592" s="100">
        <f t="shared" si="290"/>
        <v>0</v>
      </c>
      <c r="AN592" s="100">
        <f t="shared" si="291"/>
        <v>4085.6987459113457</v>
      </c>
      <c r="AO592" s="20">
        <f t="shared" si="292"/>
        <v>0</v>
      </c>
      <c r="AQ592" s="109">
        <f t="shared" si="293"/>
        <v>0</v>
      </c>
      <c r="AU592" s="109">
        <f t="shared" si="278"/>
        <v>25.756403879025072</v>
      </c>
      <c r="AV592" s="101">
        <f t="shared" si="294"/>
        <v>58014</v>
      </c>
      <c r="AW592" s="99">
        <f t="shared" si="295"/>
        <v>0</v>
      </c>
      <c r="AX592" s="1">
        <f t="shared" si="296"/>
        <v>0</v>
      </c>
      <c r="AY592" s="29">
        <f t="shared" si="297"/>
        <v>0</v>
      </c>
      <c r="AZ592" s="1">
        <f t="shared" si="279"/>
        <v>0</v>
      </c>
      <c r="CB592" s="20">
        <f t="shared" si="288"/>
        <v>0</v>
      </c>
      <c r="CC592" s="173">
        <f t="shared" si="280"/>
        <v>0</v>
      </c>
    </row>
    <row r="593" spans="3:81" x14ac:dyDescent="0.25">
      <c r="C593" s="42"/>
      <c r="D593" s="43"/>
      <c r="E593" s="44"/>
      <c r="F593" s="44"/>
      <c r="G593" s="45"/>
      <c r="H593" s="81" t="str">
        <f t="shared" si="277"/>
        <v/>
      </c>
      <c r="J593" s="7"/>
      <c r="K593" s="8"/>
      <c r="L593" s="16"/>
      <c r="M593" s="22"/>
      <c r="N593" s="22"/>
      <c r="O593" s="22"/>
      <c r="P593" s="22"/>
      <c r="Q593" s="1">
        <f t="shared" si="281"/>
        <v>0.60744618579017706</v>
      </c>
      <c r="R593" s="12">
        <f t="shared" ca="1" si="298"/>
        <v>16892</v>
      </c>
      <c r="S593" s="88">
        <f t="shared" si="307"/>
        <v>0</v>
      </c>
      <c r="T593" s="19">
        <f t="shared" si="299"/>
        <v>0</v>
      </c>
      <c r="U593" s="19">
        <f t="shared" si="300"/>
        <v>0</v>
      </c>
      <c r="V593" s="19">
        <f t="shared" si="286"/>
        <v>0</v>
      </c>
      <c r="W593" s="20">
        <f t="shared" ca="1" si="301"/>
        <v>0</v>
      </c>
      <c r="X593" s="19">
        <f t="shared" ca="1" si="302"/>
        <v>0</v>
      </c>
      <c r="Y593" s="19">
        <f t="shared" ca="1" si="303"/>
        <v>0</v>
      </c>
      <c r="Z593" s="20">
        <f t="shared" ca="1" si="304"/>
        <v>0</v>
      </c>
      <c r="AA593" s="1">
        <f t="shared" si="282"/>
        <v>5432.58</v>
      </c>
      <c r="AB593" s="91"/>
      <c r="AC593" s="92"/>
      <c r="AD593" s="101">
        <f t="shared" si="283"/>
        <v>58014</v>
      </c>
      <c r="AE593" s="103">
        <f t="shared" si="284"/>
        <v>0</v>
      </c>
      <c r="AG593" s="1">
        <f t="shared" si="305"/>
        <v>0</v>
      </c>
      <c r="AH593" s="1">
        <f t="shared" si="306"/>
        <v>0</v>
      </c>
      <c r="AI593" s="1">
        <f t="shared" si="285"/>
        <v>5432.58</v>
      </c>
      <c r="AJ593" s="20">
        <f t="shared" si="287"/>
        <v>0</v>
      </c>
      <c r="AK593" s="100">
        <f t="shared" si="289"/>
        <v>0</v>
      </c>
      <c r="AL593" s="100">
        <f t="shared" si="290"/>
        <v>0</v>
      </c>
      <c r="AN593" s="100">
        <f t="shared" si="291"/>
        <v>4083.6315905498018</v>
      </c>
      <c r="AO593" s="20">
        <f t="shared" si="292"/>
        <v>0</v>
      </c>
      <c r="AQ593" s="109">
        <f t="shared" si="293"/>
        <v>0</v>
      </c>
      <c r="AU593" s="109">
        <f t="shared" si="278"/>
        <v>25.754143237563099</v>
      </c>
      <c r="AV593" s="101">
        <f t="shared" si="294"/>
        <v>58044</v>
      </c>
      <c r="AW593" s="99">
        <f t="shared" si="295"/>
        <v>0</v>
      </c>
      <c r="AX593" s="1">
        <f t="shared" si="296"/>
        <v>0</v>
      </c>
      <c r="AY593" s="29">
        <f t="shared" si="297"/>
        <v>0</v>
      </c>
      <c r="AZ593" s="1">
        <f t="shared" si="279"/>
        <v>0</v>
      </c>
      <c r="CB593" s="20">
        <f t="shared" si="288"/>
        <v>0</v>
      </c>
      <c r="CC593" s="173">
        <f t="shared" si="280"/>
        <v>0</v>
      </c>
    </row>
    <row r="594" spans="3:81" x14ac:dyDescent="0.25">
      <c r="C594" s="42"/>
      <c r="D594" s="43"/>
      <c r="E594" s="44"/>
      <c r="F594" s="44"/>
      <c r="G594" s="45"/>
      <c r="H594" s="81" t="str">
        <f t="shared" si="277"/>
        <v/>
      </c>
      <c r="J594" s="9"/>
      <c r="K594" s="10"/>
      <c r="L594" s="17"/>
      <c r="M594" s="23"/>
      <c r="N594" s="23"/>
      <c r="O594" s="23"/>
      <c r="P594" s="23"/>
      <c r="Q594" s="1">
        <f t="shared" si="281"/>
        <v>0.60744618579017706</v>
      </c>
      <c r="R594" s="12">
        <f t="shared" ca="1" si="298"/>
        <v>16922</v>
      </c>
      <c r="S594" s="88">
        <f t="shared" si="307"/>
        <v>0</v>
      </c>
      <c r="T594" s="19">
        <f t="shared" si="299"/>
        <v>0</v>
      </c>
      <c r="U594" s="19">
        <f t="shared" si="300"/>
        <v>0</v>
      </c>
      <c r="V594" s="19">
        <f t="shared" si="286"/>
        <v>0</v>
      </c>
      <c r="W594" s="20">
        <f t="shared" ca="1" si="301"/>
        <v>0</v>
      </c>
      <c r="X594" s="19">
        <f t="shared" ca="1" si="302"/>
        <v>0</v>
      </c>
      <c r="Y594" s="19">
        <f t="shared" ca="1" si="303"/>
        <v>0</v>
      </c>
      <c r="Z594" s="20">
        <f t="shared" ca="1" si="304"/>
        <v>0</v>
      </c>
      <c r="AA594" s="1">
        <f t="shared" si="282"/>
        <v>5432.58</v>
      </c>
      <c r="AB594" s="93"/>
      <c r="AC594" s="94"/>
      <c r="AD594" s="101">
        <f t="shared" si="283"/>
        <v>58044</v>
      </c>
      <c r="AE594" s="103">
        <f t="shared" si="284"/>
        <v>0</v>
      </c>
      <c r="AG594" s="1">
        <f t="shared" si="305"/>
        <v>0</v>
      </c>
      <c r="AH594" s="1">
        <f t="shared" si="306"/>
        <v>0</v>
      </c>
      <c r="AI594" s="1">
        <f t="shared" si="285"/>
        <v>5432.58</v>
      </c>
      <c r="AJ594" s="20">
        <f t="shared" si="287"/>
        <v>0</v>
      </c>
      <c r="AK594" s="100">
        <f t="shared" si="289"/>
        <v>0</v>
      </c>
      <c r="AL594" s="100">
        <f t="shared" si="290"/>
        <v>0</v>
      </c>
      <c r="AN594" s="100">
        <f t="shared" si="291"/>
        <v>4081.5654810635315</v>
      </c>
      <c r="AO594" s="20">
        <f t="shared" si="292"/>
        <v>0</v>
      </c>
      <c r="AQ594" s="109">
        <f t="shared" si="293"/>
        <v>0</v>
      </c>
      <c r="AU594" s="109">
        <f t="shared" si="278"/>
        <v>25.751882794517801</v>
      </c>
      <c r="AV594" s="101">
        <f t="shared" si="294"/>
        <v>58074</v>
      </c>
      <c r="AW594" s="99">
        <f t="shared" si="295"/>
        <v>0</v>
      </c>
      <c r="AX594" s="1">
        <f t="shared" si="296"/>
        <v>0</v>
      </c>
      <c r="AY594" s="29">
        <f t="shared" si="297"/>
        <v>0</v>
      </c>
      <c r="AZ594" s="1">
        <f t="shared" si="279"/>
        <v>0</v>
      </c>
      <c r="CB594" s="20">
        <f t="shared" si="288"/>
        <v>0</v>
      </c>
      <c r="CC594" s="173">
        <f t="shared" si="280"/>
        <v>0</v>
      </c>
    </row>
    <row r="595" spans="3:81" x14ac:dyDescent="0.25">
      <c r="C595" s="42"/>
      <c r="D595" s="43"/>
      <c r="E595" s="44"/>
      <c r="F595" s="44"/>
      <c r="G595" s="45"/>
      <c r="H595" s="81" t="str">
        <f t="shared" si="277"/>
        <v/>
      </c>
      <c r="J595" s="7"/>
      <c r="K595" s="8"/>
      <c r="L595" s="16"/>
      <c r="M595" s="22"/>
      <c r="N595" s="22"/>
      <c r="O595" s="22"/>
      <c r="P595" s="22"/>
      <c r="Q595" s="1">
        <f t="shared" si="281"/>
        <v>0.60744618579017706</v>
      </c>
      <c r="R595" s="12">
        <f t="shared" ca="1" si="298"/>
        <v>16952</v>
      </c>
      <c r="S595" s="88">
        <f t="shared" si="307"/>
        <v>0</v>
      </c>
      <c r="T595" s="19">
        <f t="shared" si="299"/>
        <v>0</v>
      </c>
      <c r="U595" s="19">
        <f t="shared" si="300"/>
        <v>0</v>
      </c>
      <c r="V595" s="19">
        <f t="shared" si="286"/>
        <v>0</v>
      </c>
      <c r="W595" s="20">
        <f t="shared" ca="1" si="301"/>
        <v>0</v>
      </c>
      <c r="X595" s="19">
        <f t="shared" ca="1" si="302"/>
        <v>0</v>
      </c>
      <c r="Y595" s="19">
        <f t="shared" ca="1" si="303"/>
        <v>0</v>
      </c>
      <c r="Z595" s="20">
        <f t="shared" ca="1" si="304"/>
        <v>0</v>
      </c>
      <c r="AA595" s="1">
        <f t="shared" si="282"/>
        <v>5432.58</v>
      </c>
      <c r="AB595" s="91"/>
      <c r="AC595" s="92"/>
      <c r="AD595" s="101">
        <f t="shared" si="283"/>
        <v>58074</v>
      </c>
      <c r="AE595" s="103">
        <f t="shared" si="284"/>
        <v>0</v>
      </c>
      <c r="AG595" s="1">
        <f t="shared" si="305"/>
        <v>0</v>
      </c>
      <c r="AH595" s="1">
        <f t="shared" si="306"/>
        <v>0</v>
      </c>
      <c r="AI595" s="1">
        <f t="shared" si="285"/>
        <v>5432.58</v>
      </c>
      <c r="AJ595" s="20">
        <f t="shared" si="287"/>
        <v>0</v>
      </c>
      <c r="AK595" s="100">
        <f t="shared" si="289"/>
        <v>0</v>
      </c>
      <c r="AL595" s="100">
        <f t="shared" si="290"/>
        <v>0</v>
      </c>
      <c r="AN595" s="100">
        <f t="shared" si="291"/>
        <v>4079.5004169233725</v>
      </c>
      <c r="AO595" s="20">
        <f t="shared" si="292"/>
        <v>0</v>
      </c>
      <c r="AQ595" s="109">
        <f t="shared" si="293"/>
        <v>0</v>
      </c>
      <c r="AU595" s="109">
        <f t="shared" si="278"/>
        <v>25.74962254987177</v>
      </c>
      <c r="AV595" s="101">
        <f t="shared" si="294"/>
        <v>58104</v>
      </c>
      <c r="AW595" s="99">
        <f t="shared" si="295"/>
        <v>0</v>
      </c>
      <c r="AX595" s="1">
        <f t="shared" si="296"/>
        <v>0</v>
      </c>
      <c r="AY595" s="29">
        <f t="shared" si="297"/>
        <v>0</v>
      </c>
      <c r="AZ595" s="1">
        <f t="shared" si="279"/>
        <v>0</v>
      </c>
      <c r="CB595" s="20">
        <f t="shared" si="288"/>
        <v>0</v>
      </c>
      <c r="CC595" s="173">
        <f t="shared" si="280"/>
        <v>0</v>
      </c>
    </row>
    <row r="596" spans="3:81" x14ac:dyDescent="0.25">
      <c r="C596" s="42"/>
      <c r="D596" s="43"/>
      <c r="E596" s="44"/>
      <c r="F596" s="44"/>
      <c r="G596" s="45"/>
      <c r="H596" s="81" t="str">
        <f t="shared" si="277"/>
        <v/>
      </c>
      <c r="J596" s="9"/>
      <c r="K596" s="10"/>
      <c r="L596" s="17"/>
      <c r="M596" s="23"/>
      <c r="N596" s="23"/>
      <c r="O596" s="23"/>
      <c r="P596" s="23"/>
      <c r="Q596" s="1">
        <f t="shared" si="281"/>
        <v>0.60744618579017706</v>
      </c>
      <c r="R596" s="12">
        <f t="shared" ca="1" si="298"/>
        <v>16982</v>
      </c>
      <c r="S596" s="88">
        <f t="shared" si="307"/>
        <v>0</v>
      </c>
      <c r="T596" s="19">
        <f t="shared" si="299"/>
        <v>0</v>
      </c>
      <c r="U596" s="19">
        <f t="shared" si="300"/>
        <v>0</v>
      </c>
      <c r="V596" s="19">
        <f t="shared" si="286"/>
        <v>0</v>
      </c>
      <c r="W596" s="20">
        <f t="shared" ca="1" si="301"/>
        <v>0</v>
      </c>
      <c r="X596" s="19">
        <f t="shared" ca="1" si="302"/>
        <v>0</v>
      </c>
      <c r="Y596" s="19">
        <f t="shared" ca="1" si="303"/>
        <v>0</v>
      </c>
      <c r="Z596" s="20">
        <f t="shared" ca="1" si="304"/>
        <v>0</v>
      </c>
      <c r="AA596" s="1">
        <f t="shared" si="282"/>
        <v>5432.58</v>
      </c>
      <c r="AB596" s="93"/>
      <c r="AC596" s="94"/>
      <c r="AD596" s="101">
        <f t="shared" si="283"/>
        <v>58104</v>
      </c>
      <c r="AE596" s="103">
        <f t="shared" si="284"/>
        <v>0</v>
      </c>
      <c r="AG596" s="1">
        <f t="shared" si="305"/>
        <v>0</v>
      </c>
      <c r="AH596" s="1">
        <f t="shared" si="306"/>
        <v>0</v>
      </c>
      <c r="AI596" s="1">
        <f t="shared" si="285"/>
        <v>5432.58</v>
      </c>
      <c r="AJ596" s="20">
        <f t="shared" si="287"/>
        <v>0</v>
      </c>
      <c r="AK596" s="100">
        <f t="shared" si="289"/>
        <v>0</v>
      </c>
      <c r="AL596" s="100">
        <f t="shared" si="290"/>
        <v>0</v>
      </c>
      <c r="AN596" s="100">
        <f t="shared" si="291"/>
        <v>4077.4363976004352</v>
      </c>
      <c r="AO596" s="20">
        <f t="shared" si="292"/>
        <v>0</v>
      </c>
      <c r="AQ596" s="109">
        <f t="shared" si="293"/>
        <v>0</v>
      </c>
      <c r="AU596" s="109">
        <f t="shared" si="278"/>
        <v>25.747362503607562</v>
      </c>
      <c r="AV596" s="101">
        <f t="shared" si="294"/>
        <v>58134</v>
      </c>
      <c r="AW596" s="99">
        <f t="shared" si="295"/>
        <v>0</v>
      </c>
      <c r="AX596" s="1">
        <f t="shared" si="296"/>
        <v>0</v>
      </c>
      <c r="AY596" s="29">
        <f t="shared" si="297"/>
        <v>0</v>
      </c>
      <c r="AZ596" s="1">
        <f t="shared" si="279"/>
        <v>0</v>
      </c>
      <c r="CB596" s="20">
        <f t="shared" si="288"/>
        <v>0</v>
      </c>
      <c r="CC596" s="173">
        <f t="shared" si="280"/>
        <v>0</v>
      </c>
    </row>
    <row r="597" spans="3:81" x14ac:dyDescent="0.25">
      <c r="C597" s="42"/>
      <c r="D597" s="43"/>
      <c r="E597" s="44"/>
      <c r="F597" s="44"/>
      <c r="G597" s="45"/>
      <c r="H597" s="81" t="str">
        <f t="shared" si="277"/>
        <v/>
      </c>
      <c r="J597" s="7"/>
      <c r="K597" s="8"/>
      <c r="L597" s="16"/>
      <c r="M597" s="22"/>
      <c r="N597" s="22"/>
      <c r="O597" s="22"/>
      <c r="P597" s="22"/>
      <c r="Q597" s="1">
        <f t="shared" si="281"/>
        <v>0.60744618579017706</v>
      </c>
      <c r="R597" s="12">
        <f t="shared" ca="1" si="298"/>
        <v>17012</v>
      </c>
      <c r="S597" s="88">
        <f t="shared" si="307"/>
        <v>0</v>
      </c>
      <c r="T597" s="19">
        <f t="shared" si="299"/>
        <v>0</v>
      </c>
      <c r="U597" s="19">
        <f t="shared" si="300"/>
        <v>0</v>
      </c>
      <c r="V597" s="19">
        <f t="shared" si="286"/>
        <v>0</v>
      </c>
      <c r="W597" s="20">
        <f t="shared" ca="1" si="301"/>
        <v>0</v>
      </c>
      <c r="X597" s="19">
        <f t="shared" ca="1" si="302"/>
        <v>0</v>
      </c>
      <c r="Y597" s="19">
        <f t="shared" ca="1" si="303"/>
        <v>0</v>
      </c>
      <c r="Z597" s="20">
        <f t="shared" ca="1" si="304"/>
        <v>0</v>
      </c>
      <c r="AA597" s="1">
        <f t="shared" si="282"/>
        <v>5432.58</v>
      </c>
      <c r="AB597" s="91"/>
      <c r="AC597" s="92"/>
      <c r="AD597" s="101">
        <f t="shared" si="283"/>
        <v>58134</v>
      </c>
      <c r="AE597" s="103">
        <f t="shared" si="284"/>
        <v>0</v>
      </c>
      <c r="AG597" s="1">
        <f t="shared" si="305"/>
        <v>0</v>
      </c>
      <c r="AH597" s="1">
        <f t="shared" si="306"/>
        <v>0</v>
      </c>
      <c r="AI597" s="1">
        <f t="shared" si="285"/>
        <v>5432.58</v>
      </c>
      <c r="AJ597" s="20">
        <f t="shared" si="287"/>
        <v>0</v>
      </c>
      <c r="AK597" s="100">
        <f t="shared" si="289"/>
        <v>0</v>
      </c>
      <c r="AL597" s="100">
        <f t="shared" si="290"/>
        <v>0</v>
      </c>
      <c r="AN597" s="100">
        <f t="shared" si="291"/>
        <v>4075.3734225660937</v>
      </c>
      <c r="AO597" s="20">
        <f t="shared" si="292"/>
        <v>0</v>
      </c>
      <c r="AQ597" s="109">
        <f t="shared" si="293"/>
        <v>0</v>
      </c>
      <c r="AU597" s="109">
        <f t="shared" si="278"/>
        <v>25.74510265570779</v>
      </c>
      <c r="AV597" s="101">
        <f t="shared" si="294"/>
        <v>58164</v>
      </c>
      <c r="AW597" s="99">
        <f t="shared" si="295"/>
        <v>0</v>
      </c>
      <c r="AX597" s="1">
        <f t="shared" si="296"/>
        <v>0</v>
      </c>
      <c r="AY597" s="29">
        <f t="shared" si="297"/>
        <v>0</v>
      </c>
      <c r="AZ597" s="1">
        <f t="shared" si="279"/>
        <v>0</v>
      </c>
      <c r="CB597" s="20">
        <f t="shared" si="288"/>
        <v>0</v>
      </c>
      <c r="CC597" s="173">
        <f t="shared" si="280"/>
        <v>0</v>
      </c>
    </row>
    <row r="598" spans="3:81" x14ac:dyDescent="0.25">
      <c r="C598" s="42"/>
      <c r="D598" s="43"/>
      <c r="E598" s="44"/>
      <c r="F598" s="44"/>
      <c r="G598" s="45"/>
      <c r="H598" s="81" t="str">
        <f t="shared" ref="H598:H622" si="308">IF(ISERROR(VLOOKUP(C596,AB:AC,2,0)),"",VLOOKUP(C596,AB:AC,2,0))</f>
        <v/>
      </c>
      <c r="J598" s="9"/>
      <c r="K598" s="10"/>
      <c r="L598" s="17"/>
      <c r="M598" s="23"/>
      <c r="N598" s="23"/>
      <c r="O598" s="23"/>
      <c r="P598" s="23"/>
      <c r="Q598" s="1">
        <f t="shared" si="281"/>
        <v>0.60744618579017706</v>
      </c>
      <c r="R598" s="12">
        <f t="shared" ca="1" si="298"/>
        <v>17042</v>
      </c>
      <c r="S598" s="88">
        <f t="shared" si="307"/>
        <v>0</v>
      </c>
      <c r="T598" s="19">
        <f t="shared" si="299"/>
        <v>0</v>
      </c>
      <c r="U598" s="19">
        <f t="shared" si="300"/>
        <v>0</v>
      </c>
      <c r="V598" s="19">
        <f t="shared" si="286"/>
        <v>0</v>
      </c>
      <c r="W598" s="20">
        <f t="shared" ca="1" si="301"/>
        <v>0</v>
      </c>
      <c r="X598" s="19">
        <f t="shared" ca="1" si="302"/>
        <v>0</v>
      </c>
      <c r="Y598" s="19">
        <f t="shared" ca="1" si="303"/>
        <v>0</v>
      </c>
      <c r="Z598" s="20">
        <f t="shared" ca="1" si="304"/>
        <v>0</v>
      </c>
      <c r="AA598" s="1">
        <f t="shared" si="282"/>
        <v>5432.58</v>
      </c>
      <c r="AB598" s="93"/>
      <c r="AC598" s="94"/>
      <c r="AD598" s="101">
        <f t="shared" si="283"/>
        <v>58164</v>
      </c>
      <c r="AE598" s="103">
        <f t="shared" si="284"/>
        <v>0</v>
      </c>
      <c r="AG598" s="1">
        <f t="shared" si="305"/>
        <v>0</v>
      </c>
      <c r="AH598" s="1">
        <f t="shared" si="306"/>
        <v>0</v>
      </c>
      <c r="AI598" s="1">
        <f t="shared" si="285"/>
        <v>5432.58</v>
      </c>
      <c r="AJ598" s="20">
        <f t="shared" si="287"/>
        <v>0</v>
      </c>
      <c r="AK598" s="100">
        <f t="shared" si="289"/>
        <v>0</v>
      </c>
      <c r="AL598" s="100">
        <f t="shared" si="290"/>
        <v>0</v>
      </c>
      <c r="AN598" s="100">
        <f t="shared" si="291"/>
        <v>4073.3114912919928</v>
      </c>
      <c r="AO598" s="20">
        <f t="shared" si="292"/>
        <v>0</v>
      </c>
      <c r="AQ598" s="109">
        <f t="shared" si="293"/>
        <v>0</v>
      </c>
      <c r="AU598" s="109">
        <f t="shared" si="278"/>
        <v>25.742843006155027</v>
      </c>
      <c r="AV598" s="101">
        <f t="shared" si="294"/>
        <v>58194</v>
      </c>
      <c r="AW598" s="99">
        <f t="shared" si="295"/>
        <v>0</v>
      </c>
      <c r="AX598" s="1">
        <f t="shared" si="296"/>
        <v>0</v>
      </c>
      <c r="AY598" s="29">
        <f t="shared" si="297"/>
        <v>0</v>
      </c>
      <c r="AZ598" s="1">
        <f t="shared" si="279"/>
        <v>0</v>
      </c>
      <c r="CB598" s="20">
        <f t="shared" si="288"/>
        <v>0</v>
      </c>
      <c r="CC598" s="173">
        <f t="shared" si="280"/>
        <v>0</v>
      </c>
    </row>
    <row r="599" spans="3:81" x14ac:dyDescent="0.25">
      <c r="C599" s="42"/>
      <c r="D599" s="43"/>
      <c r="E599" s="44"/>
      <c r="F599" s="44"/>
      <c r="G599" s="45"/>
      <c r="H599" s="81" t="str">
        <f t="shared" si="308"/>
        <v/>
      </c>
      <c r="J599" s="7"/>
      <c r="K599" s="8"/>
      <c r="L599" s="16"/>
      <c r="M599" s="22"/>
      <c r="N599" s="22"/>
      <c r="O599" s="22"/>
      <c r="P599" s="22"/>
      <c r="Q599" s="1">
        <f t="shared" si="281"/>
        <v>0.60744618579017706</v>
      </c>
      <c r="R599" s="12">
        <f t="shared" ca="1" si="298"/>
        <v>17072</v>
      </c>
      <c r="S599" s="88">
        <f t="shared" si="307"/>
        <v>0</v>
      </c>
      <c r="T599" s="19">
        <f t="shared" si="299"/>
        <v>0</v>
      </c>
      <c r="U599" s="19">
        <f t="shared" si="300"/>
        <v>0</v>
      </c>
      <c r="V599" s="19">
        <f t="shared" si="286"/>
        <v>0</v>
      </c>
      <c r="W599" s="20">
        <f t="shared" ca="1" si="301"/>
        <v>0</v>
      </c>
      <c r="X599" s="19">
        <f t="shared" ca="1" si="302"/>
        <v>0</v>
      </c>
      <c r="Y599" s="19">
        <f t="shared" ca="1" si="303"/>
        <v>0</v>
      </c>
      <c r="Z599" s="20">
        <f t="shared" ca="1" si="304"/>
        <v>0</v>
      </c>
      <c r="AA599" s="1">
        <f t="shared" si="282"/>
        <v>5432.58</v>
      </c>
      <c r="AB599" s="91"/>
      <c r="AC599" s="92"/>
      <c r="AD599" s="101">
        <f t="shared" si="283"/>
        <v>58194</v>
      </c>
      <c r="AE599" s="103">
        <f t="shared" si="284"/>
        <v>0</v>
      </c>
      <c r="AG599" s="1">
        <f t="shared" si="305"/>
        <v>0</v>
      </c>
      <c r="AH599" s="1">
        <f t="shared" si="306"/>
        <v>0</v>
      </c>
      <c r="AI599" s="1">
        <f t="shared" si="285"/>
        <v>5432.58</v>
      </c>
      <c r="AJ599" s="20">
        <f t="shared" si="287"/>
        <v>0</v>
      </c>
      <c r="AK599" s="100">
        <f t="shared" si="289"/>
        <v>0</v>
      </c>
      <c r="AL599" s="100">
        <f t="shared" si="290"/>
        <v>0</v>
      </c>
      <c r="AN599" s="100">
        <f t="shared" si="291"/>
        <v>4071.2506032500423</v>
      </c>
      <c r="AO599" s="20">
        <f t="shared" si="292"/>
        <v>0</v>
      </c>
      <c r="AQ599" s="109">
        <f t="shared" si="293"/>
        <v>0</v>
      </c>
      <c r="AU599" s="109">
        <f t="shared" si="278"/>
        <v>25.740583554931881</v>
      </c>
      <c r="AV599" s="101">
        <f t="shared" si="294"/>
        <v>58224</v>
      </c>
      <c r="AW599" s="99">
        <f t="shared" si="295"/>
        <v>0</v>
      </c>
      <c r="AX599" s="1">
        <f t="shared" si="296"/>
        <v>0</v>
      </c>
      <c r="AY599" s="29">
        <f t="shared" si="297"/>
        <v>0</v>
      </c>
      <c r="AZ599" s="1">
        <f t="shared" si="279"/>
        <v>0</v>
      </c>
      <c r="CB599" s="20">
        <f t="shared" si="288"/>
        <v>0</v>
      </c>
      <c r="CC599" s="173">
        <f t="shared" si="280"/>
        <v>0</v>
      </c>
    </row>
    <row r="600" spans="3:81" x14ac:dyDescent="0.25">
      <c r="C600" s="42"/>
      <c r="D600" s="43"/>
      <c r="E600" s="44"/>
      <c r="F600" s="44"/>
      <c r="G600" s="45"/>
      <c r="H600" s="81" t="str">
        <f t="shared" si="308"/>
        <v/>
      </c>
      <c r="J600" s="9"/>
      <c r="K600" s="10"/>
      <c r="L600" s="17"/>
      <c r="M600" s="23"/>
      <c r="N600" s="23"/>
      <c r="O600" s="23"/>
      <c r="P600" s="23"/>
      <c r="Q600" s="1">
        <f t="shared" si="281"/>
        <v>0.60744618579017706</v>
      </c>
      <c r="R600" s="12">
        <f t="shared" ca="1" si="298"/>
        <v>17102</v>
      </c>
      <c r="S600" s="88">
        <f t="shared" si="307"/>
        <v>0</v>
      </c>
      <c r="T600" s="19">
        <f t="shared" si="299"/>
        <v>0</v>
      </c>
      <c r="U600" s="19">
        <f t="shared" si="300"/>
        <v>0</v>
      </c>
      <c r="V600" s="19">
        <f t="shared" si="286"/>
        <v>0</v>
      </c>
      <c r="W600" s="20">
        <f t="shared" ca="1" si="301"/>
        <v>0</v>
      </c>
      <c r="X600" s="19">
        <f t="shared" ca="1" si="302"/>
        <v>0</v>
      </c>
      <c r="Y600" s="19">
        <f t="shared" ca="1" si="303"/>
        <v>0</v>
      </c>
      <c r="Z600" s="20">
        <f t="shared" ca="1" si="304"/>
        <v>0</v>
      </c>
      <c r="AA600" s="1">
        <f t="shared" si="282"/>
        <v>5432.58</v>
      </c>
      <c r="AB600" s="93"/>
      <c r="AC600" s="94"/>
      <c r="AD600" s="101">
        <f t="shared" si="283"/>
        <v>58224</v>
      </c>
      <c r="AE600" s="103">
        <f t="shared" si="284"/>
        <v>0</v>
      </c>
      <c r="AG600" s="1">
        <f t="shared" si="305"/>
        <v>0</v>
      </c>
      <c r="AH600" s="1">
        <f t="shared" si="306"/>
        <v>0</v>
      </c>
      <c r="AI600" s="1">
        <f t="shared" si="285"/>
        <v>5432.58</v>
      </c>
      <c r="AJ600" s="20">
        <f t="shared" si="287"/>
        <v>0</v>
      </c>
      <c r="AK600" s="100">
        <f t="shared" si="289"/>
        <v>0</v>
      </c>
      <c r="AL600" s="100">
        <f t="shared" si="290"/>
        <v>0</v>
      </c>
      <c r="AN600" s="100">
        <f t="shared" si="291"/>
        <v>4069.1907579124204</v>
      </c>
      <c r="AO600" s="20">
        <f t="shared" si="292"/>
        <v>0</v>
      </c>
      <c r="AQ600" s="109">
        <f t="shared" si="293"/>
        <v>0</v>
      </c>
      <c r="AU600" s="109">
        <f t="shared" si="278"/>
        <v>25.738324302020924</v>
      </c>
      <c r="AV600" s="101">
        <f t="shared" si="294"/>
        <v>58254</v>
      </c>
      <c r="AW600" s="99">
        <f t="shared" si="295"/>
        <v>0</v>
      </c>
      <c r="AX600" s="1">
        <f t="shared" si="296"/>
        <v>0</v>
      </c>
      <c r="AY600" s="29">
        <f t="shared" si="297"/>
        <v>0</v>
      </c>
      <c r="AZ600" s="1">
        <f t="shared" si="279"/>
        <v>0</v>
      </c>
      <c r="CB600" s="20">
        <f t="shared" si="288"/>
        <v>0</v>
      </c>
      <c r="CC600" s="173">
        <f t="shared" si="280"/>
        <v>0</v>
      </c>
    </row>
    <row r="601" spans="3:81" x14ac:dyDescent="0.25">
      <c r="C601" s="42"/>
      <c r="D601" s="43"/>
      <c r="E601" s="44"/>
      <c r="F601" s="44"/>
      <c r="G601" s="45"/>
      <c r="H601" s="81" t="str">
        <f t="shared" si="308"/>
        <v/>
      </c>
      <c r="J601" s="7"/>
      <c r="K601" s="8"/>
      <c r="L601" s="16"/>
      <c r="M601" s="22"/>
      <c r="N601" s="22"/>
      <c r="O601" s="22"/>
      <c r="P601" s="22"/>
      <c r="Q601" s="1">
        <f t="shared" si="281"/>
        <v>0.60744618579017706</v>
      </c>
      <c r="R601" s="12">
        <f t="shared" ca="1" si="298"/>
        <v>17132</v>
      </c>
      <c r="S601" s="88">
        <f t="shared" si="307"/>
        <v>0</v>
      </c>
      <c r="T601" s="19">
        <f t="shared" si="299"/>
        <v>0</v>
      </c>
      <c r="U601" s="19">
        <f t="shared" si="300"/>
        <v>0</v>
      </c>
      <c r="V601" s="19">
        <f t="shared" si="286"/>
        <v>0</v>
      </c>
      <c r="W601" s="20">
        <f t="shared" ca="1" si="301"/>
        <v>0</v>
      </c>
      <c r="X601" s="19">
        <f t="shared" ca="1" si="302"/>
        <v>0</v>
      </c>
      <c r="Y601" s="19">
        <f t="shared" ca="1" si="303"/>
        <v>0</v>
      </c>
      <c r="Z601" s="20">
        <f t="shared" ca="1" si="304"/>
        <v>0</v>
      </c>
      <c r="AA601" s="1">
        <f t="shared" si="282"/>
        <v>5432.58</v>
      </c>
      <c r="AB601" s="91"/>
      <c r="AC601" s="92"/>
      <c r="AD601" s="101">
        <f t="shared" si="283"/>
        <v>58254</v>
      </c>
      <c r="AE601" s="103">
        <f t="shared" si="284"/>
        <v>0</v>
      </c>
      <c r="AG601" s="1">
        <f t="shared" si="305"/>
        <v>0</v>
      </c>
      <c r="AH601" s="1">
        <f t="shared" si="306"/>
        <v>0</v>
      </c>
      <c r="AI601" s="1">
        <f t="shared" si="285"/>
        <v>5432.58</v>
      </c>
      <c r="AJ601" s="20">
        <f t="shared" si="287"/>
        <v>0</v>
      </c>
      <c r="AK601" s="100">
        <f t="shared" si="289"/>
        <v>0</v>
      </c>
      <c r="AL601" s="100">
        <f t="shared" si="290"/>
        <v>0</v>
      </c>
      <c r="AN601" s="100">
        <f t="shared" si="291"/>
        <v>4067.13195475157</v>
      </c>
      <c r="AO601" s="20">
        <f t="shared" si="292"/>
        <v>0</v>
      </c>
      <c r="AQ601" s="109">
        <f t="shared" si="293"/>
        <v>0</v>
      </c>
      <c r="AU601" s="109">
        <f t="shared" si="278"/>
        <v>25.736065247404767</v>
      </c>
      <c r="AV601" s="101">
        <f t="shared" si="294"/>
        <v>58284</v>
      </c>
      <c r="AW601" s="99">
        <f t="shared" si="295"/>
        <v>0</v>
      </c>
      <c r="AX601" s="1">
        <f t="shared" si="296"/>
        <v>0</v>
      </c>
      <c r="AY601" s="29">
        <f t="shared" si="297"/>
        <v>0</v>
      </c>
      <c r="AZ601" s="1">
        <f t="shared" si="279"/>
        <v>0</v>
      </c>
      <c r="CB601" s="20">
        <f t="shared" si="288"/>
        <v>0</v>
      </c>
      <c r="CC601" s="173">
        <f t="shared" si="280"/>
        <v>0</v>
      </c>
    </row>
    <row r="602" spans="3:81" x14ac:dyDescent="0.25">
      <c r="C602" s="42"/>
      <c r="D602" s="43"/>
      <c r="E602" s="44"/>
      <c r="F602" s="44"/>
      <c r="G602" s="45"/>
      <c r="H602" s="81" t="str">
        <f t="shared" si="308"/>
        <v/>
      </c>
      <c r="J602" s="9"/>
      <c r="K602" s="10"/>
      <c r="L602" s="17"/>
      <c r="M602" s="23"/>
      <c r="N602" s="23"/>
      <c r="O602" s="23"/>
      <c r="P602" s="23"/>
      <c r="Q602" s="1">
        <f t="shared" si="281"/>
        <v>0.60744618579017706</v>
      </c>
      <c r="R602" s="12">
        <f t="shared" ca="1" si="298"/>
        <v>17162</v>
      </c>
      <c r="S602" s="88">
        <f t="shared" si="307"/>
        <v>0</v>
      </c>
      <c r="T602" s="19">
        <f t="shared" si="299"/>
        <v>0</v>
      </c>
      <c r="U602" s="19">
        <f t="shared" si="300"/>
        <v>0</v>
      </c>
      <c r="V602" s="19">
        <f t="shared" si="286"/>
        <v>0</v>
      </c>
      <c r="W602" s="20">
        <f t="shared" ca="1" si="301"/>
        <v>0</v>
      </c>
      <c r="X602" s="19">
        <f t="shared" ca="1" si="302"/>
        <v>0</v>
      </c>
      <c r="Y602" s="19">
        <f t="shared" ca="1" si="303"/>
        <v>0</v>
      </c>
      <c r="Z602" s="20">
        <f t="shared" ca="1" si="304"/>
        <v>0</v>
      </c>
      <c r="AA602" s="1">
        <f t="shared" si="282"/>
        <v>5432.58</v>
      </c>
      <c r="AB602" s="93"/>
      <c r="AC602" s="94"/>
      <c r="AD602" s="101">
        <f t="shared" si="283"/>
        <v>58284</v>
      </c>
      <c r="AE602" s="103">
        <f t="shared" si="284"/>
        <v>0</v>
      </c>
      <c r="AG602" s="1">
        <f t="shared" si="305"/>
        <v>0</v>
      </c>
      <c r="AH602" s="1">
        <f t="shared" si="306"/>
        <v>0</v>
      </c>
      <c r="AI602" s="1">
        <f t="shared" si="285"/>
        <v>5432.58</v>
      </c>
      <c r="AJ602" s="20">
        <f t="shared" si="287"/>
        <v>0</v>
      </c>
      <c r="AK602" s="100">
        <f t="shared" si="289"/>
        <v>0</v>
      </c>
      <c r="AL602" s="100">
        <f t="shared" si="290"/>
        <v>0</v>
      </c>
      <c r="AN602" s="100">
        <f t="shared" si="291"/>
        <v>4065.0741932402043</v>
      </c>
      <c r="AO602" s="20">
        <f t="shared" si="292"/>
        <v>0</v>
      </c>
      <c r="AQ602" s="109">
        <f t="shared" si="293"/>
        <v>0</v>
      </c>
      <c r="AU602" s="109">
        <f t="shared" si="278"/>
        <v>25.733806391066004</v>
      </c>
      <c r="AV602" s="101">
        <f t="shared" si="294"/>
        <v>58314</v>
      </c>
      <c r="AW602" s="99">
        <f t="shared" si="295"/>
        <v>0</v>
      </c>
      <c r="AX602" s="1">
        <f t="shared" si="296"/>
        <v>0</v>
      </c>
      <c r="AY602" s="29">
        <f t="shared" si="297"/>
        <v>0</v>
      </c>
      <c r="AZ602" s="1">
        <f t="shared" si="279"/>
        <v>0</v>
      </c>
      <c r="CB602" s="20">
        <f t="shared" si="288"/>
        <v>0</v>
      </c>
      <c r="CC602" s="173">
        <f t="shared" si="280"/>
        <v>0</v>
      </c>
    </row>
    <row r="603" spans="3:81" x14ac:dyDescent="0.25">
      <c r="C603" s="42"/>
      <c r="D603" s="43"/>
      <c r="E603" s="44"/>
      <c r="F603" s="44"/>
      <c r="G603" s="45"/>
      <c r="H603" s="81" t="str">
        <f t="shared" si="308"/>
        <v/>
      </c>
      <c r="J603" s="7"/>
      <c r="K603" s="8"/>
      <c r="L603" s="16"/>
      <c r="M603" s="22"/>
      <c r="N603" s="22"/>
      <c r="O603" s="22"/>
      <c r="P603" s="22"/>
      <c r="Q603" s="1">
        <f t="shared" si="281"/>
        <v>0.60744618579017706</v>
      </c>
      <c r="R603" s="12">
        <f t="shared" ca="1" si="298"/>
        <v>17192</v>
      </c>
      <c r="S603" s="88">
        <f t="shared" si="307"/>
        <v>0</v>
      </c>
      <c r="T603" s="19">
        <f t="shared" si="299"/>
        <v>0</v>
      </c>
      <c r="U603" s="19">
        <f t="shared" si="300"/>
        <v>0</v>
      </c>
      <c r="V603" s="19">
        <f t="shared" si="286"/>
        <v>0</v>
      </c>
      <c r="W603" s="20">
        <f t="shared" ca="1" si="301"/>
        <v>0</v>
      </c>
      <c r="X603" s="19">
        <f t="shared" ca="1" si="302"/>
        <v>0</v>
      </c>
      <c r="Y603" s="19">
        <f t="shared" ca="1" si="303"/>
        <v>0</v>
      </c>
      <c r="Z603" s="20">
        <f t="shared" ca="1" si="304"/>
        <v>0</v>
      </c>
      <c r="AA603" s="1">
        <f t="shared" si="282"/>
        <v>5432.58</v>
      </c>
      <c r="AB603" s="91"/>
      <c r="AC603" s="92"/>
      <c r="AD603" s="101">
        <f t="shared" si="283"/>
        <v>58314</v>
      </c>
      <c r="AE603" s="103">
        <f t="shared" si="284"/>
        <v>0</v>
      </c>
      <c r="AG603" s="1">
        <f t="shared" si="305"/>
        <v>0</v>
      </c>
      <c r="AH603" s="1">
        <f t="shared" si="306"/>
        <v>0</v>
      </c>
      <c r="AI603" s="1">
        <f t="shared" si="285"/>
        <v>5432.58</v>
      </c>
      <c r="AJ603" s="20">
        <f t="shared" si="287"/>
        <v>0</v>
      </c>
      <c r="AK603" s="100">
        <f t="shared" si="289"/>
        <v>0</v>
      </c>
      <c r="AL603" s="100">
        <f t="shared" si="290"/>
        <v>0</v>
      </c>
      <c r="AN603" s="100">
        <f t="shared" si="291"/>
        <v>4063.017472851302</v>
      </c>
      <c r="AO603" s="20">
        <f t="shared" si="292"/>
        <v>0</v>
      </c>
      <c r="AQ603" s="109">
        <f t="shared" si="293"/>
        <v>0</v>
      </c>
      <c r="AU603" s="109">
        <f t="shared" si="278"/>
        <v>25.73154773298721</v>
      </c>
      <c r="AV603" s="101">
        <f t="shared" si="294"/>
        <v>58344</v>
      </c>
      <c r="AW603" s="99">
        <f t="shared" si="295"/>
        <v>0</v>
      </c>
      <c r="AX603" s="1">
        <f t="shared" si="296"/>
        <v>0</v>
      </c>
      <c r="AY603" s="29">
        <f t="shared" si="297"/>
        <v>0</v>
      </c>
      <c r="AZ603" s="1">
        <f t="shared" si="279"/>
        <v>0</v>
      </c>
      <c r="CB603" s="20">
        <f t="shared" si="288"/>
        <v>0</v>
      </c>
      <c r="CC603" s="173">
        <f t="shared" si="280"/>
        <v>0</v>
      </c>
    </row>
    <row r="604" spans="3:81" x14ac:dyDescent="0.25">
      <c r="C604" s="42"/>
      <c r="D604" s="43"/>
      <c r="E604" s="44"/>
      <c r="F604" s="44"/>
      <c r="G604" s="45"/>
      <c r="H604" s="81" t="str">
        <f t="shared" si="308"/>
        <v/>
      </c>
      <c r="J604" s="9"/>
      <c r="K604" s="10"/>
      <c r="L604" s="17"/>
      <c r="M604" s="23"/>
      <c r="N604" s="23"/>
      <c r="O604" s="23"/>
      <c r="P604" s="23"/>
      <c r="Q604" s="1">
        <f t="shared" si="281"/>
        <v>0.60744618579017706</v>
      </c>
      <c r="R604" s="12">
        <f t="shared" ca="1" si="298"/>
        <v>17222</v>
      </c>
      <c r="S604" s="88">
        <f t="shared" si="307"/>
        <v>0</v>
      </c>
      <c r="T604" s="19">
        <f t="shared" si="299"/>
        <v>0</v>
      </c>
      <c r="U604" s="19">
        <f t="shared" si="300"/>
        <v>0</v>
      </c>
      <c r="V604" s="19">
        <f t="shared" si="286"/>
        <v>0</v>
      </c>
      <c r="W604" s="20">
        <f t="shared" ca="1" si="301"/>
        <v>0</v>
      </c>
      <c r="X604" s="19">
        <f t="shared" ca="1" si="302"/>
        <v>0</v>
      </c>
      <c r="Y604" s="19">
        <f t="shared" ca="1" si="303"/>
        <v>0</v>
      </c>
      <c r="Z604" s="20">
        <f t="shared" ca="1" si="304"/>
        <v>0</v>
      </c>
      <c r="AA604" s="1">
        <f t="shared" si="282"/>
        <v>5432.58</v>
      </c>
      <c r="AB604" s="93"/>
      <c r="AC604" s="94"/>
      <c r="AD604" s="101">
        <f t="shared" si="283"/>
        <v>58344</v>
      </c>
      <c r="AE604" s="103">
        <f t="shared" si="284"/>
        <v>0</v>
      </c>
      <c r="AG604" s="1">
        <f t="shared" si="305"/>
        <v>0</v>
      </c>
      <c r="AH604" s="1">
        <f t="shared" si="306"/>
        <v>0</v>
      </c>
      <c r="AI604" s="1">
        <f t="shared" si="285"/>
        <v>5432.58</v>
      </c>
      <c r="AJ604" s="20">
        <f t="shared" si="287"/>
        <v>0</v>
      </c>
      <c r="AK604" s="100">
        <f t="shared" si="289"/>
        <v>0</v>
      </c>
      <c r="AL604" s="100">
        <f t="shared" si="290"/>
        <v>0</v>
      </c>
      <c r="AN604" s="100">
        <f t="shared" si="291"/>
        <v>4060.9617930581076</v>
      </c>
      <c r="AO604" s="20">
        <f t="shared" si="292"/>
        <v>0</v>
      </c>
      <c r="AQ604" s="109">
        <f t="shared" si="293"/>
        <v>0</v>
      </c>
      <c r="AU604" s="109">
        <f t="shared" si="278"/>
        <v>25.729289273151025</v>
      </c>
      <c r="AV604" s="101">
        <f t="shared" si="294"/>
        <v>58374</v>
      </c>
      <c r="AW604" s="99">
        <f t="shared" si="295"/>
        <v>0</v>
      </c>
      <c r="AX604" s="1">
        <f t="shared" si="296"/>
        <v>0</v>
      </c>
      <c r="AY604" s="29">
        <f t="shared" si="297"/>
        <v>0</v>
      </c>
      <c r="AZ604" s="1">
        <f t="shared" si="279"/>
        <v>0</v>
      </c>
      <c r="CB604" s="20">
        <f t="shared" si="288"/>
        <v>0</v>
      </c>
      <c r="CC604" s="173">
        <f t="shared" si="280"/>
        <v>0</v>
      </c>
    </row>
    <row r="605" spans="3:81" x14ac:dyDescent="0.25">
      <c r="C605" s="42"/>
      <c r="D605" s="43"/>
      <c r="E605" s="44"/>
      <c r="F605" s="44"/>
      <c r="G605" s="45"/>
      <c r="H605" s="81" t="str">
        <f t="shared" si="308"/>
        <v/>
      </c>
      <c r="J605" s="7"/>
      <c r="K605" s="8"/>
      <c r="L605" s="16"/>
      <c r="M605" s="22"/>
      <c r="N605" s="22"/>
      <c r="O605" s="22"/>
      <c r="P605" s="22"/>
      <c r="Q605" s="1">
        <f t="shared" si="281"/>
        <v>0.60744618579017706</v>
      </c>
      <c r="R605" s="12">
        <f t="shared" ca="1" si="298"/>
        <v>17252</v>
      </c>
      <c r="S605" s="88">
        <f t="shared" si="307"/>
        <v>0</v>
      </c>
      <c r="T605" s="19">
        <f t="shared" si="299"/>
        <v>0</v>
      </c>
      <c r="U605" s="19">
        <f t="shared" si="300"/>
        <v>0</v>
      </c>
      <c r="V605" s="19">
        <f t="shared" si="286"/>
        <v>0</v>
      </c>
      <c r="W605" s="20">
        <f t="shared" ca="1" si="301"/>
        <v>0</v>
      </c>
      <c r="X605" s="19">
        <f t="shared" ca="1" si="302"/>
        <v>0</v>
      </c>
      <c r="Y605" s="19">
        <f t="shared" ca="1" si="303"/>
        <v>0</v>
      </c>
      <c r="Z605" s="20">
        <f t="shared" ca="1" si="304"/>
        <v>0</v>
      </c>
      <c r="AA605" s="1">
        <f t="shared" si="282"/>
        <v>5432.58</v>
      </c>
      <c r="AB605" s="91"/>
      <c r="AC605" s="92"/>
      <c r="AD605" s="101">
        <f t="shared" si="283"/>
        <v>58374</v>
      </c>
      <c r="AE605" s="103">
        <f t="shared" si="284"/>
        <v>0</v>
      </c>
      <c r="AG605" s="1">
        <f t="shared" si="305"/>
        <v>0</v>
      </c>
      <c r="AH605" s="1">
        <f t="shared" si="306"/>
        <v>0</v>
      </c>
      <c r="AI605" s="1">
        <f t="shared" si="285"/>
        <v>5432.58</v>
      </c>
      <c r="AJ605" s="20">
        <f t="shared" si="287"/>
        <v>0</v>
      </c>
      <c r="AK605" s="100">
        <f t="shared" si="289"/>
        <v>0</v>
      </c>
      <c r="AL605" s="100">
        <f t="shared" si="290"/>
        <v>0</v>
      </c>
      <c r="AN605" s="100">
        <f t="shared" si="291"/>
        <v>4058.907153334133</v>
      </c>
      <c r="AO605" s="20">
        <f t="shared" si="292"/>
        <v>0</v>
      </c>
      <c r="AQ605" s="109">
        <f t="shared" si="293"/>
        <v>0</v>
      </c>
      <c r="AU605" s="109">
        <f t="shared" si="278"/>
        <v>25.727031011540017</v>
      </c>
      <c r="AV605" s="101">
        <f t="shared" si="294"/>
        <v>58404</v>
      </c>
      <c r="AW605" s="99">
        <f t="shared" si="295"/>
        <v>0</v>
      </c>
      <c r="AX605" s="1">
        <f t="shared" si="296"/>
        <v>0</v>
      </c>
      <c r="AY605" s="29">
        <f t="shared" si="297"/>
        <v>0</v>
      </c>
      <c r="AZ605" s="1">
        <f t="shared" si="279"/>
        <v>0</v>
      </c>
      <c r="CB605" s="20">
        <f t="shared" si="288"/>
        <v>0</v>
      </c>
      <c r="CC605" s="173">
        <f t="shared" si="280"/>
        <v>0</v>
      </c>
    </row>
    <row r="606" spans="3:81" x14ac:dyDescent="0.25">
      <c r="C606" s="42"/>
      <c r="D606" s="43"/>
      <c r="E606" s="44"/>
      <c r="F606" s="44"/>
      <c r="G606" s="45"/>
      <c r="H606" s="81" t="str">
        <f t="shared" si="308"/>
        <v/>
      </c>
      <c r="J606" s="9"/>
      <c r="K606" s="10"/>
      <c r="L606" s="17"/>
      <c r="M606" s="23"/>
      <c r="N606" s="23"/>
      <c r="O606" s="23"/>
      <c r="P606" s="23"/>
      <c r="Q606" s="1">
        <f t="shared" si="281"/>
        <v>0.60744618579017706</v>
      </c>
      <c r="R606" s="12">
        <f t="shared" ca="1" si="298"/>
        <v>17282</v>
      </c>
      <c r="S606" s="88">
        <f t="shared" si="307"/>
        <v>0</v>
      </c>
      <c r="T606" s="19">
        <f t="shared" si="299"/>
        <v>0</v>
      </c>
      <c r="U606" s="19">
        <f t="shared" si="300"/>
        <v>0</v>
      </c>
      <c r="V606" s="19">
        <f t="shared" si="286"/>
        <v>0</v>
      </c>
      <c r="W606" s="20">
        <f t="shared" ca="1" si="301"/>
        <v>0</v>
      </c>
      <c r="X606" s="19">
        <f t="shared" ca="1" si="302"/>
        <v>0</v>
      </c>
      <c r="Y606" s="19">
        <f t="shared" ca="1" si="303"/>
        <v>0</v>
      </c>
      <c r="Z606" s="20">
        <f t="shared" ca="1" si="304"/>
        <v>0</v>
      </c>
      <c r="AA606" s="1">
        <f t="shared" si="282"/>
        <v>5432.58</v>
      </c>
      <c r="AB606" s="93"/>
      <c r="AC606" s="94"/>
      <c r="AD606" s="101">
        <f t="shared" si="283"/>
        <v>58404</v>
      </c>
      <c r="AE606" s="103">
        <f t="shared" si="284"/>
        <v>0</v>
      </c>
      <c r="AG606" s="1">
        <f t="shared" si="305"/>
        <v>0</v>
      </c>
      <c r="AH606" s="1">
        <f t="shared" si="306"/>
        <v>0</v>
      </c>
      <c r="AI606" s="1">
        <f t="shared" si="285"/>
        <v>5432.58</v>
      </c>
      <c r="AJ606" s="20">
        <f t="shared" si="287"/>
        <v>0</v>
      </c>
      <c r="AK606" s="100">
        <f t="shared" si="289"/>
        <v>0</v>
      </c>
      <c r="AL606" s="100">
        <f t="shared" si="290"/>
        <v>0</v>
      </c>
      <c r="AN606" s="100">
        <f t="shared" si="291"/>
        <v>4056.8535531531556</v>
      </c>
      <c r="AO606" s="20">
        <f t="shared" si="292"/>
        <v>0</v>
      </c>
      <c r="AQ606" s="109">
        <f t="shared" si="293"/>
        <v>0</v>
      </c>
      <c r="AU606" s="109">
        <f t="shared" si="278"/>
        <v>25.724772948136788</v>
      </c>
      <c r="AV606" s="101">
        <f t="shared" si="294"/>
        <v>58434</v>
      </c>
      <c r="AW606" s="99">
        <f t="shared" si="295"/>
        <v>0</v>
      </c>
      <c r="AX606" s="1">
        <f t="shared" si="296"/>
        <v>0</v>
      </c>
      <c r="AY606" s="29">
        <f t="shared" si="297"/>
        <v>0</v>
      </c>
      <c r="AZ606" s="1">
        <f t="shared" si="279"/>
        <v>0</v>
      </c>
      <c r="CB606" s="20">
        <f t="shared" si="288"/>
        <v>0</v>
      </c>
      <c r="CC606" s="173">
        <f t="shared" si="280"/>
        <v>0</v>
      </c>
    </row>
    <row r="607" spans="3:81" x14ac:dyDescent="0.25">
      <c r="C607" s="42"/>
      <c r="D607" s="43"/>
      <c r="E607" s="44"/>
      <c r="F607" s="44"/>
      <c r="G607" s="45"/>
      <c r="H607" s="81" t="str">
        <f t="shared" si="308"/>
        <v/>
      </c>
      <c r="J607" s="7"/>
      <c r="K607" s="8"/>
      <c r="L607" s="16"/>
      <c r="M607" s="22"/>
      <c r="N607" s="22"/>
      <c r="O607" s="22"/>
      <c r="P607" s="22"/>
      <c r="Q607" s="1">
        <f t="shared" si="281"/>
        <v>0.60744618579017706</v>
      </c>
      <c r="R607" s="12">
        <f t="shared" ca="1" si="298"/>
        <v>17312</v>
      </c>
      <c r="S607" s="88">
        <f t="shared" si="307"/>
        <v>0</v>
      </c>
      <c r="T607" s="19">
        <f t="shared" si="299"/>
        <v>0</v>
      </c>
      <c r="U607" s="19">
        <f t="shared" si="300"/>
        <v>0</v>
      </c>
      <c r="V607" s="19">
        <f t="shared" si="286"/>
        <v>0</v>
      </c>
      <c r="W607" s="20">
        <f t="shared" ca="1" si="301"/>
        <v>0</v>
      </c>
      <c r="X607" s="19">
        <f t="shared" ca="1" si="302"/>
        <v>0</v>
      </c>
      <c r="Y607" s="19">
        <f t="shared" ca="1" si="303"/>
        <v>0</v>
      </c>
      <c r="Z607" s="20">
        <f t="shared" ca="1" si="304"/>
        <v>0</v>
      </c>
      <c r="AA607" s="1">
        <f t="shared" si="282"/>
        <v>5432.58</v>
      </c>
      <c r="AB607" s="91"/>
      <c r="AC607" s="92"/>
      <c r="AD607" s="101">
        <f t="shared" si="283"/>
        <v>58434</v>
      </c>
      <c r="AE607" s="103">
        <f t="shared" si="284"/>
        <v>0</v>
      </c>
      <c r="AG607" s="1">
        <f t="shared" si="305"/>
        <v>0</v>
      </c>
      <c r="AH607" s="1">
        <f t="shared" si="306"/>
        <v>0</v>
      </c>
      <c r="AI607" s="1">
        <f t="shared" si="285"/>
        <v>5432.58</v>
      </c>
      <c r="AJ607" s="20">
        <f t="shared" si="287"/>
        <v>0</v>
      </c>
      <c r="AK607" s="100">
        <f t="shared" si="289"/>
        <v>0</v>
      </c>
      <c r="AL607" s="100">
        <f t="shared" si="290"/>
        <v>0</v>
      </c>
      <c r="AN607" s="100">
        <f t="shared" si="291"/>
        <v>4054.8009919892206</v>
      </c>
      <c r="AO607" s="20">
        <f t="shared" si="292"/>
        <v>0</v>
      </c>
      <c r="AQ607" s="109">
        <f t="shared" si="293"/>
        <v>0</v>
      </c>
      <c r="AU607" s="109">
        <f t="shared" ref="AU607:AU670" si="309">(($AT$27/(1+((1+$AM$27)^(ROW()-29)*30)-1))/292)*0.32</f>
        <v>25.722515082923966</v>
      </c>
      <c r="AV607" s="101">
        <f t="shared" si="294"/>
        <v>58464</v>
      </c>
      <c r="AW607" s="99">
        <f t="shared" si="295"/>
        <v>0</v>
      </c>
      <c r="AX607" s="1">
        <f t="shared" si="296"/>
        <v>0</v>
      </c>
      <c r="AY607" s="29">
        <f t="shared" si="297"/>
        <v>0</v>
      </c>
      <c r="AZ607" s="1">
        <f t="shared" ref="AZ607:AZ670" si="310">AY607/360</f>
        <v>0</v>
      </c>
      <c r="CB607" s="20">
        <f t="shared" si="288"/>
        <v>0</v>
      </c>
      <c r="CC607" s="173">
        <f t="shared" ref="CC607:CC670" si="311">AJ607+U607+T607</f>
        <v>0</v>
      </c>
    </row>
    <row r="608" spans="3:81" x14ac:dyDescent="0.25">
      <c r="C608" s="42"/>
      <c r="D608" s="43"/>
      <c r="E608" s="44"/>
      <c r="F608" s="44"/>
      <c r="G608" s="45"/>
      <c r="H608" s="81" t="str">
        <f t="shared" si="308"/>
        <v/>
      </c>
      <c r="J608" s="9"/>
      <c r="K608" s="10"/>
      <c r="L608" s="17"/>
      <c r="M608" s="23"/>
      <c r="N608" s="23"/>
      <c r="O608" s="23"/>
      <c r="P608" s="23"/>
      <c r="Q608" s="1">
        <f t="shared" ref="Q608:Q671" si="312">IF(M608=0,Q607,(M608*1200)/O607)</f>
        <v>0.60744618579017706</v>
      </c>
      <c r="R608" s="12">
        <f t="shared" ca="1" si="298"/>
        <v>17342</v>
      </c>
      <c r="S608" s="88">
        <f t="shared" si="307"/>
        <v>0</v>
      </c>
      <c r="T608" s="19">
        <f t="shared" si="299"/>
        <v>0</v>
      </c>
      <c r="U608" s="19">
        <f t="shared" si="300"/>
        <v>0</v>
      </c>
      <c r="V608" s="19">
        <f t="shared" si="286"/>
        <v>0</v>
      </c>
      <c r="W608" s="20">
        <f t="shared" ca="1" si="301"/>
        <v>0</v>
      </c>
      <c r="X608" s="19">
        <f t="shared" ca="1" si="302"/>
        <v>0</v>
      </c>
      <c r="Y608" s="19">
        <f t="shared" ca="1" si="303"/>
        <v>0</v>
      </c>
      <c r="Z608" s="20">
        <f t="shared" ca="1" si="304"/>
        <v>0</v>
      </c>
      <c r="AA608" s="1">
        <f t="shared" ref="AA608:AA671" si="313">IF(S608=0,AA607,N608)</f>
        <v>5432.58</v>
      </c>
      <c r="AB608" s="93"/>
      <c r="AC608" s="94"/>
      <c r="AD608" s="101">
        <f t="shared" ref="AD608:AD671" si="314">IF(M608=0,AD607+30,K608)</f>
        <v>58464</v>
      </c>
      <c r="AE608" s="103">
        <f t="shared" ref="AE608:AE671" si="315">IF(V608=0,0,R608)</f>
        <v>0</v>
      </c>
      <c r="AG608" s="1">
        <f t="shared" si="305"/>
        <v>0</v>
      </c>
      <c r="AH608" s="1">
        <f t="shared" si="306"/>
        <v>0</v>
      </c>
      <c r="AI608" s="1">
        <f t="shared" ref="AI608:AI671" si="316">IF(M608-1=0,IF(M608=0,IF(V608=0,N608,AI607),AA608),AA608)</f>
        <v>5432.58</v>
      </c>
      <c r="AJ608" s="20">
        <f t="shared" si="287"/>
        <v>0</v>
      </c>
      <c r="AK608" s="100">
        <f t="shared" si="289"/>
        <v>0</v>
      </c>
      <c r="AL608" s="100">
        <f t="shared" si="290"/>
        <v>0</v>
      </c>
      <c r="AN608" s="100">
        <f t="shared" si="291"/>
        <v>4052.7494693166368</v>
      </c>
      <c r="AO608" s="20">
        <f t="shared" si="292"/>
        <v>0</v>
      </c>
      <c r="AQ608" s="109">
        <f t="shared" si="293"/>
        <v>0</v>
      </c>
      <c r="AU608" s="109">
        <f t="shared" si="309"/>
        <v>25.72025741588412</v>
      </c>
      <c r="AV608" s="101">
        <f t="shared" si="294"/>
        <v>58494</v>
      </c>
      <c r="AW608" s="99">
        <f t="shared" si="295"/>
        <v>0</v>
      </c>
      <c r="AX608" s="1">
        <f t="shared" si="296"/>
        <v>0</v>
      </c>
      <c r="AY608" s="29">
        <f t="shared" si="297"/>
        <v>0</v>
      </c>
      <c r="AZ608" s="1">
        <f t="shared" si="310"/>
        <v>0</v>
      </c>
      <c r="CB608" s="20">
        <f t="shared" si="288"/>
        <v>0</v>
      </c>
      <c r="CC608" s="173">
        <f t="shared" si="311"/>
        <v>0</v>
      </c>
    </row>
    <row r="609" spans="3:81" x14ac:dyDescent="0.25">
      <c r="C609" s="42"/>
      <c r="D609" s="43"/>
      <c r="E609" s="44"/>
      <c r="F609" s="44"/>
      <c r="G609" s="45"/>
      <c r="H609" s="81" t="str">
        <f t="shared" si="308"/>
        <v/>
      </c>
      <c r="J609" s="7"/>
      <c r="K609" s="8"/>
      <c r="L609" s="16"/>
      <c r="M609" s="22"/>
      <c r="N609" s="22"/>
      <c r="O609" s="22"/>
      <c r="P609" s="22"/>
      <c r="Q609" s="1">
        <f t="shared" si="312"/>
        <v>0.60744618579017706</v>
      </c>
      <c r="R609" s="12">
        <f t="shared" ca="1" si="298"/>
        <v>17372</v>
      </c>
      <c r="S609" s="88">
        <f t="shared" si="307"/>
        <v>0</v>
      </c>
      <c r="T609" s="19">
        <f t="shared" si="299"/>
        <v>0</v>
      </c>
      <c r="U609" s="19">
        <f t="shared" si="300"/>
        <v>0</v>
      </c>
      <c r="V609" s="19">
        <f t="shared" si="286"/>
        <v>0</v>
      </c>
      <c r="W609" s="20">
        <f t="shared" ca="1" si="301"/>
        <v>0</v>
      </c>
      <c r="X609" s="19">
        <f t="shared" ca="1" si="302"/>
        <v>0</v>
      </c>
      <c r="Y609" s="19">
        <f t="shared" ca="1" si="303"/>
        <v>0</v>
      </c>
      <c r="Z609" s="20">
        <f t="shared" ca="1" si="304"/>
        <v>0</v>
      </c>
      <c r="AA609" s="1">
        <f t="shared" si="313"/>
        <v>5432.58</v>
      </c>
      <c r="AB609" s="91"/>
      <c r="AC609" s="92"/>
      <c r="AD609" s="101">
        <f t="shared" si="314"/>
        <v>58494</v>
      </c>
      <c r="AE609" s="103">
        <f t="shared" si="315"/>
        <v>0</v>
      </c>
      <c r="AG609" s="1">
        <f t="shared" si="305"/>
        <v>0</v>
      </c>
      <c r="AH609" s="1">
        <f t="shared" si="306"/>
        <v>0</v>
      </c>
      <c r="AI609" s="1">
        <f t="shared" si="316"/>
        <v>5432.58</v>
      </c>
      <c r="AJ609" s="20">
        <f t="shared" si="287"/>
        <v>0</v>
      </c>
      <c r="AK609" s="100">
        <f t="shared" si="289"/>
        <v>0</v>
      </c>
      <c r="AL609" s="100">
        <f t="shared" si="290"/>
        <v>0</v>
      </c>
      <c r="AN609" s="100">
        <f t="shared" si="291"/>
        <v>4050.6989846099823</v>
      </c>
      <c r="AO609" s="20">
        <f t="shared" si="292"/>
        <v>0</v>
      </c>
      <c r="AQ609" s="109">
        <f t="shared" si="293"/>
        <v>0</v>
      </c>
      <c r="AU609" s="109">
        <f t="shared" si="309"/>
        <v>25.717999946999889</v>
      </c>
      <c r="AV609" s="101">
        <f t="shared" si="294"/>
        <v>58524</v>
      </c>
      <c r="AW609" s="99">
        <f t="shared" si="295"/>
        <v>0</v>
      </c>
      <c r="AX609" s="1">
        <f t="shared" si="296"/>
        <v>0</v>
      </c>
      <c r="AY609" s="29">
        <f t="shared" si="297"/>
        <v>0</v>
      </c>
      <c r="AZ609" s="1">
        <f t="shared" si="310"/>
        <v>0</v>
      </c>
      <c r="CB609" s="20">
        <f t="shared" si="288"/>
        <v>0</v>
      </c>
      <c r="CC609" s="173">
        <f t="shared" si="311"/>
        <v>0</v>
      </c>
    </row>
    <row r="610" spans="3:81" x14ac:dyDescent="0.25">
      <c r="C610" s="42"/>
      <c r="D610" s="43"/>
      <c r="E610" s="44"/>
      <c r="F610" s="44"/>
      <c r="G610" s="45"/>
      <c r="H610" s="81" t="str">
        <f t="shared" si="308"/>
        <v/>
      </c>
      <c r="J610" s="9"/>
      <c r="K610" s="10"/>
      <c r="L610" s="17"/>
      <c r="M610" s="23"/>
      <c r="N610" s="23"/>
      <c r="O610" s="23"/>
      <c r="P610" s="23"/>
      <c r="Q610" s="1">
        <f t="shared" si="312"/>
        <v>0.60744618579017706</v>
      </c>
      <c r="R610" s="12">
        <f t="shared" ca="1" si="298"/>
        <v>17402</v>
      </c>
      <c r="S610" s="88">
        <f t="shared" si="307"/>
        <v>0</v>
      </c>
      <c r="T610" s="19">
        <f t="shared" si="299"/>
        <v>0</v>
      </c>
      <c r="U610" s="19">
        <f t="shared" si="300"/>
        <v>0</v>
      </c>
      <c r="V610" s="19">
        <f t="shared" ref="V610:V673" si="317">IF(ISERROR(IF(V609+U610+T610+(V609*Q610/1200)-AA610-P610&lt;0,0,V609+U610+T610-AA610-P610)),0,IF(V609+U610+T610+(V609*Q610/1200)-AA610-CB610&lt;0,0,V609+U610+T610-AA610-CB610))</f>
        <v>0</v>
      </c>
      <c r="W610" s="20">
        <f t="shared" ca="1" si="301"/>
        <v>0</v>
      </c>
      <c r="X610" s="19">
        <f t="shared" ca="1" si="302"/>
        <v>0</v>
      </c>
      <c r="Y610" s="19">
        <f t="shared" ca="1" si="303"/>
        <v>0</v>
      </c>
      <c r="Z610" s="20">
        <f t="shared" ca="1" si="304"/>
        <v>0</v>
      </c>
      <c r="AA610" s="1">
        <f t="shared" si="313"/>
        <v>5432.58</v>
      </c>
      <c r="AB610" s="93"/>
      <c r="AC610" s="94"/>
      <c r="AD610" s="101">
        <f t="shared" si="314"/>
        <v>58524</v>
      </c>
      <c r="AE610" s="103">
        <f t="shared" si="315"/>
        <v>0</v>
      </c>
      <c r="AG610" s="1">
        <f t="shared" si="305"/>
        <v>0</v>
      </c>
      <c r="AH610" s="1">
        <f t="shared" si="306"/>
        <v>0</v>
      </c>
      <c r="AI610" s="1">
        <f t="shared" si="316"/>
        <v>5432.58</v>
      </c>
      <c r="AJ610" s="20">
        <f t="shared" si="287"/>
        <v>0</v>
      </c>
      <c r="AK610" s="100">
        <f t="shared" si="289"/>
        <v>0</v>
      </c>
      <c r="AL610" s="100">
        <f t="shared" si="290"/>
        <v>0</v>
      </c>
      <c r="AN610" s="100">
        <f t="shared" si="291"/>
        <v>4048.6495373440985</v>
      </c>
      <c r="AO610" s="20">
        <f t="shared" si="292"/>
        <v>0</v>
      </c>
      <c r="AQ610" s="109">
        <f t="shared" si="293"/>
        <v>0</v>
      </c>
      <c r="AU610" s="109">
        <f t="shared" si="309"/>
        <v>25.715742676253868</v>
      </c>
      <c r="AV610" s="101">
        <f t="shared" si="294"/>
        <v>58554</v>
      </c>
      <c r="AW610" s="99">
        <f t="shared" si="295"/>
        <v>0</v>
      </c>
      <c r="AX610" s="1">
        <f t="shared" si="296"/>
        <v>0</v>
      </c>
      <c r="AY610" s="29">
        <f t="shared" si="297"/>
        <v>0</v>
      </c>
      <c r="AZ610" s="1">
        <f t="shared" si="310"/>
        <v>0</v>
      </c>
      <c r="CB610" s="20">
        <f t="shared" si="288"/>
        <v>0</v>
      </c>
      <c r="CC610" s="173">
        <f t="shared" si="311"/>
        <v>0</v>
      </c>
    </row>
    <row r="611" spans="3:81" x14ac:dyDescent="0.25">
      <c r="C611" s="42"/>
      <c r="D611" s="43"/>
      <c r="E611" s="44"/>
      <c r="F611" s="44"/>
      <c r="G611" s="45"/>
      <c r="H611" s="81" t="str">
        <f t="shared" si="308"/>
        <v/>
      </c>
      <c r="J611" s="7"/>
      <c r="K611" s="8"/>
      <c r="L611" s="16"/>
      <c r="M611" s="22"/>
      <c r="N611" s="22"/>
      <c r="O611" s="22"/>
      <c r="P611" s="22"/>
      <c r="Q611" s="1">
        <f t="shared" si="312"/>
        <v>0.60744618579017706</v>
      </c>
      <c r="R611" s="12">
        <f t="shared" ca="1" si="298"/>
        <v>17432</v>
      </c>
      <c r="S611" s="88">
        <f t="shared" si="307"/>
        <v>0</v>
      </c>
      <c r="T611" s="19">
        <f t="shared" si="299"/>
        <v>0</v>
      </c>
      <c r="U611" s="19">
        <f t="shared" si="300"/>
        <v>0</v>
      </c>
      <c r="V611" s="19">
        <f t="shared" si="317"/>
        <v>0</v>
      </c>
      <c r="W611" s="20">
        <f t="shared" ca="1" si="301"/>
        <v>0</v>
      </c>
      <c r="X611" s="19">
        <f t="shared" ca="1" si="302"/>
        <v>0</v>
      </c>
      <c r="Y611" s="19">
        <f t="shared" ca="1" si="303"/>
        <v>0</v>
      </c>
      <c r="Z611" s="20">
        <f t="shared" ca="1" si="304"/>
        <v>0</v>
      </c>
      <c r="AA611" s="1">
        <f t="shared" si="313"/>
        <v>5432.58</v>
      </c>
      <c r="AB611" s="91"/>
      <c r="AC611" s="92"/>
      <c r="AD611" s="101">
        <f t="shared" si="314"/>
        <v>58554</v>
      </c>
      <c r="AE611" s="103">
        <f t="shared" si="315"/>
        <v>0</v>
      </c>
      <c r="AG611" s="1">
        <f t="shared" si="305"/>
        <v>0</v>
      </c>
      <c r="AH611" s="1">
        <f t="shared" si="306"/>
        <v>0</v>
      </c>
      <c r="AI611" s="1">
        <f t="shared" si="316"/>
        <v>5432.58</v>
      </c>
      <c r="AJ611" s="20">
        <f t="shared" si="287"/>
        <v>0</v>
      </c>
      <c r="AK611" s="100">
        <f t="shared" si="289"/>
        <v>0</v>
      </c>
      <c r="AL611" s="100">
        <f t="shared" si="290"/>
        <v>0</v>
      </c>
      <c r="AN611" s="100">
        <f t="shared" si="291"/>
        <v>4046.6011269940914</v>
      </c>
      <c r="AO611" s="20">
        <f t="shared" si="292"/>
        <v>0</v>
      </c>
      <c r="AQ611" s="109">
        <f t="shared" si="293"/>
        <v>0</v>
      </c>
      <c r="AU611" s="109">
        <f t="shared" si="309"/>
        <v>25.713485603628662</v>
      </c>
      <c r="AV611" s="101">
        <f t="shared" si="294"/>
        <v>58584</v>
      </c>
      <c r="AW611" s="99">
        <f t="shared" si="295"/>
        <v>0</v>
      </c>
      <c r="AX611" s="1">
        <f t="shared" si="296"/>
        <v>0</v>
      </c>
      <c r="AY611" s="29">
        <f t="shared" si="297"/>
        <v>0</v>
      </c>
      <c r="AZ611" s="1">
        <f t="shared" si="310"/>
        <v>0</v>
      </c>
      <c r="CB611" s="20">
        <f t="shared" si="288"/>
        <v>0</v>
      </c>
      <c r="CC611" s="173">
        <f t="shared" si="311"/>
        <v>0</v>
      </c>
    </row>
    <row r="612" spans="3:81" x14ac:dyDescent="0.25">
      <c r="C612" s="42"/>
      <c r="D612" s="43"/>
      <c r="E612" s="44"/>
      <c r="F612" s="44"/>
      <c r="G612" s="45"/>
      <c r="H612" s="81" t="str">
        <f t="shared" si="308"/>
        <v/>
      </c>
      <c r="J612" s="9"/>
      <c r="K612" s="10"/>
      <c r="L612" s="17"/>
      <c r="M612" s="23"/>
      <c r="N612" s="23"/>
      <c r="O612" s="23"/>
      <c r="P612" s="23"/>
      <c r="Q612" s="1">
        <f t="shared" si="312"/>
        <v>0.60744618579017706</v>
      </c>
      <c r="R612" s="12">
        <f t="shared" ca="1" si="298"/>
        <v>17462</v>
      </c>
      <c r="S612" s="88">
        <f t="shared" si="307"/>
        <v>0</v>
      </c>
      <c r="T612" s="19">
        <f t="shared" si="299"/>
        <v>0</v>
      </c>
      <c r="U612" s="19">
        <f t="shared" si="300"/>
        <v>0</v>
      </c>
      <c r="V612" s="19">
        <f t="shared" si="317"/>
        <v>0</v>
      </c>
      <c r="W612" s="20">
        <f t="shared" ca="1" si="301"/>
        <v>0</v>
      </c>
      <c r="X612" s="19">
        <f t="shared" ca="1" si="302"/>
        <v>0</v>
      </c>
      <c r="Y612" s="19">
        <f t="shared" ca="1" si="303"/>
        <v>0</v>
      </c>
      <c r="Z612" s="20">
        <f t="shared" ca="1" si="304"/>
        <v>0</v>
      </c>
      <c r="AA612" s="1">
        <f t="shared" si="313"/>
        <v>5432.58</v>
      </c>
      <c r="AB612" s="93"/>
      <c r="AC612" s="94"/>
      <c r="AD612" s="101">
        <f t="shared" si="314"/>
        <v>58584</v>
      </c>
      <c r="AE612" s="103">
        <f t="shared" si="315"/>
        <v>0</v>
      </c>
      <c r="AG612" s="1">
        <f t="shared" si="305"/>
        <v>0</v>
      </c>
      <c r="AH612" s="1">
        <f t="shared" si="306"/>
        <v>0</v>
      </c>
      <c r="AI612" s="1">
        <f t="shared" si="316"/>
        <v>5432.58</v>
      </c>
      <c r="AJ612" s="20">
        <f t="shared" si="287"/>
        <v>0</v>
      </c>
      <c r="AK612" s="100">
        <f t="shared" si="289"/>
        <v>0</v>
      </c>
      <c r="AL612" s="100">
        <f t="shared" si="290"/>
        <v>0</v>
      </c>
      <c r="AN612" s="100">
        <f t="shared" si="291"/>
        <v>4044.5537530353367</v>
      </c>
      <c r="AO612" s="20">
        <f t="shared" si="292"/>
        <v>0</v>
      </c>
      <c r="AQ612" s="109">
        <f t="shared" si="293"/>
        <v>0</v>
      </c>
      <c r="AU612" s="109">
        <f t="shared" si="309"/>
        <v>25.711228729106892</v>
      </c>
      <c r="AV612" s="101">
        <f t="shared" si="294"/>
        <v>58614</v>
      </c>
      <c r="AW612" s="99">
        <f t="shared" si="295"/>
        <v>0</v>
      </c>
      <c r="AX612" s="1">
        <f t="shared" si="296"/>
        <v>0</v>
      </c>
      <c r="AY612" s="29">
        <f t="shared" si="297"/>
        <v>0</v>
      </c>
      <c r="AZ612" s="1">
        <f t="shared" si="310"/>
        <v>0</v>
      </c>
      <c r="CB612" s="20">
        <f t="shared" si="288"/>
        <v>0</v>
      </c>
      <c r="CC612" s="173">
        <f t="shared" si="311"/>
        <v>0</v>
      </c>
    </row>
    <row r="613" spans="3:81" x14ac:dyDescent="0.25">
      <c r="C613" s="42"/>
      <c r="D613" s="43"/>
      <c r="E613" s="44"/>
      <c r="F613" s="44"/>
      <c r="G613" s="45"/>
      <c r="H613" s="81" t="str">
        <f t="shared" si="308"/>
        <v/>
      </c>
      <c r="J613" s="7"/>
      <c r="K613" s="8"/>
      <c r="L613" s="16"/>
      <c r="M613" s="22"/>
      <c r="N613" s="22"/>
      <c r="O613" s="22"/>
      <c r="P613" s="22"/>
      <c r="Q613" s="1">
        <f t="shared" si="312"/>
        <v>0.60744618579017706</v>
      </c>
      <c r="R613" s="12">
        <f t="shared" ca="1" si="298"/>
        <v>17492</v>
      </c>
      <c r="S613" s="88">
        <f t="shared" si="307"/>
        <v>0</v>
      </c>
      <c r="T613" s="19">
        <f t="shared" si="299"/>
        <v>0</v>
      </c>
      <c r="U613" s="19">
        <f t="shared" si="300"/>
        <v>0</v>
      </c>
      <c r="V613" s="19">
        <f t="shared" si="317"/>
        <v>0</v>
      </c>
      <c r="W613" s="20">
        <f t="shared" ca="1" si="301"/>
        <v>0</v>
      </c>
      <c r="X613" s="19">
        <f t="shared" ca="1" si="302"/>
        <v>0</v>
      </c>
      <c r="Y613" s="19">
        <f t="shared" ca="1" si="303"/>
        <v>0</v>
      </c>
      <c r="Z613" s="20">
        <f t="shared" ca="1" si="304"/>
        <v>0</v>
      </c>
      <c r="AA613" s="1">
        <f t="shared" si="313"/>
        <v>5432.58</v>
      </c>
      <c r="AB613" s="91"/>
      <c r="AC613" s="92"/>
      <c r="AD613" s="101">
        <f t="shared" si="314"/>
        <v>58614</v>
      </c>
      <c r="AE613" s="103">
        <f t="shared" si="315"/>
        <v>0</v>
      </c>
      <c r="AG613" s="1">
        <f t="shared" si="305"/>
        <v>0</v>
      </c>
      <c r="AH613" s="1">
        <f t="shared" si="306"/>
        <v>0</v>
      </c>
      <c r="AI613" s="1">
        <f t="shared" si="316"/>
        <v>5432.58</v>
      </c>
      <c r="AJ613" s="20">
        <f t="shared" si="287"/>
        <v>0</v>
      </c>
      <c r="AK613" s="100">
        <f t="shared" si="289"/>
        <v>0</v>
      </c>
      <c r="AL613" s="100">
        <f t="shared" si="290"/>
        <v>0</v>
      </c>
      <c r="AN613" s="100">
        <f t="shared" si="291"/>
        <v>4042.5074149434731</v>
      </c>
      <c r="AO613" s="20">
        <f t="shared" si="292"/>
        <v>0</v>
      </c>
      <c r="AQ613" s="109">
        <f t="shared" si="293"/>
        <v>0</v>
      </c>
      <c r="AU613" s="109">
        <f t="shared" si="309"/>
        <v>25.708972052671161</v>
      </c>
      <c r="AV613" s="101">
        <f t="shared" si="294"/>
        <v>58644</v>
      </c>
      <c r="AW613" s="99">
        <f t="shared" si="295"/>
        <v>0</v>
      </c>
      <c r="AX613" s="1">
        <f t="shared" si="296"/>
        <v>0</v>
      </c>
      <c r="AY613" s="29">
        <f t="shared" si="297"/>
        <v>0</v>
      </c>
      <c r="AZ613" s="1">
        <f t="shared" si="310"/>
        <v>0</v>
      </c>
      <c r="CB613" s="20">
        <f t="shared" si="288"/>
        <v>0</v>
      </c>
      <c r="CC613" s="173">
        <f t="shared" si="311"/>
        <v>0</v>
      </c>
    </row>
    <row r="614" spans="3:81" x14ac:dyDescent="0.25">
      <c r="C614" s="42"/>
      <c r="D614" s="43"/>
      <c r="E614" s="44"/>
      <c r="F614" s="44"/>
      <c r="G614" s="45"/>
      <c r="H614" s="81" t="str">
        <f t="shared" si="308"/>
        <v/>
      </c>
      <c r="J614" s="9"/>
      <c r="K614" s="10"/>
      <c r="L614" s="17"/>
      <c r="M614" s="23"/>
      <c r="N614" s="23"/>
      <c r="O614" s="23"/>
      <c r="P614" s="23"/>
      <c r="Q614" s="1">
        <f t="shared" si="312"/>
        <v>0.60744618579017706</v>
      </c>
      <c r="R614" s="12">
        <f t="shared" ca="1" si="298"/>
        <v>17522</v>
      </c>
      <c r="S614" s="88">
        <f t="shared" si="307"/>
        <v>0</v>
      </c>
      <c r="T614" s="19">
        <f t="shared" si="299"/>
        <v>0</v>
      </c>
      <c r="U614" s="19">
        <f t="shared" si="300"/>
        <v>0</v>
      </c>
      <c r="V614" s="19">
        <f t="shared" si="317"/>
        <v>0</v>
      </c>
      <c r="W614" s="20">
        <f t="shared" ca="1" si="301"/>
        <v>0</v>
      </c>
      <c r="X614" s="19">
        <f t="shared" ca="1" si="302"/>
        <v>0</v>
      </c>
      <c r="Y614" s="19">
        <f t="shared" ca="1" si="303"/>
        <v>0</v>
      </c>
      <c r="Z614" s="20">
        <f t="shared" ca="1" si="304"/>
        <v>0</v>
      </c>
      <c r="AA614" s="1">
        <f t="shared" si="313"/>
        <v>5432.58</v>
      </c>
      <c r="AB614" s="93"/>
      <c r="AC614" s="94"/>
      <c r="AD614" s="101">
        <f t="shared" si="314"/>
        <v>58644</v>
      </c>
      <c r="AE614" s="103">
        <f t="shared" si="315"/>
        <v>0</v>
      </c>
      <c r="AG614" s="1">
        <f t="shared" si="305"/>
        <v>0</v>
      </c>
      <c r="AH614" s="1">
        <f t="shared" si="306"/>
        <v>0</v>
      </c>
      <c r="AI614" s="1">
        <f t="shared" si="316"/>
        <v>5432.58</v>
      </c>
      <c r="AJ614" s="20">
        <f t="shared" si="287"/>
        <v>0</v>
      </c>
      <c r="AK614" s="100">
        <f t="shared" si="289"/>
        <v>0</v>
      </c>
      <c r="AL614" s="100">
        <f t="shared" si="290"/>
        <v>0</v>
      </c>
      <c r="AN614" s="100">
        <f t="shared" si="291"/>
        <v>4040.4621121944047</v>
      </c>
      <c r="AO614" s="20">
        <f t="shared" si="292"/>
        <v>0</v>
      </c>
      <c r="AQ614" s="109">
        <f t="shared" si="293"/>
        <v>0</v>
      </c>
      <c r="AU614" s="109">
        <f t="shared" si="309"/>
        <v>25.706715574304081</v>
      </c>
      <c r="AV614" s="101">
        <f t="shared" si="294"/>
        <v>58674</v>
      </c>
      <c r="AW614" s="99">
        <f t="shared" si="295"/>
        <v>0</v>
      </c>
      <c r="AX614" s="1">
        <f t="shared" si="296"/>
        <v>0</v>
      </c>
      <c r="AY614" s="29">
        <f t="shared" si="297"/>
        <v>0</v>
      </c>
      <c r="AZ614" s="1">
        <f t="shared" si="310"/>
        <v>0</v>
      </c>
      <c r="CB614" s="20">
        <f t="shared" si="288"/>
        <v>0</v>
      </c>
      <c r="CC614" s="173">
        <f t="shared" si="311"/>
        <v>0</v>
      </c>
    </row>
    <row r="615" spans="3:81" x14ac:dyDescent="0.25">
      <c r="C615" s="42"/>
      <c r="D615" s="43"/>
      <c r="E615" s="44"/>
      <c r="F615" s="44"/>
      <c r="G615" s="45"/>
      <c r="H615" s="81" t="str">
        <f t="shared" si="308"/>
        <v/>
      </c>
      <c r="J615" s="7"/>
      <c r="K615" s="8"/>
      <c r="L615" s="16"/>
      <c r="M615" s="22"/>
      <c r="N615" s="22"/>
      <c r="O615" s="22"/>
      <c r="P615" s="22"/>
      <c r="Q615" s="1">
        <f t="shared" si="312"/>
        <v>0.60744618579017706</v>
      </c>
      <c r="R615" s="12">
        <f t="shared" ca="1" si="298"/>
        <v>17552</v>
      </c>
      <c r="S615" s="88">
        <f t="shared" si="307"/>
        <v>0</v>
      </c>
      <c r="T615" s="19">
        <f t="shared" si="299"/>
        <v>0</v>
      </c>
      <c r="U615" s="19">
        <f t="shared" si="300"/>
        <v>0</v>
      </c>
      <c r="V615" s="19">
        <f t="shared" si="317"/>
        <v>0</v>
      </c>
      <c r="W615" s="20">
        <f t="shared" ca="1" si="301"/>
        <v>0</v>
      </c>
      <c r="X615" s="19">
        <f t="shared" ca="1" si="302"/>
        <v>0</v>
      </c>
      <c r="Y615" s="19">
        <f t="shared" ca="1" si="303"/>
        <v>0</v>
      </c>
      <c r="Z615" s="20">
        <f t="shared" ca="1" si="304"/>
        <v>0</v>
      </c>
      <c r="AA615" s="1">
        <f t="shared" si="313"/>
        <v>5432.58</v>
      </c>
      <c r="AB615" s="91"/>
      <c r="AC615" s="92"/>
      <c r="AD615" s="101">
        <f t="shared" si="314"/>
        <v>58674</v>
      </c>
      <c r="AE615" s="103">
        <f t="shared" si="315"/>
        <v>0</v>
      </c>
      <c r="AG615" s="1">
        <f t="shared" si="305"/>
        <v>0</v>
      </c>
      <c r="AH615" s="1">
        <f t="shared" si="306"/>
        <v>0</v>
      </c>
      <c r="AI615" s="1">
        <f t="shared" si="316"/>
        <v>5432.58</v>
      </c>
      <c r="AJ615" s="20">
        <f t="shared" si="287"/>
        <v>0</v>
      </c>
      <c r="AK615" s="100">
        <f t="shared" si="289"/>
        <v>0</v>
      </c>
      <c r="AL615" s="100">
        <f t="shared" si="290"/>
        <v>0</v>
      </c>
      <c r="AN615" s="100">
        <f t="shared" si="291"/>
        <v>4038.4178442642997</v>
      </c>
      <c r="AO615" s="20">
        <f t="shared" si="292"/>
        <v>0</v>
      </c>
      <c r="AQ615" s="109">
        <f t="shared" si="293"/>
        <v>0</v>
      </c>
      <c r="AU615" s="109">
        <f t="shared" si="309"/>
        <v>25.704459293988286</v>
      </c>
      <c r="AV615" s="101">
        <f t="shared" si="294"/>
        <v>58704</v>
      </c>
      <c r="AW615" s="99">
        <f t="shared" si="295"/>
        <v>0</v>
      </c>
      <c r="AX615" s="1">
        <f t="shared" si="296"/>
        <v>0</v>
      </c>
      <c r="AY615" s="29">
        <f t="shared" si="297"/>
        <v>0</v>
      </c>
      <c r="AZ615" s="1">
        <f t="shared" si="310"/>
        <v>0</v>
      </c>
      <c r="CB615" s="20">
        <f t="shared" si="288"/>
        <v>0</v>
      </c>
      <c r="CC615" s="173">
        <f t="shared" si="311"/>
        <v>0</v>
      </c>
    </row>
    <row r="616" spans="3:81" x14ac:dyDescent="0.25">
      <c r="C616" s="42"/>
      <c r="D616" s="43"/>
      <c r="E616" s="44"/>
      <c r="F616" s="44"/>
      <c r="G616" s="45"/>
      <c r="H616" s="81" t="str">
        <f t="shared" si="308"/>
        <v/>
      </c>
      <c r="J616" s="9"/>
      <c r="K616" s="10"/>
      <c r="L616" s="17"/>
      <c r="M616" s="23"/>
      <c r="N616" s="23"/>
      <c r="O616" s="23"/>
      <c r="P616" s="23"/>
      <c r="Q616" s="1">
        <f t="shared" si="312"/>
        <v>0.60744618579017706</v>
      </c>
      <c r="R616" s="12">
        <f t="shared" ca="1" si="298"/>
        <v>17582</v>
      </c>
      <c r="S616" s="88">
        <f t="shared" si="307"/>
        <v>0</v>
      </c>
      <c r="T616" s="19">
        <f t="shared" si="299"/>
        <v>0</v>
      </c>
      <c r="U616" s="19">
        <f t="shared" si="300"/>
        <v>0</v>
      </c>
      <c r="V616" s="19">
        <f t="shared" si="317"/>
        <v>0</v>
      </c>
      <c r="W616" s="20">
        <f t="shared" ca="1" si="301"/>
        <v>0</v>
      </c>
      <c r="X616" s="19">
        <f t="shared" ca="1" si="302"/>
        <v>0</v>
      </c>
      <c r="Y616" s="19">
        <f t="shared" ca="1" si="303"/>
        <v>0</v>
      </c>
      <c r="Z616" s="20">
        <f t="shared" ca="1" si="304"/>
        <v>0</v>
      </c>
      <c r="AA616" s="1">
        <f t="shared" si="313"/>
        <v>5432.58</v>
      </c>
      <c r="AB616" s="93"/>
      <c r="AC616" s="94"/>
      <c r="AD616" s="101">
        <f t="shared" si="314"/>
        <v>58704</v>
      </c>
      <c r="AE616" s="103">
        <f t="shared" si="315"/>
        <v>0</v>
      </c>
      <c r="AG616" s="1">
        <f t="shared" si="305"/>
        <v>0</v>
      </c>
      <c r="AH616" s="1">
        <f t="shared" si="306"/>
        <v>0</v>
      </c>
      <c r="AI616" s="1">
        <f t="shared" si="316"/>
        <v>5432.58</v>
      </c>
      <c r="AJ616" s="20">
        <f t="shared" ref="AJ616:AJ679" si="318">IF(ISERROR(IF(V615+U616+T616+(V615*Q616/1200)-AA616-P616&lt;0,V615,-(U616+T616-AA616+P616-AH616))),0,IF(V615+U616+T616+(V615*Q616/1200)-AA616-P616&lt;0,0,-(U616+T616-AA616-AH616)))</f>
        <v>0</v>
      </c>
      <c r="AK616" s="100">
        <f t="shared" si="289"/>
        <v>0</v>
      </c>
      <c r="AL616" s="100">
        <f t="shared" si="290"/>
        <v>0</v>
      </c>
      <c r="AN616" s="100">
        <f t="shared" si="291"/>
        <v>4036.3746106295935</v>
      </c>
      <c r="AO616" s="20">
        <f t="shared" si="292"/>
        <v>0</v>
      </c>
      <c r="AQ616" s="109">
        <f t="shared" si="293"/>
        <v>0</v>
      </c>
      <c r="AU616" s="109">
        <f t="shared" si="309"/>
        <v>25.702203211706376</v>
      </c>
      <c r="AV616" s="101">
        <f t="shared" si="294"/>
        <v>58734</v>
      </c>
      <c r="AW616" s="99">
        <f t="shared" si="295"/>
        <v>0</v>
      </c>
      <c r="AX616" s="1">
        <f t="shared" si="296"/>
        <v>0</v>
      </c>
      <c r="AY616" s="29">
        <f t="shared" si="297"/>
        <v>0</v>
      </c>
      <c r="AZ616" s="1">
        <f t="shared" si="310"/>
        <v>0</v>
      </c>
      <c r="CB616" s="20">
        <f t="shared" si="288"/>
        <v>0</v>
      </c>
      <c r="CC616" s="173">
        <f t="shared" si="311"/>
        <v>0</v>
      </c>
    </row>
    <row r="617" spans="3:81" x14ac:dyDescent="0.25">
      <c r="C617" s="42"/>
      <c r="D617" s="43"/>
      <c r="E617" s="44"/>
      <c r="F617" s="44"/>
      <c r="G617" s="45"/>
      <c r="H617" s="81" t="str">
        <f t="shared" si="308"/>
        <v/>
      </c>
      <c r="J617" s="7"/>
      <c r="K617" s="8"/>
      <c r="L617" s="16"/>
      <c r="M617" s="22"/>
      <c r="N617" s="22"/>
      <c r="O617" s="22"/>
      <c r="P617" s="22"/>
      <c r="Q617" s="1">
        <f t="shared" si="312"/>
        <v>0.60744618579017706</v>
      </c>
      <c r="R617" s="12">
        <f t="shared" ca="1" si="298"/>
        <v>17612</v>
      </c>
      <c r="S617" s="88">
        <f t="shared" si="307"/>
        <v>0</v>
      </c>
      <c r="T617" s="19">
        <f t="shared" si="299"/>
        <v>0</v>
      </c>
      <c r="U617" s="19">
        <f t="shared" si="300"/>
        <v>0</v>
      </c>
      <c r="V617" s="19">
        <f t="shared" si="317"/>
        <v>0</v>
      </c>
      <c r="W617" s="20">
        <f t="shared" ca="1" si="301"/>
        <v>0</v>
      </c>
      <c r="X617" s="19">
        <f t="shared" ca="1" si="302"/>
        <v>0</v>
      </c>
      <c r="Y617" s="19">
        <f t="shared" ca="1" si="303"/>
        <v>0</v>
      </c>
      <c r="Z617" s="20">
        <f t="shared" ca="1" si="304"/>
        <v>0</v>
      </c>
      <c r="AA617" s="1">
        <f t="shared" si="313"/>
        <v>5432.58</v>
      </c>
      <c r="AB617" s="91"/>
      <c r="AC617" s="92"/>
      <c r="AD617" s="101">
        <f t="shared" si="314"/>
        <v>58734</v>
      </c>
      <c r="AE617" s="103">
        <f t="shared" si="315"/>
        <v>0</v>
      </c>
      <c r="AG617" s="1">
        <f t="shared" si="305"/>
        <v>0</v>
      </c>
      <c r="AH617" s="1">
        <f t="shared" si="306"/>
        <v>0</v>
      </c>
      <c r="AI617" s="1">
        <f t="shared" si="316"/>
        <v>5432.58</v>
      </c>
      <c r="AJ617" s="20">
        <f t="shared" si="318"/>
        <v>0</v>
      </c>
      <c r="AK617" s="100">
        <f t="shared" si="289"/>
        <v>0</v>
      </c>
      <c r="AL617" s="100">
        <f t="shared" si="290"/>
        <v>0</v>
      </c>
      <c r="AN617" s="100">
        <f t="shared" si="291"/>
        <v>4034.3324107669832</v>
      </c>
      <c r="AO617" s="20">
        <f t="shared" si="292"/>
        <v>0</v>
      </c>
      <c r="AQ617" s="109">
        <f t="shared" si="293"/>
        <v>0</v>
      </c>
      <c r="AU617" s="109">
        <f t="shared" si="309"/>
        <v>25.699947327440963</v>
      </c>
      <c r="AV617" s="101">
        <f t="shared" si="294"/>
        <v>58764</v>
      </c>
      <c r="AW617" s="99">
        <f t="shared" si="295"/>
        <v>0</v>
      </c>
      <c r="AX617" s="1">
        <f t="shared" si="296"/>
        <v>0</v>
      </c>
      <c r="AY617" s="29">
        <f t="shared" si="297"/>
        <v>0</v>
      </c>
      <c r="AZ617" s="1">
        <f t="shared" si="310"/>
        <v>0</v>
      </c>
      <c r="CB617" s="20">
        <f t="shared" si="288"/>
        <v>0</v>
      </c>
      <c r="CC617" s="173">
        <f t="shared" si="311"/>
        <v>0</v>
      </c>
    </row>
    <row r="618" spans="3:81" x14ac:dyDescent="0.25">
      <c r="C618" s="42"/>
      <c r="D618" s="43"/>
      <c r="E618" s="44"/>
      <c r="F618" s="44"/>
      <c r="G618" s="45"/>
      <c r="H618" s="81" t="str">
        <f t="shared" si="308"/>
        <v/>
      </c>
      <c r="J618" s="9"/>
      <c r="K618" s="10"/>
      <c r="L618" s="17"/>
      <c r="M618" s="23"/>
      <c r="N618" s="23"/>
      <c r="O618" s="23"/>
      <c r="P618" s="23"/>
      <c r="Q618" s="1">
        <f t="shared" si="312"/>
        <v>0.60744618579017706</v>
      </c>
      <c r="R618" s="12">
        <f t="shared" ca="1" si="298"/>
        <v>17642</v>
      </c>
      <c r="S618" s="88">
        <f t="shared" si="307"/>
        <v>0</v>
      </c>
      <c r="T618" s="19">
        <f t="shared" si="299"/>
        <v>0</v>
      </c>
      <c r="U618" s="19">
        <f t="shared" si="300"/>
        <v>0</v>
      </c>
      <c r="V618" s="19">
        <f t="shared" si="317"/>
        <v>0</v>
      </c>
      <c r="W618" s="20">
        <f t="shared" ca="1" si="301"/>
        <v>0</v>
      </c>
      <c r="X618" s="19">
        <f t="shared" ca="1" si="302"/>
        <v>0</v>
      </c>
      <c r="Y618" s="19">
        <f t="shared" ca="1" si="303"/>
        <v>0</v>
      </c>
      <c r="Z618" s="20">
        <f t="shared" ca="1" si="304"/>
        <v>0</v>
      </c>
      <c r="AA618" s="1">
        <f t="shared" si="313"/>
        <v>5432.58</v>
      </c>
      <c r="AB618" s="93"/>
      <c r="AC618" s="94"/>
      <c r="AD618" s="101">
        <f t="shared" si="314"/>
        <v>58764</v>
      </c>
      <c r="AE618" s="103">
        <f t="shared" si="315"/>
        <v>0</v>
      </c>
      <c r="AG618" s="1">
        <f t="shared" si="305"/>
        <v>0</v>
      </c>
      <c r="AH618" s="1">
        <f t="shared" si="306"/>
        <v>0</v>
      </c>
      <c r="AI618" s="1">
        <f t="shared" si="316"/>
        <v>5432.58</v>
      </c>
      <c r="AJ618" s="20">
        <f t="shared" si="318"/>
        <v>0</v>
      </c>
      <c r="AK618" s="100">
        <f t="shared" si="289"/>
        <v>0</v>
      </c>
      <c r="AL618" s="100">
        <f t="shared" si="290"/>
        <v>0</v>
      </c>
      <c r="AN618" s="100">
        <f t="shared" si="291"/>
        <v>4032.2912441534368</v>
      </c>
      <c r="AO618" s="20">
        <f t="shared" si="292"/>
        <v>0</v>
      </c>
      <c r="AQ618" s="109">
        <f t="shared" si="293"/>
        <v>0</v>
      </c>
      <c r="AU618" s="109">
        <f t="shared" si="309"/>
        <v>25.697691641174686</v>
      </c>
      <c r="AV618" s="101">
        <f t="shared" si="294"/>
        <v>58794</v>
      </c>
      <c r="AW618" s="99">
        <f t="shared" si="295"/>
        <v>0</v>
      </c>
      <c r="AX618" s="1">
        <f t="shared" si="296"/>
        <v>0</v>
      </c>
      <c r="AY618" s="29">
        <f t="shared" si="297"/>
        <v>0</v>
      </c>
      <c r="AZ618" s="1">
        <f t="shared" si="310"/>
        <v>0</v>
      </c>
      <c r="CB618" s="20">
        <f t="shared" si="288"/>
        <v>0</v>
      </c>
      <c r="CC618" s="173">
        <f t="shared" si="311"/>
        <v>0</v>
      </c>
    </row>
    <row r="619" spans="3:81" x14ac:dyDescent="0.25">
      <c r="C619" s="42"/>
      <c r="D619" s="43"/>
      <c r="E619" s="44"/>
      <c r="F619" s="44"/>
      <c r="G619" s="45"/>
      <c r="H619" s="81" t="str">
        <f t="shared" si="308"/>
        <v/>
      </c>
      <c r="J619" s="7"/>
      <c r="K619" s="8"/>
      <c r="L619" s="16"/>
      <c r="M619" s="22"/>
      <c r="N619" s="22"/>
      <c r="O619" s="22"/>
      <c r="P619" s="22"/>
      <c r="Q619" s="1">
        <f t="shared" si="312"/>
        <v>0.60744618579017706</v>
      </c>
      <c r="R619" s="12">
        <f t="shared" ca="1" si="298"/>
        <v>17672</v>
      </c>
      <c r="S619" s="88">
        <f t="shared" si="307"/>
        <v>0</v>
      </c>
      <c r="T619" s="19">
        <f t="shared" si="299"/>
        <v>0</v>
      </c>
      <c r="U619" s="19">
        <f t="shared" si="300"/>
        <v>0</v>
      </c>
      <c r="V619" s="19">
        <f t="shared" si="317"/>
        <v>0</v>
      </c>
      <c r="W619" s="20">
        <f t="shared" ca="1" si="301"/>
        <v>0</v>
      </c>
      <c r="X619" s="19">
        <f t="shared" ca="1" si="302"/>
        <v>0</v>
      </c>
      <c r="Y619" s="19">
        <f t="shared" ca="1" si="303"/>
        <v>0</v>
      </c>
      <c r="Z619" s="20">
        <f t="shared" ca="1" si="304"/>
        <v>0</v>
      </c>
      <c r="AA619" s="1">
        <f t="shared" si="313"/>
        <v>5432.58</v>
      </c>
      <c r="AB619" s="91"/>
      <c r="AC619" s="92"/>
      <c r="AD619" s="101">
        <f t="shared" si="314"/>
        <v>58794</v>
      </c>
      <c r="AE619" s="103">
        <f t="shared" si="315"/>
        <v>0</v>
      </c>
      <c r="AG619" s="1">
        <f t="shared" si="305"/>
        <v>0</v>
      </c>
      <c r="AH619" s="1">
        <f t="shared" si="306"/>
        <v>0</v>
      </c>
      <c r="AI619" s="1">
        <f t="shared" si="316"/>
        <v>5432.58</v>
      </c>
      <c r="AJ619" s="20">
        <f t="shared" si="318"/>
        <v>0</v>
      </c>
      <c r="AK619" s="100">
        <f t="shared" si="289"/>
        <v>0</v>
      </c>
      <c r="AL619" s="100">
        <f t="shared" si="290"/>
        <v>0</v>
      </c>
      <c r="AN619" s="100">
        <f t="shared" si="291"/>
        <v>4030.2511102661801</v>
      </c>
      <c r="AO619" s="20">
        <f t="shared" si="292"/>
        <v>0</v>
      </c>
      <c r="AQ619" s="109">
        <f t="shared" si="293"/>
        <v>0</v>
      </c>
      <c r="AU619" s="109">
        <f t="shared" si="309"/>
        <v>25.69543615289016</v>
      </c>
      <c r="AV619" s="101">
        <f t="shared" si="294"/>
        <v>58824</v>
      </c>
      <c r="AW619" s="99">
        <f t="shared" si="295"/>
        <v>0</v>
      </c>
      <c r="AX619" s="1">
        <f t="shared" si="296"/>
        <v>0</v>
      </c>
      <c r="AY619" s="29">
        <f t="shared" si="297"/>
        <v>0</v>
      </c>
      <c r="AZ619" s="1">
        <f t="shared" si="310"/>
        <v>0</v>
      </c>
      <c r="CB619" s="20">
        <f t="shared" si="288"/>
        <v>0</v>
      </c>
      <c r="CC619" s="173">
        <f t="shared" si="311"/>
        <v>0</v>
      </c>
    </row>
    <row r="620" spans="3:81" x14ac:dyDescent="0.25">
      <c r="C620" s="47"/>
      <c r="D620" s="48"/>
      <c r="E620" s="49"/>
      <c r="F620" s="49"/>
      <c r="G620" s="50"/>
      <c r="H620" s="81" t="str">
        <f t="shared" si="308"/>
        <v/>
      </c>
      <c r="J620" s="9"/>
      <c r="K620" s="10"/>
      <c r="L620" s="17"/>
      <c r="M620" s="23"/>
      <c r="N620" s="23"/>
      <c r="O620" s="23"/>
      <c r="P620" s="23"/>
      <c r="Q620" s="1">
        <f t="shared" si="312"/>
        <v>0.60744618579017706</v>
      </c>
      <c r="R620" s="12">
        <f t="shared" ca="1" si="298"/>
        <v>17702</v>
      </c>
      <c r="S620" s="88">
        <f t="shared" si="307"/>
        <v>0</v>
      </c>
      <c r="T620" s="19">
        <f t="shared" si="299"/>
        <v>0</v>
      </c>
      <c r="U620" s="19">
        <f t="shared" si="300"/>
        <v>0</v>
      </c>
      <c r="V620" s="19">
        <f t="shared" si="317"/>
        <v>0</v>
      </c>
      <c r="W620" s="20">
        <f t="shared" ca="1" si="301"/>
        <v>0</v>
      </c>
      <c r="X620" s="19">
        <f t="shared" ca="1" si="302"/>
        <v>0</v>
      </c>
      <c r="Y620" s="19">
        <f t="shared" ca="1" si="303"/>
        <v>0</v>
      </c>
      <c r="Z620" s="20">
        <f t="shared" ca="1" si="304"/>
        <v>0</v>
      </c>
      <c r="AA620" s="1">
        <f t="shared" si="313"/>
        <v>5432.58</v>
      </c>
      <c r="AB620" s="93"/>
      <c r="AC620" s="94"/>
      <c r="AD620" s="101">
        <f t="shared" si="314"/>
        <v>58824</v>
      </c>
      <c r="AE620" s="103">
        <f t="shared" si="315"/>
        <v>0</v>
      </c>
      <c r="AG620" s="1">
        <f t="shared" si="305"/>
        <v>0</v>
      </c>
      <c r="AH620" s="1">
        <f t="shared" si="306"/>
        <v>0</v>
      </c>
      <c r="AI620" s="1">
        <f t="shared" si="316"/>
        <v>5432.58</v>
      </c>
      <c r="AJ620" s="20">
        <f t="shared" si="318"/>
        <v>0</v>
      </c>
      <c r="AK620" s="100">
        <f t="shared" si="289"/>
        <v>0</v>
      </c>
      <c r="AL620" s="100">
        <f t="shared" si="290"/>
        <v>0</v>
      </c>
      <c r="AN620" s="100">
        <f t="shared" si="291"/>
        <v>4028.2120085827059</v>
      </c>
      <c r="AO620" s="20">
        <f t="shared" si="292"/>
        <v>0</v>
      </c>
      <c r="AQ620" s="109">
        <f t="shared" si="293"/>
        <v>0</v>
      </c>
      <c r="AU620" s="109">
        <f t="shared" si="309"/>
        <v>25.693180862569999</v>
      </c>
      <c r="AV620" s="101">
        <f t="shared" si="294"/>
        <v>58854</v>
      </c>
      <c r="AW620" s="99">
        <f t="shared" si="295"/>
        <v>0</v>
      </c>
      <c r="AX620" s="1">
        <f t="shared" si="296"/>
        <v>0</v>
      </c>
      <c r="AY620" s="29">
        <f t="shared" si="297"/>
        <v>0</v>
      </c>
      <c r="AZ620" s="1">
        <f t="shared" si="310"/>
        <v>0</v>
      </c>
      <c r="CB620" s="20">
        <f t="shared" si="288"/>
        <v>0</v>
      </c>
      <c r="CC620" s="173">
        <f t="shared" si="311"/>
        <v>0</v>
      </c>
    </row>
    <row r="621" spans="3:81" x14ac:dyDescent="0.25">
      <c r="E621" s="3"/>
      <c r="F621" s="25"/>
      <c r="G621" s="25"/>
      <c r="H621" s="81" t="str">
        <f t="shared" si="308"/>
        <v/>
      </c>
      <c r="J621" s="7"/>
      <c r="K621" s="8"/>
      <c r="L621" s="16"/>
      <c r="M621" s="22"/>
      <c r="N621" s="22"/>
      <c r="O621" s="22"/>
      <c r="P621" s="22"/>
      <c r="Q621" s="1">
        <f t="shared" si="312"/>
        <v>0.60744618579017706</v>
      </c>
      <c r="R621" s="12">
        <f t="shared" ca="1" si="298"/>
        <v>17732</v>
      </c>
      <c r="S621" s="88">
        <f t="shared" si="307"/>
        <v>0</v>
      </c>
      <c r="T621" s="19">
        <f t="shared" si="299"/>
        <v>0</v>
      </c>
      <c r="U621" s="19">
        <f t="shared" si="300"/>
        <v>0</v>
      </c>
      <c r="V621" s="19">
        <f t="shared" si="317"/>
        <v>0</v>
      </c>
      <c r="W621" s="20">
        <f t="shared" ca="1" si="301"/>
        <v>0</v>
      </c>
      <c r="X621" s="19">
        <f t="shared" ca="1" si="302"/>
        <v>0</v>
      </c>
      <c r="Y621" s="19">
        <f t="shared" ca="1" si="303"/>
        <v>0</v>
      </c>
      <c r="Z621" s="20">
        <f t="shared" ca="1" si="304"/>
        <v>0</v>
      </c>
      <c r="AA621" s="1">
        <f t="shared" si="313"/>
        <v>5432.58</v>
      </c>
      <c r="AB621" s="91"/>
      <c r="AC621" s="92"/>
      <c r="AD621" s="101">
        <f t="shared" si="314"/>
        <v>58854</v>
      </c>
      <c r="AE621" s="103">
        <f t="shared" si="315"/>
        <v>0</v>
      </c>
      <c r="AG621" s="1">
        <f t="shared" si="305"/>
        <v>0</v>
      </c>
      <c r="AH621" s="1">
        <f t="shared" si="306"/>
        <v>0</v>
      </c>
      <c r="AI621" s="1">
        <f t="shared" si="316"/>
        <v>5432.58</v>
      </c>
      <c r="AJ621" s="20">
        <f t="shared" si="318"/>
        <v>0</v>
      </c>
      <c r="AK621" s="100">
        <f t="shared" si="289"/>
        <v>0</v>
      </c>
      <c r="AL621" s="100">
        <f t="shared" si="290"/>
        <v>0</v>
      </c>
      <c r="AN621" s="100">
        <f t="shared" si="291"/>
        <v>4026.1739385807737</v>
      </c>
      <c r="AO621" s="20">
        <f t="shared" si="292"/>
        <v>0</v>
      </c>
      <c r="AQ621" s="109">
        <f t="shared" si="293"/>
        <v>0</v>
      </c>
      <c r="AU621" s="109">
        <f t="shared" si="309"/>
        <v>25.690925770196845</v>
      </c>
      <c r="AV621" s="101">
        <f t="shared" si="294"/>
        <v>58884</v>
      </c>
      <c r="AW621" s="99">
        <f t="shared" si="295"/>
        <v>0</v>
      </c>
      <c r="AX621" s="1">
        <f t="shared" si="296"/>
        <v>0</v>
      </c>
      <c r="AY621" s="29">
        <f t="shared" si="297"/>
        <v>0</v>
      </c>
      <c r="AZ621" s="1">
        <f t="shared" si="310"/>
        <v>0</v>
      </c>
      <c r="CB621" s="20">
        <f t="shared" si="288"/>
        <v>0</v>
      </c>
      <c r="CC621" s="173">
        <f t="shared" si="311"/>
        <v>0</v>
      </c>
    </row>
    <row r="622" spans="3:81" x14ac:dyDescent="0.25">
      <c r="E622" s="3"/>
      <c r="F622" s="25"/>
      <c r="G622" s="25"/>
      <c r="H622" s="82" t="str">
        <f t="shared" si="308"/>
        <v/>
      </c>
      <c r="J622" s="9"/>
      <c r="K622" s="10"/>
      <c r="L622" s="17"/>
      <c r="M622" s="23"/>
      <c r="N622" s="23"/>
      <c r="O622" s="23"/>
      <c r="P622" s="23"/>
      <c r="Q622" s="1">
        <f t="shared" si="312"/>
        <v>0.60744618579017706</v>
      </c>
      <c r="R622" s="12">
        <f t="shared" ca="1" si="298"/>
        <v>17762</v>
      </c>
      <c r="S622" s="88">
        <f t="shared" si="307"/>
        <v>0</v>
      </c>
      <c r="T622" s="19">
        <f t="shared" si="299"/>
        <v>0</v>
      </c>
      <c r="U622" s="19">
        <f t="shared" si="300"/>
        <v>0</v>
      </c>
      <c r="V622" s="19">
        <f t="shared" si="317"/>
        <v>0</v>
      </c>
      <c r="W622" s="20">
        <f t="shared" ca="1" si="301"/>
        <v>0</v>
      </c>
      <c r="X622" s="19">
        <f t="shared" ca="1" si="302"/>
        <v>0</v>
      </c>
      <c r="Y622" s="19">
        <f t="shared" ca="1" si="303"/>
        <v>0</v>
      </c>
      <c r="Z622" s="20">
        <f t="shared" ca="1" si="304"/>
        <v>0</v>
      </c>
      <c r="AA622" s="1">
        <f t="shared" si="313"/>
        <v>5432.58</v>
      </c>
      <c r="AB622" s="93"/>
      <c r="AC622" s="94"/>
      <c r="AD622" s="101">
        <f t="shared" si="314"/>
        <v>58884</v>
      </c>
      <c r="AE622" s="103">
        <f t="shared" si="315"/>
        <v>0</v>
      </c>
      <c r="AG622" s="1">
        <f t="shared" si="305"/>
        <v>0</v>
      </c>
      <c r="AH622" s="1">
        <f t="shared" si="306"/>
        <v>0</v>
      </c>
      <c r="AI622" s="1">
        <f t="shared" si="316"/>
        <v>5432.58</v>
      </c>
      <c r="AJ622" s="20">
        <f t="shared" si="318"/>
        <v>0</v>
      </c>
      <c r="AK622" s="100">
        <f t="shared" si="289"/>
        <v>0</v>
      </c>
      <c r="AL622" s="100">
        <f t="shared" si="290"/>
        <v>0</v>
      </c>
      <c r="AN622" s="100">
        <f t="shared" si="291"/>
        <v>4024.1368997384034</v>
      </c>
      <c r="AO622" s="20">
        <f t="shared" si="292"/>
        <v>0</v>
      </c>
      <c r="AQ622" s="109">
        <f t="shared" si="293"/>
        <v>0</v>
      </c>
      <c r="AU622" s="109">
        <f t="shared" si="309"/>
        <v>25.68867087575331</v>
      </c>
      <c r="AV622" s="101">
        <f t="shared" si="294"/>
        <v>58914</v>
      </c>
      <c r="AW622" s="99">
        <f t="shared" si="295"/>
        <v>0</v>
      </c>
      <c r="AX622" s="1">
        <f t="shared" si="296"/>
        <v>0</v>
      </c>
      <c r="AY622" s="29">
        <f t="shared" si="297"/>
        <v>0</v>
      </c>
      <c r="AZ622" s="1">
        <f t="shared" si="310"/>
        <v>0</v>
      </c>
      <c r="CB622" s="20">
        <f t="shared" ref="CB622:CB685" si="319">IF(O622=0,IF(P622&gt;0,V621,IF(O621=0,0,P622)),IF(O621=0,0,P622))</f>
        <v>0</v>
      </c>
      <c r="CC622" s="173">
        <f t="shared" si="311"/>
        <v>0</v>
      </c>
    </row>
    <row r="623" spans="3:81" x14ac:dyDescent="0.25">
      <c r="E623" s="3"/>
      <c r="F623" s="25"/>
      <c r="G623" s="25"/>
      <c r="H623" s="25"/>
      <c r="J623" s="7"/>
      <c r="K623" s="8"/>
      <c r="L623" s="16"/>
      <c r="M623" s="22"/>
      <c r="N623" s="22"/>
      <c r="O623" s="22"/>
      <c r="P623" s="22"/>
      <c r="Q623" s="1">
        <f t="shared" si="312"/>
        <v>0.60744618579017706</v>
      </c>
      <c r="R623" s="12">
        <f t="shared" ca="1" si="298"/>
        <v>17792</v>
      </c>
      <c r="S623" s="88">
        <f t="shared" si="307"/>
        <v>0</v>
      </c>
      <c r="T623" s="19">
        <f t="shared" si="299"/>
        <v>0</v>
      </c>
      <c r="U623" s="19">
        <f t="shared" si="300"/>
        <v>0</v>
      </c>
      <c r="V623" s="19">
        <f t="shared" si="317"/>
        <v>0</v>
      </c>
      <c r="W623" s="20">
        <f t="shared" ca="1" si="301"/>
        <v>0</v>
      </c>
      <c r="X623" s="19">
        <f t="shared" ca="1" si="302"/>
        <v>0</v>
      </c>
      <c r="Y623" s="19">
        <f t="shared" ca="1" si="303"/>
        <v>0</v>
      </c>
      <c r="Z623" s="20">
        <f t="shared" ca="1" si="304"/>
        <v>0</v>
      </c>
      <c r="AA623" s="1">
        <f t="shared" si="313"/>
        <v>5432.58</v>
      </c>
      <c r="AB623" s="91"/>
      <c r="AC623" s="92"/>
      <c r="AD623" s="101">
        <f t="shared" si="314"/>
        <v>58914</v>
      </c>
      <c r="AE623" s="103">
        <f t="shared" si="315"/>
        <v>0</v>
      </c>
      <c r="AG623" s="1">
        <f t="shared" si="305"/>
        <v>0</v>
      </c>
      <c r="AH623" s="1">
        <f t="shared" si="306"/>
        <v>0</v>
      </c>
      <c r="AI623" s="1">
        <f t="shared" si="316"/>
        <v>5432.58</v>
      </c>
      <c r="AJ623" s="20">
        <f t="shared" si="318"/>
        <v>0</v>
      </c>
      <c r="AK623" s="100">
        <f t="shared" si="289"/>
        <v>0</v>
      </c>
      <c r="AL623" s="100">
        <f t="shared" si="290"/>
        <v>0</v>
      </c>
      <c r="AN623" s="100">
        <f t="shared" si="291"/>
        <v>4022.1008915338825</v>
      </c>
      <c r="AO623" s="20">
        <f t="shared" si="292"/>
        <v>0</v>
      </c>
      <c r="AQ623" s="109">
        <f t="shared" si="293"/>
        <v>0</v>
      </c>
      <c r="AU623" s="109">
        <f t="shared" si="309"/>
        <v>25.686416179222025</v>
      </c>
      <c r="AV623" s="101">
        <f t="shared" si="294"/>
        <v>58944</v>
      </c>
      <c r="AW623" s="99">
        <f t="shared" si="295"/>
        <v>0</v>
      </c>
      <c r="AX623" s="1">
        <f t="shared" si="296"/>
        <v>0</v>
      </c>
      <c r="AY623" s="29">
        <f t="shared" si="297"/>
        <v>0</v>
      </c>
      <c r="AZ623" s="1">
        <f t="shared" si="310"/>
        <v>0</v>
      </c>
      <c r="CB623" s="20">
        <f t="shared" si="319"/>
        <v>0</v>
      </c>
      <c r="CC623" s="173">
        <f t="shared" si="311"/>
        <v>0</v>
      </c>
    </row>
    <row r="624" spans="3:81" x14ac:dyDescent="0.25">
      <c r="E624" s="3"/>
      <c r="F624" s="25"/>
      <c r="G624" s="25"/>
      <c r="H624" s="25"/>
      <c r="J624" s="9"/>
      <c r="K624" s="10"/>
      <c r="L624" s="17"/>
      <c r="M624" s="23"/>
      <c r="N624" s="23"/>
      <c r="O624" s="23"/>
      <c r="P624" s="23"/>
      <c r="Q624" s="1">
        <f t="shared" si="312"/>
        <v>0.60744618579017706</v>
      </c>
      <c r="R624" s="12">
        <f t="shared" ca="1" si="298"/>
        <v>17822</v>
      </c>
      <c r="S624" s="88">
        <f t="shared" si="307"/>
        <v>0</v>
      </c>
      <c r="T624" s="19">
        <f t="shared" si="299"/>
        <v>0</v>
      </c>
      <c r="U624" s="19">
        <f t="shared" si="300"/>
        <v>0</v>
      </c>
      <c r="V624" s="19">
        <f t="shared" si="317"/>
        <v>0</v>
      </c>
      <c r="W624" s="20">
        <f t="shared" ca="1" si="301"/>
        <v>0</v>
      </c>
      <c r="X624" s="19">
        <f t="shared" ca="1" si="302"/>
        <v>0</v>
      </c>
      <c r="Y624" s="19">
        <f t="shared" ca="1" si="303"/>
        <v>0</v>
      </c>
      <c r="Z624" s="20">
        <f t="shared" ca="1" si="304"/>
        <v>0</v>
      </c>
      <c r="AA624" s="1">
        <f t="shared" si="313"/>
        <v>5432.58</v>
      </c>
      <c r="AB624" s="93"/>
      <c r="AC624" s="94"/>
      <c r="AD624" s="101">
        <f t="shared" si="314"/>
        <v>58944</v>
      </c>
      <c r="AE624" s="103">
        <f t="shared" si="315"/>
        <v>0</v>
      </c>
      <c r="AG624" s="1">
        <f t="shared" si="305"/>
        <v>0</v>
      </c>
      <c r="AH624" s="1">
        <f t="shared" si="306"/>
        <v>0</v>
      </c>
      <c r="AI624" s="1">
        <f t="shared" si="316"/>
        <v>5432.58</v>
      </c>
      <c r="AJ624" s="20">
        <f t="shared" si="318"/>
        <v>0</v>
      </c>
      <c r="AK624" s="100">
        <f t="shared" si="289"/>
        <v>0</v>
      </c>
      <c r="AL624" s="100">
        <f t="shared" si="290"/>
        <v>0</v>
      </c>
      <c r="AN624" s="100">
        <f t="shared" si="291"/>
        <v>4020.0659134457587</v>
      </c>
      <c r="AO624" s="20">
        <f t="shared" si="292"/>
        <v>0</v>
      </c>
      <c r="AQ624" s="109">
        <f t="shared" si="293"/>
        <v>0</v>
      </c>
      <c r="AU624" s="109">
        <f t="shared" si="309"/>
        <v>25.684161680585614</v>
      </c>
      <c r="AV624" s="101">
        <f t="shared" si="294"/>
        <v>58974</v>
      </c>
      <c r="AW624" s="99">
        <f t="shared" si="295"/>
        <v>0</v>
      </c>
      <c r="AX624" s="1">
        <f t="shared" si="296"/>
        <v>0</v>
      </c>
      <c r="AY624" s="29">
        <f t="shared" si="297"/>
        <v>0</v>
      </c>
      <c r="AZ624" s="1">
        <f t="shared" si="310"/>
        <v>0</v>
      </c>
      <c r="CB624" s="20">
        <f t="shared" si="319"/>
        <v>0</v>
      </c>
      <c r="CC624" s="173">
        <f t="shared" si="311"/>
        <v>0</v>
      </c>
    </row>
    <row r="625" spans="5:81" x14ac:dyDescent="0.25">
      <c r="E625" s="3"/>
      <c r="F625" s="25"/>
      <c r="G625" s="25"/>
      <c r="H625" s="25"/>
      <c r="J625" s="7"/>
      <c r="K625" s="8"/>
      <c r="L625" s="16"/>
      <c r="M625" s="22"/>
      <c r="N625" s="22"/>
      <c r="O625" s="22"/>
      <c r="P625" s="22"/>
      <c r="Q625" s="1">
        <f t="shared" si="312"/>
        <v>0.60744618579017706</v>
      </c>
      <c r="R625" s="12">
        <f t="shared" ca="1" si="298"/>
        <v>17852</v>
      </c>
      <c r="S625" s="88">
        <f t="shared" si="307"/>
        <v>0</v>
      </c>
      <c r="T625" s="19">
        <f t="shared" si="299"/>
        <v>0</v>
      </c>
      <c r="U625" s="19">
        <f t="shared" si="300"/>
        <v>0</v>
      </c>
      <c r="V625" s="19">
        <f t="shared" si="317"/>
        <v>0</v>
      </c>
      <c r="W625" s="20">
        <f t="shared" ca="1" si="301"/>
        <v>0</v>
      </c>
      <c r="X625" s="19">
        <f t="shared" ca="1" si="302"/>
        <v>0</v>
      </c>
      <c r="Y625" s="19">
        <f t="shared" ca="1" si="303"/>
        <v>0</v>
      </c>
      <c r="Z625" s="20">
        <f t="shared" ca="1" si="304"/>
        <v>0</v>
      </c>
      <c r="AA625" s="1">
        <f t="shared" si="313"/>
        <v>5432.58</v>
      </c>
      <c r="AB625" s="91"/>
      <c r="AC625" s="92"/>
      <c r="AD625" s="101">
        <f t="shared" si="314"/>
        <v>58974</v>
      </c>
      <c r="AE625" s="103">
        <f t="shared" si="315"/>
        <v>0</v>
      </c>
      <c r="AG625" s="1">
        <f t="shared" si="305"/>
        <v>0</v>
      </c>
      <c r="AH625" s="1">
        <f t="shared" si="306"/>
        <v>0</v>
      </c>
      <c r="AI625" s="1">
        <f t="shared" si="316"/>
        <v>5432.58</v>
      </c>
      <c r="AJ625" s="20">
        <f t="shared" si="318"/>
        <v>0</v>
      </c>
      <c r="AK625" s="100">
        <f t="shared" si="289"/>
        <v>0</v>
      </c>
      <c r="AL625" s="100">
        <f t="shared" si="290"/>
        <v>0</v>
      </c>
      <c r="AN625" s="100">
        <f t="shared" si="291"/>
        <v>4018.0319649528469</v>
      </c>
      <c r="AO625" s="20">
        <f t="shared" si="292"/>
        <v>0</v>
      </c>
      <c r="AQ625" s="109">
        <f t="shared" si="293"/>
        <v>0</v>
      </c>
      <c r="AU625" s="109">
        <f t="shared" si="309"/>
        <v>25.681907379826725</v>
      </c>
      <c r="AV625" s="101">
        <f t="shared" si="294"/>
        <v>59004</v>
      </c>
      <c r="AW625" s="99">
        <f t="shared" si="295"/>
        <v>0</v>
      </c>
      <c r="AX625" s="1">
        <f t="shared" si="296"/>
        <v>0</v>
      </c>
      <c r="AY625" s="29">
        <f t="shared" si="297"/>
        <v>0</v>
      </c>
      <c r="AZ625" s="1">
        <f t="shared" si="310"/>
        <v>0</v>
      </c>
      <c r="CB625" s="20">
        <f t="shared" si="319"/>
        <v>0</v>
      </c>
      <c r="CC625" s="173">
        <f t="shared" si="311"/>
        <v>0</v>
      </c>
    </row>
    <row r="626" spans="5:81" x14ac:dyDescent="0.25">
      <c r="E626" s="3"/>
      <c r="F626" s="3"/>
      <c r="G626" s="3"/>
      <c r="H626" s="25"/>
      <c r="J626" s="9"/>
      <c r="K626" s="10"/>
      <c r="L626" s="17"/>
      <c r="M626" s="23"/>
      <c r="N626" s="23"/>
      <c r="O626" s="23"/>
      <c r="P626" s="23"/>
      <c r="Q626" s="1">
        <f t="shared" si="312"/>
        <v>0.60744618579017706</v>
      </c>
      <c r="R626" s="12">
        <f t="shared" ca="1" si="298"/>
        <v>17882</v>
      </c>
      <c r="S626" s="88">
        <f t="shared" si="307"/>
        <v>0</v>
      </c>
      <c r="T626" s="19">
        <f t="shared" si="299"/>
        <v>0</v>
      </c>
      <c r="U626" s="19">
        <f t="shared" si="300"/>
        <v>0</v>
      </c>
      <c r="V626" s="19">
        <f t="shared" si="317"/>
        <v>0</v>
      </c>
      <c r="W626" s="20">
        <f t="shared" ca="1" si="301"/>
        <v>0</v>
      </c>
      <c r="X626" s="19">
        <f t="shared" ca="1" si="302"/>
        <v>0</v>
      </c>
      <c r="Y626" s="19">
        <f t="shared" ca="1" si="303"/>
        <v>0</v>
      </c>
      <c r="Z626" s="20">
        <f t="shared" ca="1" si="304"/>
        <v>0</v>
      </c>
      <c r="AA626" s="1">
        <f t="shared" si="313"/>
        <v>5432.58</v>
      </c>
      <c r="AB626" s="93"/>
      <c r="AC626" s="94"/>
      <c r="AD626" s="101">
        <f t="shared" si="314"/>
        <v>59004</v>
      </c>
      <c r="AE626" s="103">
        <f t="shared" si="315"/>
        <v>0</v>
      </c>
      <c r="AG626" s="1">
        <f t="shared" si="305"/>
        <v>0</v>
      </c>
      <c r="AH626" s="1">
        <f t="shared" si="306"/>
        <v>0</v>
      </c>
      <c r="AI626" s="1">
        <f t="shared" si="316"/>
        <v>5432.58</v>
      </c>
      <c r="AJ626" s="20">
        <f t="shared" si="318"/>
        <v>0</v>
      </c>
      <c r="AK626" s="100">
        <f t="shared" si="289"/>
        <v>0</v>
      </c>
      <c r="AL626" s="100">
        <f t="shared" si="290"/>
        <v>0</v>
      </c>
      <c r="AN626" s="100">
        <f t="shared" si="291"/>
        <v>4015.9990455342254</v>
      </c>
      <c r="AO626" s="20">
        <f t="shared" si="292"/>
        <v>0</v>
      </c>
      <c r="AQ626" s="109">
        <f t="shared" si="293"/>
        <v>0</v>
      </c>
      <c r="AU626" s="109">
        <f t="shared" si="309"/>
        <v>25.679653276927972</v>
      </c>
      <c r="AV626" s="101">
        <f t="shared" si="294"/>
        <v>59034</v>
      </c>
      <c r="AW626" s="99">
        <f t="shared" si="295"/>
        <v>0</v>
      </c>
      <c r="AX626" s="1">
        <f t="shared" si="296"/>
        <v>0</v>
      </c>
      <c r="AY626" s="29">
        <f t="shared" si="297"/>
        <v>0</v>
      </c>
      <c r="AZ626" s="1">
        <f t="shared" si="310"/>
        <v>0</v>
      </c>
      <c r="CB626" s="20">
        <f t="shared" si="319"/>
        <v>0</v>
      </c>
      <c r="CC626" s="173">
        <f t="shared" si="311"/>
        <v>0</v>
      </c>
    </row>
    <row r="627" spans="5:81" x14ac:dyDescent="0.25">
      <c r="E627" s="3"/>
      <c r="F627" s="3"/>
      <c r="G627" s="3"/>
      <c r="H627" s="25"/>
      <c r="J627" s="7"/>
      <c r="K627" s="8"/>
      <c r="L627" s="16"/>
      <c r="M627" s="22"/>
      <c r="N627" s="22"/>
      <c r="O627" s="22"/>
      <c r="P627" s="22"/>
      <c r="Q627" s="1">
        <f t="shared" si="312"/>
        <v>0.60744618579017706</v>
      </c>
      <c r="R627" s="12">
        <f t="shared" ca="1" si="298"/>
        <v>17912</v>
      </c>
      <c r="S627" s="88">
        <f t="shared" si="307"/>
        <v>0</v>
      </c>
      <c r="T627" s="19">
        <f t="shared" si="299"/>
        <v>0</v>
      </c>
      <c r="U627" s="19">
        <f t="shared" si="300"/>
        <v>0</v>
      </c>
      <c r="V627" s="19">
        <f t="shared" si="317"/>
        <v>0</v>
      </c>
      <c r="W627" s="20">
        <f t="shared" ca="1" si="301"/>
        <v>0</v>
      </c>
      <c r="X627" s="19">
        <f t="shared" ca="1" si="302"/>
        <v>0</v>
      </c>
      <c r="Y627" s="19">
        <f t="shared" ca="1" si="303"/>
        <v>0</v>
      </c>
      <c r="Z627" s="20">
        <f t="shared" ca="1" si="304"/>
        <v>0</v>
      </c>
      <c r="AA627" s="1">
        <f t="shared" si="313"/>
        <v>5432.58</v>
      </c>
      <c r="AB627" s="91"/>
      <c r="AC627" s="92"/>
      <c r="AD627" s="101">
        <f t="shared" si="314"/>
        <v>59034</v>
      </c>
      <c r="AE627" s="103">
        <f t="shared" si="315"/>
        <v>0</v>
      </c>
      <c r="AG627" s="1">
        <f t="shared" si="305"/>
        <v>0</v>
      </c>
      <c r="AH627" s="1">
        <f t="shared" si="306"/>
        <v>0</v>
      </c>
      <c r="AI627" s="1">
        <f t="shared" si="316"/>
        <v>5432.58</v>
      </c>
      <c r="AJ627" s="20">
        <f t="shared" si="318"/>
        <v>0</v>
      </c>
      <c r="AK627" s="100">
        <f t="shared" si="289"/>
        <v>0</v>
      </c>
      <c r="AL627" s="100">
        <f t="shared" si="290"/>
        <v>0</v>
      </c>
      <c r="AN627" s="100">
        <f t="shared" si="291"/>
        <v>4013.9671546692307</v>
      </c>
      <c r="AO627" s="20">
        <f t="shared" si="292"/>
        <v>0</v>
      </c>
      <c r="AQ627" s="109">
        <f t="shared" si="293"/>
        <v>0</v>
      </c>
      <c r="AU627" s="109">
        <f t="shared" si="309"/>
        <v>25.677399371872003</v>
      </c>
      <c r="AV627" s="101">
        <f t="shared" si="294"/>
        <v>59064</v>
      </c>
      <c r="AW627" s="99">
        <f t="shared" si="295"/>
        <v>0</v>
      </c>
      <c r="AX627" s="1">
        <f t="shared" si="296"/>
        <v>0</v>
      </c>
      <c r="AY627" s="29">
        <f t="shared" si="297"/>
        <v>0</v>
      </c>
      <c r="AZ627" s="1">
        <f t="shared" si="310"/>
        <v>0</v>
      </c>
      <c r="CB627" s="20">
        <f t="shared" si="319"/>
        <v>0</v>
      </c>
      <c r="CC627" s="173">
        <f t="shared" si="311"/>
        <v>0</v>
      </c>
    </row>
    <row r="628" spans="5:81" x14ac:dyDescent="0.25">
      <c r="E628" s="3"/>
      <c r="F628" s="3"/>
      <c r="G628" s="3"/>
      <c r="H628" s="3"/>
      <c r="J628" s="9"/>
      <c r="K628" s="10"/>
      <c r="L628" s="17"/>
      <c r="M628" s="23"/>
      <c r="N628" s="23"/>
      <c r="O628" s="23"/>
      <c r="P628" s="23"/>
      <c r="Q628" s="1">
        <f t="shared" si="312"/>
        <v>0.60744618579017706</v>
      </c>
      <c r="R628" s="12">
        <f t="shared" ca="1" si="298"/>
        <v>17942</v>
      </c>
      <c r="S628" s="88">
        <f t="shared" si="307"/>
        <v>0</v>
      </c>
      <c r="T628" s="19">
        <f t="shared" si="299"/>
        <v>0</v>
      </c>
      <c r="U628" s="19">
        <f t="shared" si="300"/>
        <v>0</v>
      </c>
      <c r="V628" s="19">
        <f t="shared" si="317"/>
        <v>0</v>
      </c>
      <c r="W628" s="20">
        <f t="shared" ca="1" si="301"/>
        <v>0</v>
      </c>
      <c r="X628" s="19">
        <f t="shared" ca="1" si="302"/>
        <v>0</v>
      </c>
      <c r="Y628" s="19">
        <f t="shared" ca="1" si="303"/>
        <v>0</v>
      </c>
      <c r="Z628" s="20">
        <f t="shared" ca="1" si="304"/>
        <v>0</v>
      </c>
      <c r="AA628" s="1">
        <f t="shared" si="313"/>
        <v>5432.58</v>
      </c>
      <c r="AB628" s="93"/>
      <c r="AC628" s="94"/>
      <c r="AD628" s="101">
        <f t="shared" si="314"/>
        <v>59064</v>
      </c>
      <c r="AE628" s="103">
        <f t="shared" si="315"/>
        <v>0</v>
      </c>
      <c r="AG628" s="1">
        <f t="shared" si="305"/>
        <v>0</v>
      </c>
      <c r="AH628" s="1">
        <f t="shared" si="306"/>
        <v>0</v>
      </c>
      <c r="AI628" s="1">
        <f t="shared" si="316"/>
        <v>5432.58</v>
      </c>
      <c r="AJ628" s="20">
        <f t="shared" si="318"/>
        <v>0</v>
      </c>
      <c r="AK628" s="100">
        <f t="shared" si="289"/>
        <v>0</v>
      </c>
      <c r="AL628" s="100">
        <f t="shared" si="290"/>
        <v>0</v>
      </c>
      <c r="AN628" s="100">
        <f t="shared" si="291"/>
        <v>4011.9362918374723</v>
      </c>
      <c r="AO628" s="20">
        <f t="shared" si="292"/>
        <v>0</v>
      </c>
      <c r="AQ628" s="109">
        <f t="shared" si="293"/>
        <v>0</v>
      </c>
      <c r="AU628" s="109">
        <f t="shared" si="309"/>
        <v>25.675145664641438</v>
      </c>
      <c r="AV628" s="101">
        <f t="shared" si="294"/>
        <v>59094</v>
      </c>
      <c r="AW628" s="99">
        <f t="shared" si="295"/>
        <v>0</v>
      </c>
      <c r="AX628" s="1">
        <f t="shared" si="296"/>
        <v>0</v>
      </c>
      <c r="AY628" s="29">
        <f t="shared" si="297"/>
        <v>0</v>
      </c>
      <c r="AZ628" s="1">
        <f t="shared" si="310"/>
        <v>0</v>
      </c>
      <c r="CB628" s="20">
        <f t="shared" si="319"/>
        <v>0</v>
      </c>
      <c r="CC628" s="173">
        <f t="shared" si="311"/>
        <v>0</v>
      </c>
    </row>
    <row r="629" spans="5:81" x14ac:dyDescent="0.25">
      <c r="E629" s="3"/>
      <c r="F629" s="3"/>
      <c r="G629" s="3"/>
      <c r="H629" s="3"/>
      <c r="J629" s="7"/>
      <c r="K629" s="8"/>
      <c r="L629" s="16"/>
      <c r="M629" s="22"/>
      <c r="N629" s="22"/>
      <c r="O629" s="22"/>
      <c r="P629" s="22"/>
      <c r="Q629" s="1">
        <f t="shared" si="312"/>
        <v>0.60744618579017706</v>
      </c>
      <c r="R629" s="12">
        <f t="shared" ca="1" si="298"/>
        <v>17972</v>
      </c>
      <c r="S629" s="88">
        <f t="shared" si="307"/>
        <v>0</v>
      </c>
      <c r="T629" s="19">
        <f t="shared" si="299"/>
        <v>0</v>
      </c>
      <c r="U629" s="19">
        <f t="shared" si="300"/>
        <v>0</v>
      </c>
      <c r="V629" s="19">
        <f t="shared" si="317"/>
        <v>0</v>
      </c>
      <c r="W629" s="20">
        <f t="shared" ca="1" si="301"/>
        <v>0</v>
      </c>
      <c r="X629" s="19">
        <f t="shared" ca="1" si="302"/>
        <v>0</v>
      </c>
      <c r="Y629" s="19">
        <f t="shared" ca="1" si="303"/>
        <v>0</v>
      </c>
      <c r="Z629" s="20">
        <f t="shared" ca="1" si="304"/>
        <v>0</v>
      </c>
      <c r="AA629" s="1">
        <f t="shared" si="313"/>
        <v>5432.58</v>
      </c>
      <c r="AB629" s="91"/>
      <c r="AC629" s="92"/>
      <c r="AD629" s="101">
        <f t="shared" si="314"/>
        <v>59094</v>
      </c>
      <c r="AE629" s="103">
        <f t="shared" si="315"/>
        <v>0</v>
      </c>
      <c r="AG629" s="1">
        <f t="shared" si="305"/>
        <v>0</v>
      </c>
      <c r="AH629" s="1">
        <f t="shared" si="306"/>
        <v>0</v>
      </c>
      <c r="AI629" s="1">
        <f t="shared" si="316"/>
        <v>5432.58</v>
      </c>
      <c r="AJ629" s="20">
        <f t="shared" si="318"/>
        <v>0</v>
      </c>
      <c r="AK629" s="100">
        <f t="shared" si="289"/>
        <v>0</v>
      </c>
      <c r="AL629" s="100">
        <f t="shared" si="290"/>
        <v>0</v>
      </c>
      <c r="AN629" s="100">
        <f t="shared" si="291"/>
        <v>4009.9064565188164</v>
      </c>
      <c r="AO629" s="20">
        <f t="shared" si="292"/>
        <v>0</v>
      </c>
      <c r="AQ629" s="109">
        <f t="shared" si="293"/>
        <v>0</v>
      </c>
      <c r="AU629" s="109">
        <f t="shared" si="309"/>
        <v>25.672892155218932</v>
      </c>
      <c r="AV629" s="101">
        <f t="shared" si="294"/>
        <v>59124</v>
      </c>
      <c r="AW629" s="99">
        <f t="shared" si="295"/>
        <v>0</v>
      </c>
      <c r="AX629" s="1">
        <f t="shared" si="296"/>
        <v>0</v>
      </c>
      <c r="AY629" s="29">
        <f t="shared" si="297"/>
        <v>0</v>
      </c>
      <c r="AZ629" s="1">
        <f t="shared" si="310"/>
        <v>0</v>
      </c>
      <c r="CB629" s="20">
        <f t="shared" si="319"/>
        <v>0</v>
      </c>
      <c r="CC629" s="173">
        <f t="shared" si="311"/>
        <v>0</v>
      </c>
    </row>
    <row r="630" spans="5:81" x14ac:dyDescent="0.25">
      <c r="E630" s="3"/>
      <c r="F630" s="3"/>
      <c r="G630" s="3"/>
      <c r="H630" s="3"/>
      <c r="J630" s="9"/>
      <c r="K630" s="10"/>
      <c r="L630" s="17"/>
      <c r="M630" s="23"/>
      <c r="N630" s="23"/>
      <c r="O630" s="23"/>
      <c r="P630" s="23"/>
      <c r="Q630" s="1">
        <f t="shared" si="312"/>
        <v>0.60744618579017706</v>
      </c>
      <c r="R630" s="12">
        <f t="shared" ca="1" si="298"/>
        <v>18002</v>
      </c>
      <c r="S630" s="88">
        <f t="shared" si="307"/>
        <v>0</v>
      </c>
      <c r="T630" s="19">
        <f t="shared" si="299"/>
        <v>0</v>
      </c>
      <c r="U630" s="19">
        <f t="shared" si="300"/>
        <v>0</v>
      </c>
      <c r="V630" s="19">
        <f t="shared" si="317"/>
        <v>0</v>
      </c>
      <c r="W630" s="20">
        <f t="shared" ca="1" si="301"/>
        <v>0</v>
      </c>
      <c r="X630" s="19">
        <f t="shared" ca="1" si="302"/>
        <v>0</v>
      </c>
      <c r="Y630" s="19">
        <f t="shared" ca="1" si="303"/>
        <v>0</v>
      </c>
      <c r="Z630" s="20">
        <f t="shared" ca="1" si="304"/>
        <v>0</v>
      </c>
      <c r="AA630" s="1">
        <f t="shared" si="313"/>
        <v>5432.58</v>
      </c>
      <c r="AB630" s="93"/>
      <c r="AC630" s="94"/>
      <c r="AD630" s="101">
        <f t="shared" si="314"/>
        <v>59124</v>
      </c>
      <c r="AE630" s="103">
        <f t="shared" si="315"/>
        <v>0</v>
      </c>
      <c r="AG630" s="1">
        <f t="shared" si="305"/>
        <v>0</v>
      </c>
      <c r="AH630" s="1">
        <f t="shared" si="306"/>
        <v>0</v>
      </c>
      <c r="AI630" s="1">
        <f t="shared" si="316"/>
        <v>5432.58</v>
      </c>
      <c r="AJ630" s="20">
        <f t="shared" si="318"/>
        <v>0</v>
      </c>
      <c r="AK630" s="100">
        <f t="shared" ref="AK630:AK693" si="320">IF(ISERROR(AJ630/(1+(Q630)/1200)^(ROW()-29)),0,AJ630/(1+(Q630)/1200)^(ROW()-29))</f>
        <v>0</v>
      </c>
      <c r="AL630" s="100">
        <f t="shared" ref="AL630:AL693" si="321">IF(ISERROR((Q630/1200)*O630),0,(Q630/1200)*O630)</f>
        <v>0</v>
      </c>
      <c r="AN630" s="100">
        <f t="shared" ref="AN630:AN693" si="322">IF(ISERROR(AA630/(1+(Q630)/1200)^(ROW()-29)),0,AA630/(1+(Q630)/1200)^(ROW()-29))</f>
        <v>4007.8776481933915</v>
      </c>
      <c r="AO630" s="20">
        <f t="shared" ref="AO630:AO693" si="323">IF(ISERROR(V629+U630+T630+(V629*Q630/1200)-AA630-P630),0,IF(V629+U630+T630+(V629*Q630/1200)-AA630-P630&lt;0,V629,-(U630+T630-AA630+P630-AH630)))</f>
        <v>0</v>
      </c>
      <c r="AQ630" s="109">
        <f t="shared" ref="AQ630:AQ693" si="324">AO630/(1+((1+$AM$27)^((ROW()-29)*30)-1))</f>
        <v>0</v>
      </c>
      <c r="AU630" s="109">
        <f t="shared" si="309"/>
        <v>25.670638843587103</v>
      </c>
      <c r="AV630" s="101">
        <f t="shared" ref="AV630:AV693" si="325">AD631</f>
        <v>59154</v>
      </c>
      <c r="AW630" s="99">
        <f t="shared" ref="AW630:AW693" si="326">IF(AJ631&lt;0,0,AJ631)</f>
        <v>0</v>
      </c>
      <c r="AX630" s="1">
        <f t="shared" ref="AX630:AX693" si="327">IF(AG630&gt;0,AA630,0)</f>
        <v>0</v>
      </c>
      <c r="AY630" s="29">
        <f t="shared" ref="AY630:AY693" si="328">AE630</f>
        <v>0</v>
      </c>
      <c r="AZ630" s="1">
        <f t="shared" si="310"/>
        <v>0</v>
      </c>
      <c r="CB630" s="20">
        <f t="shared" si="319"/>
        <v>0</v>
      </c>
      <c r="CC630" s="173">
        <f t="shared" si="311"/>
        <v>0</v>
      </c>
    </row>
    <row r="631" spans="5:81" x14ac:dyDescent="0.25">
      <c r="E631" s="3"/>
      <c r="F631" s="3"/>
      <c r="G631" s="3"/>
      <c r="H631" s="3"/>
      <c r="J631" s="7"/>
      <c r="K631" s="8"/>
      <c r="L631" s="16"/>
      <c r="M631" s="22"/>
      <c r="N631" s="22"/>
      <c r="O631" s="22"/>
      <c r="P631" s="22"/>
      <c r="Q631" s="1">
        <f t="shared" si="312"/>
        <v>0.60744618579017706</v>
      </c>
      <c r="R631" s="12">
        <f t="shared" ref="R631:R694" ca="1" si="329">IF(ROW()&gt;$T$20,R630+30,DAYS360(K630,K631)+R630)</f>
        <v>18032</v>
      </c>
      <c r="S631" s="88">
        <f t="shared" si="307"/>
        <v>0</v>
      </c>
      <c r="T631" s="19">
        <f t="shared" ref="T631:T694" si="330">IF(ISERROR((previousBalance*Q631/1200)*(IF(ROW()-30&lt;$G$22,$G$21,0))),0,(previousBalance*Q631/1200)*(IF(ROW()-30&lt;$G$22,$G$21,0)))</f>
        <v>0</v>
      </c>
      <c r="U631" s="19">
        <f t="shared" ref="U631:U694" si="331">AA631*(IF(ROW()-30&lt;$H$22,$H$21,0))</f>
        <v>0</v>
      </c>
      <c r="V631" s="19">
        <f t="shared" si="317"/>
        <v>0</v>
      </c>
      <c r="W631" s="20">
        <f t="shared" ref="W631:W694" ca="1" si="332">(T631)/(1+((1+$T$12)^$R631-1))</f>
        <v>0</v>
      </c>
      <c r="X631" s="19">
        <f t="shared" ref="X631:X694" ca="1" si="333">(U631)/(1+((1+$T$12)^$R631-1))</f>
        <v>0</v>
      </c>
      <c r="Y631" s="19">
        <f t="shared" ref="Y631:Y694" ca="1" si="334">P631/(1+((1+$T$12)^$R631-1))</f>
        <v>0</v>
      </c>
      <c r="Z631" s="20">
        <f t="shared" ref="Z631:Z694" ca="1" si="335">W631+X631</f>
        <v>0</v>
      </c>
      <c r="AA631" s="1">
        <f t="shared" si="313"/>
        <v>5432.58</v>
      </c>
      <c r="AB631" s="91"/>
      <c r="AC631" s="92"/>
      <c r="AD631" s="101">
        <f t="shared" si="314"/>
        <v>59154</v>
      </c>
      <c r="AE631" s="103">
        <f t="shared" si="315"/>
        <v>0</v>
      </c>
      <c r="AG631" s="1">
        <f t="shared" ref="AG631:AG694" si="336">AE631/360</f>
        <v>0</v>
      </c>
      <c r="AH631" s="1">
        <f t="shared" ref="AH631:AH694" si="337">IF(ISERROR(IF(V630+U631+T631+(V630*Q631/1200)-AA631-P631&lt;0,0,(V630*Q631/1200))),0,IF(V630+U631+T631+(V630*Q631/1200)-AA631-P631&lt;0,0,(V630*Q631/1200)))</f>
        <v>0</v>
      </c>
      <c r="AI631" s="1">
        <f t="shared" si="316"/>
        <v>5432.58</v>
      </c>
      <c r="AJ631" s="20">
        <f t="shared" si="318"/>
        <v>0</v>
      </c>
      <c r="AK631" s="100">
        <f t="shared" si="320"/>
        <v>0</v>
      </c>
      <c r="AL631" s="100">
        <f t="shared" si="321"/>
        <v>0</v>
      </c>
      <c r="AN631" s="100">
        <f t="shared" si="322"/>
        <v>4005.849866341593</v>
      </c>
      <c r="AO631" s="20">
        <f t="shared" si="323"/>
        <v>0</v>
      </c>
      <c r="AQ631" s="109">
        <f t="shared" si="324"/>
        <v>0</v>
      </c>
      <c r="AU631" s="109">
        <f t="shared" si="309"/>
        <v>25.668385729728609</v>
      </c>
      <c r="AV631" s="101">
        <f t="shared" si="325"/>
        <v>59184</v>
      </c>
      <c r="AW631" s="99">
        <f t="shared" si="326"/>
        <v>0</v>
      </c>
      <c r="AX631" s="1">
        <f t="shared" si="327"/>
        <v>0</v>
      </c>
      <c r="AY631" s="29">
        <f t="shared" si="328"/>
        <v>0</v>
      </c>
      <c r="AZ631" s="1">
        <f t="shared" si="310"/>
        <v>0</v>
      </c>
      <c r="CB631" s="20">
        <f t="shared" si="319"/>
        <v>0</v>
      </c>
      <c r="CC631" s="173">
        <f t="shared" si="311"/>
        <v>0</v>
      </c>
    </row>
    <row r="632" spans="5:81" x14ac:dyDescent="0.25">
      <c r="E632" s="3"/>
      <c r="F632" s="3"/>
      <c r="G632" s="3"/>
      <c r="H632" s="3"/>
      <c r="J632" s="9"/>
      <c r="K632" s="10"/>
      <c r="L632" s="17"/>
      <c r="M632" s="23"/>
      <c r="N632" s="23"/>
      <c r="O632" s="23"/>
      <c r="P632" s="23"/>
      <c r="Q632" s="1">
        <f t="shared" si="312"/>
        <v>0.60744618579017706</v>
      </c>
      <c r="R632" s="12">
        <f t="shared" ca="1" si="329"/>
        <v>18062</v>
      </c>
      <c r="S632" s="88">
        <f t="shared" si="307"/>
        <v>0</v>
      </c>
      <c r="T632" s="19">
        <f t="shared" si="330"/>
        <v>0</v>
      </c>
      <c r="U632" s="19">
        <f t="shared" si="331"/>
        <v>0</v>
      </c>
      <c r="V632" s="19">
        <f t="shared" si="317"/>
        <v>0</v>
      </c>
      <c r="W632" s="20">
        <f t="shared" ca="1" si="332"/>
        <v>0</v>
      </c>
      <c r="X632" s="19">
        <f t="shared" ca="1" si="333"/>
        <v>0</v>
      </c>
      <c r="Y632" s="19">
        <f t="shared" ca="1" si="334"/>
        <v>0</v>
      </c>
      <c r="Z632" s="20">
        <f t="shared" ca="1" si="335"/>
        <v>0</v>
      </c>
      <c r="AA632" s="1">
        <f t="shared" si="313"/>
        <v>5432.58</v>
      </c>
      <c r="AB632" s="93"/>
      <c r="AC632" s="94"/>
      <c r="AD632" s="101">
        <f t="shared" si="314"/>
        <v>59184</v>
      </c>
      <c r="AE632" s="103">
        <f t="shared" si="315"/>
        <v>0</v>
      </c>
      <c r="AG632" s="1">
        <f t="shared" si="336"/>
        <v>0</v>
      </c>
      <c r="AH632" s="1">
        <f t="shared" si="337"/>
        <v>0</v>
      </c>
      <c r="AI632" s="1">
        <f t="shared" si="316"/>
        <v>5432.58</v>
      </c>
      <c r="AJ632" s="20">
        <f t="shared" si="318"/>
        <v>0</v>
      </c>
      <c r="AK632" s="100">
        <f t="shared" si="320"/>
        <v>0</v>
      </c>
      <c r="AL632" s="100">
        <f t="shared" si="321"/>
        <v>0</v>
      </c>
      <c r="AN632" s="100">
        <f t="shared" si="322"/>
        <v>4003.8231104440779</v>
      </c>
      <c r="AO632" s="20">
        <f t="shared" si="323"/>
        <v>0</v>
      </c>
      <c r="AQ632" s="109">
        <f t="shared" si="324"/>
        <v>0</v>
      </c>
      <c r="AU632" s="109">
        <f t="shared" si="309"/>
        <v>25.666132813626088</v>
      </c>
      <c r="AV632" s="101">
        <f t="shared" si="325"/>
        <v>59214</v>
      </c>
      <c r="AW632" s="99">
        <f t="shared" si="326"/>
        <v>0</v>
      </c>
      <c r="AX632" s="1">
        <f t="shared" si="327"/>
        <v>0</v>
      </c>
      <c r="AY632" s="29">
        <f t="shared" si="328"/>
        <v>0</v>
      </c>
      <c r="AZ632" s="1">
        <f t="shared" si="310"/>
        <v>0</v>
      </c>
      <c r="CB632" s="20">
        <f t="shared" si="319"/>
        <v>0</v>
      </c>
      <c r="CC632" s="173">
        <f t="shared" si="311"/>
        <v>0</v>
      </c>
    </row>
    <row r="633" spans="5:81" x14ac:dyDescent="0.25">
      <c r="E633" s="3"/>
      <c r="F633" s="3"/>
      <c r="G633" s="3"/>
      <c r="H633" s="3"/>
      <c r="J633" s="7"/>
      <c r="K633" s="8"/>
      <c r="L633" s="16"/>
      <c r="M633" s="22"/>
      <c r="N633" s="22"/>
      <c r="O633" s="22"/>
      <c r="P633" s="22"/>
      <c r="Q633" s="1">
        <f t="shared" si="312"/>
        <v>0.60744618579017706</v>
      </c>
      <c r="R633" s="12">
        <f t="shared" ca="1" si="329"/>
        <v>18092</v>
      </c>
      <c r="S633" s="88">
        <f t="shared" si="307"/>
        <v>0</v>
      </c>
      <c r="T633" s="19">
        <f t="shared" si="330"/>
        <v>0</v>
      </c>
      <c r="U633" s="19">
        <f t="shared" si="331"/>
        <v>0</v>
      </c>
      <c r="V633" s="19">
        <f t="shared" si="317"/>
        <v>0</v>
      </c>
      <c r="W633" s="20">
        <f t="shared" ca="1" si="332"/>
        <v>0</v>
      </c>
      <c r="X633" s="19">
        <f t="shared" ca="1" si="333"/>
        <v>0</v>
      </c>
      <c r="Y633" s="19">
        <f t="shared" ca="1" si="334"/>
        <v>0</v>
      </c>
      <c r="Z633" s="20">
        <f t="shared" ca="1" si="335"/>
        <v>0</v>
      </c>
      <c r="AA633" s="1">
        <f t="shared" si="313"/>
        <v>5432.58</v>
      </c>
      <c r="AB633" s="91"/>
      <c r="AC633" s="92"/>
      <c r="AD633" s="101">
        <f t="shared" si="314"/>
        <v>59214</v>
      </c>
      <c r="AE633" s="103">
        <f t="shared" si="315"/>
        <v>0</v>
      </c>
      <c r="AG633" s="1">
        <f t="shared" si="336"/>
        <v>0</v>
      </c>
      <c r="AH633" s="1">
        <f t="shared" si="337"/>
        <v>0</v>
      </c>
      <c r="AI633" s="1">
        <f t="shared" si="316"/>
        <v>5432.58</v>
      </c>
      <c r="AJ633" s="20">
        <f t="shared" si="318"/>
        <v>0</v>
      </c>
      <c r="AK633" s="100">
        <f t="shared" si="320"/>
        <v>0</v>
      </c>
      <c r="AL633" s="100">
        <f t="shared" si="321"/>
        <v>0</v>
      </c>
      <c r="AN633" s="100">
        <f t="shared" si="322"/>
        <v>4001.7973799817651</v>
      </c>
      <c r="AO633" s="20">
        <f t="shared" si="323"/>
        <v>0</v>
      </c>
      <c r="AQ633" s="109">
        <f t="shared" si="324"/>
        <v>0</v>
      </c>
      <c r="AU633" s="109">
        <f t="shared" si="309"/>
        <v>25.663880095262179</v>
      </c>
      <c r="AV633" s="101">
        <f t="shared" si="325"/>
        <v>59244</v>
      </c>
      <c r="AW633" s="99">
        <f t="shared" si="326"/>
        <v>0</v>
      </c>
      <c r="AX633" s="1">
        <f t="shared" si="327"/>
        <v>0</v>
      </c>
      <c r="AY633" s="29">
        <f t="shared" si="328"/>
        <v>0</v>
      </c>
      <c r="AZ633" s="1">
        <f t="shared" si="310"/>
        <v>0</v>
      </c>
      <c r="CB633" s="20">
        <f t="shared" si="319"/>
        <v>0</v>
      </c>
      <c r="CC633" s="173">
        <f t="shared" si="311"/>
        <v>0</v>
      </c>
    </row>
    <row r="634" spans="5:81" x14ac:dyDescent="0.25">
      <c r="E634" s="3"/>
      <c r="F634" s="3"/>
      <c r="G634" s="3"/>
      <c r="H634" s="3"/>
      <c r="J634" s="9"/>
      <c r="K634" s="10"/>
      <c r="L634" s="17"/>
      <c r="M634" s="23"/>
      <c r="N634" s="23"/>
      <c r="O634" s="23"/>
      <c r="P634" s="23"/>
      <c r="Q634" s="1">
        <f t="shared" si="312"/>
        <v>0.60744618579017706</v>
      </c>
      <c r="R634" s="12">
        <f t="shared" ca="1" si="329"/>
        <v>18122</v>
      </c>
      <c r="S634" s="88">
        <f t="shared" si="307"/>
        <v>0</v>
      </c>
      <c r="T634" s="19">
        <f t="shared" si="330"/>
        <v>0</v>
      </c>
      <c r="U634" s="19">
        <f t="shared" si="331"/>
        <v>0</v>
      </c>
      <c r="V634" s="19">
        <f t="shared" si="317"/>
        <v>0</v>
      </c>
      <c r="W634" s="20">
        <f t="shared" ca="1" si="332"/>
        <v>0</v>
      </c>
      <c r="X634" s="19">
        <f t="shared" ca="1" si="333"/>
        <v>0</v>
      </c>
      <c r="Y634" s="19">
        <f t="shared" ca="1" si="334"/>
        <v>0</v>
      </c>
      <c r="Z634" s="20">
        <f t="shared" ca="1" si="335"/>
        <v>0</v>
      </c>
      <c r="AA634" s="1">
        <f t="shared" si="313"/>
        <v>5432.58</v>
      </c>
      <c r="AB634" s="93"/>
      <c r="AC634" s="94"/>
      <c r="AD634" s="101">
        <f t="shared" si="314"/>
        <v>59244</v>
      </c>
      <c r="AE634" s="103">
        <f t="shared" si="315"/>
        <v>0</v>
      </c>
      <c r="AG634" s="1">
        <f t="shared" si="336"/>
        <v>0</v>
      </c>
      <c r="AH634" s="1">
        <f t="shared" si="337"/>
        <v>0</v>
      </c>
      <c r="AI634" s="1">
        <f t="shared" si="316"/>
        <v>5432.58</v>
      </c>
      <c r="AJ634" s="20">
        <f t="shared" si="318"/>
        <v>0</v>
      </c>
      <c r="AK634" s="100">
        <f t="shared" si="320"/>
        <v>0</v>
      </c>
      <c r="AL634" s="100">
        <f t="shared" si="321"/>
        <v>0</v>
      </c>
      <c r="AN634" s="100">
        <f t="shared" si="322"/>
        <v>3999.772674435837</v>
      </c>
      <c r="AO634" s="20">
        <f t="shared" si="323"/>
        <v>0</v>
      </c>
      <c r="AQ634" s="109">
        <f t="shared" si="324"/>
        <v>0</v>
      </c>
      <c r="AU634" s="109">
        <f t="shared" si="309"/>
        <v>25.661627574619512</v>
      </c>
      <c r="AV634" s="101">
        <f t="shared" si="325"/>
        <v>59274</v>
      </c>
      <c r="AW634" s="99">
        <f t="shared" si="326"/>
        <v>0</v>
      </c>
      <c r="AX634" s="1">
        <f t="shared" si="327"/>
        <v>0</v>
      </c>
      <c r="AY634" s="29">
        <f t="shared" si="328"/>
        <v>0</v>
      </c>
      <c r="AZ634" s="1">
        <f t="shared" si="310"/>
        <v>0</v>
      </c>
      <c r="CB634" s="20">
        <f t="shared" si="319"/>
        <v>0</v>
      </c>
      <c r="CC634" s="173">
        <f t="shared" si="311"/>
        <v>0</v>
      </c>
    </row>
    <row r="635" spans="5:81" x14ac:dyDescent="0.25">
      <c r="E635" s="3"/>
      <c r="F635" s="3"/>
      <c r="G635" s="3"/>
      <c r="H635" s="3"/>
      <c r="J635" s="7"/>
      <c r="K635" s="8"/>
      <c r="L635" s="16"/>
      <c r="M635" s="22"/>
      <c r="N635" s="22"/>
      <c r="O635" s="22"/>
      <c r="P635" s="22"/>
      <c r="Q635" s="1">
        <f t="shared" si="312"/>
        <v>0.60744618579017706</v>
      </c>
      <c r="R635" s="12">
        <f t="shared" ca="1" si="329"/>
        <v>18152</v>
      </c>
      <c r="S635" s="88">
        <f t="shared" si="307"/>
        <v>0</v>
      </c>
      <c r="T635" s="19">
        <f t="shared" si="330"/>
        <v>0</v>
      </c>
      <c r="U635" s="19">
        <f t="shared" si="331"/>
        <v>0</v>
      </c>
      <c r="V635" s="19">
        <f t="shared" si="317"/>
        <v>0</v>
      </c>
      <c r="W635" s="20">
        <f t="shared" ca="1" si="332"/>
        <v>0</v>
      </c>
      <c r="X635" s="19">
        <f t="shared" ca="1" si="333"/>
        <v>0</v>
      </c>
      <c r="Y635" s="19">
        <f t="shared" ca="1" si="334"/>
        <v>0</v>
      </c>
      <c r="Z635" s="20">
        <f t="shared" ca="1" si="335"/>
        <v>0</v>
      </c>
      <c r="AA635" s="1">
        <f t="shared" si="313"/>
        <v>5432.58</v>
      </c>
      <c r="AB635" s="91"/>
      <c r="AC635" s="92"/>
      <c r="AD635" s="101">
        <f t="shared" si="314"/>
        <v>59274</v>
      </c>
      <c r="AE635" s="103">
        <f t="shared" si="315"/>
        <v>0</v>
      </c>
      <c r="AG635" s="1">
        <f t="shared" si="336"/>
        <v>0</v>
      </c>
      <c r="AH635" s="1">
        <f t="shared" si="337"/>
        <v>0</v>
      </c>
      <c r="AI635" s="1">
        <f t="shared" si="316"/>
        <v>5432.58</v>
      </c>
      <c r="AJ635" s="20">
        <f t="shared" si="318"/>
        <v>0</v>
      </c>
      <c r="AK635" s="100">
        <f t="shared" si="320"/>
        <v>0</v>
      </c>
      <c r="AL635" s="100">
        <f t="shared" si="321"/>
        <v>0</v>
      </c>
      <c r="AN635" s="100">
        <f t="shared" si="322"/>
        <v>3997.7489932877356</v>
      </c>
      <c r="AO635" s="20">
        <f t="shared" si="323"/>
        <v>0</v>
      </c>
      <c r="AQ635" s="109">
        <f t="shared" si="324"/>
        <v>0</v>
      </c>
      <c r="AU635" s="109">
        <f t="shared" si="309"/>
        <v>25.659375251680757</v>
      </c>
      <c r="AV635" s="101">
        <f t="shared" si="325"/>
        <v>59304</v>
      </c>
      <c r="AW635" s="99">
        <f t="shared" si="326"/>
        <v>0</v>
      </c>
      <c r="AX635" s="1">
        <f t="shared" si="327"/>
        <v>0</v>
      </c>
      <c r="AY635" s="29">
        <f t="shared" si="328"/>
        <v>0</v>
      </c>
      <c r="AZ635" s="1">
        <f t="shared" si="310"/>
        <v>0</v>
      </c>
      <c r="CB635" s="20">
        <f t="shared" si="319"/>
        <v>0</v>
      </c>
      <c r="CC635" s="173">
        <f t="shared" si="311"/>
        <v>0</v>
      </c>
    </row>
    <row r="636" spans="5:81" x14ac:dyDescent="0.25">
      <c r="E636" s="3"/>
      <c r="F636" s="3"/>
      <c r="G636" s="3"/>
      <c r="H636" s="3"/>
      <c r="J636" s="9"/>
      <c r="K636" s="10"/>
      <c r="L636" s="17"/>
      <c r="M636" s="23"/>
      <c r="N636" s="23"/>
      <c r="O636" s="23"/>
      <c r="P636" s="23"/>
      <c r="Q636" s="1">
        <f t="shared" si="312"/>
        <v>0.60744618579017706</v>
      </c>
      <c r="R636" s="12">
        <f t="shared" ca="1" si="329"/>
        <v>18182</v>
      </c>
      <c r="S636" s="88">
        <f t="shared" si="307"/>
        <v>0</v>
      </c>
      <c r="T636" s="19">
        <f t="shared" si="330"/>
        <v>0</v>
      </c>
      <c r="U636" s="19">
        <f t="shared" si="331"/>
        <v>0</v>
      </c>
      <c r="V636" s="19">
        <f t="shared" si="317"/>
        <v>0</v>
      </c>
      <c r="W636" s="20">
        <f t="shared" ca="1" si="332"/>
        <v>0</v>
      </c>
      <c r="X636" s="19">
        <f t="shared" ca="1" si="333"/>
        <v>0</v>
      </c>
      <c r="Y636" s="19">
        <f t="shared" ca="1" si="334"/>
        <v>0</v>
      </c>
      <c r="Z636" s="20">
        <f t="shared" ca="1" si="335"/>
        <v>0</v>
      </c>
      <c r="AA636" s="1">
        <f t="shared" si="313"/>
        <v>5432.58</v>
      </c>
      <c r="AB636" s="93"/>
      <c r="AC636" s="94"/>
      <c r="AD636" s="101">
        <f t="shared" si="314"/>
        <v>59304</v>
      </c>
      <c r="AE636" s="103">
        <f t="shared" si="315"/>
        <v>0</v>
      </c>
      <c r="AG636" s="1">
        <f t="shared" si="336"/>
        <v>0</v>
      </c>
      <c r="AH636" s="1">
        <f t="shared" si="337"/>
        <v>0</v>
      </c>
      <c r="AI636" s="1">
        <f t="shared" si="316"/>
        <v>5432.58</v>
      </c>
      <c r="AJ636" s="20">
        <f t="shared" si="318"/>
        <v>0</v>
      </c>
      <c r="AK636" s="100">
        <f t="shared" si="320"/>
        <v>0</v>
      </c>
      <c r="AL636" s="100">
        <f t="shared" si="321"/>
        <v>0</v>
      </c>
      <c r="AN636" s="100">
        <f t="shared" si="322"/>
        <v>3995.7263360191723</v>
      </c>
      <c r="AO636" s="20">
        <f t="shared" si="323"/>
        <v>0</v>
      </c>
      <c r="AQ636" s="109">
        <f t="shared" si="324"/>
        <v>0</v>
      </c>
      <c r="AU636" s="109">
        <f t="shared" si="309"/>
        <v>25.657123126428552</v>
      </c>
      <c r="AV636" s="101">
        <f t="shared" si="325"/>
        <v>59334</v>
      </c>
      <c r="AW636" s="99">
        <f t="shared" si="326"/>
        <v>0</v>
      </c>
      <c r="AX636" s="1">
        <f t="shared" si="327"/>
        <v>0</v>
      </c>
      <c r="AY636" s="29">
        <f t="shared" si="328"/>
        <v>0</v>
      </c>
      <c r="AZ636" s="1">
        <f t="shared" si="310"/>
        <v>0</v>
      </c>
      <c r="CB636" s="20">
        <f t="shared" si="319"/>
        <v>0</v>
      </c>
      <c r="CC636" s="173">
        <f t="shared" si="311"/>
        <v>0</v>
      </c>
    </row>
    <row r="637" spans="5:81" x14ac:dyDescent="0.25">
      <c r="E637" s="3"/>
      <c r="F637" s="3"/>
      <c r="G637" s="3"/>
      <c r="H637" s="3"/>
      <c r="J637" s="7"/>
      <c r="K637" s="8"/>
      <c r="L637" s="16"/>
      <c r="M637" s="22"/>
      <c r="N637" s="22"/>
      <c r="O637" s="22"/>
      <c r="P637" s="22"/>
      <c r="Q637" s="1">
        <f t="shared" si="312"/>
        <v>0.60744618579017706</v>
      </c>
      <c r="R637" s="12">
        <f t="shared" ca="1" si="329"/>
        <v>18212</v>
      </c>
      <c r="S637" s="88">
        <f t="shared" si="307"/>
        <v>0</v>
      </c>
      <c r="T637" s="19">
        <f t="shared" si="330"/>
        <v>0</v>
      </c>
      <c r="U637" s="19">
        <f t="shared" si="331"/>
        <v>0</v>
      </c>
      <c r="V637" s="19">
        <f t="shared" si="317"/>
        <v>0</v>
      </c>
      <c r="W637" s="20">
        <f t="shared" ca="1" si="332"/>
        <v>0</v>
      </c>
      <c r="X637" s="19">
        <f t="shared" ca="1" si="333"/>
        <v>0</v>
      </c>
      <c r="Y637" s="19">
        <f t="shared" ca="1" si="334"/>
        <v>0</v>
      </c>
      <c r="Z637" s="20">
        <f t="shared" ca="1" si="335"/>
        <v>0</v>
      </c>
      <c r="AA637" s="1">
        <f t="shared" si="313"/>
        <v>5432.58</v>
      </c>
      <c r="AB637" s="91"/>
      <c r="AC637" s="92"/>
      <c r="AD637" s="101">
        <f t="shared" si="314"/>
        <v>59334</v>
      </c>
      <c r="AE637" s="103">
        <f t="shared" si="315"/>
        <v>0</v>
      </c>
      <c r="AG637" s="1">
        <f t="shared" si="336"/>
        <v>0</v>
      </c>
      <c r="AH637" s="1">
        <f t="shared" si="337"/>
        <v>0</v>
      </c>
      <c r="AI637" s="1">
        <f t="shared" si="316"/>
        <v>5432.58</v>
      </c>
      <c r="AJ637" s="20">
        <f t="shared" si="318"/>
        <v>0</v>
      </c>
      <c r="AK637" s="100">
        <f t="shared" si="320"/>
        <v>0</v>
      </c>
      <c r="AL637" s="100">
        <f t="shared" si="321"/>
        <v>0</v>
      </c>
      <c r="AN637" s="100">
        <f t="shared" si="322"/>
        <v>3993.7047021121134</v>
      </c>
      <c r="AO637" s="20">
        <f t="shared" si="323"/>
        <v>0</v>
      </c>
      <c r="AQ637" s="109">
        <f t="shared" si="324"/>
        <v>0</v>
      </c>
      <c r="AU637" s="109">
        <f t="shared" si="309"/>
        <v>25.654871198845548</v>
      </c>
      <c r="AV637" s="101">
        <f t="shared" si="325"/>
        <v>59364</v>
      </c>
      <c r="AW637" s="99">
        <f t="shared" si="326"/>
        <v>0</v>
      </c>
      <c r="AX637" s="1">
        <f t="shared" si="327"/>
        <v>0</v>
      </c>
      <c r="AY637" s="29">
        <f t="shared" si="328"/>
        <v>0</v>
      </c>
      <c r="AZ637" s="1">
        <f t="shared" si="310"/>
        <v>0</v>
      </c>
      <c r="CB637" s="20">
        <f t="shared" si="319"/>
        <v>0</v>
      </c>
      <c r="CC637" s="173">
        <f t="shared" si="311"/>
        <v>0</v>
      </c>
    </row>
    <row r="638" spans="5:81" x14ac:dyDescent="0.25">
      <c r="H638" s="3"/>
      <c r="J638" s="9"/>
      <c r="K638" s="10"/>
      <c r="L638" s="17"/>
      <c r="M638" s="23"/>
      <c r="N638" s="23"/>
      <c r="O638" s="23"/>
      <c r="P638" s="23"/>
      <c r="Q638" s="1">
        <f t="shared" si="312"/>
        <v>0.60744618579017706</v>
      </c>
      <c r="R638" s="12">
        <f t="shared" ca="1" si="329"/>
        <v>18242</v>
      </c>
      <c r="S638" s="88">
        <f t="shared" si="307"/>
        <v>0</v>
      </c>
      <c r="T638" s="19">
        <f t="shared" si="330"/>
        <v>0</v>
      </c>
      <c r="U638" s="19">
        <f t="shared" si="331"/>
        <v>0</v>
      </c>
      <c r="V638" s="19">
        <f t="shared" si="317"/>
        <v>0</v>
      </c>
      <c r="W638" s="20">
        <f t="shared" ca="1" si="332"/>
        <v>0</v>
      </c>
      <c r="X638" s="19">
        <f t="shared" ca="1" si="333"/>
        <v>0</v>
      </c>
      <c r="Y638" s="19">
        <f t="shared" ca="1" si="334"/>
        <v>0</v>
      </c>
      <c r="Z638" s="20">
        <f t="shared" ca="1" si="335"/>
        <v>0</v>
      </c>
      <c r="AA638" s="1">
        <f t="shared" si="313"/>
        <v>5432.58</v>
      </c>
      <c r="AB638" s="93"/>
      <c r="AC638" s="94"/>
      <c r="AD638" s="101">
        <f t="shared" si="314"/>
        <v>59364</v>
      </c>
      <c r="AE638" s="103">
        <f t="shared" si="315"/>
        <v>0</v>
      </c>
      <c r="AG638" s="1">
        <f t="shared" si="336"/>
        <v>0</v>
      </c>
      <c r="AH638" s="1">
        <f t="shared" si="337"/>
        <v>0</v>
      </c>
      <c r="AI638" s="1">
        <f t="shared" si="316"/>
        <v>5432.58</v>
      </c>
      <c r="AJ638" s="20">
        <f t="shared" si="318"/>
        <v>0</v>
      </c>
      <c r="AK638" s="100">
        <f t="shared" si="320"/>
        <v>0</v>
      </c>
      <c r="AL638" s="100">
        <f t="shared" si="321"/>
        <v>0</v>
      </c>
      <c r="AN638" s="100">
        <f t="shared" si="322"/>
        <v>3991.6840910487913</v>
      </c>
      <c r="AO638" s="20">
        <f t="shared" si="323"/>
        <v>0</v>
      </c>
      <c r="AQ638" s="109">
        <f t="shared" si="324"/>
        <v>0</v>
      </c>
      <c r="AU638" s="109">
        <f t="shared" si="309"/>
        <v>25.652619468914391</v>
      </c>
      <c r="AV638" s="101">
        <f t="shared" si="325"/>
        <v>59394</v>
      </c>
      <c r="AW638" s="99">
        <f t="shared" si="326"/>
        <v>0</v>
      </c>
      <c r="AX638" s="1">
        <f t="shared" si="327"/>
        <v>0</v>
      </c>
      <c r="AY638" s="29">
        <f t="shared" si="328"/>
        <v>0</v>
      </c>
      <c r="AZ638" s="1">
        <f t="shared" si="310"/>
        <v>0</v>
      </c>
      <c r="CB638" s="20">
        <f t="shared" si="319"/>
        <v>0</v>
      </c>
      <c r="CC638" s="173">
        <f t="shared" si="311"/>
        <v>0</v>
      </c>
    </row>
    <row r="639" spans="5:81" x14ac:dyDescent="0.25">
      <c r="H639" s="3"/>
      <c r="J639" s="7"/>
      <c r="K639" s="8"/>
      <c r="L639" s="16"/>
      <c r="M639" s="22"/>
      <c r="N639" s="22"/>
      <c r="O639" s="22"/>
      <c r="P639" s="22"/>
      <c r="Q639" s="1">
        <f t="shared" si="312"/>
        <v>0.60744618579017706</v>
      </c>
      <c r="R639" s="12">
        <f t="shared" ca="1" si="329"/>
        <v>18272</v>
      </c>
      <c r="S639" s="88">
        <f t="shared" si="307"/>
        <v>0</v>
      </c>
      <c r="T639" s="19">
        <f t="shared" si="330"/>
        <v>0</v>
      </c>
      <c r="U639" s="19">
        <f t="shared" si="331"/>
        <v>0</v>
      </c>
      <c r="V639" s="19">
        <f t="shared" si="317"/>
        <v>0</v>
      </c>
      <c r="W639" s="20">
        <f t="shared" ca="1" si="332"/>
        <v>0</v>
      </c>
      <c r="X639" s="19">
        <f t="shared" ca="1" si="333"/>
        <v>0</v>
      </c>
      <c r="Y639" s="19">
        <f t="shared" ca="1" si="334"/>
        <v>0</v>
      </c>
      <c r="Z639" s="20">
        <f t="shared" ca="1" si="335"/>
        <v>0</v>
      </c>
      <c r="AA639" s="1">
        <f t="shared" si="313"/>
        <v>5432.58</v>
      </c>
      <c r="AB639" s="91"/>
      <c r="AC639" s="92"/>
      <c r="AD639" s="101">
        <f t="shared" si="314"/>
        <v>59394</v>
      </c>
      <c r="AE639" s="103">
        <f t="shared" si="315"/>
        <v>0</v>
      </c>
      <c r="AG639" s="1">
        <f t="shared" si="336"/>
        <v>0</v>
      </c>
      <c r="AH639" s="1">
        <f t="shared" si="337"/>
        <v>0</v>
      </c>
      <c r="AI639" s="1">
        <f t="shared" si="316"/>
        <v>5432.58</v>
      </c>
      <c r="AJ639" s="20">
        <f t="shared" si="318"/>
        <v>0</v>
      </c>
      <c r="AK639" s="100">
        <f t="shared" si="320"/>
        <v>0</v>
      </c>
      <c r="AL639" s="100">
        <f t="shared" si="321"/>
        <v>0</v>
      </c>
      <c r="AN639" s="100">
        <f t="shared" si="322"/>
        <v>3989.664502311698</v>
      </c>
      <c r="AO639" s="20">
        <f t="shared" si="323"/>
        <v>0</v>
      </c>
      <c r="AQ639" s="109">
        <f t="shared" si="324"/>
        <v>0</v>
      </c>
      <c r="AU639" s="109">
        <f t="shared" si="309"/>
        <v>25.650367936617741</v>
      </c>
      <c r="AV639" s="101">
        <f t="shared" si="325"/>
        <v>59424</v>
      </c>
      <c r="AW639" s="99">
        <f t="shared" si="326"/>
        <v>0</v>
      </c>
      <c r="AX639" s="1">
        <f t="shared" si="327"/>
        <v>0</v>
      </c>
      <c r="AY639" s="29">
        <f t="shared" si="328"/>
        <v>0</v>
      </c>
      <c r="AZ639" s="1">
        <f t="shared" si="310"/>
        <v>0</v>
      </c>
      <c r="CB639" s="20">
        <f t="shared" si="319"/>
        <v>0</v>
      </c>
      <c r="CC639" s="173">
        <f t="shared" si="311"/>
        <v>0</v>
      </c>
    </row>
    <row r="640" spans="5:81" x14ac:dyDescent="0.25">
      <c r="J640" s="9"/>
      <c r="K640" s="10"/>
      <c r="L640" s="17"/>
      <c r="M640" s="23"/>
      <c r="N640" s="23"/>
      <c r="O640" s="23"/>
      <c r="P640" s="23"/>
      <c r="Q640" s="1">
        <f t="shared" si="312"/>
        <v>0.60744618579017706</v>
      </c>
      <c r="R640" s="12">
        <f t="shared" ca="1" si="329"/>
        <v>18302</v>
      </c>
      <c r="S640" s="88">
        <f t="shared" si="307"/>
        <v>0</v>
      </c>
      <c r="T640" s="19">
        <f t="shared" si="330"/>
        <v>0</v>
      </c>
      <c r="U640" s="19">
        <f t="shared" si="331"/>
        <v>0</v>
      </c>
      <c r="V640" s="19">
        <f t="shared" si="317"/>
        <v>0</v>
      </c>
      <c r="W640" s="20">
        <f t="shared" ca="1" si="332"/>
        <v>0</v>
      </c>
      <c r="X640" s="19">
        <f t="shared" ca="1" si="333"/>
        <v>0</v>
      </c>
      <c r="Y640" s="19">
        <f t="shared" ca="1" si="334"/>
        <v>0</v>
      </c>
      <c r="Z640" s="20">
        <f t="shared" ca="1" si="335"/>
        <v>0</v>
      </c>
      <c r="AA640" s="1">
        <f t="shared" si="313"/>
        <v>5432.58</v>
      </c>
      <c r="AB640" s="93"/>
      <c r="AC640" s="94"/>
      <c r="AD640" s="101">
        <f t="shared" si="314"/>
        <v>59424</v>
      </c>
      <c r="AE640" s="103">
        <f t="shared" si="315"/>
        <v>0</v>
      </c>
      <c r="AG640" s="1">
        <f t="shared" si="336"/>
        <v>0</v>
      </c>
      <c r="AH640" s="1">
        <f t="shared" si="337"/>
        <v>0</v>
      </c>
      <c r="AI640" s="1">
        <f t="shared" si="316"/>
        <v>5432.58</v>
      </c>
      <c r="AJ640" s="20">
        <f t="shared" si="318"/>
        <v>0</v>
      </c>
      <c r="AK640" s="100">
        <f t="shared" si="320"/>
        <v>0</v>
      </c>
      <c r="AL640" s="100">
        <f t="shared" si="321"/>
        <v>0</v>
      </c>
      <c r="AN640" s="100">
        <f t="shared" si="322"/>
        <v>3987.6459353835889</v>
      </c>
      <c r="AO640" s="20">
        <f t="shared" si="323"/>
        <v>0</v>
      </c>
      <c r="AQ640" s="109">
        <f t="shared" si="324"/>
        <v>0</v>
      </c>
      <c r="AU640" s="109">
        <f t="shared" si="309"/>
        <v>25.648116601938238</v>
      </c>
      <c r="AV640" s="101">
        <f t="shared" si="325"/>
        <v>59454</v>
      </c>
      <c r="AW640" s="99">
        <f t="shared" si="326"/>
        <v>0</v>
      </c>
      <c r="AX640" s="1">
        <f t="shared" si="327"/>
        <v>0</v>
      </c>
      <c r="AY640" s="29">
        <f t="shared" si="328"/>
        <v>0</v>
      </c>
      <c r="AZ640" s="1">
        <f t="shared" si="310"/>
        <v>0</v>
      </c>
      <c r="CB640" s="20">
        <f t="shared" si="319"/>
        <v>0</v>
      </c>
      <c r="CC640" s="173">
        <f t="shared" si="311"/>
        <v>0</v>
      </c>
    </row>
    <row r="641" spans="10:81" x14ac:dyDescent="0.25">
      <c r="J641" s="7"/>
      <c r="K641" s="8"/>
      <c r="L641" s="16"/>
      <c r="M641" s="22"/>
      <c r="N641" s="22"/>
      <c r="O641" s="22"/>
      <c r="P641" s="22"/>
      <c r="Q641" s="1">
        <f t="shared" si="312"/>
        <v>0.60744618579017706</v>
      </c>
      <c r="R641" s="12">
        <f t="shared" ca="1" si="329"/>
        <v>18332</v>
      </c>
      <c r="S641" s="88">
        <f t="shared" si="307"/>
        <v>0</v>
      </c>
      <c r="T641" s="19">
        <f t="shared" si="330"/>
        <v>0</v>
      </c>
      <c r="U641" s="19">
        <f t="shared" si="331"/>
        <v>0</v>
      </c>
      <c r="V641" s="19">
        <f t="shared" si="317"/>
        <v>0</v>
      </c>
      <c r="W641" s="20">
        <f t="shared" ca="1" si="332"/>
        <v>0</v>
      </c>
      <c r="X641" s="19">
        <f t="shared" ca="1" si="333"/>
        <v>0</v>
      </c>
      <c r="Y641" s="19">
        <f t="shared" ca="1" si="334"/>
        <v>0</v>
      </c>
      <c r="Z641" s="20">
        <f t="shared" ca="1" si="335"/>
        <v>0</v>
      </c>
      <c r="AA641" s="1">
        <f t="shared" si="313"/>
        <v>5432.58</v>
      </c>
      <c r="AB641" s="91"/>
      <c r="AC641" s="92"/>
      <c r="AD641" s="101">
        <f t="shared" si="314"/>
        <v>59454</v>
      </c>
      <c r="AE641" s="103">
        <f t="shared" si="315"/>
        <v>0</v>
      </c>
      <c r="AG641" s="1">
        <f t="shared" si="336"/>
        <v>0</v>
      </c>
      <c r="AH641" s="1">
        <f t="shared" si="337"/>
        <v>0</v>
      </c>
      <c r="AI641" s="1">
        <f t="shared" si="316"/>
        <v>5432.58</v>
      </c>
      <c r="AJ641" s="20">
        <f t="shared" si="318"/>
        <v>0</v>
      </c>
      <c r="AK641" s="100">
        <f t="shared" si="320"/>
        <v>0</v>
      </c>
      <c r="AL641" s="100">
        <f t="shared" si="321"/>
        <v>0</v>
      </c>
      <c r="AN641" s="100">
        <f t="shared" si="322"/>
        <v>3985.6283897474805</v>
      </c>
      <c r="AO641" s="20">
        <f t="shared" si="323"/>
        <v>0</v>
      </c>
      <c r="AQ641" s="109">
        <f t="shared" si="324"/>
        <v>0</v>
      </c>
      <c r="AU641" s="109">
        <f t="shared" si="309"/>
        <v>25.645865464858545</v>
      </c>
      <c r="AV641" s="101">
        <f t="shared" si="325"/>
        <v>59484</v>
      </c>
      <c r="AW641" s="99">
        <f t="shared" si="326"/>
        <v>0</v>
      </c>
      <c r="AX641" s="1">
        <f t="shared" si="327"/>
        <v>0</v>
      </c>
      <c r="AY641" s="29">
        <f t="shared" si="328"/>
        <v>0</v>
      </c>
      <c r="AZ641" s="1">
        <f t="shared" si="310"/>
        <v>0</v>
      </c>
      <c r="CB641" s="20">
        <f t="shared" si="319"/>
        <v>0</v>
      </c>
      <c r="CC641" s="173">
        <f t="shared" si="311"/>
        <v>0</v>
      </c>
    </row>
    <row r="642" spans="10:81" x14ac:dyDescent="0.25">
      <c r="J642" s="9"/>
      <c r="K642" s="10"/>
      <c r="L642" s="17"/>
      <c r="M642" s="23"/>
      <c r="N642" s="23"/>
      <c r="O642" s="23"/>
      <c r="P642" s="23"/>
      <c r="Q642" s="1">
        <f t="shared" si="312"/>
        <v>0.60744618579017706</v>
      </c>
      <c r="R642" s="12">
        <f t="shared" ca="1" si="329"/>
        <v>18362</v>
      </c>
      <c r="S642" s="88">
        <f t="shared" si="307"/>
        <v>0</v>
      </c>
      <c r="T642" s="19">
        <f t="shared" si="330"/>
        <v>0</v>
      </c>
      <c r="U642" s="19">
        <f t="shared" si="331"/>
        <v>0</v>
      </c>
      <c r="V642" s="19">
        <f t="shared" si="317"/>
        <v>0</v>
      </c>
      <c r="W642" s="20">
        <f t="shared" ca="1" si="332"/>
        <v>0</v>
      </c>
      <c r="X642" s="19">
        <f t="shared" ca="1" si="333"/>
        <v>0</v>
      </c>
      <c r="Y642" s="19">
        <f t="shared" ca="1" si="334"/>
        <v>0</v>
      </c>
      <c r="Z642" s="20">
        <f t="shared" ca="1" si="335"/>
        <v>0</v>
      </c>
      <c r="AA642" s="1">
        <f t="shared" si="313"/>
        <v>5432.58</v>
      </c>
      <c r="AB642" s="93"/>
      <c r="AC642" s="94"/>
      <c r="AD642" s="101">
        <f t="shared" si="314"/>
        <v>59484</v>
      </c>
      <c r="AE642" s="103">
        <f t="shared" si="315"/>
        <v>0</v>
      </c>
      <c r="AG642" s="1">
        <f t="shared" si="336"/>
        <v>0</v>
      </c>
      <c r="AH642" s="1">
        <f t="shared" si="337"/>
        <v>0</v>
      </c>
      <c r="AI642" s="1">
        <f t="shared" si="316"/>
        <v>5432.58</v>
      </c>
      <c r="AJ642" s="20">
        <f t="shared" si="318"/>
        <v>0</v>
      </c>
      <c r="AK642" s="100">
        <f t="shared" si="320"/>
        <v>0</v>
      </c>
      <c r="AL642" s="100">
        <f t="shared" si="321"/>
        <v>0</v>
      </c>
      <c r="AN642" s="100">
        <f t="shared" si="322"/>
        <v>3983.6118648866518</v>
      </c>
      <c r="AO642" s="20">
        <f t="shared" si="323"/>
        <v>0</v>
      </c>
      <c r="AQ642" s="109">
        <f t="shared" si="324"/>
        <v>0</v>
      </c>
      <c r="AU642" s="109">
        <f t="shared" si="309"/>
        <v>25.643614525361318</v>
      </c>
      <c r="AV642" s="101">
        <f t="shared" si="325"/>
        <v>59514</v>
      </c>
      <c r="AW642" s="99">
        <f t="shared" si="326"/>
        <v>0</v>
      </c>
      <c r="AX642" s="1">
        <f t="shared" si="327"/>
        <v>0</v>
      </c>
      <c r="AY642" s="29">
        <f t="shared" si="328"/>
        <v>0</v>
      </c>
      <c r="AZ642" s="1">
        <f t="shared" si="310"/>
        <v>0</v>
      </c>
      <c r="CB642" s="20">
        <f t="shared" si="319"/>
        <v>0</v>
      </c>
      <c r="CC642" s="173">
        <f t="shared" si="311"/>
        <v>0</v>
      </c>
    </row>
    <row r="643" spans="10:81" x14ac:dyDescent="0.25">
      <c r="J643" s="7"/>
      <c r="K643" s="8"/>
      <c r="L643" s="16"/>
      <c r="M643" s="22"/>
      <c r="N643" s="22"/>
      <c r="O643" s="22"/>
      <c r="P643" s="22"/>
      <c r="Q643" s="1">
        <f t="shared" si="312"/>
        <v>0.60744618579017706</v>
      </c>
      <c r="R643" s="12">
        <f t="shared" ca="1" si="329"/>
        <v>18392</v>
      </c>
      <c r="S643" s="88">
        <f t="shared" ref="S643:S706" si="338">N643+M643</f>
        <v>0</v>
      </c>
      <c r="T643" s="19">
        <f t="shared" si="330"/>
        <v>0</v>
      </c>
      <c r="U643" s="19">
        <f t="shared" si="331"/>
        <v>0</v>
      </c>
      <c r="V643" s="19">
        <f t="shared" si="317"/>
        <v>0</v>
      </c>
      <c r="W643" s="20">
        <f t="shared" ca="1" si="332"/>
        <v>0</v>
      </c>
      <c r="X643" s="19">
        <f t="shared" ca="1" si="333"/>
        <v>0</v>
      </c>
      <c r="Y643" s="19">
        <f t="shared" ca="1" si="334"/>
        <v>0</v>
      </c>
      <c r="Z643" s="20">
        <f t="shared" ca="1" si="335"/>
        <v>0</v>
      </c>
      <c r="AA643" s="1">
        <f t="shared" si="313"/>
        <v>5432.58</v>
      </c>
      <c r="AB643" s="91"/>
      <c r="AC643" s="92"/>
      <c r="AD643" s="101">
        <f t="shared" si="314"/>
        <v>59514</v>
      </c>
      <c r="AE643" s="103">
        <f t="shared" si="315"/>
        <v>0</v>
      </c>
      <c r="AG643" s="1">
        <f t="shared" si="336"/>
        <v>0</v>
      </c>
      <c r="AH643" s="1">
        <f t="shared" si="337"/>
        <v>0</v>
      </c>
      <c r="AI643" s="1">
        <f t="shared" si="316"/>
        <v>5432.58</v>
      </c>
      <c r="AJ643" s="20">
        <f t="shared" si="318"/>
        <v>0</v>
      </c>
      <c r="AK643" s="100">
        <f t="shared" si="320"/>
        <v>0</v>
      </c>
      <c r="AL643" s="100">
        <f t="shared" si="321"/>
        <v>0</v>
      </c>
      <c r="AN643" s="100">
        <f t="shared" si="322"/>
        <v>3981.5963602846414</v>
      </c>
      <c r="AO643" s="20">
        <f t="shared" si="323"/>
        <v>0</v>
      </c>
      <c r="AQ643" s="109">
        <f t="shared" si="324"/>
        <v>0</v>
      </c>
      <c r="AU643" s="109">
        <f t="shared" si="309"/>
        <v>25.641363783429224</v>
      </c>
      <c r="AV643" s="101">
        <f t="shared" si="325"/>
        <v>59544</v>
      </c>
      <c r="AW643" s="99">
        <f t="shared" si="326"/>
        <v>0</v>
      </c>
      <c r="AX643" s="1">
        <f t="shared" si="327"/>
        <v>0</v>
      </c>
      <c r="AY643" s="29">
        <f t="shared" si="328"/>
        <v>0</v>
      </c>
      <c r="AZ643" s="1">
        <f t="shared" si="310"/>
        <v>0</v>
      </c>
      <c r="CB643" s="20">
        <f t="shared" si="319"/>
        <v>0</v>
      </c>
      <c r="CC643" s="173">
        <f t="shared" si="311"/>
        <v>0</v>
      </c>
    </row>
    <row r="644" spans="10:81" x14ac:dyDescent="0.25">
      <c r="J644" s="9"/>
      <c r="K644" s="10"/>
      <c r="L644" s="17"/>
      <c r="M644" s="23"/>
      <c r="N644" s="23"/>
      <c r="O644" s="23"/>
      <c r="P644" s="23"/>
      <c r="Q644" s="1">
        <f t="shared" si="312"/>
        <v>0.60744618579017706</v>
      </c>
      <c r="R644" s="12">
        <f t="shared" ca="1" si="329"/>
        <v>18422</v>
      </c>
      <c r="S644" s="88">
        <f t="shared" si="338"/>
        <v>0</v>
      </c>
      <c r="T644" s="19">
        <f t="shared" si="330"/>
        <v>0</v>
      </c>
      <c r="U644" s="19">
        <f t="shared" si="331"/>
        <v>0</v>
      </c>
      <c r="V644" s="19">
        <f t="shared" si="317"/>
        <v>0</v>
      </c>
      <c r="W644" s="20">
        <f t="shared" ca="1" si="332"/>
        <v>0</v>
      </c>
      <c r="X644" s="19">
        <f t="shared" ca="1" si="333"/>
        <v>0</v>
      </c>
      <c r="Y644" s="19">
        <f t="shared" ca="1" si="334"/>
        <v>0</v>
      </c>
      <c r="Z644" s="20">
        <f t="shared" ca="1" si="335"/>
        <v>0</v>
      </c>
      <c r="AA644" s="1">
        <f t="shared" si="313"/>
        <v>5432.58</v>
      </c>
      <c r="AB644" s="93"/>
      <c r="AC644" s="94"/>
      <c r="AD644" s="101">
        <f t="shared" si="314"/>
        <v>59544</v>
      </c>
      <c r="AE644" s="103">
        <f t="shared" si="315"/>
        <v>0</v>
      </c>
      <c r="AG644" s="1">
        <f t="shared" si="336"/>
        <v>0</v>
      </c>
      <c r="AH644" s="1">
        <f t="shared" si="337"/>
        <v>0</v>
      </c>
      <c r="AI644" s="1">
        <f t="shared" si="316"/>
        <v>5432.58</v>
      </c>
      <c r="AJ644" s="20">
        <f t="shared" si="318"/>
        <v>0</v>
      </c>
      <c r="AK644" s="100">
        <f t="shared" si="320"/>
        <v>0</v>
      </c>
      <c r="AL644" s="100">
        <f t="shared" si="321"/>
        <v>0</v>
      </c>
      <c r="AN644" s="100">
        <f t="shared" si="322"/>
        <v>3979.5818754252523</v>
      </c>
      <c r="AO644" s="20">
        <f t="shared" si="323"/>
        <v>0</v>
      </c>
      <c r="AQ644" s="109">
        <f t="shared" si="324"/>
        <v>0</v>
      </c>
      <c r="AU644" s="109">
        <f t="shared" si="309"/>
        <v>25.639113239044907</v>
      </c>
      <c r="AV644" s="101">
        <f t="shared" si="325"/>
        <v>59574</v>
      </c>
      <c r="AW644" s="99">
        <f t="shared" si="326"/>
        <v>0</v>
      </c>
      <c r="AX644" s="1">
        <f t="shared" si="327"/>
        <v>0</v>
      </c>
      <c r="AY644" s="29">
        <f t="shared" si="328"/>
        <v>0</v>
      </c>
      <c r="AZ644" s="1">
        <f t="shared" si="310"/>
        <v>0</v>
      </c>
      <c r="CB644" s="20">
        <f t="shared" si="319"/>
        <v>0</v>
      </c>
      <c r="CC644" s="173">
        <f t="shared" si="311"/>
        <v>0</v>
      </c>
    </row>
    <row r="645" spans="10:81" x14ac:dyDescent="0.25">
      <c r="J645" s="7"/>
      <c r="K645" s="8"/>
      <c r="L645" s="16"/>
      <c r="M645" s="22"/>
      <c r="N645" s="22"/>
      <c r="O645" s="22"/>
      <c r="P645" s="22"/>
      <c r="Q645" s="1">
        <f t="shared" si="312"/>
        <v>0.60744618579017706</v>
      </c>
      <c r="R645" s="12">
        <f t="shared" ca="1" si="329"/>
        <v>18452</v>
      </c>
      <c r="S645" s="88">
        <f t="shared" si="338"/>
        <v>0</v>
      </c>
      <c r="T645" s="19">
        <f t="shared" si="330"/>
        <v>0</v>
      </c>
      <c r="U645" s="19">
        <f t="shared" si="331"/>
        <v>0</v>
      </c>
      <c r="V645" s="19">
        <f t="shared" si="317"/>
        <v>0</v>
      </c>
      <c r="W645" s="20">
        <f t="shared" ca="1" si="332"/>
        <v>0</v>
      </c>
      <c r="X645" s="19">
        <f t="shared" ca="1" si="333"/>
        <v>0</v>
      </c>
      <c r="Y645" s="19">
        <f t="shared" ca="1" si="334"/>
        <v>0</v>
      </c>
      <c r="Z645" s="20">
        <f t="shared" ca="1" si="335"/>
        <v>0</v>
      </c>
      <c r="AA645" s="1">
        <f t="shared" si="313"/>
        <v>5432.58</v>
      </c>
      <c r="AB645" s="91"/>
      <c r="AC645" s="92"/>
      <c r="AD645" s="101">
        <f t="shared" si="314"/>
        <v>59574</v>
      </c>
      <c r="AE645" s="103">
        <f t="shared" si="315"/>
        <v>0</v>
      </c>
      <c r="AG645" s="1">
        <f t="shared" si="336"/>
        <v>0</v>
      </c>
      <c r="AH645" s="1">
        <f t="shared" si="337"/>
        <v>0</v>
      </c>
      <c r="AI645" s="1">
        <f t="shared" si="316"/>
        <v>5432.58</v>
      </c>
      <c r="AJ645" s="20">
        <f t="shared" si="318"/>
        <v>0</v>
      </c>
      <c r="AK645" s="100">
        <f t="shared" si="320"/>
        <v>0</v>
      </c>
      <c r="AL645" s="100">
        <f t="shared" si="321"/>
        <v>0</v>
      </c>
      <c r="AN645" s="100">
        <f t="shared" si="322"/>
        <v>3977.5684097925455</v>
      </c>
      <c r="AO645" s="20">
        <f t="shared" si="323"/>
        <v>0</v>
      </c>
      <c r="AQ645" s="109">
        <f t="shared" si="324"/>
        <v>0</v>
      </c>
      <c r="AU645" s="109">
        <f t="shared" si="309"/>
        <v>25.636862892191044</v>
      </c>
      <c r="AV645" s="101">
        <f t="shared" si="325"/>
        <v>59604</v>
      </c>
      <c r="AW645" s="99">
        <f t="shared" si="326"/>
        <v>0</v>
      </c>
      <c r="AX645" s="1">
        <f t="shared" si="327"/>
        <v>0</v>
      </c>
      <c r="AY645" s="29">
        <f t="shared" si="328"/>
        <v>0</v>
      </c>
      <c r="AZ645" s="1">
        <f t="shared" si="310"/>
        <v>0</v>
      </c>
      <c r="CB645" s="20">
        <f t="shared" si="319"/>
        <v>0</v>
      </c>
      <c r="CC645" s="173">
        <f t="shared" si="311"/>
        <v>0</v>
      </c>
    </row>
    <row r="646" spans="10:81" x14ac:dyDescent="0.25">
      <c r="J646" s="9"/>
      <c r="K646" s="10"/>
      <c r="L646" s="17"/>
      <c r="M646" s="23"/>
      <c r="N646" s="23"/>
      <c r="O646" s="23"/>
      <c r="P646" s="23"/>
      <c r="Q646" s="1">
        <f t="shared" si="312"/>
        <v>0.60744618579017706</v>
      </c>
      <c r="R646" s="12">
        <f t="shared" ca="1" si="329"/>
        <v>18482</v>
      </c>
      <c r="S646" s="88">
        <f t="shared" si="338"/>
        <v>0</v>
      </c>
      <c r="T646" s="19">
        <f t="shared" si="330"/>
        <v>0</v>
      </c>
      <c r="U646" s="19">
        <f t="shared" si="331"/>
        <v>0</v>
      </c>
      <c r="V646" s="19">
        <f t="shared" si="317"/>
        <v>0</v>
      </c>
      <c r="W646" s="20">
        <f t="shared" ca="1" si="332"/>
        <v>0</v>
      </c>
      <c r="X646" s="19">
        <f t="shared" ca="1" si="333"/>
        <v>0</v>
      </c>
      <c r="Y646" s="19">
        <f t="shared" ca="1" si="334"/>
        <v>0</v>
      </c>
      <c r="Z646" s="20">
        <f t="shared" ca="1" si="335"/>
        <v>0</v>
      </c>
      <c r="AA646" s="1">
        <f t="shared" si="313"/>
        <v>5432.58</v>
      </c>
      <c r="AB646" s="93"/>
      <c r="AC646" s="94"/>
      <c r="AD646" s="101">
        <f t="shared" si="314"/>
        <v>59604</v>
      </c>
      <c r="AE646" s="103">
        <f t="shared" si="315"/>
        <v>0</v>
      </c>
      <c r="AG646" s="1">
        <f t="shared" si="336"/>
        <v>0</v>
      </c>
      <c r="AH646" s="1">
        <f t="shared" si="337"/>
        <v>0</v>
      </c>
      <c r="AI646" s="1">
        <f t="shared" si="316"/>
        <v>5432.58</v>
      </c>
      <c r="AJ646" s="20">
        <f t="shared" si="318"/>
        <v>0</v>
      </c>
      <c r="AK646" s="100">
        <f t="shared" si="320"/>
        <v>0</v>
      </c>
      <c r="AL646" s="100">
        <f t="shared" si="321"/>
        <v>0</v>
      </c>
      <c r="AN646" s="100">
        <f t="shared" si="322"/>
        <v>3975.5559628708438</v>
      </c>
      <c r="AO646" s="20">
        <f t="shared" si="323"/>
        <v>0</v>
      </c>
      <c r="AQ646" s="109">
        <f t="shared" si="324"/>
        <v>0</v>
      </c>
      <c r="AU646" s="109">
        <f t="shared" si="309"/>
        <v>25.634612742850287</v>
      </c>
      <c r="AV646" s="101">
        <f t="shared" si="325"/>
        <v>59634</v>
      </c>
      <c r="AW646" s="99">
        <f t="shared" si="326"/>
        <v>0</v>
      </c>
      <c r="AX646" s="1">
        <f t="shared" si="327"/>
        <v>0</v>
      </c>
      <c r="AY646" s="29">
        <f t="shared" si="328"/>
        <v>0</v>
      </c>
      <c r="AZ646" s="1">
        <f t="shared" si="310"/>
        <v>0</v>
      </c>
      <c r="CB646" s="20">
        <f t="shared" si="319"/>
        <v>0</v>
      </c>
      <c r="CC646" s="173">
        <f t="shared" si="311"/>
        <v>0</v>
      </c>
    </row>
    <row r="647" spans="10:81" x14ac:dyDescent="0.25">
      <c r="J647" s="7"/>
      <c r="K647" s="8"/>
      <c r="L647" s="16"/>
      <c r="M647" s="22"/>
      <c r="N647" s="22"/>
      <c r="O647" s="22"/>
      <c r="P647" s="22"/>
      <c r="Q647" s="1">
        <f t="shared" si="312"/>
        <v>0.60744618579017706</v>
      </c>
      <c r="R647" s="12">
        <f t="shared" ca="1" si="329"/>
        <v>18512</v>
      </c>
      <c r="S647" s="88">
        <f t="shared" si="338"/>
        <v>0</v>
      </c>
      <c r="T647" s="19">
        <f t="shared" si="330"/>
        <v>0</v>
      </c>
      <c r="U647" s="19">
        <f t="shared" si="331"/>
        <v>0</v>
      </c>
      <c r="V647" s="19">
        <f t="shared" si="317"/>
        <v>0</v>
      </c>
      <c r="W647" s="20">
        <f t="shared" ca="1" si="332"/>
        <v>0</v>
      </c>
      <c r="X647" s="19">
        <f t="shared" ca="1" si="333"/>
        <v>0</v>
      </c>
      <c r="Y647" s="19">
        <f t="shared" ca="1" si="334"/>
        <v>0</v>
      </c>
      <c r="Z647" s="20">
        <f t="shared" ca="1" si="335"/>
        <v>0</v>
      </c>
      <c r="AA647" s="1">
        <f t="shared" si="313"/>
        <v>5432.58</v>
      </c>
      <c r="AB647" s="91"/>
      <c r="AC647" s="92"/>
      <c r="AD647" s="101">
        <f t="shared" si="314"/>
        <v>59634</v>
      </c>
      <c r="AE647" s="103">
        <f t="shared" si="315"/>
        <v>0</v>
      </c>
      <c r="AG647" s="1">
        <f t="shared" si="336"/>
        <v>0</v>
      </c>
      <c r="AH647" s="1">
        <f t="shared" si="337"/>
        <v>0</v>
      </c>
      <c r="AI647" s="1">
        <f t="shared" si="316"/>
        <v>5432.58</v>
      </c>
      <c r="AJ647" s="20">
        <f t="shared" si="318"/>
        <v>0</v>
      </c>
      <c r="AK647" s="100">
        <f t="shared" si="320"/>
        <v>0</v>
      </c>
      <c r="AL647" s="100">
        <f t="shared" si="321"/>
        <v>0</v>
      </c>
      <c r="AN647" s="100">
        <f t="shared" si="322"/>
        <v>3973.5445341447321</v>
      </c>
      <c r="AO647" s="20">
        <f t="shared" si="323"/>
        <v>0</v>
      </c>
      <c r="AQ647" s="109">
        <f t="shared" si="324"/>
        <v>0</v>
      </c>
      <c r="AU647" s="109">
        <f t="shared" si="309"/>
        <v>25.632362791005299</v>
      </c>
      <c r="AV647" s="101">
        <f t="shared" si="325"/>
        <v>59664</v>
      </c>
      <c r="AW647" s="99">
        <f t="shared" si="326"/>
        <v>0</v>
      </c>
      <c r="AX647" s="1">
        <f t="shared" si="327"/>
        <v>0</v>
      </c>
      <c r="AY647" s="29">
        <f t="shared" si="328"/>
        <v>0</v>
      </c>
      <c r="AZ647" s="1">
        <f t="shared" si="310"/>
        <v>0</v>
      </c>
      <c r="CB647" s="20">
        <f t="shared" si="319"/>
        <v>0</v>
      </c>
      <c r="CC647" s="173">
        <f t="shared" si="311"/>
        <v>0</v>
      </c>
    </row>
    <row r="648" spans="10:81" x14ac:dyDescent="0.25">
      <c r="J648" s="9"/>
      <c r="K648" s="10"/>
      <c r="L648" s="17"/>
      <c r="M648" s="23"/>
      <c r="N648" s="23"/>
      <c r="O648" s="23"/>
      <c r="P648" s="23"/>
      <c r="Q648" s="1">
        <f t="shared" si="312"/>
        <v>0.60744618579017706</v>
      </c>
      <c r="R648" s="12">
        <f t="shared" ca="1" si="329"/>
        <v>18542</v>
      </c>
      <c r="S648" s="88">
        <f t="shared" si="338"/>
        <v>0</v>
      </c>
      <c r="T648" s="19">
        <f t="shared" si="330"/>
        <v>0</v>
      </c>
      <c r="U648" s="19">
        <f t="shared" si="331"/>
        <v>0</v>
      </c>
      <c r="V648" s="19">
        <f t="shared" si="317"/>
        <v>0</v>
      </c>
      <c r="W648" s="20">
        <f t="shared" ca="1" si="332"/>
        <v>0</v>
      </c>
      <c r="X648" s="19">
        <f t="shared" ca="1" si="333"/>
        <v>0</v>
      </c>
      <c r="Y648" s="19">
        <f t="shared" ca="1" si="334"/>
        <v>0</v>
      </c>
      <c r="Z648" s="20">
        <f t="shared" ca="1" si="335"/>
        <v>0</v>
      </c>
      <c r="AA648" s="1">
        <f t="shared" si="313"/>
        <v>5432.58</v>
      </c>
      <c r="AB648" s="93"/>
      <c r="AC648" s="94"/>
      <c r="AD648" s="101">
        <f t="shared" si="314"/>
        <v>59664</v>
      </c>
      <c r="AE648" s="103">
        <f t="shared" si="315"/>
        <v>0</v>
      </c>
      <c r="AG648" s="1">
        <f t="shared" si="336"/>
        <v>0</v>
      </c>
      <c r="AH648" s="1">
        <f t="shared" si="337"/>
        <v>0</v>
      </c>
      <c r="AI648" s="1">
        <f t="shared" si="316"/>
        <v>5432.58</v>
      </c>
      <c r="AJ648" s="20">
        <f t="shared" si="318"/>
        <v>0</v>
      </c>
      <c r="AK648" s="100">
        <f t="shared" si="320"/>
        <v>0</v>
      </c>
      <c r="AL648" s="100">
        <f t="shared" si="321"/>
        <v>0</v>
      </c>
      <c r="AN648" s="100">
        <f t="shared" si="322"/>
        <v>3971.5341230990562</v>
      </c>
      <c r="AO648" s="20">
        <f t="shared" si="323"/>
        <v>0</v>
      </c>
      <c r="AQ648" s="109">
        <f t="shared" si="324"/>
        <v>0</v>
      </c>
      <c r="AU648" s="109">
        <f t="shared" si="309"/>
        <v>25.630113036638747</v>
      </c>
      <c r="AV648" s="101">
        <f t="shared" si="325"/>
        <v>59694</v>
      </c>
      <c r="AW648" s="99">
        <f t="shared" si="326"/>
        <v>0</v>
      </c>
      <c r="AX648" s="1">
        <f t="shared" si="327"/>
        <v>0</v>
      </c>
      <c r="AY648" s="29">
        <f t="shared" si="328"/>
        <v>0</v>
      </c>
      <c r="AZ648" s="1">
        <f t="shared" si="310"/>
        <v>0</v>
      </c>
      <c r="CB648" s="20">
        <f t="shared" si="319"/>
        <v>0</v>
      </c>
      <c r="CC648" s="173">
        <f t="shared" si="311"/>
        <v>0</v>
      </c>
    </row>
    <row r="649" spans="10:81" x14ac:dyDescent="0.25">
      <c r="J649" s="7"/>
      <c r="K649" s="8"/>
      <c r="L649" s="16"/>
      <c r="M649" s="22"/>
      <c r="N649" s="22"/>
      <c r="O649" s="22"/>
      <c r="P649" s="22"/>
      <c r="Q649" s="1">
        <f t="shared" si="312"/>
        <v>0.60744618579017706</v>
      </c>
      <c r="R649" s="12">
        <f t="shared" ca="1" si="329"/>
        <v>18572</v>
      </c>
      <c r="S649" s="88">
        <f t="shared" si="338"/>
        <v>0</v>
      </c>
      <c r="T649" s="19">
        <f t="shared" si="330"/>
        <v>0</v>
      </c>
      <c r="U649" s="19">
        <f t="shared" si="331"/>
        <v>0</v>
      </c>
      <c r="V649" s="19">
        <f t="shared" si="317"/>
        <v>0</v>
      </c>
      <c r="W649" s="20">
        <f t="shared" ca="1" si="332"/>
        <v>0</v>
      </c>
      <c r="X649" s="19">
        <f t="shared" ca="1" si="333"/>
        <v>0</v>
      </c>
      <c r="Y649" s="19">
        <f t="shared" ca="1" si="334"/>
        <v>0</v>
      </c>
      <c r="Z649" s="20">
        <f t="shared" ca="1" si="335"/>
        <v>0</v>
      </c>
      <c r="AA649" s="1">
        <f t="shared" si="313"/>
        <v>5432.58</v>
      </c>
      <c r="AB649" s="91"/>
      <c r="AC649" s="92"/>
      <c r="AD649" s="101">
        <f t="shared" si="314"/>
        <v>59694</v>
      </c>
      <c r="AE649" s="103">
        <f t="shared" si="315"/>
        <v>0</v>
      </c>
      <c r="AG649" s="1">
        <f t="shared" si="336"/>
        <v>0</v>
      </c>
      <c r="AH649" s="1">
        <f t="shared" si="337"/>
        <v>0</v>
      </c>
      <c r="AI649" s="1">
        <f t="shared" si="316"/>
        <v>5432.58</v>
      </c>
      <c r="AJ649" s="20">
        <f t="shared" si="318"/>
        <v>0</v>
      </c>
      <c r="AK649" s="100">
        <f t="shared" si="320"/>
        <v>0</v>
      </c>
      <c r="AL649" s="100">
        <f t="shared" si="321"/>
        <v>0</v>
      </c>
      <c r="AN649" s="100">
        <f t="shared" si="322"/>
        <v>3969.5247292189179</v>
      </c>
      <c r="AO649" s="20">
        <f t="shared" si="323"/>
        <v>0</v>
      </c>
      <c r="AQ649" s="109">
        <f t="shared" si="324"/>
        <v>0</v>
      </c>
      <c r="AU649" s="109">
        <f t="shared" si="309"/>
        <v>25.62786347973331</v>
      </c>
      <c r="AV649" s="101">
        <f t="shared" si="325"/>
        <v>59724</v>
      </c>
      <c r="AW649" s="99">
        <f t="shared" si="326"/>
        <v>0</v>
      </c>
      <c r="AX649" s="1">
        <f t="shared" si="327"/>
        <v>0</v>
      </c>
      <c r="AY649" s="29">
        <f t="shared" si="328"/>
        <v>0</v>
      </c>
      <c r="AZ649" s="1">
        <f t="shared" si="310"/>
        <v>0</v>
      </c>
      <c r="CB649" s="20">
        <f t="shared" si="319"/>
        <v>0</v>
      </c>
      <c r="CC649" s="173">
        <f t="shared" si="311"/>
        <v>0</v>
      </c>
    </row>
    <row r="650" spans="10:81" x14ac:dyDescent="0.25">
      <c r="J650" s="9"/>
      <c r="K650" s="10"/>
      <c r="L650" s="17"/>
      <c r="M650" s="23"/>
      <c r="N650" s="23"/>
      <c r="O650" s="23"/>
      <c r="P650" s="23"/>
      <c r="Q650" s="1">
        <f t="shared" si="312"/>
        <v>0.60744618579017706</v>
      </c>
      <c r="R650" s="12">
        <f t="shared" ca="1" si="329"/>
        <v>18602</v>
      </c>
      <c r="S650" s="88">
        <f t="shared" si="338"/>
        <v>0</v>
      </c>
      <c r="T650" s="19">
        <f t="shared" si="330"/>
        <v>0</v>
      </c>
      <c r="U650" s="19">
        <f t="shared" si="331"/>
        <v>0</v>
      </c>
      <c r="V650" s="19">
        <f t="shared" si="317"/>
        <v>0</v>
      </c>
      <c r="W650" s="20">
        <f t="shared" ca="1" si="332"/>
        <v>0</v>
      </c>
      <c r="X650" s="19">
        <f t="shared" ca="1" si="333"/>
        <v>0</v>
      </c>
      <c r="Y650" s="19">
        <f t="shared" ca="1" si="334"/>
        <v>0</v>
      </c>
      <c r="Z650" s="20">
        <f t="shared" ca="1" si="335"/>
        <v>0</v>
      </c>
      <c r="AA650" s="1">
        <f t="shared" si="313"/>
        <v>5432.58</v>
      </c>
      <c r="AB650" s="93"/>
      <c r="AC650" s="94"/>
      <c r="AD650" s="101">
        <f t="shared" si="314"/>
        <v>59724</v>
      </c>
      <c r="AE650" s="103">
        <f t="shared" si="315"/>
        <v>0</v>
      </c>
      <c r="AG650" s="1">
        <f t="shared" si="336"/>
        <v>0</v>
      </c>
      <c r="AH650" s="1">
        <f t="shared" si="337"/>
        <v>0</v>
      </c>
      <c r="AI650" s="1">
        <f t="shared" si="316"/>
        <v>5432.58</v>
      </c>
      <c r="AJ650" s="20">
        <f t="shared" si="318"/>
        <v>0</v>
      </c>
      <c r="AK650" s="100">
        <f t="shared" si="320"/>
        <v>0</v>
      </c>
      <c r="AL650" s="100">
        <f t="shared" si="321"/>
        <v>0</v>
      </c>
      <c r="AN650" s="100">
        <f t="shared" si="322"/>
        <v>3967.5163519896864</v>
      </c>
      <c r="AO650" s="20">
        <f t="shared" si="323"/>
        <v>0</v>
      </c>
      <c r="AQ650" s="109">
        <f t="shared" si="324"/>
        <v>0</v>
      </c>
      <c r="AU650" s="109">
        <f t="shared" si="309"/>
        <v>25.625614120271649</v>
      </c>
      <c r="AV650" s="101">
        <f t="shared" si="325"/>
        <v>59754</v>
      </c>
      <c r="AW650" s="99">
        <f t="shared" si="326"/>
        <v>0</v>
      </c>
      <c r="AX650" s="1">
        <f t="shared" si="327"/>
        <v>0</v>
      </c>
      <c r="AY650" s="29">
        <f t="shared" si="328"/>
        <v>0</v>
      </c>
      <c r="AZ650" s="1">
        <f t="shared" si="310"/>
        <v>0</v>
      </c>
      <c r="CB650" s="20">
        <f t="shared" si="319"/>
        <v>0</v>
      </c>
      <c r="CC650" s="173">
        <f t="shared" si="311"/>
        <v>0</v>
      </c>
    </row>
    <row r="651" spans="10:81" x14ac:dyDescent="0.25">
      <c r="J651" s="7"/>
      <c r="K651" s="8"/>
      <c r="L651" s="16"/>
      <c r="M651" s="22"/>
      <c r="N651" s="22"/>
      <c r="O651" s="22"/>
      <c r="P651" s="22"/>
      <c r="Q651" s="1">
        <f t="shared" si="312"/>
        <v>0.60744618579017706</v>
      </c>
      <c r="R651" s="12">
        <f t="shared" ca="1" si="329"/>
        <v>18632</v>
      </c>
      <c r="S651" s="88">
        <f t="shared" si="338"/>
        <v>0</v>
      </c>
      <c r="T651" s="19">
        <f t="shared" si="330"/>
        <v>0</v>
      </c>
      <c r="U651" s="19">
        <f t="shared" si="331"/>
        <v>0</v>
      </c>
      <c r="V651" s="19">
        <f t="shared" si="317"/>
        <v>0</v>
      </c>
      <c r="W651" s="20">
        <f t="shared" ca="1" si="332"/>
        <v>0</v>
      </c>
      <c r="X651" s="19">
        <f t="shared" ca="1" si="333"/>
        <v>0</v>
      </c>
      <c r="Y651" s="19">
        <f t="shared" ca="1" si="334"/>
        <v>0</v>
      </c>
      <c r="Z651" s="20">
        <f t="shared" ca="1" si="335"/>
        <v>0</v>
      </c>
      <c r="AA651" s="1">
        <f t="shared" si="313"/>
        <v>5432.58</v>
      </c>
      <c r="AB651" s="91"/>
      <c r="AC651" s="92"/>
      <c r="AD651" s="101">
        <f t="shared" si="314"/>
        <v>59754</v>
      </c>
      <c r="AE651" s="103">
        <f t="shared" si="315"/>
        <v>0</v>
      </c>
      <c r="AG651" s="1">
        <f t="shared" si="336"/>
        <v>0</v>
      </c>
      <c r="AH651" s="1">
        <f t="shared" si="337"/>
        <v>0</v>
      </c>
      <c r="AI651" s="1">
        <f t="shared" si="316"/>
        <v>5432.58</v>
      </c>
      <c r="AJ651" s="20">
        <f t="shared" si="318"/>
        <v>0</v>
      </c>
      <c r="AK651" s="100">
        <f t="shared" si="320"/>
        <v>0</v>
      </c>
      <c r="AL651" s="100">
        <f t="shared" si="321"/>
        <v>0</v>
      </c>
      <c r="AN651" s="100">
        <f t="shared" si="322"/>
        <v>3965.508990896989</v>
      </c>
      <c r="AO651" s="20">
        <f t="shared" si="323"/>
        <v>0</v>
      </c>
      <c r="AQ651" s="109">
        <f t="shared" si="324"/>
        <v>0</v>
      </c>
      <c r="AU651" s="109">
        <f t="shared" si="309"/>
        <v>25.623364958236429</v>
      </c>
      <c r="AV651" s="101">
        <f t="shared" si="325"/>
        <v>59784</v>
      </c>
      <c r="AW651" s="99">
        <f t="shared" si="326"/>
        <v>0</v>
      </c>
      <c r="AX651" s="1">
        <f t="shared" si="327"/>
        <v>0</v>
      </c>
      <c r="AY651" s="29">
        <f t="shared" si="328"/>
        <v>0</v>
      </c>
      <c r="AZ651" s="1">
        <f t="shared" si="310"/>
        <v>0</v>
      </c>
      <c r="CB651" s="20">
        <f t="shared" si="319"/>
        <v>0</v>
      </c>
      <c r="CC651" s="173">
        <f t="shared" si="311"/>
        <v>0</v>
      </c>
    </row>
    <row r="652" spans="10:81" x14ac:dyDescent="0.25">
      <c r="J652" s="9"/>
      <c r="K652" s="10"/>
      <c r="L652" s="17"/>
      <c r="M652" s="23"/>
      <c r="N652" s="23"/>
      <c r="O652" s="23"/>
      <c r="P652" s="23"/>
      <c r="Q652" s="1">
        <f t="shared" si="312"/>
        <v>0.60744618579017706</v>
      </c>
      <c r="R652" s="12">
        <f t="shared" ca="1" si="329"/>
        <v>18662</v>
      </c>
      <c r="S652" s="88">
        <f t="shared" si="338"/>
        <v>0</v>
      </c>
      <c r="T652" s="19">
        <f t="shared" si="330"/>
        <v>0</v>
      </c>
      <c r="U652" s="19">
        <f t="shared" si="331"/>
        <v>0</v>
      </c>
      <c r="V652" s="19">
        <f t="shared" si="317"/>
        <v>0</v>
      </c>
      <c r="W652" s="20">
        <f t="shared" ca="1" si="332"/>
        <v>0</v>
      </c>
      <c r="X652" s="19">
        <f t="shared" ca="1" si="333"/>
        <v>0</v>
      </c>
      <c r="Y652" s="19">
        <f t="shared" ca="1" si="334"/>
        <v>0</v>
      </c>
      <c r="Z652" s="20">
        <f t="shared" ca="1" si="335"/>
        <v>0</v>
      </c>
      <c r="AA652" s="1">
        <f t="shared" si="313"/>
        <v>5432.58</v>
      </c>
      <c r="AB652" s="93"/>
      <c r="AC652" s="94"/>
      <c r="AD652" s="101">
        <f t="shared" si="314"/>
        <v>59784</v>
      </c>
      <c r="AE652" s="103">
        <f t="shared" si="315"/>
        <v>0</v>
      </c>
      <c r="AG652" s="1">
        <f t="shared" si="336"/>
        <v>0</v>
      </c>
      <c r="AH652" s="1">
        <f t="shared" si="337"/>
        <v>0</v>
      </c>
      <c r="AI652" s="1">
        <f t="shared" si="316"/>
        <v>5432.58</v>
      </c>
      <c r="AJ652" s="20">
        <f t="shared" si="318"/>
        <v>0</v>
      </c>
      <c r="AK652" s="100">
        <f t="shared" si="320"/>
        <v>0</v>
      </c>
      <c r="AL652" s="100">
        <f t="shared" si="321"/>
        <v>0</v>
      </c>
      <c r="AN652" s="100">
        <f t="shared" si="322"/>
        <v>3963.5026454267113</v>
      </c>
      <c r="AO652" s="20">
        <f t="shared" si="323"/>
        <v>0</v>
      </c>
      <c r="AQ652" s="109">
        <f t="shared" si="324"/>
        <v>0</v>
      </c>
      <c r="AU652" s="109">
        <f t="shared" si="309"/>
        <v>25.621115993610328</v>
      </c>
      <c r="AV652" s="101">
        <f t="shared" si="325"/>
        <v>59814</v>
      </c>
      <c r="AW652" s="99">
        <f t="shared" si="326"/>
        <v>0</v>
      </c>
      <c r="AX652" s="1">
        <f t="shared" si="327"/>
        <v>0</v>
      </c>
      <c r="AY652" s="29">
        <f t="shared" si="328"/>
        <v>0</v>
      </c>
      <c r="AZ652" s="1">
        <f t="shared" si="310"/>
        <v>0</v>
      </c>
      <c r="CB652" s="20">
        <f t="shared" si="319"/>
        <v>0</v>
      </c>
      <c r="CC652" s="173">
        <f t="shared" si="311"/>
        <v>0</v>
      </c>
    </row>
    <row r="653" spans="10:81" x14ac:dyDescent="0.25">
      <c r="J653" s="7"/>
      <c r="K653" s="8"/>
      <c r="L653" s="16"/>
      <c r="M653" s="22"/>
      <c r="N653" s="22"/>
      <c r="O653" s="22"/>
      <c r="P653" s="22"/>
      <c r="Q653" s="1">
        <f t="shared" si="312"/>
        <v>0.60744618579017706</v>
      </c>
      <c r="R653" s="12">
        <f t="shared" ca="1" si="329"/>
        <v>18692</v>
      </c>
      <c r="S653" s="88">
        <f t="shared" si="338"/>
        <v>0</v>
      </c>
      <c r="T653" s="19">
        <f t="shared" si="330"/>
        <v>0</v>
      </c>
      <c r="U653" s="19">
        <f t="shared" si="331"/>
        <v>0</v>
      </c>
      <c r="V653" s="19">
        <f t="shared" si="317"/>
        <v>0</v>
      </c>
      <c r="W653" s="20">
        <f t="shared" ca="1" si="332"/>
        <v>0</v>
      </c>
      <c r="X653" s="19">
        <f t="shared" ca="1" si="333"/>
        <v>0</v>
      </c>
      <c r="Y653" s="19">
        <f t="shared" ca="1" si="334"/>
        <v>0</v>
      </c>
      <c r="Z653" s="20">
        <f t="shared" ca="1" si="335"/>
        <v>0</v>
      </c>
      <c r="AA653" s="1">
        <f t="shared" si="313"/>
        <v>5432.58</v>
      </c>
      <c r="AB653" s="91"/>
      <c r="AC653" s="92"/>
      <c r="AD653" s="101">
        <f t="shared" si="314"/>
        <v>59814</v>
      </c>
      <c r="AE653" s="103">
        <f t="shared" si="315"/>
        <v>0</v>
      </c>
      <c r="AG653" s="1">
        <f t="shared" si="336"/>
        <v>0</v>
      </c>
      <c r="AH653" s="1">
        <f t="shared" si="337"/>
        <v>0</v>
      </c>
      <c r="AI653" s="1">
        <f t="shared" si="316"/>
        <v>5432.58</v>
      </c>
      <c r="AJ653" s="20">
        <f t="shared" si="318"/>
        <v>0</v>
      </c>
      <c r="AK653" s="100">
        <f t="shared" si="320"/>
        <v>0</v>
      </c>
      <c r="AL653" s="100">
        <f t="shared" si="321"/>
        <v>0</v>
      </c>
      <c r="AN653" s="100">
        <f t="shared" si="322"/>
        <v>3961.4973150649985</v>
      </c>
      <c r="AO653" s="20">
        <f t="shared" si="323"/>
        <v>0</v>
      </c>
      <c r="AQ653" s="109">
        <f t="shared" si="324"/>
        <v>0</v>
      </c>
      <c r="AU653" s="109">
        <f t="shared" si="309"/>
        <v>25.618867226376008</v>
      </c>
      <c r="AV653" s="101">
        <f t="shared" si="325"/>
        <v>59844</v>
      </c>
      <c r="AW653" s="99">
        <f t="shared" si="326"/>
        <v>0</v>
      </c>
      <c r="AX653" s="1">
        <f t="shared" si="327"/>
        <v>0</v>
      </c>
      <c r="AY653" s="29">
        <f t="shared" si="328"/>
        <v>0</v>
      </c>
      <c r="AZ653" s="1">
        <f t="shared" si="310"/>
        <v>0</v>
      </c>
      <c r="CB653" s="20">
        <f t="shared" si="319"/>
        <v>0</v>
      </c>
      <c r="CC653" s="173">
        <f t="shared" si="311"/>
        <v>0</v>
      </c>
    </row>
    <row r="654" spans="10:81" x14ac:dyDescent="0.25">
      <c r="J654" s="9"/>
      <c r="K654" s="10"/>
      <c r="L654" s="17"/>
      <c r="M654" s="23"/>
      <c r="N654" s="23"/>
      <c r="O654" s="23"/>
      <c r="P654" s="23"/>
      <c r="Q654" s="1">
        <f t="shared" si="312"/>
        <v>0.60744618579017706</v>
      </c>
      <c r="R654" s="12">
        <f t="shared" ca="1" si="329"/>
        <v>18722</v>
      </c>
      <c r="S654" s="88">
        <f t="shared" si="338"/>
        <v>0</v>
      </c>
      <c r="T654" s="19">
        <f t="shared" si="330"/>
        <v>0</v>
      </c>
      <c r="U654" s="19">
        <f t="shared" si="331"/>
        <v>0</v>
      </c>
      <c r="V654" s="19">
        <f t="shared" si="317"/>
        <v>0</v>
      </c>
      <c r="W654" s="20">
        <f t="shared" ca="1" si="332"/>
        <v>0</v>
      </c>
      <c r="X654" s="19">
        <f t="shared" ca="1" si="333"/>
        <v>0</v>
      </c>
      <c r="Y654" s="19">
        <f t="shared" ca="1" si="334"/>
        <v>0</v>
      </c>
      <c r="Z654" s="20">
        <f t="shared" ca="1" si="335"/>
        <v>0</v>
      </c>
      <c r="AA654" s="1">
        <f t="shared" si="313"/>
        <v>5432.58</v>
      </c>
      <c r="AB654" s="93"/>
      <c r="AC654" s="94"/>
      <c r="AD654" s="101">
        <f t="shared" si="314"/>
        <v>59844</v>
      </c>
      <c r="AE654" s="103">
        <f t="shared" si="315"/>
        <v>0</v>
      </c>
      <c r="AG654" s="1">
        <f t="shared" si="336"/>
        <v>0</v>
      </c>
      <c r="AH654" s="1">
        <f t="shared" si="337"/>
        <v>0</v>
      </c>
      <c r="AI654" s="1">
        <f t="shared" si="316"/>
        <v>5432.58</v>
      </c>
      <c r="AJ654" s="20">
        <f t="shared" si="318"/>
        <v>0</v>
      </c>
      <c r="AK654" s="100">
        <f t="shared" si="320"/>
        <v>0</v>
      </c>
      <c r="AL654" s="100">
        <f t="shared" si="321"/>
        <v>0</v>
      </c>
      <c r="AN654" s="100">
        <f t="shared" si="322"/>
        <v>3959.4929992982584</v>
      </c>
      <c r="AO654" s="20">
        <f t="shared" si="323"/>
        <v>0</v>
      </c>
      <c r="AQ654" s="109">
        <f t="shared" si="324"/>
        <v>0</v>
      </c>
      <c r="AU654" s="109">
        <f t="shared" si="309"/>
        <v>25.616618656516167</v>
      </c>
      <c r="AV654" s="101">
        <f t="shared" si="325"/>
        <v>59874</v>
      </c>
      <c r="AW654" s="99">
        <f t="shared" si="326"/>
        <v>0</v>
      </c>
      <c r="AX654" s="1">
        <f t="shared" si="327"/>
        <v>0</v>
      </c>
      <c r="AY654" s="29">
        <f t="shared" si="328"/>
        <v>0</v>
      </c>
      <c r="AZ654" s="1">
        <f t="shared" si="310"/>
        <v>0</v>
      </c>
      <c r="CB654" s="20">
        <f t="shared" si="319"/>
        <v>0</v>
      </c>
      <c r="CC654" s="173">
        <f t="shared" si="311"/>
        <v>0</v>
      </c>
    </row>
    <row r="655" spans="10:81" x14ac:dyDescent="0.25">
      <c r="J655" s="7"/>
      <c r="K655" s="8"/>
      <c r="L655" s="16"/>
      <c r="M655" s="22"/>
      <c r="N655" s="22"/>
      <c r="O655" s="22"/>
      <c r="P655" s="22"/>
      <c r="Q655" s="1">
        <f t="shared" si="312"/>
        <v>0.60744618579017706</v>
      </c>
      <c r="R655" s="12">
        <f t="shared" ca="1" si="329"/>
        <v>18752</v>
      </c>
      <c r="S655" s="88">
        <f t="shared" si="338"/>
        <v>0</v>
      </c>
      <c r="T655" s="19">
        <f t="shared" si="330"/>
        <v>0</v>
      </c>
      <c r="U655" s="19">
        <f t="shared" si="331"/>
        <v>0</v>
      </c>
      <c r="V655" s="19">
        <f t="shared" si="317"/>
        <v>0</v>
      </c>
      <c r="W655" s="20">
        <f t="shared" ca="1" si="332"/>
        <v>0</v>
      </c>
      <c r="X655" s="19">
        <f t="shared" ca="1" si="333"/>
        <v>0</v>
      </c>
      <c r="Y655" s="19">
        <f t="shared" ca="1" si="334"/>
        <v>0</v>
      </c>
      <c r="Z655" s="20">
        <f t="shared" ca="1" si="335"/>
        <v>0</v>
      </c>
      <c r="AA655" s="1">
        <f t="shared" si="313"/>
        <v>5432.58</v>
      </c>
      <c r="AB655" s="91"/>
      <c r="AC655" s="92"/>
      <c r="AD655" s="101">
        <f t="shared" si="314"/>
        <v>59874</v>
      </c>
      <c r="AE655" s="103">
        <f t="shared" si="315"/>
        <v>0</v>
      </c>
      <c r="AG655" s="1">
        <f t="shared" si="336"/>
        <v>0</v>
      </c>
      <c r="AH655" s="1">
        <f t="shared" si="337"/>
        <v>0</v>
      </c>
      <c r="AI655" s="1">
        <f t="shared" si="316"/>
        <v>5432.58</v>
      </c>
      <c r="AJ655" s="20">
        <f t="shared" si="318"/>
        <v>0</v>
      </c>
      <c r="AK655" s="100">
        <f t="shared" si="320"/>
        <v>0</v>
      </c>
      <c r="AL655" s="100">
        <f t="shared" si="321"/>
        <v>0</v>
      </c>
      <c r="AN655" s="100">
        <f t="shared" si="322"/>
        <v>3957.4896976131599</v>
      </c>
      <c r="AO655" s="20">
        <f t="shared" si="323"/>
        <v>0</v>
      </c>
      <c r="AQ655" s="109">
        <f t="shared" si="324"/>
        <v>0</v>
      </c>
      <c r="AU655" s="109">
        <f t="shared" si="309"/>
        <v>25.614370284013457</v>
      </c>
      <c r="AV655" s="101">
        <f t="shared" si="325"/>
        <v>59904</v>
      </c>
      <c r="AW655" s="99">
        <f t="shared" si="326"/>
        <v>0</v>
      </c>
      <c r="AX655" s="1">
        <f t="shared" si="327"/>
        <v>0</v>
      </c>
      <c r="AY655" s="29">
        <f t="shared" si="328"/>
        <v>0</v>
      </c>
      <c r="AZ655" s="1">
        <f t="shared" si="310"/>
        <v>0</v>
      </c>
      <c r="CB655" s="20">
        <f t="shared" si="319"/>
        <v>0</v>
      </c>
      <c r="CC655" s="173">
        <f t="shared" si="311"/>
        <v>0</v>
      </c>
    </row>
    <row r="656" spans="10:81" x14ac:dyDescent="0.25">
      <c r="J656" s="9"/>
      <c r="K656" s="10"/>
      <c r="L656" s="17"/>
      <c r="M656" s="23"/>
      <c r="N656" s="23"/>
      <c r="O656" s="23"/>
      <c r="P656" s="23"/>
      <c r="Q656" s="1">
        <f t="shared" si="312"/>
        <v>0.60744618579017706</v>
      </c>
      <c r="R656" s="12">
        <f t="shared" ca="1" si="329"/>
        <v>18782</v>
      </c>
      <c r="S656" s="88">
        <f t="shared" si="338"/>
        <v>0</v>
      </c>
      <c r="T656" s="19">
        <f t="shared" si="330"/>
        <v>0</v>
      </c>
      <c r="U656" s="19">
        <f t="shared" si="331"/>
        <v>0</v>
      </c>
      <c r="V656" s="19">
        <f t="shared" si="317"/>
        <v>0</v>
      </c>
      <c r="W656" s="20">
        <f t="shared" ca="1" si="332"/>
        <v>0</v>
      </c>
      <c r="X656" s="19">
        <f t="shared" ca="1" si="333"/>
        <v>0</v>
      </c>
      <c r="Y656" s="19">
        <f t="shared" ca="1" si="334"/>
        <v>0</v>
      </c>
      <c r="Z656" s="20">
        <f t="shared" ca="1" si="335"/>
        <v>0</v>
      </c>
      <c r="AA656" s="1">
        <f t="shared" si="313"/>
        <v>5432.58</v>
      </c>
      <c r="AB656" s="93"/>
      <c r="AC656" s="94"/>
      <c r="AD656" s="101">
        <f t="shared" si="314"/>
        <v>59904</v>
      </c>
      <c r="AE656" s="103">
        <f t="shared" si="315"/>
        <v>0</v>
      </c>
      <c r="AG656" s="1">
        <f t="shared" si="336"/>
        <v>0</v>
      </c>
      <c r="AH656" s="1">
        <f t="shared" si="337"/>
        <v>0</v>
      </c>
      <c r="AI656" s="1">
        <f t="shared" si="316"/>
        <v>5432.58</v>
      </c>
      <c r="AJ656" s="20">
        <f t="shared" si="318"/>
        <v>0</v>
      </c>
      <c r="AK656" s="100">
        <f t="shared" si="320"/>
        <v>0</v>
      </c>
      <c r="AL656" s="100">
        <f t="shared" si="321"/>
        <v>0</v>
      </c>
      <c r="AN656" s="100">
        <f t="shared" si="322"/>
        <v>3955.4874094966262</v>
      </c>
      <c r="AO656" s="20">
        <f t="shared" si="323"/>
        <v>0</v>
      </c>
      <c r="AQ656" s="109">
        <f t="shared" si="324"/>
        <v>0</v>
      </c>
      <c r="AU656" s="109">
        <f t="shared" si="309"/>
        <v>25.612122108850578</v>
      </c>
      <c r="AV656" s="101">
        <f t="shared" si="325"/>
        <v>59934</v>
      </c>
      <c r="AW656" s="99">
        <f t="shared" si="326"/>
        <v>0</v>
      </c>
      <c r="AX656" s="1">
        <f t="shared" si="327"/>
        <v>0</v>
      </c>
      <c r="AY656" s="29">
        <f t="shared" si="328"/>
        <v>0</v>
      </c>
      <c r="AZ656" s="1">
        <f t="shared" si="310"/>
        <v>0</v>
      </c>
      <c r="CB656" s="20">
        <f t="shared" si="319"/>
        <v>0</v>
      </c>
      <c r="CC656" s="173">
        <f t="shared" si="311"/>
        <v>0</v>
      </c>
    </row>
    <row r="657" spans="10:81" x14ac:dyDescent="0.25">
      <c r="J657" s="7"/>
      <c r="K657" s="8"/>
      <c r="L657" s="16"/>
      <c r="M657" s="22"/>
      <c r="N657" s="22"/>
      <c r="O657" s="22"/>
      <c r="P657" s="22"/>
      <c r="Q657" s="1">
        <f t="shared" si="312"/>
        <v>0.60744618579017706</v>
      </c>
      <c r="R657" s="12">
        <f t="shared" ca="1" si="329"/>
        <v>18812</v>
      </c>
      <c r="S657" s="88">
        <f t="shared" si="338"/>
        <v>0</v>
      </c>
      <c r="T657" s="19">
        <f t="shared" si="330"/>
        <v>0</v>
      </c>
      <c r="U657" s="19">
        <f t="shared" si="331"/>
        <v>0</v>
      </c>
      <c r="V657" s="19">
        <f t="shared" si="317"/>
        <v>0</v>
      </c>
      <c r="W657" s="20">
        <f t="shared" ca="1" si="332"/>
        <v>0</v>
      </c>
      <c r="X657" s="19">
        <f t="shared" ca="1" si="333"/>
        <v>0</v>
      </c>
      <c r="Y657" s="19">
        <f t="shared" ca="1" si="334"/>
        <v>0</v>
      </c>
      <c r="Z657" s="20">
        <f t="shared" ca="1" si="335"/>
        <v>0</v>
      </c>
      <c r="AA657" s="1">
        <f t="shared" si="313"/>
        <v>5432.58</v>
      </c>
      <c r="AB657" s="91"/>
      <c r="AC657" s="92"/>
      <c r="AD657" s="101">
        <f t="shared" si="314"/>
        <v>59934</v>
      </c>
      <c r="AE657" s="103">
        <f t="shared" si="315"/>
        <v>0</v>
      </c>
      <c r="AG657" s="1">
        <f t="shared" si="336"/>
        <v>0</v>
      </c>
      <c r="AH657" s="1">
        <f t="shared" si="337"/>
        <v>0</v>
      </c>
      <c r="AI657" s="1">
        <f t="shared" si="316"/>
        <v>5432.58</v>
      </c>
      <c r="AJ657" s="20">
        <f t="shared" si="318"/>
        <v>0</v>
      </c>
      <c r="AK657" s="100">
        <f t="shared" si="320"/>
        <v>0</v>
      </c>
      <c r="AL657" s="100">
        <f t="shared" si="321"/>
        <v>0</v>
      </c>
      <c r="AN657" s="100">
        <f t="shared" si="322"/>
        <v>3953.4861344358437</v>
      </c>
      <c r="AO657" s="20">
        <f t="shared" si="323"/>
        <v>0</v>
      </c>
      <c r="AQ657" s="109">
        <f t="shared" si="324"/>
        <v>0</v>
      </c>
      <c r="AU657" s="109">
        <f t="shared" si="309"/>
        <v>25.609874131010194</v>
      </c>
      <c r="AV657" s="101">
        <f t="shared" si="325"/>
        <v>59964</v>
      </c>
      <c r="AW657" s="99">
        <f t="shared" si="326"/>
        <v>0</v>
      </c>
      <c r="AX657" s="1">
        <f t="shared" si="327"/>
        <v>0</v>
      </c>
      <c r="AY657" s="29">
        <f t="shared" si="328"/>
        <v>0</v>
      </c>
      <c r="AZ657" s="1">
        <f t="shared" si="310"/>
        <v>0</v>
      </c>
      <c r="CB657" s="20">
        <f t="shared" si="319"/>
        <v>0</v>
      </c>
      <c r="CC657" s="173">
        <f t="shared" si="311"/>
        <v>0</v>
      </c>
    </row>
    <row r="658" spans="10:81" x14ac:dyDescent="0.25">
      <c r="J658" s="9"/>
      <c r="K658" s="10"/>
      <c r="L658" s="17"/>
      <c r="M658" s="23"/>
      <c r="N658" s="23"/>
      <c r="O658" s="23"/>
      <c r="P658" s="23"/>
      <c r="Q658" s="1">
        <f t="shared" si="312"/>
        <v>0.60744618579017706</v>
      </c>
      <c r="R658" s="12">
        <f t="shared" ca="1" si="329"/>
        <v>18842</v>
      </c>
      <c r="S658" s="88">
        <f t="shared" si="338"/>
        <v>0</v>
      </c>
      <c r="T658" s="19">
        <f t="shared" si="330"/>
        <v>0</v>
      </c>
      <c r="U658" s="19">
        <f t="shared" si="331"/>
        <v>0</v>
      </c>
      <c r="V658" s="19">
        <f t="shared" si="317"/>
        <v>0</v>
      </c>
      <c r="W658" s="20">
        <f t="shared" ca="1" si="332"/>
        <v>0</v>
      </c>
      <c r="X658" s="19">
        <f t="shared" ca="1" si="333"/>
        <v>0</v>
      </c>
      <c r="Y658" s="19">
        <f t="shared" ca="1" si="334"/>
        <v>0</v>
      </c>
      <c r="Z658" s="20">
        <f t="shared" ca="1" si="335"/>
        <v>0</v>
      </c>
      <c r="AA658" s="1">
        <f t="shared" si="313"/>
        <v>5432.58</v>
      </c>
      <c r="AB658" s="93"/>
      <c r="AC658" s="94"/>
      <c r="AD658" s="101">
        <f t="shared" si="314"/>
        <v>59964</v>
      </c>
      <c r="AE658" s="103">
        <f t="shared" si="315"/>
        <v>0</v>
      </c>
      <c r="AG658" s="1">
        <f t="shared" si="336"/>
        <v>0</v>
      </c>
      <c r="AH658" s="1">
        <f t="shared" si="337"/>
        <v>0</v>
      </c>
      <c r="AI658" s="1">
        <f t="shared" si="316"/>
        <v>5432.58</v>
      </c>
      <c r="AJ658" s="20">
        <f t="shared" si="318"/>
        <v>0</v>
      </c>
      <c r="AK658" s="100">
        <f t="shared" si="320"/>
        <v>0</v>
      </c>
      <c r="AL658" s="100">
        <f t="shared" si="321"/>
        <v>0</v>
      </c>
      <c r="AN658" s="100">
        <f t="shared" si="322"/>
        <v>3951.4858719182612</v>
      </c>
      <c r="AO658" s="20">
        <f t="shared" si="323"/>
        <v>0</v>
      </c>
      <c r="AQ658" s="109">
        <f t="shared" si="324"/>
        <v>0</v>
      </c>
      <c r="AU658" s="109">
        <f t="shared" si="309"/>
        <v>25.60762635047498</v>
      </c>
      <c r="AV658" s="101">
        <f t="shared" si="325"/>
        <v>59994</v>
      </c>
      <c r="AW658" s="99">
        <f t="shared" si="326"/>
        <v>0</v>
      </c>
      <c r="AX658" s="1">
        <f t="shared" si="327"/>
        <v>0</v>
      </c>
      <c r="AY658" s="29">
        <f t="shared" si="328"/>
        <v>0</v>
      </c>
      <c r="AZ658" s="1">
        <f t="shared" si="310"/>
        <v>0</v>
      </c>
      <c r="CB658" s="20">
        <f t="shared" si="319"/>
        <v>0</v>
      </c>
      <c r="CC658" s="173">
        <f t="shared" si="311"/>
        <v>0</v>
      </c>
    </row>
    <row r="659" spans="10:81" x14ac:dyDescent="0.25">
      <c r="J659" s="7"/>
      <c r="K659" s="8"/>
      <c r="L659" s="16"/>
      <c r="M659" s="22"/>
      <c r="N659" s="22"/>
      <c r="O659" s="22"/>
      <c r="P659" s="22"/>
      <c r="Q659" s="1">
        <f t="shared" si="312"/>
        <v>0.60744618579017706</v>
      </c>
      <c r="R659" s="12">
        <f t="shared" ca="1" si="329"/>
        <v>18872</v>
      </c>
      <c r="S659" s="88">
        <f t="shared" si="338"/>
        <v>0</v>
      </c>
      <c r="T659" s="19">
        <f t="shared" si="330"/>
        <v>0</v>
      </c>
      <c r="U659" s="19">
        <f t="shared" si="331"/>
        <v>0</v>
      </c>
      <c r="V659" s="19">
        <f t="shared" si="317"/>
        <v>0</v>
      </c>
      <c r="W659" s="20">
        <f t="shared" ca="1" si="332"/>
        <v>0</v>
      </c>
      <c r="X659" s="19">
        <f t="shared" ca="1" si="333"/>
        <v>0</v>
      </c>
      <c r="Y659" s="19">
        <f t="shared" ca="1" si="334"/>
        <v>0</v>
      </c>
      <c r="Z659" s="20">
        <f t="shared" ca="1" si="335"/>
        <v>0</v>
      </c>
      <c r="AA659" s="1">
        <f t="shared" si="313"/>
        <v>5432.58</v>
      </c>
      <c r="AB659" s="91"/>
      <c r="AC659" s="92"/>
      <c r="AD659" s="101">
        <f t="shared" si="314"/>
        <v>59994</v>
      </c>
      <c r="AE659" s="103">
        <f t="shared" si="315"/>
        <v>0</v>
      </c>
      <c r="AG659" s="1">
        <f t="shared" si="336"/>
        <v>0</v>
      </c>
      <c r="AH659" s="1">
        <f t="shared" si="337"/>
        <v>0</v>
      </c>
      <c r="AI659" s="1">
        <f t="shared" si="316"/>
        <v>5432.58</v>
      </c>
      <c r="AJ659" s="20">
        <f t="shared" si="318"/>
        <v>0</v>
      </c>
      <c r="AK659" s="100">
        <f t="shared" si="320"/>
        <v>0</v>
      </c>
      <c r="AL659" s="100">
        <f t="shared" si="321"/>
        <v>0</v>
      </c>
      <c r="AN659" s="100">
        <f t="shared" si="322"/>
        <v>3949.4866214315789</v>
      </c>
      <c r="AO659" s="20">
        <f t="shared" si="323"/>
        <v>0</v>
      </c>
      <c r="AQ659" s="109">
        <f t="shared" si="324"/>
        <v>0</v>
      </c>
      <c r="AU659" s="109">
        <f t="shared" si="309"/>
        <v>25.605378767227634</v>
      </c>
      <c r="AV659" s="101">
        <f t="shared" si="325"/>
        <v>60024</v>
      </c>
      <c r="AW659" s="99">
        <f t="shared" si="326"/>
        <v>0</v>
      </c>
      <c r="AX659" s="1">
        <f t="shared" si="327"/>
        <v>0</v>
      </c>
      <c r="AY659" s="29">
        <f t="shared" si="328"/>
        <v>0</v>
      </c>
      <c r="AZ659" s="1">
        <f t="shared" si="310"/>
        <v>0</v>
      </c>
      <c r="CB659" s="20">
        <f t="shared" si="319"/>
        <v>0</v>
      </c>
      <c r="CC659" s="173">
        <f t="shared" si="311"/>
        <v>0</v>
      </c>
    </row>
    <row r="660" spans="10:81" x14ac:dyDescent="0.25">
      <c r="J660" s="9"/>
      <c r="K660" s="10"/>
      <c r="L660" s="17"/>
      <c r="M660" s="23"/>
      <c r="N660" s="23"/>
      <c r="O660" s="23"/>
      <c r="P660" s="23"/>
      <c r="Q660" s="1">
        <f t="shared" si="312"/>
        <v>0.60744618579017706</v>
      </c>
      <c r="R660" s="12">
        <f t="shared" ca="1" si="329"/>
        <v>18902</v>
      </c>
      <c r="S660" s="88">
        <f t="shared" si="338"/>
        <v>0</v>
      </c>
      <c r="T660" s="19">
        <f t="shared" si="330"/>
        <v>0</v>
      </c>
      <c r="U660" s="19">
        <f t="shared" si="331"/>
        <v>0</v>
      </c>
      <c r="V660" s="19">
        <f t="shared" si="317"/>
        <v>0</v>
      </c>
      <c r="W660" s="20">
        <f t="shared" ca="1" si="332"/>
        <v>0</v>
      </c>
      <c r="X660" s="19">
        <f t="shared" ca="1" si="333"/>
        <v>0</v>
      </c>
      <c r="Y660" s="19">
        <f t="shared" ca="1" si="334"/>
        <v>0</v>
      </c>
      <c r="Z660" s="20">
        <f t="shared" ca="1" si="335"/>
        <v>0</v>
      </c>
      <c r="AA660" s="1">
        <f t="shared" si="313"/>
        <v>5432.58</v>
      </c>
      <c r="AB660" s="93"/>
      <c r="AC660" s="94"/>
      <c r="AD660" s="101">
        <f t="shared" si="314"/>
        <v>60024</v>
      </c>
      <c r="AE660" s="103">
        <f t="shared" si="315"/>
        <v>0</v>
      </c>
      <c r="AG660" s="1">
        <f t="shared" si="336"/>
        <v>0</v>
      </c>
      <c r="AH660" s="1">
        <f t="shared" si="337"/>
        <v>0</v>
      </c>
      <c r="AI660" s="1">
        <f t="shared" si="316"/>
        <v>5432.58</v>
      </c>
      <c r="AJ660" s="20">
        <f t="shared" si="318"/>
        <v>0</v>
      </c>
      <c r="AK660" s="100">
        <f t="shared" si="320"/>
        <v>0</v>
      </c>
      <c r="AL660" s="100">
        <f t="shared" si="321"/>
        <v>0</v>
      </c>
      <c r="AN660" s="100">
        <f t="shared" si="322"/>
        <v>3947.4883824637627</v>
      </c>
      <c r="AO660" s="20">
        <f t="shared" si="323"/>
        <v>0</v>
      </c>
      <c r="AQ660" s="109">
        <f t="shared" si="324"/>
        <v>0</v>
      </c>
      <c r="AU660" s="109">
        <f t="shared" si="309"/>
        <v>25.603131381250844</v>
      </c>
      <c r="AV660" s="101">
        <f t="shared" si="325"/>
        <v>60054</v>
      </c>
      <c r="AW660" s="99">
        <f t="shared" si="326"/>
        <v>0</v>
      </c>
      <c r="AX660" s="1">
        <f t="shared" si="327"/>
        <v>0</v>
      </c>
      <c r="AY660" s="29">
        <f t="shared" si="328"/>
        <v>0</v>
      </c>
      <c r="AZ660" s="1">
        <f t="shared" si="310"/>
        <v>0</v>
      </c>
      <c r="CB660" s="20">
        <f t="shared" si="319"/>
        <v>0</v>
      </c>
      <c r="CC660" s="173">
        <f t="shared" si="311"/>
        <v>0</v>
      </c>
    </row>
    <row r="661" spans="10:81" x14ac:dyDescent="0.25">
      <c r="J661" s="7"/>
      <c r="K661" s="8"/>
      <c r="L661" s="16"/>
      <c r="M661" s="22"/>
      <c r="N661" s="22"/>
      <c r="O661" s="22"/>
      <c r="P661" s="22"/>
      <c r="Q661" s="1">
        <f t="shared" si="312"/>
        <v>0.60744618579017706</v>
      </c>
      <c r="R661" s="12">
        <f t="shared" ca="1" si="329"/>
        <v>18932</v>
      </c>
      <c r="S661" s="88">
        <f t="shared" si="338"/>
        <v>0</v>
      </c>
      <c r="T661" s="19">
        <f t="shared" si="330"/>
        <v>0</v>
      </c>
      <c r="U661" s="19">
        <f t="shared" si="331"/>
        <v>0</v>
      </c>
      <c r="V661" s="19">
        <f t="shared" si="317"/>
        <v>0</v>
      </c>
      <c r="W661" s="20">
        <f t="shared" ca="1" si="332"/>
        <v>0</v>
      </c>
      <c r="X661" s="19">
        <f t="shared" ca="1" si="333"/>
        <v>0</v>
      </c>
      <c r="Y661" s="19">
        <f t="shared" ca="1" si="334"/>
        <v>0</v>
      </c>
      <c r="Z661" s="20">
        <f t="shared" ca="1" si="335"/>
        <v>0</v>
      </c>
      <c r="AA661" s="1">
        <f t="shared" si="313"/>
        <v>5432.58</v>
      </c>
      <c r="AB661" s="91"/>
      <c r="AC661" s="92"/>
      <c r="AD661" s="101">
        <f t="shared" si="314"/>
        <v>60054</v>
      </c>
      <c r="AE661" s="103">
        <f t="shared" si="315"/>
        <v>0</v>
      </c>
      <c r="AG661" s="1">
        <f t="shared" si="336"/>
        <v>0</v>
      </c>
      <c r="AH661" s="1">
        <f t="shared" si="337"/>
        <v>0</v>
      </c>
      <c r="AI661" s="1">
        <f t="shared" si="316"/>
        <v>5432.58</v>
      </c>
      <c r="AJ661" s="20">
        <f t="shared" si="318"/>
        <v>0</v>
      </c>
      <c r="AK661" s="100">
        <f t="shared" si="320"/>
        <v>0</v>
      </c>
      <c r="AL661" s="100">
        <f t="shared" si="321"/>
        <v>0</v>
      </c>
      <c r="AN661" s="100">
        <f t="shared" si="322"/>
        <v>3945.4911545030359</v>
      </c>
      <c r="AO661" s="20">
        <f t="shared" si="323"/>
        <v>0</v>
      </c>
      <c r="AQ661" s="109">
        <f t="shared" si="324"/>
        <v>0</v>
      </c>
      <c r="AU661" s="109">
        <f t="shared" si="309"/>
        <v>25.600884192527289</v>
      </c>
      <c r="AV661" s="101">
        <f t="shared" si="325"/>
        <v>60084</v>
      </c>
      <c r="AW661" s="99">
        <f t="shared" si="326"/>
        <v>0</v>
      </c>
      <c r="AX661" s="1">
        <f t="shared" si="327"/>
        <v>0</v>
      </c>
      <c r="AY661" s="29">
        <f t="shared" si="328"/>
        <v>0</v>
      </c>
      <c r="AZ661" s="1">
        <f t="shared" si="310"/>
        <v>0</v>
      </c>
      <c r="CB661" s="20">
        <f t="shared" si="319"/>
        <v>0</v>
      </c>
      <c r="CC661" s="173">
        <f t="shared" si="311"/>
        <v>0</v>
      </c>
    </row>
    <row r="662" spans="10:81" x14ac:dyDescent="0.25">
      <c r="J662" s="9"/>
      <c r="K662" s="10"/>
      <c r="L662" s="17"/>
      <c r="M662" s="23"/>
      <c r="N662" s="23"/>
      <c r="O662" s="23"/>
      <c r="P662" s="23"/>
      <c r="Q662" s="1">
        <f t="shared" si="312"/>
        <v>0.60744618579017706</v>
      </c>
      <c r="R662" s="12">
        <f t="shared" ca="1" si="329"/>
        <v>18962</v>
      </c>
      <c r="S662" s="88">
        <f t="shared" si="338"/>
        <v>0</v>
      </c>
      <c r="T662" s="19">
        <f t="shared" si="330"/>
        <v>0</v>
      </c>
      <c r="U662" s="19">
        <f t="shared" si="331"/>
        <v>0</v>
      </c>
      <c r="V662" s="19">
        <f t="shared" si="317"/>
        <v>0</v>
      </c>
      <c r="W662" s="20">
        <f t="shared" ca="1" si="332"/>
        <v>0</v>
      </c>
      <c r="X662" s="19">
        <f t="shared" ca="1" si="333"/>
        <v>0</v>
      </c>
      <c r="Y662" s="19">
        <f t="shared" ca="1" si="334"/>
        <v>0</v>
      </c>
      <c r="Z662" s="20">
        <f t="shared" ca="1" si="335"/>
        <v>0</v>
      </c>
      <c r="AA662" s="1">
        <f t="shared" si="313"/>
        <v>5432.58</v>
      </c>
      <c r="AB662" s="93"/>
      <c r="AC662" s="94"/>
      <c r="AD662" s="101">
        <f t="shared" si="314"/>
        <v>60084</v>
      </c>
      <c r="AE662" s="103">
        <f t="shared" si="315"/>
        <v>0</v>
      </c>
      <c r="AG662" s="1">
        <f t="shared" si="336"/>
        <v>0</v>
      </c>
      <c r="AH662" s="1">
        <f t="shared" si="337"/>
        <v>0</v>
      </c>
      <c r="AI662" s="1">
        <f t="shared" si="316"/>
        <v>5432.58</v>
      </c>
      <c r="AJ662" s="20">
        <f t="shared" si="318"/>
        <v>0</v>
      </c>
      <c r="AK662" s="100">
        <f t="shared" si="320"/>
        <v>0</v>
      </c>
      <c r="AL662" s="100">
        <f t="shared" si="321"/>
        <v>0</v>
      </c>
      <c r="AN662" s="100">
        <f t="shared" si="322"/>
        <v>3943.4949370378795</v>
      </c>
      <c r="AO662" s="20">
        <f t="shared" si="323"/>
        <v>0</v>
      </c>
      <c r="AQ662" s="109">
        <f t="shared" si="324"/>
        <v>0</v>
      </c>
      <c r="AU662" s="109">
        <f t="shared" si="309"/>
        <v>25.598637201039644</v>
      </c>
      <c r="AV662" s="101">
        <f t="shared" si="325"/>
        <v>60114</v>
      </c>
      <c r="AW662" s="99">
        <f t="shared" si="326"/>
        <v>0</v>
      </c>
      <c r="AX662" s="1">
        <f t="shared" si="327"/>
        <v>0</v>
      </c>
      <c r="AY662" s="29">
        <f t="shared" si="328"/>
        <v>0</v>
      </c>
      <c r="AZ662" s="1">
        <f t="shared" si="310"/>
        <v>0</v>
      </c>
      <c r="CB662" s="20">
        <f t="shared" si="319"/>
        <v>0</v>
      </c>
      <c r="CC662" s="173">
        <f t="shared" si="311"/>
        <v>0</v>
      </c>
    </row>
    <row r="663" spans="10:81" x14ac:dyDescent="0.25">
      <c r="J663" s="7"/>
      <c r="K663" s="8"/>
      <c r="L663" s="16"/>
      <c r="M663" s="22"/>
      <c r="N663" s="22"/>
      <c r="O663" s="22"/>
      <c r="P663" s="22"/>
      <c r="Q663" s="1">
        <f t="shared" si="312"/>
        <v>0.60744618579017706</v>
      </c>
      <c r="R663" s="12">
        <f t="shared" ca="1" si="329"/>
        <v>18992</v>
      </c>
      <c r="S663" s="88">
        <f t="shared" si="338"/>
        <v>0</v>
      </c>
      <c r="T663" s="19">
        <f t="shared" si="330"/>
        <v>0</v>
      </c>
      <c r="U663" s="19">
        <f t="shared" si="331"/>
        <v>0</v>
      </c>
      <c r="V663" s="19">
        <f t="shared" si="317"/>
        <v>0</v>
      </c>
      <c r="W663" s="20">
        <f t="shared" ca="1" si="332"/>
        <v>0</v>
      </c>
      <c r="X663" s="19">
        <f t="shared" ca="1" si="333"/>
        <v>0</v>
      </c>
      <c r="Y663" s="19">
        <f t="shared" ca="1" si="334"/>
        <v>0</v>
      </c>
      <c r="Z663" s="20">
        <f t="shared" ca="1" si="335"/>
        <v>0</v>
      </c>
      <c r="AA663" s="1">
        <f t="shared" si="313"/>
        <v>5432.58</v>
      </c>
      <c r="AB663" s="91"/>
      <c r="AC663" s="92"/>
      <c r="AD663" s="101">
        <f t="shared" si="314"/>
        <v>60114</v>
      </c>
      <c r="AE663" s="103">
        <f t="shared" si="315"/>
        <v>0</v>
      </c>
      <c r="AG663" s="1">
        <f t="shared" si="336"/>
        <v>0</v>
      </c>
      <c r="AH663" s="1">
        <f t="shared" si="337"/>
        <v>0</v>
      </c>
      <c r="AI663" s="1">
        <f t="shared" si="316"/>
        <v>5432.58</v>
      </c>
      <c r="AJ663" s="20">
        <f t="shared" si="318"/>
        <v>0</v>
      </c>
      <c r="AK663" s="100">
        <f t="shared" si="320"/>
        <v>0</v>
      </c>
      <c r="AL663" s="100">
        <f t="shared" si="321"/>
        <v>0</v>
      </c>
      <c r="AN663" s="100">
        <f t="shared" si="322"/>
        <v>3941.4997295570361</v>
      </c>
      <c r="AO663" s="20">
        <f t="shared" si="323"/>
        <v>0</v>
      </c>
      <c r="AQ663" s="109">
        <f t="shared" si="324"/>
        <v>0</v>
      </c>
      <c r="AU663" s="109">
        <f t="shared" si="309"/>
        <v>25.596390406770603</v>
      </c>
      <c r="AV663" s="101">
        <f t="shared" si="325"/>
        <v>60144</v>
      </c>
      <c r="AW663" s="99">
        <f t="shared" si="326"/>
        <v>0</v>
      </c>
      <c r="AX663" s="1">
        <f t="shared" si="327"/>
        <v>0</v>
      </c>
      <c r="AY663" s="29">
        <f t="shared" si="328"/>
        <v>0</v>
      </c>
      <c r="AZ663" s="1">
        <f t="shared" si="310"/>
        <v>0</v>
      </c>
      <c r="CB663" s="20">
        <f t="shared" si="319"/>
        <v>0</v>
      </c>
      <c r="CC663" s="173">
        <f t="shared" si="311"/>
        <v>0</v>
      </c>
    </row>
    <row r="664" spans="10:81" x14ac:dyDescent="0.25">
      <c r="J664" s="9"/>
      <c r="K664" s="10"/>
      <c r="L664" s="17"/>
      <c r="M664" s="23"/>
      <c r="N664" s="23"/>
      <c r="O664" s="23"/>
      <c r="P664" s="23"/>
      <c r="Q664" s="1">
        <f t="shared" si="312"/>
        <v>0.60744618579017706</v>
      </c>
      <c r="R664" s="12">
        <f t="shared" ca="1" si="329"/>
        <v>19022</v>
      </c>
      <c r="S664" s="88">
        <f t="shared" si="338"/>
        <v>0</v>
      </c>
      <c r="T664" s="19">
        <f t="shared" si="330"/>
        <v>0</v>
      </c>
      <c r="U664" s="19">
        <f t="shared" si="331"/>
        <v>0</v>
      </c>
      <c r="V664" s="19">
        <f t="shared" si="317"/>
        <v>0</v>
      </c>
      <c r="W664" s="20">
        <f t="shared" ca="1" si="332"/>
        <v>0</v>
      </c>
      <c r="X664" s="19">
        <f t="shared" ca="1" si="333"/>
        <v>0</v>
      </c>
      <c r="Y664" s="19">
        <f t="shared" ca="1" si="334"/>
        <v>0</v>
      </c>
      <c r="Z664" s="20">
        <f t="shared" ca="1" si="335"/>
        <v>0</v>
      </c>
      <c r="AA664" s="1">
        <f t="shared" si="313"/>
        <v>5432.58</v>
      </c>
      <c r="AB664" s="93"/>
      <c r="AC664" s="94"/>
      <c r="AD664" s="101">
        <f t="shared" si="314"/>
        <v>60144</v>
      </c>
      <c r="AE664" s="103">
        <f t="shared" si="315"/>
        <v>0</v>
      </c>
      <c r="AG664" s="1">
        <f t="shared" si="336"/>
        <v>0</v>
      </c>
      <c r="AH664" s="1">
        <f t="shared" si="337"/>
        <v>0</v>
      </c>
      <c r="AI664" s="1">
        <f t="shared" si="316"/>
        <v>5432.58</v>
      </c>
      <c r="AJ664" s="20">
        <f t="shared" si="318"/>
        <v>0</v>
      </c>
      <c r="AK664" s="100">
        <f t="shared" si="320"/>
        <v>0</v>
      </c>
      <c r="AL664" s="100">
        <f t="shared" si="321"/>
        <v>0</v>
      </c>
      <c r="AN664" s="100">
        <f t="shared" si="322"/>
        <v>3939.5055315495038</v>
      </c>
      <c r="AO664" s="20">
        <f t="shared" si="323"/>
        <v>0</v>
      </c>
      <c r="AQ664" s="109">
        <f t="shared" si="324"/>
        <v>0</v>
      </c>
      <c r="AU664" s="109">
        <f t="shared" si="309"/>
        <v>25.594143809702871</v>
      </c>
      <c r="AV664" s="101">
        <f t="shared" si="325"/>
        <v>60174</v>
      </c>
      <c r="AW664" s="99">
        <f t="shared" si="326"/>
        <v>0</v>
      </c>
      <c r="AX664" s="1">
        <f t="shared" si="327"/>
        <v>0</v>
      </c>
      <c r="AY664" s="29">
        <f t="shared" si="328"/>
        <v>0</v>
      </c>
      <c r="AZ664" s="1">
        <f t="shared" si="310"/>
        <v>0</v>
      </c>
      <c r="CB664" s="20">
        <f t="shared" si="319"/>
        <v>0</v>
      </c>
      <c r="CC664" s="173">
        <f t="shared" si="311"/>
        <v>0</v>
      </c>
    </row>
    <row r="665" spans="10:81" x14ac:dyDescent="0.25">
      <c r="J665" s="7"/>
      <c r="K665" s="8"/>
      <c r="L665" s="16"/>
      <c r="M665" s="22"/>
      <c r="N665" s="22"/>
      <c r="O665" s="22"/>
      <c r="P665" s="22"/>
      <c r="Q665" s="1">
        <f t="shared" si="312"/>
        <v>0.60744618579017706</v>
      </c>
      <c r="R665" s="12">
        <f t="shared" ca="1" si="329"/>
        <v>19052</v>
      </c>
      <c r="S665" s="88">
        <f t="shared" si="338"/>
        <v>0</v>
      </c>
      <c r="T665" s="19">
        <f t="shared" si="330"/>
        <v>0</v>
      </c>
      <c r="U665" s="19">
        <f t="shared" si="331"/>
        <v>0</v>
      </c>
      <c r="V665" s="19">
        <f t="shared" si="317"/>
        <v>0</v>
      </c>
      <c r="W665" s="20">
        <f t="shared" ca="1" si="332"/>
        <v>0</v>
      </c>
      <c r="X665" s="19">
        <f t="shared" ca="1" si="333"/>
        <v>0</v>
      </c>
      <c r="Y665" s="19">
        <f t="shared" ca="1" si="334"/>
        <v>0</v>
      </c>
      <c r="Z665" s="20">
        <f t="shared" ca="1" si="335"/>
        <v>0</v>
      </c>
      <c r="AA665" s="1">
        <f t="shared" si="313"/>
        <v>5432.58</v>
      </c>
      <c r="AB665" s="91"/>
      <c r="AC665" s="92"/>
      <c r="AD665" s="101">
        <f t="shared" si="314"/>
        <v>60174</v>
      </c>
      <c r="AE665" s="103">
        <f t="shared" si="315"/>
        <v>0</v>
      </c>
      <c r="AG665" s="1">
        <f t="shared" si="336"/>
        <v>0</v>
      </c>
      <c r="AH665" s="1">
        <f t="shared" si="337"/>
        <v>0</v>
      </c>
      <c r="AI665" s="1">
        <f t="shared" si="316"/>
        <v>5432.58</v>
      </c>
      <c r="AJ665" s="20">
        <f t="shared" si="318"/>
        <v>0</v>
      </c>
      <c r="AK665" s="100">
        <f t="shared" si="320"/>
        <v>0</v>
      </c>
      <c r="AL665" s="100">
        <f t="shared" si="321"/>
        <v>0</v>
      </c>
      <c r="AN665" s="100">
        <f t="shared" si="322"/>
        <v>3937.5123425045385</v>
      </c>
      <c r="AO665" s="20">
        <f t="shared" si="323"/>
        <v>0</v>
      </c>
      <c r="AQ665" s="109">
        <f t="shared" si="324"/>
        <v>0</v>
      </c>
      <c r="AU665" s="109">
        <f t="shared" si="309"/>
        <v>25.591897409819119</v>
      </c>
      <c r="AV665" s="101">
        <f t="shared" si="325"/>
        <v>60204</v>
      </c>
      <c r="AW665" s="99">
        <f t="shared" si="326"/>
        <v>0</v>
      </c>
      <c r="AX665" s="1">
        <f t="shared" si="327"/>
        <v>0</v>
      </c>
      <c r="AY665" s="29">
        <f t="shared" si="328"/>
        <v>0</v>
      </c>
      <c r="AZ665" s="1">
        <f t="shared" si="310"/>
        <v>0</v>
      </c>
      <c r="CB665" s="20">
        <f t="shared" si="319"/>
        <v>0</v>
      </c>
      <c r="CC665" s="173">
        <f t="shared" si="311"/>
        <v>0</v>
      </c>
    </row>
    <row r="666" spans="10:81" x14ac:dyDescent="0.25">
      <c r="J666" s="9"/>
      <c r="K666" s="10"/>
      <c r="L666" s="17"/>
      <c r="M666" s="23"/>
      <c r="N666" s="23"/>
      <c r="O666" s="23"/>
      <c r="P666" s="23"/>
      <c r="Q666" s="1">
        <f t="shared" si="312"/>
        <v>0.60744618579017706</v>
      </c>
      <c r="R666" s="12">
        <f t="shared" ca="1" si="329"/>
        <v>19082</v>
      </c>
      <c r="S666" s="88">
        <f t="shared" si="338"/>
        <v>0</v>
      </c>
      <c r="T666" s="19">
        <f t="shared" si="330"/>
        <v>0</v>
      </c>
      <c r="U666" s="19">
        <f t="shared" si="331"/>
        <v>0</v>
      </c>
      <c r="V666" s="19">
        <f t="shared" si="317"/>
        <v>0</v>
      </c>
      <c r="W666" s="20">
        <f t="shared" ca="1" si="332"/>
        <v>0</v>
      </c>
      <c r="X666" s="19">
        <f t="shared" ca="1" si="333"/>
        <v>0</v>
      </c>
      <c r="Y666" s="19">
        <f t="shared" ca="1" si="334"/>
        <v>0</v>
      </c>
      <c r="Z666" s="20">
        <f t="shared" ca="1" si="335"/>
        <v>0</v>
      </c>
      <c r="AA666" s="1">
        <f t="shared" si="313"/>
        <v>5432.58</v>
      </c>
      <c r="AB666" s="93"/>
      <c r="AC666" s="94"/>
      <c r="AD666" s="101">
        <f t="shared" si="314"/>
        <v>60204</v>
      </c>
      <c r="AE666" s="103">
        <f t="shared" si="315"/>
        <v>0</v>
      </c>
      <c r="AG666" s="1">
        <f t="shared" si="336"/>
        <v>0</v>
      </c>
      <c r="AH666" s="1">
        <f t="shared" si="337"/>
        <v>0</v>
      </c>
      <c r="AI666" s="1">
        <f t="shared" si="316"/>
        <v>5432.58</v>
      </c>
      <c r="AJ666" s="20">
        <f t="shared" si="318"/>
        <v>0</v>
      </c>
      <c r="AK666" s="100">
        <f t="shared" si="320"/>
        <v>0</v>
      </c>
      <c r="AL666" s="100">
        <f t="shared" si="321"/>
        <v>0</v>
      </c>
      <c r="AN666" s="100">
        <f t="shared" si="322"/>
        <v>3935.5201619116601</v>
      </c>
      <c r="AO666" s="20">
        <f t="shared" si="323"/>
        <v>0</v>
      </c>
      <c r="AQ666" s="109">
        <f t="shared" si="324"/>
        <v>0</v>
      </c>
      <c r="AU666" s="109">
        <f t="shared" si="309"/>
        <v>25.589651207102058</v>
      </c>
      <c r="AV666" s="101">
        <f t="shared" si="325"/>
        <v>60234</v>
      </c>
      <c r="AW666" s="99">
        <f t="shared" si="326"/>
        <v>0</v>
      </c>
      <c r="AX666" s="1">
        <f t="shared" si="327"/>
        <v>0</v>
      </c>
      <c r="AY666" s="29">
        <f t="shared" si="328"/>
        <v>0</v>
      </c>
      <c r="AZ666" s="1">
        <f t="shared" si="310"/>
        <v>0</v>
      </c>
      <c r="CB666" s="20">
        <f t="shared" si="319"/>
        <v>0</v>
      </c>
      <c r="CC666" s="173">
        <f t="shared" si="311"/>
        <v>0</v>
      </c>
    </row>
    <row r="667" spans="10:81" x14ac:dyDescent="0.25">
      <c r="J667" s="7"/>
      <c r="K667" s="8"/>
      <c r="L667" s="16"/>
      <c r="M667" s="22"/>
      <c r="N667" s="22"/>
      <c r="O667" s="22"/>
      <c r="P667" s="22"/>
      <c r="Q667" s="1">
        <f t="shared" si="312"/>
        <v>0.60744618579017706</v>
      </c>
      <c r="R667" s="12">
        <f t="shared" ca="1" si="329"/>
        <v>19112</v>
      </c>
      <c r="S667" s="88">
        <f t="shared" si="338"/>
        <v>0</v>
      </c>
      <c r="T667" s="19">
        <f t="shared" si="330"/>
        <v>0</v>
      </c>
      <c r="U667" s="19">
        <f t="shared" si="331"/>
        <v>0</v>
      </c>
      <c r="V667" s="19">
        <f t="shared" si="317"/>
        <v>0</v>
      </c>
      <c r="W667" s="20">
        <f t="shared" ca="1" si="332"/>
        <v>0</v>
      </c>
      <c r="X667" s="19">
        <f t="shared" ca="1" si="333"/>
        <v>0</v>
      </c>
      <c r="Y667" s="19">
        <f t="shared" ca="1" si="334"/>
        <v>0</v>
      </c>
      <c r="Z667" s="20">
        <f t="shared" ca="1" si="335"/>
        <v>0</v>
      </c>
      <c r="AA667" s="1">
        <f t="shared" si="313"/>
        <v>5432.58</v>
      </c>
      <c r="AB667" s="91"/>
      <c r="AC667" s="92"/>
      <c r="AD667" s="101">
        <f t="shared" si="314"/>
        <v>60234</v>
      </c>
      <c r="AE667" s="103">
        <f t="shared" si="315"/>
        <v>0</v>
      </c>
      <c r="AG667" s="1">
        <f t="shared" si="336"/>
        <v>0</v>
      </c>
      <c r="AH667" s="1">
        <f t="shared" si="337"/>
        <v>0</v>
      </c>
      <c r="AI667" s="1">
        <f t="shared" si="316"/>
        <v>5432.58</v>
      </c>
      <c r="AJ667" s="20">
        <f t="shared" si="318"/>
        <v>0</v>
      </c>
      <c r="AK667" s="100">
        <f t="shared" si="320"/>
        <v>0</v>
      </c>
      <c r="AL667" s="100">
        <f t="shared" si="321"/>
        <v>0</v>
      </c>
      <c r="AN667" s="100">
        <f t="shared" si="322"/>
        <v>3933.5289892606411</v>
      </c>
      <c r="AO667" s="20">
        <f t="shared" si="323"/>
        <v>0</v>
      </c>
      <c r="AQ667" s="109">
        <f t="shared" si="324"/>
        <v>0</v>
      </c>
      <c r="AU667" s="109">
        <f t="shared" si="309"/>
        <v>25.587405201534366</v>
      </c>
      <c r="AV667" s="101">
        <f t="shared" si="325"/>
        <v>60264</v>
      </c>
      <c r="AW667" s="99">
        <f t="shared" si="326"/>
        <v>0</v>
      </c>
      <c r="AX667" s="1">
        <f t="shared" si="327"/>
        <v>0</v>
      </c>
      <c r="AY667" s="29">
        <f t="shared" si="328"/>
        <v>0</v>
      </c>
      <c r="AZ667" s="1">
        <f t="shared" si="310"/>
        <v>0</v>
      </c>
      <c r="CB667" s="20">
        <f t="shared" si="319"/>
        <v>0</v>
      </c>
      <c r="CC667" s="173">
        <f t="shared" si="311"/>
        <v>0</v>
      </c>
    </row>
    <row r="668" spans="10:81" x14ac:dyDescent="0.25">
      <c r="J668" s="9"/>
      <c r="K668" s="10"/>
      <c r="L668" s="17"/>
      <c r="M668" s="23"/>
      <c r="N668" s="23"/>
      <c r="O668" s="23"/>
      <c r="P668" s="23"/>
      <c r="Q668" s="1">
        <f t="shared" si="312"/>
        <v>0.60744618579017706</v>
      </c>
      <c r="R668" s="12">
        <f t="shared" ca="1" si="329"/>
        <v>19142</v>
      </c>
      <c r="S668" s="88">
        <f t="shared" si="338"/>
        <v>0</v>
      </c>
      <c r="T668" s="19">
        <f t="shared" si="330"/>
        <v>0</v>
      </c>
      <c r="U668" s="19">
        <f t="shared" si="331"/>
        <v>0</v>
      </c>
      <c r="V668" s="19">
        <f t="shared" si="317"/>
        <v>0</v>
      </c>
      <c r="W668" s="20">
        <f t="shared" ca="1" si="332"/>
        <v>0</v>
      </c>
      <c r="X668" s="19">
        <f t="shared" ca="1" si="333"/>
        <v>0</v>
      </c>
      <c r="Y668" s="19">
        <f t="shared" ca="1" si="334"/>
        <v>0</v>
      </c>
      <c r="Z668" s="20">
        <f t="shared" ca="1" si="335"/>
        <v>0</v>
      </c>
      <c r="AA668" s="1">
        <f t="shared" si="313"/>
        <v>5432.58</v>
      </c>
      <c r="AB668" s="93"/>
      <c r="AC668" s="94"/>
      <c r="AD668" s="101">
        <f t="shared" si="314"/>
        <v>60264</v>
      </c>
      <c r="AE668" s="103">
        <f t="shared" si="315"/>
        <v>0</v>
      </c>
      <c r="AG668" s="1">
        <f t="shared" si="336"/>
        <v>0</v>
      </c>
      <c r="AH668" s="1">
        <f t="shared" si="337"/>
        <v>0</v>
      </c>
      <c r="AI668" s="1">
        <f t="shared" si="316"/>
        <v>5432.58</v>
      </c>
      <c r="AJ668" s="20">
        <f t="shared" si="318"/>
        <v>0</v>
      </c>
      <c r="AK668" s="100">
        <f t="shared" si="320"/>
        <v>0</v>
      </c>
      <c r="AL668" s="100">
        <f t="shared" si="321"/>
        <v>0</v>
      </c>
      <c r="AN668" s="100">
        <f t="shared" si="322"/>
        <v>3931.5388240415159</v>
      </c>
      <c r="AO668" s="20">
        <f t="shared" si="323"/>
        <v>0</v>
      </c>
      <c r="AQ668" s="109">
        <f t="shared" si="324"/>
        <v>0</v>
      </c>
      <c r="AU668" s="109">
        <f t="shared" si="309"/>
        <v>25.585159393098753</v>
      </c>
      <c r="AV668" s="101">
        <f t="shared" si="325"/>
        <v>60294</v>
      </c>
      <c r="AW668" s="99">
        <f t="shared" si="326"/>
        <v>0</v>
      </c>
      <c r="AX668" s="1">
        <f t="shared" si="327"/>
        <v>0</v>
      </c>
      <c r="AY668" s="29">
        <f t="shared" si="328"/>
        <v>0</v>
      </c>
      <c r="AZ668" s="1">
        <f t="shared" si="310"/>
        <v>0</v>
      </c>
      <c r="CB668" s="20">
        <f t="shared" si="319"/>
        <v>0</v>
      </c>
      <c r="CC668" s="173">
        <f t="shared" si="311"/>
        <v>0</v>
      </c>
    </row>
    <row r="669" spans="10:81" x14ac:dyDescent="0.25">
      <c r="J669" s="7"/>
      <c r="K669" s="8"/>
      <c r="L669" s="16"/>
      <c r="M669" s="22"/>
      <c r="N669" s="22"/>
      <c r="O669" s="22"/>
      <c r="P669" s="22"/>
      <c r="Q669" s="1">
        <f t="shared" si="312"/>
        <v>0.60744618579017706</v>
      </c>
      <c r="R669" s="12">
        <f t="shared" ca="1" si="329"/>
        <v>19172</v>
      </c>
      <c r="S669" s="88">
        <f t="shared" si="338"/>
        <v>0</v>
      </c>
      <c r="T669" s="19">
        <f t="shared" si="330"/>
        <v>0</v>
      </c>
      <c r="U669" s="19">
        <f t="shared" si="331"/>
        <v>0</v>
      </c>
      <c r="V669" s="19">
        <f t="shared" si="317"/>
        <v>0</v>
      </c>
      <c r="W669" s="20">
        <f t="shared" ca="1" si="332"/>
        <v>0</v>
      </c>
      <c r="X669" s="19">
        <f t="shared" ca="1" si="333"/>
        <v>0</v>
      </c>
      <c r="Y669" s="19">
        <f t="shared" ca="1" si="334"/>
        <v>0</v>
      </c>
      <c r="Z669" s="20">
        <f t="shared" ca="1" si="335"/>
        <v>0</v>
      </c>
      <c r="AA669" s="1">
        <f t="shared" si="313"/>
        <v>5432.58</v>
      </c>
      <c r="AB669" s="91"/>
      <c r="AC669" s="92"/>
      <c r="AD669" s="101">
        <f t="shared" si="314"/>
        <v>60294</v>
      </c>
      <c r="AE669" s="103">
        <f t="shared" si="315"/>
        <v>0</v>
      </c>
      <c r="AG669" s="1">
        <f t="shared" si="336"/>
        <v>0</v>
      </c>
      <c r="AH669" s="1">
        <f t="shared" si="337"/>
        <v>0</v>
      </c>
      <c r="AI669" s="1">
        <f t="shared" si="316"/>
        <v>5432.58</v>
      </c>
      <c r="AJ669" s="20">
        <f t="shared" si="318"/>
        <v>0</v>
      </c>
      <c r="AK669" s="100">
        <f t="shared" si="320"/>
        <v>0</v>
      </c>
      <c r="AL669" s="100">
        <f t="shared" si="321"/>
        <v>0</v>
      </c>
      <c r="AN669" s="100">
        <f t="shared" si="322"/>
        <v>3929.5496657445747</v>
      </c>
      <c r="AO669" s="20">
        <f t="shared" si="323"/>
        <v>0</v>
      </c>
      <c r="AQ669" s="109">
        <f t="shared" si="324"/>
        <v>0</v>
      </c>
      <c r="AU669" s="109">
        <f t="shared" si="309"/>
        <v>25.582913781777915</v>
      </c>
      <c r="AV669" s="101">
        <f t="shared" si="325"/>
        <v>60324</v>
      </c>
      <c r="AW669" s="99">
        <f t="shared" si="326"/>
        <v>0</v>
      </c>
      <c r="AX669" s="1">
        <f t="shared" si="327"/>
        <v>0</v>
      </c>
      <c r="AY669" s="29">
        <f t="shared" si="328"/>
        <v>0</v>
      </c>
      <c r="AZ669" s="1">
        <f t="shared" si="310"/>
        <v>0</v>
      </c>
      <c r="CB669" s="20">
        <f t="shared" si="319"/>
        <v>0</v>
      </c>
      <c r="CC669" s="173">
        <f t="shared" si="311"/>
        <v>0</v>
      </c>
    </row>
    <row r="670" spans="10:81" x14ac:dyDescent="0.25">
      <c r="J670" s="9"/>
      <c r="K670" s="10"/>
      <c r="L670" s="17"/>
      <c r="M670" s="23"/>
      <c r="N670" s="23"/>
      <c r="O670" s="23"/>
      <c r="P670" s="23"/>
      <c r="Q670" s="1">
        <f t="shared" si="312"/>
        <v>0.60744618579017706</v>
      </c>
      <c r="R670" s="12">
        <f t="shared" ca="1" si="329"/>
        <v>19202</v>
      </c>
      <c r="S670" s="88">
        <f t="shared" si="338"/>
        <v>0</v>
      </c>
      <c r="T670" s="19">
        <f t="shared" si="330"/>
        <v>0</v>
      </c>
      <c r="U670" s="19">
        <f t="shared" si="331"/>
        <v>0</v>
      </c>
      <c r="V670" s="19">
        <f t="shared" si="317"/>
        <v>0</v>
      </c>
      <c r="W670" s="20">
        <f t="shared" ca="1" si="332"/>
        <v>0</v>
      </c>
      <c r="X670" s="19">
        <f t="shared" ca="1" si="333"/>
        <v>0</v>
      </c>
      <c r="Y670" s="19">
        <f t="shared" ca="1" si="334"/>
        <v>0</v>
      </c>
      <c r="Z670" s="20">
        <f t="shared" ca="1" si="335"/>
        <v>0</v>
      </c>
      <c r="AA670" s="1">
        <f t="shared" si="313"/>
        <v>5432.58</v>
      </c>
      <c r="AB670" s="93"/>
      <c r="AC670" s="94"/>
      <c r="AD670" s="101">
        <f t="shared" si="314"/>
        <v>60324</v>
      </c>
      <c r="AE670" s="103">
        <f t="shared" si="315"/>
        <v>0</v>
      </c>
      <c r="AG670" s="1">
        <f t="shared" si="336"/>
        <v>0</v>
      </c>
      <c r="AH670" s="1">
        <f t="shared" si="337"/>
        <v>0</v>
      </c>
      <c r="AI670" s="1">
        <f t="shared" si="316"/>
        <v>5432.58</v>
      </c>
      <c r="AJ670" s="20">
        <f t="shared" si="318"/>
        <v>0</v>
      </c>
      <c r="AK670" s="100">
        <f t="shared" si="320"/>
        <v>0</v>
      </c>
      <c r="AL670" s="100">
        <f t="shared" si="321"/>
        <v>0</v>
      </c>
      <c r="AN670" s="100">
        <f t="shared" si="322"/>
        <v>3927.5615138603657</v>
      </c>
      <c r="AO670" s="20">
        <f t="shared" si="323"/>
        <v>0</v>
      </c>
      <c r="AQ670" s="109">
        <f t="shared" si="324"/>
        <v>0</v>
      </c>
      <c r="AU670" s="109">
        <f t="shared" si="309"/>
        <v>25.580668367554551</v>
      </c>
      <c r="AV670" s="101">
        <f t="shared" si="325"/>
        <v>60354</v>
      </c>
      <c r="AW670" s="99">
        <f t="shared" si="326"/>
        <v>0</v>
      </c>
      <c r="AX670" s="1">
        <f t="shared" si="327"/>
        <v>0</v>
      </c>
      <c r="AY670" s="29">
        <f t="shared" si="328"/>
        <v>0</v>
      </c>
      <c r="AZ670" s="1">
        <f t="shared" si="310"/>
        <v>0</v>
      </c>
      <c r="CB670" s="20">
        <f t="shared" si="319"/>
        <v>0</v>
      </c>
      <c r="CC670" s="173">
        <f t="shared" si="311"/>
        <v>0</v>
      </c>
    </row>
    <row r="671" spans="10:81" x14ac:dyDescent="0.25">
      <c r="J671" s="7"/>
      <c r="K671" s="8"/>
      <c r="L671" s="16"/>
      <c r="M671" s="22"/>
      <c r="N671" s="22"/>
      <c r="O671" s="22"/>
      <c r="P671" s="22"/>
      <c r="Q671" s="1">
        <f t="shared" si="312"/>
        <v>0.60744618579017706</v>
      </c>
      <c r="R671" s="12">
        <f t="shared" ca="1" si="329"/>
        <v>19232</v>
      </c>
      <c r="S671" s="88">
        <f t="shared" si="338"/>
        <v>0</v>
      </c>
      <c r="T671" s="19">
        <f t="shared" si="330"/>
        <v>0</v>
      </c>
      <c r="U671" s="19">
        <f t="shared" si="331"/>
        <v>0</v>
      </c>
      <c r="V671" s="19">
        <f t="shared" si="317"/>
        <v>0</v>
      </c>
      <c r="W671" s="20">
        <f t="shared" ca="1" si="332"/>
        <v>0</v>
      </c>
      <c r="X671" s="19">
        <f t="shared" ca="1" si="333"/>
        <v>0</v>
      </c>
      <c r="Y671" s="19">
        <f t="shared" ca="1" si="334"/>
        <v>0</v>
      </c>
      <c r="Z671" s="20">
        <f t="shared" ca="1" si="335"/>
        <v>0</v>
      </c>
      <c r="AA671" s="1">
        <f t="shared" si="313"/>
        <v>5432.58</v>
      </c>
      <c r="AB671" s="91"/>
      <c r="AC671" s="92"/>
      <c r="AD671" s="101">
        <f t="shared" si="314"/>
        <v>60354</v>
      </c>
      <c r="AE671" s="103">
        <f t="shared" si="315"/>
        <v>0</v>
      </c>
      <c r="AG671" s="1">
        <f t="shared" si="336"/>
        <v>0</v>
      </c>
      <c r="AH671" s="1">
        <f t="shared" si="337"/>
        <v>0</v>
      </c>
      <c r="AI671" s="1">
        <f t="shared" si="316"/>
        <v>5432.58</v>
      </c>
      <c r="AJ671" s="20">
        <f t="shared" si="318"/>
        <v>0</v>
      </c>
      <c r="AK671" s="100">
        <f t="shared" si="320"/>
        <v>0</v>
      </c>
      <c r="AL671" s="100">
        <f t="shared" si="321"/>
        <v>0</v>
      </c>
      <c r="AN671" s="100">
        <f t="shared" si="322"/>
        <v>3925.5743678796953</v>
      </c>
      <c r="AO671" s="20">
        <f t="shared" si="323"/>
        <v>0</v>
      </c>
      <c r="AQ671" s="109">
        <f t="shared" si="324"/>
        <v>0</v>
      </c>
      <c r="AU671" s="109">
        <f t="shared" ref="AU671:AU734" si="339">(($AT$27/(1+((1+$AM$27)^(ROW()-29)*30)-1))/292)*0.32</f>
        <v>25.57842315041135</v>
      </c>
      <c r="AV671" s="101">
        <f t="shared" si="325"/>
        <v>60384</v>
      </c>
      <c r="AW671" s="99">
        <f t="shared" si="326"/>
        <v>0</v>
      </c>
      <c r="AX671" s="1">
        <f t="shared" si="327"/>
        <v>0</v>
      </c>
      <c r="AY671" s="29">
        <f t="shared" si="328"/>
        <v>0</v>
      </c>
      <c r="AZ671" s="1">
        <f t="shared" ref="AZ671:AZ734" si="340">AY671/360</f>
        <v>0</v>
      </c>
      <c r="CB671" s="20">
        <f t="shared" si="319"/>
        <v>0</v>
      </c>
      <c r="CC671" s="173">
        <f t="shared" ref="CC671:CC734" si="341">AJ671+U671+T671</f>
        <v>0</v>
      </c>
    </row>
    <row r="672" spans="10:81" x14ac:dyDescent="0.25">
      <c r="J672" s="9"/>
      <c r="K672" s="10"/>
      <c r="L672" s="17"/>
      <c r="M672" s="23"/>
      <c r="N672" s="23"/>
      <c r="O672" s="23"/>
      <c r="P672" s="23"/>
      <c r="Q672" s="1">
        <f t="shared" ref="Q672:Q735" si="342">IF(M672=0,Q671,(M672*1200)/O671)</f>
        <v>0.60744618579017706</v>
      </c>
      <c r="R672" s="12">
        <f t="shared" ca="1" si="329"/>
        <v>19262</v>
      </c>
      <c r="S672" s="88">
        <f t="shared" si="338"/>
        <v>0</v>
      </c>
      <c r="T672" s="19">
        <f t="shared" si="330"/>
        <v>0</v>
      </c>
      <c r="U672" s="19">
        <f t="shared" si="331"/>
        <v>0</v>
      </c>
      <c r="V672" s="19">
        <f t="shared" si="317"/>
        <v>0</v>
      </c>
      <c r="W672" s="20">
        <f t="shared" ca="1" si="332"/>
        <v>0</v>
      </c>
      <c r="X672" s="19">
        <f t="shared" ca="1" si="333"/>
        <v>0</v>
      </c>
      <c r="Y672" s="19">
        <f t="shared" ca="1" si="334"/>
        <v>0</v>
      </c>
      <c r="Z672" s="20">
        <f t="shared" ca="1" si="335"/>
        <v>0</v>
      </c>
      <c r="AA672" s="1">
        <f t="shared" ref="AA672:AA735" si="343">IF(S672=0,AA671,N672)</f>
        <v>5432.58</v>
      </c>
      <c r="AB672" s="93"/>
      <c r="AC672" s="94"/>
      <c r="AD672" s="101">
        <f t="shared" ref="AD672:AD735" si="344">IF(M672=0,AD671+30,K672)</f>
        <v>60384</v>
      </c>
      <c r="AE672" s="103">
        <f t="shared" ref="AE672:AE735" si="345">IF(V672=0,0,R672)</f>
        <v>0</v>
      </c>
      <c r="AG672" s="1">
        <f t="shared" si="336"/>
        <v>0</v>
      </c>
      <c r="AH672" s="1">
        <f t="shared" si="337"/>
        <v>0</v>
      </c>
      <c r="AI672" s="1">
        <f t="shared" ref="AI672:AI735" si="346">IF(M672-1=0,IF(M672=0,IF(V672=0,N672,AI671),AA672),AA672)</f>
        <v>5432.58</v>
      </c>
      <c r="AJ672" s="20">
        <f t="shared" si="318"/>
        <v>0</v>
      </c>
      <c r="AK672" s="100">
        <f t="shared" si="320"/>
        <v>0</v>
      </c>
      <c r="AL672" s="100">
        <f t="shared" si="321"/>
        <v>0</v>
      </c>
      <c r="AN672" s="100">
        <f t="shared" si="322"/>
        <v>3923.5882272936274</v>
      </c>
      <c r="AO672" s="20">
        <f t="shared" si="323"/>
        <v>0</v>
      </c>
      <c r="AQ672" s="109">
        <f t="shared" si="324"/>
        <v>0</v>
      </c>
      <c r="AU672" s="109">
        <f t="shared" si="339"/>
        <v>25.576178130331023</v>
      </c>
      <c r="AV672" s="101">
        <f t="shared" si="325"/>
        <v>60414</v>
      </c>
      <c r="AW672" s="99">
        <f t="shared" si="326"/>
        <v>0</v>
      </c>
      <c r="AX672" s="1">
        <f t="shared" si="327"/>
        <v>0</v>
      </c>
      <c r="AY672" s="29">
        <f t="shared" si="328"/>
        <v>0</v>
      </c>
      <c r="AZ672" s="1">
        <f t="shared" si="340"/>
        <v>0</v>
      </c>
      <c r="CB672" s="20">
        <f t="shared" si="319"/>
        <v>0</v>
      </c>
      <c r="CC672" s="173">
        <f t="shared" si="341"/>
        <v>0</v>
      </c>
    </row>
    <row r="673" spans="10:81" x14ac:dyDescent="0.25">
      <c r="J673" s="7"/>
      <c r="K673" s="8"/>
      <c r="L673" s="16"/>
      <c r="M673" s="22"/>
      <c r="N673" s="22"/>
      <c r="O673" s="22"/>
      <c r="P673" s="22"/>
      <c r="Q673" s="1">
        <f t="shared" si="342"/>
        <v>0.60744618579017706</v>
      </c>
      <c r="R673" s="12">
        <f t="shared" ca="1" si="329"/>
        <v>19292</v>
      </c>
      <c r="S673" s="88">
        <f t="shared" si="338"/>
        <v>0</v>
      </c>
      <c r="T673" s="19">
        <f t="shared" si="330"/>
        <v>0</v>
      </c>
      <c r="U673" s="19">
        <f t="shared" si="331"/>
        <v>0</v>
      </c>
      <c r="V673" s="19">
        <f t="shared" si="317"/>
        <v>0</v>
      </c>
      <c r="W673" s="20">
        <f t="shared" ca="1" si="332"/>
        <v>0</v>
      </c>
      <c r="X673" s="19">
        <f t="shared" ca="1" si="333"/>
        <v>0</v>
      </c>
      <c r="Y673" s="19">
        <f t="shared" ca="1" si="334"/>
        <v>0</v>
      </c>
      <c r="Z673" s="20">
        <f t="shared" ca="1" si="335"/>
        <v>0</v>
      </c>
      <c r="AA673" s="1">
        <f t="shared" si="343"/>
        <v>5432.58</v>
      </c>
      <c r="AB673" s="91"/>
      <c r="AC673" s="92"/>
      <c r="AD673" s="101">
        <f t="shared" si="344"/>
        <v>60414</v>
      </c>
      <c r="AE673" s="103">
        <f t="shared" si="345"/>
        <v>0</v>
      </c>
      <c r="AG673" s="1">
        <f t="shared" si="336"/>
        <v>0</v>
      </c>
      <c r="AH673" s="1">
        <f t="shared" si="337"/>
        <v>0</v>
      </c>
      <c r="AI673" s="1">
        <f t="shared" si="346"/>
        <v>5432.58</v>
      </c>
      <c r="AJ673" s="20">
        <f t="shared" si="318"/>
        <v>0</v>
      </c>
      <c r="AK673" s="100">
        <f t="shared" si="320"/>
        <v>0</v>
      </c>
      <c r="AL673" s="100">
        <f t="shared" si="321"/>
        <v>0</v>
      </c>
      <c r="AN673" s="100">
        <f t="shared" si="322"/>
        <v>3921.6030915934839</v>
      </c>
      <c r="AO673" s="20">
        <f t="shared" si="323"/>
        <v>0</v>
      </c>
      <c r="AQ673" s="109">
        <f t="shared" si="324"/>
        <v>0</v>
      </c>
      <c r="AU673" s="109">
        <f t="shared" si="339"/>
        <v>25.573933307296272</v>
      </c>
      <c r="AV673" s="101">
        <f t="shared" si="325"/>
        <v>60444</v>
      </c>
      <c r="AW673" s="99">
        <f t="shared" si="326"/>
        <v>0</v>
      </c>
      <c r="AX673" s="1">
        <f t="shared" si="327"/>
        <v>0</v>
      </c>
      <c r="AY673" s="29">
        <f t="shared" si="328"/>
        <v>0</v>
      </c>
      <c r="AZ673" s="1">
        <f t="shared" si="340"/>
        <v>0</v>
      </c>
      <c r="CB673" s="20">
        <f t="shared" si="319"/>
        <v>0</v>
      </c>
      <c r="CC673" s="173">
        <f t="shared" si="341"/>
        <v>0</v>
      </c>
    </row>
    <row r="674" spans="10:81" x14ac:dyDescent="0.25">
      <c r="J674" s="9"/>
      <c r="K674" s="10"/>
      <c r="L674" s="17"/>
      <c r="M674" s="23"/>
      <c r="N674" s="23"/>
      <c r="O674" s="23"/>
      <c r="P674" s="23"/>
      <c r="Q674" s="1">
        <f t="shared" si="342"/>
        <v>0.60744618579017706</v>
      </c>
      <c r="R674" s="12">
        <f t="shared" ca="1" si="329"/>
        <v>19322</v>
      </c>
      <c r="S674" s="88">
        <f t="shared" si="338"/>
        <v>0</v>
      </c>
      <c r="T674" s="19">
        <f t="shared" si="330"/>
        <v>0</v>
      </c>
      <c r="U674" s="19">
        <f t="shared" si="331"/>
        <v>0</v>
      </c>
      <c r="V674" s="19">
        <f t="shared" ref="V674:V737" si="347">IF(ISERROR(IF(V673+U674+T674+(V673*Q674/1200)-AA674-P674&lt;0,0,V673+U674+T674-AA674-P674)),0,IF(V673+U674+T674+(V673*Q674/1200)-AA674-CB674&lt;0,0,V673+U674+T674-AA674-CB674))</f>
        <v>0</v>
      </c>
      <c r="W674" s="20">
        <f t="shared" ca="1" si="332"/>
        <v>0</v>
      </c>
      <c r="X674" s="19">
        <f t="shared" ca="1" si="333"/>
        <v>0</v>
      </c>
      <c r="Y674" s="19">
        <f t="shared" ca="1" si="334"/>
        <v>0</v>
      </c>
      <c r="Z674" s="20">
        <f t="shared" ca="1" si="335"/>
        <v>0</v>
      </c>
      <c r="AA674" s="1">
        <f t="shared" si="343"/>
        <v>5432.58</v>
      </c>
      <c r="AB674" s="93"/>
      <c r="AC674" s="94"/>
      <c r="AD674" s="101">
        <f t="shared" si="344"/>
        <v>60444</v>
      </c>
      <c r="AE674" s="103">
        <f t="shared" si="345"/>
        <v>0</v>
      </c>
      <c r="AG674" s="1">
        <f t="shared" si="336"/>
        <v>0</v>
      </c>
      <c r="AH674" s="1">
        <f t="shared" si="337"/>
        <v>0</v>
      </c>
      <c r="AI674" s="1">
        <f t="shared" si="346"/>
        <v>5432.58</v>
      </c>
      <c r="AJ674" s="20">
        <f t="shared" si="318"/>
        <v>0</v>
      </c>
      <c r="AK674" s="100">
        <f t="shared" si="320"/>
        <v>0</v>
      </c>
      <c r="AL674" s="100">
        <f t="shared" si="321"/>
        <v>0</v>
      </c>
      <c r="AN674" s="100">
        <f t="shared" si="322"/>
        <v>3919.6189602708441</v>
      </c>
      <c r="AO674" s="20">
        <f t="shared" si="323"/>
        <v>0</v>
      </c>
      <c r="AQ674" s="109">
        <f t="shared" si="324"/>
        <v>0</v>
      </c>
      <c r="AU674" s="109">
        <f t="shared" si="339"/>
        <v>25.57168868128981</v>
      </c>
      <c r="AV674" s="101">
        <f t="shared" si="325"/>
        <v>60474</v>
      </c>
      <c r="AW674" s="99">
        <f t="shared" si="326"/>
        <v>0</v>
      </c>
      <c r="AX674" s="1">
        <f t="shared" si="327"/>
        <v>0</v>
      </c>
      <c r="AY674" s="29">
        <f t="shared" si="328"/>
        <v>0</v>
      </c>
      <c r="AZ674" s="1">
        <f t="shared" si="340"/>
        <v>0</v>
      </c>
      <c r="CB674" s="20">
        <f t="shared" si="319"/>
        <v>0</v>
      </c>
      <c r="CC674" s="173">
        <f t="shared" si="341"/>
        <v>0</v>
      </c>
    </row>
    <row r="675" spans="10:81" x14ac:dyDescent="0.25">
      <c r="J675" s="7"/>
      <c r="K675" s="8"/>
      <c r="L675" s="16"/>
      <c r="M675" s="22"/>
      <c r="N675" s="22"/>
      <c r="O675" s="22"/>
      <c r="P675" s="22"/>
      <c r="Q675" s="1">
        <f t="shared" si="342"/>
        <v>0.60744618579017706</v>
      </c>
      <c r="R675" s="12">
        <f t="shared" ca="1" si="329"/>
        <v>19352</v>
      </c>
      <c r="S675" s="88">
        <f t="shared" si="338"/>
        <v>0</v>
      </c>
      <c r="T675" s="19">
        <f t="shared" si="330"/>
        <v>0</v>
      </c>
      <c r="U675" s="19">
        <f t="shared" si="331"/>
        <v>0</v>
      </c>
      <c r="V675" s="19">
        <f t="shared" si="347"/>
        <v>0</v>
      </c>
      <c r="W675" s="20">
        <f t="shared" ca="1" si="332"/>
        <v>0</v>
      </c>
      <c r="X675" s="19">
        <f t="shared" ca="1" si="333"/>
        <v>0</v>
      </c>
      <c r="Y675" s="19">
        <f t="shared" ca="1" si="334"/>
        <v>0</v>
      </c>
      <c r="Z675" s="20">
        <f t="shared" ca="1" si="335"/>
        <v>0</v>
      </c>
      <c r="AA675" s="1">
        <f t="shared" si="343"/>
        <v>5432.58</v>
      </c>
      <c r="AB675" s="91"/>
      <c r="AC675" s="92"/>
      <c r="AD675" s="101">
        <f t="shared" si="344"/>
        <v>60474</v>
      </c>
      <c r="AE675" s="103">
        <f t="shared" si="345"/>
        <v>0</v>
      </c>
      <c r="AG675" s="1">
        <f t="shared" si="336"/>
        <v>0</v>
      </c>
      <c r="AH675" s="1">
        <f t="shared" si="337"/>
        <v>0</v>
      </c>
      <c r="AI675" s="1">
        <f t="shared" si="346"/>
        <v>5432.58</v>
      </c>
      <c r="AJ675" s="20">
        <f t="shared" si="318"/>
        <v>0</v>
      </c>
      <c r="AK675" s="100">
        <f t="shared" si="320"/>
        <v>0</v>
      </c>
      <c r="AL675" s="100">
        <f t="shared" si="321"/>
        <v>0</v>
      </c>
      <c r="AN675" s="100">
        <f t="shared" si="322"/>
        <v>3917.6358328175434</v>
      </c>
      <c r="AO675" s="20">
        <f t="shared" si="323"/>
        <v>0</v>
      </c>
      <c r="AQ675" s="109">
        <f t="shared" si="324"/>
        <v>0</v>
      </c>
      <c r="AU675" s="109">
        <f t="shared" si="339"/>
        <v>25.569444252294325</v>
      </c>
      <c r="AV675" s="101">
        <f t="shared" si="325"/>
        <v>60504</v>
      </c>
      <c r="AW675" s="99">
        <f t="shared" si="326"/>
        <v>0</v>
      </c>
      <c r="AX675" s="1">
        <f t="shared" si="327"/>
        <v>0</v>
      </c>
      <c r="AY675" s="29">
        <f t="shared" si="328"/>
        <v>0</v>
      </c>
      <c r="AZ675" s="1">
        <f t="shared" si="340"/>
        <v>0</v>
      </c>
      <c r="CB675" s="20">
        <f t="shared" si="319"/>
        <v>0</v>
      </c>
      <c r="CC675" s="173">
        <f t="shared" si="341"/>
        <v>0</v>
      </c>
    </row>
    <row r="676" spans="10:81" x14ac:dyDescent="0.25">
      <c r="J676" s="9"/>
      <c r="K676" s="10"/>
      <c r="L676" s="17"/>
      <c r="M676" s="23"/>
      <c r="N676" s="23"/>
      <c r="O676" s="23"/>
      <c r="P676" s="23"/>
      <c r="Q676" s="1">
        <f t="shared" si="342"/>
        <v>0.60744618579017706</v>
      </c>
      <c r="R676" s="12">
        <f t="shared" ca="1" si="329"/>
        <v>19382</v>
      </c>
      <c r="S676" s="88">
        <f t="shared" si="338"/>
        <v>0</v>
      </c>
      <c r="T676" s="19">
        <f t="shared" si="330"/>
        <v>0</v>
      </c>
      <c r="U676" s="19">
        <f t="shared" si="331"/>
        <v>0</v>
      </c>
      <c r="V676" s="19">
        <f t="shared" si="347"/>
        <v>0</v>
      </c>
      <c r="W676" s="20">
        <f t="shared" ca="1" si="332"/>
        <v>0</v>
      </c>
      <c r="X676" s="19">
        <f t="shared" ca="1" si="333"/>
        <v>0</v>
      </c>
      <c r="Y676" s="19">
        <f t="shared" ca="1" si="334"/>
        <v>0</v>
      </c>
      <c r="Z676" s="20">
        <f t="shared" ca="1" si="335"/>
        <v>0</v>
      </c>
      <c r="AA676" s="1">
        <f t="shared" si="343"/>
        <v>5432.58</v>
      </c>
      <c r="AB676" s="93"/>
      <c r="AC676" s="94"/>
      <c r="AD676" s="101">
        <f t="shared" si="344"/>
        <v>60504</v>
      </c>
      <c r="AE676" s="103">
        <f t="shared" si="345"/>
        <v>0</v>
      </c>
      <c r="AG676" s="1">
        <f t="shared" si="336"/>
        <v>0</v>
      </c>
      <c r="AH676" s="1">
        <f t="shared" si="337"/>
        <v>0</v>
      </c>
      <c r="AI676" s="1">
        <f t="shared" si="346"/>
        <v>5432.58</v>
      </c>
      <c r="AJ676" s="20">
        <f t="shared" si="318"/>
        <v>0</v>
      </c>
      <c r="AK676" s="100">
        <f t="shared" si="320"/>
        <v>0</v>
      </c>
      <c r="AL676" s="100">
        <f t="shared" si="321"/>
        <v>0</v>
      </c>
      <c r="AN676" s="100">
        <f t="shared" si="322"/>
        <v>3915.6537087256756</v>
      </c>
      <c r="AO676" s="20">
        <f t="shared" si="323"/>
        <v>0</v>
      </c>
      <c r="AQ676" s="109">
        <f t="shared" si="324"/>
        <v>0</v>
      </c>
      <c r="AU676" s="109">
        <f t="shared" si="339"/>
        <v>25.567200020292553</v>
      </c>
      <c r="AV676" s="101">
        <f t="shared" si="325"/>
        <v>60534</v>
      </c>
      <c r="AW676" s="99">
        <f t="shared" si="326"/>
        <v>0</v>
      </c>
      <c r="AX676" s="1">
        <f t="shared" si="327"/>
        <v>0</v>
      </c>
      <c r="AY676" s="29">
        <f t="shared" si="328"/>
        <v>0</v>
      </c>
      <c r="AZ676" s="1">
        <f t="shared" si="340"/>
        <v>0</v>
      </c>
      <c r="CB676" s="20">
        <f t="shared" si="319"/>
        <v>0</v>
      </c>
      <c r="CC676" s="173">
        <f t="shared" si="341"/>
        <v>0</v>
      </c>
    </row>
    <row r="677" spans="10:81" x14ac:dyDescent="0.25">
      <c r="J677" s="7"/>
      <c r="K677" s="8"/>
      <c r="L677" s="16"/>
      <c r="M677" s="22"/>
      <c r="N677" s="22"/>
      <c r="O677" s="22"/>
      <c r="P677" s="22"/>
      <c r="Q677" s="1">
        <f t="shared" si="342"/>
        <v>0.60744618579017706</v>
      </c>
      <c r="R677" s="12">
        <f t="shared" ca="1" si="329"/>
        <v>19412</v>
      </c>
      <c r="S677" s="88">
        <f t="shared" si="338"/>
        <v>0</v>
      </c>
      <c r="T677" s="19">
        <f t="shared" si="330"/>
        <v>0</v>
      </c>
      <c r="U677" s="19">
        <f t="shared" si="331"/>
        <v>0</v>
      </c>
      <c r="V677" s="19">
        <f t="shared" si="347"/>
        <v>0</v>
      </c>
      <c r="W677" s="20">
        <f t="shared" ca="1" si="332"/>
        <v>0</v>
      </c>
      <c r="X677" s="19">
        <f t="shared" ca="1" si="333"/>
        <v>0</v>
      </c>
      <c r="Y677" s="19">
        <f t="shared" ca="1" si="334"/>
        <v>0</v>
      </c>
      <c r="Z677" s="20">
        <f t="shared" ca="1" si="335"/>
        <v>0</v>
      </c>
      <c r="AA677" s="1">
        <f t="shared" si="343"/>
        <v>5432.58</v>
      </c>
      <c r="AB677" s="91"/>
      <c r="AC677" s="92"/>
      <c r="AD677" s="101">
        <f t="shared" si="344"/>
        <v>60534</v>
      </c>
      <c r="AE677" s="103">
        <f t="shared" si="345"/>
        <v>0</v>
      </c>
      <c r="AG677" s="1">
        <f t="shared" si="336"/>
        <v>0</v>
      </c>
      <c r="AH677" s="1">
        <f t="shared" si="337"/>
        <v>0</v>
      </c>
      <c r="AI677" s="1">
        <f t="shared" si="346"/>
        <v>5432.58</v>
      </c>
      <c r="AJ677" s="20">
        <f t="shared" si="318"/>
        <v>0</v>
      </c>
      <c r="AK677" s="100">
        <f t="shared" si="320"/>
        <v>0</v>
      </c>
      <c r="AL677" s="100">
        <f t="shared" si="321"/>
        <v>0</v>
      </c>
      <c r="AN677" s="100">
        <f t="shared" si="322"/>
        <v>3913.672587487592</v>
      </c>
      <c r="AO677" s="20">
        <f t="shared" si="323"/>
        <v>0</v>
      </c>
      <c r="AQ677" s="109">
        <f t="shared" si="324"/>
        <v>0</v>
      </c>
      <c r="AU677" s="109">
        <f t="shared" si="339"/>
        <v>25.564955985267183</v>
      </c>
      <c r="AV677" s="101">
        <f t="shared" si="325"/>
        <v>60564</v>
      </c>
      <c r="AW677" s="99">
        <f t="shared" si="326"/>
        <v>0</v>
      </c>
      <c r="AX677" s="1">
        <f t="shared" si="327"/>
        <v>0</v>
      </c>
      <c r="AY677" s="29">
        <f t="shared" si="328"/>
        <v>0</v>
      </c>
      <c r="AZ677" s="1">
        <f t="shared" si="340"/>
        <v>0</v>
      </c>
      <c r="CB677" s="20">
        <f t="shared" si="319"/>
        <v>0</v>
      </c>
      <c r="CC677" s="173">
        <f t="shared" si="341"/>
        <v>0</v>
      </c>
    </row>
    <row r="678" spans="10:81" x14ac:dyDescent="0.25">
      <c r="J678" s="9"/>
      <c r="K678" s="10"/>
      <c r="L678" s="17"/>
      <c r="M678" s="23"/>
      <c r="N678" s="23"/>
      <c r="O678" s="23"/>
      <c r="P678" s="23"/>
      <c r="Q678" s="1">
        <f t="shared" si="342"/>
        <v>0.60744618579017706</v>
      </c>
      <c r="R678" s="12">
        <f t="shared" ca="1" si="329"/>
        <v>19442</v>
      </c>
      <c r="S678" s="88">
        <f t="shared" si="338"/>
        <v>0</v>
      </c>
      <c r="T678" s="19">
        <f t="shared" si="330"/>
        <v>0</v>
      </c>
      <c r="U678" s="19">
        <f t="shared" si="331"/>
        <v>0</v>
      </c>
      <c r="V678" s="19">
        <f t="shared" si="347"/>
        <v>0</v>
      </c>
      <c r="W678" s="20">
        <f t="shared" ca="1" si="332"/>
        <v>0</v>
      </c>
      <c r="X678" s="19">
        <f t="shared" ca="1" si="333"/>
        <v>0</v>
      </c>
      <c r="Y678" s="19">
        <f t="shared" ca="1" si="334"/>
        <v>0</v>
      </c>
      <c r="Z678" s="20">
        <f t="shared" ca="1" si="335"/>
        <v>0</v>
      </c>
      <c r="AA678" s="1">
        <f t="shared" si="343"/>
        <v>5432.58</v>
      </c>
      <c r="AB678" s="93"/>
      <c r="AC678" s="94"/>
      <c r="AD678" s="101">
        <f t="shared" si="344"/>
        <v>60564</v>
      </c>
      <c r="AE678" s="103">
        <f t="shared" si="345"/>
        <v>0</v>
      </c>
      <c r="AG678" s="1">
        <f t="shared" si="336"/>
        <v>0</v>
      </c>
      <c r="AH678" s="1">
        <f t="shared" si="337"/>
        <v>0</v>
      </c>
      <c r="AI678" s="1">
        <f t="shared" si="346"/>
        <v>5432.58</v>
      </c>
      <c r="AJ678" s="20">
        <f t="shared" si="318"/>
        <v>0</v>
      </c>
      <c r="AK678" s="100">
        <f t="shared" si="320"/>
        <v>0</v>
      </c>
      <c r="AL678" s="100">
        <f t="shared" si="321"/>
        <v>0</v>
      </c>
      <c r="AN678" s="100">
        <f t="shared" si="322"/>
        <v>3911.692468595897</v>
      </c>
      <c r="AO678" s="20">
        <f t="shared" si="323"/>
        <v>0</v>
      </c>
      <c r="AQ678" s="109">
        <f t="shared" si="324"/>
        <v>0</v>
      </c>
      <c r="AU678" s="109">
        <f t="shared" si="339"/>
        <v>25.562712147200926</v>
      </c>
      <c r="AV678" s="101">
        <f t="shared" si="325"/>
        <v>60594</v>
      </c>
      <c r="AW678" s="99">
        <f t="shared" si="326"/>
        <v>0</v>
      </c>
      <c r="AX678" s="1">
        <f t="shared" si="327"/>
        <v>0</v>
      </c>
      <c r="AY678" s="29">
        <f t="shared" si="328"/>
        <v>0</v>
      </c>
      <c r="AZ678" s="1">
        <f t="shared" si="340"/>
        <v>0</v>
      </c>
      <c r="CB678" s="20">
        <f t="shared" si="319"/>
        <v>0</v>
      </c>
      <c r="CC678" s="173">
        <f t="shared" si="341"/>
        <v>0</v>
      </c>
    </row>
    <row r="679" spans="10:81" x14ac:dyDescent="0.25">
      <c r="J679" s="7"/>
      <c r="K679" s="8"/>
      <c r="L679" s="16"/>
      <c r="M679" s="22"/>
      <c r="N679" s="22"/>
      <c r="O679" s="22"/>
      <c r="P679" s="22"/>
      <c r="Q679" s="1">
        <f t="shared" si="342"/>
        <v>0.60744618579017706</v>
      </c>
      <c r="R679" s="12">
        <f t="shared" ca="1" si="329"/>
        <v>19472</v>
      </c>
      <c r="S679" s="88">
        <f t="shared" si="338"/>
        <v>0</v>
      </c>
      <c r="T679" s="19">
        <f t="shared" si="330"/>
        <v>0</v>
      </c>
      <c r="U679" s="19">
        <f t="shared" si="331"/>
        <v>0</v>
      </c>
      <c r="V679" s="19">
        <f t="shared" si="347"/>
        <v>0</v>
      </c>
      <c r="W679" s="20">
        <f t="shared" ca="1" si="332"/>
        <v>0</v>
      </c>
      <c r="X679" s="19">
        <f t="shared" ca="1" si="333"/>
        <v>0</v>
      </c>
      <c r="Y679" s="19">
        <f t="shared" ca="1" si="334"/>
        <v>0</v>
      </c>
      <c r="Z679" s="20">
        <f t="shared" ca="1" si="335"/>
        <v>0</v>
      </c>
      <c r="AA679" s="1">
        <f t="shared" si="343"/>
        <v>5432.58</v>
      </c>
      <c r="AB679" s="91"/>
      <c r="AC679" s="92"/>
      <c r="AD679" s="101">
        <f t="shared" si="344"/>
        <v>60594</v>
      </c>
      <c r="AE679" s="103">
        <f t="shared" si="345"/>
        <v>0</v>
      </c>
      <c r="AG679" s="1">
        <f t="shared" si="336"/>
        <v>0</v>
      </c>
      <c r="AH679" s="1">
        <f t="shared" si="337"/>
        <v>0</v>
      </c>
      <c r="AI679" s="1">
        <f t="shared" si="346"/>
        <v>5432.58</v>
      </c>
      <c r="AJ679" s="20">
        <f t="shared" si="318"/>
        <v>0</v>
      </c>
      <c r="AK679" s="100">
        <f t="shared" si="320"/>
        <v>0</v>
      </c>
      <c r="AL679" s="100">
        <f t="shared" si="321"/>
        <v>0</v>
      </c>
      <c r="AN679" s="100">
        <f t="shared" si="322"/>
        <v>3909.7133515434562</v>
      </c>
      <c r="AO679" s="20">
        <f t="shared" si="323"/>
        <v>0</v>
      </c>
      <c r="AQ679" s="109">
        <f t="shared" si="324"/>
        <v>0</v>
      </c>
      <c r="AU679" s="109">
        <f t="shared" si="339"/>
        <v>25.560468506076514</v>
      </c>
      <c r="AV679" s="101">
        <f t="shared" si="325"/>
        <v>60624</v>
      </c>
      <c r="AW679" s="99">
        <f t="shared" si="326"/>
        <v>0</v>
      </c>
      <c r="AX679" s="1">
        <f t="shared" si="327"/>
        <v>0</v>
      </c>
      <c r="AY679" s="29">
        <f t="shared" si="328"/>
        <v>0</v>
      </c>
      <c r="AZ679" s="1">
        <f t="shared" si="340"/>
        <v>0</v>
      </c>
      <c r="CB679" s="20">
        <f t="shared" si="319"/>
        <v>0</v>
      </c>
      <c r="CC679" s="173">
        <f t="shared" si="341"/>
        <v>0</v>
      </c>
    </row>
    <row r="680" spans="10:81" x14ac:dyDescent="0.25">
      <c r="J680" s="9"/>
      <c r="K680" s="10"/>
      <c r="L680" s="17"/>
      <c r="M680" s="23"/>
      <c r="N680" s="23"/>
      <c r="O680" s="23"/>
      <c r="P680" s="23"/>
      <c r="Q680" s="1">
        <f t="shared" si="342"/>
        <v>0.60744618579017706</v>
      </c>
      <c r="R680" s="12">
        <f t="shared" ca="1" si="329"/>
        <v>19502</v>
      </c>
      <c r="S680" s="88">
        <f t="shared" si="338"/>
        <v>0</v>
      </c>
      <c r="T680" s="19">
        <f t="shared" si="330"/>
        <v>0</v>
      </c>
      <c r="U680" s="19">
        <f t="shared" si="331"/>
        <v>0</v>
      </c>
      <c r="V680" s="19">
        <f t="shared" si="347"/>
        <v>0</v>
      </c>
      <c r="W680" s="20">
        <f t="shared" ca="1" si="332"/>
        <v>0</v>
      </c>
      <c r="X680" s="19">
        <f t="shared" ca="1" si="333"/>
        <v>0</v>
      </c>
      <c r="Y680" s="19">
        <f t="shared" ca="1" si="334"/>
        <v>0</v>
      </c>
      <c r="Z680" s="20">
        <f t="shared" ca="1" si="335"/>
        <v>0</v>
      </c>
      <c r="AA680" s="1">
        <f t="shared" si="343"/>
        <v>5432.58</v>
      </c>
      <c r="AB680" s="93"/>
      <c r="AC680" s="94"/>
      <c r="AD680" s="101">
        <f t="shared" si="344"/>
        <v>60624</v>
      </c>
      <c r="AE680" s="103">
        <f t="shared" si="345"/>
        <v>0</v>
      </c>
      <c r="AG680" s="1">
        <f t="shared" si="336"/>
        <v>0</v>
      </c>
      <c r="AH680" s="1">
        <f t="shared" si="337"/>
        <v>0</v>
      </c>
      <c r="AI680" s="1">
        <f t="shared" si="346"/>
        <v>5432.58</v>
      </c>
      <c r="AJ680" s="20">
        <f t="shared" ref="AJ680:AJ743" si="348">IF(ISERROR(IF(V679+U680+T680+(V679*Q680/1200)-AA680-P680&lt;0,V679,-(U680+T680-AA680+P680-AH680))),0,IF(V679+U680+T680+(V679*Q680/1200)-AA680-P680&lt;0,0,-(U680+T680-AA680-AH680)))</f>
        <v>0</v>
      </c>
      <c r="AK680" s="100">
        <f t="shared" si="320"/>
        <v>0</v>
      </c>
      <c r="AL680" s="100">
        <f t="shared" si="321"/>
        <v>0</v>
      </c>
      <c r="AN680" s="100">
        <f t="shared" si="322"/>
        <v>3907.7352358233911</v>
      </c>
      <c r="AO680" s="20">
        <f t="shared" si="323"/>
        <v>0</v>
      </c>
      <c r="AQ680" s="109">
        <f t="shared" si="324"/>
        <v>0</v>
      </c>
      <c r="AU680" s="109">
        <f t="shared" si="339"/>
        <v>25.558225061876634</v>
      </c>
      <c r="AV680" s="101">
        <f t="shared" si="325"/>
        <v>60654</v>
      </c>
      <c r="AW680" s="99">
        <f t="shared" si="326"/>
        <v>0</v>
      </c>
      <c r="AX680" s="1">
        <f t="shared" si="327"/>
        <v>0</v>
      </c>
      <c r="AY680" s="29">
        <f t="shared" si="328"/>
        <v>0</v>
      </c>
      <c r="AZ680" s="1">
        <f t="shared" si="340"/>
        <v>0</v>
      </c>
      <c r="CB680" s="20">
        <f t="shared" si="319"/>
        <v>0</v>
      </c>
      <c r="CC680" s="173">
        <f t="shared" si="341"/>
        <v>0</v>
      </c>
    </row>
    <row r="681" spans="10:81" x14ac:dyDescent="0.25">
      <c r="J681" s="7"/>
      <c r="K681" s="8"/>
      <c r="L681" s="16"/>
      <c r="M681" s="22"/>
      <c r="N681" s="22"/>
      <c r="O681" s="22"/>
      <c r="P681" s="22"/>
      <c r="Q681" s="1">
        <f t="shared" si="342"/>
        <v>0.60744618579017706</v>
      </c>
      <c r="R681" s="12">
        <f t="shared" ca="1" si="329"/>
        <v>19532</v>
      </c>
      <c r="S681" s="88">
        <f t="shared" si="338"/>
        <v>0</v>
      </c>
      <c r="T681" s="19">
        <f t="shared" si="330"/>
        <v>0</v>
      </c>
      <c r="U681" s="19">
        <f t="shared" si="331"/>
        <v>0</v>
      </c>
      <c r="V681" s="19">
        <f t="shared" si="347"/>
        <v>0</v>
      </c>
      <c r="W681" s="20">
        <f t="shared" ca="1" si="332"/>
        <v>0</v>
      </c>
      <c r="X681" s="19">
        <f t="shared" ca="1" si="333"/>
        <v>0</v>
      </c>
      <c r="Y681" s="19">
        <f t="shared" ca="1" si="334"/>
        <v>0</v>
      </c>
      <c r="Z681" s="20">
        <f t="shared" ca="1" si="335"/>
        <v>0</v>
      </c>
      <c r="AA681" s="1">
        <f t="shared" si="343"/>
        <v>5432.58</v>
      </c>
      <c r="AB681" s="91"/>
      <c r="AC681" s="92"/>
      <c r="AD681" s="101">
        <f t="shared" si="344"/>
        <v>60654</v>
      </c>
      <c r="AE681" s="103">
        <f t="shared" si="345"/>
        <v>0</v>
      </c>
      <c r="AG681" s="1">
        <f t="shared" si="336"/>
        <v>0</v>
      </c>
      <c r="AH681" s="1">
        <f t="shared" si="337"/>
        <v>0</v>
      </c>
      <c r="AI681" s="1">
        <f t="shared" si="346"/>
        <v>5432.58</v>
      </c>
      <c r="AJ681" s="20">
        <f t="shared" si="348"/>
        <v>0</v>
      </c>
      <c r="AK681" s="100">
        <f t="shared" si="320"/>
        <v>0</v>
      </c>
      <c r="AL681" s="100">
        <f t="shared" si="321"/>
        <v>0</v>
      </c>
      <c r="AN681" s="100">
        <f t="shared" si="322"/>
        <v>3905.7581209290761</v>
      </c>
      <c r="AO681" s="20">
        <f t="shared" si="323"/>
        <v>0</v>
      </c>
      <c r="AQ681" s="109">
        <f t="shared" si="324"/>
        <v>0</v>
      </c>
      <c r="AU681" s="109">
        <f t="shared" si="339"/>
        <v>25.555981814584026</v>
      </c>
      <c r="AV681" s="101">
        <f t="shared" si="325"/>
        <v>60684</v>
      </c>
      <c r="AW681" s="99">
        <f t="shared" si="326"/>
        <v>0</v>
      </c>
      <c r="AX681" s="1">
        <f t="shared" si="327"/>
        <v>0</v>
      </c>
      <c r="AY681" s="29">
        <f t="shared" si="328"/>
        <v>0</v>
      </c>
      <c r="AZ681" s="1">
        <f t="shared" si="340"/>
        <v>0</v>
      </c>
      <c r="CB681" s="20">
        <f t="shared" si="319"/>
        <v>0</v>
      </c>
      <c r="CC681" s="173">
        <f t="shared" si="341"/>
        <v>0</v>
      </c>
    </row>
    <row r="682" spans="10:81" x14ac:dyDescent="0.25">
      <c r="J682" s="9"/>
      <c r="K682" s="10"/>
      <c r="L682" s="17"/>
      <c r="M682" s="23"/>
      <c r="N682" s="23"/>
      <c r="O682" s="23"/>
      <c r="P682" s="23"/>
      <c r="Q682" s="1">
        <f t="shared" si="342"/>
        <v>0.60744618579017706</v>
      </c>
      <c r="R682" s="12">
        <f t="shared" ca="1" si="329"/>
        <v>19562</v>
      </c>
      <c r="S682" s="88">
        <f t="shared" si="338"/>
        <v>0</v>
      </c>
      <c r="T682" s="19">
        <f t="shared" si="330"/>
        <v>0</v>
      </c>
      <c r="U682" s="19">
        <f t="shared" si="331"/>
        <v>0</v>
      </c>
      <c r="V682" s="19">
        <f t="shared" si="347"/>
        <v>0</v>
      </c>
      <c r="W682" s="20">
        <f t="shared" ca="1" si="332"/>
        <v>0</v>
      </c>
      <c r="X682" s="19">
        <f t="shared" ca="1" si="333"/>
        <v>0</v>
      </c>
      <c r="Y682" s="19">
        <f t="shared" ca="1" si="334"/>
        <v>0</v>
      </c>
      <c r="Z682" s="20">
        <f t="shared" ca="1" si="335"/>
        <v>0</v>
      </c>
      <c r="AA682" s="1">
        <f t="shared" si="343"/>
        <v>5432.58</v>
      </c>
      <c r="AB682" s="93"/>
      <c r="AC682" s="94"/>
      <c r="AD682" s="101">
        <f t="shared" si="344"/>
        <v>60684</v>
      </c>
      <c r="AE682" s="103">
        <f t="shared" si="345"/>
        <v>0</v>
      </c>
      <c r="AG682" s="1">
        <f t="shared" si="336"/>
        <v>0</v>
      </c>
      <c r="AH682" s="1">
        <f t="shared" si="337"/>
        <v>0</v>
      </c>
      <c r="AI682" s="1">
        <f t="shared" si="346"/>
        <v>5432.58</v>
      </c>
      <c r="AJ682" s="20">
        <f t="shared" si="348"/>
        <v>0</v>
      </c>
      <c r="AK682" s="100">
        <f t="shared" si="320"/>
        <v>0</v>
      </c>
      <c r="AL682" s="100">
        <f t="shared" si="321"/>
        <v>0</v>
      </c>
      <c r="AN682" s="100">
        <f t="shared" si="322"/>
        <v>3903.7820063541449</v>
      </c>
      <c r="AO682" s="20">
        <f t="shared" si="323"/>
        <v>0</v>
      </c>
      <c r="AQ682" s="109">
        <f t="shared" si="324"/>
        <v>0</v>
      </c>
      <c r="AU682" s="109">
        <f t="shared" si="339"/>
        <v>25.5537387641814</v>
      </c>
      <c r="AV682" s="101">
        <f t="shared" si="325"/>
        <v>60714</v>
      </c>
      <c r="AW682" s="99">
        <f t="shared" si="326"/>
        <v>0</v>
      </c>
      <c r="AX682" s="1">
        <f t="shared" si="327"/>
        <v>0</v>
      </c>
      <c r="AY682" s="29">
        <f t="shared" si="328"/>
        <v>0</v>
      </c>
      <c r="AZ682" s="1">
        <f t="shared" si="340"/>
        <v>0</v>
      </c>
      <c r="CB682" s="20">
        <f t="shared" si="319"/>
        <v>0</v>
      </c>
      <c r="CC682" s="173">
        <f t="shared" si="341"/>
        <v>0</v>
      </c>
    </row>
    <row r="683" spans="10:81" x14ac:dyDescent="0.25">
      <c r="J683" s="7"/>
      <c r="K683" s="8"/>
      <c r="L683" s="16"/>
      <c r="M683" s="22"/>
      <c r="N683" s="22"/>
      <c r="O683" s="22"/>
      <c r="P683" s="22"/>
      <c r="Q683" s="1">
        <f t="shared" si="342"/>
        <v>0.60744618579017706</v>
      </c>
      <c r="R683" s="12">
        <f t="shared" ca="1" si="329"/>
        <v>19592</v>
      </c>
      <c r="S683" s="88">
        <f t="shared" si="338"/>
        <v>0</v>
      </c>
      <c r="T683" s="19">
        <f t="shared" si="330"/>
        <v>0</v>
      </c>
      <c r="U683" s="19">
        <f t="shared" si="331"/>
        <v>0</v>
      </c>
      <c r="V683" s="19">
        <f t="shared" si="347"/>
        <v>0</v>
      </c>
      <c r="W683" s="20">
        <f t="shared" ca="1" si="332"/>
        <v>0</v>
      </c>
      <c r="X683" s="19">
        <f t="shared" ca="1" si="333"/>
        <v>0</v>
      </c>
      <c r="Y683" s="19">
        <f t="shared" ca="1" si="334"/>
        <v>0</v>
      </c>
      <c r="Z683" s="20">
        <f t="shared" ca="1" si="335"/>
        <v>0</v>
      </c>
      <c r="AA683" s="1">
        <f t="shared" si="343"/>
        <v>5432.58</v>
      </c>
      <c r="AB683" s="91"/>
      <c r="AC683" s="92"/>
      <c r="AD683" s="101">
        <f t="shared" si="344"/>
        <v>60714</v>
      </c>
      <c r="AE683" s="103">
        <f t="shared" si="345"/>
        <v>0</v>
      </c>
      <c r="AG683" s="1">
        <f t="shared" si="336"/>
        <v>0</v>
      </c>
      <c r="AH683" s="1">
        <f t="shared" si="337"/>
        <v>0</v>
      </c>
      <c r="AI683" s="1">
        <f t="shared" si="346"/>
        <v>5432.58</v>
      </c>
      <c r="AJ683" s="20">
        <f t="shared" si="348"/>
        <v>0</v>
      </c>
      <c r="AK683" s="100">
        <f t="shared" si="320"/>
        <v>0</v>
      </c>
      <c r="AL683" s="100">
        <f t="shared" si="321"/>
        <v>0</v>
      </c>
      <c r="AN683" s="100">
        <f t="shared" si="322"/>
        <v>3901.8068915924882</v>
      </c>
      <c r="AO683" s="20">
        <f t="shared" si="323"/>
        <v>0</v>
      </c>
      <c r="AQ683" s="109">
        <f t="shared" si="324"/>
        <v>0</v>
      </c>
      <c r="AU683" s="109">
        <f t="shared" si="339"/>
        <v>25.551495910651465</v>
      </c>
      <c r="AV683" s="101">
        <f t="shared" si="325"/>
        <v>60744</v>
      </c>
      <c r="AW683" s="99">
        <f t="shared" si="326"/>
        <v>0</v>
      </c>
      <c r="AX683" s="1">
        <f t="shared" si="327"/>
        <v>0</v>
      </c>
      <c r="AY683" s="29">
        <f t="shared" si="328"/>
        <v>0</v>
      </c>
      <c r="AZ683" s="1">
        <f t="shared" si="340"/>
        <v>0</v>
      </c>
      <c r="CB683" s="20">
        <f t="shared" si="319"/>
        <v>0</v>
      </c>
      <c r="CC683" s="173">
        <f t="shared" si="341"/>
        <v>0</v>
      </c>
    </row>
    <row r="684" spans="10:81" x14ac:dyDescent="0.25">
      <c r="J684" s="9"/>
      <c r="K684" s="10"/>
      <c r="L684" s="17"/>
      <c r="M684" s="23"/>
      <c r="N684" s="23"/>
      <c r="O684" s="23"/>
      <c r="P684" s="23"/>
      <c r="Q684" s="1">
        <f t="shared" si="342"/>
        <v>0.60744618579017706</v>
      </c>
      <c r="R684" s="12">
        <f t="shared" ca="1" si="329"/>
        <v>19622</v>
      </c>
      <c r="S684" s="88">
        <f t="shared" si="338"/>
        <v>0</v>
      </c>
      <c r="T684" s="19">
        <f t="shared" si="330"/>
        <v>0</v>
      </c>
      <c r="U684" s="19">
        <f t="shared" si="331"/>
        <v>0</v>
      </c>
      <c r="V684" s="19">
        <f t="shared" si="347"/>
        <v>0</v>
      </c>
      <c r="W684" s="20">
        <f t="shared" ca="1" si="332"/>
        <v>0</v>
      </c>
      <c r="X684" s="19">
        <f t="shared" ca="1" si="333"/>
        <v>0</v>
      </c>
      <c r="Y684" s="19">
        <f t="shared" ca="1" si="334"/>
        <v>0</v>
      </c>
      <c r="Z684" s="20">
        <f t="shared" ca="1" si="335"/>
        <v>0</v>
      </c>
      <c r="AA684" s="1">
        <f t="shared" si="343"/>
        <v>5432.58</v>
      </c>
      <c r="AB684" s="93"/>
      <c r="AC684" s="94"/>
      <c r="AD684" s="101">
        <f t="shared" si="344"/>
        <v>60744</v>
      </c>
      <c r="AE684" s="103">
        <f t="shared" si="345"/>
        <v>0</v>
      </c>
      <c r="AG684" s="1">
        <f t="shared" si="336"/>
        <v>0</v>
      </c>
      <c r="AH684" s="1">
        <f t="shared" si="337"/>
        <v>0</v>
      </c>
      <c r="AI684" s="1">
        <f t="shared" si="346"/>
        <v>5432.58</v>
      </c>
      <c r="AJ684" s="20">
        <f t="shared" si="348"/>
        <v>0</v>
      </c>
      <c r="AK684" s="100">
        <f t="shared" si="320"/>
        <v>0</v>
      </c>
      <c r="AL684" s="100">
        <f t="shared" si="321"/>
        <v>0</v>
      </c>
      <c r="AN684" s="100">
        <f t="shared" si="322"/>
        <v>3899.8327761382507</v>
      </c>
      <c r="AO684" s="20">
        <f t="shared" si="323"/>
        <v>0</v>
      </c>
      <c r="AQ684" s="109">
        <f t="shared" si="324"/>
        <v>0</v>
      </c>
      <c r="AU684" s="109">
        <f t="shared" si="339"/>
        <v>25.54925325397695</v>
      </c>
      <c r="AV684" s="101">
        <f t="shared" si="325"/>
        <v>60774</v>
      </c>
      <c r="AW684" s="99">
        <f t="shared" si="326"/>
        <v>0</v>
      </c>
      <c r="AX684" s="1">
        <f t="shared" si="327"/>
        <v>0</v>
      </c>
      <c r="AY684" s="29">
        <f t="shared" si="328"/>
        <v>0</v>
      </c>
      <c r="AZ684" s="1">
        <f t="shared" si="340"/>
        <v>0</v>
      </c>
      <c r="CB684" s="20">
        <f t="shared" si="319"/>
        <v>0</v>
      </c>
      <c r="CC684" s="173">
        <f t="shared" si="341"/>
        <v>0</v>
      </c>
    </row>
    <row r="685" spans="10:81" x14ac:dyDescent="0.25">
      <c r="J685" s="7"/>
      <c r="K685" s="8"/>
      <c r="L685" s="16"/>
      <c r="M685" s="22"/>
      <c r="N685" s="22"/>
      <c r="O685" s="22"/>
      <c r="P685" s="22"/>
      <c r="Q685" s="1">
        <f t="shared" si="342"/>
        <v>0.60744618579017706</v>
      </c>
      <c r="R685" s="12">
        <f t="shared" ca="1" si="329"/>
        <v>19652</v>
      </c>
      <c r="S685" s="88">
        <f t="shared" si="338"/>
        <v>0</v>
      </c>
      <c r="T685" s="19">
        <f t="shared" si="330"/>
        <v>0</v>
      </c>
      <c r="U685" s="19">
        <f t="shared" si="331"/>
        <v>0</v>
      </c>
      <c r="V685" s="19">
        <f t="shared" si="347"/>
        <v>0</v>
      </c>
      <c r="W685" s="20">
        <f t="shared" ca="1" si="332"/>
        <v>0</v>
      </c>
      <c r="X685" s="19">
        <f t="shared" ca="1" si="333"/>
        <v>0</v>
      </c>
      <c r="Y685" s="19">
        <f t="shared" ca="1" si="334"/>
        <v>0</v>
      </c>
      <c r="Z685" s="20">
        <f t="shared" ca="1" si="335"/>
        <v>0</v>
      </c>
      <c r="AA685" s="1">
        <f t="shared" si="343"/>
        <v>5432.58</v>
      </c>
      <c r="AB685" s="91"/>
      <c r="AC685" s="92"/>
      <c r="AD685" s="101">
        <f t="shared" si="344"/>
        <v>60774</v>
      </c>
      <c r="AE685" s="103">
        <f t="shared" si="345"/>
        <v>0</v>
      </c>
      <c r="AG685" s="1">
        <f t="shared" si="336"/>
        <v>0</v>
      </c>
      <c r="AH685" s="1">
        <f t="shared" si="337"/>
        <v>0</v>
      </c>
      <c r="AI685" s="1">
        <f t="shared" si="346"/>
        <v>5432.58</v>
      </c>
      <c r="AJ685" s="20">
        <f t="shared" si="348"/>
        <v>0</v>
      </c>
      <c r="AK685" s="100">
        <f t="shared" si="320"/>
        <v>0</v>
      </c>
      <c r="AL685" s="100">
        <f t="shared" si="321"/>
        <v>0</v>
      </c>
      <c r="AN685" s="100">
        <f t="shared" si="322"/>
        <v>3897.8596594858341</v>
      </c>
      <c r="AO685" s="20">
        <f t="shared" si="323"/>
        <v>0</v>
      </c>
      <c r="AQ685" s="109">
        <f t="shared" si="324"/>
        <v>0</v>
      </c>
      <c r="AU685" s="109">
        <f t="shared" si="339"/>
        <v>25.547010794140583</v>
      </c>
      <c r="AV685" s="101">
        <f t="shared" si="325"/>
        <v>60804</v>
      </c>
      <c r="AW685" s="99">
        <f t="shared" si="326"/>
        <v>0</v>
      </c>
      <c r="AX685" s="1">
        <f t="shared" si="327"/>
        <v>0</v>
      </c>
      <c r="AY685" s="29">
        <f t="shared" si="328"/>
        <v>0</v>
      </c>
      <c r="AZ685" s="1">
        <f t="shared" si="340"/>
        <v>0</v>
      </c>
      <c r="CB685" s="20">
        <f t="shared" si="319"/>
        <v>0</v>
      </c>
      <c r="CC685" s="173">
        <f t="shared" si="341"/>
        <v>0</v>
      </c>
    </row>
    <row r="686" spans="10:81" x14ac:dyDescent="0.25">
      <c r="J686" s="9"/>
      <c r="K686" s="10"/>
      <c r="L686" s="17"/>
      <c r="M686" s="23"/>
      <c r="N686" s="23"/>
      <c r="O686" s="23"/>
      <c r="P686" s="23"/>
      <c r="Q686" s="1">
        <f t="shared" si="342"/>
        <v>0.60744618579017706</v>
      </c>
      <c r="R686" s="12">
        <f t="shared" ca="1" si="329"/>
        <v>19682</v>
      </c>
      <c r="S686" s="88">
        <f t="shared" si="338"/>
        <v>0</v>
      </c>
      <c r="T686" s="19">
        <f t="shared" si="330"/>
        <v>0</v>
      </c>
      <c r="U686" s="19">
        <f t="shared" si="331"/>
        <v>0</v>
      </c>
      <c r="V686" s="19">
        <f t="shared" si="347"/>
        <v>0</v>
      </c>
      <c r="W686" s="20">
        <f t="shared" ca="1" si="332"/>
        <v>0</v>
      </c>
      <c r="X686" s="19">
        <f t="shared" ca="1" si="333"/>
        <v>0</v>
      </c>
      <c r="Y686" s="19">
        <f t="shared" ca="1" si="334"/>
        <v>0</v>
      </c>
      <c r="Z686" s="20">
        <f t="shared" ca="1" si="335"/>
        <v>0</v>
      </c>
      <c r="AA686" s="1">
        <f t="shared" si="343"/>
        <v>5432.58</v>
      </c>
      <c r="AB686" s="93"/>
      <c r="AC686" s="94"/>
      <c r="AD686" s="101">
        <f t="shared" si="344"/>
        <v>60804</v>
      </c>
      <c r="AE686" s="103">
        <f t="shared" si="345"/>
        <v>0</v>
      </c>
      <c r="AG686" s="1">
        <f t="shared" si="336"/>
        <v>0</v>
      </c>
      <c r="AH686" s="1">
        <f t="shared" si="337"/>
        <v>0</v>
      </c>
      <c r="AI686" s="1">
        <f t="shared" si="346"/>
        <v>5432.58</v>
      </c>
      <c r="AJ686" s="20">
        <f t="shared" si="348"/>
        <v>0</v>
      </c>
      <c r="AK686" s="100">
        <f t="shared" si="320"/>
        <v>0</v>
      </c>
      <c r="AL686" s="100">
        <f t="shared" si="321"/>
        <v>0</v>
      </c>
      <c r="AN686" s="100">
        <f t="shared" si="322"/>
        <v>3895.8875411298941</v>
      </c>
      <c r="AO686" s="20">
        <f t="shared" si="323"/>
        <v>0</v>
      </c>
      <c r="AQ686" s="109">
        <f t="shared" si="324"/>
        <v>0</v>
      </c>
      <c r="AU686" s="109">
        <f t="shared" si="339"/>
        <v>25.544768531125072</v>
      </c>
      <c r="AV686" s="101">
        <f t="shared" si="325"/>
        <v>60834</v>
      </c>
      <c r="AW686" s="99">
        <f t="shared" si="326"/>
        <v>0</v>
      </c>
      <c r="AX686" s="1">
        <f t="shared" si="327"/>
        <v>0</v>
      </c>
      <c r="AY686" s="29">
        <f t="shared" si="328"/>
        <v>0</v>
      </c>
      <c r="AZ686" s="1">
        <f t="shared" si="340"/>
        <v>0</v>
      </c>
      <c r="CB686" s="20">
        <f t="shared" ref="CB686:CB749" si="349">IF(O686=0,IF(P686&gt;0,V685,IF(O685=0,0,P686)),IF(O685=0,0,P686))</f>
        <v>0</v>
      </c>
      <c r="CC686" s="173">
        <f t="shared" si="341"/>
        <v>0</v>
      </c>
    </row>
    <row r="687" spans="10:81" x14ac:dyDescent="0.25">
      <c r="J687" s="7"/>
      <c r="K687" s="8"/>
      <c r="L687" s="16"/>
      <c r="M687" s="22"/>
      <c r="N687" s="22"/>
      <c r="O687" s="22"/>
      <c r="P687" s="22"/>
      <c r="Q687" s="1">
        <f t="shared" si="342"/>
        <v>0.60744618579017706</v>
      </c>
      <c r="R687" s="12">
        <f t="shared" ca="1" si="329"/>
        <v>19712</v>
      </c>
      <c r="S687" s="88">
        <f t="shared" si="338"/>
        <v>0</v>
      </c>
      <c r="T687" s="19">
        <f t="shared" si="330"/>
        <v>0</v>
      </c>
      <c r="U687" s="19">
        <f t="shared" si="331"/>
        <v>0</v>
      </c>
      <c r="V687" s="19">
        <f t="shared" si="347"/>
        <v>0</v>
      </c>
      <c r="W687" s="20">
        <f t="shared" ca="1" si="332"/>
        <v>0</v>
      </c>
      <c r="X687" s="19">
        <f t="shared" ca="1" si="333"/>
        <v>0</v>
      </c>
      <c r="Y687" s="19">
        <f t="shared" ca="1" si="334"/>
        <v>0</v>
      </c>
      <c r="Z687" s="20">
        <f t="shared" ca="1" si="335"/>
        <v>0</v>
      </c>
      <c r="AA687" s="1">
        <f t="shared" si="343"/>
        <v>5432.58</v>
      </c>
      <c r="AB687" s="91"/>
      <c r="AC687" s="92"/>
      <c r="AD687" s="101">
        <f t="shared" si="344"/>
        <v>60834</v>
      </c>
      <c r="AE687" s="103">
        <f t="shared" si="345"/>
        <v>0</v>
      </c>
      <c r="AG687" s="1">
        <f t="shared" si="336"/>
        <v>0</v>
      </c>
      <c r="AH687" s="1">
        <f t="shared" si="337"/>
        <v>0</v>
      </c>
      <c r="AI687" s="1">
        <f t="shared" si="346"/>
        <v>5432.58</v>
      </c>
      <c r="AJ687" s="20">
        <f t="shared" si="348"/>
        <v>0</v>
      </c>
      <c r="AK687" s="100">
        <f t="shared" si="320"/>
        <v>0</v>
      </c>
      <c r="AL687" s="100">
        <f t="shared" si="321"/>
        <v>0</v>
      </c>
      <c r="AN687" s="100">
        <f t="shared" si="322"/>
        <v>3893.9164205653451</v>
      </c>
      <c r="AO687" s="20">
        <f t="shared" si="323"/>
        <v>0</v>
      </c>
      <c r="AQ687" s="109">
        <f t="shared" si="324"/>
        <v>0</v>
      </c>
      <c r="AU687" s="109">
        <f t="shared" si="339"/>
        <v>25.542526464913159</v>
      </c>
      <c r="AV687" s="101">
        <f t="shared" si="325"/>
        <v>60864</v>
      </c>
      <c r="AW687" s="99">
        <f t="shared" si="326"/>
        <v>0</v>
      </c>
      <c r="AX687" s="1">
        <f t="shared" si="327"/>
        <v>0</v>
      </c>
      <c r="AY687" s="29">
        <f t="shared" si="328"/>
        <v>0</v>
      </c>
      <c r="AZ687" s="1">
        <f t="shared" si="340"/>
        <v>0</v>
      </c>
      <c r="CB687" s="20">
        <f t="shared" si="349"/>
        <v>0</v>
      </c>
      <c r="CC687" s="173">
        <f t="shared" si="341"/>
        <v>0</v>
      </c>
    </row>
    <row r="688" spans="10:81" x14ac:dyDescent="0.25">
      <c r="J688" s="9"/>
      <c r="K688" s="10"/>
      <c r="L688" s="17"/>
      <c r="M688" s="23"/>
      <c r="N688" s="23"/>
      <c r="O688" s="23"/>
      <c r="P688" s="23"/>
      <c r="Q688" s="1">
        <f t="shared" si="342"/>
        <v>0.60744618579017706</v>
      </c>
      <c r="R688" s="12">
        <f t="shared" ca="1" si="329"/>
        <v>19742</v>
      </c>
      <c r="S688" s="88">
        <f t="shared" si="338"/>
        <v>0</v>
      </c>
      <c r="T688" s="19">
        <f t="shared" si="330"/>
        <v>0</v>
      </c>
      <c r="U688" s="19">
        <f t="shared" si="331"/>
        <v>0</v>
      </c>
      <c r="V688" s="19">
        <f t="shared" si="347"/>
        <v>0</v>
      </c>
      <c r="W688" s="20">
        <f t="shared" ca="1" si="332"/>
        <v>0</v>
      </c>
      <c r="X688" s="19">
        <f t="shared" ca="1" si="333"/>
        <v>0</v>
      </c>
      <c r="Y688" s="19">
        <f t="shared" ca="1" si="334"/>
        <v>0</v>
      </c>
      <c r="Z688" s="20">
        <f t="shared" ca="1" si="335"/>
        <v>0</v>
      </c>
      <c r="AA688" s="1">
        <f t="shared" si="343"/>
        <v>5432.58</v>
      </c>
      <c r="AB688" s="93"/>
      <c r="AC688" s="94"/>
      <c r="AD688" s="101">
        <f t="shared" si="344"/>
        <v>60864</v>
      </c>
      <c r="AE688" s="103">
        <f t="shared" si="345"/>
        <v>0</v>
      </c>
      <c r="AG688" s="1">
        <f t="shared" si="336"/>
        <v>0</v>
      </c>
      <c r="AH688" s="1">
        <f t="shared" si="337"/>
        <v>0</v>
      </c>
      <c r="AI688" s="1">
        <f t="shared" si="346"/>
        <v>5432.58</v>
      </c>
      <c r="AJ688" s="20">
        <f t="shared" si="348"/>
        <v>0</v>
      </c>
      <c r="AK688" s="100">
        <f t="shared" si="320"/>
        <v>0</v>
      </c>
      <c r="AL688" s="100">
        <f t="shared" si="321"/>
        <v>0</v>
      </c>
      <c r="AN688" s="100">
        <f t="shared" si="322"/>
        <v>3891.9462972873566</v>
      </c>
      <c r="AO688" s="20">
        <f t="shared" si="323"/>
        <v>0</v>
      </c>
      <c r="AQ688" s="109">
        <f t="shared" si="324"/>
        <v>0</v>
      </c>
      <c r="AU688" s="109">
        <f t="shared" si="339"/>
        <v>25.540284595487552</v>
      </c>
      <c r="AV688" s="101">
        <f t="shared" si="325"/>
        <v>60894</v>
      </c>
      <c r="AW688" s="99">
        <f t="shared" si="326"/>
        <v>0</v>
      </c>
      <c r="AX688" s="1">
        <f t="shared" si="327"/>
        <v>0</v>
      </c>
      <c r="AY688" s="29">
        <f t="shared" si="328"/>
        <v>0</v>
      </c>
      <c r="AZ688" s="1">
        <f t="shared" si="340"/>
        <v>0</v>
      </c>
      <c r="CB688" s="20">
        <f t="shared" si="349"/>
        <v>0</v>
      </c>
      <c r="CC688" s="173">
        <f t="shared" si="341"/>
        <v>0</v>
      </c>
    </row>
    <row r="689" spans="10:81" x14ac:dyDescent="0.25">
      <c r="J689" s="7"/>
      <c r="K689" s="8"/>
      <c r="L689" s="16"/>
      <c r="M689" s="22"/>
      <c r="N689" s="22"/>
      <c r="O689" s="22"/>
      <c r="P689" s="22"/>
      <c r="Q689" s="1">
        <f t="shared" si="342"/>
        <v>0.60744618579017706</v>
      </c>
      <c r="R689" s="12">
        <f t="shared" ca="1" si="329"/>
        <v>19772</v>
      </c>
      <c r="S689" s="88">
        <f t="shared" si="338"/>
        <v>0</v>
      </c>
      <c r="T689" s="19">
        <f t="shared" si="330"/>
        <v>0</v>
      </c>
      <c r="U689" s="19">
        <f t="shared" si="331"/>
        <v>0</v>
      </c>
      <c r="V689" s="19">
        <f t="shared" si="347"/>
        <v>0</v>
      </c>
      <c r="W689" s="20">
        <f t="shared" ca="1" si="332"/>
        <v>0</v>
      </c>
      <c r="X689" s="19">
        <f t="shared" ca="1" si="333"/>
        <v>0</v>
      </c>
      <c r="Y689" s="19">
        <f t="shared" ca="1" si="334"/>
        <v>0</v>
      </c>
      <c r="Z689" s="20">
        <f t="shared" ca="1" si="335"/>
        <v>0</v>
      </c>
      <c r="AA689" s="1">
        <f t="shared" si="343"/>
        <v>5432.58</v>
      </c>
      <c r="AB689" s="91"/>
      <c r="AC689" s="92"/>
      <c r="AD689" s="101">
        <f t="shared" si="344"/>
        <v>60894</v>
      </c>
      <c r="AE689" s="103">
        <f t="shared" si="345"/>
        <v>0</v>
      </c>
      <c r="AG689" s="1">
        <f t="shared" si="336"/>
        <v>0</v>
      </c>
      <c r="AH689" s="1">
        <f t="shared" si="337"/>
        <v>0</v>
      </c>
      <c r="AI689" s="1">
        <f t="shared" si="346"/>
        <v>5432.58</v>
      </c>
      <c r="AJ689" s="20">
        <f t="shared" si="348"/>
        <v>0</v>
      </c>
      <c r="AK689" s="100">
        <f t="shared" si="320"/>
        <v>0</v>
      </c>
      <c r="AL689" s="100">
        <f t="shared" si="321"/>
        <v>0</v>
      </c>
      <c r="AN689" s="100">
        <f t="shared" si="322"/>
        <v>3889.9771707913483</v>
      </c>
      <c r="AO689" s="20">
        <f t="shared" si="323"/>
        <v>0</v>
      </c>
      <c r="AQ689" s="109">
        <f t="shared" si="324"/>
        <v>0</v>
      </c>
      <c r="AU689" s="109">
        <f t="shared" si="339"/>
        <v>25.538042922830996</v>
      </c>
      <c r="AV689" s="101">
        <f t="shared" si="325"/>
        <v>60924</v>
      </c>
      <c r="AW689" s="99">
        <f t="shared" si="326"/>
        <v>0</v>
      </c>
      <c r="AX689" s="1">
        <f t="shared" si="327"/>
        <v>0</v>
      </c>
      <c r="AY689" s="29">
        <f t="shared" si="328"/>
        <v>0</v>
      </c>
      <c r="AZ689" s="1">
        <f t="shared" si="340"/>
        <v>0</v>
      </c>
      <c r="CB689" s="20">
        <f t="shared" si="349"/>
        <v>0</v>
      </c>
      <c r="CC689" s="173">
        <f t="shared" si="341"/>
        <v>0</v>
      </c>
    </row>
    <row r="690" spans="10:81" x14ac:dyDescent="0.25">
      <c r="J690" s="9"/>
      <c r="K690" s="10"/>
      <c r="L690" s="17"/>
      <c r="M690" s="23"/>
      <c r="N690" s="23"/>
      <c r="O690" s="23"/>
      <c r="P690" s="23"/>
      <c r="Q690" s="1">
        <f t="shared" si="342"/>
        <v>0.60744618579017706</v>
      </c>
      <c r="R690" s="12">
        <f t="shared" ca="1" si="329"/>
        <v>19802</v>
      </c>
      <c r="S690" s="88">
        <f t="shared" si="338"/>
        <v>0</v>
      </c>
      <c r="T690" s="19">
        <f t="shared" si="330"/>
        <v>0</v>
      </c>
      <c r="U690" s="19">
        <f t="shared" si="331"/>
        <v>0</v>
      </c>
      <c r="V690" s="19">
        <f t="shared" si="347"/>
        <v>0</v>
      </c>
      <c r="W690" s="20">
        <f t="shared" ca="1" si="332"/>
        <v>0</v>
      </c>
      <c r="X690" s="19">
        <f t="shared" ca="1" si="333"/>
        <v>0</v>
      </c>
      <c r="Y690" s="19">
        <f t="shared" ca="1" si="334"/>
        <v>0</v>
      </c>
      <c r="Z690" s="20">
        <f t="shared" ca="1" si="335"/>
        <v>0</v>
      </c>
      <c r="AA690" s="1">
        <f t="shared" si="343"/>
        <v>5432.58</v>
      </c>
      <c r="AB690" s="93"/>
      <c r="AC690" s="94"/>
      <c r="AD690" s="101">
        <f t="shared" si="344"/>
        <v>60924</v>
      </c>
      <c r="AE690" s="103">
        <f t="shared" si="345"/>
        <v>0</v>
      </c>
      <c r="AG690" s="1">
        <f t="shared" si="336"/>
        <v>0</v>
      </c>
      <c r="AH690" s="1">
        <f t="shared" si="337"/>
        <v>0</v>
      </c>
      <c r="AI690" s="1">
        <f t="shared" si="346"/>
        <v>5432.58</v>
      </c>
      <c r="AJ690" s="20">
        <f t="shared" si="348"/>
        <v>0</v>
      </c>
      <c r="AK690" s="100">
        <f t="shared" si="320"/>
        <v>0</v>
      </c>
      <c r="AL690" s="100">
        <f t="shared" si="321"/>
        <v>0</v>
      </c>
      <c r="AN690" s="100">
        <f t="shared" si="322"/>
        <v>3888.0090405730039</v>
      </c>
      <c r="AO690" s="20">
        <f t="shared" si="323"/>
        <v>0</v>
      </c>
      <c r="AQ690" s="109">
        <f t="shared" si="324"/>
        <v>0</v>
      </c>
      <c r="AU690" s="109">
        <f t="shared" si="339"/>
        <v>25.535801446926211</v>
      </c>
      <c r="AV690" s="101">
        <f t="shared" si="325"/>
        <v>60954</v>
      </c>
      <c r="AW690" s="99">
        <f t="shared" si="326"/>
        <v>0</v>
      </c>
      <c r="AX690" s="1">
        <f t="shared" si="327"/>
        <v>0</v>
      </c>
      <c r="AY690" s="29">
        <f t="shared" si="328"/>
        <v>0</v>
      </c>
      <c r="AZ690" s="1">
        <f t="shared" si="340"/>
        <v>0</v>
      </c>
      <c r="CB690" s="20">
        <f t="shared" si="349"/>
        <v>0</v>
      </c>
      <c r="CC690" s="173">
        <f t="shared" si="341"/>
        <v>0</v>
      </c>
    </row>
    <row r="691" spans="10:81" x14ac:dyDescent="0.25">
      <c r="J691" s="7"/>
      <c r="K691" s="8"/>
      <c r="L691" s="16"/>
      <c r="M691" s="22"/>
      <c r="N691" s="22"/>
      <c r="O691" s="22"/>
      <c r="P691" s="22"/>
      <c r="Q691" s="1">
        <f t="shared" si="342"/>
        <v>0.60744618579017706</v>
      </c>
      <c r="R691" s="12">
        <f t="shared" ca="1" si="329"/>
        <v>19832</v>
      </c>
      <c r="S691" s="88">
        <f t="shared" si="338"/>
        <v>0</v>
      </c>
      <c r="T691" s="19">
        <f t="shared" si="330"/>
        <v>0</v>
      </c>
      <c r="U691" s="19">
        <f t="shared" si="331"/>
        <v>0</v>
      </c>
      <c r="V691" s="19">
        <f t="shared" si="347"/>
        <v>0</v>
      </c>
      <c r="W691" s="20">
        <f t="shared" ca="1" si="332"/>
        <v>0</v>
      </c>
      <c r="X691" s="19">
        <f t="shared" ca="1" si="333"/>
        <v>0</v>
      </c>
      <c r="Y691" s="19">
        <f t="shared" ca="1" si="334"/>
        <v>0</v>
      </c>
      <c r="Z691" s="20">
        <f t="shared" ca="1" si="335"/>
        <v>0</v>
      </c>
      <c r="AA691" s="1">
        <f t="shared" si="343"/>
        <v>5432.58</v>
      </c>
      <c r="AB691" s="91"/>
      <c r="AC691" s="92"/>
      <c r="AD691" s="101">
        <f t="shared" si="344"/>
        <v>60954</v>
      </c>
      <c r="AE691" s="103">
        <f t="shared" si="345"/>
        <v>0</v>
      </c>
      <c r="AG691" s="1">
        <f t="shared" si="336"/>
        <v>0</v>
      </c>
      <c r="AH691" s="1">
        <f t="shared" si="337"/>
        <v>0</v>
      </c>
      <c r="AI691" s="1">
        <f t="shared" si="346"/>
        <v>5432.58</v>
      </c>
      <c r="AJ691" s="20">
        <f t="shared" si="348"/>
        <v>0</v>
      </c>
      <c r="AK691" s="100">
        <f t="shared" si="320"/>
        <v>0</v>
      </c>
      <c r="AL691" s="100">
        <f t="shared" si="321"/>
        <v>0</v>
      </c>
      <c r="AN691" s="100">
        <f t="shared" si="322"/>
        <v>3886.0419061282532</v>
      </c>
      <c r="AO691" s="20">
        <f t="shared" si="323"/>
        <v>0</v>
      </c>
      <c r="AQ691" s="109">
        <f t="shared" si="324"/>
        <v>0</v>
      </c>
      <c r="AU691" s="109">
        <f t="shared" si="339"/>
        <v>25.533560167755937</v>
      </c>
      <c r="AV691" s="101">
        <f t="shared" si="325"/>
        <v>60984</v>
      </c>
      <c r="AW691" s="99">
        <f t="shared" si="326"/>
        <v>0</v>
      </c>
      <c r="AX691" s="1">
        <f t="shared" si="327"/>
        <v>0</v>
      </c>
      <c r="AY691" s="29">
        <f t="shared" si="328"/>
        <v>0</v>
      </c>
      <c r="AZ691" s="1">
        <f t="shared" si="340"/>
        <v>0</v>
      </c>
      <c r="CB691" s="20">
        <f t="shared" si="349"/>
        <v>0</v>
      </c>
      <c r="CC691" s="173">
        <f t="shared" si="341"/>
        <v>0</v>
      </c>
    </row>
    <row r="692" spans="10:81" x14ac:dyDescent="0.25">
      <c r="J692" s="9"/>
      <c r="K692" s="10"/>
      <c r="L692" s="17"/>
      <c r="M692" s="23"/>
      <c r="N692" s="23"/>
      <c r="O692" s="23"/>
      <c r="P692" s="23"/>
      <c r="Q692" s="1">
        <f t="shared" si="342"/>
        <v>0.60744618579017706</v>
      </c>
      <c r="R692" s="12">
        <f t="shared" ca="1" si="329"/>
        <v>19862</v>
      </c>
      <c r="S692" s="88">
        <f t="shared" si="338"/>
        <v>0</v>
      </c>
      <c r="T692" s="19">
        <f t="shared" si="330"/>
        <v>0</v>
      </c>
      <c r="U692" s="19">
        <f t="shared" si="331"/>
        <v>0</v>
      </c>
      <c r="V692" s="19">
        <f t="shared" si="347"/>
        <v>0</v>
      </c>
      <c r="W692" s="20">
        <f t="shared" ca="1" si="332"/>
        <v>0</v>
      </c>
      <c r="X692" s="19">
        <f t="shared" ca="1" si="333"/>
        <v>0</v>
      </c>
      <c r="Y692" s="19">
        <f t="shared" ca="1" si="334"/>
        <v>0</v>
      </c>
      <c r="Z692" s="20">
        <f t="shared" ca="1" si="335"/>
        <v>0</v>
      </c>
      <c r="AA692" s="1">
        <f t="shared" si="343"/>
        <v>5432.58</v>
      </c>
      <c r="AB692" s="93"/>
      <c r="AC692" s="94"/>
      <c r="AD692" s="101">
        <f t="shared" si="344"/>
        <v>60984</v>
      </c>
      <c r="AE692" s="103">
        <f t="shared" si="345"/>
        <v>0</v>
      </c>
      <c r="AG692" s="1">
        <f t="shared" si="336"/>
        <v>0</v>
      </c>
      <c r="AH692" s="1">
        <f t="shared" si="337"/>
        <v>0</v>
      </c>
      <c r="AI692" s="1">
        <f t="shared" si="346"/>
        <v>5432.58</v>
      </c>
      <c r="AJ692" s="20">
        <f t="shared" si="348"/>
        <v>0</v>
      </c>
      <c r="AK692" s="100">
        <f t="shared" si="320"/>
        <v>0</v>
      </c>
      <c r="AL692" s="100">
        <f t="shared" si="321"/>
        <v>0</v>
      </c>
      <c r="AN692" s="100">
        <f t="shared" si="322"/>
        <v>3884.0757669532904</v>
      </c>
      <c r="AO692" s="20">
        <f t="shared" si="323"/>
        <v>0</v>
      </c>
      <c r="AQ692" s="109">
        <f t="shared" si="324"/>
        <v>0</v>
      </c>
      <c r="AU692" s="109">
        <f t="shared" si="339"/>
        <v>25.531319085302897</v>
      </c>
      <c r="AV692" s="101">
        <f t="shared" si="325"/>
        <v>61014</v>
      </c>
      <c r="AW692" s="99">
        <f t="shared" si="326"/>
        <v>0</v>
      </c>
      <c r="AX692" s="1">
        <f t="shared" si="327"/>
        <v>0</v>
      </c>
      <c r="AY692" s="29">
        <f t="shared" si="328"/>
        <v>0</v>
      </c>
      <c r="AZ692" s="1">
        <f t="shared" si="340"/>
        <v>0</v>
      </c>
      <c r="CB692" s="20">
        <f t="shared" si="349"/>
        <v>0</v>
      </c>
      <c r="CC692" s="173">
        <f t="shared" si="341"/>
        <v>0</v>
      </c>
    </row>
    <row r="693" spans="10:81" x14ac:dyDescent="0.25">
      <c r="J693" s="7"/>
      <c r="K693" s="8"/>
      <c r="L693" s="16"/>
      <c r="M693" s="22"/>
      <c r="N693" s="22"/>
      <c r="O693" s="22"/>
      <c r="P693" s="22"/>
      <c r="Q693" s="1">
        <f t="shared" si="342"/>
        <v>0.60744618579017706</v>
      </c>
      <c r="R693" s="12">
        <f t="shared" ca="1" si="329"/>
        <v>19892</v>
      </c>
      <c r="S693" s="88">
        <f t="shared" si="338"/>
        <v>0</v>
      </c>
      <c r="T693" s="19">
        <f t="shared" si="330"/>
        <v>0</v>
      </c>
      <c r="U693" s="19">
        <f t="shared" si="331"/>
        <v>0</v>
      </c>
      <c r="V693" s="19">
        <f t="shared" si="347"/>
        <v>0</v>
      </c>
      <c r="W693" s="20">
        <f t="shared" ca="1" si="332"/>
        <v>0</v>
      </c>
      <c r="X693" s="19">
        <f t="shared" ca="1" si="333"/>
        <v>0</v>
      </c>
      <c r="Y693" s="19">
        <f t="shared" ca="1" si="334"/>
        <v>0</v>
      </c>
      <c r="Z693" s="20">
        <f t="shared" ca="1" si="335"/>
        <v>0</v>
      </c>
      <c r="AA693" s="1">
        <f t="shared" si="343"/>
        <v>5432.58</v>
      </c>
      <c r="AB693" s="91"/>
      <c r="AC693" s="92"/>
      <c r="AD693" s="101">
        <f t="shared" si="344"/>
        <v>61014</v>
      </c>
      <c r="AE693" s="103">
        <f t="shared" si="345"/>
        <v>0</v>
      </c>
      <c r="AG693" s="1">
        <f t="shared" si="336"/>
        <v>0</v>
      </c>
      <c r="AH693" s="1">
        <f t="shared" si="337"/>
        <v>0</v>
      </c>
      <c r="AI693" s="1">
        <f t="shared" si="346"/>
        <v>5432.58</v>
      </c>
      <c r="AJ693" s="20">
        <f t="shared" si="348"/>
        <v>0</v>
      </c>
      <c r="AK693" s="100">
        <f t="shared" si="320"/>
        <v>0</v>
      </c>
      <c r="AL693" s="100">
        <f t="shared" si="321"/>
        <v>0</v>
      </c>
      <c r="AN693" s="100">
        <f t="shared" si="322"/>
        <v>3882.1106225445569</v>
      </c>
      <c r="AO693" s="20">
        <f t="shared" si="323"/>
        <v>0</v>
      </c>
      <c r="AQ693" s="109">
        <f t="shared" si="324"/>
        <v>0</v>
      </c>
      <c r="AU693" s="109">
        <f t="shared" si="339"/>
        <v>25.529078199549833</v>
      </c>
      <c r="AV693" s="101">
        <f t="shared" si="325"/>
        <v>61044</v>
      </c>
      <c r="AW693" s="99">
        <f t="shared" si="326"/>
        <v>0</v>
      </c>
      <c r="AX693" s="1">
        <f t="shared" si="327"/>
        <v>0</v>
      </c>
      <c r="AY693" s="29">
        <f t="shared" si="328"/>
        <v>0</v>
      </c>
      <c r="AZ693" s="1">
        <f t="shared" si="340"/>
        <v>0</v>
      </c>
      <c r="CB693" s="20">
        <f t="shared" si="349"/>
        <v>0</v>
      </c>
      <c r="CC693" s="173">
        <f t="shared" si="341"/>
        <v>0</v>
      </c>
    </row>
    <row r="694" spans="10:81" x14ac:dyDescent="0.25">
      <c r="J694" s="9"/>
      <c r="K694" s="10"/>
      <c r="L694" s="17"/>
      <c r="M694" s="23"/>
      <c r="N694" s="23"/>
      <c r="O694" s="23"/>
      <c r="P694" s="23"/>
      <c r="Q694" s="1">
        <f t="shared" si="342"/>
        <v>0.60744618579017706</v>
      </c>
      <c r="R694" s="12">
        <f t="shared" ca="1" si="329"/>
        <v>19922</v>
      </c>
      <c r="S694" s="88">
        <f t="shared" si="338"/>
        <v>0</v>
      </c>
      <c r="T694" s="19">
        <f t="shared" si="330"/>
        <v>0</v>
      </c>
      <c r="U694" s="19">
        <f t="shared" si="331"/>
        <v>0</v>
      </c>
      <c r="V694" s="19">
        <f t="shared" si="347"/>
        <v>0</v>
      </c>
      <c r="W694" s="20">
        <f t="shared" ca="1" si="332"/>
        <v>0</v>
      </c>
      <c r="X694" s="19">
        <f t="shared" ca="1" si="333"/>
        <v>0</v>
      </c>
      <c r="Y694" s="19">
        <f t="shared" ca="1" si="334"/>
        <v>0</v>
      </c>
      <c r="Z694" s="20">
        <f t="shared" ca="1" si="335"/>
        <v>0</v>
      </c>
      <c r="AA694" s="1">
        <f t="shared" si="343"/>
        <v>5432.58</v>
      </c>
      <c r="AB694" s="93"/>
      <c r="AC694" s="94"/>
      <c r="AD694" s="101">
        <f t="shared" si="344"/>
        <v>61044</v>
      </c>
      <c r="AE694" s="103">
        <f t="shared" si="345"/>
        <v>0</v>
      </c>
      <c r="AG694" s="1">
        <f t="shared" si="336"/>
        <v>0</v>
      </c>
      <c r="AH694" s="1">
        <f t="shared" si="337"/>
        <v>0</v>
      </c>
      <c r="AI694" s="1">
        <f t="shared" si="346"/>
        <v>5432.58</v>
      </c>
      <c r="AJ694" s="20">
        <f t="shared" si="348"/>
        <v>0</v>
      </c>
      <c r="AK694" s="100">
        <f t="shared" ref="AK694:AK757" si="350">IF(ISERROR(AJ694/(1+(Q694)/1200)^(ROW()-29)),0,AJ694/(1+(Q694)/1200)^(ROW()-29))</f>
        <v>0</v>
      </c>
      <c r="AL694" s="100">
        <f t="shared" ref="AL694:AL757" si="351">IF(ISERROR((Q694/1200)*O694),0,(Q694/1200)*O694)</f>
        <v>0</v>
      </c>
      <c r="AN694" s="100">
        <f t="shared" ref="AN694:AN757" si="352">IF(ISERROR(AA694/(1+(Q694)/1200)^(ROW()-29)),0,AA694/(1+(Q694)/1200)^(ROW()-29))</f>
        <v>3880.146472398751</v>
      </c>
      <c r="AO694" s="20">
        <f t="shared" ref="AO694:AO757" si="353">IF(ISERROR(V693+U694+T694+(V693*Q694/1200)-AA694-P694),0,IF(V693+U694+T694+(V693*Q694/1200)-AA694-P694&lt;0,V693,-(U694+T694-AA694+P694-AH694)))</f>
        <v>0</v>
      </c>
      <c r="AQ694" s="109">
        <f t="shared" ref="AQ694:AQ757" si="354">AO694/(1+((1+$AM$27)^((ROW()-29)*30)-1))</f>
        <v>0</v>
      </c>
      <c r="AU694" s="109">
        <f t="shared" si="339"/>
        <v>25.526837510479464</v>
      </c>
      <c r="AV694" s="101">
        <f t="shared" ref="AV694:AV757" si="355">AD695</f>
        <v>61074</v>
      </c>
      <c r="AW694" s="99">
        <f t="shared" ref="AW694:AW757" si="356">IF(AJ695&lt;0,0,AJ695)</f>
        <v>0</v>
      </c>
      <c r="AX694" s="1">
        <f t="shared" ref="AX694:AX757" si="357">IF(AG694&gt;0,AA694,0)</f>
        <v>0</v>
      </c>
      <c r="AY694" s="29">
        <f t="shared" ref="AY694:AY757" si="358">AE694</f>
        <v>0</v>
      </c>
      <c r="AZ694" s="1">
        <f t="shared" si="340"/>
        <v>0</v>
      </c>
      <c r="CB694" s="20">
        <f t="shared" si="349"/>
        <v>0</v>
      </c>
      <c r="CC694" s="173">
        <f t="shared" si="341"/>
        <v>0</v>
      </c>
    </row>
    <row r="695" spans="10:81" x14ac:dyDescent="0.25">
      <c r="J695" s="7"/>
      <c r="K695" s="8"/>
      <c r="L695" s="16"/>
      <c r="M695" s="22"/>
      <c r="N695" s="22"/>
      <c r="O695" s="22"/>
      <c r="P695" s="22"/>
      <c r="Q695" s="1">
        <f t="shared" si="342"/>
        <v>0.60744618579017706</v>
      </c>
      <c r="R695" s="12">
        <f t="shared" ref="R695:R758" ca="1" si="359">IF(ROW()&gt;$T$20,R694+30,DAYS360(K694,K695)+R694)</f>
        <v>19952</v>
      </c>
      <c r="S695" s="88">
        <f t="shared" si="338"/>
        <v>0</v>
      </c>
      <c r="T695" s="19">
        <f t="shared" ref="T695:T758" si="360">IF(ISERROR((previousBalance*Q695/1200)*(IF(ROW()-30&lt;$G$22,$G$21,0))),0,(previousBalance*Q695/1200)*(IF(ROW()-30&lt;$G$22,$G$21,0)))</f>
        <v>0</v>
      </c>
      <c r="U695" s="19">
        <f t="shared" ref="U695:U758" si="361">AA695*(IF(ROW()-30&lt;$H$22,$H$21,0))</f>
        <v>0</v>
      </c>
      <c r="V695" s="19">
        <f t="shared" si="347"/>
        <v>0</v>
      </c>
      <c r="W695" s="20">
        <f t="shared" ref="W695:W758" ca="1" si="362">(T695)/(1+((1+$T$12)^$R695-1))</f>
        <v>0</v>
      </c>
      <c r="X695" s="19">
        <f t="shared" ref="X695:X758" ca="1" si="363">(U695)/(1+((1+$T$12)^$R695-1))</f>
        <v>0</v>
      </c>
      <c r="Y695" s="19">
        <f t="shared" ref="Y695:Y758" ca="1" si="364">P695/(1+((1+$T$12)^$R695-1))</f>
        <v>0</v>
      </c>
      <c r="Z695" s="20">
        <f t="shared" ref="Z695:Z758" ca="1" si="365">W695+X695</f>
        <v>0</v>
      </c>
      <c r="AA695" s="1">
        <f t="shared" si="343"/>
        <v>5432.58</v>
      </c>
      <c r="AB695" s="91"/>
      <c r="AC695" s="92"/>
      <c r="AD695" s="101">
        <f t="shared" si="344"/>
        <v>61074</v>
      </c>
      <c r="AE695" s="103">
        <f t="shared" si="345"/>
        <v>0</v>
      </c>
      <c r="AG695" s="1">
        <f t="shared" ref="AG695:AG758" si="366">AE695/360</f>
        <v>0</v>
      </c>
      <c r="AH695" s="1">
        <f t="shared" ref="AH695:AH758" si="367">IF(ISERROR(IF(V694+U695+T695+(V694*Q695/1200)-AA695-P695&lt;0,0,(V694*Q695/1200))),0,IF(V694+U695+T695+(V694*Q695/1200)-AA695-P695&lt;0,0,(V694*Q695/1200)))</f>
        <v>0</v>
      </c>
      <c r="AI695" s="1">
        <f t="shared" si="346"/>
        <v>5432.58</v>
      </c>
      <c r="AJ695" s="20">
        <f t="shared" si="348"/>
        <v>0</v>
      </c>
      <c r="AK695" s="100">
        <f t="shared" si="350"/>
        <v>0</v>
      </c>
      <c r="AL695" s="100">
        <f t="shared" si="351"/>
        <v>0</v>
      </c>
      <c r="AN695" s="100">
        <f t="shared" si="352"/>
        <v>3878.1833160128281</v>
      </c>
      <c r="AO695" s="20">
        <f t="shared" si="353"/>
        <v>0</v>
      </c>
      <c r="AQ695" s="109">
        <f t="shared" si="354"/>
        <v>0</v>
      </c>
      <c r="AU695" s="109">
        <f t="shared" si="339"/>
        <v>25.524597018074555</v>
      </c>
      <c r="AV695" s="101">
        <f t="shared" si="355"/>
        <v>61104</v>
      </c>
      <c r="AW695" s="99">
        <f t="shared" si="356"/>
        <v>0</v>
      </c>
      <c r="AX695" s="1">
        <f t="shared" si="357"/>
        <v>0</v>
      </c>
      <c r="AY695" s="29">
        <f t="shared" si="358"/>
        <v>0</v>
      </c>
      <c r="AZ695" s="1">
        <f t="shared" si="340"/>
        <v>0</v>
      </c>
      <c r="CB695" s="20">
        <f t="shared" si="349"/>
        <v>0</v>
      </c>
      <c r="CC695" s="173">
        <f t="shared" si="341"/>
        <v>0</v>
      </c>
    </row>
    <row r="696" spans="10:81" x14ac:dyDescent="0.25">
      <c r="J696" s="9"/>
      <c r="K696" s="10"/>
      <c r="L696" s="17"/>
      <c r="M696" s="23"/>
      <c r="N696" s="23"/>
      <c r="O696" s="23"/>
      <c r="P696" s="23"/>
      <c r="Q696" s="1">
        <f t="shared" si="342"/>
        <v>0.60744618579017706</v>
      </c>
      <c r="R696" s="12">
        <f t="shared" ca="1" si="359"/>
        <v>19982</v>
      </c>
      <c r="S696" s="88">
        <f t="shared" si="338"/>
        <v>0</v>
      </c>
      <c r="T696" s="19">
        <f t="shared" si="360"/>
        <v>0</v>
      </c>
      <c r="U696" s="19">
        <f t="shared" si="361"/>
        <v>0</v>
      </c>
      <c r="V696" s="19">
        <f t="shared" si="347"/>
        <v>0</v>
      </c>
      <c r="W696" s="20">
        <f t="shared" ca="1" si="362"/>
        <v>0</v>
      </c>
      <c r="X696" s="19">
        <f t="shared" ca="1" si="363"/>
        <v>0</v>
      </c>
      <c r="Y696" s="19">
        <f t="shared" ca="1" si="364"/>
        <v>0</v>
      </c>
      <c r="Z696" s="20">
        <f t="shared" ca="1" si="365"/>
        <v>0</v>
      </c>
      <c r="AA696" s="1">
        <f t="shared" si="343"/>
        <v>5432.58</v>
      </c>
      <c r="AB696" s="93"/>
      <c r="AC696" s="94"/>
      <c r="AD696" s="101">
        <f t="shared" si="344"/>
        <v>61104</v>
      </c>
      <c r="AE696" s="103">
        <f t="shared" si="345"/>
        <v>0</v>
      </c>
      <c r="AG696" s="1">
        <f t="shared" si="366"/>
        <v>0</v>
      </c>
      <c r="AH696" s="1">
        <f t="shared" si="367"/>
        <v>0</v>
      </c>
      <c r="AI696" s="1">
        <f t="shared" si="346"/>
        <v>5432.58</v>
      </c>
      <c r="AJ696" s="20">
        <f t="shared" si="348"/>
        <v>0</v>
      </c>
      <c r="AK696" s="100">
        <f t="shared" si="350"/>
        <v>0</v>
      </c>
      <c r="AL696" s="100">
        <f t="shared" si="351"/>
        <v>0</v>
      </c>
      <c r="AN696" s="100">
        <f t="shared" si="352"/>
        <v>3876.2211528839962</v>
      </c>
      <c r="AO696" s="20">
        <f t="shared" si="353"/>
        <v>0</v>
      </c>
      <c r="AQ696" s="109">
        <f t="shared" si="354"/>
        <v>0</v>
      </c>
      <c r="AU696" s="109">
        <f t="shared" si="339"/>
        <v>25.52235672231782</v>
      </c>
      <c r="AV696" s="101">
        <f t="shared" si="355"/>
        <v>61134</v>
      </c>
      <c r="AW696" s="99">
        <f t="shared" si="356"/>
        <v>0</v>
      </c>
      <c r="AX696" s="1">
        <f t="shared" si="357"/>
        <v>0</v>
      </c>
      <c r="AY696" s="29">
        <f t="shared" si="358"/>
        <v>0</v>
      </c>
      <c r="AZ696" s="1">
        <f t="shared" si="340"/>
        <v>0</v>
      </c>
      <c r="CB696" s="20">
        <f t="shared" si="349"/>
        <v>0</v>
      </c>
      <c r="CC696" s="173">
        <f t="shared" si="341"/>
        <v>0</v>
      </c>
    </row>
    <row r="697" spans="10:81" x14ac:dyDescent="0.25">
      <c r="J697" s="7"/>
      <c r="K697" s="8"/>
      <c r="L697" s="16"/>
      <c r="M697" s="22"/>
      <c r="N697" s="22"/>
      <c r="O697" s="22"/>
      <c r="P697" s="22"/>
      <c r="Q697" s="1">
        <f t="shared" si="342"/>
        <v>0.60744618579017706</v>
      </c>
      <c r="R697" s="12">
        <f t="shared" ca="1" si="359"/>
        <v>20012</v>
      </c>
      <c r="S697" s="88">
        <f t="shared" si="338"/>
        <v>0</v>
      </c>
      <c r="T697" s="19">
        <f t="shared" si="360"/>
        <v>0</v>
      </c>
      <c r="U697" s="19">
        <f t="shared" si="361"/>
        <v>0</v>
      </c>
      <c r="V697" s="19">
        <f t="shared" si="347"/>
        <v>0</v>
      </c>
      <c r="W697" s="20">
        <f t="shared" ca="1" si="362"/>
        <v>0</v>
      </c>
      <c r="X697" s="19">
        <f t="shared" ca="1" si="363"/>
        <v>0</v>
      </c>
      <c r="Y697" s="19">
        <f t="shared" ca="1" si="364"/>
        <v>0</v>
      </c>
      <c r="Z697" s="20">
        <f t="shared" ca="1" si="365"/>
        <v>0</v>
      </c>
      <c r="AA697" s="1">
        <f t="shared" si="343"/>
        <v>5432.58</v>
      </c>
      <c r="AB697" s="91"/>
      <c r="AC697" s="92"/>
      <c r="AD697" s="101">
        <f t="shared" si="344"/>
        <v>61134</v>
      </c>
      <c r="AE697" s="103">
        <f t="shared" si="345"/>
        <v>0</v>
      </c>
      <c r="AG697" s="1">
        <f t="shared" si="366"/>
        <v>0</v>
      </c>
      <c r="AH697" s="1">
        <f t="shared" si="367"/>
        <v>0</v>
      </c>
      <c r="AI697" s="1">
        <f t="shared" si="346"/>
        <v>5432.58</v>
      </c>
      <c r="AJ697" s="20">
        <f t="shared" si="348"/>
        <v>0</v>
      </c>
      <c r="AK697" s="100">
        <f t="shared" si="350"/>
        <v>0</v>
      </c>
      <c r="AL697" s="100">
        <f t="shared" si="351"/>
        <v>0</v>
      </c>
      <c r="AN697" s="100">
        <f t="shared" si="352"/>
        <v>3874.2599825097159</v>
      </c>
      <c r="AO697" s="20">
        <f t="shared" si="353"/>
        <v>0</v>
      </c>
      <c r="AQ697" s="109">
        <f t="shared" si="354"/>
        <v>0</v>
      </c>
      <c r="AU697" s="109">
        <f t="shared" si="339"/>
        <v>25.520116623192006</v>
      </c>
      <c r="AV697" s="101">
        <f t="shared" si="355"/>
        <v>61164</v>
      </c>
      <c r="AW697" s="99">
        <f t="shared" si="356"/>
        <v>0</v>
      </c>
      <c r="AX697" s="1">
        <f t="shared" si="357"/>
        <v>0</v>
      </c>
      <c r="AY697" s="29">
        <f t="shared" si="358"/>
        <v>0</v>
      </c>
      <c r="AZ697" s="1">
        <f t="shared" si="340"/>
        <v>0</v>
      </c>
      <c r="CB697" s="20">
        <f t="shared" si="349"/>
        <v>0</v>
      </c>
      <c r="CC697" s="173">
        <f t="shared" si="341"/>
        <v>0</v>
      </c>
    </row>
    <row r="698" spans="10:81" x14ac:dyDescent="0.25">
      <c r="J698" s="9"/>
      <c r="K698" s="10"/>
      <c r="L698" s="17"/>
      <c r="M698" s="23"/>
      <c r="N698" s="23"/>
      <c r="O698" s="23"/>
      <c r="P698" s="23"/>
      <c r="Q698" s="1">
        <f t="shared" si="342"/>
        <v>0.60744618579017706</v>
      </c>
      <c r="R698" s="12">
        <f t="shared" ca="1" si="359"/>
        <v>20042</v>
      </c>
      <c r="S698" s="88">
        <f t="shared" si="338"/>
        <v>0</v>
      </c>
      <c r="T698" s="19">
        <f t="shared" si="360"/>
        <v>0</v>
      </c>
      <c r="U698" s="19">
        <f t="shared" si="361"/>
        <v>0</v>
      </c>
      <c r="V698" s="19">
        <f t="shared" si="347"/>
        <v>0</v>
      </c>
      <c r="W698" s="20">
        <f t="shared" ca="1" si="362"/>
        <v>0</v>
      </c>
      <c r="X698" s="19">
        <f t="shared" ca="1" si="363"/>
        <v>0</v>
      </c>
      <c r="Y698" s="19">
        <f t="shared" ca="1" si="364"/>
        <v>0</v>
      </c>
      <c r="Z698" s="20">
        <f t="shared" ca="1" si="365"/>
        <v>0</v>
      </c>
      <c r="AA698" s="1">
        <f t="shared" si="343"/>
        <v>5432.58</v>
      </c>
      <c r="AB698" s="93"/>
      <c r="AC698" s="94"/>
      <c r="AD698" s="101">
        <f t="shared" si="344"/>
        <v>61164</v>
      </c>
      <c r="AE698" s="103">
        <f t="shared" si="345"/>
        <v>0</v>
      </c>
      <c r="AG698" s="1">
        <f t="shared" si="366"/>
        <v>0</v>
      </c>
      <c r="AH698" s="1">
        <f t="shared" si="367"/>
        <v>0</v>
      </c>
      <c r="AI698" s="1">
        <f t="shared" si="346"/>
        <v>5432.58</v>
      </c>
      <c r="AJ698" s="20">
        <f t="shared" si="348"/>
        <v>0</v>
      </c>
      <c r="AK698" s="100">
        <f t="shared" si="350"/>
        <v>0</v>
      </c>
      <c r="AL698" s="100">
        <f t="shared" si="351"/>
        <v>0</v>
      </c>
      <c r="AN698" s="100">
        <f t="shared" si="352"/>
        <v>3872.299804387706</v>
      </c>
      <c r="AO698" s="20">
        <f t="shared" si="353"/>
        <v>0</v>
      </c>
      <c r="AQ698" s="109">
        <f t="shared" si="354"/>
        <v>0</v>
      </c>
      <c r="AU698" s="109">
        <f t="shared" si="339"/>
        <v>25.517876720679862</v>
      </c>
      <c r="AV698" s="101">
        <f t="shared" si="355"/>
        <v>61194</v>
      </c>
      <c r="AW698" s="99">
        <f t="shared" si="356"/>
        <v>0</v>
      </c>
      <c r="AX698" s="1">
        <f t="shared" si="357"/>
        <v>0</v>
      </c>
      <c r="AY698" s="29">
        <f t="shared" si="358"/>
        <v>0</v>
      </c>
      <c r="AZ698" s="1">
        <f t="shared" si="340"/>
        <v>0</v>
      </c>
      <c r="CB698" s="20">
        <f t="shared" si="349"/>
        <v>0</v>
      </c>
      <c r="CC698" s="173">
        <f t="shared" si="341"/>
        <v>0</v>
      </c>
    </row>
    <row r="699" spans="10:81" x14ac:dyDescent="0.25">
      <c r="J699" s="7"/>
      <c r="K699" s="8"/>
      <c r="L699" s="16"/>
      <c r="M699" s="22"/>
      <c r="N699" s="22"/>
      <c r="O699" s="22"/>
      <c r="P699" s="22"/>
      <c r="Q699" s="1">
        <f t="shared" si="342"/>
        <v>0.60744618579017706</v>
      </c>
      <c r="R699" s="12">
        <f t="shared" ca="1" si="359"/>
        <v>20072</v>
      </c>
      <c r="S699" s="88">
        <f t="shared" si="338"/>
        <v>0</v>
      </c>
      <c r="T699" s="19">
        <f t="shared" si="360"/>
        <v>0</v>
      </c>
      <c r="U699" s="19">
        <f t="shared" si="361"/>
        <v>0</v>
      </c>
      <c r="V699" s="19">
        <f t="shared" si="347"/>
        <v>0</v>
      </c>
      <c r="W699" s="20">
        <f t="shared" ca="1" si="362"/>
        <v>0</v>
      </c>
      <c r="X699" s="19">
        <f t="shared" ca="1" si="363"/>
        <v>0</v>
      </c>
      <c r="Y699" s="19">
        <f t="shared" ca="1" si="364"/>
        <v>0</v>
      </c>
      <c r="Z699" s="20">
        <f t="shared" ca="1" si="365"/>
        <v>0</v>
      </c>
      <c r="AA699" s="1">
        <f t="shared" si="343"/>
        <v>5432.58</v>
      </c>
      <c r="AB699" s="91"/>
      <c r="AC699" s="92"/>
      <c r="AD699" s="101">
        <f t="shared" si="344"/>
        <v>61194</v>
      </c>
      <c r="AE699" s="103">
        <f t="shared" si="345"/>
        <v>0</v>
      </c>
      <c r="AG699" s="1">
        <f t="shared" si="366"/>
        <v>0</v>
      </c>
      <c r="AH699" s="1">
        <f t="shared" si="367"/>
        <v>0</v>
      </c>
      <c r="AI699" s="1">
        <f t="shared" si="346"/>
        <v>5432.58</v>
      </c>
      <c r="AJ699" s="20">
        <f t="shared" si="348"/>
        <v>0</v>
      </c>
      <c r="AK699" s="100">
        <f t="shared" si="350"/>
        <v>0</v>
      </c>
      <c r="AL699" s="100">
        <f t="shared" si="351"/>
        <v>0</v>
      </c>
      <c r="AN699" s="100">
        <f t="shared" si="352"/>
        <v>3870.3406180159368</v>
      </c>
      <c r="AO699" s="20">
        <f t="shared" si="353"/>
        <v>0</v>
      </c>
      <c r="AQ699" s="109">
        <f t="shared" si="354"/>
        <v>0</v>
      </c>
      <c r="AU699" s="109">
        <f t="shared" si="339"/>
        <v>25.51563701476412</v>
      </c>
      <c r="AV699" s="101">
        <f t="shared" si="355"/>
        <v>61224</v>
      </c>
      <c r="AW699" s="99">
        <f t="shared" si="356"/>
        <v>0</v>
      </c>
      <c r="AX699" s="1">
        <f t="shared" si="357"/>
        <v>0</v>
      </c>
      <c r="AY699" s="29">
        <f t="shared" si="358"/>
        <v>0</v>
      </c>
      <c r="AZ699" s="1">
        <f t="shared" si="340"/>
        <v>0</v>
      </c>
      <c r="CB699" s="20">
        <f t="shared" si="349"/>
        <v>0</v>
      </c>
      <c r="CC699" s="173">
        <f t="shared" si="341"/>
        <v>0</v>
      </c>
    </row>
    <row r="700" spans="10:81" x14ac:dyDescent="0.25">
      <c r="J700" s="9"/>
      <c r="K700" s="10"/>
      <c r="L700" s="17"/>
      <c r="M700" s="23"/>
      <c r="N700" s="23"/>
      <c r="O700" s="23"/>
      <c r="P700" s="23"/>
      <c r="Q700" s="1">
        <f t="shared" si="342"/>
        <v>0.60744618579017706</v>
      </c>
      <c r="R700" s="12">
        <f t="shared" ca="1" si="359"/>
        <v>20102</v>
      </c>
      <c r="S700" s="88">
        <f t="shared" si="338"/>
        <v>0</v>
      </c>
      <c r="T700" s="19">
        <f t="shared" si="360"/>
        <v>0</v>
      </c>
      <c r="U700" s="19">
        <f t="shared" si="361"/>
        <v>0</v>
      </c>
      <c r="V700" s="19">
        <f t="shared" si="347"/>
        <v>0</v>
      </c>
      <c r="W700" s="20">
        <f t="shared" ca="1" si="362"/>
        <v>0</v>
      </c>
      <c r="X700" s="19">
        <f t="shared" ca="1" si="363"/>
        <v>0</v>
      </c>
      <c r="Y700" s="19">
        <f t="shared" ca="1" si="364"/>
        <v>0</v>
      </c>
      <c r="Z700" s="20">
        <f t="shared" ca="1" si="365"/>
        <v>0</v>
      </c>
      <c r="AA700" s="1">
        <f t="shared" si="343"/>
        <v>5432.58</v>
      </c>
      <c r="AB700" s="93"/>
      <c r="AC700" s="94"/>
      <c r="AD700" s="101">
        <f t="shared" si="344"/>
        <v>61224</v>
      </c>
      <c r="AE700" s="103">
        <f t="shared" si="345"/>
        <v>0</v>
      </c>
      <c r="AG700" s="1">
        <f t="shared" si="366"/>
        <v>0</v>
      </c>
      <c r="AH700" s="1">
        <f t="shared" si="367"/>
        <v>0</v>
      </c>
      <c r="AI700" s="1">
        <f t="shared" si="346"/>
        <v>5432.58</v>
      </c>
      <c r="AJ700" s="20">
        <f t="shared" si="348"/>
        <v>0</v>
      </c>
      <c r="AK700" s="100">
        <f t="shared" si="350"/>
        <v>0</v>
      </c>
      <c r="AL700" s="100">
        <f t="shared" si="351"/>
        <v>0</v>
      </c>
      <c r="AN700" s="100">
        <f t="shared" si="352"/>
        <v>3868.3824228926328</v>
      </c>
      <c r="AO700" s="20">
        <f t="shared" si="353"/>
        <v>0</v>
      </c>
      <c r="AQ700" s="109">
        <f t="shared" si="354"/>
        <v>0</v>
      </c>
      <c r="AU700" s="109">
        <f t="shared" si="339"/>
        <v>25.513397505427537</v>
      </c>
      <c r="AV700" s="101">
        <f t="shared" si="355"/>
        <v>61254</v>
      </c>
      <c r="AW700" s="99">
        <f t="shared" si="356"/>
        <v>0</v>
      </c>
      <c r="AX700" s="1">
        <f t="shared" si="357"/>
        <v>0</v>
      </c>
      <c r="AY700" s="29">
        <f t="shared" si="358"/>
        <v>0</v>
      </c>
      <c r="AZ700" s="1">
        <f t="shared" si="340"/>
        <v>0</v>
      </c>
      <c r="CB700" s="20">
        <f t="shared" si="349"/>
        <v>0</v>
      </c>
      <c r="CC700" s="173">
        <f t="shared" si="341"/>
        <v>0</v>
      </c>
    </row>
    <row r="701" spans="10:81" x14ac:dyDescent="0.25">
      <c r="J701" s="7"/>
      <c r="K701" s="8"/>
      <c r="L701" s="16"/>
      <c r="M701" s="22"/>
      <c r="N701" s="22"/>
      <c r="O701" s="22"/>
      <c r="P701" s="22"/>
      <c r="Q701" s="1">
        <f t="shared" si="342"/>
        <v>0.60744618579017706</v>
      </c>
      <c r="R701" s="12">
        <f t="shared" ca="1" si="359"/>
        <v>20132</v>
      </c>
      <c r="S701" s="88">
        <f t="shared" si="338"/>
        <v>0</v>
      </c>
      <c r="T701" s="19">
        <f t="shared" si="360"/>
        <v>0</v>
      </c>
      <c r="U701" s="19">
        <f t="shared" si="361"/>
        <v>0</v>
      </c>
      <c r="V701" s="19">
        <f t="shared" si="347"/>
        <v>0</v>
      </c>
      <c r="W701" s="20">
        <f t="shared" ca="1" si="362"/>
        <v>0</v>
      </c>
      <c r="X701" s="19">
        <f t="shared" ca="1" si="363"/>
        <v>0</v>
      </c>
      <c r="Y701" s="19">
        <f t="shared" ca="1" si="364"/>
        <v>0</v>
      </c>
      <c r="Z701" s="20">
        <f t="shared" ca="1" si="365"/>
        <v>0</v>
      </c>
      <c r="AA701" s="1">
        <f t="shared" si="343"/>
        <v>5432.58</v>
      </c>
      <c r="AB701" s="91"/>
      <c r="AC701" s="92"/>
      <c r="AD701" s="101">
        <f t="shared" si="344"/>
        <v>61254</v>
      </c>
      <c r="AE701" s="103">
        <f t="shared" si="345"/>
        <v>0</v>
      </c>
      <c r="AG701" s="1">
        <f t="shared" si="366"/>
        <v>0</v>
      </c>
      <c r="AH701" s="1">
        <f t="shared" si="367"/>
        <v>0</v>
      </c>
      <c r="AI701" s="1">
        <f t="shared" si="346"/>
        <v>5432.58</v>
      </c>
      <c r="AJ701" s="20">
        <f t="shared" si="348"/>
        <v>0</v>
      </c>
      <c r="AK701" s="100">
        <f t="shared" si="350"/>
        <v>0</v>
      </c>
      <c r="AL701" s="100">
        <f t="shared" si="351"/>
        <v>0</v>
      </c>
      <c r="AN701" s="100">
        <f t="shared" si="352"/>
        <v>3866.4252185162741</v>
      </c>
      <c r="AO701" s="20">
        <f t="shared" si="353"/>
        <v>0</v>
      </c>
      <c r="AQ701" s="109">
        <f t="shared" si="354"/>
        <v>0</v>
      </c>
      <c r="AU701" s="109">
        <f t="shared" si="339"/>
        <v>25.511158192652857</v>
      </c>
      <c r="AV701" s="101">
        <f t="shared" si="355"/>
        <v>61284</v>
      </c>
      <c r="AW701" s="99">
        <f t="shared" si="356"/>
        <v>0</v>
      </c>
      <c r="AX701" s="1">
        <f t="shared" si="357"/>
        <v>0</v>
      </c>
      <c r="AY701" s="29">
        <f t="shared" si="358"/>
        <v>0</v>
      </c>
      <c r="AZ701" s="1">
        <f t="shared" si="340"/>
        <v>0</v>
      </c>
      <c r="CB701" s="20">
        <f t="shared" si="349"/>
        <v>0</v>
      </c>
      <c r="CC701" s="173">
        <f t="shared" si="341"/>
        <v>0</v>
      </c>
    </row>
    <row r="702" spans="10:81" x14ac:dyDescent="0.25">
      <c r="J702" s="9"/>
      <c r="K702" s="10"/>
      <c r="L702" s="17"/>
      <c r="M702" s="23"/>
      <c r="N702" s="23"/>
      <c r="O702" s="23"/>
      <c r="P702" s="23"/>
      <c r="Q702" s="1">
        <f t="shared" si="342"/>
        <v>0.60744618579017706</v>
      </c>
      <c r="R702" s="12">
        <f t="shared" ca="1" si="359"/>
        <v>20162</v>
      </c>
      <c r="S702" s="88">
        <f t="shared" si="338"/>
        <v>0</v>
      </c>
      <c r="T702" s="19">
        <f t="shared" si="360"/>
        <v>0</v>
      </c>
      <c r="U702" s="19">
        <f t="shared" si="361"/>
        <v>0</v>
      </c>
      <c r="V702" s="19">
        <f t="shared" si="347"/>
        <v>0</v>
      </c>
      <c r="W702" s="20">
        <f t="shared" ca="1" si="362"/>
        <v>0</v>
      </c>
      <c r="X702" s="19">
        <f t="shared" ca="1" si="363"/>
        <v>0</v>
      </c>
      <c r="Y702" s="19">
        <f t="shared" ca="1" si="364"/>
        <v>0</v>
      </c>
      <c r="Z702" s="20">
        <f t="shared" ca="1" si="365"/>
        <v>0</v>
      </c>
      <c r="AA702" s="1">
        <f t="shared" si="343"/>
        <v>5432.58</v>
      </c>
      <c r="AB702" s="93"/>
      <c r="AC702" s="94"/>
      <c r="AD702" s="101">
        <f t="shared" si="344"/>
        <v>61284</v>
      </c>
      <c r="AE702" s="103">
        <f t="shared" si="345"/>
        <v>0</v>
      </c>
      <c r="AG702" s="1">
        <f t="shared" si="366"/>
        <v>0</v>
      </c>
      <c r="AH702" s="1">
        <f t="shared" si="367"/>
        <v>0</v>
      </c>
      <c r="AI702" s="1">
        <f t="shared" si="346"/>
        <v>5432.58</v>
      </c>
      <c r="AJ702" s="20">
        <f t="shared" si="348"/>
        <v>0</v>
      </c>
      <c r="AK702" s="100">
        <f t="shared" si="350"/>
        <v>0</v>
      </c>
      <c r="AL702" s="100">
        <f t="shared" si="351"/>
        <v>0</v>
      </c>
      <c r="AN702" s="100">
        <f t="shared" si="352"/>
        <v>3864.4690043855917</v>
      </c>
      <c r="AO702" s="20">
        <f t="shared" si="353"/>
        <v>0</v>
      </c>
      <c r="AQ702" s="109">
        <f t="shared" si="354"/>
        <v>0</v>
      </c>
      <c r="AU702" s="109">
        <f t="shared" si="339"/>
        <v>25.508919076422817</v>
      </c>
      <c r="AV702" s="101">
        <f t="shared" si="355"/>
        <v>61314</v>
      </c>
      <c r="AW702" s="99">
        <f t="shared" si="356"/>
        <v>0</v>
      </c>
      <c r="AX702" s="1">
        <f t="shared" si="357"/>
        <v>0</v>
      </c>
      <c r="AY702" s="29">
        <f t="shared" si="358"/>
        <v>0</v>
      </c>
      <c r="AZ702" s="1">
        <f t="shared" si="340"/>
        <v>0</v>
      </c>
      <c r="CB702" s="20">
        <f t="shared" si="349"/>
        <v>0</v>
      </c>
      <c r="CC702" s="173">
        <f t="shared" si="341"/>
        <v>0</v>
      </c>
    </row>
    <row r="703" spans="10:81" x14ac:dyDescent="0.25">
      <c r="J703" s="7"/>
      <c r="K703" s="8"/>
      <c r="L703" s="16"/>
      <c r="M703" s="22"/>
      <c r="N703" s="22"/>
      <c r="O703" s="22"/>
      <c r="P703" s="22"/>
      <c r="Q703" s="1">
        <f t="shared" si="342"/>
        <v>0.60744618579017706</v>
      </c>
      <c r="R703" s="12">
        <f t="shared" ca="1" si="359"/>
        <v>20192</v>
      </c>
      <c r="S703" s="88">
        <f t="shared" si="338"/>
        <v>0</v>
      </c>
      <c r="T703" s="19">
        <f t="shared" si="360"/>
        <v>0</v>
      </c>
      <c r="U703" s="19">
        <f t="shared" si="361"/>
        <v>0</v>
      </c>
      <c r="V703" s="19">
        <f t="shared" si="347"/>
        <v>0</v>
      </c>
      <c r="W703" s="20">
        <f t="shared" ca="1" si="362"/>
        <v>0</v>
      </c>
      <c r="X703" s="19">
        <f t="shared" ca="1" si="363"/>
        <v>0</v>
      </c>
      <c r="Y703" s="19">
        <f t="shared" ca="1" si="364"/>
        <v>0</v>
      </c>
      <c r="Z703" s="20">
        <f t="shared" ca="1" si="365"/>
        <v>0</v>
      </c>
      <c r="AA703" s="1">
        <f t="shared" si="343"/>
        <v>5432.58</v>
      </c>
      <c r="AB703" s="91"/>
      <c r="AC703" s="92"/>
      <c r="AD703" s="101">
        <f t="shared" si="344"/>
        <v>61314</v>
      </c>
      <c r="AE703" s="103">
        <f t="shared" si="345"/>
        <v>0</v>
      </c>
      <c r="AG703" s="1">
        <f t="shared" si="366"/>
        <v>0</v>
      </c>
      <c r="AH703" s="1">
        <f t="shared" si="367"/>
        <v>0</v>
      </c>
      <c r="AI703" s="1">
        <f t="shared" si="346"/>
        <v>5432.58</v>
      </c>
      <c r="AJ703" s="20">
        <f t="shared" si="348"/>
        <v>0</v>
      </c>
      <c r="AK703" s="100">
        <f t="shared" si="350"/>
        <v>0</v>
      </c>
      <c r="AL703" s="100">
        <f t="shared" si="351"/>
        <v>0</v>
      </c>
      <c r="AN703" s="100">
        <f t="shared" si="352"/>
        <v>3862.5137799995719</v>
      </c>
      <c r="AO703" s="20">
        <f t="shared" si="353"/>
        <v>0</v>
      </c>
      <c r="AQ703" s="109">
        <f t="shared" si="354"/>
        <v>0</v>
      </c>
      <c r="AU703" s="109">
        <f t="shared" si="339"/>
        <v>25.506680156720183</v>
      </c>
      <c r="AV703" s="101">
        <f t="shared" si="355"/>
        <v>61344</v>
      </c>
      <c r="AW703" s="99">
        <f t="shared" si="356"/>
        <v>0</v>
      </c>
      <c r="AX703" s="1">
        <f t="shared" si="357"/>
        <v>0</v>
      </c>
      <c r="AY703" s="29">
        <f t="shared" si="358"/>
        <v>0</v>
      </c>
      <c r="AZ703" s="1">
        <f t="shared" si="340"/>
        <v>0</v>
      </c>
      <c r="CB703" s="20">
        <f t="shared" si="349"/>
        <v>0</v>
      </c>
      <c r="CC703" s="173">
        <f t="shared" si="341"/>
        <v>0</v>
      </c>
    </row>
    <row r="704" spans="10:81" x14ac:dyDescent="0.25">
      <c r="J704" s="9"/>
      <c r="K704" s="10"/>
      <c r="L704" s="17"/>
      <c r="M704" s="23"/>
      <c r="N704" s="23"/>
      <c r="O704" s="23"/>
      <c r="P704" s="23"/>
      <c r="Q704" s="1">
        <f t="shared" si="342"/>
        <v>0.60744618579017706</v>
      </c>
      <c r="R704" s="12">
        <f t="shared" ca="1" si="359"/>
        <v>20222</v>
      </c>
      <c r="S704" s="88">
        <f t="shared" si="338"/>
        <v>0</v>
      </c>
      <c r="T704" s="19">
        <f t="shared" si="360"/>
        <v>0</v>
      </c>
      <c r="U704" s="19">
        <f t="shared" si="361"/>
        <v>0</v>
      </c>
      <c r="V704" s="19">
        <f t="shared" si="347"/>
        <v>0</v>
      </c>
      <c r="W704" s="20">
        <f t="shared" ca="1" si="362"/>
        <v>0</v>
      </c>
      <c r="X704" s="19">
        <f t="shared" ca="1" si="363"/>
        <v>0</v>
      </c>
      <c r="Y704" s="19">
        <f t="shared" ca="1" si="364"/>
        <v>0</v>
      </c>
      <c r="Z704" s="20">
        <f t="shared" ca="1" si="365"/>
        <v>0</v>
      </c>
      <c r="AA704" s="1">
        <f t="shared" si="343"/>
        <v>5432.58</v>
      </c>
      <c r="AB704" s="93"/>
      <c r="AC704" s="94"/>
      <c r="AD704" s="101">
        <f t="shared" si="344"/>
        <v>61344</v>
      </c>
      <c r="AE704" s="103">
        <f t="shared" si="345"/>
        <v>0</v>
      </c>
      <c r="AG704" s="1">
        <f t="shared" si="366"/>
        <v>0</v>
      </c>
      <c r="AH704" s="1">
        <f t="shared" si="367"/>
        <v>0</v>
      </c>
      <c r="AI704" s="1">
        <f t="shared" si="346"/>
        <v>5432.58</v>
      </c>
      <c r="AJ704" s="20">
        <f t="shared" si="348"/>
        <v>0</v>
      </c>
      <c r="AK704" s="100">
        <f t="shared" si="350"/>
        <v>0</v>
      </c>
      <c r="AL704" s="100">
        <f t="shared" si="351"/>
        <v>0</v>
      </c>
      <c r="AN704" s="100">
        <f t="shared" si="352"/>
        <v>3860.5595448574559</v>
      </c>
      <c r="AO704" s="20">
        <f t="shared" si="353"/>
        <v>0</v>
      </c>
      <c r="AQ704" s="109">
        <f t="shared" si="354"/>
        <v>0</v>
      </c>
      <c r="AU704" s="109">
        <f t="shared" si="339"/>
        <v>25.504441433527688</v>
      </c>
      <c r="AV704" s="101">
        <f t="shared" si="355"/>
        <v>61374</v>
      </c>
      <c r="AW704" s="99">
        <f t="shared" si="356"/>
        <v>0</v>
      </c>
      <c r="AX704" s="1">
        <f t="shared" si="357"/>
        <v>0</v>
      </c>
      <c r="AY704" s="29">
        <f t="shared" si="358"/>
        <v>0</v>
      </c>
      <c r="AZ704" s="1">
        <f t="shared" si="340"/>
        <v>0</v>
      </c>
      <c r="CB704" s="20">
        <f t="shared" si="349"/>
        <v>0</v>
      </c>
      <c r="CC704" s="173">
        <f t="shared" si="341"/>
        <v>0</v>
      </c>
    </row>
    <row r="705" spans="10:81" x14ac:dyDescent="0.25">
      <c r="J705" s="7"/>
      <c r="K705" s="8"/>
      <c r="L705" s="16"/>
      <c r="M705" s="22"/>
      <c r="N705" s="22"/>
      <c r="O705" s="22"/>
      <c r="P705" s="22"/>
      <c r="Q705" s="1">
        <f t="shared" si="342"/>
        <v>0.60744618579017706</v>
      </c>
      <c r="R705" s="12">
        <f t="shared" ca="1" si="359"/>
        <v>20252</v>
      </c>
      <c r="S705" s="88">
        <f t="shared" si="338"/>
        <v>0</v>
      </c>
      <c r="T705" s="19">
        <f t="shared" si="360"/>
        <v>0</v>
      </c>
      <c r="U705" s="19">
        <f t="shared" si="361"/>
        <v>0</v>
      </c>
      <c r="V705" s="19">
        <f t="shared" si="347"/>
        <v>0</v>
      </c>
      <c r="W705" s="20">
        <f t="shared" ca="1" si="362"/>
        <v>0</v>
      </c>
      <c r="X705" s="19">
        <f t="shared" ca="1" si="363"/>
        <v>0</v>
      </c>
      <c r="Y705" s="19">
        <f t="shared" ca="1" si="364"/>
        <v>0</v>
      </c>
      <c r="Z705" s="20">
        <f t="shared" ca="1" si="365"/>
        <v>0</v>
      </c>
      <c r="AA705" s="1">
        <f t="shared" si="343"/>
        <v>5432.58</v>
      </c>
      <c r="AB705" s="91"/>
      <c r="AC705" s="92"/>
      <c r="AD705" s="101">
        <f t="shared" si="344"/>
        <v>61374</v>
      </c>
      <c r="AE705" s="103">
        <f t="shared" si="345"/>
        <v>0</v>
      </c>
      <c r="AG705" s="1">
        <f t="shared" si="366"/>
        <v>0</v>
      </c>
      <c r="AH705" s="1">
        <f t="shared" si="367"/>
        <v>0</v>
      </c>
      <c r="AI705" s="1">
        <f t="shared" si="346"/>
        <v>5432.58</v>
      </c>
      <c r="AJ705" s="20">
        <f t="shared" si="348"/>
        <v>0</v>
      </c>
      <c r="AK705" s="100">
        <f t="shared" si="350"/>
        <v>0</v>
      </c>
      <c r="AL705" s="100">
        <f t="shared" si="351"/>
        <v>0</v>
      </c>
      <c r="AN705" s="100">
        <f t="shared" si="352"/>
        <v>3858.6062984587347</v>
      </c>
      <c r="AO705" s="20">
        <f t="shared" si="353"/>
        <v>0</v>
      </c>
      <c r="AQ705" s="109">
        <f t="shared" si="354"/>
        <v>0</v>
      </c>
      <c r="AU705" s="109">
        <f t="shared" si="339"/>
        <v>25.502202906828085</v>
      </c>
      <c r="AV705" s="101">
        <f t="shared" si="355"/>
        <v>61404</v>
      </c>
      <c r="AW705" s="99">
        <f t="shared" si="356"/>
        <v>0</v>
      </c>
      <c r="AX705" s="1">
        <f t="shared" si="357"/>
        <v>0</v>
      </c>
      <c r="AY705" s="29">
        <f t="shared" si="358"/>
        <v>0</v>
      </c>
      <c r="AZ705" s="1">
        <f t="shared" si="340"/>
        <v>0</v>
      </c>
      <c r="CB705" s="20">
        <f t="shared" si="349"/>
        <v>0</v>
      </c>
      <c r="CC705" s="173">
        <f t="shared" si="341"/>
        <v>0</v>
      </c>
    </row>
    <row r="706" spans="10:81" x14ac:dyDescent="0.25">
      <c r="J706" s="9"/>
      <c r="K706" s="10"/>
      <c r="L706" s="17"/>
      <c r="M706" s="23"/>
      <c r="N706" s="23"/>
      <c r="O706" s="23"/>
      <c r="P706" s="23"/>
      <c r="Q706" s="1">
        <f t="shared" si="342"/>
        <v>0.60744618579017706</v>
      </c>
      <c r="R706" s="12">
        <f t="shared" ca="1" si="359"/>
        <v>20282</v>
      </c>
      <c r="S706" s="88">
        <f t="shared" si="338"/>
        <v>0</v>
      </c>
      <c r="T706" s="19">
        <f t="shared" si="360"/>
        <v>0</v>
      </c>
      <c r="U706" s="19">
        <f t="shared" si="361"/>
        <v>0</v>
      </c>
      <c r="V706" s="19">
        <f t="shared" si="347"/>
        <v>0</v>
      </c>
      <c r="W706" s="20">
        <f t="shared" ca="1" si="362"/>
        <v>0</v>
      </c>
      <c r="X706" s="19">
        <f t="shared" ca="1" si="363"/>
        <v>0</v>
      </c>
      <c r="Y706" s="19">
        <f t="shared" ca="1" si="364"/>
        <v>0</v>
      </c>
      <c r="Z706" s="20">
        <f t="shared" ca="1" si="365"/>
        <v>0</v>
      </c>
      <c r="AA706" s="1">
        <f t="shared" si="343"/>
        <v>5432.58</v>
      </c>
      <c r="AB706" s="93"/>
      <c r="AC706" s="94"/>
      <c r="AD706" s="101">
        <f t="shared" si="344"/>
        <v>61404</v>
      </c>
      <c r="AE706" s="103">
        <f t="shared" si="345"/>
        <v>0</v>
      </c>
      <c r="AG706" s="1">
        <f t="shared" si="366"/>
        <v>0</v>
      </c>
      <c r="AH706" s="1">
        <f t="shared" si="367"/>
        <v>0</v>
      </c>
      <c r="AI706" s="1">
        <f t="shared" si="346"/>
        <v>5432.58</v>
      </c>
      <c r="AJ706" s="20">
        <f t="shared" si="348"/>
        <v>0</v>
      </c>
      <c r="AK706" s="100">
        <f t="shared" si="350"/>
        <v>0</v>
      </c>
      <c r="AL706" s="100">
        <f t="shared" si="351"/>
        <v>0</v>
      </c>
      <c r="AN706" s="100">
        <f t="shared" si="352"/>
        <v>3856.6540403031563</v>
      </c>
      <c r="AO706" s="20">
        <f t="shared" si="353"/>
        <v>0</v>
      </c>
      <c r="AQ706" s="109">
        <f t="shared" si="354"/>
        <v>0</v>
      </c>
      <c r="AU706" s="109">
        <f t="shared" si="339"/>
        <v>25.499964576604139</v>
      </c>
      <c r="AV706" s="101">
        <f t="shared" si="355"/>
        <v>61434</v>
      </c>
      <c r="AW706" s="99">
        <f t="shared" si="356"/>
        <v>0</v>
      </c>
      <c r="AX706" s="1">
        <f t="shared" si="357"/>
        <v>0</v>
      </c>
      <c r="AY706" s="29">
        <f t="shared" si="358"/>
        <v>0</v>
      </c>
      <c r="AZ706" s="1">
        <f t="shared" si="340"/>
        <v>0</v>
      </c>
      <c r="CB706" s="20">
        <f t="shared" si="349"/>
        <v>0</v>
      </c>
      <c r="CC706" s="173">
        <f t="shared" si="341"/>
        <v>0</v>
      </c>
    </row>
    <row r="707" spans="10:81" x14ac:dyDescent="0.25">
      <c r="J707" s="7"/>
      <c r="K707" s="8"/>
      <c r="L707" s="16"/>
      <c r="M707" s="22"/>
      <c r="N707" s="22"/>
      <c r="O707" s="22"/>
      <c r="P707" s="22"/>
      <c r="Q707" s="1">
        <f t="shared" si="342"/>
        <v>0.60744618579017706</v>
      </c>
      <c r="R707" s="12">
        <f t="shared" ca="1" si="359"/>
        <v>20312</v>
      </c>
      <c r="S707" s="88">
        <f t="shared" ref="S707:S770" si="368">N707+M707</f>
        <v>0</v>
      </c>
      <c r="T707" s="19">
        <f t="shared" si="360"/>
        <v>0</v>
      </c>
      <c r="U707" s="19">
        <f t="shared" si="361"/>
        <v>0</v>
      </c>
      <c r="V707" s="19">
        <f t="shared" si="347"/>
        <v>0</v>
      </c>
      <c r="W707" s="20">
        <f t="shared" ca="1" si="362"/>
        <v>0</v>
      </c>
      <c r="X707" s="19">
        <f t="shared" ca="1" si="363"/>
        <v>0</v>
      </c>
      <c r="Y707" s="19">
        <f t="shared" ca="1" si="364"/>
        <v>0</v>
      </c>
      <c r="Z707" s="20">
        <f t="shared" ca="1" si="365"/>
        <v>0</v>
      </c>
      <c r="AA707" s="1">
        <f t="shared" si="343"/>
        <v>5432.58</v>
      </c>
      <c r="AB707" s="91"/>
      <c r="AC707" s="92"/>
      <c r="AD707" s="101">
        <f t="shared" si="344"/>
        <v>61434</v>
      </c>
      <c r="AE707" s="103">
        <f t="shared" si="345"/>
        <v>0</v>
      </c>
      <c r="AG707" s="1">
        <f t="shared" si="366"/>
        <v>0</v>
      </c>
      <c r="AH707" s="1">
        <f t="shared" si="367"/>
        <v>0</v>
      </c>
      <c r="AI707" s="1">
        <f t="shared" si="346"/>
        <v>5432.58</v>
      </c>
      <c r="AJ707" s="20">
        <f t="shared" si="348"/>
        <v>0</v>
      </c>
      <c r="AK707" s="100">
        <f t="shared" si="350"/>
        <v>0</v>
      </c>
      <c r="AL707" s="100">
        <f t="shared" si="351"/>
        <v>0</v>
      </c>
      <c r="AN707" s="100">
        <f t="shared" si="352"/>
        <v>3854.7027698907177</v>
      </c>
      <c r="AO707" s="20">
        <f t="shared" si="353"/>
        <v>0</v>
      </c>
      <c r="AQ707" s="109">
        <f t="shared" si="354"/>
        <v>0</v>
      </c>
      <c r="AU707" s="109">
        <f t="shared" si="339"/>
        <v>25.497726442838601</v>
      </c>
      <c r="AV707" s="101">
        <f t="shared" si="355"/>
        <v>61464</v>
      </c>
      <c r="AW707" s="99">
        <f t="shared" si="356"/>
        <v>0</v>
      </c>
      <c r="AX707" s="1">
        <f t="shared" si="357"/>
        <v>0</v>
      </c>
      <c r="AY707" s="29">
        <f t="shared" si="358"/>
        <v>0</v>
      </c>
      <c r="AZ707" s="1">
        <f t="shared" si="340"/>
        <v>0</v>
      </c>
      <c r="CB707" s="20">
        <f t="shared" si="349"/>
        <v>0</v>
      </c>
      <c r="CC707" s="173">
        <f t="shared" si="341"/>
        <v>0</v>
      </c>
    </row>
    <row r="708" spans="10:81" x14ac:dyDescent="0.25">
      <c r="J708" s="9"/>
      <c r="K708" s="10"/>
      <c r="L708" s="17"/>
      <c r="M708" s="23"/>
      <c r="N708" s="23"/>
      <c r="O708" s="23"/>
      <c r="P708" s="23"/>
      <c r="Q708" s="1">
        <f t="shared" si="342"/>
        <v>0.60744618579017706</v>
      </c>
      <c r="R708" s="12">
        <f t="shared" ca="1" si="359"/>
        <v>20342</v>
      </c>
      <c r="S708" s="88">
        <f t="shared" si="368"/>
        <v>0</v>
      </c>
      <c r="T708" s="19">
        <f t="shared" si="360"/>
        <v>0</v>
      </c>
      <c r="U708" s="19">
        <f t="shared" si="361"/>
        <v>0</v>
      </c>
      <c r="V708" s="19">
        <f t="shared" si="347"/>
        <v>0</v>
      </c>
      <c r="W708" s="20">
        <f t="shared" ca="1" si="362"/>
        <v>0</v>
      </c>
      <c r="X708" s="19">
        <f t="shared" ca="1" si="363"/>
        <v>0</v>
      </c>
      <c r="Y708" s="19">
        <f t="shared" ca="1" si="364"/>
        <v>0</v>
      </c>
      <c r="Z708" s="20">
        <f t="shared" ca="1" si="365"/>
        <v>0</v>
      </c>
      <c r="AA708" s="1">
        <f t="shared" si="343"/>
        <v>5432.58</v>
      </c>
      <c r="AB708" s="93"/>
      <c r="AC708" s="94"/>
      <c r="AD708" s="101">
        <f t="shared" si="344"/>
        <v>61464</v>
      </c>
      <c r="AE708" s="103">
        <f t="shared" si="345"/>
        <v>0</v>
      </c>
      <c r="AG708" s="1">
        <f t="shared" si="366"/>
        <v>0</v>
      </c>
      <c r="AH708" s="1">
        <f t="shared" si="367"/>
        <v>0</v>
      </c>
      <c r="AI708" s="1">
        <f t="shared" si="346"/>
        <v>5432.58</v>
      </c>
      <c r="AJ708" s="20">
        <f t="shared" si="348"/>
        <v>0</v>
      </c>
      <c r="AK708" s="100">
        <f t="shared" si="350"/>
        <v>0</v>
      </c>
      <c r="AL708" s="100">
        <f t="shared" si="351"/>
        <v>0</v>
      </c>
      <c r="AN708" s="100">
        <f t="shared" si="352"/>
        <v>3852.752486721673</v>
      </c>
      <c r="AO708" s="20">
        <f t="shared" si="353"/>
        <v>0</v>
      </c>
      <c r="AQ708" s="109">
        <f t="shared" si="354"/>
        <v>0</v>
      </c>
      <c r="AU708" s="109">
        <f t="shared" si="339"/>
        <v>25.495488505514242</v>
      </c>
      <c r="AV708" s="101">
        <f t="shared" si="355"/>
        <v>61494</v>
      </c>
      <c r="AW708" s="99">
        <f t="shared" si="356"/>
        <v>0</v>
      </c>
      <c r="AX708" s="1">
        <f t="shared" si="357"/>
        <v>0</v>
      </c>
      <c r="AY708" s="29">
        <f t="shared" si="358"/>
        <v>0</v>
      </c>
      <c r="AZ708" s="1">
        <f t="shared" si="340"/>
        <v>0</v>
      </c>
      <c r="CB708" s="20">
        <f t="shared" si="349"/>
        <v>0</v>
      </c>
      <c r="CC708" s="173">
        <f t="shared" si="341"/>
        <v>0</v>
      </c>
    </row>
    <row r="709" spans="10:81" x14ac:dyDescent="0.25">
      <c r="J709" s="7"/>
      <c r="K709" s="8"/>
      <c r="L709" s="16"/>
      <c r="M709" s="22"/>
      <c r="N709" s="22"/>
      <c r="O709" s="22"/>
      <c r="P709" s="22"/>
      <c r="Q709" s="1">
        <f t="shared" si="342"/>
        <v>0.60744618579017706</v>
      </c>
      <c r="R709" s="12">
        <f t="shared" ca="1" si="359"/>
        <v>20372</v>
      </c>
      <c r="S709" s="88">
        <f t="shared" si="368"/>
        <v>0</v>
      </c>
      <c r="T709" s="19">
        <f t="shared" si="360"/>
        <v>0</v>
      </c>
      <c r="U709" s="19">
        <f t="shared" si="361"/>
        <v>0</v>
      </c>
      <c r="V709" s="19">
        <f t="shared" si="347"/>
        <v>0</v>
      </c>
      <c r="W709" s="20">
        <f t="shared" ca="1" si="362"/>
        <v>0</v>
      </c>
      <c r="X709" s="19">
        <f t="shared" ca="1" si="363"/>
        <v>0</v>
      </c>
      <c r="Y709" s="19">
        <f t="shared" ca="1" si="364"/>
        <v>0</v>
      </c>
      <c r="Z709" s="20">
        <f t="shared" ca="1" si="365"/>
        <v>0</v>
      </c>
      <c r="AA709" s="1">
        <f t="shared" si="343"/>
        <v>5432.58</v>
      </c>
      <c r="AB709" s="91"/>
      <c r="AC709" s="92"/>
      <c r="AD709" s="101">
        <f t="shared" si="344"/>
        <v>61494</v>
      </c>
      <c r="AE709" s="103">
        <f t="shared" si="345"/>
        <v>0</v>
      </c>
      <c r="AG709" s="1">
        <f t="shared" si="366"/>
        <v>0</v>
      </c>
      <c r="AH709" s="1">
        <f t="shared" si="367"/>
        <v>0</v>
      </c>
      <c r="AI709" s="1">
        <f t="shared" si="346"/>
        <v>5432.58</v>
      </c>
      <c r="AJ709" s="20">
        <f t="shared" si="348"/>
        <v>0</v>
      </c>
      <c r="AK709" s="100">
        <f t="shared" si="350"/>
        <v>0</v>
      </c>
      <c r="AL709" s="100">
        <f t="shared" si="351"/>
        <v>0</v>
      </c>
      <c r="AN709" s="100">
        <f t="shared" si="352"/>
        <v>3850.8031902965276</v>
      </c>
      <c r="AO709" s="20">
        <f t="shared" si="353"/>
        <v>0</v>
      </c>
      <c r="AQ709" s="109">
        <f t="shared" si="354"/>
        <v>0</v>
      </c>
      <c r="AU709" s="109">
        <f t="shared" si="339"/>
        <v>25.493250764613787</v>
      </c>
      <c r="AV709" s="101">
        <f t="shared" si="355"/>
        <v>61524</v>
      </c>
      <c r="AW709" s="99">
        <f t="shared" si="356"/>
        <v>0</v>
      </c>
      <c r="AX709" s="1">
        <f t="shared" si="357"/>
        <v>0</v>
      </c>
      <c r="AY709" s="29">
        <f t="shared" si="358"/>
        <v>0</v>
      </c>
      <c r="AZ709" s="1">
        <f t="shared" si="340"/>
        <v>0</v>
      </c>
      <c r="CB709" s="20">
        <f t="shared" si="349"/>
        <v>0</v>
      </c>
      <c r="CC709" s="173">
        <f t="shared" si="341"/>
        <v>0</v>
      </c>
    </row>
    <row r="710" spans="10:81" x14ac:dyDescent="0.25">
      <c r="J710" s="9"/>
      <c r="K710" s="10"/>
      <c r="L710" s="17"/>
      <c r="M710" s="23"/>
      <c r="N710" s="23"/>
      <c r="O710" s="23"/>
      <c r="P710" s="23"/>
      <c r="Q710" s="1">
        <f t="shared" si="342"/>
        <v>0.60744618579017706</v>
      </c>
      <c r="R710" s="12">
        <f t="shared" ca="1" si="359"/>
        <v>20402</v>
      </c>
      <c r="S710" s="88">
        <f t="shared" si="368"/>
        <v>0</v>
      </c>
      <c r="T710" s="19">
        <f t="shared" si="360"/>
        <v>0</v>
      </c>
      <c r="U710" s="19">
        <f t="shared" si="361"/>
        <v>0</v>
      </c>
      <c r="V710" s="19">
        <f t="shared" si="347"/>
        <v>0</v>
      </c>
      <c r="W710" s="20">
        <f t="shared" ca="1" si="362"/>
        <v>0</v>
      </c>
      <c r="X710" s="19">
        <f t="shared" ca="1" si="363"/>
        <v>0</v>
      </c>
      <c r="Y710" s="19">
        <f t="shared" ca="1" si="364"/>
        <v>0</v>
      </c>
      <c r="Z710" s="20">
        <f t="shared" ca="1" si="365"/>
        <v>0</v>
      </c>
      <c r="AA710" s="1">
        <f t="shared" si="343"/>
        <v>5432.58</v>
      </c>
      <c r="AB710" s="93"/>
      <c r="AC710" s="94"/>
      <c r="AD710" s="101">
        <f t="shared" si="344"/>
        <v>61524</v>
      </c>
      <c r="AE710" s="103">
        <f t="shared" si="345"/>
        <v>0</v>
      </c>
      <c r="AG710" s="1">
        <f t="shared" si="366"/>
        <v>0</v>
      </c>
      <c r="AH710" s="1">
        <f t="shared" si="367"/>
        <v>0</v>
      </c>
      <c r="AI710" s="1">
        <f t="shared" si="346"/>
        <v>5432.58</v>
      </c>
      <c r="AJ710" s="20">
        <f t="shared" si="348"/>
        <v>0</v>
      </c>
      <c r="AK710" s="100">
        <f t="shared" si="350"/>
        <v>0</v>
      </c>
      <c r="AL710" s="100">
        <f t="shared" si="351"/>
        <v>0</v>
      </c>
      <c r="AN710" s="100">
        <f t="shared" si="352"/>
        <v>3848.8548801160382</v>
      </c>
      <c r="AO710" s="20">
        <f t="shared" si="353"/>
        <v>0</v>
      </c>
      <c r="AQ710" s="109">
        <f t="shared" si="354"/>
        <v>0</v>
      </c>
      <c r="AU710" s="109">
        <f t="shared" si="339"/>
        <v>25.491013220120028</v>
      </c>
      <c r="AV710" s="101">
        <f t="shared" si="355"/>
        <v>61554</v>
      </c>
      <c r="AW710" s="99">
        <f t="shared" si="356"/>
        <v>0</v>
      </c>
      <c r="AX710" s="1">
        <f t="shared" si="357"/>
        <v>0</v>
      </c>
      <c r="AY710" s="29">
        <f t="shared" si="358"/>
        <v>0</v>
      </c>
      <c r="AZ710" s="1">
        <f t="shared" si="340"/>
        <v>0</v>
      </c>
      <c r="CB710" s="20">
        <f t="shared" si="349"/>
        <v>0</v>
      </c>
      <c r="CC710" s="173">
        <f t="shared" si="341"/>
        <v>0</v>
      </c>
    </row>
    <row r="711" spans="10:81" x14ac:dyDescent="0.25">
      <c r="J711" s="7"/>
      <c r="K711" s="8"/>
      <c r="L711" s="16"/>
      <c r="M711" s="22"/>
      <c r="N711" s="22"/>
      <c r="O711" s="22"/>
      <c r="P711" s="22"/>
      <c r="Q711" s="1">
        <f t="shared" si="342"/>
        <v>0.60744618579017706</v>
      </c>
      <c r="R711" s="12">
        <f t="shared" ca="1" si="359"/>
        <v>20432</v>
      </c>
      <c r="S711" s="88">
        <f t="shared" si="368"/>
        <v>0</v>
      </c>
      <c r="T711" s="19">
        <f t="shared" si="360"/>
        <v>0</v>
      </c>
      <c r="U711" s="19">
        <f t="shared" si="361"/>
        <v>0</v>
      </c>
      <c r="V711" s="19">
        <f t="shared" si="347"/>
        <v>0</v>
      </c>
      <c r="W711" s="20">
        <f t="shared" ca="1" si="362"/>
        <v>0</v>
      </c>
      <c r="X711" s="19">
        <f t="shared" ca="1" si="363"/>
        <v>0</v>
      </c>
      <c r="Y711" s="19">
        <f t="shared" ca="1" si="364"/>
        <v>0</v>
      </c>
      <c r="Z711" s="20">
        <f t="shared" ca="1" si="365"/>
        <v>0</v>
      </c>
      <c r="AA711" s="1">
        <f t="shared" si="343"/>
        <v>5432.58</v>
      </c>
      <c r="AB711" s="91"/>
      <c r="AC711" s="92"/>
      <c r="AD711" s="101">
        <f t="shared" si="344"/>
        <v>61554</v>
      </c>
      <c r="AE711" s="103">
        <f t="shared" si="345"/>
        <v>0</v>
      </c>
      <c r="AG711" s="1">
        <f t="shared" si="366"/>
        <v>0</v>
      </c>
      <c r="AH711" s="1">
        <f t="shared" si="367"/>
        <v>0</v>
      </c>
      <c r="AI711" s="1">
        <f t="shared" si="346"/>
        <v>5432.58</v>
      </c>
      <c r="AJ711" s="20">
        <f t="shared" si="348"/>
        <v>0</v>
      </c>
      <c r="AK711" s="100">
        <f t="shared" si="350"/>
        <v>0</v>
      </c>
      <c r="AL711" s="100">
        <f t="shared" si="351"/>
        <v>0</v>
      </c>
      <c r="AN711" s="100">
        <f t="shared" si="352"/>
        <v>3846.9075556812168</v>
      </c>
      <c r="AO711" s="20">
        <f t="shared" si="353"/>
        <v>0</v>
      </c>
      <c r="AQ711" s="109">
        <f t="shared" si="354"/>
        <v>0</v>
      </c>
      <c r="AU711" s="109">
        <f t="shared" si="339"/>
        <v>25.488775872015704</v>
      </c>
      <c r="AV711" s="101">
        <f t="shared" si="355"/>
        <v>61584</v>
      </c>
      <c r="AW711" s="99">
        <f t="shared" si="356"/>
        <v>0</v>
      </c>
      <c r="AX711" s="1">
        <f t="shared" si="357"/>
        <v>0</v>
      </c>
      <c r="AY711" s="29">
        <f t="shared" si="358"/>
        <v>0</v>
      </c>
      <c r="AZ711" s="1">
        <f t="shared" si="340"/>
        <v>0</v>
      </c>
      <c r="CB711" s="20">
        <f t="shared" si="349"/>
        <v>0</v>
      </c>
      <c r="CC711" s="173">
        <f t="shared" si="341"/>
        <v>0</v>
      </c>
    </row>
    <row r="712" spans="10:81" x14ac:dyDescent="0.25">
      <c r="J712" s="9"/>
      <c r="K712" s="10"/>
      <c r="L712" s="17"/>
      <c r="M712" s="23"/>
      <c r="N712" s="23"/>
      <c r="O712" s="23"/>
      <c r="P712" s="23"/>
      <c r="Q712" s="1">
        <f t="shared" si="342"/>
        <v>0.60744618579017706</v>
      </c>
      <c r="R712" s="12">
        <f t="shared" ca="1" si="359"/>
        <v>20462</v>
      </c>
      <c r="S712" s="88">
        <f t="shared" si="368"/>
        <v>0</v>
      </c>
      <c r="T712" s="19">
        <f t="shared" si="360"/>
        <v>0</v>
      </c>
      <c r="U712" s="19">
        <f t="shared" si="361"/>
        <v>0</v>
      </c>
      <c r="V712" s="19">
        <f t="shared" si="347"/>
        <v>0</v>
      </c>
      <c r="W712" s="20">
        <f t="shared" ca="1" si="362"/>
        <v>0</v>
      </c>
      <c r="X712" s="19">
        <f t="shared" ca="1" si="363"/>
        <v>0</v>
      </c>
      <c r="Y712" s="19">
        <f t="shared" ca="1" si="364"/>
        <v>0</v>
      </c>
      <c r="Z712" s="20">
        <f t="shared" ca="1" si="365"/>
        <v>0</v>
      </c>
      <c r="AA712" s="1">
        <f t="shared" si="343"/>
        <v>5432.58</v>
      </c>
      <c r="AB712" s="93"/>
      <c r="AC712" s="94"/>
      <c r="AD712" s="101">
        <f t="shared" si="344"/>
        <v>61584</v>
      </c>
      <c r="AE712" s="103">
        <f t="shared" si="345"/>
        <v>0</v>
      </c>
      <c r="AG712" s="1">
        <f t="shared" si="366"/>
        <v>0</v>
      </c>
      <c r="AH712" s="1">
        <f t="shared" si="367"/>
        <v>0</v>
      </c>
      <c r="AI712" s="1">
        <f t="shared" si="346"/>
        <v>5432.58</v>
      </c>
      <c r="AJ712" s="20">
        <f t="shared" si="348"/>
        <v>0</v>
      </c>
      <c r="AK712" s="100">
        <f t="shared" si="350"/>
        <v>0</v>
      </c>
      <c r="AL712" s="100">
        <f t="shared" si="351"/>
        <v>0</v>
      </c>
      <c r="AN712" s="100">
        <f t="shared" si="352"/>
        <v>3844.9612164933251</v>
      </c>
      <c r="AO712" s="20">
        <f t="shared" si="353"/>
        <v>0</v>
      </c>
      <c r="AQ712" s="109">
        <f t="shared" si="354"/>
        <v>0</v>
      </c>
      <c r="AU712" s="109">
        <f t="shared" si="339"/>
        <v>25.486538720283598</v>
      </c>
      <c r="AV712" s="101">
        <f t="shared" si="355"/>
        <v>61614</v>
      </c>
      <c r="AW712" s="99">
        <f t="shared" si="356"/>
        <v>0</v>
      </c>
      <c r="AX712" s="1">
        <f t="shared" si="357"/>
        <v>0</v>
      </c>
      <c r="AY712" s="29">
        <f t="shared" si="358"/>
        <v>0</v>
      </c>
      <c r="AZ712" s="1">
        <f t="shared" si="340"/>
        <v>0</v>
      </c>
      <c r="CB712" s="20">
        <f t="shared" si="349"/>
        <v>0</v>
      </c>
      <c r="CC712" s="173">
        <f t="shared" si="341"/>
        <v>0</v>
      </c>
    </row>
    <row r="713" spans="10:81" x14ac:dyDescent="0.25">
      <c r="J713" s="7"/>
      <c r="K713" s="8"/>
      <c r="L713" s="16"/>
      <c r="M713" s="22"/>
      <c r="N713" s="22"/>
      <c r="O713" s="22"/>
      <c r="P713" s="22"/>
      <c r="Q713" s="1">
        <f t="shared" si="342"/>
        <v>0.60744618579017706</v>
      </c>
      <c r="R713" s="12">
        <f t="shared" ca="1" si="359"/>
        <v>20492</v>
      </c>
      <c r="S713" s="88">
        <f t="shared" si="368"/>
        <v>0</v>
      </c>
      <c r="T713" s="19">
        <f t="shared" si="360"/>
        <v>0</v>
      </c>
      <c r="U713" s="19">
        <f t="shared" si="361"/>
        <v>0</v>
      </c>
      <c r="V713" s="19">
        <f t="shared" si="347"/>
        <v>0</v>
      </c>
      <c r="W713" s="20">
        <f t="shared" ca="1" si="362"/>
        <v>0</v>
      </c>
      <c r="X713" s="19">
        <f t="shared" ca="1" si="363"/>
        <v>0</v>
      </c>
      <c r="Y713" s="19">
        <f t="shared" ca="1" si="364"/>
        <v>0</v>
      </c>
      <c r="Z713" s="20">
        <f t="shared" ca="1" si="365"/>
        <v>0</v>
      </c>
      <c r="AA713" s="1">
        <f t="shared" si="343"/>
        <v>5432.58</v>
      </c>
      <c r="AB713" s="91"/>
      <c r="AC713" s="92"/>
      <c r="AD713" s="101">
        <f t="shared" si="344"/>
        <v>61614</v>
      </c>
      <c r="AE713" s="103">
        <f t="shared" si="345"/>
        <v>0</v>
      </c>
      <c r="AG713" s="1">
        <f t="shared" si="366"/>
        <v>0</v>
      </c>
      <c r="AH713" s="1">
        <f t="shared" si="367"/>
        <v>0</v>
      </c>
      <c r="AI713" s="1">
        <f t="shared" si="346"/>
        <v>5432.58</v>
      </c>
      <c r="AJ713" s="20">
        <f t="shared" si="348"/>
        <v>0</v>
      </c>
      <c r="AK713" s="100">
        <f t="shared" si="350"/>
        <v>0</v>
      </c>
      <c r="AL713" s="100">
        <f t="shared" si="351"/>
        <v>0</v>
      </c>
      <c r="AN713" s="100">
        <f t="shared" si="352"/>
        <v>3843.0158620538778</v>
      </c>
      <c r="AO713" s="20">
        <f t="shared" si="353"/>
        <v>0</v>
      </c>
      <c r="AQ713" s="109">
        <f t="shared" si="354"/>
        <v>0</v>
      </c>
      <c r="AU713" s="109">
        <f t="shared" si="339"/>
        <v>25.484301764906455</v>
      </c>
      <c r="AV713" s="101">
        <f t="shared" si="355"/>
        <v>61644</v>
      </c>
      <c r="AW713" s="99">
        <f t="shared" si="356"/>
        <v>0</v>
      </c>
      <c r="AX713" s="1">
        <f t="shared" si="357"/>
        <v>0</v>
      </c>
      <c r="AY713" s="29">
        <f t="shared" si="358"/>
        <v>0</v>
      </c>
      <c r="AZ713" s="1">
        <f t="shared" si="340"/>
        <v>0</v>
      </c>
      <c r="CB713" s="20">
        <f t="shared" si="349"/>
        <v>0</v>
      </c>
      <c r="CC713" s="173">
        <f t="shared" si="341"/>
        <v>0</v>
      </c>
    </row>
    <row r="714" spans="10:81" x14ac:dyDescent="0.25">
      <c r="J714" s="9"/>
      <c r="K714" s="10"/>
      <c r="L714" s="17"/>
      <c r="M714" s="23"/>
      <c r="N714" s="23"/>
      <c r="O714" s="23"/>
      <c r="P714" s="23"/>
      <c r="Q714" s="1">
        <f t="shared" si="342"/>
        <v>0.60744618579017706</v>
      </c>
      <c r="R714" s="12">
        <f t="shared" ca="1" si="359"/>
        <v>20522</v>
      </c>
      <c r="S714" s="88">
        <f t="shared" si="368"/>
        <v>0</v>
      </c>
      <c r="T714" s="19">
        <f t="shared" si="360"/>
        <v>0</v>
      </c>
      <c r="U714" s="19">
        <f t="shared" si="361"/>
        <v>0</v>
      </c>
      <c r="V714" s="19">
        <f t="shared" si="347"/>
        <v>0</v>
      </c>
      <c r="W714" s="20">
        <f t="shared" ca="1" si="362"/>
        <v>0</v>
      </c>
      <c r="X714" s="19">
        <f t="shared" ca="1" si="363"/>
        <v>0</v>
      </c>
      <c r="Y714" s="19">
        <f t="shared" ca="1" si="364"/>
        <v>0</v>
      </c>
      <c r="Z714" s="20">
        <f t="shared" ca="1" si="365"/>
        <v>0</v>
      </c>
      <c r="AA714" s="1">
        <f t="shared" si="343"/>
        <v>5432.58</v>
      </c>
      <c r="AB714" s="93"/>
      <c r="AC714" s="94"/>
      <c r="AD714" s="101">
        <f t="shared" si="344"/>
        <v>61644</v>
      </c>
      <c r="AE714" s="103">
        <f t="shared" si="345"/>
        <v>0</v>
      </c>
      <c r="AG714" s="1">
        <f t="shared" si="366"/>
        <v>0</v>
      </c>
      <c r="AH714" s="1">
        <f t="shared" si="367"/>
        <v>0</v>
      </c>
      <c r="AI714" s="1">
        <f t="shared" si="346"/>
        <v>5432.58</v>
      </c>
      <c r="AJ714" s="20">
        <f t="shared" si="348"/>
        <v>0</v>
      </c>
      <c r="AK714" s="100">
        <f t="shared" si="350"/>
        <v>0</v>
      </c>
      <c r="AL714" s="100">
        <f t="shared" si="351"/>
        <v>0</v>
      </c>
      <c r="AN714" s="100">
        <f t="shared" si="352"/>
        <v>3841.0714918646436</v>
      </c>
      <c r="AO714" s="20">
        <f t="shared" si="353"/>
        <v>0</v>
      </c>
      <c r="AQ714" s="109">
        <f t="shared" si="354"/>
        <v>0</v>
      </c>
      <c r="AU714" s="109">
        <f t="shared" si="339"/>
        <v>25.482065005867053</v>
      </c>
      <c r="AV714" s="101">
        <f t="shared" si="355"/>
        <v>61674</v>
      </c>
      <c r="AW714" s="99">
        <f t="shared" si="356"/>
        <v>0</v>
      </c>
      <c r="AX714" s="1">
        <f t="shared" si="357"/>
        <v>0</v>
      </c>
      <c r="AY714" s="29">
        <f t="shared" si="358"/>
        <v>0</v>
      </c>
      <c r="AZ714" s="1">
        <f t="shared" si="340"/>
        <v>0</v>
      </c>
      <c r="CB714" s="20">
        <f t="shared" si="349"/>
        <v>0</v>
      </c>
      <c r="CC714" s="173">
        <f t="shared" si="341"/>
        <v>0</v>
      </c>
    </row>
    <row r="715" spans="10:81" x14ac:dyDescent="0.25">
      <c r="J715" s="7"/>
      <c r="K715" s="8"/>
      <c r="L715" s="16"/>
      <c r="M715" s="22"/>
      <c r="N715" s="22"/>
      <c r="O715" s="22"/>
      <c r="P715" s="22"/>
      <c r="Q715" s="1">
        <f t="shared" si="342"/>
        <v>0.60744618579017706</v>
      </c>
      <c r="R715" s="12">
        <f t="shared" ca="1" si="359"/>
        <v>20552</v>
      </c>
      <c r="S715" s="88">
        <f t="shared" si="368"/>
        <v>0</v>
      </c>
      <c r="T715" s="19">
        <f t="shared" si="360"/>
        <v>0</v>
      </c>
      <c r="U715" s="19">
        <f t="shared" si="361"/>
        <v>0</v>
      </c>
      <c r="V715" s="19">
        <f t="shared" si="347"/>
        <v>0</v>
      </c>
      <c r="W715" s="20">
        <f t="shared" ca="1" si="362"/>
        <v>0</v>
      </c>
      <c r="X715" s="19">
        <f t="shared" ca="1" si="363"/>
        <v>0</v>
      </c>
      <c r="Y715" s="19">
        <f t="shared" ca="1" si="364"/>
        <v>0</v>
      </c>
      <c r="Z715" s="20">
        <f t="shared" ca="1" si="365"/>
        <v>0</v>
      </c>
      <c r="AA715" s="1">
        <f t="shared" si="343"/>
        <v>5432.58</v>
      </c>
      <c r="AB715" s="91"/>
      <c r="AC715" s="92"/>
      <c r="AD715" s="101">
        <f t="shared" si="344"/>
        <v>61674</v>
      </c>
      <c r="AE715" s="103">
        <f t="shared" si="345"/>
        <v>0</v>
      </c>
      <c r="AG715" s="1">
        <f t="shared" si="366"/>
        <v>0</v>
      </c>
      <c r="AH715" s="1">
        <f t="shared" si="367"/>
        <v>0</v>
      </c>
      <c r="AI715" s="1">
        <f t="shared" si="346"/>
        <v>5432.58</v>
      </c>
      <c r="AJ715" s="20">
        <f t="shared" si="348"/>
        <v>0</v>
      </c>
      <c r="AK715" s="100">
        <f t="shared" si="350"/>
        <v>0</v>
      </c>
      <c r="AL715" s="100">
        <f t="shared" si="351"/>
        <v>0</v>
      </c>
      <c r="AN715" s="100">
        <f t="shared" si="352"/>
        <v>3839.1281054276405</v>
      </c>
      <c r="AO715" s="20">
        <f t="shared" si="353"/>
        <v>0</v>
      </c>
      <c r="AQ715" s="109">
        <f t="shared" si="354"/>
        <v>0</v>
      </c>
      <c r="AU715" s="109">
        <f t="shared" si="339"/>
        <v>25.479828443148165</v>
      </c>
      <c r="AV715" s="101">
        <f t="shared" si="355"/>
        <v>61704</v>
      </c>
      <c r="AW715" s="99">
        <f t="shared" si="356"/>
        <v>0</v>
      </c>
      <c r="AX715" s="1">
        <f t="shared" si="357"/>
        <v>0</v>
      </c>
      <c r="AY715" s="29">
        <f t="shared" si="358"/>
        <v>0</v>
      </c>
      <c r="AZ715" s="1">
        <f t="shared" si="340"/>
        <v>0</v>
      </c>
      <c r="CB715" s="20">
        <f t="shared" si="349"/>
        <v>0</v>
      </c>
      <c r="CC715" s="173">
        <f t="shared" si="341"/>
        <v>0</v>
      </c>
    </row>
    <row r="716" spans="10:81" x14ac:dyDescent="0.25">
      <c r="J716" s="9"/>
      <c r="K716" s="10"/>
      <c r="L716" s="17"/>
      <c r="M716" s="23"/>
      <c r="N716" s="23"/>
      <c r="O716" s="23"/>
      <c r="P716" s="23"/>
      <c r="Q716" s="1">
        <f t="shared" si="342"/>
        <v>0.60744618579017706</v>
      </c>
      <c r="R716" s="12">
        <f t="shared" ca="1" si="359"/>
        <v>20582</v>
      </c>
      <c r="S716" s="88">
        <f t="shared" si="368"/>
        <v>0</v>
      </c>
      <c r="T716" s="19">
        <f t="shared" si="360"/>
        <v>0</v>
      </c>
      <c r="U716" s="19">
        <f t="shared" si="361"/>
        <v>0</v>
      </c>
      <c r="V716" s="19">
        <f t="shared" si="347"/>
        <v>0</v>
      </c>
      <c r="W716" s="20">
        <f t="shared" ca="1" si="362"/>
        <v>0</v>
      </c>
      <c r="X716" s="19">
        <f t="shared" ca="1" si="363"/>
        <v>0</v>
      </c>
      <c r="Y716" s="19">
        <f t="shared" ca="1" si="364"/>
        <v>0</v>
      </c>
      <c r="Z716" s="20">
        <f t="shared" ca="1" si="365"/>
        <v>0</v>
      </c>
      <c r="AA716" s="1">
        <f t="shared" si="343"/>
        <v>5432.58</v>
      </c>
      <c r="AB716" s="93"/>
      <c r="AC716" s="94"/>
      <c r="AD716" s="101">
        <f t="shared" si="344"/>
        <v>61704</v>
      </c>
      <c r="AE716" s="103">
        <f t="shared" si="345"/>
        <v>0</v>
      </c>
      <c r="AG716" s="1">
        <f t="shared" si="366"/>
        <v>0</v>
      </c>
      <c r="AH716" s="1">
        <f t="shared" si="367"/>
        <v>0</v>
      </c>
      <c r="AI716" s="1">
        <f t="shared" si="346"/>
        <v>5432.58</v>
      </c>
      <c r="AJ716" s="20">
        <f t="shared" si="348"/>
        <v>0</v>
      </c>
      <c r="AK716" s="100">
        <f t="shared" si="350"/>
        <v>0</v>
      </c>
      <c r="AL716" s="100">
        <f t="shared" si="351"/>
        <v>0</v>
      </c>
      <c r="AN716" s="100">
        <f t="shared" si="352"/>
        <v>3837.1857022451431</v>
      </c>
      <c r="AO716" s="20">
        <f t="shared" si="353"/>
        <v>0</v>
      </c>
      <c r="AQ716" s="109">
        <f t="shared" si="354"/>
        <v>0</v>
      </c>
      <c r="AU716" s="109">
        <f t="shared" si="339"/>
        <v>25.477592076732545</v>
      </c>
      <c r="AV716" s="101">
        <f t="shared" si="355"/>
        <v>61734</v>
      </c>
      <c r="AW716" s="99">
        <f t="shared" si="356"/>
        <v>0</v>
      </c>
      <c r="AX716" s="1">
        <f t="shared" si="357"/>
        <v>0</v>
      </c>
      <c r="AY716" s="29">
        <f t="shared" si="358"/>
        <v>0</v>
      </c>
      <c r="AZ716" s="1">
        <f t="shared" si="340"/>
        <v>0</v>
      </c>
      <c r="CB716" s="20">
        <f t="shared" si="349"/>
        <v>0</v>
      </c>
      <c r="CC716" s="173">
        <f t="shared" si="341"/>
        <v>0</v>
      </c>
    </row>
    <row r="717" spans="10:81" x14ac:dyDescent="0.25">
      <c r="J717" s="7"/>
      <c r="K717" s="8"/>
      <c r="L717" s="16"/>
      <c r="M717" s="22"/>
      <c r="N717" s="22"/>
      <c r="O717" s="22"/>
      <c r="P717" s="22"/>
      <c r="Q717" s="1">
        <f t="shared" si="342"/>
        <v>0.60744618579017706</v>
      </c>
      <c r="R717" s="12">
        <f t="shared" ca="1" si="359"/>
        <v>20612</v>
      </c>
      <c r="S717" s="88">
        <f t="shared" si="368"/>
        <v>0</v>
      </c>
      <c r="T717" s="19">
        <f t="shared" si="360"/>
        <v>0</v>
      </c>
      <c r="U717" s="19">
        <f t="shared" si="361"/>
        <v>0</v>
      </c>
      <c r="V717" s="19">
        <f t="shared" si="347"/>
        <v>0</v>
      </c>
      <c r="W717" s="20">
        <f t="shared" ca="1" si="362"/>
        <v>0</v>
      </c>
      <c r="X717" s="19">
        <f t="shared" ca="1" si="363"/>
        <v>0</v>
      </c>
      <c r="Y717" s="19">
        <f t="shared" ca="1" si="364"/>
        <v>0</v>
      </c>
      <c r="Z717" s="20">
        <f t="shared" ca="1" si="365"/>
        <v>0</v>
      </c>
      <c r="AA717" s="1">
        <f t="shared" si="343"/>
        <v>5432.58</v>
      </c>
      <c r="AB717" s="91"/>
      <c r="AC717" s="92"/>
      <c r="AD717" s="101">
        <f t="shared" si="344"/>
        <v>61734</v>
      </c>
      <c r="AE717" s="103">
        <f t="shared" si="345"/>
        <v>0</v>
      </c>
      <c r="AG717" s="1">
        <f t="shared" si="366"/>
        <v>0</v>
      </c>
      <c r="AH717" s="1">
        <f t="shared" si="367"/>
        <v>0</v>
      </c>
      <c r="AI717" s="1">
        <f t="shared" si="346"/>
        <v>5432.58</v>
      </c>
      <c r="AJ717" s="20">
        <f t="shared" si="348"/>
        <v>0</v>
      </c>
      <c r="AK717" s="100">
        <f t="shared" si="350"/>
        <v>0</v>
      </c>
      <c r="AL717" s="100">
        <f t="shared" si="351"/>
        <v>0</v>
      </c>
      <c r="AN717" s="100">
        <f t="shared" si="352"/>
        <v>3835.2442818196719</v>
      </c>
      <c r="AO717" s="20">
        <f t="shared" si="353"/>
        <v>0</v>
      </c>
      <c r="AQ717" s="109">
        <f t="shared" si="354"/>
        <v>0</v>
      </c>
      <c r="AU717" s="109">
        <f t="shared" si="339"/>
        <v>25.475355906602953</v>
      </c>
      <c r="AV717" s="101">
        <f t="shared" si="355"/>
        <v>61764</v>
      </c>
      <c r="AW717" s="99">
        <f t="shared" si="356"/>
        <v>0</v>
      </c>
      <c r="AX717" s="1">
        <f t="shared" si="357"/>
        <v>0</v>
      </c>
      <c r="AY717" s="29">
        <f t="shared" si="358"/>
        <v>0</v>
      </c>
      <c r="AZ717" s="1">
        <f t="shared" si="340"/>
        <v>0</v>
      </c>
      <c r="CB717" s="20">
        <f t="shared" si="349"/>
        <v>0</v>
      </c>
      <c r="CC717" s="173">
        <f t="shared" si="341"/>
        <v>0</v>
      </c>
    </row>
    <row r="718" spans="10:81" x14ac:dyDescent="0.25">
      <c r="J718" s="9"/>
      <c r="K718" s="10"/>
      <c r="L718" s="17"/>
      <c r="M718" s="23"/>
      <c r="N718" s="23"/>
      <c r="O718" s="23"/>
      <c r="P718" s="23"/>
      <c r="Q718" s="1">
        <f t="shared" si="342"/>
        <v>0.60744618579017706</v>
      </c>
      <c r="R718" s="12">
        <f t="shared" ca="1" si="359"/>
        <v>20642</v>
      </c>
      <c r="S718" s="88">
        <f t="shared" si="368"/>
        <v>0</v>
      </c>
      <c r="T718" s="19">
        <f t="shared" si="360"/>
        <v>0</v>
      </c>
      <c r="U718" s="19">
        <f t="shared" si="361"/>
        <v>0</v>
      </c>
      <c r="V718" s="19">
        <f t="shared" si="347"/>
        <v>0</v>
      </c>
      <c r="W718" s="20">
        <f t="shared" ca="1" si="362"/>
        <v>0</v>
      </c>
      <c r="X718" s="19">
        <f t="shared" ca="1" si="363"/>
        <v>0</v>
      </c>
      <c r="Y718" s="19">
        <f t="shared" ca="1" si="364"/>
        <v>0</v>
      </c>
      <c r="Z718" s="20">
        <f t="shared" ca="1" si="365"/>
        <v>0</v>
      </c>
      <c r="AA718" s="1">
        <f t="shared" si="343"/>
        <v>5432.58</v>
      </c>
      <c r="AB718" s="93"/>
      <c r="AC718" s="94"/>
      <c r="AD718" s="101">
        <f t="shared" si="344"/>
        <v>61764</v>
      </c>
      <c r="AE718" s="103">
        <f t="shared" si="345"/>
        <v>0</v>
      </c>
      <c r="AG718" s="1">
        <f t="shared" si="366"/>
        <v>0</v>
      </c>
      <c r="AH718" s="1">
        <f t="shared" si="367"/>
        <v>0</v>
      </c>
      <c r="AI718" s="1">
        <f t="shared" si="346"/>
        <v>5432.58</v>
      </c>
      <c r="AJ718" s="20">
        <f t="shared" si="348"/>
        <v>0</v>
      </c>
      <c r="AK718" s="100">
        <f t="shared" si="350"/>
        <v>0</v>
      </c>
      <c r="AL718" s="100">
        <f t="shared" si="351"/>
        <v>0</v>
      </c>
      <c r="AN718" s="100">
        <f t="shared" si="352"/>
        <v>3833.3038436540019</v>
      </c>
      <c r="AO718" s="20">
        <f t="shared" si="353"/>
        <v>0</v>
      </c>
      <c r="AQ718" s="109">
        <f t="shared" si="354"/>
        <v>0</v>
      </c>
      <c r="AU718" s="109">
        <f t="shared" si="339"/>
        <v>25.473119932742208</v>
      </c>
      <c r="AV718" s="101">
        <f t="shared" si="355"/>
        <v>61794</v>
      </c>
      <c r="AW718" s="99">
        <f t="shared" si="356"/>
        <v>0</v>
      </c>
      <c r="AX718" s="1">
        <f t="shared" si="357"/>
        <v>0</v>
      </c>
      <c r="AY718" s="29">
        <f t="shared" si="358"/>
        <v>0</v>
      </c>
      <c r="AZ718" s="1">
        <f t="shared" si="340"/>
        <v>0</v>
      </c>
      <c r="CB718" s="20">
        <f t="shared" si="349"/>
        <v>0</v>
      </c>
      <c r="CC718" s="173">
        <f t="shared" si="341"/>
        <v>0</v>
      </c>
    </row>
    <row r="719" spans="10:81" x14ac:dyDescent="0.25">
      <c r="J719" s="7"/>
      <c r="K719" s="8"/>
      <c r="L719" s="16"/>
      <c r="M719" s="22"/>
      <c r="N719" s="22"/>
      <c r="O719" s="22"/>
      <c r="P719" s="22"/>
      <c r="Q719" s="1">
        <f t="shared" si="342"/>
        <v>0.60744618579017706</v>
      </c>
      <c r="R719" s="12">
        <f t="shared" ca="1" si="359"/>
        <v>20672</v>
      </c>
      <c r="S719" s="88">
        <f t="shared" si="368"/>
        <v>0</v>
      </c>
      <c r="T719" s="19">
        <f t="shared" si="360"/>
        <v>0</v>
      </c>
      <c r="U719" s="19">
        <f t="shared" si="361"/>
        <v>0</v>
      </c>
      <c r="V719" s="19">
        <f t="shared" si="347"/>
        <v>0</v>
      </c>
      <c r="W719" s="20">
        <f t="shared" ca="1" si="362"/>
        <v>0</v>
      </c>
      <c r="X719" s="19">
        <f t="shared" ca="1" si="363"/>
        <v>0</v>
      </c>
      <c r="Y719" s="19">
        <f t="shared" ca="1" si="364"/>
        <v>0</v>
      </c>
      <c r="Z719" s="20">
        <f t="shared" ca="1" si="365"/>
        <v>0</v>
      </c>
      <c r="AA719" s="1">
        <f t="shared" si="343"/>
        <v>5432.58</v>
      </c>
      <c r="AB719" s="91"/>
      <c r="AC719" s="92"/>
      <c r="AD719" s="101">
        <f t="shared" si="344"/>
        <v>61794</v>
      </c>
      <c r="AE719" s="103">
        <f t="shared" si="345"/>
        <v>0</v>
      </c>
      <c r="AG719" s="1">
        <f t="shared" si="366"/>
        <v>0</v>
      </c>
      <c r="AH719" s="1">
        <f t="shared" si="367"/>
        <v>0</v>
      </c>
      <c r="AI719" s="1">
        <f t="shared" si="346"/>
        <v>5432.58</v>
      </c>
      <c r="AJ719" s="20">
        <f t="shared" si="348"/>
        <v>0</v>
      </c>
      <c r="AK719" s="100">
        <f t="shared" si="350"/>
        <v>0</v>
      </c>
      <c r="AL719" s="100">
        <f t="shared" si="351"/>
        <v>0</v>
      </c>
      <c r="AN719" s="100">
        <f t="shared" si="352"/>
        <v>3831.364387251163</v>
      </c>
      <c r="AO719" s="20">
        <f t="shared" si="353"/>
        <v>0</v>
      </c>
      <c r="AQ719" s="109">
        <f t="shared" si="354"/>
        <v>0</v>
      </c>
      <c r="AU719" s="109">
        <f t="shared" si="339"/>
        <v>25.470884155133032</v>
      </c>
      <c r="AV719" s="101">
        <f t="shared" si="355"/>
        <v>61824</v>
      </c>
      <c r="AW719" s="99">
        <f t="shared" si="356"/>
        <v>0</v>
      </c>
      <c r="AX719" s="1">
        <f t="shared" si="357"/>
        <v>0</v>
      </c>
      <c r="AY719" s="29">
        <f t="shared" si="358"/>
        <v>0</v>
      </c>
      <c r="AZ719" s="1">
        <f t="shared" si="340"/>
        <v>0</v>
      </c>
      <c r="CB719" s="20">
        <f t="shared" si="349"/>
        <v>0</v>
      </c>
      <c r="CC719" s="173">
        <f t="shared" si="341"/>
        <v>0</v>
      </c>
    </row>
    <row r="720" spans="10:81" x14ac:dyDescent="0.25">
      <c r="J720" s="9"/>
      <c r="K720" s="10"/>
      <c r="L720" s="17"/>
      <c r="M720" s="23"/>
      <c r="N720" s="23"/>
      <c r="O720" s="23"/>
      <c r="P720" s="23"/>
      <c r="Q720" s="1">
        <f t="shared" si="342"/>
        <v>0.60744618579017706</v>
      </c>
      <c r="R720" s="12">
        <f t="shared" ca="1" si="359"/>
        <v>20702</v>
      </c>
      <c r="S720" s="88">
        <f t="shared" si="368"/>
        <v>0</v>
      </c>
      <c r="T720" s="19">
        <f t="shared" si="360"/>
        <v>0</v>
      </c>
      <c r="U720" s="19">
        <f t="shared" si="361"/>
        <v>0</v>
      </c>
      <c r="V720" s="19">
        <f t="shared" si="347"/>
        <v>0</v>
      </c>
      <c r="W720" s="20">
        <f t="shared" ca="1" si="362"/>
        <v>0</v>
      </c>
      <c r="X720" s="19">
        <f t="shared" ca="1" si="363"/>
        <v>0</v>
      </c>
      <c r="Y720" s="19">
        <f t="shared" ca="1" si="364"/>
        <v>0</v>
      </c>
      <c r="Z720" s="20">
        <f t="shared" ca="1" si="365"/>
        <v>0</v>
      </c>
      <c r="AA720" s="1">
        <f t="shared" si="343"/>
        <v>5432.58</v>
      </c>
      <c r="AB720" s="93"/>
      <c r="AC720" s="94"/>
      <c r="AD720" s="101">
        <f t="shared" si="344"/>
        <v>61824</v>
      </c>
      <c r="AE720" s="103">
        <f t="shared" si="345"/>
        <v>0</v>
      </c>
      <c r="AG720" s="1">
        <f t="shared" si="366"/>
        <v>0</v>
      </c>
      <c r="AH720" s="1">
        <f t="shared" si="367"/>
        <v>0</v>
      </c>
      <c r="AI720" s="1">
        <f t="shared" si="346"/>
        <v>5432.58</v>
      </c>
      <c r="AJ720" s="20">
        <f t="shared" si="348"/>
        <v>0</v>
      </c>
      <c r="AK720" s="100">
        <f t="shared" si="350"/>
        <v>0</v>
      </c>
      <c r="AL720" s="100">
        <f t="shared" si="351"/>
        <v>0</v>
      </c>
      <c r="AN720" s="100">
        <f t="shared" si="352"/>
        <v>3829.4259121144287</v>
      </c>
      <c r="AO720" s="20">
        <f t="shared" si="353"/>
        <v>0</v>
      </c>
      <c r="AQ720" s="109">
        <f t="shared" si="354"/>
        <v>0</v>
      </c>
      <c r="AU720" s="109">
        <f t="shared" si="339"/>
        <v>25.468648573758234</v>
      </c>
      <c r="AV720" s="101">
        <f t="shared" si="355"/>
        <v>61854</v>
      </c>
      <c r="AW720" s="99">
        <f t="shared" si="356"/>
        <v>0</v>
      </c>
      <c r="AX720" s="1">
        <f t="shared" si="357"/>
        <v>0</v>
      </c>
      <c r="AY720" s="29">
        <f t="shared" si="358"/>
        <v>0</v>
      </c>
      <c r="AZ720" s="1">
        <f t="shared" si="340"/>
        <v>0</v>
      </c>
      <c r="CB720" s="20">
        <f t="shared" si="349"/>
        <v>0</v>
      </c>
      <c r="CC720" s="173">
        <f t="shared" si="341"/>
        <v>0</v>
      </c>
    </row>
    <row r="721" spans="10:81" x14ac:dyDescent="0.25">
      <c r="J721" s="7"/>
      <c r="K721" s="8"/>
      <c r="L721" s="16"/>
      <c r="M721" s="22"/>
      <c r="N721" s="22"/>
      <c r="O721" s="22"/>
      <c r="P721" s="22"/>
      <c r="Q721" s="1">
        <f t="shared" si="342"/>
        <v>0.60744618579017706</v>
      </c>
      <c r="R721" s="12">
        <f t="shared" ca="1" si="359"/>
        <v>20732</v>
      </c>
      <c r="S721" s="88">
        <f t="shared" si="368"/>
        <v>0</v>
      </c>
      <c r="T721" s="19">
        <f t="shared" si="360"/>
        <v>0</v>
      </c>
      <c r="U721" s="19">
        <f t="shared" si="361"/>
        <v>0</v>
      </c>
      <c r="V721" s="19">
        <f t="shared" si="347"/>
        <v>0</v>
      </c>
      <c r="W721" s="20">
        <f t="shared" ca="1" si="362"/>
        <v>0</v>
      </c>
      <c r="X721" s="19">
        <f t="shared" ca="1" si="363"/>
        <v>0</v>
      </c>
      <c r="Y721" s="19">
        <f t="shared" ca="1" si="364"/>
        <v>0</v>
      </c>
      <c r="Z721" s="20">
        <f t="shared" ca="1" si="365"/>
        <v>0</v>
      </c>
      <c r="AA721" s="1">
        <f t="shared" si="343"/>
        <v>5432.58</v>
      </c>
      <c r="AB721" s="91"/>
      <c r="AC721" s="92"/>
      <c r="AD721" s="101">
        <f t="shared" si="344"/>
        <v>61854</v>
      </c>
      <c r="AE721" s="103">
        <f t="shared" si="345"/>
        <v>0</v>
      </c>
      <c r="AG721" s="1">
        <f t="shared" si="366"/>
        <v>0</v>
      </c>
      <c r="AH721" s="1">
        <f t="shared" si="367"/>
        <v>0</v>
      </c>
      <c r="AI721" s="1">
        <f t="shared" si="346"/>
        <v>5432.58</v>
      </c>
      <c r="AJ721" s="20">
        <f t="shared" si="348"/>
        <v>0</v>
      </c>
      <c r="AK721" s="100">
        <f t="shared" si="350"/>
        <v>0</v>
      </c>
      <c r="AL721" s="100">
        <f t="shared" si="351"/>
        <v>0</v>
      </c>
      <c r="AN721" s="100">
        <f t="shared" si="352"/>
        <v>3827.4884177473305</v>
      </c>
      <c r="AO721" s="20">
        <f t="shared" si="353"/>
        <v>0</v>
      </c>
      <c r="AQ721" s="109">
        <f t="shared" si="354"/>
        <v>0</v>
      </c>
      <c r="AU721" s="109">
        <f t="shared" si="339"/>
        <v>25.466413188600558</v>
      </c>
      <c r="AV721" s="101">
        <f t="shared" si="355"/>
        <v>61884</v>
      </c>
      <c r="AW721" s="99">
        <f t="shared" si="356"/>
        <v>0</v>
      </c>
      <c r="AX721" s="1">
        <f t="shared" si="357"/>
        <v>0</v>
      </c>
      <c r="AY721" s="29">
        <f t="shared" si="358"/>
        <v>0</v>
      </c>
      <c r="AZ721" s="1">
        <f t="shared" si="340"/>
        <v>0</v>
      </c>
      <c r="CB721" s="20">
        <f t="shared" si="349"/>
        <v>0</v>
      </c>
      <c r="CC721" s="173">
        <f t="shared" si="341"/>
        <v>0</v>
      </c>
    </row>
    <row r="722" spans="10:81" x14ac:dyDescent="0.25">
      <c r="J722" s="9"/>
      <c r="K722" s="10"/>
      <c r="L722" s="17"/>
      <c r="M722" s="23"/>
      <c r="N722" s="23"/>
      <c r="O722" s="23"/>
      <c r="P722" s="23"/>
      <c r="Q722" s="1">
        <f t="shared" si="342"/>
        <v>0.60744618579017706</v>
      </c>
      <c r="R722" s="12">
        <f t="shared" ca="1" si="359"/>
        <v>20762</v>
      </c>
      <c r="S722" s="88">
        <f t="shared" si="368"/>
        <v>0</v>
      </c>
      <c r="T722" s="19">
        <f t="shared" si="360"/>
        <v>0</v>
      </c>
      <c r="U722" s="19">
        <f t="shared" si="361"/>
        <v>0</v>
      </c>
      <c r="V722" s="19">
        <f t="shared" si="347"/>
        <v>0</v>
      </c>
      <c r="W722" s="20">
        <f t="shared" ca="1" si="362"/>
        <v>0</v>
      </c>
      <c r="X722" s="19">
        <f t="shared" ca="1" si="363"/>
        <v>0</v>
      </c>
      <c r="Y722" s="19">
        <f t="shared" ca="1" si="364"/>
        <v>0</v>
      </c>
      <c r="Z722" s="20">
        <f t="shared" ca="1" si="365"/>
        <v>0</v>
      </c>
      <c r="AA722" s="1">
        <f t="shared" si="343"/>
        <v>5432.58</v>
      </c>
      <c r="AB722" s="93"/>
      <c r="AC722" s="94"/>
      <c r="AD722" s="101">
        <f t="shared" si="344"/>
        <v>61884</v>
      </c>
      <c r="AE722" s="103">
        <f t="shared" si="345"/>
        <v>0</v>
      </c>
      <c r="AG722" s="1">
        <f t="shared" si="366"/>
        <v>0</v>
      </c>
      <c r="AH722" s="1">
        <f t="shared" si="367"/>
        <v>0</v>
      </c>
      <c r="AI722" s="1">
        <f t="shared" si="346"/>
        <v>5432.58</v>
      </c>
      <c r="AJ722" s="20">
        <f t="shared" si="348"/>
        <v>0</v>
      </c>
      <c r="AK722" s="100">
        <f t="shared" si="350"/>
        <v>0</v>
      </c>
      <c r="AL722" s="100">
        <f t="shared" si="351"/>
        <v>0</v>
      </c>
      <c r="AN722" s="100">
        <f t="shared" si="352"/>
        <v>3825.5519036536507</v>
      </c>
      <c r="AO722" s="20">
        <f t="shared" si="353"/>
        <v>0</v>
      </c>
      <c r="AQ722" s="109">
        <f t="shared" si="354"/>
        <v>0</v>
      </c>
      <c r="AU722" s="109">
        <f t="shared" si="339"/>
        <v>25.464177999642821</v>
      </c>
      <c r="AV722" s="101">
        <f t="shared" si="355"/>
        <v>61914</v>
      </c>
      <c r="AW722" s="99">
        <f t="shared" si="356"/>
        <v>0</v>
      </c>
      <c r="AX722" s="1">
        <f t="shared" si="357"/>
        <v>0</v>
      </c>
      <c r="AY722" s="29">
        <f t="shared" si="358"/>
        <v>0</v>
      </c>
      <c r="AZ722" s="1">
        <f t="shared" si="340"/>
        <v>0</v>
      </c>
      <c r="CB722" s="20">
        <f t="shared" si="349"/>
        <v>0</v>
      </c>
      <c r="CC722" s="173">
        <f t="shared" si="341"/>
        <v>0</v>
      </c>
    </row>
    <row r="723" spans="10:81" x14ac:dyDescent="0.25">
      <c r="J723" s="7"/>
      <c r="K723" s="8"/>
      <c r="L723" s="16"/>
      <c r="M723" s="22"/>
      <c r="N723" s="22"/>
      <c r="O723" s="22"/>
      <c r="P723" s="22"/>
      <c r="Q723" s="1">
        <f t="shared" si="342"/>
        <v>0.60744618579017706</v>
      </c>
      <c r="R723" s="12">
        <f t="shared" ca="1" si="359"/>
        <v>20792</v>
      </c>
      <c r="S723" s="88">
        <f t="shared" si="368"/>
        <v>0</v>
      </c>
      <c r="T723" s="19">
        <f t="shared" si="360"/>
        <v>0</v>
      </c>
      <c r="U723" s="19">
        <f t="shared" si="361"/>
        <v>0</v>
      </c>
      <c r="V723" s="19">
        <f t="shared" si="347"/>
        <v>0</v>
      </c>
      <c r="W723" s="20">
        <f t="shared" ca="1" si="362"/>
        <v>0</v>
      </c>
      <c r="X723" s="19">
        <f t="shared" ca="1" si="363"/>
        <v>0</v>
      </c>
      <c r="Y723" s="19">
        <f t="shared" ca="1" si="364"/>
        <v>0</v>
      </c>
      <c r="Z723" s="20">
        <f t="shared" ca="1" si="365"/>
        <v>0</v>
      </c>
      <c r="AA723" s="1">
        <f t="shared" si="343"/>
        <v>5432.58</v>
      </c>
      <c r="AB723" s="91"/>
      <c r="AC723" s="92"/>
      <c r="AD723" s="101">
        <f t="shared" si="344"/>
        <v>61914</v>
      </c>
      <c r="AE723" s="103">
        <f t="shared" si="345"/>
        <v>0</v>
      </c>
      <c r="AG723" s="1">
        <f t="shared" si="366"/>
        <v>0</v>
      </c>
      <c r="AH723" s="1">
        <f t="shared" si="367"/>
        <v>0</v>
      </c>
      <c r="AI723" s="1">
        <f t="shared" si="346"/>
        <v>5432.58</v>
      </c>
      <c r="AJ723" s="20">
        <f t="shared" si="348"/>
        <v>0</v>
      </c>
      <c r="AK723" s="100">
        <f t="shared" si="350"/>
        <v>0</v>
      </c>
      <c r="AL723" s="100">
        <f t="shared" si="351"/>
        <v>0</v>
      </c>
      <c r="AN723" s="100">
        <f t="shared" si="352"/>
        <v>3823.6163693374178</v>
      </c>
      <c r="AO723" s="20">
        <f t="shared" si="353"/>
        <v>0</v>
      </c>
      <c r="AQ723" s="109">
        <f t="shared" si="354"/>
        <v>0</v>
      </c>
      <c r="AU723" s="109">
        <f t="shared" si="339"/>
        <v>25.461943006867774</v>
      </c>
      <c r="AV723" s="101">
        <f t="shared" si="355"/>
        <v>61944</v>
      </c>
      <c r="AW723" s="99">
        <f t="shared" si="356"/>
        <v>0</v>
      </c>
      <c r="AX723" s="1">
        <f t="shared" si="357"/>
        <v>0</v>
      </c>
      <c r="AY723" s="29">
        <f t="shared" si="358"/>
        <v>0</v>
      </c>
      <c r="AZ723" s="1">
        <f t="shared" si="340"/>
        <v>0</v>
      </c>
      <c r="CB723" s="20">
        <f t="shared" si="349"/>
        <v>0</v>
      </c>
      <c r="CC723" s="173">
        <f t="shared" si="341"/>
        <v>0</v>
      </c>
    </row>
    <row r="724" spans="10:81" x14ac:dyDescent="0.25">
      <c r="J724" s="9"/>
      <c r="K724" s="10"/>
      <c r="L724" s="17"/>
      <c r="M724" s="23"/>
      <c r="N724" s="23"/>
      <c r="O724" s="23"/>
      <c r="P724" s="23"/>
      <c r="Q724" s="1">
        <f t="shared" si="342"/>
        <v>0.60744618579017706</v>
      </c>
      <c r="R724" s="12">
        <f t="shared" ca="1" si="359"/>
        <v>20822</v>
      </c>
      <c r="S724" s="88">
        <f t="shared" si="368"/>
        <v>0</v>
      </c>
      <c r="T724" s="19">
        <f t="shared" si="360"/>
        <v>0</v>
      </c>
      <c r="U724" s="19">
        <f t="shared" si="361"/>
        <v>0</v>
      </c>
      <c r="V724" s="19">
        <f t="shared" si="347"/>
        <v>0</v>
      </c>
      <c r="W724" s="20">
        <f t="shared" ca="1" si="362"/>
        <v>0</v>
      </c>
      <c r="X724" s="19">
        <f t="shared" ca="1" si="363"/>
        <v>0</v>
      </c>
      <c r="Y724" s="19">
        <f t="shared" ca="1" si="364"/>
        <v>0</v>
      </c>
      <c r="Z724" s="20">
        <f t="shared" ca="1" si="365"/>
        <v>0</v>
      </c>
      <c r="AA724" s="1">
        <f t="shared" si="343"/>
        <v>5432.58</v>
      </c>
      <c r="AB724" s="93"/>
      <c r="AC724" s="94"/>
      <c r="AD724" s="101">
        <f t="shared" si="344"/>
        <v>61944</v>
      </c>
      <c r="AE724" s="103">
        <f t="shared" si="345"/>
        <v>0</v>
      </c>
      <c r="AG724" s="1">
        <f t="shared" si="366"/>
        <v>0</v>
      </c>
      <c r="AH724" s="1">
        <f t="shared" si="367"/>
        <v>0</v>
      </c>
      <c r="AI724" s="1">
        <f t="shared" si="346"/>
        <v>5432.58</v>
      </c>
      <c r="AJ724" s="20">
        <f t="shared" si="348"/>
        <v>0</v>
      </c>
      <c r="AK724" s="100">
        <f t="shared" si="350"/>
        <v>0</v>
      </c>
      <c r="AL724" s="100">
        <f t="shared" si="351"/>
        <v>0</v>
      </c>
      <c r="AN724" s="100">
        <f t="shared" si="352"/>
        <v>3821.6818143029159</v>
      </c>
      <c r="AO724" s="20">
        <f t="shared" si="353"/>
        <v>0</v>
      </c>
      <c r="AQ724" s="109">
        <f t="shared" si="354"/>
        <v>0</v>
      </c>
      <c r="AU724" s="109">
        <f t="shared" si="339"/>
        <v>25.459708210258206</v>
      </c>
      <c r="AV724" s="101">
        <f t="shared" si="355"/>
        <v>61974</v>
      </c>
      <c r="AW724" s="99">
        <f t="shared" si="356"/>
        <v>0</v>
      </c>
      <c r="AX724" s="1">
        <f t="shared" si="357"/>
        <v>0</v>
      </c>
      <c r="AY724" s="29">
        <f t="shared" si="358"/>
        <v>0</v>
      </c>
      <c r="AZ724" s="1">
        <f t="shared" si="340"/>
        <v>0</v>
      </c>
      <c r="CB724" s="20">
        <f t="shared" si="349"/>
        <v>0</v>
      </c>
      <c r="CC724" s="173">
        <f t="shared" si="341"/>
        <v>0</v>
      </c>
    </row>
    <row r="725" spans="10:81" x14ac:dyDescent="0.25">
      <c r="J725" s="7"/>
      <c r="K725" s="8"/>
      <c r="L725" s="16"/>
      <c r="M725" s="22"/>
      <c r="N725" s="22"/>
      <c r="O725" s="22"/>
      <c r="P725" s="22"/>
      <c r="Q725" s="1">
        <f t="shared" si="342"/>
        <v>0.60744618579017706</v>
      </c>
      <c r="R725" s="12">
        <f t="shared" ca="1" si="359"/>
        <v>20852</v>
      </c>
      <c r="S725" s="88">
        <f t="shared" si="368"/>
        <v>0</v>
      </c>
      <c r="T725" s="19">
        <f t="shared" si="360"/>
        <v>0</v>
      </c>
      <c r="U725" s="19">
        <f t="shared" si="361"/>
        <v>0</v>
      </c>
      <c r="V725" s="19">
        <f t="shared" si="347"/>
        <v>0</v>
      </c>
      <c r="W725" s="20">
        <f t="shared" ca="1" si="362"/>
        <v>0</v>
      </c>
      <c r="X725" s="19">
        <f t="shared" ca="1" si="363"/>
        <v>0</v>
      </c>
      <c r="Y725" s="19">
        <f t="shared" ca="1" si="364"/>
        <v>0</v>
      </c>
      <c r="Z725" s="20">
        <f t="shared" ca="1" si="365"/>
        <v>0</v>
      </c>
      <c r="AA725" s="1">
        <f t="shared" si="343"/>
        <v>5432.58</v>
      </c>
      <c r="AB725" s="91"/>
      <c r="AC725" s="92"/>
      <c r="AD725" s="101">
        <f t="shared" si="344"/>
        <v>61974</v>
      </c>
      <c r="AE725" s="103">
        <f t="shared" si="345"/>
        <v>0</v>
      </c>
      <c r="AG725" s="1">
        <f t="shared" si="366"/>
        <v>0</v>
      </c>
      <c r="AH725" s="1">
        <f t="shared" si="367"/>
        <v>0</v>
      </c>
      <c r="AI725" s="1">
        <f t="shared" si="346"/>
        <v>5432.58</v>
      </c>
      <c r="AJ725" s="20">
        <f t="shared" si="348"/>
        <v>0</v>
      </c>
      <c r="AK725" s="100">
        <f t="shared" si="350"/>
        <v>0</v>
      </c>
      <c r="AL725" s="100">
        <f t="shared" si="351"/>
        <v>0</v>
      </c>
      <c r="AN725" s="100">
        <f t="shared" si="352"/>
        <v>3819.7482380546776</v>
      </c>
      <c r="AO725" s="20">
        <f t="shared" si="353"/>
        <v>0</v>
      </c>
      <c r="AQ725" s="109">
        <f t="shared" si="354"/>
        <v>0</v>
      </c>
      <c r="AU725" s="109">
        <f t="shared" si="339"/>
        <v>25.457473609796907</v>
      </c>
      <c r="AV725" s="101">
        <f t="shared" si="355"/>
        <v>62004</v>
      </c>
      <c r="AW725" s="99">
        <f t="shared" si="356"/>
        <v>0</v>
      </c>
      <c r="AX725" s="1">
        <f t="shared" si="357"/>
        <v>0</v>
      </c>
      <c r="AY725" s="29">
        <f t="shared" si="358"/>
        <v>0</v>
      </c>
      <c r="AZ725" s="1">
        <f t="shared" si="340"/>
        <v>0</v>
      </c>
      <c r="CB725" s="20">
        <f t="shared" si="349"/>
        <v>0</v>
      </c>
      <c r="CC725" s="173">
        <f t="shared" si="341"/>
        <v>0</v>
      </c>
    </row>
    <row r="726" spans="10:81" x14ac:dyDescent="0.25">
      <c r="J726" s="9"/>
      <c r="K726" s="10"/>
      <c r="L726" s="17"/>
      <c r="M726" s="23"/>
      <c r="N726" s="23"/>
      <c r="O726" s="23"/>
      <c r="P726" s="23"/>
      <c r="Q726" s="1">
        <f t="shared" si="342"/>
        <v>0.60744618579017706</v>
      </c>
      <c r="R726" s="12">
        <f t="shared" ca="1" si="359"/>
        <v>20882</v>
      </c>
      <c r="S726" s="88">
        <f t="shared" si="368"/>
        <v>0</v>
      </c>
      <c r="T726" s="19">
        <f t="shared" si="360"/>
        <v>0</v>
      </c>
      <c r="U726" s="19">
        <f t="shared" si="361"/>
        <v>0</v>
      </c>
      <c r="V726" s="19">
        <f t="shared" si="347"/>
        <v>0</v>
      </c>
      <c r="W726" s="20">
        <f t="shared" ca="1" si="362"/>
        <v>0</v>
      </c>
      <c r="X726" s="19">
        <f t="shared" ca="1" si="363"/>
        <v>0</v>
      </c>
      <c r="Y726" s="19">
        <f t="shared" ca="1" si="364"/>
        <v>0</v>
      </c>
      <c r="Z726" s="20">
        <f t="shared" ca="1" si="365"/>
        <v>0</v>
      </c>
      <c r="AA726" s="1">
        <f t="shared" si="343"/>
        <v>5432.58</v>
      </c>
      <c r="AB726" s="93"/>
      <c r="AC726" s="94"/>
      <c r="AD726" s="101">
        <f t="shared" si="344"/>
        <v>62004</v>
      </c>
      <c r="AE726" s="103">
        <f t="shared" si="345"/>
        <v>0</v>
      </c>
      <c r="AG726" s="1">
        <f t="shared" si="366"/>
        <v>0</v>
      </c>
      <c r="AH726" s="1">
        <f t="shared" si="367"/>
        <v>0</v>
      </c>
      <c r="AI726" s="1">
        <f t="shared" si="346"/>
        <v>5432.58</v>
      </c>
      <c r="AJ726" s="20">
        <f t="shared" si="348"/>
        <v>0</v>
      </c>
      <c r="AK726" s="100">
        <f t="shared" si="350"/>
        <v>0</v>
      </c>
      <c r="AL726" s="100">
        <f t="shared" si="351"/>
        <v>0</v>
      </c>
      <c r="AN726" s="100">
        <f t="shared" si="352"/>
        <v>3817.8156400974872</v>
      </c>
      <c r="AO726" s="20">
        <f t="shared" si="353"/>
        <v>0</v>
      </c>
      <c r="AQ726" s="109">
        <f t="shared" si="354"/>
        <v>0</v>
      </c>
      <c r="AU726" s="109">
        <f t="shared" si="339"/>
        <v>25.455239205466661</v>
      </c>
      <c r="AV726" s="101">
        <f t="shared" si="355"/>
        <v>62034</v>
      </c>
      <c r="AW726" s="99">
        <f t="shared" si="356"/>
        <v>0</v>
      </c>
      <c r="AX726" s="1">
        <f t="shared" si="357"/>
        <v>0</v>
      </c>
      <c r="AY726" s="29">
        <f t="shared" si="358"/>
        <v>0</v>
      </c>
      <c r="AZ726" s="1">
        <f t="shared" si="340"/>
        <v>0</v>
      </c>
      <c r="CB726" s="20">
        <f t="shared" si="349"/>
        <v>0</v>
      </c>
      <c r="CC726" s="173">
        <f t="shared" si="341"/>
        <v>0</v>
      </c>
    </row>
    <row r="727" spans="10:81" x14ac:dyDescent="0.25">
      <c r="J727" s="7"/>
      <c r="K727" s="8"/>
      <c r="L727" s="16"/>
      <c r="M727" s="22"/>
      <c r="N727" s="22"/>
      <c r="O727" s="22"/>
      <c r="P727" s="22"/>
      <c r="Q727" s="1">
        <f t="shared" si="342"/>
        <v>0.60744618579017706</v>
      </c>
      <c r="R727" s="12">
        <f t="shared" ca="1" si="359"/>
        <v>20912</v>
      </c>
      <c r="S727" s="88">
        <f t="shared" si="368"/>
        <v>0</v>
      </c>
      <c r="T727" s="19">
        <f t="shared" si="360"/>
        <v>0</v>
      </c>
      <c r="U727" s="19">
        <f t="shared" si="361"/>
        <v>0</v>
      </c>
      <c r="V727" s="19">
        <f t="shared" si="347"/>
        <v>0</v>
      </c>
      <c r="W727" s="20">
        <f t="shared" ca="1" si="362"/>
        <v>0</v>
      </c>
      <c r="X727" s="19">
        <f t="shared" ca="1" si="363"/>
        <v>0</v>
      </c>
      <c r="Y727" s="19">
        <f t="shared" ca="1" si="364"/>
        <v>0</v>
      </c>
      <c r="Z727" s="20">
        <f t="shared" ca="1" si="365"/>
        <v>0</v>
      </c>
      <c r="AA727" s="1">
        <f t="shared" si="343"/>
        <v>5432.58</v>
      </c>
      <c r="AB727" s="91"/>
      <c r="AC727" s="92"/>
      <c r="AD727" s="101">
        <f t="shared" si="344"/>
        <v>62034</v>
      </c>
      <c r="AE727" s="103">
        <f t="shared" si="345"/>
        <v>0</v>
      </c>
      <c r="AG727" s="1">
        <f t="shared" si="366"/>
        <v>0</v>
      </c>
      <c r="AH727" s="1">
        <f t="shared" si="367"/>
        <v>0</v>
      </c>
      <c r="AI727" s="1">
        <f t="shared" si="346"/>
        <v>5432.58</v>
      </c>
      <c r="AJ727" s="20">
        <f t="shared" si="348"/>
        <v>0</v>
      </c>
      <c r="AK727" s="100">
        <f t="shared" si="350"/>
        <v>0</v>
      </c>
      <c r="AL727" s="100">
        <f t="shared" si="351"/>
        <v>0</v>
      </c>
      <c r="AN727" s="100">
        <f t="shared" si="352"/>
        <v>3815.8840199363799</v>
      </c>
      <c r="AO727" s="20">
        <f t="shared" si="353"/>
        <v>0</v>
      </c>
      <c r="AQ727" s="109">
        <f t="shared" si="354"/>
        <v>0</v>
      </c>
      <c r="AU727" s="109">
        <f t="shared" si="339"/>
        <v>25.453004997250233</v>
      </c>
      <c r="AV727" s="101">
        <f t="shared" si="355"/>
        <v>62064</v>
      </c>
      <c r="AW727" s="99">
        <f t="shared" si="356"/>
        <v>0</v>
      </c>
      <c r="AX727" s="1">
        <f t="shared" si="357"/>
        <v>0</v>
      </c>
      <c r="AY727" s="29">
        <f t="shared" si="358"/>
        <v>0</v>
      </c>
      <c r="AZ727" s="1">
        <f t="shared" si="340"/>
        <v>0</v>
      </c>
      <c r="CB727" s="20">
        <f t="shared" si="349"/>
        <v>0</v>
      </c>
      <c r="CC727" s="173">
        <f t="shared" si="341"/>
        <v>0</v>
      </c>
    </row>
    <row r="728" spans="10:81" x14ac:dyDescent="0.25">
      <c r="J728" s="9"/>
      <c r="K728" s="10"/>
      <c r="L728" s="17"/>
      <c r="M728" s="23"/>
      <c r="N728" s="23"/>
      <c r="O728" s="23"/>
      <c r="P728" s="23"/>
      <c r="Q728" s="1">
        <f t="shared" si="342"/>
        <v>0.60744618579017706</v>
      </c>
      <c r="R728" s="12">
        <f t="shared" ca="1" si="359"/>
        <v>20942</v>
      </c>
      <c r="S728" s="88">
        <f t="shared" si="368"/>
        <v>0</v>
      </c>
      <c r="T728" s="19">
        <f t="shared" si="360"/>
        <v>0</v>
      </c>
      <c r="U728" s="19">
        <f t="shared" si="361"/>
        <v>0</v>
      </c>
      <c r="V728" s="19">
        <f t="shared" si="347"/>
        <v>0</v>
      </c>
      <c r="W728" s="20">
        <f t="shared" ca="1" si="362"/>
        <v>0</v>
      </c>
      <c r="X728" s="19">
        <f t="shared" ca="1" si="363"/>
        <v>0</v>
      </c>
      <c r="Y728" s="19">
        <f t="shared" ca="1" si="364"/>
        <v>0</v>
      </c>
      <c r="Z728" s="20">
        <f t="shared" ca="1" si="365"/>
        <v>0</v>
      </c>
      <c r="AA728" s="1">
        <f t="shared" si="343"/>
        <v>5432.58</v>
      </c>
      <c r="AB728" s="93"/>
      <c r="AC728" s="94"/>
      <c r="AD728" s="101">
        <f t="shared" si="344"/>
        <v>62064</v>
      </c>
      <c r="AE728" s="103">
        <f t="shared" si="345"/>
        <v>0</v>
      </c>
      <c r="AG728" s="1">
        <f t="shared" si="366"/>
        <v>0</v>
      </c>
      <c r="AH728" s="1">
        <f t="shared" si="367"/>
        <v>0</v>
      </c>
      <c r="AI728" s="1">
        <f t="shared" si="346"/>
        <v>5432.58</v>
      </c>
      <c r="AJ728" s="20">
        <f t="shared" si="348"/>
        <v>0</v>
      </c>
      <c r="AK728" s="100">
        <f t="shared" si="350"/>
        <v>0</v>
      </c>
      <c r="AL728" s="100">
        <f t="shared" si="351"/>
        <v>0</v>
      </c>
      <c r="AN728" s="100">
        <f t="shared" si="352"/>
        <v>3813.953377076642</v>
      </c>
      <c r="AO728" s="20">
        <f t="shared" si="353"/>
        <v>0</v>
      </c>
      <c r="AQ728" s="109">
        <f t="shared" si="354"/>
        <v>0</v>
      </c>
      <c r="AU728" s="109">
        <f t="shared" si="339"/>
        <v>25.450770985130429</v>
      </c>
      <c r="AV728" s="101">
        <f t="shared" si="355"/>
        <v>62094</v>
      </c>
      <c r="AW728" s="99">
        <f t="shared" si="356"/>
        <v>0</v>
      </c>
      <c r="AX728" s="1">
        <f t="shared" si="357"/>
        <v>0</v>
      </c>
      <c r="AY728" s="29">
        <f t="shared" si="358"/>
        <v>0</v>
      </c>
      <c r="AZ728" s="1">
        <f t="shared" si="340"/>
        <v>0</v>
      </c>
      <c r="CB728" s="20">
        <f t="shared" si="349"/>
        <v>0</v>
      </c>
      <c r="CC728" s="173">
        <f t="shared" si="341"/>
        <v>0</v>
      </c>
    </row>
    <row r="729" spans="10:81" x14ac:dyDescent="0.25">
      <c r="J729" s="7"/>
      <c r="K729" s="8"/>
      <c r="L729" s="16"/>
      <c r="M729" s="22"/>
      <c r="N729" s="22"/>
      <c r="O729" s="22"/>
      <c r="P729" s="22"/>
      <c r="Q729" s="1">
        <f t="shared" si="342"/>
        <v>0.60744618579017706</v>
      </c>
      <c r="R729" s="12">
        <f t="shared" ca="1" si="359"/>
        <v>20972</v>
      </c>
      <c r="S729" s="88">
        <f t="shared" si="368"/>
        <v>0</v>
      </c>
      <c r="T729" s="19">
        <f t="shared" si="360"/>
        <v>0</v>
      </c>
      <c r="U729" s="19">
        <f t="shared" si="361"/>
        <v>0</v>
      </c>
      <c r="V729" s="19">
        <f t="shared" si="347"/>
        <v>0</v>
      </c>
      <c r="W729" s="20">
        <f t="shared" ca="1" si="362"/>
        <v>0</v>
      </c>
      <c r="X729" s="19">
        <f t="shared" ca="1" si="363"/>
        <v>0</v>
      </c>
      <c r="Y729" s="19">
        <f t="shared" ca="1" si="364"/>
        <v>0</v>
      </c>
      <c r="Z729" s="20">
        <f t="shared" ca="1" si="365"/>
        <v>0</v>
      </c>
      <c r="AA729" s="1">
        <f t="shared" si="343"/>
        <v>5432.58</v>
      </c>
      <c r="AB729" s="91"/>
      <c r="AC729" s="92"/>
      <c r="AD729" s="101">
        <f t="shared" si="344"/>
        <v>62094</v>
      </c>
      <c r="AE729" s="103">
        <f t="shared" si="345"/>
        <v>0</v>
      </c>
      <c r="AG729" s="1">
        <f t="shared" si="366"/>
        <v>0</v>
      </c>
      <c r="AH729" s="1">
        <f t="shared" si="367"/>
        <v>0</v>
      </c>
      <c r="AI729" s="1">
        <f t="shared" si="346"/>
        <v>5432.58</v>
      </c>
      <c r="AJ729" s="20">
        <f t="shared" si="348"/>
        <v>0</v>
      </c>
      <c r="AK729" s="100">
        <f t="shared" si="350"/>
        <v>0</v>
      </c>
      <c r="AL729" s="100">
        <f t="shared" si="351"/>
        <v>0</v>
      </c>
      <c r="AN729" s="100">
        <f t="shared" si="352"/>
        <v>3812.023711023804</v>
      </c>
      <c r="AO729" s="20">
        <f t="shared" si="353"/>
        <v>0</v>
      </c>
      <c r="AQ729" s="109">
        <f t="shared" si="354"/>
        <v>0</v>
      </c>
      <c r="AU729" s="109">
        <f t="shared" si="339"/>
        <v>25.448537169090041</v>
      </c>
      <c r="AV729" s="101">
        <f t="shared" si="355"/>
        <v>62124</v>
      </c>
      <c r="AW729" s="99">
        <f t="shared" si="356"/>
        <v>0</v>
      </c>
      <c r="AX729" s="1">
        <f t="shared" si="357"/>
        <v>0</v>
      </c>
      <c r="AY729" s="29">
        <f t="shared" si="358"/>
        <v>0</v>
      </c>
      <c r="AZ729" s="1">
        <f t="shared" si="340"/>
        <v>0</v>
      </c>
      <c r="CB729" s="20">
        <f t="shared" si="349"/>
        <v>0</v>
      </c>
      <c r="CC729" s="173">
        <f t="shared" si="341"/>
        <v>0</v>
      </c>
    </row>
    <row r="730" spans="10:81" x14ac:dyDescent="0.25">
      <c r="J730" s="9"/>
      <c r="K730" s="10"/>
      <c r="L730" s="17"/>
      <c r="M730" s="23"/>
      <c r="N730" s="23"/>
      <c r="O730" s="23"/>
      <c r="P730" s="23"/>
      <c r="Q730" s="1">
        <f t="shared" si="342"/>
        <v>0.60744618579017706</v>
      </c>
      <c r="R730" s="12">
        <f t="shared" ca="1" si="359"/>
        <v>21002</v>
      </c>
      <c r="S730" s="88">
        <f t="shared" si="368"/>
        <v>0</v>
      </c>
      <c r="T730" s="19">
        <f t="shared" si="360"/>
        <v>0</v>
      </c>
      <c r="U730" s="19">
        <f t="shared" si="361"/>
        <v>0</v>
      </c>
      <c r="V730" s="19">
        <f t="shared" si="347"/>
        <v>0</v>
      </c>
      <c r="W730" s="20">
        <f t="shared" ca="1" si="362"/>
        <v>0</v>
      </c>
      <c r="X730" s="19">
        <f t="shared" ca="1" si="363"/>
        <v>0</v>
      </c>
      <c r="Y730" s="19">
        <f t="shared" ca="1" si="364"/>
        <v>0</v>
      </c>
      <c r="Z730" s="20">
        <f t="shared" ca="1" si="365"/>
        <v>0</v>
      </c>
      <c r="AA730" s="1">
        <f t="shared" si="343"/>
        <v>5432.58</v>
      </c>
      <c r="AB730" s="93"/>
      <c r="AC730" s="94"/>
      <c r="AD730" s="101">
        <f t="shared" si="344"/>
        <v>62124</v>
      </c>
      <c r="AE730" s="103">
        <f t="shared" si="345"/>
        <v>0</v>
      </c>
      <c r="AG730" s="1">
        <f t="shared" si="366"/>
        <v>0</v>
      </c>
      <c r="AH730" s="1">
        <f t="shared" si="367"/>
        <v>0</v>
      </c>
      <c r="AI730" s="1">
        <f t="shared" si="346"/>
        <v>5432.58</v>
      </c>
      <c r="AJ730" s="20">
        <f t="shared" si="348"/>
        <v>0</v>
      </c>
      <c r="AK730" s="100">
        <f t="shared" si="350"/>
        <v>0</v>
      </c>
      <c r="AL730" s="100">
        <f t="shared" si="351"/>
        <v>0</v>
      </c>
      <c r="AN730" s="100">
        <f t="shared" si="352"/>
        <v>3810.095021283656</v>
      </c>
      <c r="AO730" s="20">
        <f t="shared" si="353"/>
        <v>0</v>
      </c>
      <c r="AQ730" s="109">
        <f t="shared" si="354"/>
        <v>0</v>
      </c>
      <c r="AU730" s="109">
        <f t="shared" si="339"/>
        <v>25.446303549111839</v>
      </c>
      <c r="AV730" s="101">
        <f t="shared" si="355"/>
        <v>62154</v>
      </c>
      <c r="AW730" s="99">
        <f t="shared" si="356"/>
        <v>0</v>
      </c>
      <c r="AX730" s="1">
        <f t="shared" si="357"/>
        <v>0</v>
      </c>
      <c r="AY730" s="29">
        <f t="shared" si="358"/>
        <v>0</v>
      </c>
      <c r="AZ730" s="1">
        <f t="shared" si="340"/>
        <v>0</v>
      </c>
      <c r="CB730" s="20">
        <f t="shared" si="349"/>
        <v>0</v>
      </c>
      <c r="CC730" s="173">
        <f t="shared" si="341"/>
        <v>0</v>
      </c>
    </row>
    <row r="731" spans="10:81" x14ac:dyDescent="0.25">
      <c r="J731" s="7"/>
      <c r="K731" s="8"/>
      <c r="L731" s="16"/>
      <c r="M731" s="22"/>
      <c r="N731" s="22"/>
      <c r="O731" s="22"/>
      <c r="P731" s="22"/>
      <c r="Q731" s="1">
        <f t="shared" si="342"/>
        <v>0.60744618579017706</v>
      </c>
      <c r="R731" s="12">
        <f t="shared" ca="1" si="359"/>
        <v>21032</v>
      </c>
      <c r="S731" s="88">
        <f t="shared" si="368"/>
        <v>0</v>
      </c>
      <c r="T731" s="19">
        <f t="shared" si="360"/>
        <v>0</v>
      </c>
      <c r="U731" s="19">
        <f t="shared" si="361"/>
        <v>0</v>
      </c>
      <c r="V731" s="19">
        <f t="shared" si="347"/>
        <v>0</v>
      </c>
      <c r="W731" s="20">
        <f t="shared" ca="1" si="362"/>
        <v>0</v>
      </c>
      <c r="X731" s="19">
        <f t="shared" ca="1" si="363"/>
        <v>0</v>
      </c>
      <c r="Y731" s="19">
        <f t="shared" ca="1" si="364"/>
        <v>0</v>
      </c>
      <c r="Z731" s="20">
        <f t="shared" ca="1" si="365"/>
        <v>0</v>
      </c>
      <c r="AA731" s="1">
        <f t="shared" si="343"/>
        <v>5432.58</v>
      </c>
      <c r="AB731" s="91"/>
      <c r="AC731" s="92"/>
      <c r="AD731" s="101">
        <f t="shared" si="344"/>
        <v>62154</v>
      </c>
      <c r="AE731" s="103">
        <f t="shared" si="345"/>
        <v>0</v>
      </c>
      <c r="AG731" s="1">
        <f t="shared" si="366"/>
        <v>0</v>
      </c>
      <c r="AH731" s="1">
        <f t="shared" si="367"/>
        <v>0</v>
      </c>
      <c r="AI731" s="1">
        <f t="shared" si="346"/>
        <v>5432.58</v>
      </c>
      <c r="AJ731" s="20">
        <f t="shared" si="348"/>
        <v>0</v>
      </c>
      <c r="AK731" s="100">
        <f t="shared" si="350"/>
        <v>0</v>
      </c>
      <c r="AL731" s="100">
        <f t="shared" si="351"/>
        <v>0</v>
      </c>
      <c r="AN731" s="100">
        <f t="shared" si="352"/>
        <v>3808.1673073622323</v>
      </c>
      <c r="AO731" s="20">
        <f t="shared" si="353"/>
        <v>0</v>
      </c>
      <c r="AQ731" s="109">
        <f t="shared" si="354"/>
        <v>0</v>
      </c>
      <c r="AU731" s="109">
        <f t="shared" si="339"/>
        <v>25.444070125178627</v>
      </c>
      <c r="AV731" s="101">
        <f t="shared" si="355"/>
        <v>62184</v>
      </c>
      <c r="AW731" s="99">
        <f t="shared" si="356"/>
        <v>0</v>
      </c>
      <c r="AX731" s="1">
        <f t="shared" si="357"/>
        <v>0</v>
      </c>
      <c r="AY731" s="29">
        <f t="shared" si="358"/>
        <v>0</v>
      </c>
      <c r="AZ731" s="1">
        <f t="shared" si="340"/>
        <v>0</v>
      </c>
      <c r="CB731" s="20">
        <f t="shared" si="349"/>
        <v>0</v>
      </c>
      <c r="CC731" s="173">
        <f t="shared" si="341"/>
        <v>0</v>
      </c>
    </row>
    <row r="732" spans="10:81" x14ac:dyDescent="0.25">
      <c r="J732" s="9"/>
      <c r="K732" s="10"/>
      <c r="L732" s="17"/>
      <c r="M732" s="23"/>
      <c r="N732" s="23"/>
      <c r="O732" s="23"/>
      <c r="P732" s="23"/>
      <c r="Q732" s="1">
        <f t="shared" si="342"/>
        <v>0.60744618579017706</v>
      </c>
      <c r="R732" s="12">
        <f t="shared" ca="1" si="359"/>
        <v>21062</v>
      </c>
      <c r="S732" s="88">
        <f t="shared" si="368"/>
        <v>0</v>
      </c>
      <c r="T732" s="19">
        <f t="shared" si="360"/>
        <v>0</v>
      </c>
      <c r="U732" s="19">
        <f t="shared" si="361"/>
        <v>0</v>
      </c>
      <c r="V732" s="19">
        <f t="shared" si="347"/>
        <v>0</v>
      </c>
      <c r="W732" s="20">
        <f t="shared" ca="1" si="362"/>
        <v>0</v>
      </c>
      <c r="X732" s="19">
        <f t="shared" ca="1" si="363"/>
        <v>0</v>
      </c>
      <c r="Y732" s="19">
        <f t="shared" ca="1" si="364"/>
        <v>0</v>
      </c>
      <c r="Z732" s="20">
        <f t="shared" ca="1" si="365"/>
        <v>0</v>
      </c>
      <c r="AA732" s="1">
        <f t="shared" si="343"/>
        <v>5432.58</v>
      </c>
      <c r="AB732" s="93"/>
      <c r="AC732" s="94"/>
      <c r="AD732" s="101">
        <f t="shared" si="344"/>
        <v>62184</v>
      </c>
      <c r="AE732" s="103">
        <f t="shared" si="345"/>
        <v>0</v>
      </c>
      <c r="AG732" s="1">
        <f t="shared" si="366"/>
        <v>0</v>
      </c>
      <c r="AH732" s="1">
        <f t="shared" si="367"/>
        <v>0</v>
      </c>
      <c r="AI732" s="1">
        <f t="shared" si="346"/>
        <v>5432.58</v>
      </c>
      <c r="AJ732" s="20">
        <f t="shared" si="348"/>
        <v>0</v>
      </c>
      <c r="AK732" s="100">
        <f t="shared" si="350"/>
        <v>0</v>
      </c>
      <c r="AL732" s="100">
        <f t="shared" si="351"/>
        <v>0</v>
      </c>
      <c r="AN732" s="100">
        <f t="shared" si="352"/>
        <v>3806.2405687658179</v>
      </c>
      <c r="AO732" s="20">
        <f t="shared" si="353"/>
        <v>0</v>
      </c>
      <c r="AQ732" s="109">
        <f t="shared" si="354"/>
        <v>0</v>
      </c>
      <c r="AU732" s="109">
        <f t="shared" si="339"/>
        <v>25.441836897273213</v>
      </c>
      <c r="AV732" s="101">
        <f t="shared" si="355"/>
        <v>62214</v>
      </c>
      <c r="AW732" s="99">
        <f t="shared" si="356"/>
        <v>0</v>
      </c>
      <c r="AX732" s="1">
        <f t="shared" si="357"/>
        <v>0</v>
      </c>
      <c r="AY732" s="29">
        <f t="shared" si="358"/>
        <v>0</v>
      </c>
      <c r="AZ732" s="1">
        <f t="shared" si="340"/>
        <v>0</v>
      </c>
      <c r="CB732" s="20">
        <f t="shared" si="349"/>
        <v>0</v>
      </c>
      <c r="CC732" s="173">
        <f t="shared" si="341"/>
        <v>0</v>
      </c>
    </row>
    <row r="733" spans="10:81" x14ac:dyDescent="0.25">
      <c r="J733" s="7"/>
      <c r="K733" s="8"/>
      <c r="L733" s="16"/>
      <c r="M733" s="22"/>
      <c r="N733" s="22"/>
      <c r="O733" s="22"/>
      <c r="P733" s="22"/>
      <c r="Q733" s="1">
        <f t="shared" si="342"/>
        <v>0.60744618579017706</v>
      </c>
      <c r="R733" s="12">
        <f t="shared" ca="1" si="359"/>
        <v>21092</v>
      </c>
      <c r="S733" s="88">
        <f t="shared" si="368"/>
        <v>0</v>
      </c>
      <c r="T733" s="19">
        <f t="shared" si="360"/>
        <v>0</v>
      </c>
      <c r="U733" s="19">
        <f t="shared" si="361"/>
        <v>0</v>
      </c>
      <c r="V733" s="19">
        <f t="shared" si="347"/>
        <v>0</v>
      </c>
      <c r="W733" s="20">
        <f t="shared" ca="1" si="362"/>
        <v>0</v>
      </c>
      <c r="X733" s="19">
        <f t="shared" ca="1" si="363"/>
        <v>0</v>
      </c>
      <c r="Y733" s="19">
        <f t="shared" ca="1" si="364"/>
        <v>0</v>
      </c>
      <c r="Z733" s="20">
        <f t="shared" ca="1" si="365"/>
        <v>0</v>
      </c>
      <c r="AA733" s="1">
        <f t="shared" si="343"/>
        <v>5432.58</v>
      </c>
      <c r="AB733" s="91"/>
      <c r="AC733" s="92"/>
      <c r="AD733" s="101">
        <f t="shared" si="344"/>
        <v>62214</v>
      </c>
      <c r="AE733" s="103">
        <f t="shared" si="345"/>
        <v>0</v>
      </c>
      <c r="AG733" s="1">
        <f t="shared" si="366"/>
        <v>0</v>
      </c>
      <c r="AH733" s="1">
        <f t="shared" si="367"/>
        <v>0</v>
      </c>
      <c r="AI733" s="1">
        <f t="shared" si="346"/>
        <v>5432.58</v>
      </c>
      <c r="AJ733" s="20">
        <f t="shared" si="348"/>
        <v>0</v>
      </c>
      <c r="AK733" s="100">
        <f t="shared" si="350"/>
        <v>0</v>
      </c>
      <c r="AL733" s="100">
        <f t="shared" si="351"/>
        <v>0</v>
      </c>
      <c r="AN733" s="100">
        <f t="shared" si="352"/>
        <v>3804.314805000949</v>
      </c>
      <c r="AO733" s="20">
        <f t="shared" si="353"/>
        <v>0</v>
      </c>
      <c r="AQ733" s="109">
        <f t="shared" si="354"/>
        <v>0</v>
      </c>
      <c r="AU733" s="109">
        <f t="shared" si="339"/>
        <v>25.439603865378366</v>
      </c>
      <c r="AV733" s="101">
        <f t="shared" si="355"/>
        <v>62244</v>
      </c>
      <c r="AW733" s="99">
        <f t="shared" si="356"/>
        <v>0</v>
      </c>
      <c r="AX733" s="1">
        <f t="shared" si="357"/>
        <v>0</v>
      </c>
      <c r="AY733" s="29">
        <f t="shared" si="358"/>
        <v>0</v>
      </c>
      <c r="AZ733" s="1">
        <f t="shared" si="340"/>
        <v>0</v>
      </c>
      <c r="CB733" s="20">
        <f t="shared" si="349"/>
        <v>0</v>
      </c>
      <c r="CC733" s="173">
        <f t="shared" si="341"/>
        <v>0</v>
      </c>
    </row>
    <row r="734" spans="10:81" x14ac:dyDescent="0.25">
      <c r="J734" s="9"/>
      <c r="K734" s="10"/>
      <c r="L734" s="17"/>
      <c r="M734" s="23"/>
      <c r="N734" s="23"/>
      <c r="O734" s="23"/>
      <c r="P734" s="23"/>
      <c r="Q734" s="1">
        <f t="shared" si="342"/>
        <v>0.60744618579017706</v>
      </c>
      <c r="R734" s="12">
        <f t="shared" ca="1" si="359"/>
        <v>21122</v>
      </c>
      <c r="S734" s="88">
        <f t="shared" si="368"/>
        <v>0</v>
      </c>
      <c r="T734" s="19">
        <f t="shared" si="360"/>
        <v>0</v>
      </c>
      <c r="U734" s="19">
        <f t="shared" si="361"/>
        <v>0</v>
      </c>
      <c r="V734" s="19">
        <f t="shared" si="347"/>
        <v>0</v>
      </c>
      <c r="W734" s="20">
        <f t="shared" ca="1" si="362"/>
        <v>0</v>
      </c>
      <c r="X734" s="19">
        <f t="shared" ca="1" si="363"/>
        <v>0</v>
      </c>
      <c r="Y734" s="19">
        <f t="shared" ca="1" si="364"/>
        <v>0</v>
      </c>
      <c r="Z734" s="20">
        <f t="shared" ca="1" si="365"/>
        <v>0</v>
      </c>
      <c r="AA734" s="1">
        <f t="shared" si="343"/>
        <v>5432.58</v>
      </c>
      <c r="AB734" s="93"/>
      <c r="AC734" s="94"/>
      <c r="AD734" s="101">
        <f t="shared" si="344"/>
        <v>62244</v>
      </c>
      <c r="AE734" s="103">
        <f t="shared" si="345"/>
        <v>0</v>
      </c>
      <c r="AG734" s="1">
        <f t="shared" si="366"/>
        <v>0</v>
      </c>
      <c r="AH734" s="1">
        <f t="shared" si="367"/>
        <v>0</v>
      </c>
      <c r="AI734" s="1">
        <f t="shared" si="346"/>
        <v>5432.58</v>
      </c>
      <c r="AJ734" s="20">
        <f t="shared" si="348"/>
        <v>0</v>
      </c>
      <c r="AK734" s="100">
        <f t="shared" si="350"/>
        <v>0</v>
      </c>
      <c r="AL734" s="100">
        <f t="shared" si="351"/>
        <v>0</v>
      </c>
      <c r="AN734" s="100">
        <f t="shared" si="352"/>
        <v>3802.3900155744095</v>
      </c>
      <c r="AO734" s="20">
        <f t="shared" si="353"/>
        <v>0</v>
      </c>
      <c r="AQ734" s="109">
        <f t="shared" si="354"/>
        <v>0</v>
      </c>
      <c r="AU734" s="109">
        <f t="shared" si="339"/>
        <v>25.437371029476889</v>
      </c>
      <c r="AV734" s="101">
        <f t="shared" si="355"/>
        <v>62274</v>
      </c>
      <c r="AW734" s="99">
        <f t="shared" si="356"/>
        <v>0</v>
      </c>
      <c r="AX734" s="1">
        <f t="shared" si="357"/>
        <v>0</v>
      </c>
      <c r="AY734" s="29">
        <f t="shared" si="358"/>
        <v>0</v>
      </c>
      <c r="AZ734" s="1">
        <f t="shared" si="340"/>
        <v>0</v>
      </c>
      <c r="CB734" s="20">
        <f t="shared" si="349"/>
        <v>0</v>
      </c>
      <c r="CC734" s="173">
        <f t="shared" si="341"/>
        <v>0</v>
      </c>
    </row>
    <row r="735" spans="10:81" x14ac:dyDescent="0.25">
      <c r="J735" s="7"/>
      <c r="K735" s="8"/>
      <c r="L735" s="16"/>
      <c r="M735" s="22"/>
      <c r="N735" s="22"/>
      <c r="O735" s="22"/>
      <c r="P735" s="22"/>
      <c r="Q735" s="1">
        <f t="shared" si="342"/>
        <v>0.60744618579017706</v>
      </c>
      <c r="R735" s="12">
        <f t="shared" ca="1" si="359"/>
        <v>21152</v>
      </c>
      <c r="S735" s="88">
        <f t="shared" si="368"/>
        <v>0</v>
      </c>
      <c r="T735" s="19">
        <f t="shared" si="360"/>
        <v>0</v>
      </c>
      <c r="U735" s="19">
        <f t="shared" si="361"/>
        <v>0</v>
      </c>
      <c r="V735" s="19">
        <f t="shared" si="347"/>
        <v>0</v>
      </c>
      <c r="W735" s="20">
        <f t="shared" ca="1" si="362"/>
        <v>0</v>
      </c>
      <c r="X735" s="19">
        <f t="shared" ca="1" si="363"/>
        <v>0</v>
      </c>
      <c r="Y735" s="19">
        <f t="shared" ca="1" si="364"/>
        <v>0</v>
      </c>
      <c r="Z735" s="20">
        <f t="shared" ca="1" si="365"/>
        <v>0</v>
      </c>
      <c r="AA735" s="1">
        <f t="shared" si="343"/>
        <v>5432.58</v>
      </c>
      <c r="AB735" s="91"/>
      <c r="AC735" s="92"/>
      <c r="AD735" s="101">
        <f t="shared" si="344"/>
        <v>62274</v>
      </c>
      <c r="AE735" s="103">
        <f t="shared" si="345"/>
        <v>0</v>
      </c>
      <c r="AG735" s="1">
        <f t="shared" si="366"/>
        <v>0</v>
      </c>
      <c r="AH735" s="1">
        <f t="shared" si="367"/>
        <v>0</v>
      </c>
      <c r="AI735" s="1">
        <f t="shared" si="346"/>
        <v>5432.58</v>
      </c>
      <c r="AJ735" s="20">
        <f t="shared" si="348"/>
        <v>0</v>
      </c>
      <c r="AK735" s="100">
        <f t="shared" si="350"/>
        <v>0</v>
      </c>
      <c r="AL735" s="100">
        <f t="shared" si="351"/>
        <v>0</v>
      </c>
      <c r="AN735" s="100">
        <f t="shared" si="352"/>
        <v>3800.4661999932341</v>
      </c>
      <c r="AO735" s="20">
        <f t="shared" si="353"/>
        <v>0</v>
      </c>
      <c r="AQ735" s="109">
        <f t="shared" si="354"/>
        <v>0</v>
      </c>
      <c r="AU735" s="109">
        <f t="shared" ref="AU735:AU798" si="369">(($AT$27/(1+((1+$AM$27)^(ROW()-29)*30)-1))/292)*0.32</f>
        <v>25.435138389551593</v>
      </c>
      <c r="AV735" s="101">
        <f t="shared" si="355"/>
        <v>62304</v>
      </c>
      <c r="AW735" s="99">
        <f t="shared" si="356"/>
        <v>0</v>
      </c>
      <c r="AX735" s="1">
        <f t="shared" si="357"/>
        <v>0</v>
      </c>
      <c r="AY735" s="29">
        <f t="shared" si="358"/>
        <v>0</v>
      </c>
      <c r="AZ735" s="1">
        <f t="shared" ref="AZ735:AZ798" si="370">AY735/360</f>
        <v>0</v>
      </c>
      <c r="CB735" s="20">
        <f t="shared" si="349"/>
        <v>0</v>
      </c>
      <c r="CC735" s="173">
        <f t="shared" ref="CC735:CC798" si="371">AJ735+U735+T735</f>
        <v>0</v>
      </c>
    </row>
    <row r="736" spans="10:81" x14ac:dyDescent="0.25">
      <c r="J736" s="9"/>
      <c r="K736" s="10"/>
      <c r="L736" s="17"/>
      <c r="M736" s="23"/>
      <c r="N736" s="23"/>
      <c r="O736" s="23"/>
      <c r="P736" s="23"/>
      <c r="Q736" s="1">
        <f t="shared" ref="Q736:Q799" si="372">IF(M736=0,Q735,(M736*1200)/O735)</f>
        <v>0.60744618579017706</v>
      </c>
      <c r="R736" s="12">
        <f t="shared" ca="1" si="359"/>
        <v>21182</v>
      </c>
      <c r="S736" s="88">
        <f t="shared" si="368"/>
        <v>0</v>
      </c>
      <c r="T736" s="19">
        <f t="shared" si="360"/>
        <v>0</v>
      </c>
      <c r="U736" s="19">
        <f t="shared" si="361"/>
        <v>0</v>
      </c>
      <c r="V736" s="19">
        <f t="shared" si="347"/>
        <v>0</v>
      </c>
      <c r="W736" s="20">
        <f t="shared" ca="1" si="362"/>
        <v>0</v>
      </c>
      <c r="X736" s="19">
        <f t="shared" ca="1" si="363"/>
        <v>0</v>
      </c>
      <c r="Y736" s="19">
        <f t="shared" ca="1" si="364"/>
        <v>0</v>
      </c>
      <c r="Z736" s="20">
        <f t="shared" ca="1" si="365"/>
        <v>0</v>
      </c>
      <c r="AA736" s="1">
        <f t="shared" ref="AA736:AA799" si="373">IF(S736=0,AA735,N736)</f>
        <v>5432.58</v>
      </c>
      <c r="AB736" s="93"/>
      <c r="AC736" s="94"/>
      <c r="AD736" s="101">
        <f t="shared" ref="AD736:AD799" si="374">IF(M736=0,AD735+30,K736)</f>
        <v>62304</v>
      </c>
      <c r="AE736" s="103">
        <f t="shared" ref="AE736:AE799" si="375">IF(V736=0,0,R736)</f>
        <v>0</v>
      </c>
      <c r="AG736" s="1">
        <f t="shared" si="366"/>
        <v>0</v>
      </c>
      <c r="AH736" s="1">
        <f t="shared" si="367"/>
        <v>0</v>
      </c>
      <c r="AI736" s="1">
        <f t="shared" ref="AI736:AI799" si="376">IF(M736-1=0,IF(M736=0,IF(V736=0,N736,AI735),AA736),AA736)</f>
        <v>5432.58</v>
      </c>
      <c r="AJ736" s="20">
        <f t="shared" si="348"/>
        <v>0</v>
      </c>
      <c r="AK736" s="100">
        <f t="shared" si="350"/>
        <v>0</v>
      </c>
      <c r="AL736" s="100">
        <f t="shared" si="351"/>
        <v>0</v>
      </c>
      <c r="AN736" s="100">
        <f t="shared" si="352"/>
        <v>3798.5433577647059</v>
      </c>
      <c r="AO736" s="20">
        <f t="shared" si="353"/>
        <v>0</v>
      </c>
      <c r="AQ736" s="109">
        <f t="shared" si="354"/>
        <v>0</v>
      </c>
      <c r="AU736" s="109">
        <f t="shared" si="369"/>
        <v>25.432905945585258</v>
      </c>
      <c r="AV736" s="101">
        <f t="shared" si="355"/>
        <v>62334</v>
      </c>
      <c r="AW736" s="99">
        <f t="shared" si="356"/>
        <v>0</v>
      </c>
      <c r="AX736" s="1">
        <f t="shared" si="357"/>
        <v>0</v>
      </c>
      <c r="AY736" s="29">
        <f t="shared" si="358"/>
        <v>0</v>
      </c>
      <c r="AZ736" s="1">
        <f t="shared" si="370"/>
        <v>0</v>
      </c>
      <c r="CB736" s="20">
        <f t="shared" si="349"/>
        <v>0</v>
      </c>
      <c r="CC736" s="173">
        <f t="shared" si="371"/>
        <v>0</v>
      </c>
    </row>
    <row r="737" spans="10:81" x14ac:dyDescent="0.25">
      <c r="J737" s="7"/>
      <c r="K737" s="8"/>
      <c r="L737" s="16"/>
      <c r="M737" s="22"/>
      <c r="N737" s="22"/>
      <c r="O737" s="22"/>
      <c r="P737" s="22"/>
      <c r="Q737" s="1">
        <f t="shared" si="372"/>
        <v>0.60744618579017706</v>
      </c>
      <c r="R737" s="12">
        <f t="shared" ca="1" si="359"/>
        <v>21212</v>
      </c>
      <c r="S737" s="88">
        <f t="shared" si="368"/>
        <v>0</v>
      </c>
      <c r="T737" s="19">
        <f t="shared" si="360"/>
        <v>0</v>
      </c>
      <c r="U737" s="19">
        <f t="shared" si="361"/>
        <v>0</v>
      </c>
      <c r="V737" s="19">
        <f t="shared" si="347"/>
        <v>0</v>
      </c>
      <c r="W737" s="20">
        <f t="shared" ca="1" si="362"/>
        <v>0</v>
      </c>
      <c r="X737" s="19">
        <f t="shared" ca="1" si="363"/>
        <v>0</v>
      </c>
      <c r="Y737" s="19">
        <f t="shared" ca="1" si="364"/>
        <v>0</v>
      </c>
      <c r="Z737" s="20">
        <f t="shared" ca="1" si="365"/>
        <v>0</v>
      </c>
      <c r="AA737" s="1">
        <f t="shared" si="373"/>
        <v>5432.58</v>
      </c>
      <c r="AB737" s="91"/>
      <c r="AC737" s="92"/>
      <c r="AD737" s="101">
        <f t="shared" si="374"/>
        <v>62334</v>
      </c>
      <c r="AE737" s="103">
        <f t="shared" si="375"/>
        <v>0</v>
      </c>
      <c r="AG737" s="1">
        <f t="shared" si="366"/>
        <v>0</v>
      </c>
      <c r="AH737" s="1">
        <f t="shared" si="367"/>
        <v>0</v>
      </c>
      <c r="AI737" s="1">
        <f t="shared" si="376"/>
        <v>5432.58</v>
      </c>
      <c r="AJ737" s="20">
        <f t="shared" si="348"/>
        <v>0</v>
      </c>
      <c r="AK737" s="100">
        <f t="shared" si="350"/>
        <v>0</v>
      </c>
      <c r="AL737" s="100">
        <f t="shared" si="351"/>
        <v>0</v>
      </c>
      <c r="AN737" s="100">
        <f t="shared" si="352"/>
        <v>3796.6214883963589</v>
      </c>
      <c r="AO737" s="20">
        <f t="shared" si="353"/>
        <v>0</v>
      </c>
      <c r="AQ737" s="109">
        <f t="shared" si="354"/>
        <v>0</v>
      </c>
      <c r="AU737" s="109">
        <f t="shared" si="369"/>
        <v>25.430673697560703</v>
      </c>
      <c r="AV737" s="101">
        <f t="shared" si="355"/>
        <v>62364</v>
      </c>
      <c r="AW737" s="99">
        <f t="shared" si="356"/>
        <v>0</v>
      </c>
      <c r="AX737" s="1">
        <f t="shared" si="357"/>
        <v>0</v>
      </c>
      <c r="AY737" s="29">
        <f t="shared" si="358"/>
        <v>0</v>
      </c>
      <c r="AZ737" s="1">
        <f t="shared" si="370"/>
        <v>0</v>
      </c>
      <c r="CB737" s="20">
        <f t="shared" si="349"/>
        <v>0</v>
      </c>
      <c r="CC737" s="173">
        <f t="shared" si="371"/>
        <v>0</v>
      </c>
    </row>
    <row r="738" spans="10:81" x14ac:dyDescent="0.25">
      <c r="J738" s="9"/>
      <c r="K738" s="10"/>
      <c r="L738" s="17"/>
      <c r="M738" s="23"/>
      <c r="N738" s="23"/>
      <c r="O738" s="23"/>
      <c r="P738" s="23"/>
      <c r="Q738" s="1">
        <f t="shared" si="372"/>
        <v>0.60744618579017706</v>
      </c>
      <c r="R738" s="12">
        <f t="shared" ca="1" si="359"/>
        <v>21242</v>
      </c>
      <c r="S738" s="88">
        <f t="shared" si="368"/>
        <v>0</v>
      </c>
      <c r="T738" s="19">
        <f t="shared" si="360"/>
        <v>0</v>
      </c>
      <c r="U738" s="19">
        <f t="shared" si="361"/>
        <v>0</v>
      </c>
      <c r="V738" s="19">
        <f t="shared" ref="V738:V801" si="377">IF(ISERROR(IF(V737+U738+T738+(V737*Q738/1200)-AA738-P738&lt;0,0,V737+U738+T738-AA738-P738)),0,IF(V737+U738+T738+(V737*Q738/1200)-AA738-CB738&lt;0,0,V737+U738+T738-AA738-CB738))</f>
        <v>0</v>
      </c>
      <c r="W738" s="20">
        <f t="shared" ca="1" si="362"/>
        <v>0</v>
      </c>
      <c r="X738" s="19">
        <f t="shared" ca="1" si="363"/>
        <v>0</v>
      </c>
      <c r="Y738" s="19">
        <f t="shared" ca="1" si="364"/>
        <v>0</v>
      </c>
      <c r="Z738" s="20">
        <f t="shared" ca="1" si="365"/>
        <v>0</v>
      </c>
      <c r="AA738" s="1">
        <f t="shared" si="373"/>
        <v>5432.58</v>
      </c>
      <c r="AB738" s="93"/>
      <c r="AC738" s="94"/>
      <c r="AD738" s="101">
        <f t="shared" si="374"/>
        <v>62364</v>
      </c>
      <c r="AE738" s="103">
        <f t="shared" si="375"/>
        <v>0</v>
      </c>
      <c r="AG738" s="1">
        <f t="shared" si="366"/>
        <v>0</v>
      </c>
      <c r="AH738" s="1">
        <f t="shared" si="367"/>
        <v>0</v>
      </c>
      <c r="AI738" s="1">
        <f t="shared" si="376"/>
        <v>5432.58</v>
      </c>
      <c r="AJ738" s="20">
        <f t="shared" si="348"/>
        <v>0</v>
      </c>
      <c r="AK738" s="100">
        <f t="shared" si="350"/>
        <v>0</v>
      </c>
      <c r="AL738" s="100">
        <f t="shared" si="351"/>
        <v>0</v>
      </c>
      <c r="AN738" s="100">
        <f t="shared" si="352"/>
        <v>3794.7005913959761</v>
      </c>
      <c r="AO738" s="20">
        <f t="shared" si="353"/>
        <v>0</v>
      </c>
      <c r="AQ738" s="109">
        <f t="shared" si="354"/>
        <v>0</v>
      </c>
      <c r="AU738" s="109">
        <f t="shared" si="369"/>
        <v>25.428441645460708</v>
      </c>
      <c r="AV738" s="101">
        <f t="shared" si="355"/>
        <v>62394</v>
      </c>
      <c r="AW738" s="99">
        <f t="shared" si="356"/>
        <v>0</v>
      </c>
      <c r="AX738" s="1">
        <f t="shared" si="357"/>
        <v>0</v>
      </c>
      <c r="AY738" s="29">
        <f t="shared" si="358"/>
        <v>0</v>
      </c>
      <c r="AZ738" s="1">
        <f t="shared" si="370"/>
        <v>0</v>
      </c>
      <c r="CB738" s="20">
        <f t="shared" si="349"/>
        <v>0</v>
      </c>
      <c r="CC738" s="173">
        <f t="shared" si="371"/>
        <v>0</v>
      </c>
    </row>
    <row r="739" spans="10:81" x14ac:dyDescent="0.25">
      <c r="J739" s="7"/>
      <c r="K739" s="8"/>
      <c r="L739" s="16"/>
      <c r="M739" s="22"/>
      <c r="N739" s="22"/>
      <c r="O739" s="22"/>
      <c r="P739" s="22"/>
      <c r="Q739" s="1">
        <f t="shared" si="372"/>
        <v>0.60744618579017706</v>
      </c>
      <c r="R739" s="12">
        <f t="shared" ca="1" si="359"/>
        <v>21272</v>
      </c>
      <c r="S739" s="88">
        <f t="shared" si="368"/>
        <v>0</v>
      </c>
      <c r="T739" s="19">
        <f t="shared" si="360"/>
        <v>0</v>
      </c>
      <c r="U739" s="19">
        <f t="shared" si="361"/>
        <v>0</v>
      </c>
      <c r="V739" s="19">
        <f t="shared" si="377"/>
        <v>0</v>
      </c>
      <c r="W739" s="20">
        <f t="shared" ca="1" si="362"/>
        <v>0</v>
      </c>
      <c r="X739" s="19">
        <f t="shared" ca="1" si="363"/>
        <v>0</v>
      </c>
      <c r="Y739" s="19">
        <f t="shared" ca="1" si="364"/>
        <v>0</v>
      </c>
      <c r="Z739" s="20">
        <f t="shared" ca="1" si="365"/>
        <v>0</v>
      </c>
      <c r="AA739" s="1">
        <f t="shared" si="373"/>
        <v>5432.58</v>
      </c>
      <c r="AB739" s="91"/>
      <c r="AC739" s="92"/>
      <c r="AD739" s="101">
        <f t="shared" si="374"/>
        <v>62394</v>
      </c>
      <c r="AE739" s="103">
        <f t="shared" si="375"/>
        <v>0</v>
      </c>
      <c r="AG739" s="1">
        <f t="shared" si="366"/>
        <v>0</v>
      </c>
      <c r="AH739" s="1">
        <f t="shared" si="367"/>
        <v>0</v>
      </c>
      <c r="AI739" s="1">
        <f t="shared" si="376"/>
        <v>5432.58</v>
      </c>
      <c r="AJ739" s="20">
        <f t="shared" si="348"/>
        <v>0</v>
      </c>
      <c r="AK739" s="100">
        <f t="shared" si="350"/>
        <v>0</v>
      </c>
      <c r="AL739" s="100">
        <f t="shared" si="351"/>
        <v>0</v>
      </c>
      <c r="AN739" s="100">
        <f t="shared" si="352"/>
        <v>3792.780666271588</v>
      </c>
      <c r="AO739" s="20">
        <f t="shared" si="353"/>
        <v>0</v>
      </c>
      <c r="AQ739" s="109">
        <f t="shared" si="354"/>
        <v>0</v>
      </c>
      <c r="AU739" s="109">
        <f t="shared" si="369"/>
        <v>25.4262097892681</v>
      </c>
      <c r="AV739" s="101">
        <f t="shared" si="355"/>
        <v>62424</v>
      </c>
      <c r="AW739" s="99">
        <f t="shared" si="356"/>
        <v>0</v>
      </c>
      <c r="AX739" s="1">
        <f t="shared" si="357"/>
        <v>0</v>
      </c>
      <c r="AY739" s="29">
        <f t="shared" si="358"/>
        <v>0</v>
      </c>
      <c r="AZ739" s="1">
        <f t="shared" si="370"/>
        <v>0</v>
      </c>
      <c r="CB739" s="20">
        <f t="shared" si="349"/>
        <v>0</v>
      </c>
      <c r="CC739" s="173">
        <f t="shared" si="371"/>
        <v>0</v>
      </c>
    </row>
    <row r="740" spans="10:81" x14ac:dyDescent="0.25">
      <c r="J740" s="9"/>
      <c r="K740" s="10"/>
      <c r="L740" s="17"/>
      <c r="M740" s="23"/>
      <c r="N740" s="23"/>
      <c r="O740" s="23"/>
      <c r="P740" s="23"/>
      <c r="Q740" s="1">
        <f t="shared" si="372"/>
        <v>0.60744618579017706</v>
      </c>
      <c r="R740" s="12">
        <f t="shared" ca="1" si="359"/>
        <v>21302</v>
      </c>
      <c r="S740" s="88">
        <f t="shared" si="368"/>
        <v>0</v>
      </c>
      <c r="T740" s="19">
        <f t="shared" si="360"/>
        <v>0</v>
      </c>
      <c r="U740" s="19">
        <f t="shared" si="361"/>
        <v>0</v>
      </c>
      <c r="V740" s="19">
        <f t="shared" si="377"/>
        <v>0</v>
      </c>
      <c r="W740" s="20">
        <f t="shared" ca="1" si="362"/>
        <v>0</v>
      </c>
      <c r="X740" s="19">
        <f t="shared" ca="1" si="363"/>
        <v>0</v>
      </c>
      <c r="Y740" s="19">
        <f t="shared" ca="1" si="364"/>
        <v>0</v>
      </c>
      <c r="Z740" s="20">
        <f t="shared" ca="1" si="365"/>
        <v>0</v>
      </c>
      <c r="AA740" s="1">
        <f t="shared" si="373"/>
        <v>5432.58</v>
      </c>
      <c r="AB740" s="93"/>
      <c r="AC740" s="94"/>
      <c r="AD740" s="101">
        <f t="shared" si="374"/>
        <v>62424</v>
      </c>
      <c r="AE740" s="103">
        <f t="shared" si="375"/>
        <v>0</v>
      </c>
      <c r="AG740" s="1">
        <f t="shared" si="366"/>
        <v>0</v>
      </c>
      <c r="AH740" s="1">
        <f t="shared" si="367"/>
        <v>0</v>
      </c>
      <c r="AI740" s="1">
        <f t="shared" si="376"/>
        <v>5432.58</v>
      </c>
      <c r="AJ740" s="20">
        <f t="shared" si="348"/>
        <v>0</v>
      </c>
      <c r="AK740" s="100">
        <f t="shared" si="350"/>
        <v>0</v>
      </c>
      <c r="AL740" s="100">
        <f t="shared" si="351"/>
        <v>0</v>
      </c>
      <c r="AN740" s="100">
        <f t="shared" si="352"/>
        <v>3790.8617125314745</v>
      </c>
      <c r="AO740" s="20">
        <f t="shared" si="353"/>
        <v>0</v>
      </c>
      <c r="AQ740" s="109">
        <f t="shared" si="354"/>
        <v>0</v>
      </c>
      <c r="AU740" s="109">
        <f t="shared" si="369"/>
        <v>25.423978128965679</v>
      </c>
      <c r="AV740" s="101">
        <f t="shared" si="355"/>
        <v>62454</v>
      </c>
      <c r="AW740" s="99">
        <f t="shared" si="356"/>
        <v>0</v>
      </c>
      <c r="AX740" s="1">
        <f t="shared" si="357"/>
        <v>0</v>
      </c>
      <c r="AY740" s="29">
        <f t="shared" si="358"/>
        <v>0</v>
      </c>
      <c r="AZ740" s="1">
        <f t="shared" si="370"/>
        <v>0</v>
      </c>
      <c r="CB740" s="20">
        <f t="shared" si="349"/>
        <v>0</v>
      </c>
      <c r="CC740" s="173">
        <f t="shared" si="371"/>
        <v>0</v>
      </c>
    </row>
    <row r="741" spans="10:81" x14ac:dyDescent="0.25">
      <c r="J741" s="7"/>
      <c r="K741" s="8"/>
      <c r="L741" s="16"/>
      <c r="M741" s="22"/>
      <c r="N741" s="22"/>
      <c r="O741" s="22"/>
      <c r="P741" s="22"/>
      <c r="Q741" s="1">
        <f t="shared" si="372"/>
        <v>0.60744618579017706</v>
      </c>
      <c r="R741" s="12">
        <f t="shared" ca="1" si="359"/>
        <v>21332</v>
      </c>
      <c r="S741" s="88">
        <f t="shared" si="368"/>
        <v>0</v>
      </c>
      <c r="T741" s="19">
        <f t="shared" si="360"/>
        <v>0</v>
      </c>
      <c r="U741" s="19">
        <f t="shared" si="361"/>
        <v>0</v>
      </c>
      <c r="V741" s="19">
        <f t="shared" si="377"/>
        <v>0</v>
      </c>
      <c r="W741" s="20">
        <f t="shared" ca="1" si="362"/>
        <v>0</v>
      </c>
      <c r="X741" s="19">
        <f t="shared" ca="1" si="363"/>
        <v>0</v>
      </c>
      <c r="Y741" s="19">
        <f t="shared" ca="1" si="364"/>
        <v>0</v>
      </c>
      <c r="Z741" s="20">
        <f t="shared" ca="1" si="365"/>
        <v>0</v>
      </c>
      <c r="AA741" s="1">
        <f t="shared" si="373"/>
        <v>5432.58</v>
      </c>
      <c r="AB741" s="91"/>
      <c r="AC741" s="92"/>
      <c r="AD741" s="101">
        <f t="shared" si="374"/>
        <v>62454</v>
      </c>
      <c r="AE741" s="103">
        <f t="shared" si="375"/>
        <v>0</v>
      </c>
      <c r="AG741" s="1">
        <f t="shared" si="366"/>
        <v>0</v>
      </c>
      <c r="AH741" s="1">
        <f t="shared" si="367"/>
        <v>0</v>
      </c>
      <c r="AI741" s="1">
        <f t="shared" si="376"/>
        <v>5432.58</v>
      </c>
      <c r="AJ741" s="20">
        <f t="shared" si="348"/>
        <v>0</v>
      </c>
      <c r="AK741" s="100">
        <f t="shared" si="350"/>
        <v>0</v>
      </c>
      <c r="AL741" s="100">
        <f t="shared" si="351"/>
        <v>0</v>
      </c>
      <c r="AN741" s="100">
        <f t="shared" si="352"/>
        <v>3788.9437296841661</v>
      </c>
      <c r="AO741" s="20">
        <f t="shared" si="353"/>
        <v>0</v>
      </c>
      <c r="AQ741" s="109">
        <f t="shared" si="354"/>
        <v>0</v>
      </c>
      <c r="AU741" s="109">
        <f t="shared" si="369"/>
        <v>25.421746664536226</v>
      </c>
      <c r="AV741" s="101">
        <f t="shared" si="355"/>
        <v>62484</v>
      </c>
      <c r="AW741" s="99">
        <f t="shared" si="356"/>
        <v>0</v>
      </c>
      <c r="AX741" s="1">
        <f t="shared" si="357"/>
        <v>0</v>
      </c>
      <c r="AY741" s="29">
        <f t="shared" si="358"/>
        <v>0</v>
      </c>
      <c r="AZ741" s="1">
        <f t="shared" si="370"/>
        <v>0</v>
      </c>
      <c r="CB741" s="20">
        <f t="shared" si="349"/>
        <v>0</v>
      </c>
      <c r="CC741" s="173">
        <f t="shared" si="371"/>
        <v>0</v>
      </c>
    </row>
    <row r="742" spans="10:81" x14ac:dyDescent="0.25">
      <c r="J742" s="9"/>
      <c r="K742" s="10"/>
      <c r="L742" s="17"/>
      <c r="M742" s="23"/>
      <c r="N742" s="23"/>
      <c r="O742" s="23"/>
      <c r="P742" s="23"/>
      <c r="Q742" s="1">
        <f t="shared" si="372"/>
        <v>0.60744618579017706</v>
      </c>
      <c r="R742" s="12">
        <f t="shared" ca="1" si="359"/>
        <v>21362</v>
      </c>
      <c r="S742" s="88">
        <f t="shared" si="368"/>
        <v>0</v>
      </c>
      <c r="T742" s="19">
        <f t="shared" si="360"/>
        <v>0</v>
      </c>
      <c r="U742" s="19">
        <f t="shared" si="361"/>
        <v>0</v>
      </c>
      <c r="V742" s="19">
        <f t="shared" si="377"/>
        <v>0</v>
      </c>
      <c r="W742" s="20">
        <f t="shared" ca="1" si="362"/>
        <v>0</v>
      </c>
      <c r="X742" s="19">
        <f t="shared" ca="1" si="363"/>
        <v>0</v>
      </c>
      <c r="Y742" s="19">
        <f t="shared" ca="1" si="364"/>
        <v>0</v>
      </c>
      <c r="Z742" s="20">
        <f t="shared" ca="1" si="365"/>
        <v>0</v>
      </c>
      <c r="AA742" s="1">
        <f t="shared" si="373"/>
        <v>5432.58</v>
      </c>
      <c r="AB742" s="93"/>
      <c r="AC742" s="94"/>
      <c r="AD742" s="101">
        <f t="shared" si="374"/>
        <v>62484</v>
      </c>
      <c r="AE742" s="103">
        <f t="shared" si="375"/>
        <v>0</v>
      </c>
      <c r="AG742" s="1">
        <f t="shared" si="366"/>
        <v>0</v>
      </c>
      <c r="AH742" s="1">
        <f t="shared" si="367"/>
        <v>0</v>
      </c>
      <c r="AI742" s="1">
        <f t="shared" si="376"/>
        <v>5432.58</v>
      </c>
      <c r="AJ742" s="20">
        <f t="shared" si="348"/>
        <v>0</v>
      </c>
      <c r="AK742" s="100">
        <f t="shared" si="350"/>
        <v>0</v>
      </c>
      <c r="AL742" s="100">
        <f t="shared" si="351"/>
        <v>0</v>
      </c>
      <c r="AN742" s="100">
        <f t="shared" si="352"/>
        <v>3787.0267172384383</v>
      </c>
      <c r="AO742" s="20">
        <f t="shared" si="353"/>
        <v>0</v>
      </c>
      <c r="AQ742" s="109">
        <f t="shared" si="354"/>
        <v>0</v>
      </c>
      <c r="AU742" s="109">
        <f t="shared" si="369"/>
        <v>25.419515395962595</v>
      </c>
      <c r="AV742" s="101">
        <f t="shared" si="355"/>
        <v>62514</v>
      </c>
      <c r="AW742" s="99">
        <f t="shared" si="356"/>
        <v>0</v>
      </c>
      <c r="AX742" s="1">
        <f t="shared" si="357"/>
        <v>0</v>
      </c>
      <c r="AY742" s="29">
        <f t="shared" si="358"/>
        <v>0</v>
      </c>
      <c r="AZ742" s="1">
        <f t="shared" si="370"/>
        <v>0</v>
      </c>
      <c r="CB742" s="20">
        <f t="shared" si="349"/>
        <v>0</v>
      </c>
      <c r="CC742" s="173">
        <f t="shared" si="371"/>
        <v>0</v>
      </c>
    </row>
    <row r="743" spans="10:81" x14ac:dyDescent="0.25">
      <c r="J743" s="7"/>
      <c r="K743" s="8"/>
      <c r="L743" s="16"/>
      <c r="M743" s="22"/>
      <c r="N743" s="22"/>
      <c r="O743" s="22"/>
      <c r="P743" s="22"/>
      <c r="Q743" s="1">
        <f t="shared" si="372"/>
        <v>0.60744618579017706</v>
      </c>
      <c r="R743" s="12">
        <f t="shared" ca="1" si="359"/>
        <v>21392</v>
      </c>
      <c r="S743" s="88">
        <f t="shared" si="368"/>
        <v>0</v>
      </c>
      <c r="T743" s="19">
        <f t="shared" si="360"/>
        <v>0</v>
      </c>
      <c r="U743" s="19">
        <f t="shared" si="361"/>
        <v>0</v>
      </c>
      <c r="V743" s="19">
        <f t="shared" si="377"/>
        <v>0</v>
      </c>
      <c r="W743" s="20">
        <f t="shared" ca="1" si="362"/>
        <v>0</v>
      </c>
      <c r="X743" s="19">
        <f t="shared" ca="1" si="363"/>
        <v>0</v>
      </c>
      <c r="Y743" s="19">
        <f t="shared" ca="1" si="364"/>
        <v>0</v>
      </c>
      <c r="Z743" s="20">
        <f t="shared" ca="1" si="365"/>
        <v>0</v>
      </c>
      <c r="AA743" s="1">
        <f t="shared" si="373"/>
        <v>5432.58</v>
      </c>
      <c r="AB743" s="91"/>
      <c r="AC743" s="92"/>
      <c r="AD743" s="101">
        <f t="shared" si="374"/>
        <v>62514</v>
      </c>
      <c r="AE743" s="103">
        <f t="shared" si="375"/>
        <v>0</v>
      </c>
      <c r="AG743" s="1">
        <f t="shared" si="366"/>
        <v>0</v>
      </c>
      <c r="AH743" s="1">
        <f t="shared" si="367"/>
        <v>0</v>
      </c>
      <c r="AI743" s="1">
        <f t="shared" si="376"/>
        <v>5432.58</v>
      </c>
      <c r="AJ743" s="20">
        <f t="shared" si="348"/>
        <v>0</v>
      </c>
      <c r="AK743" s="100">
        <f t="shared" si="350"/>
        <v>0</v>
      </c>
      <c r="AL743" s="100">
        <f t="shared" si="351"/>
        <v>0</v>
      </c>
      <c r="AN743" s="100">
        <f t="shared" si="352"/>
        <v>3785.11067470332</v>
      </c>
      <c r="AO743" s="20">
        <f t="shared" si="353"/>
        <v>0</v>
      </c>
      <c r="AQ743" s="109">
        <f t="shared" si="354"/>
        <v>0</v>
      </c>
      <c r="AU743" s="109">
        <f t="shared" si="369"/>
        <v>25.417284323227552</v>
      </c>
      <c r="AV743" s="101">
        <f t="shared" si="355"/>
        <v>62544</v>
      </c>
      <c r="AW743" s="99">
        <f t="shared" si="356"/>
        <v>0</v>
      </c>
      <c r="AX743" s="1">
        <f t="shared" si="357"/>
        <v>0</v>
      </c>
      <c r="AY743" s="29">
        <f t="shared" si="358"/>
        <v>0</v>
      </c>
      <c r="AZ743" s="1">
        <f t="shared" si="370"/>
        <v>0</v>
      </c>
      <c r="CB743" s="20">
        <f t="shared" si="349"/>
        <v>0</v>
      </c>
      <c r="CC743" s="173">
        <f t="shared" si="371"/>
        <v>0</v>
      </c>
    </row>
    <row r="744" spans="10:81" x14ac:dyDescent="0.25">
      <c r="J744" s="9"/>
      <c r="K744" s="10"/>
      <c r="L744" s="17"/>
      <c r="M744" s="23"/>
      <c r="N744" s="23"/>
      <c r="O744" s="23"/>
      <c r="P744" s="23"/>
      <c r="Q744" s="1">
        <f t="shared" si="372"/>
        <v>0.60744618579017706</v>
      </c>
      <c r="R744" s="12">
        <f t="shared" ca="1" si="359"/>
        <v>21422</v>
      </c>
      <c r="S744" s="88">
        <f t="shared" si="368"/>
        <v>0</v>
      </c>
      <c r="T744" s="19">
        <f t="shared" si="360"/>
        <v>0</v>
      </c>
      <c r="U744" s="19">
        <f t="shared" si="361"/>
        <v>0</v>
      </c>
      <c r="V744" s="19">
        <f t="shared" si="377"/>
        <v>0</v>
      </c>
      <c r="W744" s="20">
        <f t="shared" ca="1" si="362"/>
        <v>0</v>
      </c>
      <c r="X744" s="19">
        <f t="shared" ca="1" si="363"/>
        <v>0</v>
      </c>
      <c r="Y744" s="19">
        <f t="shared" ca="1" si="364"/>
        <v>0</v>
      </c>
      <c r="Z744" s="20">
        <f t="shared" ca="1" si="365"/>
        <v>0</v>
      </c>
      <c r="AA744" s="1">
        <f t="shared" si="373"/>
        <v>5432.58</v>
      </c>
      <c r="AB744" s="93"/>
      <c r="AC744" s="94"/>
      <c r="AD744" s="101">
        <f t="shared" si="374"/>
        <v>62544</v>
      </c>
      <c r="AE744" s="103">
        <f t="shared" si="375"/>
        <v>0</v>
      </c>
      <c r="AG744" s="1">
        <f t="shared" si="366"/>
        <v>0</v>
      </c>
      <c r="AH744" s="1">
        <f t="shared" si="367"/>
        <v>0</v>
      </c>
      <c r="AI744" s="1">
        <f t="shared" si="376"/>
        <v>5432.58</v>
      </c>
      <c r="AJ744" s="20">
        <f t="shared" ref="AJ744:AJ807" si="378">IF(ISERROR(IF(V743+U744+T744+(V743*Q744/1200)-AA744-P744&lt;0,V743,-(U744+T744-AA744+P744-AH744))),0,IF(V743+U744+T744+(V743*Q744/1200)-AA744-P744&lt;0,0,-(U744+T744-AA744-AH744)))</f>
        <v>0</v>
      </c>
      <c r="AK744" s="100">
        <f t="shared" si="350"/>
        <v>0</v>
      </c>
      <c r="AL744" s="100">
        <f t="shared" si="351"/>
        <v>0</v>
      </c>
      <c r="AN744" s="100">
        <f t="shared" si="352"/>
        <v>3783.1956015880842</v>
      </c>
      <c r="AO744" s="20">
        <f t="shared" si="353"/>
        <v>0</v>
      </c>
      <c r="AQ744" s="109">
        <f t="shared" si="354"/>
        <v>0</v>
      </c>
      <c r="AU744" s="109">
        <f t="shared" si="369"/>
        <v>25.415053446313941</v>
      </c>
      <c r="AV744" s="101">
        <f t="shared" si="355"/>
        <v>62574</v>
      </c>
      <c r="AW744" s="99">
        <f t="shared" si="356"/>
        <v>0</v>
      </c>
      <c r="AX744" s="1">
        <f t="shared" si="357"/>
        <v>0</v>
      </c>
      <c r="AY744" s="29">
        <f t="shared" si="358"/>
        <v>0</v>
      </c>
      <c r="AZ744" s="1">
        <f t="shared" si="370"/>
        <v>0</v>
      </c>
      <c r="CB744" s="20">
        <f t="shared" si="349"/>
        <v>0</v>
      </c>
      <c r="CC744" s="173">
        <f t="shared" si="371"/>
        <v>0</v>
      </c>
    </row>
    <row r="745" spans="10:81" x14ac:dyDescent="0.25">
      <c r="J745" s="7"/>
      <c r="K745" s="8"/>
      <c r="L745" s="16"/>
      <c r="M745" s="22"/>
      <c r="N745" s="22"/>
      <c r="O745" s="22"/>
      <c r="P745" s="22"/>
      <c r="Q745" s="1">
        <f t="shared" si="372"/>
        <v>0.60744618579017706</v>
      </c>
      <c r="R745" s="12">
        <f t="shared" ca="1" si="359"/>
        <v>21452</v>
      </c>
      <c r="S745" s="88">
        <f t="shared" si="368"/>
        <v>0</v>
      </c>
      <c r="T745" s="19">
        <f t="shared" si="360"/>
        <v>0</v>
      </c>
      <c r="U745" s="19">
        <f t="shared" si="361"/>
        <v>0</v>
      </c>
      <c r="V745" s="19">
        <f t="shared" si="377"/>
        <v>0</v>
      </c>
      <c r="W745" s="20">
        <f t="shared" ca="1" si="362"/>
        <v>0</v>
      </c>
      <c r="X745" s="19">
        <f t="shared" ca="1" si="363"/>
        <v>0</v>
      </c>
      <c r="Y745" s="19">
        <f t="shared" ca="1" si="364"/>
        <v>0</v>
      </c>
      <c r="Z745" s="20">
        <f t="shared" ca="1" si="365"/>
        <v>0</v>
      </c>
      <c r="AA745" s="1">
        <f t="shared" si="373"/>
        <v>5432.58</v>
      </c>
      <c r="AB745" s="91"/>
      <c r="AC745" s="92"/>
      <c r="AD745" s="101">
        <f t="shared" si="374"/>
        <v>62574</v>
      </c>
      <c r="AE745" s="103">
        <f t="shared" si="375"/>
        <v>0</v>
      </c>
      <c r="AG745" s="1">
        <f t="shared" si="366"/>
        <v>0</v>
      </c>
      <c r="AH745" s="1">
        <f t="shared" si="367"/>
        <v>0</v>
      </c>
      <c r="AI745" s="1">
        <f t="shared" si="376"/>
        <v>5432.58</v>
      </c>
      <c r="AJ745" s="20">
        <f t="shared" si="378"/>
        <v>0</v>
      </c>
      <c r="AK745" s="100">
        <f t="shared" si="350"/>
        <v>0</v>
      </c>
      <c r="AL745" s="100">
        <f t="shared" si="351"/>
        <v>0</v>
      </c>
      <c r="AN745" s="100">
        <f t="shared" si="352"/>
        <v>3781.2814974022526</v>
      </c>
      <c r="AO745" s="20">
        <f t="shared" si="353"/>
        <v>0</v>
      </c>
      <c r="AQ745" s="109">
        <f t="shared" si="354"/>
        <v>0</v>
      </c>
      <c r="AU745" s="109">
        <f t="shared" si="369"/>
        <v>25.412822765204552</v>
      </c>
      <c r="AV745" s="101">
        <f t="shared" si="355"/>
        <v>62604</v>
      </c>
      <c r="AW745" s="99">
        <f t="shared" si="356"/>
        <v>0</v>
      </c>
      <c r="AX745" s="1">
        <f t="shared" si="357"/>
        <v>0</v>
      </c>
      <c r="AY745" s="29">
        <f t="shared" si="358"/>
        <v>0</v>
      </c>
      <c r="AZ745" s="1">
        <f t="shared" si="370"/>
        <v>0</v>
      </c>
      <c r="CB745" s="20">
        <f t="shared" si="349"/>
        <v>0</v>
      </c>
      <c r="CC745" s="173">
        <f t="shared" si="371"/>
        <v>0</v>
      </c>
    </row>
    <row r="746" spans="10:81" x14ac:dyDescent="0.25">
      <c r="J746" s="9"/>
      <c r="K746" s="10"/>
      <c r="L746" s="17"/>
      <c r="M746" s="23"/>
      <c r="N746" s="23"/>
      <c r="O746" s="23"/>
      <c r="P746" s="23"/>
      <c r="Q746" s="1">
        <f t="shared" si="372"/>
        <v>0.60744618579017706</v>
      </c>
      <c r="R746" s="12">
        <f t="shared" ca="1" si="359"/>
        <v>21482</v>
      </c>
      <c r="S746" s="88">
        <f t="shared" si="368"/>
        <v>0</v>
      </c>
      <c r="T746" s="19">
        <f t="shared" si="360"/>
        <v>0</v>
      </c>
      <c r="U746" s="19">
        <f t="shared" si="361"/>
        <v>0</v>
      </c>
      <c r="V746" s="19">
        <f t="shared" si="377"/>
        <v>0</v>
      </c>
      <c r="W746" s="20">
        <f t="shared" ca="1" si="362"/>
        <v>0</v>
      </c>
      <c r="X746" s="19">
        <f t="shared" ca="1" si="363"/>
        <v>0</v>
      </c>
      <c r="Y746" s="19">
        <f t="shared" ca="1" si="364"/>
        <v>0</v>
      </c>
      <c r="Z746" s="20">
        <f t="shared" ca="1" si="365"/>
        <v>0</v>
      </c>
      <c r="AA746" s="1">
        <f t="shared" si="373"/>
        <v>5432.58</v>
      </c>
      <c r="AB746" s="93"/>
      <c r="AC746" s="94"/>
      <c r="AD746" s="101">
        <f t="shared" si="374"/>
        <v>62604</v>
      </c>
      <c r="AE746" s="103">
        <f t="shared" si="375"/>
        <v>0</v>
      </c>
      <c r="AG746" s="1">
        <f t="shared" si="366"/>
        <v>0</v>
      </c>
      <c r="AH746" s="1">
        <f t="shared" si="367"/>
        <v>0</v>
      </c>
      <c r="AI746" s="1">
        <f t="shared" si="376"/>
        <v>5432.58</v>
      </c>
      <c r="AJ746" s="20">
        <f t="shared" si="378"/>
        <v>0</v>
      </c>
      <c r="AK746" s="100">
        <f t="shared" si="350"/>
        <v>0</v>
      </c>
      <c r="AL746" s="100">
        <f t="shared" si="351"/>
        <v>0</v>
      </c>
      <c r="AN746" s="100">
        <f t="shared" si="352"/>
        <v>3779.3683616555995</v>
      </c>
      <c r="AO746" s="20">
        <f t="shared" si="353"/>
        <v>0</v>
      </c>
      <c r="AQ746" s="109">
        <f t="shared" si="354"/>
        <v>0</v>
      </c>
      <c r="AU746" s="109">
        <f t="shared" si="369"/>
        <v>25.410592279882202</v>
      </c>
      <c r="AV746" s="101">
        <f t="shared" si="355"/>
        <v>62634</v>
      </c>
      <c r="AW746" s="99">
        <f t="shared" si="356"/>
        <v>0</v>
      </c>
      <c r="AX746" s="1">
        <f t="shared" si="357"/>
        <v>0</v>
      </c>
      <c r="AY746" s="29">
        <f t="shared" si="358"/>
        <v>0</v>
      </c>
      <c r="AZ746" s="1">
        <f t="shared" si="370"/>
        <v>0</v>
      </c>
      <c r="CB746" s="20">
        <f t="shared" si="349"/>
        <v>0</v>
      </c>
      <c r="CC746" s="173">
        <f t="shared" si="371"/>
        <v>0</v>
      </c>
    </row>
    <row r="747" spans="10:81" x14ac:dyDescent="0.25">
      <c r="J747" s="7"/>
      <c r="K747" s="8"/>
      <c r="L747" s="16"/>
      <c r="M747" s="22"/>
      <c r="N747" s="22"/>
      <c r="O747" s="22"/>
      <c r="P747" s="22"/>
      <c r="Q747" s="1">
        <f t="shared" si="372"/>
        <v>0.60744618579017706</v>
      </c>
      <c r="R747" s="12">
        <f t="shared" ca="1" si="359"/>
        <v>21512</v>
      </c>
      <c r="S747" s="88">
        <f t="shared" si="368"/>
        <v>0</v>
      </c>
      <c r="T747" s="19">
        <f t="shared" si="360"/>
        <v>0</v>
      </c>
      <c r="U747" s="19">
        <f t="shared" si="361"/>
        <v>0</v>
      </c>
      <c r="V747" s="19">
        <f t="shared" si="377"/>
        <v>0</v>
      </c>
      <c r="W747" s="20">
        <f t="shared" ca="1" si="362"/>
        <v>0</v>
      </c>
      <c r="X747" s="19">
        <f t="shared" ca="1" si="363"/>
        <v>0</v>
      </c>
      <c r="Y747" s="19">
        <f t="shared" ca="1" si="364"/>
        <v>0</v>
      </c>
      <c r="Z747" s="20">
        <f t="shared" ca="1" si="365"/>
        <v>0</v>
      </c>
      <c r="AA747" s="1">
        <f t="shared" si="373"/>
        <v>5432.58</v>
      </c>
      <c r="AB747" s="91"/>
      <c r="AC747" s="92"/>
      <c r="AD747" s="101">
        <f t="shared" si="374"/>
        <v>62634</v>
      </c>
      <c r="AE747" s="103">
        <f t="shared" si="375"/>
        <v>0</v>
      </c>
      <c r="AG747" s="1">
        <f t="shared" si="366"/>
        <v>0</v>
      </c>
      <c r="AH747" s="1">
        <f t="shared" si="367"/>
        <v>0</v>
      </c>
      <c r="AI747" s="1">
        <f t="shared" si="376"/>
        <v>5432.58</v>
      </c>
      <c r="AJ747" s="20">
        <f t="shared" si="378"/>
        <v>0</v>
      </c>
      <c r="AK747" s="100">
        <f t="shared" si="350"/>
        <v>0</v>
      </c>
      <c r="AL747" s="100">
        <f t="shared" si="351"/>
        <v>0</v>
      </c>
      <c r="AN747" s="100">
        <f t="shared" si="352"/>
        <v>3777.4561938581419</v>
      </c>
      <c r="AO747" s="20">
        <f t="shared" si="353"/>
        <v>0</v>
      </c>
      <c r="AQ747" s="109">
        <f t="shared" si="354"/>
        <v>0</v>
      </c>
      <c r="AU747" s="109">
        <f t="shared" si="369"/>
        <v>25.408361990329723</v>
      </c>
      <c r="AV747" s="101">
        <f t="shared" si="355"/>
        <v>62664</v>
      </c>
      <c r="AW747" s="99">
        <f t="shared" si="356"/>
        <v>0</v>
      </c>
      <c r="AX747" s="1">
        <f t="shared" si="357"/>
        <v>0</v>
      </c>
      <c r="AY747" s="29">
        <f t="shared" si="358"/>
        <v>0</v>
      </c>
      <c r="AZ747" s="1">
        <f t="shared" si="370"/>
        <v>0</v>
      </c>
      <c r="CB747" s="20">
        <f t="shared" si="349"/>
        <v>0</v>
      </c>
      <c r="CC747" s="173">
        <f t="shared" si="371"/>
        <v>0</v>
      </c>
    </row>
    <row r="748" spans="10:81" x14ac:dyDescent="0.25">
      <c r="J748" s="9"/>
      <c r="K748" s="10"/>
      <c r="L748" s="17"/>
      <c r="M748" s="23"/>
      <c r="N748" s="23"/>
      <c r="O748" s="23"/>
      <c r="P748" s="23"/>
      <c r="Q748" s="1">
        <f t="shared" si="372"/>
        <v>0.60744618579017706</v>
      </c>
      <c r="R748" s="12">
        <f t="shared" ca="1" si="359"/>
        <v>21542</v>
      </c>
      <c r="S748" s="88">
        <f t="shared" si="368"/>
        <v>0</v>
      </c>
      <c r="T748" s="19">
        <f t="shared" si="360"/>
        <v>0</v>
      </c>
      <c r="U748" s="19">
        <f t="shared" si="361"/>
        <v>0</v>
      </c>
      <c r="V748" s="19">
        <f t="shared" si="377"/>
        <v>0</v>
      </c>
      <c r="W748" s="20">
        <f t="shared" ca="1" si="362"/>
        <v>0</v>
      </c>
      <c r="X748" s="19">
        <f t="shared" ca="1" si="363"/>
        <v>0</v>
      </c>
      <c r="Y748" s="19">
        <f t="shared" ca="1" si="364"/>
        <v>0</v>
      </c>
      <c r="Z748" s="20">
        <f t="shared" ca="1" si="365"/>
        <v>0</v>
      </c>
      <c r="AA748" s="1">
        <f t="shared" si="373"/>
        <v>5432.58</v>
      </c>
      <c r="AB748" s="93"/>
      <c r="AC748" s="94"/>
      <c r="AD748" s="101">
        <f t="shared" si="374"/>
        <v>62664</v>
      </c>
      <c r="AE748" s="103">
        <f t="shared" si="375"/>
        <v>0</v>
      </c>
      <c r="AG748" s="1">
        <f t="shared" si="366"/>
        <v>0</v>
      </c>
      <c r="AH748" s="1">
        <f t="shared" si="367"/>
        <v>0</v>
      </c>
      <c r="AI748" s="1">
        <f t="shared" si="376"/>
        <v>5432.58</v>
      </c>
      <c r="AJ748" s="20">
        <f t="shared" si="378"/>
        <v>0</v>
      </c>
      <c r="AK748" s="100">
        <f t="shared" si="350"/>
        <v>0</v>
      </c>
      <c r="AL748" s="100">
        <f t="shared" si="351"/>
        <v>0</v>
      </c>
      <c r="AN748" s="100">
        <f t="shared" si="352"/>
        <v>3775.5449935201473</v>
      </c>
      <c r="AO748" s="20">
        <f t="shared" si="353"/>
        <v>0</v>
      </c>
      <c r="AQ748" s="109">
        <f t="shared" si="354"/>
        <v>0</v>
      </c>
      <c r="AU748" s="109">
        <f t="shared" si="369"/>
        <v>25.406131896529924</v>
      </c>
      <c r="AV748" s="101">
        <f t="shared" si="355"/>
        <v>62694</v>
      </c>
      <c r="AW748" s="99">
        <f t="shared" si="356"/>
        <v>0</v>
      </c>
      <c r="AX748" s="1">
        <f t="shared" si="357"/>
        <v>0</v>
      </c>
      <c r="AY748" s="29">
        <f t="shared" si="358"/>
        <v>0</v>
      </c>
      <c r="AZ748" s="1">
        <f t="shared" si="370"/>
        <v>0</v>
      </c>
      <c r="CB748" s="20">
        <f t="shared" si="349"/>
        <v>0</v>
      </c>
      <c r="CC748" s="173">
        <f t="shared" si="371"/>
        <v>0</v>
      </c>
    </row>
    <row r="749" spans="10:81" x14ac:dyDescent="0.25">
      <c r="J749" s="7"/>
      <c r="K749" s="8"/>
      <c r="L749" s="16"/>
      <c r="M749" s="22"/>
      <c r="N749" s="22"/>
      <c r="O749" s="22"/>
      <c r="P749" s="22"/>
      <c r="Q749" s="1">
        <f t="shared" si="372"/>
        <v>0.60744618579017706</v>
      </c>
      <c r="R749" s="12">
        <f t="shared" ca="1" si="359"/>
        <v>21572</v>
      </c>
      <c r="S749" s="88">
        <f t="shared" si="368"/>
        <v>0</v>
      </c>
      <c r="T749" s="19">
        <f t="shared" si="360"/>
        <v>0</v>
      </c>
      <c r="U749" s="19">
        <f t="shared" si="361"/>
        <v>0</v>
      </c>
      <c r="V749" s="19">
        <f t="shared" si="377"/>
        <v>0</v>
      </c>
      <c r="W749" s="20">
        <f t="shared" ca="1" si="362"/>
        <v>0</v>
      </c>
      <c r="X749" s="19">
        <f t="shared" ca="1" si="363"/>
        <v>0</v>
      </c>
      <c r="Y749" s="19">
        <f t="shared" ca="1" si="364"/>
        <v>0</v>
      </c>
      <c r="Z749" s="20">
        <f t="shared" ca="1" si="365"/>
        <v>0</v>
      </c>
      <c r="AA749" s="1">
        <f t="shared" si="373"/>
        <v>5432.58</v>
      </c>
      <c r="AB749" s="91"/>
      <c r="AC749" s="92"/>
      <c r="AD749" s="101">
        <f t="shared" si="374"/>
        <v>62694</v>
      </c>
      <c r="AE749" s="103">
        <f t="shared" si="375"/>
        <v>0</v>
      </c>
      <c r="AG749" s="1">
        <f t="shared" si="366"/>
        <v>0</v>
      </c>
      <c r="AH749" s="1">
        <f t="shared" si="367"/>
        <v>0</v>
      </c>
      <c r="AI749" s="1">
        <f t="shared" si="376"/>
        <v>5432.58</v>
      </c>
      <c r="AJ749" s="20">
        <f t="shared" si="378"/>
        <v>0</v>
      </c>
      <c r="AK749" s="100">
        <f t="shared" si="350"/>
        <v>0</v>
      </c>
      <c r="AL749" s="100">
        <f t="shared" si="351"/>
        <v>0</v>
      </c>
      <c r="AN749" s="100">
        <f t="shared" si="352"/>
        <v>3773.6347601521311</v>
      </c>
      <c r="AO749" s="20">
        <f t="shared" si="353"/>
        <v>0</v>
      </c>
      <c r="AQ749" s="109">
        <f t="shared" si="354"/>
        <v>0</v>
      </c>
      <c r="AU749" s="109">
        <f t="shared" si="369"/>
        <v>25.403901998465614</v>
      </c>
      <c r="AV749" s="101">
        <f t="shared" si="355"/>
        <v>62724</v>
      </c>
      <c r="AW749" s="99">
        <f t="shared" si="356"/>
        <v>0</v>
      </c>
      <c r="AX749" s="1">
        <f t="shared" si="357"/>
        <v>0</v>
      </c>
      <c r="AY749" s="29">
        <f t="shared" si="358"/>
        <v>0</v>
      </c>
      <c r="AZ749" s="1">
        <f t="shared" si="370"/>
        <v>0</v>
      </c>
      <c r="CB749" s="20">
        <f t="shared" si="349"/>
        <v>0</v>
      </c>
      <c r="CC749" s="173">
        <f t="shared" si="371"/>
        <v>0</v>
      </c>
    </row>
    <row r="750" spans="10:81" x14ac:dyDescent="0.25">
      <c r="J750" s="9"/>
      <c r="K750" s="10"/>
      <c r="L750" s="17"/>
      <c r="M750" s="23"/>
      <c r="N750" s="23"/>
      <c r="O750" s="23"/>
      <c r="P750" s="23"/>
      <c r="Q750" s="1">
        <f t="shared" si="372"/>
        <v>0.60744618579017706</v>
      </c>
      <c r="R750" s="12">
        <f t="shared" ca="1" si="359"/>
        <v>21602</v>
      </c>
      <c r="S750" s="88">
        <f t="shared" si="368"/>
        <v>0</v>
      </c>
      <c r="T750" s="19">
        <f t="shared" si="360"/>
        <v>0</v>
      </c>
      <c r="U750" s="19">
        <f t="shared" si="361"/>
        <v>0</v>
      </c>
      <c r="V750" s="19">
        <f t="shared" si="377"/>
        <v>0</v>
      </c>
      <c r="W750" s="20">
        <f t="shared" ca="1" si="362"/>
        <v>0</v>
      </c>
      <c r="X750" s="19">
        <f t="shared" ca="1" si="363"/>
        <v>0</v>
      </c>
      <c r="Y750" s="19">
        <f t="shared" ca="1" si="364"/>
        <v>0</v>
      </c>
      <c r="Z750" s="20">
        <f t="shared" ca="1" si="365"/>
        <v>0</v>
      </c>
      <c r="AA750" s="1">
        <f t="shared" si="373"/>
        <v>5432.58</v>
      </c>
      <c r="AB750" s="93"/>
      <c r="AC750" s="94"/>
      <c r="AD750" s="101">
        <f t="shared" si="374"/>
        <v>62724</v>
      </c>
      <c r="AE750" s="103">
        <f t="shared" si="375"/>
        <v>0</v>
      </c>
      <c r="AG750" s="1">
        <f t="shared" si="366"/>
        <v>0</v>
      </c>
      <c r="AH750" s="1">
        <f t="shared" si="367"/>
        <v>0</v>
      </c>
      <c r="AI750" s="1">
        <f t="shared" si="376"/>
        <v>5432.58</v>
      </c>
      <c r="AJ750" s="20">
        <f t="shared" si="378"/>
        <v>0</v>
      </c>
      <c r="AK750" s="100">
        <f t="shared" si="350"/>
        <v>0</v>
      </c>
      <c r="AL750" s="100">
        <f t="shared" si="351"/>
        <v>0</v>
      </c>
      <c r="AN750" s="100">
        <f t="shared" si="352"/>
        <v>3771.7254932648539</v>
      </c>
      <c r="AO750" s="20">
        <f t="shared" si="353"/>
        <v>0</v>
      </c>
      <c r="AQ750" s="109">
        <f t="shared" si="354"/>
        <v>0</v>
      </c>
      <c r="AU750" s="109">
        <f t="shared" si="369"/>
        <v>25.401672296119617</v>
      </c>
      <c r="AV750" s="101">
        <f t="shared" si="355"/>
        <v>62754</v>
      </c>
      <c r="AW750" s="99">
        <f t="shared" si="356"/>
        <v>0</v>
      </c>
      <c r="AX750" s="1">
        <f t="shared" si="357"/>
        <v>0</v>
      </c>
      <c r="AY750" s="29">
        <f t="shared" si="358"/>
        <v>0</v>
      </c>
      <c r="AZ750" s="1">
        <f t="shared" si="370"/>
        <v>0</v>
      </c>
      <c r="CB750" s="20">
        <f t="shared" ref="CB750:CB813" si="379">IF(O750=0,IF(P750&gt;0,V749,IF(O749=0,0,P750)),IF(O749=0,0,P750))</f>
        <v>0</v>
      </c>
      <c r="CC750" s="173">
        <f t="shared" si="371"/>
        <v>0</v>
      </c>
    </row>
    <row r="751" spans="10:81" x14ac:dyDescent="0.25">
      <c r="J751" s="7"/>
      <c r="K751" s="8"/>
      <c r="L751" s="16"/>
      <c r="M751" s="22"/>
      <c r="N751" s="22"/>
      <c r="O751" s="22"/>
      <c r="P751" s="22"/>
      <c r="Q751" s="1">
        <f t="shared" si="372"/>
        <v>0.60744618579017706</v>
      </c>
      <c r="R751" s="12">
        <f t="shared" ca="1" si="359"/>
        <v>21632</v>
      </c>
      <c r="S751" s="88">
        <f t="shared" si="368"/>
        <v>0</v>
      </c>
      <c r="T751" s="19">
        <f t="shared" si="360"/>
        <v>0</v>
      </c>
      <c r="U751" s="19">
        <f t="shared" si="361"/>
        <v>0</v>
      </c>
      <c r="V751" s="19">
        <f t="shared" si="377"/>
        <v>0</v>
      </c>
      <c r="W751" s="20">
        <f t="shared" ca="1" si="362"/>
        <v>0</v>
      </c>
      <c r="X751" s="19">
        <f t="shared" ca="1" si="363"/>
        <v>0</v>
      </c>
      <c r="Y751" s="19">
        <f t="shared" ca="1" si="364"/>
        <v>0</v>
      </c>
      <c r="Z751" s="20">
        <f t="shared" ca="1" si="365"/>
        <v>0</v>
      </c>
      <c r="AA751" s="1">
        <f t="shared" si="373"/>
        <v>5432.58</v>
      </c>
      <c r="AB751" s="91"/>
      <c r="AC751" s="92"/>
      <c r="AD751" s="101">
        <f t="shared" si="374"/>
        <v>62754</v>
      </c>
      <c r="AE751" s="103">
        <f t="shared" si="375"/>
        <v>0</v>
      </c>
      <c r="AG751" s="1">
        <f t="shared" si="366"/>
        <v>0</v>
      </c>
      <c r="AH751" s="1">
        <f t="shared" si="367"/>
        <v>0</v>
      </c>
      <c r="AI751" s="1">
        <f t="shared" si="376"/>
        <v>5432.58</v>
      </c>
      <c r="AJ751" s="20">
        <f t="shared" si="378"/>
        <v>0</v>
      </c>
      <c r="AK751" s="100">
        <f t="shared" si="350"/>
        <v>0</v>
      </c>
      <c r="AL751" s="100">
        <f t="shared" si="351"/>
        <v>0</v>
      </c>
      <c r="AN751" s="100">
        <f t="shared" si="352"/>
        <v>3769.817192369328</v>
      </c>
      <c r="AO751" s="20">
        <f t="shared" si="353"/>
        <v>0</v>
      </c>
      <c r="AQ751" s="109">
        <f t="shared" si="354"/>
        <v>0</v>
      </c>
      <c r="AU751" s="109">
        <f t="shared" si="369"/>
        <v>25.399442789474779</v>
      </c>
      <c r="AV751" s="101">
        <f t="shared" si="355"/>
        <v>62784</v>
      </c>
      <c r="AW751" s="99">
        <f t="shared" si="356"/>
        <v>0</v>
      </c>
      <c r="AX751" s="1">
        <f t="shared" si="357"/>
        <v>0</v>
      </c>
      <c r="AY751" s="29">
        <f t="shared" si="358"/>
        <v>0</v>
      </c>
      <c r="AZ751" s="1">
        <f t="shared" si="370"/>
        <v>0</v>
      </c>
      <c r="CB751" s="20">
        <f t="shared" si="379"/>
        <v>0</v>
      </c>
      <c r="CC751" s="173">
        <f t="shared" si="371"/>
        <v>0</v>
      </c>
    </row>
    <row r="752" spans="10:81" x14ac:dyDescent="0.25">
      <c r="J752" s="9"/>
      <c r="K752" s="10"/>
      <c r="L752" s="17"/>
      <c r="M752" s="23"/>
      <c r="N752" s="23"/>
      <c r="O752" s="23"/>
      <c r="P752" s="23"/>
      <c r="Q752" s="1">
        <f t="shared" si="372"/>
        <v>0.60744618579017706</v>
      </c>
      <c r="R752" s="12">
        <f t="shared" ca="1" si="359"/>
        <v>21662</v>
      </c>
      <c r="S752" s="88">
        <f t="shared" si="368"/>
        <v>0</v>
      </c>
      <c r="T752" s="19">
        <f t="shared" si="360"/>
        <v>0</v>
      </c>
      <c r="U752" s="19">
        <f t="shared" si="361"/>
        <v>0</v>
      </c>
      <c r="V752" s="19">
        <f t="shared" si="377"/>
        <v>0</v>
      </c>
      <c r="W752" s="20">
        <f t="shared" ca="1" si="362"/>
        <v>0</v>
      </c>
      <c r="X752" s="19">
        <f t="shared" ca="1" si="363"/>
        <v>0</v>
      </c>
      <c r="Y752" s="19">
        <f t="shared" ca="1" si="364"/>
        <v>0</v>
      </c>
      <c r="Z752" s="20">
        <f t="shared" ca="1" si="365"/>
        <v>0</v>
      </c>
      <c r="AA752" s="1">
        <f t="shared" si="373"/>
        <v>5432.58</v>
      </c>
      <c r="AB752" s="93"/>
      <c r="AC752" s="94"/>
      <c r="AD752" s="101">
        <f t="shared" si="374"/>
        <v>62784</v>
      </c>
      <c r="AE752" s="103">
        <f t="shared" si="375"/>
        <v>0</v>
      </c>
      <c r="AG752" s="1">
        <f t="shared" si="366"/>
        <v>0</v>
      </c>
      <c r="AH752" s="1">
        <f t="shared" si="367"/>
        <v>0</v>
      </c>
      <c r="AI752" s="1">
        <f t="shared" si="376"/>
        <v>5432.58</v>
      </c>
      <c r="AJ752" s="20">
        <f t="shared" si="378"/>
        <v>0</v>
      </c>
      <c r="AK752" s="100">
        <f t="shared" si="350"/>
        <v>0</v>
      </c>
      <c r="AL752" s="100">
        <f t="shared" si="351"/>
        <v>0</v>
      </c>
      <c r="AN752" s="100">
        <f t="shared" si="352"/>
        <v>3767.9098569768103</v>
      </c>
      <c r="AO752" s="20">
        <f t="shared" si="353"/>
        <v>0</v>
      </c>
      <c r="AQ752" s="109">
        <f t="shared" si="354"/>
        <v>0</v>
      </c>
      <c r="AU752" s="109">
        <f t="shared" si="369"/>
        <v>25.397213478513891</v>
      </c>
      <c r="AV752" s="101">
        <f t="shared" si="355"/>
        <v>62814</v>
      </c>
      <c r="AW752" s="99">
        <f t="shared" si="356"/>
        <v>0</v>
      </c>
      <c r="AX752" s="1">
        <f t="shared" si="357"/>
        <v>0</v>
      </c>
      <c r="AY752" s="29">
        <f t="shared" si="358"/>
        <v>0</v>
      </c>
      <c r="AZ752" s="1">
        <f t="shared" si="370"/>
        <v>0</v>
      </c>
      <c r="CB752" s="20">
        <f t="shared" si="379"/>
        <v>0</v>
      </c>
      <c r="CC752" s="173">
        <f t="shared" si="371"/>
        <v>0</v>
      </c>
    </row>
    <row r="753" spans="10:81" x14ac:dyDescent="0.25">
      <c r="J753" s="7"/>
      <c r="K753" s="8"/>
      <c r="L753" s="16"/>
      <c r="M753" s="22"/>
      <c r="N753" s="22"/>
      <c r="O753" s="22"/>
      <c r="P753" s="22"/>
      <c r="Q753" s="1">
        <f t="shared" si="372"/>
        <v>0.60744618579017706</v>
      </c>
      <c r="R753" s="12">
        <f t="shared" ca="1" si="359"/>
        <v>21692</v>
      </c>
      <c r="S753" s="88">
        <f t="shared" si="368"/>
        <v>0</v>
      </c>
      <c r="T753" s="19">
        <f t="shared" si="360"/>
        <v>0</v>
      </c>
      <c r="U753" s="19">
        <f t="shared" si="361"/>
        <v>0</v>
      </c>
      <c r="V753" s="19">
        <f t="shared" si="377"/>
        <v>0</v>
      </c>
      <c r="W753" s="20">
        <f t="shared" ca="1" si="362"/>
        <v>0</v>
      </c>
      <c r="X753" s="19">
        <f t="shared" ca="1" si="363"/>
        <v>0</v>
      </c>
      <c r="Y753" s="19">
        <f t="shared" ca="1" si="364"/>
        <v>0</v>
      </c>
      <c r="Z753" s="20">
        <f t="shared" ca="1" si="365"/>
        <v>0</v>
      </c>
      <c r="AA753" s="1">
        <f t="shared" si="373"/>
        <v>5432.58</v>
      </c>
      <c r="AB753" s="91"/>
      <c r="AC753" s="92"/>
      <c r="AD753" s="101">
        <f t="shared" si="374"/>
        <v>62814</v>
      </c>
      <c r="AE753" s="103">
        <f t="shared" si="375"/>
        <v>0</v>
      </c>
      <c r="AG753" s="1">
        <f t="shared" si="366"/>
        <v>0</v>
      </c>
      <c r="AH753" s="1">
        <f t="shared" si="367"/>
        <v>0</v>
      </c>
      <c r="AI753" s="1">
        <f t="shared" si="376"/>
        <v>5432.58</v>
      </c>
      <c r="AJ753" s="20">
        <f t="shared" si="378"/>
        <v>0</v>
      </c>
      <c r="AK753" s="100">
        <f t="shared" si="350"/>
        <v>0</v>
      </c>
      <c r="AL753" s="100">
        <f t="shared" si="351"/>
        <v>0</v>
      </c>
      <c r="AN753" s="100">
        <f t="shared" si="352"/>
        <v>3766.0034865988032</v>
      </c>
      <c r="AO753" s="20">
        <f t="shared" si="353"/>
        <v>0</v>
      </c>
      <c r="AQ753" s="109">
        <f t="shared" si="354"/>
        <v>0</v>
      </c>
      <c r="AU753" s="109">
        <f t="shared" si="369"/>
        <v>25.394984363219784</v>
      </c>
      <c r="AV753" s="101">
        <f t="shared" si="355"/>
        <v>62844</v>
      </c>
      <c r="AW753" s="99">
        <f t="shared" si="356"/>
        <v>0</v>
      </c>
      <c r="AX753" s="1">
        <f t="shared" si="357"/>
        <v>0</v>
      </c>
      <c r="AY753" s="29">
        <f t="shared" si="358"/>
        <v>0</v>
      </c>
      <c r="AZ753" s="1">
        <f t="shared" si="370"/>
        <v>0</v>
      </c>
      <c r="CB753" s="20">
        <f t="shared" si="379"/>
        <v>0</v>
      </c>
      <c r="CC753" s="173">
        <f t="shared" si="371"/>
        <v>0</v>
      </c>
    </row>
    <row r="754" spans="10:81" x14ac:dyDescent="0.25">
      <c r="J754" s="9"/>
      <c r="K754" s="10"/>
      <c r="L754" s="17"/>
      <c r="M754" s="23"/>
      <c r="N754" s="23"/>
      <c r="O754" s="23"/>
      <c r="P754" s="23"/>
      <c r="Q754" s="1">
        <f t="shared" si="372"/>
        <v>0.60744618579017706</v>
      </c>
      <c r="R754" s="12">
        <f t="shared" ca="1" si="359"/>
        <v>21722</v>
      </c>
      <c r="S754" s="88">
        <f t="shared" si="368"/>
        <v>0</v>
      </c>
      <c r="T754" s="19">
        <f t="shared" si="360"/>
        <v>0</v>
      </c>
      <c r="U754" s="19">
        <f t="shared" si="361"/>
        <v>0</v>
      </c>
      <c r="V754" s="19">
        <f t="shared" si="377"/>
        <v>0</v>
      </c>
      <c r="W754" s="20">
        <f t="shared" ca="1" si="362"/>
        <v>0</v>
      </c>
      <c r="X754" s="19">
        <f t="shared" ca="1" si="363"/>
        <v>0</v>
      </c>
      <c r="Y754" s="19">
        <f t="shared" ca="1" si="364"/>
        <v>0</v>
      </c>
      <c r="Z754" s="20">
        <f t="shared" ca="1" si="365"/>
        <v>0</v>
      </c>
      <c r="AA754" s="1">
        <f t="shared" si="373"/>
        <v>5432.58</v>
      </c>
      <c r="AB754" s="93"/>
      <c r="AC754" s="94"/>
      <c r="AD754" s="101">
        <f t="shared" si="374"/>
        <v>62844</v>
      </c>
      <c r="AE754" s="103">
        <f t="shared" si="375"/>
        <v>0</v>
      </c>
      <c r="AG754" s="1">
        <f t="shared" si="366"/>
        <v>0</v>
      </c>
      <c r="AH754" s="1">
        <f t="shared" si="367"/>
        <v>0</v>
      </c>
      <c r="AI754" s="1">
        <f t="shared" si="376"/>
        <v>5432.58</v>
      </c>
      <c r="AJ754" s="20">
        <f t="shared" si="378"/>
        <v>0</v>
      </c>
      <c r="AK754" s="100">
        <f t="shared" si="350"/>
        <v>0</v>
      </c>
      <c r="AL754" s="100">
        <f t="shared" si="351"/>
        <v>0</v>
      </c>
      <c r="AN754" s="100">
        <f t="shared" si="352"/>
        <v>3764.0980807470623</v>
      </c>
      <c r="AO754" s="20">
        <f t="shared" si="353"/>
        <v>0</v>
      </c>
      <c r="AQ754" s="109">
        <f t="shared" si="354"/>
        <v>0</v>
      </c>
      <c r="AU754" s="109">
        <f t="shared" si="369"/>
        <v>25.39275544357529</v>
      </c>
      <c r="AV754" s="101">
        <f t="shared" si="355"/>
        <v>62874</v>
      </c>
      <c r="AW754" s="99">
        <f t="shared" si="356"/>
        <v>0</v>
      </c>
      <c r="AX754" s="1">
        <f t="shared" si="357"/>
        <v>0</v>
      </c>
      <c r="AY754" s="29">
        <f t="shared" si="358"/>
        <v>0</v>
      </c>
      <c r="AZ754" s="1">
        <f t="shared" si="370"/>
        <v>0</v>
      </c>
      <c r="CB754" s="20">
        <f t="shared" si="379"/>
        <v>0</v>
      </c>
      <c r="CC754" s="173">
        <f t="shared" si="371"/>
        <v>0</v>
      </c>
    </row>
    <row r="755" spans="10:81" x14ac:dyDescent="0.25">
      <c r="J755" s="7"/>
      <c r="K755" s="8"/>
      <c r="L755" s="16"/>
      <c r="M755" s="22"/>
      <c r="N755" s="22"/>
      <c r="O755" s="22"/>
      <c r="P755" s="22"/>
      <c r="Q755" s="1">
        <f t="shared" si="372"/>
        <v>0.60744618579017706</v>
      </c>
      <c r="R755" s="12">
        <f t="shared" ca="1" si="359"/>
        <v>21752</v>
      </c>
      <c r="S755" s="88">
        <f t="shared" si="368"/>
        <v>0</v>
      </c>
      <c r="T755" s="19">
        <f t="shared" si="360"/>
        <v>0</v>
      </c>
      <c r="U755" s="19">
        <f t="shared" si="361"/>
        <v>0</v>
      </c>
      <c r="V755" s="19">
        <f t="shared" si="377"/>
        <v>0</v>
      </c>
      <c r="W755" s="20">
        <f t="shared" ca="1" si="362"/>
        <v>0</v>
      </c>
      <c r="X755" s="19">
        <f t="shared" ca="1" si="363"/>
        <v>0</v>
      </c>
      <c r="Y755" s="19">
        <f t="shared" ca="1" si="364"/>
        <v>0</v>
      </c>
      <c r="Z755" s="20">
        <f t="shared" ca="1" si="365"/>
        <v>0</v>
      </c>
      <c r="AA755" s="1">
        <f t="shared" si="373"/>
        <v>5432.58</v>
      </c>
      <c r="AB755" s="91"/>
      <c r="AC755" s="92"/>
      <c r="AD755" s="101">
        <f t="shared" si="374"/>
        <v>62874</v>
      </c>
      <c r="AE755" s="103">
        <f t="shared" si="375"/>
        <v>0</v>
      </c>
      <c r="AG755" s="1">
        <f t="shared" si="366"/>
        <v>0</v>
      </c>
      <c r="AH755" s="1">
        <f t="shared" si="367"/>
        <v>0</v>
      </c>
      <c r="AI755" s="1">
        <f t="shared" si="376"/>
        <v>5432.58</v>
      </c>
      <c r="AJ755" s="20">
        <f t="shared" si="378"/>
        <v>0</v>
      </c>
      <c r="AK755" s="100">
        <f t="shared" si="350"/>
        <v>0</v>
      </c>
      <c r="AL755" s="100">
        <f t="shared" si="351"/>
        <v>0</v>
      </c>
      <c r="AN755" s="100">
        <f t="shared" si="352"/>
        <v>3762.1936389335824</v>
      </c>
      <c r="AO755" s="20">
        <f t="shared" si="353"/>
        <v>0</v>
      </c>
      <c r="AQ755" s="109">
        <f t="shared" si="354"/>
        <v>0</v>
      </c>
      <c r="AU755" s="109">
        <f t="shared" si="369"/>
        <v>25.39052671956324</v>
      </c>
      <c r="AV755" s="101">
        <f t="shared" si="355"/>
        <v>62904</v>
      </c>
      <c r="AW755" s="99">
        <f t="shared" si="356"/>
        <v>0</v>
      </c>
      <c r="AX755" s="1">
        <f t="shared" si="357"/>
        <v>0</v>
      </c>
      <c r="AY755" s="29">
        <f t="shared" si="358"/>
        <v>0</v>
      </c>
      <c r="AZ755" s="1">
        <f t="shared" si="370"/>
        <v>0</v>
      </c>
      <c r="CB755" s="20">
        <f t="shared" si="379"/>
        <v>0</v>
      </c>
      <c r="CC755" s="173">
        <f t="shared" si="371"/>
        <v>0</v>
      </c>
    </row>
    <row r="756" spans="10:81" x14ac:dyDescent="0.25">
      <c r="J756" s="9"/>
      <c r="K756" s="10"/>
      <c r="L756" s="17"/>
      <c r="M756" s="23"/>
      <c r="N756" s="23"/>
      <c r="O756" s="23"/>
      <c r="P756" s="23"/>
      <c r="Q756" s="1">
        <f t="shared" si="372"/>
        <v>0.60744618579017706</v>
      </c>
      <c r="R756" s="12">
        <f t="shared" ca="1" si="359"/>
        <v>21782</v>
      </c>
      <c r="S756" s="88">
        <f t="shared" si="368"/>
        <v>0</v>
      </c>
      <c r="T756" s="19">
        <f t="shared" si="360"/>
        <v>0</v>
      </c>
      <c r="U756" s="19">
        <f t="shared" si="361"/>
        <v>0</v>
      </c>
      <c r="V756" s="19">
        <f t="shared" si="377"/>
        <v>0</v>
      </c>
      <c r="W756" s="20">
        <f t="shared" ca="1" si="362"/>
        <v>0</v>
      </c>
      <c r="X756" s="19">
        <f t="shared" ca="1" si="363"/>
        <v>0</v>
      </c>
      <c r="Y756" s="19">
        <f t="shared" ca="1" si="364"/>
        <v>0</v>
      </c>
      <c r="Z756" s="20">
        <f t="shared" ca="1" si="365"/>
        <v>0</v>
      </c>
      <c r="AA756" s="1">
        <f t="shared" si="373"/>
        <v>5432.58</v>
      </c>
      <c r="AB756" s="93"/>
      <c r="AC756" s="94"/>
      <c r="AD756" s="101">
        <f t="shared" si="374"/>
        <v>62904</v>
      </c>
      <c r="AE756" s="103">
        <f t="shared" si="375"/>
        <v>0</v>
      </c>
      <c r="AG756" s="1">
        <f t="shared" si="366"/>
        <v>0</v>
      </c>
      <c r="AH756" s="1">
        <f t="shared" si="367"/>
        <v>0</v>
      </c>
      <c r="AI756" s="1">
        <f t="shared" si="376"/>
        <v>5432.58</v>
      </c>
      <c r="AJ756" s="20">
        <f t="shared" si="378"/>
        <v>0</v>
      </c>
      <c r="AK756" s="100">
        <f t="shared" si="350"/>
        <v>0</v>
      </c>
      <c r="AL756" s="100">
        <f t="shared" si="351"/>
        <v>0</v>
      </c>
      <c r="AN756" s="100">
        <f t="shared" si="352"/>
        <v>3760.2901606706123</v>
      </c>
      <c r="AO756" s="20">
        <f t="shared" si="353"/>
        <v>0</v>
      </c>
      <c r="AQ756" s="109">
        <f t="shared" si="354"/>
        <v>0</v>
      </c>
      <c r="AU756" s="109">
        <f t="shared" si="369"/>
        <v>25.38829819116647</v>
      </c>
      <c r="AV756" s="101">
        <f t="shared" si="355"/>
        <v>62934</v>
      </c>
      <c r="AW756" s="99">
        <f t="shared" si="356"/>
        <v>0</v>
      </c>
      <c r="AX756" s="1">
        <f t="shared" si="357"/>
        <v>0</v>
      </c>
      <c r="AY756" s="29">
        <f t="shared" si="358"/>
        <v>0</v>
      </c>
      <c r="AZ756" s="1">
        <f t="shared" si="370"/>
        <v>0</v>
      </c>
      <c r="CB756" s="20">
        <f t="shared" si="379"/>
        <v>0</v>
      </c>
      <c r="CC756" s="173">
        <f t="shared" si="371"/>
        <v>0</v>
      </c>
    </row>
    <row r="757" spans="10:81" x14ac:dyDescent="0.25">
      <c r="J757" s="7"/>
      <c r="K757" s="8"/>
      <c r="L757" s="16"/>
      <c r="M757" s="22"/>
      <c r="N757" s="22"/>
      <c r="O757" s="22"/>
      <c r="P757" s="22"/>
      <c r="Q757" s="1">
        <f t="shared" si="372"/>
        <v>0.60744618579017706</v>
      </c>
      <c r="R757" s="12">
        <f t="shared" ca="1" si="359"/>
        <v>21812</v>
      </c>
      <c r="S757" s="88">
        <f t="shared" si="368"/>
        <v>0</v>
      </c>
      <c r="T757" s="19">
        <f t="shared" si="360"/>
        <v>0</v>
      </c>
      <c r="U757" s="19">
        <f t="shared" si="361"/>
        <v>0</v>
      </c>
      <c r="V757" s="19">
        <f t="shared" si="377"/>
        <v>0</v>
      </c>
      <c r="W757" s="20">
        <f t="shared" ca="1" si="362"/>
        <v>0</v>
      </c>
      <c r="X757" s="19">
        <f t="shared" ca="1" si="363"/>
        <v>0</v>
      </c>
      <c r="Y757" s="19">
        <f t="shared" ca="1" si="364"/>
        <v>0</v>
      </c>
      <c r="Z757" s="20">
        <f t="shared" ca="1" si="365"/>
        <v>0</v>
      </c>
      <c r="AA757" s="1">
        <f t="shared" si="373"/>
        <v>5432.58</v>
      </c>
      <c r="AB757" s="91"/>
      <c r="AC757" s="92"/>
      <c r="AD757" s="101">
        <f t="shared" si="374"/>
        <v>62934</v>
      </c>
      <c r="AE757" s="103">
        <f t="shared" si="375"/>
        <v>0</v>
      </c>
      <c r="AG757" s="1">
        <f t="shared" si="366"/>
        <v>0</v>
      </c>
      <c r="AH757" s="1">
        <f t="shared" si="367"/>
        <v>0</v>
      </c>
      <c r="AI757" s="1">
        <f t="shared" si="376"/>
        <v>5432.58</v>
      </c>
      <c r="AJ757" s="20">
        <f t="shared" si="378"/>
        <v>0</v>
      </c>
      <c r="AK757" s="100">
        <f t="shared" si="350"/>
        <v>0</v>
      </c>
      <c r="AL757" s="100">
        <f t="shared" si="351"/>
        <v>0</v>
      </c>
      <c r="AN757" s="100">
        <f t="shared" si="352"/>
        <v>3758.3876454706447</v>
      </c>
      <c r="AO757" s="20">
        <f t="shared" si="353"/>
        <v>0</v>
      </c>
      <c r="AQ757" s="109">
        <f t="shared" si="354"/>
        <v>0</v>
      </c>
      <c r="AU757" s="109">
        <f t="shared" si="369"/>
        <v>25.386069858367797</v>
      </c>
      <c r="AV757" s="101">
        <f t="shared" si="355"/>
        <v>62964</v>
      </c>
      <c r="AW757" s="99">
        <f t="shared" si="356"/>
        <v>0</v>
      </c>
      <c r="AX757" s="1">
        <f t="shared" si="357"/>
        <v>0</v>
      </c>
      <c r="AY757" s="29">
        <f t="shared" si="358"/>
        <v>0</v>
      </c>
      <c r="AZ757" s="1">
        <f t="shared" si="370"/>
        <v>0</v>
      </c>
      <c r="CB757" s="20">
        <f t="shared" si="379"/>
        <v>0</v>
      </c>
      <c r="CC757" s="173">
        <f t="shared" si="371"/>
        <v>0</v>
      </c>
    </row>
    <row r="758" spans="10:81" x14ac:dyDescent="0.25">
      <c r="J758" s="9"/>
      <c r="K758" s="10"/>
      <c r="L758" s="17"/>
      <c r="M758" s="23"/>
      <c r="N758" s="23"/>
      <c r="O758" s="23"/>
      <c r="P758" s="23"/>
      <c r="Q758" s="1">
        <f t="shared" si="372"/>
        <v>0.60744618579017706</v>
      </c>
      <c r="R758" s="12">
        <f t="shared" ca="1" si="359"/>
        <v>21842</v>
      </c>
      <c r="S758" s="88">
        <f t="shared" si="368"/>
        <v>0</v>
      </c>
      <c r="T758" s="19">
        <f t="shared" si="360"/>
        <v>0</v>
      </c>
      <c r="U758" s="19">
        <f t="shared" si="361"/>
        <v>0</v>
      </c>
      <c r="V758" s="19">
        <f t="shared" si="377"/>
        <v>0</v>
      </c>
      <c r="W758" s="20">
        <f t="shared" ca="1" si="362"/>
        <v>0</v>
      </c>
      <c r="X758" s="19">
        <f t="shared" ca="1" si="363"/>
        <v>0</v>
      </c>
      <c r="Y758" s="19">
        <f t="shared" ca="1" si="364"/>
        <v>0</v>
      </c>
      <c r="Z758" s="20">
        <f t="shared" ca="1" si="365"/>
        <v>0</v>
      </c>
      <c r="AA758" s="1">
        <f t="shared" si="373"/>
        <v>5432.58</v>
      </c>
      <c r="AB758" s="93"/>
      <c r="AC758" s="94"/>
      <c r="AD758" s="101">
        <f t="shared" si="374"/>
        <v>62964</v>
      </c>
      <c r="AE758" s="103">
        <f t="shared" si="375"/>
        <v>0</v>
      </c>
      <c r="AG758" s="1">
        <f t="shared" si="366"/>
        <v>0</v>
      </c>
      <c r="AH758" s="1">
        <f t="shared" si="367"/>
        <v>0</v>
      </c>
      <c r="AI758" s="1">
        <f t="shared" si="376"/>
        <v>5432.58</v>
      </c>
      <c r="AJ758" s="20">
        <f t="shared" si="378"/>
        <v>0</v>
      </c>
      <c r="AK758" s="100">
        <f t="shared" ref="AK758:AK821" si="380">IF(ISERROR(AJ758/(1+(Q758)/1200)^(ROW()-29)),0,AJ758/(1+(Q758)/1200)^(ROW()-29))</f>
        <v>0</v>
      </c>
      <c r="AL758" s="100">
        <f t="shared" ref="AL758:AL821" si="381">IF(ISERROR((Q758/1200)*O758),0,(Q758/1200)*O758)</f>
        <v>0</v>
      </c>
      <c r="AN758" s="100">
        <f t="shared" ref="AN758:AN821" si="382">IF(ISERROR(AA758/(1+(Q758)/1200)^(ROW()-29)),0,AA758/(1+(Q758)/1200)^(ROW()-29))</f>
        <v>3756.486092846415</v>
      </c>
      <c r="AO758" s="20">
        <f t="shared" ref="AO758:AO821" si="383">IF(ISERROR(V757+U758+T758+(V757*Q758/1200)-AA758-P758),0,IF(V757+U758+T758+(V757*Q758/1200)-AA758-P758&lt;0,V757,-(U758+T758-AA758+P758-AH758)))</f>
        <v>0</v>
      </c>
      <c r="AQ758" s="109">
        <f t="shared" ref="AQ758:AQ821" si="384">AO758/(1+((1+$AM$27)^((ROW()-29)*30)-1))</f>
        <v>0</v>
      </c>
      <c r="AU758" s="109">
        <f t="shared" si="369"/>
        <v>25.383841721150048</v>
      </c>
      <c r="AV758" s="101">
        <f t="shared" ref="AV758:AV821" si="385">AD759</f>
        <v>62994</v>
      </c>
      <c r="AW758" s="99">
        <f t="shared" ref="AW758:AW821" si="386">IF(AJ759&lt;0,0,AJ759)</f>
        <v>0</v>
      </c>
      <c r="AX758" s="1">
        <f t="shared" ref="AX758:AX821" si="387">IF(AG758&gt;0,AA758,0)</f>
        <v>0</v>
      </c>
      <c r="AY758" s="29">
        <f t="shared" ref="AY758:AY821" si="388">AE758</f>
        <v>0</v>
      </c>
      <c r="AZ758" s="1">
        <f t="shared" si="370"/>
        <v>0</v>
      </c>
      <c r="CB758" s="20">
        <f t="shared" si="379"/>
        <v>0</v>
      </c>
      <c r="CC758" s="173">
        <f t="shared" si="371"/>
        <v>0</v>
      </c>
    </row>
    <row r="759" spans="10:81" x14ac:dyDescent="0.25">
      <c r="J759" s="7"/>
      <c r="K759" s="8"/>
      <c r="L759" s="16"/>
      <c r="M759" s="22"/>
      <c r="N759" s="22"/>
      <c r="O759" s="22"/>
      <c r="P759" s="22"/>
      <c r="Q759" s="1">
        <f t="shared" si="372"/>
        <v>0.60744618579017706</v>
      </c>
      <c r="R759" s="12">
        <f t="shared" ref="R759:R822" ca="1" si="389">IF(ROW()&gt;$T$20,R758+30,DAYS360(K758,K759)+R758)</f>
        <v>21872</v>
      </c>
      <c r="S759" s="88">
        <f t="shared" si="368"/>
        <v>0</v>
      </c>
      <c r="T759" s="19">
        <f t="shared" ref="T759:T822" si="390">IF(ISERROR((previousBalance*Q759/1200)*(IF(ROW()-30&lt;$G$22,$G$21,0))),0,(previousBalance*Q759/1200)*(IF(ROW()-30&lt;$G$22,$G$21,0)))</f>
        <v>0</v>
      </c>
      <c r="U759" s="19">
        <f t="shared" ref="U759:U822" si="391">AA759*(IF(ROW()-30&lt;$H$22,$H$21,0))</f>
        <v>0</v>
      </c>
      <c r="V759" s="19">
        <f t="shared" si="377"/>
        <v>0</v>
      </c>
      <c r="W759" s="20">
        <f t="shared" ref="W759:W822" ca="1" si="392">(T759)/(1+((1+$T$12)^$R759-1))</f>
        <v>0</v>
      </c>
      <c r="X759" s="19">
        <f t="shared" ref="X759:X822" ca="1" si="393">(U759)/(1+((1+$T$12)^$R759-1))</f>
        <v>0</v>
      </c>
      <c r="Y759" s="19">
        <f t="shared" ref="Y759:Y822" ca="1" si="394">P759/(1+((1+$T$12)^$R759-1))</f>
        <v>0</v>
      </c>
      <c r="Z759" s="20">
        <f t="shared" ref="Z759:Z822" ca="1" si="395">W759+X759</f>
        <v>0</v>
      </c>
      <c r="AA759" s="1">
        <f t="shared" si="373"/>
        <v>5432.58</v>
      </c>
      <c r="AB759" s="91"/>
      <c r="AC759" s="92"/>
      <c r="AD759" s="101">
        <f t="shared" si="374"/>
        <v>62994</v>
      </c>
      <c r="AE759" s="103">
        <f t="shared" si="375"/>
        <v>0</v>
      </c>
      <c r="AG759" s="1">
        <f t="shared" ref="AG759:AG822" si="396">AE759/360</f>
        <v>0</v>
      </c>
      <c r="AH759" s="1">
        <f t="shared" ref="AH759:AH822" si="397">IF(ISERROR(IF(V758+U759+T759+(V758*Q759/1200)-AA759-P759&lt;0,0,(V758*Q759/1200))),0,IF(V758+U759+T759+(V758*Q759/1200)-AA759-P759&lt;0,0,(V758*Q759/1200)))</f>
        <v>0</v>
      </c>
      <c r="AI759" s="1">
        <f t="shared" si="376"/>
        <v>5432.58</v>
      </c>
      <c r="AJ759" s="20">
        <f t="shared" si="378"/>
        <v>0</v>
      </c>
      <c r="AK759" s="100">
        <f t="shared" si="380"/>
        <v>0</v>
      </c>
      <c r="AL759" s="100">
        <f t="shared" si="381"/>
        <v>0</v>
      </c>
      <c r="AN759" s="100">
        <f t="shared" si="382"/>
        <v>3754.5855023109139</v>
      </c>
      <c r="AO759" s="20">
        <f t="shared" si="383"/>
        <v>0</v>
      </c>
      <c r="AQ759" s="109">
        <f t="shared" si="384"/>
        <v>0</v>
      </c>
      <c r="AU759" s="109">
        <f t="shared" si="369"/>
        <v>25.381613779496075</v>
      </c>
      <c r="AV759" s="101">
        <f t="shared" si="385"/>
        <v>63024</v>
      </c>
      <c r="AW759" s="99">
        <f t="shared" si="386"/>
        <v>0</v>
      </c>
      <c r="AX759" s="1">
        <f t="shared" si="387"/>
        <v>0</v>
      </c>
      <c r="AY759" s="29">
        <f t="shared" si="388"/>
        <v>0</v>
      </c>
      <c r="AZ759" s="1">
        <f t="shared" si="370"/>
        <v>0</v>
      </c>
      <c r="CB759" s="20">
        <f t="shared" si="379"/>
        <v>0</v>
      </c>
      <c r="CC759" s="173">
        <f t="shared" si="371"/>
        <v>0</v>
      </c>
    </row>
    <row r="760" spans="10:81" x14ac:dyDescent="0.25">
      <c r="J760" s="9"/>
      <c r="K760" s="10"/>
      <c r="L760" s="17"/>
      <c r="M760" s="23"/>
      <c r="N760" s="23"/>
      <c r="O760" s="23"/>
      <c r="P760" s="23"/>
      <c r="Q760" s="1">
        <f t="shared" si="372"/>
        <v>0.60744618579017706</v>
      </c>
      <c r="R760" s="12">
        <f t="shared" ca="1" si="389"/>
        <v>21902</v>
      </c>
      <c r="S760" s="88">
        <f t="shared" si="368"/>
        <v>0</v>
      </c>
      <c r="T760" s="19">
        <f t="shared" si="390"/>
        <v>0</v>
      </c>
      <c r="U760" s="19">
        <f t="shared" si="391"/>
        <v>0</v>
      </c>
      <c r="V760" s="19">
        <f t="shared" si="377"/>
        <v>0</v>
      </c>
      <c r="W760" s="20">
        <f t="shared" ca="1" si="392"/>
        <v>0</v>
      </c>
      <c r="X760" s="19">
        <f t="shared" ca="1" si="393"/>
        <v>0</v>
      </c>
      <c r="Y760" s="19">
        <f t="shared" ca="1" si="394"/>
        <v>0</v>
      </c>
      <c r="Z760" s="20">
        <f t="shared" ca="1" si="395"/>
        <v>0</v>
      </c>
      <c r="AA760" s="1">
        <f t="shared" si="373"/>
        <v>5432.58</v>
      </c>
      <c r="AB760" s="93"/>
      <c r="AC760" s="94"/>
      <c r="AD760" s="101">
        <f t="shared" si="374"/>
        <v>63024</v>
      </c>
      <c r="AE760" s="103">
        <f t="shared" si="375"/>
        <v>0</v>
      </c>
      <c r="AG760" s="1">
        <f t="shared" si="396"/>
        <v>0</v>
      </c>
      <c r="AH760" s="1">
        <f t="shared" si="397"/>
        <v>0</v>
      </c>
      <c r="AI760" s="1">
        <f t="shared" si="376"/>
        <v>5432.58</v>
      </c>
      <c r="AJ760" s="20">
        <f t="shared" si="378"/>
        <v>0</v>
      </c>
      <c r="AK760" s="100">
        <f t="shared" si="380"/>
        <v>0</v>
      </c>
      <c r="AL760" s="100">
        <f t="shared" si="381"/>
        <v>0</v>
      </c>
      <c r="AN760" s="100">
        <f t="shared" si="382"/>
        <v>3752.6858733773702</v>
      </c>
      <c r="AO760" s="20">
        <f t="shared" si="383"/>
        <v>0</v>
      </c>
      <c r="AQ760" s="109">
        <f t="shared" si="384"/>
        <v>0</v>
      </c>
      <c r="AU760" s="109">
        <f t="shared" si="369"/>
        <v>25.379386033388702</v>
      </c>
      <c r="AV760" s="101">
        <f t="shared" si="385"/>
        <v>63054</v>
      </c>
      <c r="AW760" s="99">
        <f t="shared" si="386"/>
        <v>0</v>
      </c>
      <c r="AX760" s="1">
        <f t="shared" si="387"/>
        <v>0</v>
      </c>
      <c r="AY760" s="29">
        <f t="shared" si="388"/>
        <v>0</v>
      </c>
      <c r="AZ760" s="1">
        <f t="shared" si="370"/>
        <v>0</v>
      </c>
      <c r="CB760" s="20">
        <f t="shared" si="379"/>
        <v>0</v>
      </c>
      <c r="CC760" s="173">
        <f t="shared" si="371"/>
        <v>0</v>
      </c>
    </row>
    <row r="761" spans="10:81" x14ac:dyDescent="0.25">
      <c r="J761" s="7"/>
      <c r="K761" s="8"/>
      <c r="L761" s="16"/>
      <c r="M761" s="22"/>
      <c r="N761" s="22"/>
      <c r="O761" s="22"/>
      <c r="P761" s="22"/>
      <c r="Q761" s="1">
        <f t="shared" si="372"/>
        <v>0.60744618579017706</v>
      </c>
      <c r="R761" s="12">
        <f t="shared" ca="1" si="389"/>
        <v>21932</v>
      </c>
      <c r="S761" s="88">
        <f t="shared" si="368"/>
        <v>0</v>
      </c>
      <c r="T761" s="19">
        <f t="shared" si="390"/>
        <v>0</v>
      </c>
      <c r="U761" s="19">
        <f t="shared" si="391"/>
        <v>0</v>
      </c>
      <c r="V761" s="19">
        <f t="shared" si="377"/>
        <v>0</v>
      </c>
      <c r="W761" s="20">
        <f t="shared" ca="1" si="392"/>
        <v>0</v>
      </c>
      <c r="X761" s="19">
        <f t="shared" ca="1" si="393"/>
        <v>0</v>
      </c>
      <c r="Y761" s="19">
        <f t="shared" ca="1" si="394"/>
        <v>0</v>
      </c>
      <c r="Z761" s="20">
        <f t="shared" ca="1" si="395"/>
        <v>0</v>
      </c>
      <c r="AA761" s="1">
        <f t="shared" si="373"/>
        <v>5432.58</v>
      </c>
      <c r="AB761" s="91"/>
      <c r="AC761" s="92"/>
      <c r="AD761" s="101">
        <f t="shared" si="374"/>
        <v>63054</v>
      </c>
      <c r="AE761" s="103">
        <f t="shared" si="375"/>
        <v>0</v>
      </c>
      <c r="AG761" s="1">
        <f t="shared" si="396"/>
        <v>0</v>
      </c>
      <c r="AH761" s="1">
        <f t="shared" si="397"/>
        <v>0</v>
      </c>
      <c r="AI761" s="1">
        <f t="shared" si="376"/>
        <v>5432.58</v>
      </c>
      <c r="AJ761" s="20">
        <f t="shared" si="378"/>
        <v>0</v>
      </c>
      <c r="AK761" s="100">
        <f t="shared" si="380"/>
        <v>0</v>
      </c>
      <c r="AL761" s="100">
        <f t="shared" si="381"/>
        <v>0</v>
      </c>
      <c r="AN761" s="100">
        <f t="shared" si="382"/>
        <v>3750.7872055592638</v>
      </c>
      <c r="AO761" s="20">
        <f t="shared" si="383"/>
        <v>0</v>
      </c>
      <c r="AQ761" s="109">
        <f t="shared" si="384"/>
        <v>0</v>
      </c>
      <c r="AU761" s="109">
        <f t="shared" si="369"/>
        <v>25.377158482810771</v>
      </c>
      <c r="AV761" s="101">
        <f t="shared" si="385"/>
        <v>63084</v>
      </c>
      <c r="AW761" s="99">
        <f t="shared" si="386"/>
        <v>0</v>
      </c>
      <c r="AX761" s="1">
        <f t="shared" si="387"/>
        <v>0</v>
      </c>
      <c r="AY761" s="29">
        <f t="shared" si="388"/>
        <v>0</v>
      </c>
      <c r="AZ761" s="1">
        <f t="shared" si="370"/>
        <v>0</v>
      </c>
      <c r="CB761" s="20">
        <f t="shared" si="379"/>
        <v>0</v>
      </c>
      <c r="CC761" s="173">
        <f t="shared" si="371"/>
        <v>0</v>
      </c>
    </row>
    <row r="762" spans="10:81" x14ac:dyDescent="0.25">
      <c r="J762" s="9"/>
      <c r="K762" s="10"/>
      <c r="L762" s="17"/>
      <c r="M762" s="23"/>
      <c r="N762" s="23"/>
      <c r="O762" s="23"/>
      <c r="P762" s="23"/>
      <c r="Q762" s="1">
        <f t="shared" si="372"/>
        <v>0.60744618579017706</v>
      </c>
      <c r="R762" s="12">
        <f t="shared" ca="1" si="389"/>
        <v>21962</v>
      </c>
      <c r="S762" s="88">
        <f t="shared" si="368"/>
        <v>0</v>
      </c>
      <c r="T762" s="19">
        <f t="shared" si="390"/>
        <v>0</v>
      </c>
      <c r="U762" s="19">
        <f t="shared" si="391"/>
        <v>0</v>
      </c>
      <c r="V762" s="19">
        <f t="shared" si="377"/>
        <v>0</v>
      </c>
      <c r="W762" s="20">
        <f t="shared" ca="1" si="392"/>
        <v>0</v>
      </c>
      <c r="X762" s="19">
        <f t="shared" ca="1" si="393"/>
        <v>0</v>
      </c>
      <c r="Y762" s="19">
        <f t="shared" ca="1" si="394"/>
        <v>0</v>
      </c>
      <c r="Z762" s="20">
        <f t="shared" ca="1" si="395"/>
        <v>0</v>
      </c>
      <c r="AA762" s="1">
        <f t="shared" si="373"/>
        <v>5432.58</v>
      </c>
      <c r="AB762" s="93"/>
      <c r="AC762" s="94"/>
      <c r="AD762" s="101">
        <f t="shared" si="374"/>
        <v>63084</v>
      </c>
      <c r="AE762" s="103">
        <f t="shared" si="375"/>
        <v>0</v>
      </c>
      <c r="AG762" s="1">
        <f t="shared" si="396"/>
        <v>0</v>
      </c>
      <c r="AH762" s="1">
        <f t="shared" si="397"/>
        <v>0</v>
      </c>
      <c r="AI762" s="1">
        <f t="shared" si="376"/>
        <v>5432.58</v>
      </c>
      <c r="AJ762" s="20">
        <f t="shared" si="378"/>
        <v>0</v>
      </c>
      <c r="AK762" s="100">
        <f t="shared" si="380"/>
        <v>0</v>
      </c>
      <c r="AL762" s="100">
        <f t="shared" si="381"/>
        <v>0</v>
      </c>
      <c r="AN762" s="100">
        <f t="shared" si="382"/>
        <v>3748.8894983703181</v>
      </c>
      <c r="AO762" s="20">
        <f t="shared" si="383"/>
        <v>0</v>
      </c>
      <c r="AQ762" s="109">
        <f t="shared" si="384"/>
        <v>0</v>
      </c>
      <c r="AU762" s="109">
        <f t="shared" si="369"/>
        <v>25.374931127745118</v>
      </c>
      <c r="AV762" s="101">
        <f t="shared" si="385"/>
        <v>63114</v>
      </c>
      <c r="AW762" s="99">
        <f t="shared" si="386"/>
        <v>0</v>
      </c>
      <c r="AX762" s="1">
        <f t="shared" si="387"/>
        <v>0</v>
      </c>
      <c r="AY762" s="29">
        <f t="shared" si="388"/>
        <v>0</v>
      </c>
      <c r="AZ762" s="1">
        <f t="shared" si="370"/>
        <v>0</v>
      </c>
      <c r="CB762" s="20">
        <f t="shared" si="379"/>
        <v>0</v>
      </c>
      <c r="CC762" s="173">
        <f t="shared" si="371"/>
        <v>0</v>
      </c>
    </row>
    <row r="763" spans="10:81" x14ac:dyDescent="0.25">
      <c r="J763" s="7"/>
      <c r="K763" s="8"/>
      <c r="L763" s="16"/>
      <c r="M763" s="22"/>
      <c r="N763" s="22"/>
      <c r="O763" s="22"/>
      <c r="P763" s="22"/>
      <c r="Q763" s="1">
        <f t="shared" si="372"/>
        <v>0.60744618579017706</v>
      </c>
      <c r="R763" s="12">
        <f t="shared" ca="1" si="389"/>
        <v>21992</v>
      </c>
      <c r="S763" s="88">
        <f t="shared" si="368"/>
        <v>0</v>
      </c>
      <c r="T763" s="19">
        <f t="shared" si="390"/>
        <v>0</v>
      </c>
      <c r="U763" s="19">
        <f t="shared" si="391"/>
        <v>0</v>
      </c>
      <c r="V763" s="19">
        <f t="shared" si="377"/>
        <v>0</v>
      </c>
      <c r="W763" s="20">
        <f t="shared" ca="1" si="392"/>
        <v>0</v>
      </c>
      <c r="X763" s="19">
        <f t="shared" ca="1" si="393"/>
        <v>0</v>
      </c>
      <c r="Y763" s="19">
        <f t="shared" ca="1" si="394"/>
        <v>0</v>
      </c>
      <c r="Z763" s="20">
        <f t="shared" ca="1" si="395"/>
        <v>0</v>
      </c>
      <c r="AA763" s="1">
        <f t="shared" si="373"/>
        <v>5432.58</v>
      </c>
      <c r="AB763" s="91"/>
      <c r="AC763" s="92"/>
      <c r="AD763" s="101">
        <f t="shared" si="374"/>
        <v>63114</v>
      </c>
      <c r="AE763" s="103">
        <f t="shared" si="375"/>
        <v>0</v>
      </c>
      <c r="AG763" s="1">
        <f t="shared" si="396"/>
        <v>0</v>
      </c>
      <c r="AH763" s="1">
        <f t="shared" si="397"/>
        <v>0</v>
      </c>
      <c r="AI763" s="1">
        <f t="shared" si="376"/>
        <v>5432.58</v>
      </c>
      <c r="AJ763" s="20">
        <f t="shared" si="378"/>
        <v>0</v>
      </c>
      <c r="AK763" s="100">
        <f t="shared" si="380"/>
        <v>0</v>
      </c>
      <c r="AL763" s="100">
        <f t="shared" si="381"/>
        <v>0</v>
      </c>
      <c r="AN763" s="100">
        <f t="shared" si="382"/>
        <v>3746.9927513245034</v>
      </c>
      <c r="AO763" s="20">
        <f t="shared" si="383"/>
        <v>0</v>
      </c>
      <c r="AQ763" s="109">
        <f t="shared" si="384"/>
        <v>0</v>
      </c>
      <c r="AU763" s="109">
        <f t="shared" si="369"/>
        <v>25.37270396817458</v>
      </c>
      <c r="AV763" s="101">
        <f t="shared" si="385"/>
        <v>63144</v>
      </c>
      <c r="AW763" s="99">
        <f t="shared" si="386"/>
        <v>0</v>
      </c>
      <c r="AX763" s="1">
        <f t="shared" si="387"/>
        <v>0</v>
      </c>
      <c r="AY763" s="29">
        <f t="shared" si="388"/>
        <v>0</v>
      </c>
      <c r="AZ763" s="1">
        <f t="shared" si="370"/>
        <v>0</v>
      </c>
      <c r="CB763" s="20">
        <f t="shared" si="379"/>
        <v>0</v>
      </c>
      <c r="CC763" s="173">
        <f t="shared" si="371"/>
        <v>0</v>
      </c>
    </row>
    <row r="764" spans="10:81" x14ac:dyDescent="0.25">
      <c r="J764" s="9"/>
      <c r="K764" s="10"/>
      <c r="L764" s="17"/>
      <c r="M764" s="23"/>
      <c r="N764" s="23"/>
      <c r="O764" s="23"/>
      <c r="P764" s="23"/>
      <c r="Q764" s="1">
        <f t="shared" si="372"/>
        <v>0.60744618579017706</v>
      </c>
      <c r="R764" s="12">
        <f t="shared" ca="1" si="389"/>
        <v>22022</v>
      </c>
      <c r="S764" s="88">
        <f t="shared" si="368"/>
        <v>0</v>
      </c>
      <c r="T764" s="19">
        <f t="shared" si="390"/>
        <v>0</v>
      </c>
      <c r="U764" s="19">
        <f t="shared" si="391"/>
        <v>0</v>
      </c>
      <c r="V764" s="19">
        <f t="shared" si="377"/>
        <v>0</v>
      </c>
      <c r="W764" s="20">
        <f t="shared" ca="1" si="392"/>
        <v>0</v>
      </c>
      <c r="X764" s="19">
        <f t="shared" ca="1" si="393"/>
        <v>0</v>
      </c>
      <c r="Y764" s="19">
        <f t="shared" ca="1" si="394"/>
        <v>0</v>
      </c>
      <c r="Z764" s="20">
        <f t="shared" ca="1" si="395"/>
        <v>0</v>
      </c>
      <c r="AA764" s="1">
        <f t="shared" si="373"/>
        <v>5432.58</v>
      </c>
      <c r="AB764" s="93"/>
      <c r="AC764" s="94"/>
      <c r="AD764" s="101">
        <f t="shared" si="374"/>
        <v>63144</v>
      </c>
      <c r="AE764" s="103">
        <f t="shared" si="375"/>
        <v>0</v>
      </c>
      <c r="AG764" s="1">
        <f t="shared" si="396"/>
        <v>0</v>
      </c>
      <c r="AH764" s="1">
        <f t="shared" si="397"/>
        <v>0</v>
      </c>
      <c r="AI764" s="1">
        <f t="shared" si="376"/>
        <v>5432.58</v>
      </c>
      <c r="AJ764" s="20">
        <f t="shared" si="378"/>
        <v>0</v>
      </c>
      <c r="AK764" s="100">
        <f t="shared" si="380"/>
        <v>0</v>
      </c>
      <c r="AL764" s="100">
        <f t="shared" si="381"/>
        <v>0</v>
      </c>
      <c r="AN764" s="100">
        <f t="shared" si="382"/>
        <v>3745.0969639360401</v>
      </c>
      <c r="AO764" s="20">
        <f t="shared" si="383"/>
        <v>0</v>
      </c>
      <c r="AQ764" s="109">
        <f t="shared" si="384"/>
        <v>0</v>
      </c>
      <c r="AU764" s="109">
        <f t="shared" si="369"/>
        <v>25.370477004082005</v>
      </c>
      <c r="AV764" s="101">
        <f t="shared" si="385"/>
        <v>63174</v>
      </c>
      <c r="AW764" s="99">
        <f t="shared" si="386"/>
        <v>0</v>
      </c>
      <c r="AX764" s="1">
        <f t="shared" si="387"/>
        <v>0</v>
      </c>
      <c r="AY764" s="29">
        <f t="shared" si="388"/>
        <v>0</v>
      </c>
      <c r="AZ764" s="1">
        <f t="shared" si="370"/>
        <v>0</v>
      </c>
      <c r="CB764" s="20">
        <f t="shared" si="379"/>
        <v>0</v>
      </c>
      <c r="CC764" s="173">
        <f t="shared" si="371"/>
        <v>0</v>
      </c>
    </row>
    <row r="765" spans="10:81" x14ac:dyDescent="0.25">
      <c r="J765" s="7"/>
      <c r="K765" s="8"/>
      <c r="L765" s="16"/>
      <c r="M765" s="22"/>
      <c r="N765" s="22"/>
      <c r="O765" s="22"/>
      <c r="P765" s="22"/>
      <c r="Q765" s="1">
        <f t="shared" si="372"/>
        <v>0.60744618579017706</v>
      </c>
      <c r="R765" s="12">
        <f t="shared" ca="1" si="389"/>
        <v>22052</v>
      </c>
      <c r="S765" s="88">
        <f t="shared" si="368"/>
        <v>0</v>
      </c>
      <c r="T765" s="19">
        <f t="shared" si="390"/>
        <v>0</v>
      </c>
      <c r="U765" s="19">
        <f t="shared" si="391"/>
        <v>0</v>
      </c>
      <c r="V765" s="19">
        <f t="shared" si="377"/>
        <v>0</v>
      </c>
      <c r="W765" s="20">
        <f t="shared" ca="1" si="392"/>
        <v>0</v>
      </c>
      <c r="X765" s="19">
        <f t="shared" ca="1" si="393"/>
        <v>0</v>
      </c>
      <c r="Y765" s="19">
        <f t="shared" ca="1" si="394"/>
        <v>0</v>
      </c>
      <c r="Z765" s="20">
        <f t="shared" ca="1" si="395"/>
        <v>0</v>
      </c>
      <c r="AA765" s="1">
        <f t="shared" si="373"/>
        <v>5432.58</v>
      </c>
      <c r="AB765" s="91"/>
      <c r="AC765" s="92"/>
      <c r="AD765" s="101">
        <f t="shared" si="374"/>
        <v>63174</v>
      </c>
      <c r="AE765" s="103">
        <f t="shared" si="375"/>
        <v>0</v>
      </c>
      <c r="AG765" s="1">
        <f t="shared" si="396"/>
        <v>0</v>
      </c>
      <c r="AH765" s="1">
        <f t="shared" si="397"/>
        <v>0</v>
      </c>
      <c r="AI765" s="1">
        <f t="shared" si="376"/>
        <v>5432.58</v>
      </c>
      <c r="AJ765" s="20">
        <f t="shared" si="378"/>
        <v>0</v>
      </c>
      <c r="AK765" s="100">
        <f t="shared" si="380"/>
        <v>0</v>
      </c>
      <c r="AL765" s="100">
        <f t="shared" si="381"/>
        <v>0</v>
      </c>
      <c r="AN765" s="100">
        <f t="shared" si="382"/>
        <v>3743.2021357193858</v>
      </c>
      <c r="AO765" s="20">
        <f t="shared" si="383"/>
        <v>0</v>
      </c>
      <c r="AQ765" s="109">
        <f t="shared" si="384"/>
        <v>0</v>
      </c>
      <c r="AU765" s="109">
        <f t="shared" si="369"/>
        <v>25.368250235450223</v>
      </c>
      <c r="AV765" s="101">
        <f t="shared" si="385"/>
        <v>63204</v>
      </c>
      <c r="AW765" s="99">
        <f t="shared" si="386"/>
        <v>0</v>
      </c>
      <c r="AX765" s="1">
        <f t="shared" si="387"/>
        <v>0</v>
      </c>
      <c r="AY765" s="29">
        <f t="shared" si="388"/>
        <v>0</v>
      </c>
      <c r="AZ765" s="1">
        <f t="shared" si="370"/>
        <v>0</v>
      </c>
      <c r="CB765" s="20">
        <f t="shared" si="379"/>
        <v>0</v>
      </c>
      <c r="CC765" s="173">
        <f t="shared" si="371"/>
        <v>0</v>
      </c>
    </row>
    <row r="766" spans="10:81" x14ac:dyDescent="0.25">
      <c r="J766" s="9"/>
      <c r="K766" s="10"/>
      <c r="L766" s="17"/>
      <c r="M766" s="23"/>
      <c r="N766" s="23"/>
      <c r="O766" s="23"/>
      <c r="P766" s="23"/>
      <c r="Q766" s="1">
        <f t="shared" si="372"/>
        <v>0.60744618579017706</v>
      </c>
      <c r="R766" s="12">
        <f t="shared" ca="1" si="389"/>
        <v>22082</v>
      </c>
      <c r="S766" s="88">
        <f t="shared" si="368"/>
        <v>0</v>
      </c>
      <c r="T766" s="19">
        <f t="shared" si="390"/>
        <v>0</v>
      </c>
      <c r="U766" s="19">
        <f t="shared" si="391"/>
        <v>0</v>
      </c>
      <c r="V766" s="19">
        <f t="shared" si="377"/>
        <v>0</v>
      </c>
      <c r="W766" s="20">
        <f t="shared" ca="1" si="392"/>
        <v>0</v>
      </c>
      <c r="X766" s="19">
        <f t="shared" ca="1" si="393"/>
        <v>0</v>
      </c>
      <c r="Y766" s="19">
        <f t="shared" ca="1" si="394"/>
        <v>0</v>
      </c>
      <c r="Z766" s="20">
        <f t="shared" ca="1" si="395"/>
        <v>0</v>
      </c>
      <c r="AA766" s="1">
        <f t="shared" si="373"/>
        <v>5432.58</v>
      </c>
      <c r="AB766" s="93"/>
      <c r="AC766" s="94"/>
      <c r="AD766" s="101">
        <f t="shared" si="374"/>
        <v>63204</v>
      </c>
      <c r="AE766" s="103">
        <f t="shared" si="375"/>
        <v>0</v>
      </c>
      <c r="AG766" s="1">
        <f t="shared" si="396"/>
        <v>0</v>
      </c>
      <c r="AH766" s="1">
        <f t="shared" si="397"/>
        <v>0</v>
      </c>
      <c r="AI766" s="1">
        <f t="shared" si="376"/>
        <v>5432.58</v>
      </c>
      <c r="AJ766" s="20">
        <f t="shared" si="378"/>
        <v>0</v>
      </c>
      <c r="AK766" s="100">
        <f t="shared" si="380"/>
        <v>0</v>
      </c>
      <c r="AL766" s="100">
        <f t="shared" si="381"/>
        <v>0</v>
      </c>
      <c r="AN766" s="100">
        <f t="shared" si="382"/>
        <v>3741.3082661892504</v>
      </c>
      <c r="AO766" s="20">
        <f t="shared" si="383"/>
        <v>0</v>
      </c>
      <c r="AQ766" s="109">
        <f t="shared" si="384"/>
        <v>0</v>
      </c>
      <c r="AU766" s="109">
        <f t="shared" si="369"/>
        <v>25.366023662262098</v>
      </c>
      <c r="AV766" s="101">
        <f t="shared" si="385"/>
        <v>63234</v>
      </c>
      <c r="AW766" s="99">
        <f t="shared" si="386"/>
        <v>0</v>
      </c>
      <c r="AX766" s="1">
        <f t="shared" si="387"/>
        <v>0</v>
      </c>
      <c r="AY766" s="29">
        <f t="shared" si="388"/>
        <v>0</v>
      </c>
      <c r="AZ766" s="1">
        <f t="shared" si="370"/>
        <v>0</v>
      </c>
      <c r="CB766" s="20">
        <f t="shared" si="379"/>
        <v>0</v>
      </c>
      <c r="CC766" s="173">
        <f t="shared" si="371"/>
        <v>0</v>
      </c>
    </row>
    <row r="767" spans="10:81" x14ac:dyDescent="0.25">
      <c r="J767" s="7"/>
      <c r="K767" s="8"/>
      <c r="L767" s="16"/>
      <c r="M767" s="22"/>
      <c r="N767" s="22"/>
      <c r="O767" s="22"/>
      <c r="P767" s="22"/>
      <c r="Q767" s="1">
        <f t="shared" si="372"/>
        <v>0.60744618579017706</v>
      </c>
      <c r="R767" s="12">
        <f t="shared" ca="1" si="389"/>
        <v>22112</v>
      </c>
      <c r="S767" s="88">
        <f t="shared" si="368"/>
        <v>0</v>
      </c>
      <c r="T767" s="19">
        <f t="shared" si="390"/>
        <v>0</v>
      </c>
      <c r="U767" s="19">
        <f t="shared" si="391"/>
        <v>0</v>
      </c>
      <c r="V767" s="19">
        <f t="shared" si="377"/>
        <v>0</v>
      </c>
      <c r="W767" s="20">
        <f t="shared" ca="1" si="392"/>
        <v>0</v>
      </c>
      <c r="X767" s="19">
        <f t="shared" ca="1" si="393"/>
        <v>0</v>
      </c>
      <c r="Y767" s="19">
        <f t="shared" ca="1" si="394"/>
        <v>0</v>
      </c>
      <c r="Z767" s="20">
        <f t="shared" ca="1" si="395"/>
        <v>0</v>
      </c>
      <c r="AA767" s="1">
        <f t="shared" si="373"/>
        <v>5432.58</v>
      </c>
      <c r="AB767" s="91"/>
      <c r="AC767" s="92"/>
      <c r="AD767" s="101">
        <f t="shared" si="374"/>
        <v>63234</v>
      </c>
      <c r="AE767" s="103">
        <f t="shared" si="375"/>
        <v>0</v>
      </c>
      <c r="AG767" s="1">
        <f t="shared" si="396"/>
        <v>0</v>
      </c>
      <c r="AH767" s="1">
        <f t="shared" si="397"/>
        <v>0</v>
      </c>
      <c r="AI767" s="1">
        <f t="shared" si="376"/>
        <v>5432.58</v>
      </c>
      <c r="AJ767" s="20">
        <f t="shared" si="378"/>
        <v>0</v>
      </c>
      <c r="AK767" s="100">
        <f t="shared" si="380"/>
        <v>0</v>
      </c>
      <c r="AL767" s="100">
        <f t="shared" si="381"/>
        <v>0</v>
      </c>
      <c r="AN767" s="100">
        <f t="shared" si="382"/>
        <v>3739.4153548605882</v>
      </c>
      <c r="AO767" s="20">
        <f t="shared" si="383"/>
        <v>0</v>
      </c>
      <c r="AQ767" s="109">
        <f t="shared" si="384"/>
        <v>0</v>
      </c>
      <c r="AU767" s="109">
        <f t="shared" si="369"/>
        <v>25.36379728450046</v>
      </c>
      <c r="AV767" s="101">
        <f t="shared" si="385"/>
        <v>63264</v>
      </c>
      <c r="AW767" s="99">
        <f t="shared" si="386"/>
        <v>0</v>
      </c>
      <c r="AX767" s="1">
        <f t="shared" si="387"/>
        <v>0</v>
      </c>
      <c r="AY767" s="29">
        <f t="shared" si="388"/>
        <v>0</v>
      </c>
      <c r="AZ767" s="1">
        <f t="shared" si="370"/>
        <v>0</v>
      </c>
      <c r="CB767" s="20">
        <f t="shared" si="379"/>
        <v>0</v>
      </c>
      <c r="CC767" s="173">
        <f t="shared" si="371"/>
        <v>0</v>
      </c>
    </row>
    <row r="768" spans="10:81" x14ac:dyDescent="0.25">
      <c r="J768" s="9"/>
      <c r="K768" s="10"/>
      <c r="L768" s="17"/>
      <c r="M768" s="23"/>
      <c r="N768" s="23"/>
      <c r="O768" s="23"/>
      <c r="P768" s="23"/>
      <c r="Q768" s="1">
        <f t="shared" si="372"/>
        <v>0.60744618579017706</v>
      </c>
      <c r="R768" s="12">
        <f t="shared" ca="1" si="389"/>
        <v>22142</v>
      </c>
      <c r="S768" s="88">
        <f t="shared" si="368"/>
        <v>0</v>
      </c>
      <c r="T768" s="19">
        <f t="shared" si="390"/>
        <v>0</v>
      </c>
      <c r="U768" s="19">
        <f t="shared" si="391"/>
        <v>0</v>
      </c>
      <c r="V768" s="19">
        <f t="shared" si="377"/>
        <v>0</v>
      </c>
      <c r="W768" s="20">
        <f t="shared" ca="1" si="392"/>
        <v>0</v>
      </c>
      <c r="X768" s="19">
        <f t="shared" ca="1" si="393"/>
        <v>0</v>
      </c>
      <c r="Y768" s="19">
        <f t="shared" ca="1" si="394"/>
        <v>0</v>
      </c>
      <c r="Z768" s="20">
        <f t="shared" ca="1" si="395"/>
        <v>0</v>
      </c>
      <c r="AA768" s="1">
        <f t="shared" si="373"/>
        <v>5432.58</v>
      </c>
      <c r="AB768" s="93"/>
      <c r="AC768" s="94"/>
      <c r="AD768" s="101">
        <f t="shared" si="374"/>
        <v>63264</v>
      </c>
      <c r="AE768" s="103">
        <f t="shared" si="375"/>
        <v>0</v>
      </c>
      <c r="AG768" s="1">
        <f t="shared" si="396"/>
        <v>0</v>
      </c>
      <c r="AH768" s="1">
        <f t="shared" si="397"/>
        <v>0</v>
      </c>
      <c r="AI768" s="1">
        <f t="shared" si="376"/>
        <v>5432.58</v>
      </c>
      <c r="AJ768" s="20">
        <f t="shared" si="378"/>
        <v>0</v>
      </c>
      <c r="AK768" s="100">
        <f t="shared" si="380"/>
        <v>0</v>
      </c>
      <c r="AL768" s="100">
        <f t="shared" si="381"/>
        <v>0</v>
      </c>
      <c r="AN768" s="100">
        <f t="shared" si="382"/>
        <v>3737.5234012485957</v>
      </c>
      <c r="AO768" s="20">
        <f t="shared" si="383"/>
        <v>0</v>
      </c>
      <c r="AQ768" s="109">
        <f t="shared" si="384"/>
        <v>0</v>
      </c>
      <c r="AU768" s="109">
        <f t="shared" si="369"/>
        <v>25.361571102148169</v>
      </c>
      <c r="AV768" s="101">
        <f t="shared" si="385"/>
        <v>63294</v>
      </c>
      <c r="AW768" s="99">
        <f t="shared" si="386"/>
        <v>0</v>
      </c>
      <c r="AX768" s="1">
        <f t="shared" si="387"/>
        <v>0</v>
      </c>
      <c r="AY768" s="29">
        <f t="shared" si="388"/>
        <v>0</v>
      </c>
      <c r="AZ768" s="1">
        <f t="shared" si="370"/>
        <v>0</v>
      </c>
      <c r="CB768" s="20">
        <f t="shared" si="379"/>
        <v>0</v>
      </c>
      <c r="CC768" s="173">
        <f t="shared" si="371"/>
        <v>0</v>
      </c>
    </row>
    <row r="769" spans="10:81" x14ac:dyDescent="0.25">
      <c r="J769" s="7"/>
      <c r="K769" s="8"/>
      <c r="L769" s="16"/>
      <c r="M769" s="22"/>
      <c r="N769" s="22"/>
      <c r="O769" s="22"/>
      <c r="P769" s="22"/>
      <c r="Q769" s="1">
        <f t="shared" si="372"/>
        <v>0.60744618579017706</v>
      </c>
      <c r="R769" s="12">
        <f t="shared" ca="1" si="389"/>
        <v>22172</v>
      </c>
      <c r="S769" s="88">
        <f t="shared" si="368"/>
        <v>0</v>
      </c>
      <c r="T769" s="19">
        <f t="shared" si="390"/>
        <v>0</v>
      </c>
      <c r="U769" s="19">
        <f t="shared" si="391"/>
        <v>0</v>
      </c>
      <c r="V769" s="19">
        <f t="shared" si="377"/>
        <v>0</v>
      </c>
      <c r="W769" s="20">
        <f t="shared" ca="1" si="392"/>
        <v>0</v>
      </c>
      <c r="X769" s="19">
        <f t="shared" ca="1" si="393"/>
        <v>0</v>
      </c>
      <c r="Y769" s="19">
        <f t="shared" ca="1" si="394"/>
        <v>0</v>
      </c>
      <c r="Z769" s="20">
        <f t="shared" ca="1" si="395"/>
        <v>0</v>
      </c>
      <c r="AA769" s="1">
        <f t="shared" si="373"/>
        <v>5432.58</v>
      </c>
      <c r="AB769" s="91"/>
      <c r="AC769" s="92"/>
      <c r="AD769" s="101">
        <f t="shared" si="374"/>
        <v>63294</v>
      </c>
      <c r="AE769" s="103">
        <f t="shared" si="375"/>
        <v>0</v>
      </c>
      <c r="AG769" s="1">
        <f t="shared" si="396"/>
        <v>0</v>
      </c>
      <c r="AH769" s="1">
        <f t="shared" si="397"/>
        <v>0</v>
      </c>
      <c r="AI769" s="1">
        <f t="shared" si="376"/>
        <v>5432.58</v>
      </c>
      <c r="AJ769" s="20">
        <f t="shared" si="378"/>
        <v>0</v>
      </c>
      <c r="AK769" s="100">
        <f t="shared" si="380"/>
        <v>0</v>
      </c>
      <c r="AL769" s="100">
        <f t="shared" si="381"/>
        <v>0</v>
      </c>
      <c r="AN769" s="100">
        <f t="shared" si="382"/>
        <v>3735.6324048687188</v>
      </c>
      <c r="AO769" s="20">
        <f t="shared" si="383"/>
        <v>0</v>
      </c>
      <c r="AQ769" s="109">
        <f t="shared" si="384"/>
        <v>0</v>
      </c>
      <c r="AU769" s="109">
        <f t="shared" si="369"/>
        <v>25.359345115188063</v>
      </c>
      <c r="AV769" s="101">
        <f t="shared" si="385"/>
        <v>63324</v>
      </c>
      <c r="AW769" s="99">
        <f t="shared" si="386"/>
        <v>0</v>
      </c>
      <c r="AX769" s="1">
        <f t="shared" si="387"/>
        <v>0</v>
      </c>
      <c r="AY769" s="29">
        <f t="shared" si="388"/>
        <v>0</v>
      </c>
      <c r="AZ769" s="1">
        <f t="shared" si="370"/>
        <v>0</v>
      </c>
      <c r="CB769" s="20">
        <f t="shared" si="379"/>
        <v>0</v>
      </c>
      <c r="CC769" s="173">
        <f t="shared" si="371"/>
        <v>0</v>
      </c>
    </row>
    <row r="770" spans="10:81" x14ac:dyDescent="0.25">
      <c r="J770" s="9"/>
      <c r="K770" s="10"/>
      <c r="L770" s="17"/>
      <c r="M770" s="23"/>
      <c r="N770" s="23"/>
      <c r="O770" s="23"/>
      <c r="P770" s="23"/>
      <c r="Q770" s="1">
        <f t="shared" si="372"/>
        <v>0.60744618579017706</v>
      </c>
      <c r="R770" s="12">
        <f t="shared" ca="1" si="389"/>
        <v>22202</v>
      </c>
      <c r="S770" s="88">
        <f t="shared" si="368"/>
        <v>0</v>
      </c>
      <c r="T770" s="19">
        <f t="shared" si="390"/>
        <v>0</v>
      </c>
      <c r="U770" s="19">
        <f t="shared" si="391"/>
        <v>0</v>
      </c>
      <c r="V770" s="19">
        <f t="shared" si="377"/>
        <v>0</v>
      </c>
      <c r="W770" s="20">
        <f t="shared" ca="1" si="392"/>
        <v>0</v>
      </c>
      <c r="X770" s="19">
        <f t="shared" ca="1" si="393"/>
        <v>0</v>
      </c>
      <c r="Y770" s="19">
        <f t="shared" ca="1" si="394"/>
        <v>0</v>
      </c>
      <c r="Z770" s="20">
        <f t="shared" ca="1" si="395"/>
        <v>0</v>
      </c>
      <c r="AA770" s="1">
        <f t="shared" si="373"/>
        <v>5432.58</v>
      </c>
      <c r="AB770" s="93"/>
      <c r="AC770" s="94"/>
      <c r="AD770" s="101">
        <f t="shared" si="374"/>
        <v>63324</v>
      </c>
      <c r="AE770" s="103">
        <f t="shared" si="375"/>
        <v>0</v>
      </c>
      <c r="AG770" s="1">
        <f t="shared" si="396"/>
        <v>0</v>
      </c>
      <c r="AH770" s="1">
        <f t="shared" si="397"/>
        <v>0</v>
      </c>
      <c r="AI770" s="1">
        <f t="shared" si="376"/>
        <v>5432.58</v>
      </c>
      <c r="AJ770" s="20">
        <f t="shared" si="378"/>
        <v>0</v>
      </c>
      <c r="AK770" s="100">
        <f t="shared" si="380"/>
        <v>0</v>
      </c>
      <c r="AL770" s="100">
        <f t="shared" si="381"/>
        <v>0</v>
      </c>
      <c r="AN770" s="100">
        <f t="shared" si="382"/>
        <v>3733.7423652366465</v>
      </c>
      <c r="AO770" s="20">
        <f t="shared" si="383"/>
        <v>0</v>
      </c>
      <c r="AQ770" s="109">
        <f t="shared" si="384"/>
        <v>0</v>
      </c>
      <c r="AU770" s="109">
        <f t="shared" si="369"/>
        <v>25.357119323602983</v>
      </c>
      <c r="AV770" s="101">
        <f t="shared" si="385"/>
        <v>63354</v>
      </c>
      <c r="AW770" s="99">
        <f t="shared" si="386"/>
        <v>0</v>
      </c>
      <c r="AX770" s="1">
        <f t="shared" si="387"/>
        <v>0</v>
      </c>
      <c r="AY770" s="29">
        <f t="shared" si="388"/>
        <v>0</v>
      </c>
      <c r="AZ770" s="1">
        <f t="shared" si="370"/>
        <v>0</v>
      </c>
      <c r="CB770" s="20">
        <f t="shared" si="379"/>
        <v>0</v>
      </c>
      <c r="CC770" s="173">
        <f t="shared" si="371"/>
        <v>0</v>
      </c>
    </row>
    <row r="771" spans="10:81" x14ac:dyDescent="0.25">
      <c r="J771" s="7"/>
      <c r="K771" s="8"/>
      <c r="L771" s="16"/>
      <c r="M771" s="22"/>
      <c r="N771" s="22"/>
      <c r="O771" s="22"/>
      <c r="P771" s="22"/>
      <c r="Q771" s="1">
        <f t="shared" si="372"/>
        <v>0.60744618579017706</v>
      </c>
      <c r="R771" s="12">
        <f t="shared" ca="1" si="389"/>
        <v>22232</v>
      </c>
      <c r="S771" s="88">
        <f t="shared" ref="S771:S834" si="398">N771+M771</f>
        <v>0</v>
      </c>
      <c r="T771" s="19">
        <f t="shared" si="390"/>
        <v>0</v>
      </c>
      <c r="U771" s="19">
        <f t="shared" si="391"/>
        <v>0</v>
      </c>
      <c r="V771" s="19">
        <f t="shared" si="377"/>
        <v>0</v>
      </c>
      <c r="W771" s="20">
        <f t="shared" ca="1" si="392"/>
        <v>0</v>
      </c>
      <c r="X771" s="19">
        <f t="shared" ca="1" si="393"/>
        <v>0</v>
      </c>
      <c r="Y771" s="19">
        <f t="shared" ca="1" si="394"/>
        <v>0</v>
      </c>
      <c r="Z771" s="20">
        <f t="shared" ca="1" si="395"/>
        <v>0</v>
      </c>
      <c r="AA771" s="1">
        <f t="shared" si="373"/>
        <v>5432.58</v>
      </c>
      <c r="AB771" s="91"/>
      <c r="AC771" s="92"/>
      <c r="AD771" s="101">
        <f t="shared" si="374"/>
        <v>63354</v>
      </c>
      <c r="AE771" s="103">
        <f t="shared" si="375"/>
        <v>0</v>
      </c>
      <c r="AG771" s="1">
        <f t="shared" si="396"/>
        <v>0</v>
      </c>
      <c r="AH771" s="1">
        <f t="shared" si="397"/>
        <v>0</v>
      </c>
      <c r="AI771" s="1">
        <f t="shared" si="376"/>
        <v>5432.58</v>
      </c>
      <c r="AJ771" s="20">
        <f t="shared" si="378"/>
        <v>0</v>
      </c>
      <c r="AK771" s="100">
        <f t="shared" si="380"/>
        <v>0</v>
      </c>
      <c r="AL771" s="100">
        <f t="shared" si="381"/>
        <v>0</v>
      </c>
      <c r="AN771" s="100">
        <f t="shared" si="382"/>
        <v>3731.853281868312</v>
      </c>
      <c r="AO771" s="20">
        <f t="shared" si="383"/>
        <v>0</v>
      </c>
      <c r="AQ771" s="109">
        <f t="shared" si="384"/>
        <v>0</v>
      </c>
      <c r="AU771" s="109">
        <f t="shared" si="369"/>
        <v>25.35489372737581</v>
      </c>
      <c r="AV771" s="101">
        <f t="shared" si="385"/>
        <v>63384</v>
      </c>
      <c r="AW771" s="99">
        <f t="shared" si="386"/>
        <v>0</v>
      </c>
      <c r="AX771" s="1">
        <f t="shared" si="387"/>
        <v>0</v>
      </c>
      <c r="AY771" s="29">
        <f t="shared" si="388"/>
        <v>0</v>
      </c>
      <c r="AZ771" s="1">
        <f t="shared" si="370"/>
        <v>0</v>
      </c>
      <c r="CB771" s="20">
        <f t="shared" si="379"/>
        <v>0</v>
      </c>
      <c r="CC771" s="173">
        <f t="shared" si="371"/>
        <v>0</v>
      </c>
    </row>
    <row r="772" spans="10:81" x14ac:dyDescent="0.25">
      <c r="J772" s="9"/>
      <c r="K772" s="10"/>
      <c r="L772" s="17"/>
      <c r="M772" s="23"/>
      <c r="N772" s="23"/>
      <c r="O772" s="23"/>
      <c r="P772" s="23"/>
      <c r="Q772" s="1">
        <f t="shared" si="372"/>
        <v>0.60744618579017706</v>
      </c>
      <c r="R772" s="12">
        <f t="shared" ca="1" si="389"/>
        <v>22262</v>
      </c>
      <c r="S772" s="88">
        <f t="shared" si="398"/>
        <v>0</v>
      </c>
      <c r="T772" s="19">
        <f t="shared" si="390"/>
        <v>0</v>
      </c>
      <c r="U772" s="19">
        <f t="shared" si="391"/>
        <v>0</v>
      </c>
      <c r="V772" s="19">
        <f t="shared" si="377"/>
        <v>0</v>
      </c>
      <c r="W772" s="20">
        <f t="shared" ca="1" si="392"/>
        <v>0</v>
      </c>
      <c r="X772" s="19">
        <f t="shared" ca="1" si="393"/>
        <v>0</v>
      </c>
      <c r="Y772" s="19">
        <f t="shared" ca="1" si="394"/>
        <v>0</v>
      </c>
      <c r="Z772" s="20">
        <f t="shared" ca="1" si="395"/>
        <v>0</v>
      </c>
      <c r="AA772" s="1">
        <f t="shared" si="373"/>
        <v>5432.58</v>
      </c>
      <c r="AB772" s="93"/>
      <c r="AC772" s="94"/>
      <c r="AD772" s="101">
        <f t="shared" si="374"/>
        <v>63384</v>
      </c>
      <c r="AE772" s="103">
        <f t="shared" si="375"/>
        <v>0</v>
      </c>
      <c r="AG772" s="1">
        <f t="shared" si="396"/>
        <v>0</v>
      </c>
      <c r="AH772" s="1">
        <f t="shared" si="397"/>
        <v>0</v>
      </c>
      <c r="AI772" s="1">
        <f t="shared" si="376"/>
        <v>5432.58</v>
      </c>
      <c r="AJ772" s="20">
        <f t="shared" si="378"/>
        <v>0</v>
      </c>
      <c r="AK772" s="100">
        <f t="shared" si="380"/>
        <v>0</v>
      </c>
      <c r="AL772" s="100">
        <f t="shared" si="381"/>
        <v>0</v>
      </c>
      <c r="AN772" s="100">
        <f t="shared" si="382"/>
        <v>3729.9651542798974</v>
      </c>
      <c r="AO772" s="20">
        <f t="shared" si="383"/>
        <v>0</v>
      </c>
      <c r="AQ772" s="109">
        <f t="shared" si="384"/>
        <v>0</v>
      </c>
      <c r="AU772" s="109">
        <f t="shared" si="369"/>
        <v>25.352668326489376</v>
      </c>
      <c r="AV772" s="101">
        <f t="shared" si="385"/>
        <v>63414</v>
      </c>
      <c r="AW772" s="99">
        <f t="shared" si="386"/>
        <v>0</v>
      </c>
      <c r="AX772" s="1">
        <f t="shared" si="387"/>
        <v>0</v>
      </c>
      <c r="AY772" s="29">
        <f t="shared" si="388"/>
        <v>0</v>
      </c>
      <c r="AZ772" s="1">
        <f t="shared" si="370"/>
        <v>0</v>
      </c>
      <c r="CB772" s="20">
        <f t="shared" si="379"/>
        <v>0</v>
      </c>
      <c r="CC772" s="173">
        <f t="shared" si="371"/>
        <v>0</v>
      </c>
    </row>
    <row r="773" spans="10:81" x14ac:dyDescent="0.25">
      <c r="J773" s="7"/>
      <c r="K773" s="8"/>
      <c r="L773" s="16"/>
      <c r="M773" s="22"/>
      <c r="N773" s="22"/>
      <c r="O773" s="22"/>
      <c r="P773" s="22"/>
      <c r="Q773" s="1">
        <f t="shared" si="372"/>
        <v>0.60744618579017706</v>
      </c>
      <c r="R773" s="12">
        <f t="shared" ca="1" si="389"/>
        <v>22292</v>
      </c>
      <c r="S773" s="88">
        <f t="shared" si="398"/>
        <v>0</v>
      </c>
      <c r="T773" s="19">
        <f t="shared" si="390"/>
        <v>0</v>
      </c>
      <c r="U773" s="19">
        <f t="shared" si="391"/>
        <v>0</v>
      </c>
      <c r="V773" s="19">
        <f t="shared" si="377"/>
        <v>0</v>
      </c>
      <c r="W773" s="20">
        <f t="shared" ca="1" si="392"/>
        <v>0</v>
      </c>
      <c r="X773" s="19">
        <f t="shared" ca="1" si="393"/>
        <v>0</v>
      </c>
      <c r="Y773" s="19">
        <f t="shared" ca="1" si="394"/>
        <v>0</v>
      </c>
      <c r="Z773" s="20">
        <f t="shared" ca="1" si="395"/>
        <v>0</v>
      </c>
      <c r="AA773" s="1">
        <f t="shared" si="373"/>
        <v>5432.58</v>
      </c>
      <c r="AB773" s="91"/>
      <c r="AC773" s="92"/>
      <c r="AD773" s="101">
        <f t="shared" si="374"/>
        <v>63414</v>
      </c>
      <c r="AE773" s="103">
        <f t="shared" si="375"/>
        <v>0</v>
      </c>
      <c r="AG773" s="1">
        <f t="shared" si="396"/>
        <v>0</v>
      </c>
      <c r="AH773" s="1">
        <f t="shared" si="397"/>
        <v>0</v>
      </c>
      <c r="AI773" s="1">
        <f t="shared" si="376"/>
        <v>5432.58</v>
      </c>
      <c r="AJ773" s="20">
        <f t="shared" si="378"/>
        <v>0</v>
      </c>
      <c r="AK773" s="100">
        <f t="shared" si="380"/>
        <v>0</v>
      </c>
      <c r="AL773" s="100">
        <f t="shared" si="381"/>
        <v>0</v>
      </c>
      <c r="AN773" s="100">
        <f t="shared" si="382"/>
        <v>3728.0779819878258</v>
      </c>
      <c r="AO773" s="20">
        <f t="shared" si="383"/>
        <v>0</v>
      </c>
      <c r="AQ773" s="109">
        <f t="shared" si="384"/>
        <v>0</v>
      </c>
      <c r="AU773" s="109">
        <f t="shared" si="369"/>
        <v>25.350443120926549</v>
      </c>
      <c r="AV773" s="101">
        <f t="shared" si="385"/>
        <v>63444</v>
      </c>
      <c r="AW773" s="99">
        <f t="shared" si="386"/>
        <v>0</v>
      </c>
      <c r="AX773" s="1">
        <f t="shared" si="387"/>
        <v>0</v>
      </c>
      <c r="AY773" s="29">
        <f t="shared" si="388"/>
        <v>0</v>
      </c>
      <c r="AZ773" s="1">
        <f t="shared" si="370"/>
        <v>0</v>
      </c>
      <c r="CB773" s="20">
        <f t="shared" si="379"/>
        <v>0</v>
      </c>
      <c r="CC773" s="173">
        <f t="shared" si="371"/>
        <v>0</v>
      </c>
    </row>
    <row r="774" spans="10:81" x14ac:dyDescent="0.25">
      <c r="J774" s="9"/>
      <c r="K774" s="10"/>
      <c r="L774" s="17"/>
      <c r="M774" s="23"/>
      <c r="N774" s="23"/>
      <c r="O774" s="23"/>
      <c r="P774" s="23"/>
      <c r="Q774" s="1">
        <f t="shared" si="372"/>
        <v>0.60744618579017706</v>
      </c>
      <c r="R774" s="12">
        <f t="shared" ca="1" si="389"/>
        <v>22322</v>
      </c>
      <c r="S774" s="88">
        <f t="shared" si="398"/>
        <v>0</v>
      </c>
      <c r="T774" s="19">
        <f t="shared" si="390"/>
        <v>0</v>
      </c>
      <c r="U774" s="19">
        <f t="shared" si="391"/>
        <v>0</v>
      </c>
      <c r="V774" s="19">
        <f t="shared" si="377"/>
        <v>0</v>
      </c>
      <c r="W774" s="20">
        <f t="shared" ca="1" si="392"/>
        <v>0</v>
      </c>
      <c r="X774" s="19">
        <f t="shared" ca="1" si="393"/>
        <v>0</v>
      </c>
      <c r="Y774" s="19">
        <f t="shared" ca="1" si="394"/>
        <v>0</v>
      </c>
      <c r="Z774" s="20">
        <f t="shared" ca="1" si="395"/>
        <v>0</v>
      </c>
      <c r="AA774" s="1">
        <f t="shared" si="373"/>
        <v>5432.58</v>
      </c>
      <c r="AB774" s="93"/>
      <c r="AC774" s="94"/>
      <c r="AD774" s="101">
        <f t="shared" si="374"/>
        <v>63444</v>
      </c>
      <c r="AE774" s="103">
        <f t="shared" si="375"/>
        <v>0</v>
      </c>
      <c r="AG774" s="1">
        <f t="shared" si="396"/>
        <v>0</v>
      </c>
      <c r="AH774" s="1">
        <f t="shared" si="397"/>
        <v>0</v>
      </c>
      <c r="AI774" s="1">
        <f t="shared" si="376"/>
        <v>5432.58</v>
      </c>
      <c r="AJ774" s="20">
        <f t="shared" si="378"/>
        <v>0</v>
      </c>
      <c r="AK774" s="100">
        <f t="shared" si="380"/>
        <v>0</v>
      </c>
      <c r="AL774" s="100">
        <f t="shared" si="381"/>
        <v>0</v>
      </c>
      <c r="AN774" s="100">
        <f t="shared" si="382"/>
        <v>3726.1917645087638</v>
      </c>
      <c r="AO774" s="20">
        <f t="shared" si="383"/>
        <v>0</v>
      </c>
      <c r="AQ774" s="109">
        <f t="shared" si="384"/>
        <v>0</v>
      </c>
      <c r="AU774" s="109">
        <f t="shared" si="369"/>
        <v>25.348218110670164</v>
      </c>
      <c r="AV774" s="101">
        <f t="shared" si="385"/>
        <v>63474</v>
      </c>
      <c r="AW774" s="99">
        <f t="shared" si="386"/>
        <v>0</v>
      </c>
      <c r="AX774" s="1">
        <f t="shared" si="387"/>
        <v>0</v>
      </c>
      <c r="AY774" s="29">
        <f t="shared" si="388"/>
        <v>0</v>
      </c>
      <c r="AZ774" s="1">
        <f t="shared" si="370"/>
        <v>0</v>
      </c>
      <c r="CB774" s="20">
        <f t="shared" si="379"/>
        <v>0</v>
      </c>
      <c r="CC774" s="173">
        <f t="shared" si="371"/>
        <v>0</v>
      </c>
    </row>
    <row r="775" spans="10:81" x14ac:dyDescent="0.25">
      <c r="J775" s="7"/>
      <c r="K775" s="8"/>
      <c r="L775" s="16"/>
      <c r="M775" s="22"/>
      <c r="N775" s="22"/>
      <c r="O775" s="22"/>
      <c r="P775" s="22"/>
      <c r="Q775" s="1">
        <f t="shared" si="372"/>
        <v>0.60744618579017706</v>
      </c>
      <c r="R775" s="12">
        <f t="shared" ca="1" si="389"/>
        <v>22352</v>
      </c>
      <c r="S775" s="88">
        <f t="shared" si="398"/>
        <v>0</v>
      </c>
      <c r="T775" s="19">
        <f t="shared" si="390"/>
        <v>0</v>
      </c>
      <c r="U775" s="19">
        <f t="shared" si="391"/>
        <v>0</v>
      </c>
      <c r="V775" s="19">
        <f t="shared" si="377"/>
        <v>0</v>
      </c>
      <c r="W775" s="20">
        <f t="shared" ca="1" si="392"/>
        <v>0</v>
      </c>
      <c r="X775" s="19">
        <f t="shared" ca="1" si="393"/>
        <v>0</v>
      </c>
      <c r="Y775" s="19">
        <f t="shared" ca="1" si="394"/>
        <v>0</v>
      </c>
      <c r="Z775" s="20">
        <f t="shared" ca="1" si="395"/>
        <v>0</v>
      </c>
      <c r="AA775" s="1">
        <f t="shared" si="373"/>
        <v>5432.58</v>
      </c>
      <c r="AB775" s="91"/>
      <c r="AC775" s="92"/>
      <c r="AD775" s="101">
        <f t="shared" si="374"/>
        <v>63474</v>
      </c>
      <c r="AE775" s="103">
        <f t="shared" si="375"/>
        <v>0</v>
      </c>
      <c r="AG775" s="1">
        <f t="shared" si="396"/>
        <v>0</v>
      </c>
      <c r="AH775" s="1">
        <f t="shared" si="397"/>
        <v>0</v>
      </c>
      <c r="AI775" s="1">
        <f t="shared" si="376"/>
        <v>5432.58</v>
      </c>
      <c r="AJ775" s="20">
        <f t="shared" si="378"/>
        <v>0</v>
      </c>
      <c r="AK775" s="100">
        <f t="shared" si="380"/>
        <v>0</v>
      </c>
      <c r="AL775" s="100">
        <f t="shared" si="381"/>
        <v>0</v>
      </c>
      <c r="AN775" s="100">
        <f t="shared" si="382"/>
        <v>3724.3065013596256</v>
      </c>
      <c r="AO775" s="20">
        <f t="shared" si="383"/>
        <v>0</v>
      </c>
      <c r="AQ775" s="109">
        <f t="shared" si="384"/>
        <v>0</v>
      </c>
      <c r="AU775" s="109">
        <f t="shared" si="369"/>
        <v>25.345993295703103</v>
      </c>
      <c r="AV775" s="101">
        <f t="shared" si="385"/>
        <v>63504</v>
      </c>
      <c r="AW775" s="99">
        <f t="shared" si="386"/>
        <v>0</v>
      </c>
      <c r="AX775" s="1">
        <f t="shared" si="387"/>
        <v>0</v>
      </c>
      <c r="AY775" s="29">
        <f t="shared" si="388"/>
        <v>0</v>
      </c>
      <c r="AZ775" s="1">
        <f t="shared" si="370"/>
        <v>0</v>
      </c>
      <c r="CB775" s="20">
        <f t="shared" si="379"/>
        <v>0</v>
      </c>
      <c r="CC775" s="173">
        <f t="shared" si="371"/>
        <v>0</v>
      </c>
    </row>
    <row r="776" spans="10:81" x14ac:dyDescent="0.25">
      <c r="J776" s="9"/>
      <c r="K776" s="10"/>
      <c r="L776" s="17"/>
      <c r="M776" s="23"/>
      <c r="N776" s="23"/>
      <c r="O776" s="23"/>
      <c r="P776" s="23"/>
      <c r="Q776" s="1">
        <f t="shared" si="372"/>
        <v>0.60744618579017706</v>
      </c>
      <c r="R776" s="12">
        <f t="shared" ca="1" si="389"/>
        <v>22382</v>
      </c>
      <c r="S776" s="88">
        <f t="shared" si="398"/>
        <v>0</v>
      </c>
      <c r="T776" s="19">
        <f t="shared" si="390"/>
        <v>0</v>
      </c>
      <c r="U776" s="19">
        <f t="shared" si="391"/>
        <v>0</v>
      </c>
      <c r="V776" s="19">
        <f t="shared" si="377"/>
        <v>0</v>
      </c>
      <c r="W776" s="20">
        <f t="shared" ca="1" si="392"/>
        <v>0</v>
      </c>
      <c r="X776" s="19">
        <f t="shared" ca="1" si="393"/>
        <v>0</v>
      </c>
      <c r="Y776" s="19">
        <f t="shared" ca="1" si="394"/>
        <v>0</v>
      </c>
      <c r="Z776" s="20">
        <f t="shared" ca="1" si="395"/>
        <v>0</v>
      </c>
      <c r="AA776" s="1">
        <f t="shared" si="373"/>
        <v>5432.58</v>
      </c>
      <c r="AB776" s="93"/>
      <c r="AC776" s="94"/>
      <c r="AD776" s="101">
        <f t="shared" si="374"/>
        <v>63504</v>
      </c>
      <c r="AE776" s="103">
        <f t="shared" si="375"/>
        <v>0</v>
      </c>
      <c r="AG776" s="1">
        <f t="shared" si="396"/>
        <v>0</v>
      </c>
      <c r="AH776" s="1">
        <f t="shared" si="397"/>
        <v>0</v>
      </c>
      <c r="AI776" s="1">
        <f t="shared" si="376"/>
        <v>5432.58</v>
      </c>
      <c r="AJ776" s="20">
        <f t="shared" si="378"/>
        <v>0</v>
      </c>
      <c r="AK776" s="100">
        <f t="shared" si="380"/>
        <v>0</v>
      </c>
      <c r="AL776" s="100">
        <f t="shared" si="381"/>
        <v>0</v>
      </c>
      <c r="AN776" s="100">
        <f t="shared" si="382"/>
        <v>3722.422192057571</v>
      </c>
      <c r="AO776" s="20">
        <f t="shared" si="383"/>
        <v>0</v>
      </c>
      <c r="AQ776" s="109">
        <f t="shared" si="384"/>
        <v>0</v>
      </c>
      <c r="AU776" s="109">
        <f t="shared" si="369"/>
        <v>25.34376867600821</v>
      </c>
      <c r="AV776" s="101">
        <f t="shared" si="385"/>
        <v>63534</v>
      </c>
      <c r="AW776" s="99">
        <f t="shared" si="386"/>
        <v>0</v>
      </c>
      <c r="AX776" s="1">
        <f t="shared" si="387"/>
        <v>0</v>
      </c>
      <c r="AY776" s="29">
        <f t="shared" si="388"/>
        <v>0</v>
      </c>
      <c r="AZ776" s="1">
        <f t="shared" si="370"/>
        <v>0</v>
      </c>
      <c r="CB776" s="20">
        <f t="shared" si="379"/>
        <v>0</v>
      </c>
      <c r="CC776" s="173">
        <f t="shared" si="371"/>
        <v>0</v>
      </c>
    </row>
    <row r="777" spans="10:81" x14ac:dyDescent="0.25">
      <c r="J777" s="7"/>
      <c r="K777" s="8"/>
      <c r="L777" s="16"/>
      <c r="M777" s="22"/>
      <c r="N777" s="22"/>
      <c r="O777" s="22"/>
      <c r="P777" s="22"/>
      <c r="Q777" s="1">
        <f t="shared" si="372"/>
        <v>0.60744618579017706</v>
      </c>
      <c r="R777" s="12">
        <f t="shared" ca="1" si="389"/>
        <v>22412</v>
      </c>
      <c r="S777" s="88">
        <f t="shared" si="398"/>
        <v>0</v>
      </c>
      <c r="T777" s="19">
        <f t="shared" si="390"/>
        <v>0</v>
      </c>
      <c r="U777" s="19">
        <f t="shared" si="391"/>
        <v>0</v>
      </c>
      <c r="V777" s="19">
        <f t="shared" si="377"/>
        <v>0</v>
      </c>
      <c r="W777" s="20">
        <f t="shared" ca="1" si="392"/>
        <v>0</v>
      </c>
      <c r="X777" s="19">
        <f t="shared" ca="1" si="393"/>
        <v>0</v>
      </c>
      <c r="Y777" s="19">
        <f t="shared" ca="1" si="394"/>
        <v>0</v>
      </c>
      <c r="Z777" s="20">
        <f t="shared" ca="1" si="395"/>
        <v>0</v>
      </c>
      <c r="AA777" s="1">
        <f t="shared" si="373"/>
        <v>5432.58</v>
      </c>
      <c r="AB777" s="91"/>
      <c r="AC777" s="92"/>
      <c r="AD777" s="101">
        <f t="shared" si="374"/>
        <v>63534</v>
      </c>
      <c r="AE777" s="103">
        <f t="shared" si="375"/>
        <v>0</v>
      </c>
      <c r="AG777" s="1">
        <f t="shared" si="396"/>
        <v>0</v>
      </c>
      <c r="AH777" s="1">
        <f t="shared" si="397"/>
        <v>0</v>
      </c>
      <c r="AI777" s="1">
        <f t="shared" si="376"/>
        <v>5432.58</v>
      </c>
      <c r="AJ777" s="20">
        <f t="shared" si="378"/>
        <v>0</v>
      </c>
      <c r="AK777" s="100">
        <f t="shared" si="380"/>
        <v>0</v>
      </c>
      <c r="AL777" s="100">
        <f t="shared" si="381"/>
        <v>0</v>
      </c>
      <c r="AN777" s="100">
        <f t="shared" si="382"/>
        <v>3720.5388361199985</v>
      </c>
      <c r="AO777" s="20">
        <f t="shared" si="383"/>
        <v>0</v>
      </c>
      <c r="AQ777" s="109">
        <f t="shared" si="384"/>
        <v>0</v>
      </c>
      <c r="AU777" s="109">
        <f t="shared" si="369"/>
        <v>25.341544251568354</v>
      </c>
      <c r="AV777" s="101">
        <f t="shared" si="385"/>
        <v>63564</v>
      </c>
      <c r="AW777" s="99">
        <f t="shared" si="386"/>
        <v>0</v>
      </c>
      <c r="AX777" s="1">
        <f t="shared" si="387"/>
        <v>0</v>
      </c>
      <c r="AY777" s="29">
        <f t="shared" si="388"/>
        <v>0</v>
      </c>
      <c r="AZ777" s="1">
        <f t="shared" si="370"/>
        <v>0</v>
      </c>
      <c r="CB777" s="20">
        <f t="shared" si="379"/>
        <v>0</v>
      </c>
      <c r="CC777" s="173">
        <f t="shared" si="371"/>
        <v>0</v>
      </c>
    </row>
    <row r="778" spans="10:81" x14ac:dyDescent="0.25">
      <c r="J778" s="9"/>
      <c r="K778" s="10"/>
      <c r="L778" s="17"/>
      <c r="M778" s="23"/>
      <c r="N778" s="23"/>
      <c r="O778" s="23"/>
      <c r="P778" s="23"/>
      <c r="Q778" s="1">
        <f t="shared" si="372"/>
        <v>0.60744618579017706</v>
      </c>
      <c r="R778" s="12">
        <f t="shared" ca="1" si="389"/>
        <v>22442</v>
      </c>
      <c r="S778" s="88">
        <f t="shared" si="398"/>
        <v>0</v>
      </c>
      <c r="T778" s="19">
        <f t="shared" si="390"/>
        <v>0</v>
      </c>
      <c r="U778" s="19">
        <f t="shared" si="391"/>
        <v>0</v>
      </c>
      <c r="V778" s="19">
        <f t="shared" si="377"/>
        <v>0</v>
      </c>
      <c r="W778" s="20">
        <f t="shared" ca="1" si="392"/>
        <v>0</v>
      </c>
      <c r="X778" s="19">
        <f t="shared" ca="1" si="393"/>
        <v>0</v>
      </c>
      <c r="Y778" s="19">
        <f t="shared" ca="1" si="394"/>
        <v>0</v>
      </c>
      <c r="Z778" s="20">
        <f t="shared" ca="1" si="395"/>
        <v>0</v>
      </c>
      <c r="AA778" s="1">
        <f t="shared" si="373"/>
        <v>5432.58</v>
      </c>
      <c r="AB778" s="93"/>
      <c r="AC778" s="94"/>
      <c r="AD778" s="101">
        <f t="shared" si="374"/>
        <v>63564</v>
      </c>
      <c r="AE778" s="103">
        <f t="shared" si="375"/>
        <v>0</v>
      </c>
      <c r="AG778" s="1">
        <f t="shared" si="396"/>
        <v>0</v>
      </c>
      <c r="AH778" s="1">
        <f t="shared" si="397"/>
        <v>0</v>
      </c>
      <c r="AI778" s="1">
        <f t="shared" si="376"/>
        <v>5432.58</v>
      </c>
      <c r="AJ778" s="20">
        <f t="shared" si="378"/>
        <v>0</v>
      </c>
      <c r="AK778" s="100">
        <f t="shared" si="380"/>
        <v>0</v>
      </c>
      <c r="AL778" s="100">
        <f t="shared" si="381"/>
        <v>0</v>
      </c>
      <c r="AN778" s="100">
        <f t="shared" si="382"/>
        <v>3718.6564330645569</v>
      </c>
      <c r="AO778" s="20">
        <f t="shared" si="383"/>
        <v>0</v>
      </c>
      <c r="AQ778" s="109">
        <f t="shared" si="384"/>
        <v>0</v>
      </c>
      <c r="AU778" s="109">
        <f t="shared" si="369"/>
        <v>25.339320022366387</v>
      </c>
      <c r="AV778" s="101">
        <f t="shared" si="385"/>
        <v>63594</v>
      </c>
      <c r="AW778" s="99">
        <f t="shared" si="386"/>
        <v>0</v>
      </c>
      <c r="AX778" s="1">
        <f t="shared" si="387"/>
        <v>0</v>
      </c>
      <c r="AY778" s="29">
        <f t="shared" si="388"/>
        <v>0</v>
      </c>
      <c r="AZ778" s="1">
        <f t="shared" si="370"/>
        <v>0</v>
      </c>
      <c r="CB778" s="20">
        <f t="shared" si="379"/>
        <v>0</v>
      </c>
      <c r="CC778" s="173">
        <f t="shared" si="371"/>
        <v>0</v>
      </c>
    </row>
    <row r="779" spans="10:81" x14ac:dyDescent="0.25">
      <c r="J779" s="7"/>
      <c r="K779" s="8"/>
      <c r="L779" s="16"/>
      <c r="M779" s="22"/>
      <c r="N779" s="22"/>
      <c r="O779" s="22"/>
      <c r="P779" s="22"/>
      <c r="Q779" s="1">
        <f t="shared" si="372"/>
        <v>0.60744618579017706</v>
      </c>
      <c r="R779" s="12">
        <f t="shared" ca="1" si="389"/>
        <v>22472</v>
      </c>
      <c r="S779" s="88">
        <f t="shared" si="398"/>
        <v>0</v>
      </c>
      <c r="T779" s="19">
        <f t="shared" si="390"/>
        <v>0</v>
      </c>
      <c r="U779" s="19">
        <f t="shared" si="391"/>
        <v>0</v>
      </c>
      <c r="V779" s="19">
        <f t="shared" si="377"/>
        <v>0</v>
      </c>
      <c r="W779" s="20">
        <f t="shared" ca="1" si="392"/>
        <v>0</v>
      </c>
      <c r="X779" s="19">
        <f t="shared" ca="1" si="393"/>
        <v>0</v>
      </c>
      <c r="Y779" s="19">
        <f t="shared" ca="1" si="394"/>
        <v>0</v>
      </c>
      <c r="Z779" s="20">
        <f t="shared" ca="1" si="395"/>
        <v>0</v>
      </c>
      <c r="AA779" s="1">
        <f t="shared" si="373"/>
        <v>5432.58</v>
      </c>
      <c r="AB779" s="91"/>
      <c r="AC779" s="92"/>
      <c r="AD779" s="101">
        <f t="shared" si="374"/>
        <v>63594</v>
      </c>
      <c r="AE779" s="103">
        <f t="shared" si="375"/>
        <v>0</v>
      </c>
      <c r="AG779" s="1">
        <f t="shared" si="396"/>
        <v>0</v>
      </c>
      <c r="AH779" s="1">
        <f t="shared" si="397"/>
        <v>0</v>
      </c>
      <c r="AI779" s="1">
        <f t="shared" si="376"/>
        <v>5432.58</v>
      </c>
      <c r="AJ779" s="20">
        <f t="shared" si="378"/>
        <v>0</v>
      </c>
      <c r="AK779" s="100">
        <f t="shared" si="380"/>
        <v>0</v>
      </c>
      <c r="AL779" s="100">
        <f t="shared" si="381"/>
        <v>0</v>
      </c>
      <c r="AN779" s="100">
        <f t="shared" si="382"/>
        <v>3716.7749824091361</v>
      </c>
      <c r="AO779" s="20">
        <f t="shared" si="383"/>
        <v>0</v>
      </c>
      <c r="AQ779" s="109">
        <f t="shared" si="384"/>
        <v>0</v>
      </c>
      <c r="AU779" s="109">
        <f t="shared" si="369"/>
        <v>25.33709598838519</v>
      </c>
      <c r="AV779" s="101">
        <f t="shared" si="385"/>
        <v>63624</v>
      </c>
      <c r="AW779" s="99">
        <f t="shared" si="386"/>
        <v>0</v>
      </c>
      <c r="AX779" s="1">
        <f t="shared" si="387"/>
        <v>0</v>
      </c>
      <c r="AY779" s="29">
        <f t="shared" si="388"/>
        <v>0</v>
      </c>
      <c r="AZ779" s="1">
        <f t="shared" si="370"/>
        <v>0</v>
      </c>
      <c r="CB779" s="20">
        <f t="shared" si="379"/>
        <v>0</v>
      </c>
      <c r="CC779" s="173">
        <f t="shared" si="371"/>
        <v>0</v>
      </c>
    </row>
    <row r="780" spans="10:81" x14ac:dyDescent="0.25">
      <c r="J780" s="9"/>
      <c r="K780" s="10"/>
      <c r="L780" s="17"/>
      <c r="M780" s="23"/>
      <c r="N780" s="23"/>
      <c r="O780" s="23"/>
      <c r="P780" s="23"/>
      <c r="Q780" s="1">
        <f t="shared" si="372"/>
        <v>0.60744618579017706</v>
      </c>
      <c r="R780" s="12">
        <f t="shared" ca="1" si="389"/>
        <v>22502</v>
      </c>
      <c r="S780" s="88">
        <f t="shared" si="398"/>
        <v>0</v>
      </c>
      <c r="T780" s="19">
        <f t="shared" si="390"/>
        <v>0</v>
      </c>
      <c r="U780" s="19">
        <f t="shared" si="391"/>
        <v>0</v>
      </c>
      <c r="V780" s="19">
        <f t="shared" si="377"/>
        <v>0</v>
      </c>
      <c r="W780" s="20">
        <f t="shared" ca="1" si="392"/>
        <v>0</v>
      </c>
      <c r="X780" s="19">
        <f t="shared" ca="1" si="393"/>
        <v>0</v>
      </c>
      <c r="Y780" s="19">
        <f t="shared" ca="1" si="394"/>
        <v>0</v>
      </c>
      <c r="Z780" s="20">
        <f t="shared" ca="1" si="395"/>
        <v>0</v>
      </c>
      <c r="AA780" s="1">
        <f t="shared" si="373"/>
        <v>5432.58</v>
      </c>
      <c r="AB780" s="93"/>
      <c r="AC780" s="94"/>
      <c r="AD780" s="101">
        <f t="shared" si="374"/>
        <v>63624</v>
      </c>
      <c r="AE780" s="103">
        <f t="shared" si="375"/>
        <v>0</v>
      </c>
      <c r="AG780" s="1">
        <f t="shared" si="396"/>
        <v>0</v>
      </c>
      <c r="AH780" s="1">
        <f t="shared" si="397"/>
        <v>0</v>
      </c>
      <c r="AI780" s="1">
        <f t="shared" si="376"/>
        <v>5432.58</v>
      </c>
      <c r="AJ780" s="20">
        <f t="shared" si="378"/>
        <v>0</v>
      </c>
      <c r="AK780" s="100">
        <f t="shared" si="380"/>
        <v>0</v>
      </c>
      <c r="AL780" s="100">
        <f t="shared" si="381"/>
        <v>0</v>
      </c>
      <c r="AN780" s="100">
        <f t="shared" si="382"/>
        <v>3714.8944836718706</v>
      </c>
      <c r="AO780" s="20">
        <f t="shared" si="383"/>
        <v>0</v>
      </c>
      <c r="AQ780" s="109">
        <f t="shared" si="384"/>
        <v>0</v>
      </c>
      <c r="AU780" s="109">
        <f t="shared" si="369"/>
        <v>25.334872149607619</v>
      </c>
      <c r="AV780" s="101">
        <f t="shared" si="385"/>
        <v>63654</v>
      </c>
      <c r="AW780" s="99">
        <f t="shared" si="386"/>
        <v>0</v>
      </c>
      <c r="AX780" s="1">
        <f t="shared" si="387"/>
        <v>0</v>
      </c>
      <c r="AY780" s="29">
        <f t="shared" si="388"/>
        <v>0</v>
      </c>
      <c r="AZ780" s="1">
        <f t="shared" si="370"/>
        <v>0</v>
      </c>
      <c r="CB780" s="20">
        <f t="shared" si="379"/>
        <v>0</v>
      </c>
      <c r="CC780" s="173">
        <f t="shared" si="371"/>
        <v>0</v>
      </c>
    </row>
    <row r="781" spans="10:81" x14ac:dyDescent="0.25">
      <c r="J781" s="7"/>
      <c r="K781" s="8"/>
      <c r="L781" s="16"/>
      <c r="M781" s="22"/>
      <c r="N781" s="22"/>
      <c r="O781" s="22"/>
      <c r="P781" s="22"/>
      <c r="Q781" s="1">
        <f t="shared" si="372"/>
        <v>0.60744618579017706</v>
      </c>
      <c r="R781" s="12">
        <f t="shared" ca="1" si="389"/>
        <v>22532</v>
      </c>
      <c r="S781" s="88">
        <f t="shared" si="398"/>
        <v>0</v>
      </c>
      <c r="T781" s="19">
        <f t="shared" si="390"/>
        <v>0</v>
      </c>
      <c r="U781" s="19">
        <f t="shared" si="391"/>
        <v>0</v>
      </c>
      <c r="V781" s="19">
        <f t="shared" si="377"/>
        <v>0</v>
      </c>
      <c r="W781" s="20">
        <f t="shared" ca="1" si="392"/>
        <v>0</v>
      </c>
      <c r="X781" s="19">
        <f t="shared" ca="1" si="393"/>
        <v>0</v>
      </c>
      <c r="Y781" s="19">
        <f t="shared" ca="1" si="394"/>
        <v>0</v>
      </c>
      <c r="Z781" s="20">
        <f t="shared" ca="1" si="395"/>
        <v>0</v>
      </c>
      <c r="AA781" s="1">
        <f t="shared" si="373"/>
        <v>5432.58</v>
      </c>
      <c r="AB781" s="91"/>
      <c r="AC781" s="92"/>
      <c r="AD781" s="101">
        <f t="shared" si="374"/>
        <v>63654</v>
      </c>
      <c r="AE781" s="103">
        <f t="shared" si="375"/>
        <v>0</v>
      </c>
      <c r="AG781" s="1">
        <f t="shared" si="396"/>
        <v>0</v>
      </c>
      <c r="AH781" s="1">
        <f t="shared" si="397"/>
        <v>0</v>
      </c>
      <c r="AI781" s="1">
        <f t="shared" si="376"/>
        <v>5432.58</v>
      </c>
      <c r="AJ781" s="20">
        <f t="shared" si="378"/>
        <v>0</v>
      </c>
      <c r="AK781" s="100">
        <f t="shared" si="380"/>
        <v>0</v>
      </c>
      <c r="AL781" s="100">
        <f t="shared" si="381"/>
        <v>0</v>
      </c>
      <c r="AN781" s="100">
        <f t="shared" si="382"/>
        <v>3713.0149363711357</v>
      </c>
      <c r="AO781" s="20">
        <f t="shared" si="383"/>
        <v>0</v>
      </c>
      <c r="AQ781" s="109">
        <f t="shared" si="384"/>
        <v>0</v>
      </c>
      <c r="AU781" s="109">
        <f t="shared" si="369"/>
        <v>25.332648506016536</v>
      </c>
      <c r="AV781" s="101">
        <f t="shared" si="385"/>
        <v>63684</v>
      </c>
      <c r="AW781" s="99">
        <f t="shared" si="386"/>
        <v>0</v>
      </c>
      <c r="AX781" s="1">
        <f t="shared" si="387"/>
        <v>0</v>
      </c>
      <c r="AY781" s="29">
        <f t="shared" si="388"/>
        <v>0</v>
      </c>
      <c r="AZ781" s="1">
        <f t="shared" si="370"/>
        <v>0</v>
      </c>
      <c r="CB781" s="20">
        <f t="shared" si="379"/>
        <v>0</v>
      </c>
      <c r="CC781" s="173">
        <f t="shared" si="371"/>
        <v>0</v>
      </c>
    </row>
    <row r="782" spans="10:81" x14ac:dyDescent="0.25">
      <c r="J782" s="9"/>
      <c r="K782" s="10"/>
      <c r="L782" s="17"/>
      <c r="M782" s="23"/>
      <c r="N782" s="23"/>
      <c r="O782" s="23"/>
      <c r="P782" s="23"/>
      <c r="Q782" s="1">
        <f t="shared" si="372"/>
        <v>0.60744618579017706</v>
      </c>
      <c r="R782" s="12">
        <f t="shared" ca="1" si="389"/>
        <v>22562</v>
      </c>
      <c r="S782" s="88">
        <f t="shared" si="398"/>
        <v>0</v>
      </c>
      <c r="T782" s="19">
        <f t="shared" si="390"/>
        <v>0</v>
      </c>
      <c r="U782" s="19">
        <f t="shared" si="391"/>
        <v>0</v>
      </c>
      <c r="V782" s="19">
        <f t="shared" si="377"/>
        <v>0</v>
      </c>
      <c r="W782" s="20">
        <f t="shared" ca="1" si="392"/>
        <v>0</v>
      </c>
      <c r="X782" s="19">
        <f t="shared" ca="1" si="393"/>
        <v>0</v>
      </c>
      <c r="Y782" s="19">
        <f t="shared" ca="1" si="394"/>
        <v>0</v>
      </c>
      <c r="Z782" s="20">
        <f t="shared" ca="1" si="395"/>
        <v>0</v>
      </c>
      <c r="AA782" s="1">
        <f t="shared" si="373"/>
        <v>5432.58</v>
      </c>
      <c r="AB782" s="93"/>
      <c r="AC782" s="94"/>
      <c r="AD782" s="101">
        <f t="shared" si="374"/>
        <v>63684</v>
      </c>
      <c r="AE782" s="103">
        <f t="shared" si="375"/>
        <v>0</v>
      </c>
      <c r="AG782" s="1">
        <f t="shared" si="396"/>
        <v>0</v>
      </c>
      <c r="AH782" s="1">
        <f t="shared" si="397"/>
        <v>0</v>
      </c>
      <c r="AI782" s="1">
        <f t="shared" si="376"/>
        <v>5432.58</v>
      </c>
      <c r="AJ782" s="20">
        <f t="shared" si="378"/>
        <v>0</v>
      </c>
      <c r="AK782" s="100">
        <f t="shared" si="380"/>
        <v>0</v>
      </c>
      <c r="AL782" s="100">
        <f t="shared" si="381"/>
        <v>0</v>
      </c>
      <c r="AN782" s="100">
        <f t="shared" si="382"/>
        <v>3711.1363400255545</v>
      </c>
      <c r="AO782" s="20">
        <f t="shared" si="383"/>
        <v>0</v>
      </c>
      <c r="AQ782" s="109">
        <f t="shared" si="384"/>
        <v>0</v>
      </c>
      <c r="AU782" s="109">
        <f t="shared" si="369"/>
        <v>25.330425057594823</v>
      </c>
      <c r="AV782" s="101">
        <f t="shared" si="385"/>
        <v>63714</v>
      </c>
      <c r="AW782" s="99">
        <f t="shared" si="386"/>
        <v>0</v>
      </c>
      <c r="AX782" s="1">
        <f t="shared" si="387"/>
        <v>0</v>
      </c>
      <c r="AY782" s="29">
        <f t="shared" si="388"/>
        <v>0</v>
      </c>
      <c r="AZ782" s="1">
        <f t="shared" si="370"/>
        <v>0</v>
      </c>
      <c r="CB782" s="20">
        <f t="shared" si="379"/>
        <v>0</v>
      </c>
      <c r="CC782" s="173">
        <f t="shared" si="371"/>
        <v>0</v>
      </c>
    </row>
    <row r="783" spans="10:81" x14ac:dyDescent="0.25">
      <c r="J783" s="7"/>
      <c r="K783" s="8"/>
      <c r="L783" s="16"/>
      <c r="M783" s="22"/>
      <c r="N783" s="22"/>
      <c r="O783" s="22"/>
      <c r="P783" s="22"/>
      <c r="Q783" s="1">
        <f t="shared" si="372"/>
        <v>0.60744618579017706</v>
      </c>
      <c r="R783" s="12">
        <f t="shared" ca="1" si="389"/>
        <v>22592</v>
      </c>
      <c r="S783" s="88">
        <f t="shared" si="398"/>
        <v>0</v>
      </c>
      <c r="T783" s="19">
        <f t="shared" si="390"/>
        <v>0</v>
      </c>
      <c r="U783" s="19">
        <f t="shared" si="391"/>
        <v>0</v>
      </c>
      <c r="V783" s="19">
        <f t="shared" si="377"/>
        <v>0</v>
      </c>
      <c r="W783" s="20">
        <f t="shared" ca="1" si="392"/>
        <v>0</v>
      </c>
      <c r="X783" s="19">
        <f t="shared" ca="1" si="393"/>
        <v>0</v>
      </c>
      <c r="Y783" s="19">
        <f t="shared" ca="1" si="394"/>
        <v>0</v>
      </c>
      <c r="Z783" s="20">
        <f t="shared" ca="1" si="395"/>
        <v>0</v>
      </c>
      <c r="AA783" s="1">
        <f t="shared" si="373"/>
        <v>5432.58</v>
      </c>
      <c r="AB783" s="91"/>
      <c r="AC783" s="92"/>
      <c r="AD783" s="101">
        <f t="shared" si="374"/>
        <v>63714</v>
      </c>
      <c r="AE783" s="103">
        <f t="shared" si="375"/>
        <v>0</v>
      </c>
      <c r="AG783" s="1">
        <f t="shared" si="396"/>
        <v>0</v>
      </c>
      <c r="AH783" s="1">
        <f t="shared" si="397"/>
        <v>0</v>
      </c>
      <c r="AI783" s="1">
        <f t="shared" si="376"/>
        <v>5432.58</v>
      </c>
      <c r="AJ783" s="20">
        <f t="shared" si="378"/>
        <v>0</v>
      </c>
      <c r="AK783" s="100">
        <f t="shared" si="380"/>
        <v>0</v>
      </c>
      <c r="AL783" s="100">
        <f t="shared" si="381"/>
        <v>0</v>
      </c>
      <c r="AN783" s="100">
        <f t="shared" si="382"/>
        <v>3709.2586941539944</v>
      </c>
      <c r="AO783" s="20">
        <f t="shared" si="383"/>
        <v>0</v>
      </c>
      <c r="AQ783" s="109">
        <f t="shared" si="384"/>
        <v>0</v>
      </c>
      <c r="AU783" s="109">
        <f t="shared" si="369"/>
        <v>25.328201804325332</v>
      </c>
      <c r="AV783" s="101">
        <f t="shared" si="385"/>
        <v>63744</v>
      </c>
      <c r="AW783" s="99">
        <f t="shared" si="386"/>
        <v>0</v>
      </c>
      <c r="AX783" s="1">
        <f t="shared" si="387"/>
        <v>0</v>
      </c>
      <c r="AY783" s="29">
        <f t="shared" si="388"/>
        <v>0</v>
      </c>
      <c r="AZ783" s="1">
        <f t="shared" si="370"/>
        <v>0</v>
      </c>
      <c r="CB783" s="20">
        <f t="shared" si="379"/>
        <v>0</v>
      </c>
      <c r="CC783" s="173">
        <f t="shared" si="371"/>
        <v>0</v>
      </c>
    </row>
    <row r="784" spans="10:81" x14ac:dyDescent="0.25">
      <c r="J784" s="9"/>
      <c r="K784" s="10"/>
      <c r="L784" s="17"/>
      <c r="M784" s="23"/>
      <c r="N784" s="23"/>
      <c r="O784" s="23"/>
      <c r="P784" s="23"/>
      <c r="Q784" s="1">
        <f t="shared" si="372"/>
        <v>0.60744618579017706</v>
      </c>
      <c r="R784" s="12">
        <f t="shared" ca="1" si="389"/>
        <v>22622</v>
      </c>
      <c r="S784" s="88">
        <f t="shared" si="398"/>
        <v>0</v>
      </c>
      <c r="T784" s="19">
        <f t="shared" si="390"/>
        <v>0</v>
      </c>
      <c r="U784" s="19">
        <f t="shared" si="391"/>
        <v>0</v>
      </c>
      <c r="V784" s="19">
        <f t="shared" si="377"/>
        <v>0</v>
      </c>
      <c r="W784" s="20">
        <f t="shared" ca="1" si="392"/>
        <v>0</v>
      </c>
      <c r="X784" s="19">
        <f t="shared" ca="1" si="393"/>
        <v>0</v>
      </c>
      <c r="Y784" s="19">
        <f t="shared" ca="1" si="394"/>
        <v>0</v>
      </c>
      <c r="Z784" s="20">
        <f t="shared" ca="1" si="395"/>
        <v>0</v>
      </c>
      <c r="AA784" s="1">
        <f t="shared" si="373"/>
        <v>5432.58</v>
      </c>
      <c r="AB784" s="93"/>
      <c r="AC784" s="94"/>
      <c r="AD784" s="101">
        <f t="shared" si="374"/>
        <v>63744</v>
      </c>
      <c r="AE784" s="103">
        <f t="shared" si="375"/>
        <v>0</v>
      </c>
      <c r="AG784" s="1">
        <f t="shared" si="396"/>
        <v>0</v>
      </c>
      <c r="AH784" s="1">
        <f t="shared" si="397"/>
        <v>0</v>
      </c>
      <c r="AI784" s="1">
        <f t="shared" si="376"/>
        <v>5432.58</v>
      </c>
      <c r="AJ784" s="20">
        <f t="shared" si="378"/>
        <v>0</v>
      </c>
      <c r="AK784" s="100">
        <f t="shared" si="380"/>
        <v>0</v>
      </c>
      <c r="AL784" s="100">
        <f t="shared" si="381"/>
        <v>0</v>
      </c>
      <c r="AN784" s="100">
        <f t="shared" si="382"/>
        <v>3707.3819982755613</v>
      </c>
      <c r="AO784" s="20">
        <f t="shared" si="383"/>
        <v>0</v>
      </c>
      <c r="AQ784" s="109">
        <f t="shared" si="384"/>
        <v>0</v>
      </c>
      <c r="AU784" s="109">
        <f t="shared" si="369"/>
        <v>25.325978746190945</v>
      </c>
      <c r="AV784" s="101">
        <f t="shared" si="385"/>
        <v>63774</v>
      </c>
      <c r="AW784" s="99">
        <f t="shared" si="386"/>
        <v>0</v>
      </c>
      <c r="AX784" s="1">
        <f t="shared" si="387"/>
        <v>0</v>
      </c>
      <c r="AY784" s="29">
        <f t="shared" si="388"/>
        <v>0</v>
      </c>
      <c r="AZ784" s="1">
        <f t="shared" si="370"/>
        <v>0</v>
      </c>
      <c r="CB784" s="20">
        <f t="shared" si="379"/>
        <v>0</v>
      </c>
      <c r="CC784" s="173">
        <f t="shared" si="371"/>
        <v>0</v>
      </c>
    </row>
    <row r="785" spans="10:81" x14ac:dyDescent="0.25">
      <c r="J785" s="7"/>
      <c r="K785" s="8"/>
      <c r="L785" s="16"/>
      <c r="M785" s="22"/>
      <c r="N785" s="22"/>
      <c r="O785" s="22"/>
      <c r="P785" s="22"/>
      <c r="Q785" s="1">
        <f t="shared" si="372"/>
        <v>0.60744618579017706</v>
      </c>
      <c r="R785" s="12">
        <f t="shared" ca="1" si="389"/>
        <v>22652</v>
      </c>
      <c r="S785" s="88">
        <f t="shared" si="398"/>
        <v>0</v>
      </c>
      <c r="T785" s="19">
        <f t="shared" si="390"/>
        <v>0</v>
      </c>
      <c r="U785" s="19">
        <f t="shared" si="391"/>
        <v>0</v>
      </c>
      <c r="V785" s="19">
        <f t="shared" si="377"/>
        <v>0</v>
      </c>
      <c r="W785" s="20">
        <f t="shared" ca="1" si="392"/>
        <v>0</v>
      </c>
      <c r="X785" s="19">
        <f t="shared" ca="1" si="393"/>
        <v>0</v>
      </c>
      <c r="Y785" s="19">
        <f t="shared" ca="1" si="394"/>
        <v>0</v>
      </c>
      <c r="Z785" s="20">
        <f t="shared" ca="1" si="395"/>
        <v>0</v>
      </c>
      <c r="AA785" s="1">
        <f t="shared" si="373"/>
        <v>5432.58</v>
      </c>
      <c r="AB785" s="91"/>
      <c r="AC785" s="92"/>
      <c r="AD785" s="101">
        <f t="shared" si="374"/>
        <v>63774</v>
      </c>
      <c r="AE785" s="103">
        <f t="shared" si="375"/>
        <v>0</v>
      </c>
      <c r="AG785" s="1">
        <f t="shared" si="396"/>
        <v>0</v>
      </c>
      <c r="AH785" s="1">
        <f t="shared" si="397"/>
        <v>0</v>
      </c>
      <c r="AI785" s="1">
        <f t="shared" si="376"/>
        <v>5432.58</v>
      </c>
      <c r="AJ785" s="20">
        <f t="shared" si="378"/>
        <v>0</v>
      </c>
      <c r="AK785" s="100">
        <f t="shared" si="380"/>
        <v>0</v>
      </c>
      <c r="AL785" s="100">
        <f t="shared" si="381"/>
        <v>0</v>
      </c>
      <c r="AN785" s="100">
        <f t="shared" si="382"/>
        <v>3705.5062519096064</v>
      </c>
      <c r="AO785" s="20">
        <f t="shared" si="383"/>
        <v>0</v>
      </c>
      <c r="AQ785" s="109">
        <f t="shared" si="384"/>
        <v>0</v>
      </c>
      <c r="AU785" s="109">
        <f t="shared" si="369"/>
        <v>25.323755883174542</v>
      </c>
      <c r="AV785" s="101">
        <f t="shared" si="385"/>
        <v>63804</v>
      </c>
      <c r="AW785" s="99">
        <f t="shared" si="386"/>
        <v>0</v>
      </c>
      <c r="AX785" s="1">
        <f t="shared" si="387"/>
        <v>0</v>
      </c>
      <c r="AY785" s="29">
        <f t="shared" si="388"/>
        <v>0</v>
      </c>
      <c r="AZ785" s="1">
        <f t="shared" si="370"/>
        <v>0</v>
      </c>
      <c r="CB785" s="20">
        <f t="shared" si="379"/>
        <v>0</v>
      </c>
      <c r="CC785" s="173">
        <f t="shared" si="371"/>
        <v>0</v>
      </c>
    </row>
    <row r="786" spans="10:81" x14ac:dyDescent="0.25">
      <c r="J786" s="9"/>
      <c r="K786" s="10"/>
      <c r="L786" s="17"/>
      <c r="M786" s="23"/>
      <c r="N786" s="23"/>
      <c r="O786" s="23"/>
      <c r="P786" s="23"/>
      <c r="Q786" s="1">
        <f t="shared" si="372"/>
        <v>0.60744618579017706</v>
      </c>
      <c r="R786" s="12">
        <f t="shared" ca="1" si="389"/>
        <v>22682</v>
      </c>
      <c r="S786" s="88">
        <f t="shared" si="398"/>
        <v>0</v>
      </c>
      <c r="T786" s="19">
        <f t="shared" si="390"/>
        <v>0</v>
      </c>
      <c r="U786" s="19">
        <f t="shared" si="391"/>
        <v>0</v>
      </c>
      <c r="V786" s="19">
        <f t="shared" si="377"/>
        <v>0</v>
      </c>
      <c r="W786" s="20">
        <f t="shared" ca="1" si="392"/>
        <v>0</v>
      </c>
      <c r="X786" s="19">
        <f t="shared" ca="1" si="393"/>
        <v>0</v>
      </c>
      <c r="Y786" s="19">
        <f t="shared" ca="1" si="394"/>
        <v>0</v>
      </c>
      <c r="Z786" s="20">
        <f t="shared" ca="1" si="395"/>
        <v>0</v>
      </c>
      <c r="AA786" s="1">
        <f t="shared" si="373"/>
        <v>5432.58</v>
      </c>
      <c r="AB786" s="93"/>
      <c r="AC786" s="94"/>
      <c r="AD786" s="101">
        <f t="shared" si="374"/>
        <v>63804</v>
      </c>
      <c r="AE786" s="103">
        <f t="shared" si="375"/>
        <v>0</v>
      </c>
      <c r="AG786" s="1">
        <f t="shared" si="396"/>
        <v>0</v>
      </c>
      <c r="AH786" s="1">
        <f t="shared" si="397"/>
        <v>0</v>
      </c>
      <c r="AI786" s="1">
        <f t="shared" si="376"/>
        <v>5432.58</v>
      </c>
      <c r="AJ786" s="20">
        <f t="shared" si="378"/>
        <v>0</v>
      </c>
      <c r="AK786" s="100">
        <f t="shared" si="380"/>
        <v>0</v>
      </c>
      <c r="AL786" s="100">
        <f t="shared" si="381"/>
        <v>0</v>
      </c>
      <c r="AN786" s="100">
        <f t="shared" si="382"/>
        <v>3703.6314545757286</v>
      </c>
      <c r="AO786" s="20">
        <f t="shared" si="383"/>
        <v>0</v>
      </c>
      <c r="AQ786" s="109">
        <f t="shared" si="384"/>
        <v>0</v>
      </c>
      <c r="AU786" s="109">
        <f t="shared" si="369"/>
        <v>25.321533215258977</v>
      </c>
      <c r="AV786" s="101">
        <f t="shared" si="385"/>
        <v>63834</v>
      </c>
      <c r="AW786" s="99">
        <f t="shared" si="386"/>
        <v>0</v>
      </c>
      <c r="AX786" s="1">
        <f t="shared" si="387"/>
        <v>0</v>
      </c>
      <c r="AY786" s="29">
        <f t="shared" si="388"/>
        <v>0</v>
      </c>
      <c r="AZ786" s="1">
        <f t="shared" si="370"/>
        <v>0</v>
      </c>
      <c r="CB786" s="20">
        <f t="shared" si="379"/>
        <v>0</v>
      </c>
      <c r="CC786" s="173">
        <f t="shared" si="371"/>
        <v>0</v>
      </c>
    </row>
    <row r="787" spans="10:81" x14ac:dyDescent="0.25">
      <c r="J787" s="7"/>
      <c r="K787" s="8"/>
      <c r="L787" s="16"/>
      <c r="M787" s="22"/>
      <c r="N787" s="22"/>
      <c r="O787" s="22"/>
      <c r="P787" s="22"/>
      <c r="Q787" s="1">
        <f t="shared" si="372"/>
        <v>0.60744618579017706</v>
      </c>
      <c r="R787" s="12">
        <f t="shared" ca="1" si="389"/>
        <v>22712</v>
      </c>
      <c r="S787" s="88">
        <f t="shared" si="398"/>
        <v>0</v>
      </c>
      <c r="T787" s="19">
        <f t="shared" si="390"/>
        <v>0</v>
      </c>
      <c r="U787" s="19">
        <f t="shared" si="391"/>
        <v>0</v>
      </c>
      <c r="V787" s="19">
        <f t="shared" si="377"/>
        <v>0</v>
      </c>
      <c r="W787" s="20">
        <f t="shared" ca="1" si="392"/>
        <v>0</v>
      </c>
      <c r="X787" s="19">
        <f t="shared" ca="1" si="393"/>
        <v>0</v>
      </c>
      <c r="Y787" s="19">
        <f t="shared" ca="1" si="394"/>
        <v>0</v>
      </c>
      <c r="Z787" s="20">
        <f t="shared" ca="1" si="395"/>
        <v>0</v>
      </c>
      <c r="AA787" s="1">
        <f t="shared" si="373"/>
        <v>5432.58</v>
      </c>
      <c r="AB787" s="91"/>
      <c r="AC787" s="92"/>
      <c r="AD787" s="101">
        <f t="shared" si="374"/>
        <v>63834</v>
      </c>
      <c r="AE787" s="103">
        <f t="shared" si="375"/>
        <v>0</v>
      </c>
      <c r="AG787" s="1">
        <f t="shared" si="396"/>
        <v>0</v>
      </c>
      <c r="AH787" s="1">
        <f t="shared" si="397"/>
        <v>0</v>
      </c>
      <c r="AI787" s="1">
        <f t="shared" si="376"/>
        <v>5432.58</v>
      </c>
      <c r="AJ787" s="20">
        <f t="shared" si="378"/>
        <v>0</v>
      </c>
      <c r="AK787" s="100">
        <f t="shared" si="380"/>
        <v>0</v>
      </c>
      <c r="AL787" s="100">
        <f t="shared" si="381"/>
        <v>0</v>
      </c>
      <c r="AN787" s="100">
        <f t="shared" si="382"/>
        <v>3701.7576057937622</v>
      </c>
      <c r="AO787" s="20">
        <f t="shared" si="383"/>
        <v>0</v>
      </c>
      <c r="AQ787" s="109">
        <f t="shared" si="384"/>
        <v>0</v>
      </c>
      <c r="AU787" s="109">
        <f t="shared" si="369"/>
        <v>25.319310742427149</v>
      </c>
      <c r="AV787" s="101">
        <f t="shared" si="385"/>
        <v>63864</v>
      </c>
      <c r="AW787" s="99">
        <f t="shared" si="386"/>
        <v>0</v>
      </c>
      <c r="AX787" s="1">
        <f t="shared" si="387"/>
        <v>0</v>
      </c>
      <c r="AY787" s="29">
        <f t="shared" si="388"/>
        <v>0</v>
      </c>
      <c r="AZ787" s="1">
        <f t="shared" si="370"/>
        <v>0</v>
      </c>
      <c r="CB787" s="20">
        <f t="shared" si="379"/>
        <v>0</v>
      </c>
      <c r="CC787" s="173">
        <f t="shared" si="371"/>
        <v>0</v>
      </c>
    </row>
    <row r="788" spans="10:81" x14ac:dyDescent="0.25">
      <c r="J788" s="9"/>
      <c r="K788" s="10"/>
      <c r="L788" s="17"/>
      <c r="M788" s="23"/>
      <c r="N788" s="23"/>
      <c r="O788" s="23"/>
      <c r="P788" s="23"/>
      <c r="Q788" s="1">
        <f t="shared" si="372"/>
        <v>0.60744618579017706</v>
      </c>
      <c r="R788" s="12">
        <f t="shared" ca="1" si="389"/>
        <v>22742</v>
      </c>
      <c r="S788" s="88">
        <f t="shared" si="398"/>
        <v>0</v>
      </c>
      <c r="T788" s="19">
        <f t="shared" si="390"/>
        <v>0</v>
      </c>
      <c r="U788" s="19">
        <f t="shared" si="391"/>
        <v>0</v>
      </c>
      <c r="V788" s="19">
        <f t="shared" si="377"/>
        <v>0</v>
      </c>
      <c r="W788" s="20">
        <f t="shared" ca="1" si="392"/>
        <v>0</v>
      </c>
      <c r="X788" s="19">
        <f t="shared" ca="1" si="393"/>
        <v>0</v>
      </c>
      <c r="Y788" s="19">
        <f t="shared" ca="1" si="394"/>
        <v>0</v>
      </c>
      <c r="Z788" s="20">
        <f t="shared" ca="1" si="395"/>
        <v>0</v>
      </c>
      <c r="AA788" s="1">
        <f t="shared" si="373"/>
        <v>5432.58</v>
      </c>
      <c r="AB788" s="93"/>
      <c r="AC788" s="94"/>
      <c r="AD788" s="101">
        <f t="shared" si="374"/>
        <v>63864</v>
      </c>
      <c r="AE788" s="103">
        <f t="shared" si="375"/>
        <v>0</v>
      </c>
      <c r="AG788" s="1">
        <f t="shared" si="396"/>
        <v>0</v>
      </c>
      <c r="AH788" s="1">
        <f t="shared" si="397"/>
        <v>0</v>
      </c>
      <c r="AI788" s="1">
        <f t="shared" si="376"/>
        <v>5432.58</v>
      </c>
      <c r="AJ788" s="20">
        <f t="shared" si="378"/>
        <v>0</v>
      </c>
      <c r="AK788" s="100">
        <f t="shared" si="380"/>
        <v>0</v>
      </c>
      <c r="AL788" s="100">
        <f t="shared" si="381"/>
        <v>0</v>
      </c>
      <c r="AN788" s="100">
        <f t="shared" si="382"/>
        <v>3699.8847050837894</v>
      </c>
      <c r="AO788" s="20">
        <f t="shared" si="383"/>
        <v>0</v>
      </c>
      <c r="AQ788" s="109">
        <f t="shared" si="384"/>
        <v>0</v>
      </c>
      <c r="AU788" s="109">
        <f t="shared" si="369"/>
        <v>25.317088464661921</v>
      </c>
      <c r="AV788" s="101">
        <f t="shared" si="385"/>
        <v>63894</v>
      </c>
      <c r="AW788" s="99">
        <f t="shared" si="386"/>
        <v>0</v>
      </c>
      <c r="AX788" s="1">
        <f t="shared" si="387"/>
        <v>0</v>
      </c>
      <c r="AY788" s="29">
        <f t="shared" si="388"/>
        <v>0</v>
      </c>
      <c r="AZ788" s="1">
        <f t="shared" si="370"/>
        <v>0</v>
      </c>
      <c r="CB788" s="20">
        <f t="shared" si="379"/>
        <v>0</v>
      </c>
      <c r="CC788" s="173">
        <f t="shared" si="371"/>
        <v>0</v>
      </c>
    </row>
    <row r="789" spans="10:81" x14ac:dyDescent="0.25">
      <c r="J789" s="7"/>
      <c r="K789" s="8"/>
      <c r="L789" s="16"/>
      <c r="M789" s="22"/>
      <c r="N789" s="22"/>
      <c r="O789" s="22"/>
      <c r="P789" s="22"/>
      <c r="Q789" s="1">
        <f t="shared" si="372"/>
        <v>0.60744618579017706</v>
      </c>
      <c r="R789" s="12">
        <f t="shared" ca="1" si="389"/>
        <v>22772</v>
      </c>
      <c r="S789" s="88">
        <f t="shared" si="398"/>
        <v>0</v>
      </c>
      <c r="T789" s="19">
        <f t="shared" si="390"/>
        <v>0</v>
      </c>
      <c r="U789" s="19">
        <f t="shared" si="391"/>
        <v>0</v>
      </c>
      <c r="V789" s="19">
        <f t="shared" si="377"/>
        <v>0</v>
      </c>
      <c r="W789" s="20">
        <f t="shared" ca="1" si="392"/>
        <v>0</v>
      </c>
      <c r="X789" s="19">
        <f t="shared" ca="1" si="393"/>
        <v>0</v>
      </c>
      <c r="Y789" s="19">
        <f t="shared" ca="1" si="394"/>
        <v>0</v>
      </c>
      <c r="Z789" s="20">
        <f t="shared" ca="1" si="395"/>
        <v>0</v>
      </c>
      <c r="AA789" s="1">
        <f t="shared" si="373"/>
        <v>5432.58</v>
      </c>
      <c r="AB789" s="91"/>
      <c r="AC789" s="92"/>
      <c r="AD789" s="101">
        <f t="shared" si="374"/>
        <v>63894</v>
      </c>
      <c r="AE789" s="103">
        <f t="shared" si="375"/>
        <v>0</v>
      </c>
      <c r="AG789" s="1">
        <f t="shared" si="396"/>
        <v>0</v>
      </c>
      <c r="AH789" s="1">
        <f t="shared" si="397"/>
        <v>0</v>
      </c>
      <c r="AI789" s="1">
        <f t="shared" si="376"/>
        <v>5432.58</v>
      </c>
      <c r="AJ789" s="20">
        <f t="shared" si="378"/>
        <v>0</v>
      </c>
      <c r="AK789" s="100">
        <f t="shared" si="380"/>
        <v>0</v>
      </c>
      <c r="AL789" s="100">
        <f t="shared" si="381"/>
        <v>0</v>
      </c>
      <c r="AN789" s="100">
        <f t="shared" si="382"/>
        <v>3698.0127519661341</v>
      </c>
      <c r="AO789" s="20">
        <f t="shared" si="383"/>
        <v>0</v>
      </c>
      <c r="AQ789" s="109">
        <f t="shared" si="384"/>
        <v>0</v>
      </c>
      <c r="AU789" s="109">
        <f t="shared" si="369"/>
        <v>25.314866381946171</v>
      </c>
      <c r="AV789" s="101">
        <f t="shared" si="385"/>
        <v>63924</v>
      </c>
      <c r="AW789" s="99">
        <f t="shared" si="386"/>
        <v>0</v>
      </c>
      <c r="AX789" s="1">
        <f t="shared" si="387"/>
        <v>0</v>
      </c>
      <c r="AY789" s="29">
        <f t="shared" si="388"/>
        <v>0</v>
      </c>
      <c r="AZ789" s="1">
        <f t="shared" si="370"/>
        <v>0</v>
      </c>
      <c r="CB789" s="20">
        <f t="shared" si="379"/>
        <v>0</v>
      </c>
      <c r="CC789" s="173">
        <f t="shared" si="371"/>
        <v>0</v>
      </c>
    </row>
    <row r="790" spans="10:81" x14ac:dyDescent="0.25">
      <c r="J790" s="9"/>
      <c r="K790" s="10"/>
      <c r="L790" s="17"/>
      <c r="M790" s="23"/>
      <c r="N790" s="23"/>
      <c r="O790" s="23"/>
      <c r="P790" s="23"/>
      <c r="Q790" s="1">
        <f t="shared" si="372"/>
        <v>0.60744618579017706</v>
      </c>
      <c r="R790" s="12">
        <f t="shared" ca="1" si="389"/>
        <v>22802</v>
      </c>
      <c r="S790" s="88">
        <f t="shared" si="398"/>
        <v>0</v>
      </c>
      <c r="T790" s="19">
        <f t="shared" si="390"/>
        <v>0</v>
      </c>
      <c r="U790" s="19">
        <f t="shared" si="391"/>
        <v>0</v>
      </c>
      <c r="V790" s="19">
        <f t="shared" si="377"/>
        <v>0</v>
      </c>
      <c r="W790" s="20">
        <f t="shared" ca="1" si="392"/>
        <v>0</v>
      </c>
      <c r="X790" s="19">
        <f t="shared" ca="1" si="393"/>
        <v>0</v>
      </c>
      <c r="Y790" s="19">
        <f t="shared" ca="1" si="394"/>
        <v>0</v>
      </c>
      <c r="Z790" s="20">
        <f t="shared" ca="1" si="395"/>
        <v>0</v>
      </c>
      <c r="AA790" s="1">
        <f t="shared" si="373"/>
        <v>5432.58</v>
      </c>
      <c r="AB790" s="93"/>
      <c r="AC790" s="94"/>
      <c r="AD790" s="101">
        <f t="shared" si="374"/>
        <v>63924</v>
      </c>
      <c r="AE790" s="103">
        <f t="shared" si="375"/>
        <v>0</v>
      </c>
      <c r="AG790" s="1">
        <f t="shared" si="396"/>
        <v>0</v>
      </c>
      <c r="AH790" s="1">
        <f t="shared" si="397"/>
        <v>0</v>
      </c>
      <c r="AI790" s="1">
        <f t="shared" si="376"/>
        <v>5432.58</v>
      </c>
      <c r="AJ790" s="20">
        <f t="shared" si="378"/>
        <v>0</v>
      </c>
      <c r="AK790" s="100">
        <f t="shared" si="380"/>
        <v>0</v>
      </c>
      <c r="AL790" s="100">
        <f t="shared" si="381"/>
        <v>0</v>
      </c>
      <c r="AN790" s="100">
        <f t="shared" si="382"/>
        <v>3696.1417459613631</v>
      </c>
      <c r="AO790" s="20">
        <f t="shared" si="383"/>
        <v>0</v>
      </c>
      <c r="AQ790" s="109">
        <f t="shared" si="384"/>
        <v>0</v>
      </c>
      <c r="AU790" s="109">
        <f t="shared" si="369"/>
        <v>25.312644494262788</v>
      </c>
      <c r="AV790" s="101">
        <f t="shared" si="385"/>
        <v>63954</v>
      </c>
      <c r="AW790" s="99">
        <f t="shared" si="386"/>
        <v>0</v>
      </c>
      <c r="AX790" s="1">
        <f t="shared" si="387"/>
        <v>0</v>
      </c>
      <c r="AY790" s="29">
        <f t="shared" si="388"/>
        <v>0</v>
      </c>
      <c r="AZ790" s="1">
        <f t="shared" si="370"/>
        <v>0</v>
      </c>
      <c r="CB790" s="20">
        <f t="shared" si="379"/>
        <v>0</v>
      </c>
      <c r="CC790" s="173">
        <f t="shared" si="371"/>
        <v>0</v>
      </c>
    </row>
    <row r="791" spans="10:81" x14ac:dyDescent="0.25">
      <c r="J791" s="7"/>
      <c r="K791" s="8"/>
      <c r="L791" s="16"/>
      <c r="M791" s="22"/>
      <c r="N791" s="22"/>
      <c r="O791" s="22"/>
      <c r="P791" s="22"/>
      <c r="Q791" s="1">
        <f t="shared" si="372"/>
        <v>0.60744618579017706</v>
      </c>
      <c r="R791" s="12">
        <f t="shared" ca="1" si="389"/>
        <v>22832</v>
      </c>
      <c r="S791" s="88">
        <f t="shared" si="398"/>
        <v>0</v>
      </c>
      <c r="T791" s="19">
        <f t="shared" si="390"/>
        <v>0</v>
      </c>
      <c r="U791" s="19">
        <f t="shared" si="391"/>
        <v>0</v>
      </c>
      <c r="V791" s="19">
        <f t="shared" si="377"/>
        <v>0</v>
      </c>
      <c r="W791" s="20">
        <f t="shared" ca="1" si="392"/>
        <v>0</v>
      </c>
      <c r="X791" s="19">
        <f t="shared" ca="1" si="393"/>
        <v>0</v>
      </c>
      <c r="Y791" s="19">
        <f t="shared" ca="1" si="394"/>
        <v>0</v>
      </c>
      <c r="Z791" s="20">
        <f t="shared" ca="1" si="395"/>
        <v>0</v>
      </c>
      <c r="AA791" s="1">
        <f t="shared" si="373"/>
        <v>5432.58</v>
      </c>
      <c r="AB791" s="91"/>
      <c r="AC791" s="92"/>
      <c r="AD791" s="101">
        <f t="shared" si="374"/>
        <v>63954</v>
      </c>
      <c r="AE791" s="103">
        <f t="shared" si="375"/>
        <v>0</v>
      </c>
      <c r="AG791" s="1">
        <f t="shared" si="396"/>
        <v>0</v>
      </c>
      <c r="AH791" s="1">
        <f t="shared" si="397"/>
        <v>0</v>
      </c>
      <c r="AI791" s="1">
        <f t="shared" si="376"/>
        <v>5432.58</v>
      </c>
      <c r="AJ791" s="20">
        <f t="shared" si="378"/>
        <v>0</v>
      </c>
      <c r="AK791" s="100">
        <f t="shared" si="380"/>
        <v>0</v>
      </c>
      <c r="AL791" s="100">
        <f t="shared" si="381"/>
        <v>0</v>
      </c>
      <c r="AN791" s="100">
        <f t="shared" si="382"/>
        <v>3694.2716865902867</v>
      </c>
      <c r="AO791" s="20">
        <f t="shared" si="383"/>
        <v>0</v>
      </c>
      <c r="AQ791" s="109">
        <f t="shared" si="384"/>
        <v>0</v>
      </c>
      <c r="AU791" s="109">
        <f t="shared" si="369"/>
        <v>25.310422801594655</v>
      </c>
      <c r="AV791" s="101">
        <f t="shared" si="385"/>
        <v>63984</v>
      </c>
      <c r="AW791" s="99">
        <f t="shared" si="386"/>
        <v>0</v>
      </c>
      <c r="AX791" s="1">
        <f t="shared" si="387"/>
        <v>0</v>
      </c>
      <c r="AY791" s="29">
        <f t="shared" si="388"/>
        <v>0</v>
      </c>
      <c r="AZ791" s="1">
        <f t="shared" si="370"/>
        <v>0</v>
      </c>
      <c r="CB791" s="20">
        <f t="shared" si="379"/>
        <v>0</v>
      </c>
      <c r="CC791" s="173">
        <f t="shared" si="371"/>
        <v>0</v>
      </c>
    </row>
    <row r="792" spans="10:81" x14ac:dyDescent="0.25">
      <c r="J792" s="9"/>
      <c r="K792" s="10"/>
      <c r="L792" s="17"/>
      <c r="M792" s="23"/>
      <c r="N792" s="23"/>
      <c r="O792" s="23"/>
      <c r="P792" s="23"/>
      <c r="Q792" s="1">
        <f t="shared" si="372"/>
        <v>0.60744618579017706</v>
      </c>
      <c r="R792" s="12">
        <f t="shared" ca="1" si="389"/>
        <v>22862</v>
      </c>
      <c r="S792" s="88">
        <f t="shared" si="398"/>
        <v>0</v>
      </c>
      <c r="T792" s="19">
        <f t="shared" si="390"/>
        <v>0</v>
      </c>
      <c r="U792" s="19">
        <f t="shared" si="391"/>
        <v>0</v>
      </c>
      <c r="V792" s="19">
        <f t="shared" si="377"/>
        <v>0</v>
      </c>
      <c r="W792" s="20">
        <f t="shared" ca="1" si="392"/>
        <v>0</v>
      </c>
      <c r="X792" s="19">
        <f t="shared" ca="1" si="393"/>
        <v>0</v>
      </c>
      <c r="Y792" s="19">
        <f t="shared" ca="1" si="394"/>
        <v>0</v>
      </c>
      <c r="Z792" s="20">
        <f t="shared" ca="1" si="395"/>
        <v>0</v>
      </c>
      <c r="AA792" s="1">
        <f t="shared" si="373"/>
        <v>5432.58</v>
      </c>
      <c r="AB792" s="93"/>
      <c r="AC792" s="94"/>
      <c r="AD792" s="101">
        <f t="shared" si="374"/>
        <v>63984</v>
      </c>
      <c r="AE792" s="103">
        <f t="shared" si="375"/>
        <v>0</v>
      </c>
      <c r="AG792" s="1">
        <f t="shared" si="396"/>
        <v>0</v>
      </c>
      <c r="AH792" s="1">
        <f t="shared" si="397"/>
        <v>0</v>
      </c>
      <c r="AI792" s="1">
        <f t="shared" si="376"/>
        <v>5432.58</v>
      </c>
      <c r="AJ792" s="20">
        <f t="shared" si="378"/>
        <v>0</v>
      </c>
      <c r="AK792" s="100">
        <f t="shared" si="380"/>
        <v>0</v>
      </c>
      <c r="AL792" s="100">
        <f t="shared" si="381"/>
        <v>0</v>
      </c>
      <c r="AN792" s="100">
        <f t="shared" si="382"/>
        <v>3692.4025733739554</v>
      </c>
      <c r="AO792" s="20">
        <f t="shared" si="383"/>
        <v>0</v>
      </c>
      <c r="AQ792" s="109">
        <f t="shared" si="384"/>
        <v>0</v>
      </c>
      <c r="AU792" s="109">
        <f t="shared" si="369"/>
        <v>25.308201303924644</v>
      </c>
      <c r="AV792" s="101">
        <f t="shared" si="385"/>
        <v>64014</v>
      </c>
      <c r="AW792" s="99">
        <f t="shared" si="386"/>
        <v>0</v>
      </c>
      <c r="AX792" s="1">
        <f t="shared" si="387"/>
        <v>0</v>
      </c>
      <c r="AY792" s="29">
        <f t="shared" si="388"/>
        <v>0</v>
      </c>
      <c r="AZ792" s="1">
        <f t="shared" si="370"/>
        <v>0</v>
      </c>
      <c r="CB792" s="20">
        <f t="shared" si="379"/>
        <v>0</v>
      </c>
      <c r="CC792" s="173">
        <f t="shared" si="371"/>
        <v>0</v>
      </c>
    </row>
    <row r="793" spans="10:81" x14ac:dyDescent="0.25">
      <c r="J793" s="7"/>
      <c r="K793" s="8"/>
      <c r="L793" s="16"/>
      <c r="M793" s="22"/>
      <c r="N793" s="22"/>
      <c r="O793" s="22"/>
      <c r="P793" s="22"/>
      <c r="Q793" s="1">
        <f t="shared" si="372"/>
        <v>0.60744618579017706</v>
      </c>
      <c r="R793" s="12">
        <f t="shared" ca="1" si="389"/>
        <v>22892</v>
      </c>
      <c r="S793" s="88">
        <f t="shared" si="398"/>
        <v>0</v>
      </c>
      <c r="T793" s="19">
        <f t="shared" si="390"/>
        <v>0</v>
      </c>
      <c r="U793" s="19">
        <f t="shared" si="391"/>
        <v>0</v>
      </c>
      <c r="V793" s="19">
        <f t="shared" si="377"/>
        <v>0</v>
      </c>
      <c r="W793" s="20">
        <f t="shared" ca="1" si="392"/>
        <v>0</v>
      </c>
      <c r="X793" s="19">
        <f t="shared" ca="1" si="393"/>
        <v>0</v>
      </c>
      <c r="Y793" s="19">
        <f t="shared" ca="1" si="394"/>
        <v>0</v>
      </c>
      <c r="Z793" s="20">
        <f t="shared" ca="1" si="395"/>
        <v>0</v>
      </c>
      <c r="AA793" s="1">
        <f t="shared" si="373"/>
        <v>5432.58</v>
      </c>
      <c r="AB793" s="91"/>
      <c r="AC793" s="92"/>
      <c r="AD793" s="101">
        <f t="shared" si="374"/>
        <v>64014</v>
      </c>
      <c r="AE793" s="103">
        <f t="shared" si="375"/>
        <v>0</v>
      </c>
      <c r="AG793" s="1">
        <f t="shared" si="396"/>
        <v>0</v>
      </c>
      <c r="AH793" s="1">
        <f t="shared" si="397"/>
        <v>0</v>
      </c>
      <c r="AI793" s="1">
        <f t="shared" si="376"/>
        <v>5432.58</v>
      </c>
      <c r="AJ793" s="20">
        <f t="shared" si="378"/>
        <v>0</v>
      </c>
      <c r="AK793" s="100">
        <f t="shared" si="380"/>
        <v>0</v>
      </c>
      <c r="AL793" s="100">
        <f t="shared" si="381"/>
        <v>0</v>
      </c>
      <c r="AN793" s="100">
        <f t="shared" si="382"/>
        <v>3690.5344058336618</v>
      </c>
      <c r="AO793" s="20">
        <f t="shared" si="383"/>
        <v>0</v>
      </c>
      <c r="AQ793" s="109">
        <f t="shared" si="384"/>
        <v>0</v>
      </c>
      <c r="AU793" s="109">
        <f t="shared" si="369"/>
        <v>25.305980001235657</v>
      </c>
      <c r="AV793" s="101">
        <f t="shared" si="385"/>
        <v>64044</v>
      </c>
      <c r="AW793" s="99">
        <f t="shared" si="386"/>
        <v>0</v>
      </c>
      <c r="AX793" s="1">
        <f t="shared" si="387"/>
        <v>0</v>
      </c>
      <c r="AY793" s="29">
        <f t="shared" si="388"/>
        <v>0</v>
      </c>
      <c r="AZ793" s="1">
        <f t="shared" si="370"/>
        <v>0</v>
      </c>
      <c r="CB793" s="20">
        <f t="shared" si="379"/>
        <v>0</v>
      </c>
      <c r="CC793" s="173">
        <f t="shared" si="371"/>
        <v>0</v>
      </c>
    </row>
    <row r="794" spans="10:81" x14ac:dyDescent="0.25">
      <c r="J794" s="9"/>
      <c r="K794" s="10"/>
      <c r="L794" s="17"/>
      <c r="M794" s="23"/>
      <c r="N794" s="23"/>
      <c r="O794" s="23"/>
      <c r="P794" s="23"/>
      <c r="Q794" s="1">
        <f t="shared" si="372"/>
        <v>0.60744618579017706</v>
      </c>
      <c r="R794" s="12">
        <f t="shared" ca="1" si="389"/>
        <v>22922</v>
      </c>
      <c r="S794" s="88">
        <f t="shared" si="398"/>
        <v>0</v>
      </c>
      <c r="T794" s="19">
        <f t="shared" si="390"/>
        <v>0</v>
      </c>
      <c r="U794" s="19">
        <f t="shared" si="391"/>
        <v>0</v>
      </c>
      <c r="V794" s="19">
        <f t="shared" si="377"/>
        <v>0</v>
      </c>
      <c r="W794" s="20">
        <f t="shared" ca="1" si="392"/>
        <v>0</v>
      </c>
      <c r="X794" s="19">
        <f t="shared" ca="1" si="393"/>
        <v>0</v>
      </c>
      <c r="Y794" s="19">
        <f t="shared" ca="1" si="394"/>
        <v>0</v>
      </c>
      <c r="Z794" s="20">
        <f t="shared" ca="1" si="395"/>
        <v>0</v>
      </c>
      <c r="AA794" s="1">
        <f t="shared" si="373"/>
        <v>5432.58</v>
      </c>
      <c r="AB794" s="93"/>
      <c r="AC794" s="94"/>
      <c r="AD794" s="101">
        <f t="shared" si="374"/>
        <v>64044</v>
      </c>
      <c r="AE794" s="103">
        <f t="shared" si="375"/>
        <v>0</v>
      </c>
      <c r="AG794" s="1">
        <f t="shared" si="396"/>
        <v>0</v>
      </c>
      <c r="AH794" s="1">
        <f t="shared" si="397"/>
        <v>0</v>
      </c>
      <c r="AI794" s="1">
        <f t="shared" si="376"/>
        <v>5432.58</v>
      </c>
      <c r="AJ794" s="20">
        <f t="shared" si="378"/>
        <v>0</v>
      </c>
      <c r="AK794" s="100">
        <f t="shared" si="380"/>
        <v>0</v>
      </c>
      <c r="AL794" s="100">
        <f t="shared" si="381"/>
        <v>0</v>
      </c>
      <c r="AN794" s="100">
        <f t="shared" si="382"/>
        <v>3688.6671834909434</v>
      </c>
      <c r="AO794" s="20">
        <f t="shared" si="383"/>
        <v>0</v>
      </c>
      <c r="AQ794" s="109">
        <f t="shared" si="384"/>
        <v>0</v>
      </c>
      <c r="AU794" s="109">
        <f t="shared" si="369"/>
        <v>25.303758893510562</v>
      </c>
      <c r="AV794" s="101">
        <f t="shared" si="385"/>
        <v>64074</v>
      </c>
      <c r="AW794" s="99">
        <f t="shared" si="386"/>
        <v>0</v>
      </c>
      <c r="AX794" s="1">
        <f t="shared" si="387"/>
        <v>0</v>
      </c>
      <c r="AY794" s="29">
        <f t="shared" si="388"/>
        <v>0</v>
      </c>
      <c r="AZ794" s="1">
        <f t="shared" si="370"/>
        <v>0</v>
      </c>
      <c r="CB794" s="20">
        <f t="shared" si="379"/>
        <v>0</v>
      </c>
      <c r="CC794" s="173">
        <f t="shared" si="371"/>
        <v>0</v>
      </c>
    </row>
    <row r="795" spans="10:81" x14ac:dyDescent="0.25">
      <c r="J795" s="7"/>
      <c r="K795" s="8"/>
      <c r="L795" s="16"/>
      <c r="M795" s="22"/>
      <c r="N795" s="22"/>
      <c r="O795" s="22"/>
      <c r="P795" s="22"/>
      <c r="Q795" s="1">
        <f t="shared" si="372"/>
        <v>0.60744618579017706</v>
      </c>
      <c r="R795" s="12">
        <f t="shared" ca="1" si="389"/>
        <v>22952</v>
      </c>
      <c r="S795" s="88">
        <f t="shared" si="398"/>
        <v>0</v>
      </c>
      <c r="T795" s="19">
        <f t="shared" si="390"/>
        <v>0</v>
      </c>
      <c r="U795" s="19">
        <f t="shared" si="391"/>
        <v>0</v>
      </c>
      <c r="V795" s="19">
        <f t="shared" si="377"/>
        <v>0</v>
      </c>
      <c r="W795" s="20">
        <f t="shared" ca="1" si="392"/>
        <v>0</v>
      </c>
      <c r="X795" s="19">
        <f t="shared" ca="1" si="393"/>
        <v>0</v>
      </c>
      <c r="Y795" s="19">
        <f t="shared" ca="1" si="394"/>
        <v>0</v>
      </c>
      <c r="Z795" s="20">
        <f t="shared" ca="1" si="395"/>
        <v>0</v>
      </c>
      <c r="AA795" s="1">
        <f t="shared" si="373"/>
        <v>5432.58</v>
      </c>
      <c r="AB795" s="91"/>
      <c r="AC795" s="92"/>
      <c r="AD795" s="101">
        <f t="shared" si="374"/>
        <v>64074</v>
      </c>
      <c r="AE795" s="103">
        <f t="shared" si="375"/>
        <v>0</v>
      </c>
      <c r="AG795" s="1">
        <f t="shared" si="396"/>
        <v>0</v>
      </c>
      <c r="AH795" s="1">
        <f t="shared" si="397"/>
        <v>0</v>
      </c>
      <c r="AI795" s="1">
        <f t="shared" si="376"/>
        <v>5432.58</v>
      </c>
      <c r="AJ795" s="20">
        <f t="shared" si="378"/>
        <v>0</v>
      </c>
      <c r="AK795" s="100">
        <f t="shared" si="380"/>
        <v>0</v>
      </c>
      <c r="AL795" s="100">
        <f t="shared" si="381"/>
        <v>0</v>
      </c>
      <c r="AN795" s="100">
        <f t="shared" si="382"/>
        <v>3686.8009058675789</v>
      </c>
      <c r="AO795" s="20">
        <f t="shared" si="383"/>
        <v>0</v>
      </c>
      <c r="AQ795" s="109">
        <f t="shared" si="384"/>
        <v>0</v>
      </c>
      <c r="AU795" s="109">
        <f t="shared" si="369"/>
        <v>25.301537980732245</v>
      </c>
      <c r="AV795" s="101">
        <f t="shared" si="385"/>
        <v>64104</v>
      </c>
      <c r="AW795" s="99">
        <f t="shared" si="386"/>
        <v>0</v>
      </c>
      <c r="AX795" s="1">
        <f t="shared" si="387"/>
        <v>0</v>
      </c>
      <c r="AY795" s="29">
        <f t="shared" si="388"/>
        <v>0</v>
      </c>
      <c r="AZ795" s="1">
        <f t="shared" si="370"/>
        <v>0</v>
      </c>
      <c r="CB795" s="20">
        <f t="shared" si="379"/>
        <v>0</v>
      </c>
      <c r="CC795" s="173">
        <f t="shared" si="371"/>
        <v>0</v>
      </c>
    </row>
    <row r="796" spans="10:81" x14ac:dyDescent="0.25">
      <c r="J796" s="9"/>
      <c r="K796" s="10"/>
      <c r="L796" s="17"/>
      <c r="M796" s="23"/>
      <c r="N796" s="23"/>
      <c r="O796" s="23"/>
      <c r="P796" s="23"/>
      <c r="Q796" s="1">
        <f t="shared" si="372"/>
        <v>0.60744618579017706</v>
      </c>
      <c r="R796" s="12">
        <f t="shared" ca="1" si="389"/>
        <v>22982</v>
      </c>
      <c r="S796" s="88">
        <f t="shared" si="398"/>
        <v>0</v>
      </c>
      <c r="T796" s="19">
        <f t="shared" si="390"/>
        <v>0</v>
      </c>
      <c r="U796" s="19">
        <f t="shared" si="391"/>
        <v>0</v>
      </c>
      <c r="V796" s="19">
        <f t="shared" si="377"/>
        <v>0</v>
      </c>
      <c r="W796" s="20">
        <f t="shared" ca="1" si="392"/>
        <v>0</v>
      </c>
      <c r="X796" s="19">
        <f t="shared" ca="1" si="393"/>
        <v>0</v>
      </c>
      <c r="Y796" s="19">
        <f t="shared" ca="1" si="394"/>
        <v>0</v>
      </c>
      <c r="Z796" s="20">
        <f t="shared" ca="1" si="395"/>
        <v>0</v>
      </c>
      <c r="AA796" s="1">
        <f t="shared" si="373"/>
        <v>5432.58</v>
      </c>
      <c r="AB796" s="93"/>
      <c r="AC796" s="94"/>
      <c r="AD796" s="101">
        <f t="shared" si="374"/>
        <v>64104</v>
      </c>
      <c r="AE796" s="103">
        <f t="shared" si="375"/>
        <v>0</v>
      </c>
      <c r="AG796" s="1">
        <f t="shared" si="396"/>
        <v>0</v>
      </c>
      <c r="AH796" s="1">
        <f t="shared" si="397"/>
        <v>0</v>
      </c>
      <c r="AI796" s="1">
        <f t="shared" si="376"/>
        <v>5432.58</v>
      </c>
      <c r="AJ796" s="20">
        <f t="shared" si="378"/>
        <v>0</v>
      </c>
      <c r="AK796" s="100">
        <f t="shared" si="380"/>
        <v>0</v>
      </c>
      <c r="AL796" s="100">
        <f t="shared" si="381"/>
        <v>0</v>
      </c>
      <c r="AN796" s="100">
        <f t="shared" si="382"/>
        <v>3684.9355724855873</v>
      </c>
      <c r="AO796" s="20">
        <f t="shared" si="383"/>
        <v>0</v>
      </c>
      <c r="AQ796" s="109">
        <f t="shared" si="384"/>
        <v>0</v>
      </c>
      <c r="AU796" s="109">
        <f t="shared" si="369"/>
        <v>25.299317262883623</v>
      </c>
      <c r="AV796" s="101">
        <f t="shared" si="385"/>
        <v>64134</v>
      </c>
      <c r="AW796" s="99">
        <f t="shared" si="386"/>
        <v>0</v>
      </c>
      <c r="AX796" s="1">
        <f t="shared" si="387"/>
        <v>0</v>
      </c>
      <c r="AY796" s="29">
        <f t="shared" si="388"/>
        <v>0</v>
      </c>
      <c r="AZ796" s="1">
        <f t="shared" si="370"/>
        <v>0</v>
      </c>
      <c r="CB796" s="20">
        <f t="shared" si="379"/>
        <v>0</v>
      </c>
      <c r="CC796" s="173">
        <f t="shared" si="371"/>
        <v>0</v>
      </c>
    </row>
    <row r="797" spans="10:81" x14ac:dyDescent="0.25">
      <c r="J797" s="7"/>
      <c r="K797" s="8"/>
      <c r="L797" s="16"/>
      <c r="M797" s="22"/>
      <c r="N797" s="22"/>
      <c r="O797" s="22"/>
      <c r="P797" s="22"/>
      <c r="Q797" s="1">
        <f t="shared" si="372"/>
        <v>0.60744618579017706</v>
      </c>
      <c r="R797" s="12">
        <f t="shared" ca="1" si="389"/>
        <v>23012</v>
      </c>
      <c r="S797" s="88">
        <f t="shared" si="398"/>
        <v>0</v>
      </c>
      <c r="T797" s="19">
        <f t="shared" si="390"/>
        <v>0</v>
      </c>
      <c r="U797" s="19">
        <f t="shared" si="391"/>
        <v>0</v>
      </c>
      <c r="V797" s="19">
        <f t="shared" si="377"/>
        <v>0</v>
      </c>
      <c r="W797" s="20">
        <f t="shared" ca="1" si="392"/>
        <v>0</v>
      </c>
      <c r="X797" s="19">
        <f t="shared" ca="1" si="393"/>
        <v>0</v>
      </c>
      <c r="Y797" s="19">
        <f t="shared" ca="1" si="394"/>
        <v>0</v>
      </c>
      <c r="Z797" s="20">
        <f t="shared" ca="1" si="395"/>
        <v>0</v>
      </c>
      <c r="AA797" s="1">
        <f t="shared" si="373"/>
        <v>5432.58</v>
      </c>
      <c r="AB797" s="91"/>
      <c r="AC797" s="92"/>
      <c r="AD797" s="101">
        <f t="shared" si="374"/>
        <v>64134</v>
      </c>
      <c r="AE797" s="103">
        <f t="shared" si="375"/>
        <v>0</v>
      </c>
      <c r="AG797" s="1">
        <f t="shared" si="396"/>
        <v>0</v>
      </c>
      <c r="AH797" s="1">
        <f t="shared" si="397"/>
        <v>0</v>
      </c>
      <c r="AI797" s="1">
        <f t="shared" si="376"/>
        <v>5432.58</v>
      </c>
      <c r="AJ797" s="20">
        <f t="shared" si="378"/>
        <v>0</v>
      </c>
      <c r="AK797" s="100">
        <f t="shared" si="380"/>
        <v>0</v>
      </c>
      <c r="AL797" s="100">
        <f t="shared" si="381"/>
        <v>0</v>
      </c>
      <c r="AN797" s="100">
        <f t="shared" si="382"/>
        <v>3683.0711828672329</v>
      </c>
      <c r="AO797" s="20">
        <f t="shared" si="383"/>
        <v>0</v>
      </c>
      <c r="AQ797" s="109">
        <f t="shared" si="384"/>
        <v>0</v>
      </c>
      <c r="AU797" s="109">
        <f t="shared" si="369"/>
        <v>25.29709673994757</v>
      </c>
      <c r="AV797" s="101">
        <f t="shared" si="385"/>
        <v>64164</v>
      </c>
      <c r="AW797" s="99">
        <f t="shared" si="386"/>
        <v>0</v>
      </c>
      <c r="AX797" s="1">
        <f t="shared" si="387"/>
        <v>0</v>
      </c>
      <c r="AY797" s="29">
        <f t="shared" si="388"/>
        <v>0</v>
      </c>
      <c r="AZ797" s="1">
        <f t="shared" si="370"/>
        <v>0</v>
      </c>
      <c r="CB797" s="20">
        <f t="shared" si="379"/>
        <v>0</v>
      </c>
      <c r="CC797" s="173">
        <f t="shared" si="371"/>
        <v>0</v>
      </c>
    </row>
    <row r="798" spans="10:81" x14ac:dyDescent="0.25">
      <c r="J798" s="9"/>
      <c r="K798" s="10"/>
      <c r="L798" s="17"/>
      <c r="M798" s="23"/>
      <c r="N798" s="23"/>
      <c r="O798" s="23"/>
      <c r="P798" s="23"/>
      <c r="Q798" s="1">
        <f t="shared" si="372"/>
        <v>0.60744618579017706</v>
      </c>
      <c r="R798" s="12">
        <f t="shared" ca="1" si="389"/>
        <v>23042</v>
      </c>
      <c r="S798" s="88">
        <f t="shared" si="398"/>
        <v>0</v>
      </c>
      <c r="T798" s="19">
        <f t="shared" si="390"/>
        <v>0</v>
      </c>
      <c r="U798" s="19">
        <f t="shared" si="391"/>
        <v>0</v>
      </c>
      <c r="V798" s="19">
        <f t="shared" si="377"/>
        <v>0</v>
      </c>
      <c r="W798" s="20">
        <f t="shared" ca="1" si="392"/>
        <v>0</v>
      </c>
      <c r="X798" s="19">
        <f t="shared" ca="1" si="393"/>
        <v>0</v>
      </c>
      <c r="Y798" s="19">
        <f t="shared" ca="1" si="394"/>
        <v>0</v>
      </c>
      <c r="Z798" s="20">
        <f t="shared" ca="1" si="395"/>
        <v>0</v>
      </c>
      <c r="AA798" s="1">
        <f t="shared" si="373"/>
        <v>5432.58</v>
      </c>
      <c r="AB798" s="93"/>
      <c r="AC798" s="94"/>
      <c r="AD798" s="101">
        <f t="shared" si="374"/>
        <v>64164</v>
      </c>
      <c r="AE798" s="103">
        <f t="shared" si="375"/>
        <v>0</v>
      </c>
      <c r="AG798" s="1">
        <f t="shared" si="396"/>
        <v>0</v>
      </c>
      <c r="AH798" s="1">
        <f t="shared" si="397"/>
        <v>0</v>
      </c>
      <c r="AI798" s="1">
        <f t="shared" si="376"/>
        <v>5432.58</v>
      </c>
      <c r="AJ798" s="20">
        <f t="shared" si="378"/>
        <v>0</v>
      </c>
      <c r="AK798" s="100">
        <f t="shared" si="380"/>
        <v>0</v>
      </c>
      <c r="AL798" s="100">
        <f t="shared" si="381"/>
        <v>0</v>
      </c>
      <c r="AN798" s="100">
        <f t="shared" si="382"/>
        <v>3681.207736535016</v>
      </c>
      <c r="AO798" s="20">
        <f t="shared" si="383"/>
        <v>0</v>
      </c>
      <c r="AQ798" s="109">
        <f t="shared" si="384"/>
        <v>0</v>
      </c>
      <c r="AU798" s="109">
        <f t="shared" si="369"/>
        <v>25.294876411906976</v>
      </c>
      <c r="AV798" s="101">
        <f t="shared" si="385"/>
        <v>64194</v>
      </c>
      <c r="AW798" s="99">
        <f t="shared" si="386"/>
        <v>0</v>
      </c>
      <c r="AX798" s="1">
        <f t="shared" si="387"/>
        <v>0</v>
      </c>
      <c r="AY798" s="29">
        <f t="shared" si="388"/>
        <v>0</v>
      </c>
      <c r="AZ798" s="1">
        <f t="shared" si="370"/>
        <v>0</v>
      </c>
      <c r="CB798" s="20">
        <f t="shared" si="379"/>
        <v>0</v>
      </c>
      <c r="CC798" s="173">
        <f t="shared" si="371"/>
        <v>0</v>
      </c>
    </row>
    <row r="799" spans="10:81" x14ac:dyDescent="0.25">
      <c r="J799" s="7"/>
      <c r="K799" s="8"/>
      <c r="L799" s="16"/>
      <c r="M799" s="22"/>
      <c r="N799" s="22"/>
      <c r="O799" s="22"/>
      <c r="P799" s="22"/>
      <c r="Q799" s="1">
        <f t="shared" si="372"/>
        <v>0.60744618579017706</v>
      </c>
      <c r="R799" s="12">
        <f t="shared" ca="1" si="389"/>
        <v>23072</v>
      </c>
      <c r="S799" s="88">
        <f t="shared" si="398"/>
        <v>0</v>
      </c>
      <c r="T799" s="19">
        <f t="shared" si="390"/>
        <v>0</v>
      </c>
      <c r="U799" s="19">
        <f t="shared" si="391"/>
        <v>0</v>
      </c>
      <c r="V799" s="19">
        <f t="shared" si="377"/>
        <v>0</v>
      </c>
      <c r="W799" s="20">
        <f t="shared" ca="1" si="392"/>
        <v>0</v>
      </c>
      <c r="X799" s="19">
        <f t="shared" ca="1" si="393"/>
        <v>0</v>
      </c>
      <c r="Y799" s="19">
        <f t="shared" ca="1" si="394"/>
        <v>0</v>
      </c>
      <c r="Z799" s="20">
        <f t="shared" ca="1" si="395"/>
        <v>0</v>
      </c>
      <c r="AA799" s="1">
        <f t="shared" si="373"/>
        <v>5432.58</v>
      </c>
      <c r="AB799" s="91"/>
      <c r="AC799" s="92"/>
      <c r="AD799" s="101">
        <f t="shared" si="374"/>
        <v>64194</v>
      </c>
      <c r="AE799" s="103">
        <f t="shared" si="375"/>
        <v>0</v>
      </c>
      <c r="AG799" s="1">
        <f t="shared" si="396"/>
        <v>0</v>
      </c>
      <c r="AH799" s="1">
        <f t="shared" si="397"/>
        <v>0</v>
      </c>
      <c r="AI799" s="1">
        <f t="shared" si="376"/>
        <v>5432.58</v>
      </c>
      <c r="AJ799" s="20">
        <f t="shared" si="378"/>
        <v>0</v>
      </c>
      <c r="AK799" s="100">
        <f t="shared" si="380"/>
        <v>0</v>
      </c>
      <c r="AL799" s="100">
        <f t="shared" si="381"/>
        <v>0</v>
      </c>
      <c r="AN799" s="100">
        <f t="shared" si="382"/>
        <v>3679.3452330116843</v>
      </c>
      <c r="AO799" s="20">
        <f t="shared" si="383"/>
        <v>0</v>
      </c>
      <c r="AQ799" s="109">
        <f t="shared" si="384"/>
        <v>0</v>
      </c>
      <c r="AU799" s="109">
        <f t="shared" ref="AU799:AU862" si="399">(($AT$27/(1+((1+$AM$27)^(ROW()-29)*30)-1))/292)*0.32</f>
        <v>25.292656278744726</v>
      </c>
      <c r="AV799" s="101">
        <f t="shared" si="385"/>
        <v>64224</v>
      </c>
      <c r="AW799" s="99">
        <f t="shared" si="386"/>
        <v>0</v>
      </c>
      <c r="AX799" s="1">
        <f t="shared" si="387"/>
        <v>0</v>
      </c>
      <c r="AY799" s="29">
        <f t="shared" si="388"/>
        <v>0</v>
      </c>
      <c r="AZ799" s="1">
        <f t="shared" ref="AZ799:AZ862" si="400">AY799/360</f>
        <v>0</v>
      </c>
      <c r="CB799" s="20">
        <f t="shared" si="379"/>
        <v>0</v>
      </c>
      <c r="CC799" s="173">
        <f t="shared" ref="CC799:CC862" si="401">AJ799+U799+T799</f>
        <v>0</v>
      </c>
    </row>
    <row r="800" spans="10:81" x14ac:dyDescent="0.25">
      <c r="J800" s="9"/>
      <c r="K800" s="10"/>
      <c r="L800" s="17"/>
      <c r="M800" s="23"/>
      <c r="N800" s="23"/>
      <c r="O800" s="23"/>
      <c r="P800" s="23"/>
      <c r="Q800" s="1">
        <f t="shared" ref="Q800:Q863" si="402">IF(M800=0,Q799,(M800*1200)/O799)</f>
        <v>0.60744618579017706</v>
      </c>
      <c r="R800" s="12">
        <f t="shared" ca="1" si="389"/>
        <v>23102</v>
      </c>
      <c r="S800" s="88">
        <f t="shared" si="398"/>
        <v>0</v>
      </c>
      <c r="T800" s="19">
        <f t="shared" si="390"/>
        <v>0</v>
      </c>
      <c r="U800" s="19">
        <f t="shared" si="391"/>
        <v>0</v>
      </c>
      <c r="V800" s="19">
        <f t="shared" si="377"/>
        <v>0</v>
      </c>
      <c r="W800" s="20">
        <f t="shared" ca="1" si="392"/>
        <v>0</v>
      </c>
      <c r="X800" s="19">
        <f t="shared" ca="1" si="393"/>
        <v>0</v>
      </c>
      <c r="Y800" s="19">
        <f t="shared" ca="1" si="394"/>
        <v>0</v>
      </c>
      <c r="Z800" s="20">
        <f t="shared" ca="1" si="395"/>
        <v>0</v>
      </c>
      <c r="AA800" s="1">
        <f t="shared" ref="AA800:AA863" si="403">IF(S800=0,AA799,N800)</f>
        <v>5432.58</v>
      </c>
      <c r="AB800" s="93"/>
      <c r="AC800" s="94"/>
      <c r="AD800" s="101">
        <f t="shared" ref="AD800:AD863" si="404">IF(M800=0,AD799+30,K800)</f>
        <v>64224</v>
      </c>
      <c r="AE800" s="103">
        <f t="shared" ref="AE800:AE863" si="405">IF(V800=0,0,R800)</f>
        <v>0</v>
      </c>
      <c r="AG800" s="1">
        <f t="shared" si="396"/>
        <v>0</v>
      </c>
      <c r="AH800" s="1">
        <f t="shared" si="397"/>
        <v>0</v>
      </c>
      <c r="AI800" s="1">
        <f t="shared" ref="AI800:AI863" si="406">IF(M800-1=0,IF(M800=0,IF(V800=0,N800,AI799),AA800),AA800)</f>
        <v>5432.58</v>
      </c>
      <c r="AJ800" s="20">
        <f t="shared" si="378"/>
        <v>0</v>
      </c>
      <c r="AK800" s="100">
        <f t="shared" si="380"/>
        <v>0</v>
      </c>
      <c r="AL800" s="100">
        <f t="shared" si="381"/>
        <v>0</v>
      </c>
      <c r="AN800" s="100">
        <f t="shared" si="382"/>
        <v>3677.4836718202228</v>
      </c>
      <c r="AO800" s="20">
        <f t="shared" si="383"/>
        <v>0</v>
      </c>
      <c r="AQ800" s="109">
        <f t="shared" si="384"/>
        <v>0</v>
      </c>
      <c r="AU800" s="109">
        <f t="shared" si="399"/>
        <v>25.290436340443733</v>
      </c>
      <c r="AV800" s="101">
        <f t="shared" si="385"/>
        <v>64254</v>
      </c>
      <c r="AW800" s="99">
        <f t="shared" si="386"/>
        <v>0</v>
      </c>
      <c r="AX800" s="1">
        <f t="shared" si="387"/>
        <v>0</v>
      </c>
      <c r="AY800" s="29">
        <f t="shared" si="388"/>
        <v>0</v>
      </c>
      <c r="AZ800" s="1">
        <f t="shared" si="400"/>
        <v>0</v>
      </c>
      <c r="CB800" s="20">
        <f t="shared" si="379"/>
        <v>0</v>
      </c>
      <c r="CC800" s="173">
        <f t="shared" si="401"/>
        <v>0</v>
      </c>
    </row>
    <row r="801" spans="10:81" x14ac:dyDescent="0.25">
      <c r="J801" s="7"/>
      <c r="K801" s="8"/>
      <c r="L801" s="16"/>
      <c r="M801" s="22"/>
      <c r="N801" s="22"/>
      <c r="O801" s="22"/>
      <c r="P801" s="22"/>
      <c r="Q801" s="1">
        <f t="shared" si="402"/>
        <v>0.60744618579017706</v>
      </c>
      <c r="R801" s="12">
        <f t="shared" ca="1" si="389"/>
        <v>23132</v>
      </c>
      <c r="S801" s="88">
        <f t="shared" si="398"/>
        <v>0</v>
      </c>
      <c r="T801" s="19">
        <f t="shared" si="390"/>
        <v>0</v>
      </c>
      <c r="U801" s="19">
        <f t="shared" si="391"/>
        <v>0</v>
      </c>
      <c r="V801" s="19">
        <f t="shared" si="377"/>
        <v>0</v>
      </c>
      <c r="W801" s="20">
        <f t="shared" ca="1" si="392"/>
        <v>0</v>
      </c>
      <c r="X801" s="19">
        <f t="shared" ca="1" si="393"/>
        <v>0</v>
      </c>
      <c r="Y801" s="19">
        <f t="shared" ca="1" si="394"/>
        <v>0</v>
      </c>
      <c r="Z801" s="20">
        <f t="shared" ca="1" si="395"/>
        <v>0</v>
      </c>
      <c r="AA801" s="1">
        <f t="shared" si="403"/>
        <v>5432.58</v>
      </c>
      <c r="AB801" s="91"/>
      <c r="AC801" s="92"/>
      <c r="AD801" s="101">
        <f t="shared" si="404"/>
        <v>64254</v>
      </c>
      <c r="AE801" s="103">
        <f t="shared" si="405"/>
        <v>0</v>
      </c>
      <c r="AG801" s="1">
        <f t="shared" si="396"/>
        <v>0</v>
      </c>
      <c r="AH801" s="1">
        <f t="shared" si="397"/>
        <v>0</v>
      </c>
      <c r="AI801" s="1">
        <f t="shared" si="406"/>
        <v>5432.58</v>
      </c>
      <c r="AJ801" s="20">
        <f t="shared" si="378"/>
        <v>0</v>
      </c>
      <c r="AK801" s="100">
        <f t="shared" si="380"/>
        <v>0</v>
      </c>
      <c r="AL801" s="100">
        <f t="shared" si="381"/>
        <v>0</v>
      </c>
      <c r="AN801" s="100">
        <f t="shared" si="382"/>
        <v>3675.6230524838606</v>
      </c>
      <c r="AO801" s="20">
        <f t="shared" si="383"/>
        <v>0</v>
      </c>
      <c r="AQ801" s="109">
        <f t="shared" si="384"/>
        <v>0</v>
      </c>
      <c r="AU801" s="109">
        <f t="shared" si="399"/>
        <v>25.288216596986896</v>
      </c>
      <c r="AV801" s="101">
        <f t="shared" si="385"/>
        <v>64284</v>
      </c>
      <c r="AW801" s="99">
        <f t="shared" si="386"/>
        <v>0</v>
      </c>
      <c r="AX801" s="1">
        <f t="shared" si="387"/>
        <v>0</v>
      </c>
      <c r="AY801" s="29">
        <f t="shared" si="388"/>
        <v>0</v>
      </c>
      <c r="AZ801" s="1">
        <f t="shared" si="400"/>
        <v>0</v>
      </c>
      <c r="CB801" s="20">
        <f t="shared" si="379"/>
        <v>0</v>
      </c>
      <c r="CC801" s="173">
        <f t="shared" si="401"/>
        <v>0</v>
      </c>
    </row>
    <row r="802" spans="10:81" x14ac:dyDescent="0.25">
      <c r="J802" s="9"/>
      <c r="K802" s="10"/>
      <c r="L802" s="17"/>
      <c r="M802" s="23"/>
      <c r="N802" s="23"/>
      <c r="O802" s="23"/>
      <c r="P802" s="23"/>
      <c r="Q802" s="1">
        <f t="shared" si="402"/>
        <v>0.60744618579017706</v>
      </c>
      <c r="R802" s="12">
        <f t="shared" ca="1" si="389"/>
        <v>23162</v>
      </c>
      <c r="S802" s="88">
        <f t="shared" si="398"/>
        <v>0</v>
      </c>
      <c r="T802" s="19">
        <f t="shared" si="390"/>
        <v>0</v>
      </c>
      <c r="U802" s="19">
        <f t="shared" si="391"/>
        <v>0</v>
      </c>
      <c r="V802" s="19">
        <f t="shared" ref="V802:V865" si="407">IF(ISERROR(IF(V801+U802+T802+(V801*Q802/1200)-AA802-P802&lt;0,0,V801+U802+T802-AA802-P802)),0,IF(V801+U802+T802+(V801*Q802/1200)-AA802-CB802&lt;0,0,V801+U802+T802-AA802-CB802))</f>
        <v>0</v>
      </c>
      <c r="W802" s="20">
        <f t="shared" ca="1" si="392"/>
        <v>0</v>
      </c>
      <c r="X802" s="19">
        <f t="shared" ca="1" si="393"/>
        <v>0</v>
      </c>
      <c r="Y802" s="19">
        <f t="shared" ca="1" si="394"/>
        <v>0</v>
      </c>
      <c r="Z802" s="20">
        <f t="shared" ca="1" si="395"/>
        <v>0</v>
      </c>
      <c r="AA802" s="1">
        <f t="shared" si="403"/>
        <v>5432.58</v>
      </c>
      <c r="AB802" s="93"/>
      <c r="AC802" s="94"/>
      <c r="AD802" s="101">
        <f t="shared" si="404"/>
        <v>64284</v>
      </c>
      <c r="AE802" s="103">
        <f t="shared" si="405"/>
        <v>0</v>
      </c>
      <c r="AG802" s="1">
        <f t="shared" si="396"/>
        <v>0</v>
      </c>
      <c r="AH802" s="1">
        <f t="shared" si="397"/>
        <v>0</v>
      </c>
      <c r="AI802" s="1">
        <f t="shared" si="406"/>
        <v>5432.58</v>
      </c>
      <c r="AJ802" s="20">
        <f t="shared" si="378"/>
        <v>0</v>
      </c>
      <c r="AK802" s="100">
        <f t="shared" si="380"/>
        <v>0</v>
      </c>
      <c r="AL802" s="100">
        <f t="shared" si="381"/>
        <v>0</v>
      </c>
      <c r="AN802" s="100">
        <f t="shared" si="382"/>
        <v>3673.7633745260682</v>
      </c>
      <c r="AO802" s="20">
        <f t="shared" si="383"/>
        <v>0</v>
      </c>
      <c r="AQ802" s="109">
        <f t="shared" si="384"/>
        <v>0</v>
      </c>
      <c r="AU802" s="109">
        <f t="shared" si="399"/>
        <v>25.285997048357089</v>
      </c>
      <c r="AV802" s="101">
        <f t="shared" si="385"/>
        <v>64314</v>
      </c>
      <c r="AW802" s="99">
        <f t="shared" si="386"/>
        <v>0</v>
      </c>
      <c r="AX802" s="1">
        <f t="shared" si="387"/>
        <v>0</v>
      </c>
      <c r="AY802" s="29">
        <f t="shared" si="388"/>
        <v>0</v>
      </c>
      <c r="AZ802" s="1">
        <f t="shared" si="400"/>
        <v>0</v>
      </c>
      <c r="CB802" s="20">
        <f t="shared" si="379"/>
        <v>0</v>
      </c>
      <c r="CC802" s="173">
        <f t="shared" si="401"/>
        <v>0</v>
      </c>
    </row>
    <row r="803" spans="10:81" x14ac:dyDescent="0.25">
      <c r="J803" s="7"/>
      <c r="K803" s="8"/>
      <c r="L803" s="16"/>
      <c r="M803" s="22"/>
      <c r="N803" s="22"/>
      <c r="O803" s="22"/>
      <c r="P803" s="22"/>
      <c r="Q803" s="1">
        <f t="shared" si="402"/>
        <v>0.60744618579017706</v>
      </c>
      <c r="R803" s="12">
        <f t="shared" ca="1" si="389"/>
        <v>23192</v>
      </c>
      <c r="S803" s="88">
        <f t="shared" si="398"/>
        <v>0</v>
      </c>
      <c r="T803" s="19">
        <f t="shared" si="390"/>
        <v>0</v>
      </c>
      <c r="U803" s="19">
        <f t="shared" si="391"/>
        <v>0</v>
      </c>
      <c r="V803" s="19">
        <f t="shared" si="407"/>
        <v>0</v>
      </c>
      <c r="W803" s="20">
        <f t="shared" ca="1" si="392"/>
        <v>0</v>
      </c>
      <c r="X803" s="19">
        <f t="shared" ca="1" si="393"/>
        <v>0</v>
      </c>
      <c r="Y803" s="19">
        <f t="shared" ca="1" si="394"/>
        <v>0</v>
      </c>
      <c r="Z803" s="20">
        <f t="shared" ca="1" si="395"/>
        <v>0</v>
      </c>
      <c r="AA803" s="1">
        <f t="shared" si="403"/>
        <v>5432.58</v>
      </c>
      <c r="AB803" s="91"/>
      <c r="AC803" s="92"/>
      <c r="AD803" s="101">
        <f t="shared" si="404"/>
        <v>64314</v>
      </c>
      <c r="AE803" s="103">
        <f t="shared" si="405"/>
        <v>0</v>
      </c>
      <c r="AG803" s="1">
        <f t="shared" si="396"/>
        <v>0</v>
      </c>
      <c r="AH803" s="1">
        <f t="shared" si="397"/>
        <v>0</v>
      </c>
      <c r="AI803" s="1">
        <f t="shared" si="406"/>
        <v>5432.58</v>
      </c>
      <c r="AJ803" s="20">
        <f t="shared" si="378"/>
        <v>0</v>
      </c>
      <c r="AK803" s="100">
        <f t="shared" si="380"/>
        <v>0</v>
      </c>
      <c r="AL803" s="100">
        <f t="shared" si="381"/>
        <v>0</v>
      </c>
      <c r="AN803" s="100">
        <f t="shared" si="382"/>
        <v>3671.9046374705531</v>
      </c>
      <c r="AO803" s="20">
        <f t="shared" si="383"/>
        <v>0</v>
      </c>
      <c r="AQ803" s="109">
        <f t="shared" si="384"/>
        <v>0</v>
      </c>
      <c r="AU803" s="109">
        <f t="shared" si="399"/>
        <v>25.283777694537243</v>
      </c>
      <c r="AV803" s="101">
        <f t="shared" si="385"/>
        <v>64344</v>
      </c>
      <c r="AW803" s="99">
        <f t="shared" si="386"/>
        <v>0</v>
      </c>
      <c r="AX803" s="1">
        <f t="shared" si="387"/>
        <v>0</v>
      </c>
      <c r="AY803" s="29">
        <f t="shared" si="388"/>
        <v>0</v>
      </c>
      <c r="AZ803" s="1">
        <f t="shared" si="400"/>
        <v>0</v>
      </c>
      <c r="CB803" s="20">
        <f t="shared" si="379"/>
        <v>0</v>
      </c>
      <c r="CC803" s="173">
        <f t="shared" si="401"/>
        <v>0</v>
      </c>
    </row>
    <row r="804" spans="10:81" x14ac:dyDescent="0.25">
      <c r="J804" s="9"/>
      <c r="K804" s="10"/>
      <c r="L804" s="17"/>
      <c r="M804" s="23"/>
      <c r="N804" s="23"/>
      <c r="O804" s="23"/>
      <c r="P804" s="23"/>
      <c r="Q804" s="1">
        <f t="shared" si="402"/>
        <v>0.60744618579017706</v>
      </c>
      <c r="R804" s="12">
        <f t="shared" ca="1" si="389"/>
        <v>23222</v>
      </c>
      <c r="S804" s="88">
        <f t="shared" si="398"/>
        <v>0</v>
      </c>
      <c r="T804" s="19">
        <f t="shared" si="390"/>
        <v>0</v>
      </c>
      <c r="U804" s="19">
        <f t="shared" si="391"/>
        <v>0</v>
      </c>
      <c r="V804" s="19">
        <f t="shared" si="407"/>
        <v>0</v>
      </c>
      <c r="W804" s="20">
        <f t="shared" ca="1" si="392"/>
        <v>0</v>
      </c>
      <c r="X804" s="19">
        <f t="shared" ca="1" si="393"/>
        <v>0</v>
      </c>
      <c r="Y804" s="19">
        <f t="shared" ca="1" si="394"/>
        <v>0</v>
      </c>
      <c r="Z804" s="20">
        <f t="shared" ca="1" si="395"/>
        <v>0</v>
      </c>
      <c r="AA804" s="1">
        <f t="shared" si="403"/>
        <v>5432.58</v>
      </c>
      <c r="AB804" s="93"/>
      <c r="AC804" s="94"/>
      <c r="AD804" s="101">
        <f t="shared" si="404"/>
        <v>64344</v>
      </c>
      <c r="AE804" s="103">
        <f t="shared" si="405"/>
        <v>0</v>
      </c>
      <c r="AG804" s="1">
        <f t="shared" si="396"/>
        <v>0</v>
      </c>
      <c r="AH804" s="1">
        <f t="shared" si="397"/>
        <v>0</v>
      </c>
      <c r="AI804" s="1">
        <f t="shared" si="406"/>
        <v>5432.58</v>
      </c>
      <c r="AJ804" s="20">
        <f t="shared" si="378"/>
        <v>0</v>
      </c>
      <c r="AK804" s="100">
        <f t="shared" si="380"/>
        <v>0</v>
      </c>
      <c r="AL804" s="100">
        <f t="shared" si="381"/>
        <v>0</v>
      </c>
      <c r="AN804" s="100">
        <f t="shared" si="382"/>
        <v>3670.0468408412689</v>
      </c>
      <c r="AO804" s="20">
        <f t="shared" si="383"/>
        <v>0</v>
      </c>
      <c r="AQ804" s="109">
        <f t="shared" si="384"/>
        <v>0</v>
      </c>
      <c r="AU804" s="109">
        <f t="shared" si="399"/>
        <v>25.281558535510243</v>
      </c>
      <c r="AV804" s="101">
        <f t="shared" si="385"/>
        <v>64374</v>
      </c>
      <c r="AW804" s="99">
        <f t="shared" si="386"/>
        <v>0</v>
      </c>
      <c r="AX804" s="1">
        <f t="shared" si="387"/>
        <v>0</v>
      </c>
      <c r="AY804" s="29">
        <f t="shared" si="388"/>
        <v>0</v>
      </c>
      <c r="AZ804" s="1">
        <f t="shared" si="400"/>
        <v>0</v>
      </c>
      <c r="CB804" s="20">
        <f t="shared" si="379"/>
        <v>0</v>
      </c>
      <c r="CC804" s="173">
        <f t="shared" si="401"/>
        <v>0</v>
      </c>
    </row>
    <row r="805" spans="10:81" x14ac:dyDescent="0.25">
      <c r="J805" s="7"/>
      <c r="K805" s="8"/>
      <c r="L805" s="16"/>
      <c r="M805" s="22"/>
      <c r="N805" s="22"/>
      <c r="O805" s="22"/>
      <c r="P805" s="22"/>
      <c r="Q805" s="1">
        <f t="shared" si="402"/>
        <v>0.60744618579017706</v>
      </c>
      <c r="R805" s="12">
        <f t="shared" ca="1" si="389"/>
        <v>23252</v>
      </c>
      <c r="S805" s="88">
        <f t="shared" si="398"/>
        <v>0</v>
      </c>
      <c r="T805" s="19">
        <f t="shared" si="390"/>
        <v>0</v>
      </c>
      <c r="U805" s="19">
        <f t="shared" si="391"/>
        <v>0</v>
      </c>
      <c r="V805" s="19">
        <f t="shared" si="407"/>
        <v>0</v>
      </c>
      <c r="W805" s="20">
        <f t="shared" ca="1" si="392"/>
        <v>0</v>
      </c>
      <c r="X805" s="19">
        <f t="shared" ca="1" si="393"/>
        <v>0</v>
      </c>
      <c r="Y805" s="19">
        <f t="shared" ca="1" si="394"/>
        <v>0</v>
      </c>
      <c r="Z805" s="20">
        <f t="shared" ca="1" si="395"/>
        <v>0</v>
      </c>
      <c r="AA805" s="1">
        <f t="shared" si="403"/>
        <v>5432.58</v>
      </c>
      <c r="AB805" s="91"/>
      <c r="AC805" s="92"/>
      <c r="AD805" s="101">
        <f t="shared" si="404"/>
        <v>64374</v>
      </c>
      <c r="AE805" s="103">
        <f t="shared" si="405"/>
        <v>0</v>
      </c>
      <c r="AG805" s="1">
        <f t="shared" si="396"/>
        <v>0</v>
      </c>
      <c r="AH805" s="1">
        <f t="shared" si="397"/>
        <v>0</v>
      </c>
      <c r="AI805" s="1">
        <f t="shared" si="406"/>
        <v>5432.58</v>
      </c>
      <c r="AJ805" s="20">
        <f t="shared" si="378"/>
        <v>0</v>
      </c>
      <c r="AK805" s="100">
        <f t="shared" si="380"/>
        <v>0</v>
      </c>
      <c r="AL805" s="100">
        <f t="shared" si="381"/>
        <v>0</v>
      </c>
      <c r="AN805" s="100">
        <f t="shared" si="382"/>
        <v>3668.1899841624077</v>
      </c>
      <c r="AO805" s="20">
        <f t="shared" si="383"/>
        <v>0</v>
      </c>
      <c r="AQ805" s="109">
        <f t="shared" si="384"/>
        <v>0</v>
      </c>
      <c r="AU805" s="109">
        <f t="shared" si="399"/>
        <v>25.279339571258994</v>
      </c>
      <c r="AV805" s="101">
        <f t="shared" si="385"/>
        <v>64404</v>
      </c>
      <c r="AW805" s="99">
        <f t="shared" si="386"/>
        <v>0</v>
      </c>
      <c r="AX805" s="1">
        <f t="shared" si="387"/>
        <v>0</v>
      </c>
      <c r="AY805" s="29">
        <f t="shared" si="388"/>
        <v>0</v>
      </c>
      <c r="AZ805" s="1">
        <f t="shared" si="400"/>
        <v>0</v>
      </c>
      <c r="CB805" s="20">
        <f t="shared" si="379"/>
        <v>0</v>
      </c>
      <c r="CC805" s="173">
        <f t="shared" si="401"/>
        <v>0</v>
      </c>
    </row>
    <row r="806" spans="10:81" x14ac:dyDescent="0.25">
      <c r="J806" s="9"/>
      <c r="K806" s="10"/>
      <c r="L806" s="17"/>
      <c r="M806" s="23"/>
      <c r="N806" s="23"/>
      <c r="O806" s="23"/>
      <c r="P806" s="23"/>
      <c r="Q806" s="1">
        <f t="shared" si="402"/>
        <v>0.60744618579017706</v>
      </c>
      <c r="R806" s="12">
        <f t="shared" ca="1" si="389"/>
        <v>23282</v>
      </c>
      <c r="S806" s="88">
        <f t="shared" si="398"/>
        <v>0</v>
      </c>
      <c r="T806" s="19">
        <f t="shared" si="390"/>
        <v>0</v>
      </c>
      <c r="U806" s="19">
        <f t="shared" si="391"/>
        <v>0</v>
      </c>
      <c r="V806" s="19">
        <f t="shared" si="407"/>
        <v>0</v>
      </c>
      <c r="W806" s="20">
        <f t="shared" ca="1" si="392"/>
        <v>0</v>
      </c>
      <c r="X806" s="19">
        <f t="shared" ca="1" si="393"/>
        <v>0</v>
      </c>
      <c r="Y806" s="19">
        <f t="shared" ca="1" si="394"/>
        <v>0</v>
      </c>
      <c r="Z806" s="20">
        <f t="shared" ca="1" si="395"/>
        <v>0</v>
      </c>
      <c r="AA806" s="1">
        <f t="shared" si="403"/>
        <v>5432.58</v>
      </c>
      <c r="AB806" s="93"/>
      <c r="AC806" s="94"/>
      <c r="AD806" s="101">
        <f t="shared" si="404"/>
        <v>64404</v>
      </c>
      <c r="AE806" s="103">
        <f t="shared" si="405"/>
        <v>0</v>
      </c>
      <c r="AG806" s="1">
        <f t="shared" si="396"/>
        <v>0</v>
      </c>
      <c r="AH806" s="1">
        <f t="shared" si="397"/>
        <v>0</v>
      </c>
      <c r="AI806" s="1">
        <f t="shared" si="406"/>
        <v>5432.58</v>
      </c>
      <c r="AJ806" s="20">
        <f t="shared" si="378"/>
        <v>0</v>
      </c>
      <c r="AK806" s="100">
        <f t="shared" si="380"/>
        <v>0</v>
      </c>
      <c r="AL806" s="100">
        <f t="shared" si="381"/>
        <v>0</v>
      </c>
      <c r="AN806" s="100">
        <f t="shared" si="382"/>
        <v>3666.3340669584018</v>
      </c>
      <c r="AO806" s="20">
        <f t="shared" si="383"/>
        <v>0</v>
      </c>
      <c r="AQ806" s="109">
        <f t="shared" si="384"/>
        <v>0</v>
      </c>
      <c r="AU806" s="109">
        <f t="shared" si="399"/>
        <v>25.27712080176639</v>
      </c>
      <c r="AV806" s="101">
        <f t="shared" si="385"/>
        <v>64434</v>
      </c>
      <c r="AW806" s="99">
        <f t="shared" si="386"/>
        <v>0</v>
      </c>
      <c r="AX806" s="1">
        <f t="shared" si="387"/>
        <v>0</v>
      </c>
      <c r="AY806" s="29">
        <f t="shared" si="388"/>
        <v>0</v>
      </c>
      <c r="AZ806" s="1">
        <f t="shared" si="400"/>
        <v>0</v>
      </c>
      <c r="CB806" s="20">
        <f t="shared" si="379"/>
        <v>0</v>
      </c>
      <c r="CC806" s="173">
        <f t="shared" si="401"/>
        <v>0</v>
      </c>
    </row>
    <row r="807" spans="10:81" x14ac:dyDescent="0.25">
      <c r="J807" s="7"/>
      <c r="K807" s="8"/>
      <c r="L807" s="16"/>
      <c r="M807" s="22"/>
      <c r="N807" s="22"/>
      <c r="O807" s="22"/>
      <c r="P807" s="22"/>
      <c r="Q807" s="1">
        <f t="shared" si="402"/>
        <v>0.60744618579017706</v>
      </c>
      <c r="R807" s="12">
        <f t="shared" ca="1" si="389"/>
        <v>23312</v>
      </c>
      <c r="S807" s="88">
        <f t="shared" si="398"/>
        <v>0</v>
      </c>
      <c r="T807" s="19">
        <f t="shared" si="390"/>
        <v>0</v>
      </c>
      <c r="U807" s="19">
        <f t="shared" si="391"/>
        <v>0</v>
      </c>
      <c r="V807" s="19">
        <f t="shared" si="407"/>
        <v>0</v>
      </c>
      <c r="W807" s="20">
        <f t="shared" ca="1" si="392"/>
        <v>0</v>
      </c>
      <c r="X807" s="19">
        <f t="shared" ca="1" si="393"/>
        <v>0</v>
      </c>
      <c r="Y807" s="19">
        <f t="shared" ca="1" si="394"/>
        <v>0</v>
      </c>
      <c r="Z807" s="20">
        <f t="shared" ca="1" si="395"/>
        <v>0</v>
      </c>
      <c r="AA807" s="1">
        <f t="shared" si="403"/>
        <v>5432.58</v>
      </c>
      <c r="AB807" s="91"/>
      <c r="AC807" s="92"/>
      <c r="AD807" s="101">
        <f t="shared" si="404"/>
        <v>64434</v>
      </c>
      <c r="AE807" s="103">
        <f t="shared" si="405"/>
        <v>0</v>
      </c>
      <c r="AG807" s="1">
        <f t="shared" si="396"/>
        <v>0</v>
      </c>
      <c r="AH807" s="1">
        <f t="shared" si="397"/>
        <v>0</v>
      </c>
      <c r="AI807" s="1">
        <f t="shared" si="406"/>
        <v>5432.58</v>
      </c>
      <c r="AJ807" s="20">
        <f t="shared" si="378"/>
        <v>0</v>
      </c>
      <c r="AK807" s="100">
        <f t="shared" si="380"/>
        <v>0</v>
      </c>
      <c r="AL807" s="100">
        <f t="shared" si="381"/>
        <v>0</v>
      </c>
      <c r="AN807" s="100">
        <f t="shared" si="382"/>
        <v>3664.4790887539252</v>
      </c>
      <c r="AO807" s="20">
        <f t="shared" si="383"/>
        <v>0</v>
      </c>
      <c r="AQ807" s="109">
        <f t="shared" si="384"/>
        <v>0</v>
      </c>
      <c r="AU807" s="109">
        <f t="shared" si="399"/>
        <v>25.27490222701536</v>
      </c>
      <c r="AV807" s="101">
        <f t="shared" si="385"/>
        <v>64464</v>
      </c>
      <c r="AW807" s="99">
        <f t="shared" si="386"/>
        <v>0</v>
      </c>
      <c r="AX807" s="1">
        <f t="shared" si="387"/>
        <v>0</v>
      </c>
      <c r="AY807" s="29">
        <f t="shared" si="388"/>
        <v>0</v>
      </c>
      <c r="AZ807" s="1">
        <f t="shared" si="400"/>
        <v>0</v>
      </c>
      <c r="CB807" s="20">
        <f t="shared" si="379"/>
        <v>0</v>
      </c>
      <c r="CC807" s="173">
        <f t="shared" si="401"/>
        <v>0</v>
      </c>
    </row>
    <row r="808" spans="10:81" x14ac:dyDescent="0.25">
      <c r="J808" s="9"/>
      <c r="K808" s="10"/>
      <c r="L808" s="17"/>
      <c r="M808" s="23"/>
      <c r="N808" s="23"/>
      <c r="O808" s="23"/>
      <c r="P808" s="23"/>
      <c r="Q808" s="1">
        <f t="shared" si="402"/>
        <v>0.60744618579017706</v>
      </c>
      <c r="R808" s="12">
        <f t="shared" ca="1" si="389"/>
        <v>23342</v>
      </c>
      <c r="S808" s="88">
        <f t="shared" si="398"/>
        <v>0</v>
      </c>
      <c r="T808" s="19">
        <f t="shared" si="390"/>
        <v>0</v>
      </c>
      <c r="U808" s="19">
        <f t="shared" si="391"/>
        <v>0</v>
      </c>
      <c r="V808" s="19">
        <f t="shared" si="407"/>
        <v>0</v>
      </c>
      <c r="W808" s="20">
        <f t="shared" ca="1" si="392"/>
        <v>0</v>
      </c>
      <c r="X808" s="19">
        <f t="shared" ca="1" si="393"/>
        <v>0</v>
      </c>
      <c r="Y808" s="19">
        <f t="shared" ca="1" si="394"/>
        <v>0</v>
      </c>
      <c r="Z808" s="20">
        <f t="shared" ca="1" si="395"/>
        <v>0</v>
      </c>
      <c r="AA808" s="1">
        <f t="shared" si="403"/>
        <v>5432.58</v>
      </c>
      <c r="AB808" s="93"/>
      <c r="AC808" s="94"/>
      <c r="AD808" s="101">
        <f t="shared" si="404"/>
        <v>64464</v>
      </c>
      <c r="AE808" s="103">
        <f t="shared" si="405"/>
        <v>0</v>
      </c>
      <c r="AG808" s="1">
        <f t="shared" si="396"/>
        <v>0</v>
      </c>
      <c r="AH808" s="1">
        <f t="shared" si="397"/>
        <v>0</v>
      </c>
      <c r="AI808" s="1">
        <f t="shared" si="406"/>
        <v>5432.58</v>
      </c>
      <c r="AJ808" s="20">
        <f t="shared" ref="AJ808:AJ871" si="408">IF(ISERROR(IF(V807+U808+T808+(V807*Q808/1200)-AA808-P808&lt;0,V807,-(U808+T808-AA808+P808-AH808))),0,IF(V807+U808+T808+(V807*Q808/1200)-AA808-P808&lt;0,0,-(U808+T808-AA808-AH808)))</f>
        <v>0</v>
      </c>
      <c r="AK808" s="100">
        <f t="shared" si="380"/>
        <v>0</v>
      </c>
      <c r="AL808" s="100">
        <f t="shared" si="381"/>
        <v>0</v>
      </c>
      <c r="AN808" s="100">
        <f t="shared" si="382"/>
        <v>3662.6250490738921</v>
      </c>
      <c r="AO808" s="20">
        <f t="shared" si="383"/>
        <v>0</v>
      </c>
      <c r="AQ808" s="109">
        <f t="shared" si="384"/>
        <v>0</v>
      </c>
      <c r="AU808" s="109">
        <f t="shared" si="399"/>
        <v>25.272683846988798</v>
      </c>
      <c r="AV808" s="101">
        <f t="shared" si="385"/>
        <v>64494</v>
      </c>
      <c r="AW808" s="99">
        <f t="shared" si="386"/>
        <v>0</v>
      </c>
      <c r="AX808" s="1">
        <f t="shared" si="387"/>
        <v>0</v>
      </c>
      <c r="AY808" s="29">
        <f t="shared" si="388"/>
        <v>0</v>
      </c>
      <c r="AZ808" s="1">
        <f t="shared" si="400"/>
        <v>0</v>
      </c>
      <c r="CB808" s="20">
        <f t="shared" si="379"/>
        <v>0</v>
      </c>
      <c r="CC808" s="173">
        <f t="shared" si="401"/>
        <v>0</v>
      </c>
    </row>
    <row r="809" spans="10:81" x14ac:dyDescent="0.25">
      <c r="J809" s="7"/>
      <c r="K809" s="8"/>
      <c r="L809" s="16"/>
      <c r="M809" s="22"/>
      <c r="N809" s="22"/>
      <c r="O809" s="22"/>
      <c r="P809" s="22"/>
      <c r="Q809" s="1">
        <f t="shared" si="402"/>
        <v>0.60744618579017706</v>
      </c>
      <c r="R809" s="12">
        <f t="shared" ca="1" si="389"/>
        <v>23372</v>
      </c>
      <c r="S809" s="88">
        <f t="shared" si="398"/>
        <v>0</v>
      </c>
      <c r="T809" s="19">
        <f t="shared" si="390"/>
        <v>0</v>
      </c>
      <c r="U809" s="19">
        <f t="shared" si="391"/>
        <v>0</v>
      </c>
      <c r="V809" s="19">
        <f t="shared" si="407"/>
        <v>0</v>
      </c>
      <c r="W809" s="20">
        <f t="shared" ca="1" si="392"/>
        <v>0</v>
      </c>
      <c r="X809" s="19">
        <f t="shared" ca="1" si="393"/>
        <v>0</v>
      </c>
      <c r="Y809" s="19">
        <f t="shared" ca="1" si="394"/>
        <v>0</v>
      </c>
      <c r="Z809" s="20">
        <f t="shared" ca="1" si="395"/>
        <v>0</v>
      </c>
      <c r="AA809" s="1">
        <f t="shared" si="403"/>
        <v>5432.58</v>
      </c>
      <c r="AB809" s="91"/>
      <c r="AC809" s="92"/>
      <c r="AD809" s="101">
        <f t="shared" si="404"/>
        <v>64494</v>
      </c>
      <c r="AE809" s="103">
        <f t="shared" si="405"/>
        <v>0</v>
      </c>
      <c r="AG809" s="1">
        <f t="shared" si="396"/>
        <v>0</v>
      </c>
      <c r="AH809" s="1">
        <f t="shared" si="397"/>
        <v>0</v>
      </c>
      <c r="AI809" s="1">
        <f t="shared" si="406"/>
        <v>5432.58</v>
      </c>
      <c r="AJ809" s="20">
        <f t="shared" si="408"/>
        <v>0</v>
      </c>
      <c r="AK809" s="100">
        <f t="shared" si="380"/>
        <v>0</v>
      </c>
      <c r="AL809" s="100">
        <f t="shared" si="381"/>
        <v>0</v>
      </c>
      <c r="AN809" s="100">
        <f t="shared" si="382"/>
        <v>3660.7719474434562</v>
      </c>
      <c r="AO809" s="20">
        <f t="shared" si="383"/>
        <v>0</v>
      </c>
      <c r="AQ809" s="109">
        <f t="shared" si="384"/>
        <v>0</v>
      </c>
      <c r="AU809" s="109">
        <f t="shared" si="399"/>
        <v>25.270465661669604</v>
      </c>
      <c r="AV809" s="101">
        <f t="shared" si="385"/>
        <v>64524</v>
      </c>
      <c r="AW809" s="99">
        <f t="shared" si="386"/>
        <v>0</v>
      </c>
      <c r="AX809" s="1">
        <f t="shared" si="387"/>
        <v>0</v>
      </c>
      <c r="AY809" s="29">
        <f t="shared" si="388"/>
        <v>0</v>
      </c>
      <c r="AZ809" s="1">
        <f t="shared" si="400"/>
        <v>0</v>
      </c>
      <c r="CB809" s="20">
        <f t="shared" si="379"/>
        <v>0</v>
      </c>
      <c r="CC809" s="173">
        <f t="shared" si="401"/>
        <v>0</v>
      </c>
    </row>
    <row r="810" spans="10:81" x14ac:dyDescent="0.25">
      <c r="J810" s="9"/>
      <c r="K810" s="10"/>
      <c r="L810" s="17"/>
      <c r="M810" s="23"/>
      <c r="N810" s="23"/>
      <c r="O810" s="23"/>
      <c r="P810" s="23"/>
      <c r="Q810" s="1">
        <f t="shared" si="402"/>
        <v>0.60744618579017706</v>
      </c>
      <c r="R810" s="12">
        <f t="shared" ca="1" si="389"/>
        <v>23402</v>
      </c>
      <c r="S810" s="88">
        <f t="shared" si="398"/>
        <v>0</v>
      </c>
      <c r="T810" s="19">
        <f t="shared" si="390"/>
        <v>0</v>
      </c>
      <c r="U810" s="19">
        <f t="shared" si="391"/>
        <v>0</v>
      </c>
      <c r="V810" s="19">
        <f t="shared" si="407"/>
        <v>0</v>
      </c>
      <c r="W810" s="20">
        <f t="shared" ca="1" si="392"/>
        <v>0</v>
      </c>
      <c r="X810" s="19">
        <f t="shared" ca="1" si="393"/>
        <v>0</v>
      </c>
      <c r="Y810" s="19">
        <f t="shared" ca="1" si="394"/>
        <v>0</v>
      </c>
      <c r="Z810" s="20">
        <f t="shared" ca="1" si="395"/>
        <v>0</v>
      </c>
      <c r="AA810" s="1">
        <f t="shared" si="403"/>
        <v>5432.58</v>
      </c>
      <c r="AB810" s="93"/>
      <c r="AC810" s="94"/>
      <c r="AD810" s="101">
        <f t="shared" si="404"/>
        <v>64524</v>
      </c>
      <c r="AE810" s="103">
        <f t="shared" si="405"/>
        <v>0</v>
      </c>
      <c r="AG810" s="1">
        <f t="shared" si="396"/>
        <v>0</v>
      </c>
      <c r="AH810" s="1">
        <f t="shared" si="397"/>
        <v>0</v>
      </c>
      <c r="AI810" s="1">
        <f t="shared" si="406"/>
        <v>5432.58</v>
      </c>
      <c r="AJ810" s="20">
        <f t="shared" si="408"/>
        <v>0</v>
      </c>
      <c r="AK810" s="100">
        <f t="shared" si="380"/>
        <v>0</v>
      </c>
      <c r="AL810" s="100">
        <f t="shared" si="381"/>
        <v>0</v>
      </c>
      <c r="AN810" s="100">
        <f t="shared" si="382"/>
        <v>3658.9197833880135</v>
      </c>
      <c r="AO810" s="20">
        <f t="shared" si="383"/>
        <v>0</v>
      </c>
      <c r="AQ810" s="109">
        <f t="shared" si="384"/>
        <v>0</v>
      </c>
      <c r="AU810" s="109">
        <f t="shared" si="399"/>
        <v>25.268247671040704</v>
      </c>
      <c r="AV810" s="101">
        <f t="shared" si="385"/>
        <v>64554</v>
      </c>
      <c r="AW810" s="99">
        <f t="shared" si="386"/>
        <v>0</v>
      </c>
      <c r="AX810" s="1">
        <f t="shared" si="387"/>
        <v>0</v>
      </c>
      <c r="AY810" s="29">
        <f t="shared" si="388"/>
        <v>0</v>
      </c>
      <c r="AZ810" s="1">
        <f t="shared" si="400"/>
        <v>0</v>
      </c>
      <c r="CB810" s="20">
        <f t="shared" si="379"/>
        <v>0</v>
      </c>
      <c r="CC810" s="173">
        <f t="shared" si="401"/>
        <v>0</v>
      </c>
    </row>
    <row r="811" spans="10:81" x14ac:dyDescent="0.25">
      <c r="J811" s="7"/>
      <c r="K811" s="8"/>
      <c r="L811" s="16"/>
      <c r="M811" s="22"/>
      <c r="N811" s="22"/>
      <c r="O811" s="22"/>
      <c r="P811" s="22"/>
      <c r="Q811" s="1">
        <f t="shared" si="402"/>
        <v>0.60744618579017706</v>
      </c>
      <c r="R811" s="12">
        <f t="shared" ca="1" si="389"/>
        <v>23432</v>
      </c>
      <c r="S811" s="88">
        <f t="shared" si="398"/>
        <v>0</v>
      </c>
      <c r="T811" s="19">
        <f t="shared" si="390"/>
        <v>0</v>
      </c>
      <c r="U811" s="19">
        <f t="shared" si="391"/>
        <v>0</v>
      </c>
      <c r="V811" s="19">
        <f t="shared" si="407"/>
        <v>0</v>
      </c>
      <c r="W811" s="20">
        <f t="shared" ca="1" si="392"/>
        <v>0</v>
      </c>
      <c r="X811" s="19">
        <f t="shared" ca="1" si="393"/>
        <v>0</v>
      </c>
      <c r="Y811" s="19">
        <f t="shared" ca="1" si="394"/>
        <v>0</v>
      </c>
      <c r="Z811" s="20">
        <f t="shared" ca="1" si="395"/>
        <v>0</v>
      </c>
      <c r="AA811" s="1">
        <f t="shared" si="403"/>
        <v>5432.58</v>
      </c>
      <c r="AB811" s="91"/>
      <c r="AC811" s="92"/>
      <c r="AD811" s="101">
        <f t="shared" si="404"/>
        <v>64554</v>
      </c>
      <c r="AE811" s="103">
        <f t="shared" si="405"/>
        <v>0</v>
      </c>
      <c r="AG811" s="1">
        <f t="shared" si="396"/>
        <v>0</v>
      </c>
      <c r="AH811" s="1">
        <f t="shared" si="397"/>
        <v>0</v>
      </c>
      <c r="AI811" s="1">
        <f t="shared" si="406"/>
        <v>5432.58</v>
      </c>
      <c r="AJ811" s="20">
        <f t="shared" si="408"/>
        <v>0</v>
      </c>
      <c r="AK811" s="100">
        <f t="shared" si="380"/>
        <v>0</v>
      </c>
      <c r="AL811" s="100">
        <f t="shared" si="381"/>
        <v>0</v>
      </c>
      <c r="AN811" s="100">
        <f t="shared" si="382"/>
        <v>3657.0685564331975</v>
      </c>
      <c r="AO811" s="20">
        <f t="shared" si="383"/>
        <v>0</v>
      </c>
      <c r="AQ811" s="109">
        <f t="shared" si="384"/>
        <v>0</v>
      </c>
      <c r="AU811" s="109">
        <f t="shared" si="399"/>
        <v>25.266029875085007</v>
      </c>
      <c r="AV811" s="101">
        <f t="shared" si="385"/>
        <v>64584</v>
      </c>
      <c r="AW811" s="99">
        <f t="shared" si="386"/>
        <v>0</v>
      </c>
      <c r="AX811" s="1">
        <f t="shared" si="387"/>
        <v>0</v>
      </c>
      <c r="AY811" s="29">
        <f t="shared" si="388"/>
        <v>0</v>
      </c>
      <c r="AZ811" s="1">
        <f t="shared" si="400"/>
        <v>0</v>
      </c>
      <c r="CB811" s="20">
        <f t="shared" si="379"/>
        <v>0</v>
      </c>
      <c r="CC811" s="173">
        <f t="shared" si="401"/>
        <v>0</v>
      </c>
    </row>
    <row r="812" spans="10:81" x14ac:dyDescent="0.25">
      <c r="J812" s="9"/>
      <c r="K812" s="10"/>
      <c r="L812" s="17"/>
      <c r="M812" s="23"/>
      <c r="N812" s="23"/>
      <c r="O812" s="23"/>
      <c r="P812" s="23"/>
      <c r="Q812" s="1">
        <f t="shared" si="402"/>
        <v>0.60744618579017706</v>
      </c>
      <c r="R812" s="12">
        <f t="shared" ca="1" si="389"/>
        <v>23462</v>
      </c>
      <c r="S812" s="88">
        <f t="shared" si="398"/>
        <v>0</v>
      </c>
      <c r="T812" s="19">
        <f t="shared" si="390"/>
        <v>0</v>
      </c>
      <c r="U812" s="19">
        <f t="shared" si="391"/>
        <v>0</v>
      </c>
      <c r="V812" s="19">
        <f t="shared" si="407"/>
        <v>0</v>
      </c>
      <c r="W812" s="20">
        <f t="shared" ca="1" si="392"/>
        <v>0</v>
      </c>
      <c r="X812" s="19">
        <f t="shared" ca="1" si="393"/>
        <v>0</v>
      </c>
      <c r="Y812" s="19">
        <f t="shared" ca="1" si="394"/>
        <v>0</v>
      </c>
      <c r="Z812" s="20">
        <f t="shared" ca="1" si="395"/>
        <v>0</v>
      </c>
      <c r="AA812" s="1">
        <f t="shared" si="403"/>
        <v>5432.58</v>
      </c>
      <c r="AB812" s="93"/>
      <c r="AC812" s="94"/>
      <c r="AD812" s="101">
        <f t="shared" si="404"/>
        <v>64584</v>
      </c>
      <c r="AE812" s="103">
        <f t="shared" si="405"/>
        <v>0</v>
      </c>
      <c r="AG812" s="1">
        <f t="shared" si="396"/>
        <v>0</v>
      </c>
      <c r="AH812" s="1">
        <f t="shared" si="397"/>
        <v>0</v>
      </c>
      <c r="AI812" s="1">
        <f t="shared" si="406"/>
        <v>5432.58</v>
      </c>
      <c r="AJ812" s="20">
        <f t="shared" si="408"/>
        <v>0</v>
      </c>
      <c r="AK812" s="100">
        <f t="shared" si="380"/>
        <v>0</v>
      </c>
      <c r="AL812" s="100">
        <f t="shared" si="381"/>
        <v>0</v>
      </c>
      <c r="AN812" s="100">
        <f t="shared" si="382"/>
        <v>3655.2182661048837</v>
      </c>
      <c r="AO812" s="20">
        <f t="shared" si="383"/>
        <v>0</v>
      </c>
      <c r="AQ812" s="109">
        <f t="shared" si="384"/>
        <v>0</v>
      </c>
      <c r="AU812" s="109">
        <f t="shared" si="399"/>
        <v>25.26381227378543</v>
      </c>
      <c r="AV812" s="101">
        <f t="shared" si="385"/>
        <v>64614</v>
      </c>
      <c r="AW812" s="99">
        <f t="shared" si="386"/>
        <v>0</v>
      </c>
      <c r="AX812" s="1">
        <f t="shared" si="387"/>
        <v>0</v>
      </c>
      <c r="AY812" s="29">
        <f t="shared" si="388"/>
        <v>0</v>
      </c>
      <c r="AZ812" s="1">
        <f t="shared" si="400"/>
        <v>0</v>
      </c>
      <c r="CB812" s="20">
        <f t="shared" si="379"/>
        <v>0</v>
      </c>
      <c r="CC812" s="173">
        <f t="shared" si="401"/>
        <v>0</v>
      </c>
    </row>
    <row r="813" spans="10:81" x14ac:dyDescent="0.25">
      <c r="J813" s="7"/>
      <c r="K813" s="8"/>
      <c r="L813" s="16"/>
      <c r="M813" s="22"/>
      <c r="N813" s="22"/>
      <c r="O813" s="22"/>
      <c r="P813" s="22"/>
      <c r="Q813" s="1">
        <f t="shared" si="402"/>
        <v>0.60744618579017706</v>
      </c>
      <c r="R813" s="12">
        <f t="shared" ca="1" si="389"/>
        <v>23492</v>
      </c>
      <c r="S813" s="88">
        <f t="shared" si="398"/>
        <v>0</v>
      </c>
      <c r="T813" s="19">
        <f t="shared" si="390"/>
        <v>0</v>
      </c>
      <c r="U813" s="19">
        <f t="shared" si="391"/>
        <v>0</v>
      </c>
      <c r="V813" s="19">
        <f t="shared" si="407"/>
        <v>0</v>
      </c>
      <c r="W813" s="20">
        <f t="shared" ca="1" si="392"/>
        <v>0</v>
      </c>
      <c r="X813" s="19">
        <f t="shared" ca="1" si="393"/>
        <v>0</v>
      </c>
      <c r="Y813" s="19">
        <f t="shared" ca="1" si="394"/>
        <v>0</v>
      </c>
      <c r="Z813" s="20">
        <f t="shared" ca="1" si="395"/>
        <v>0</v>
      </c>
      <c r="AA813" s="1">
        <f t="shared" si="403"/>
        <v>5432.58</v>
      </c>
      <c r="AB813" s="91"/>
      <c r="AC813" s="92"/>
      <c r="AD813" s="101">
        <f t="shared" si="404"/>
        <v>64614</v>
      </c>
      <c r="AE813" s="103">
        <f t="shared" si="405"/>
        <v>0</v>
      </c>
      <c r="AG813" s="1">
        <f t="shared" si="396"/>
        <v>0</v>
      </c>
      <c r="AH813" s="1">
        <f t="shared" si="397"/>
        <v>0</v>
      </c>
      <c r="AI813" s="1">
        <f t="shared" si="406"/>
        <v>5432.58</v>
      </c>
      <c r="AJ813" s="20">
        <f t="shared" si="408"/>
        <v>0</v>
      </c>
      <c r="AK813" s="100">
        <f t="shared" si="380"/>
        <v>0</v>
      </c>
      <c r="AL813" s="100">
        <f t="shared" si="381"/>
        <v>0</v>
      </c>
      <c r="AN813" s="100">
        <f t="shared" si="382"/>
        <v>3653.3689119291871</v>
      </c>
      <c r="AO813" s="20">
        <f t="shared" si="383"/>
        <v>0</v>
      </c>
      <c r="AQ813" s="109">
        <f t="shared" si="384"/>
        <v>0</v>
      </c>
      <c r="AU813" s="109">
        <f t="shared" si="399"/>
        <v>25.26159486712487</v>
      </c>
      <c r="AV813" s="101">
        <f t="shared" si="385"/>
        <v>64644</v>
      </c>
      <c r="AW813" s="99">
        <f t="shared" si="386"/>
        <v>0</v>
      </c>
      <c r="AX813" s="1">
        <f t="shared" si="387"/>
        <v>0</v>
      </c>
      <c r="AY813" s="29">
        <f t="shared" si="388"/>
        <v>0</v>
      </c>
      <c r="AZ813" s="1">
        <f t="shared" si="400"/>
        <v>0</v>
      </c>
      <c r="CB813" s="20">
        <f t="shared" si="379"/>
        <v>0</v>
      </c>
      <c r="CC813" s="173">
        <f t="shared" si="401"/>
        <v>0</v>
      </c>
    </row>
    <row r="814" spans="10:81" x14ac:dyDescent="0.25">
      <c r="J814" s="9"/>
      <c r="K814" s="10"/>
      <c r="L814" s="17"/>
      <c r="M814" s="23"/>
      <c r="N814" s="23"/>
      <c r="O814" s="23"/>
      <c r="P814" s="23"/>
      <c r="Q814" s="1">
        <f t="shared" si="402"/>
        <v>0.60744618579017706</v>
      </c>
      <c r="R814" s="12">
        <f t="shared" ca="1" si="389"/>
        <v>23522</v>
      </c>
      <c r="S814" s="88">
        <f t="shared" si="398"/>
        <v>0</v>
      </c>
      <c r="T814" s="19">
        <f t="shared" si="390"/>
        <v>0</v>
      </c>
      <c r="U814" s="19">
        <f t="shared" si="391"/>
        <v>0</v>
      </c>
      <c r="V814" s="19">
        <f t="shared" si="407"/>
        <v>0</v>
      </c>
      <c r="W814" s="20">
        <f t="shared" ca="1" si="392"/>
        <v>0</v>
      </c>
      <c r="X814" s="19">
        <f t="shared" ca="1" si="393"/>
        <v>0</v>
      </c>
      <c r="Y814" s="19">
        <f t="shared" ca="1" si="394"/>
        <v>0</v>
      </c>
      <c r="Z814" s="20">
        <f t="shared" ca="1" si="395"/>
        <v>0</v>
      </c>
      <c r="AA814" s="1">
        <f t="shared" si="403"/>
        <v>5432.58</v>
      </c>
      <c r="AB814" s="93"/>
      <c r="AC814" s="94"/>
      <c r="AD814" s="101">
        <f t="shared" si="404"/>
        <v>64644</v>
      </c>
      <c r="AE814" s="103">
        <f t="shared" si="405"/>
        <v>0</v>
      </c>
      <c r="AG814" s="1">
        <f t="shared" si="396"/>
        <v>0</v>
      </c>
      <c r="AH814" s="1">
        <f t="shared" si="397"/>
        <v>0</v>
      </c>
      <c r="AI814" s="1">
        <f t="shared" si="406"/>
        <v>5432.58</v>
      </c>
      <c r="AJ814" s="20">
        <f t="shared" si="408"/>
        <v>0</v>
      </c>
      <c r="AK814" s="100">
        <f t="shared" si="380"/>
        <v>0</v>
      </c>
      <c r="AL814" s="100">
        <f t="shared" si="381"/>
        <v>0</v>
      </c>
      <c r="AN814" s="100">
        <f t="shared" si="382"/>
        <v>3651.5204934324615</v>
      </c>
      <c r="AO814" s="20">
        <f t="shared" si="383"/>
        <v>0</v>
      </c>
      <c r="AQ814" s="109">
        <f t="shared" si="384"/>
        <v>0</v>
      </c>
      <c r="AU814" s="109">
        <f t="shared" si="399"/>
        <v>25.259377655086254</v>
      </c>
      <c r="AV814" s="101">
        <f t="shared" si="385"/>
        <v>64674</v>
      </c>
      <c r="AW814" s="99">
        <f t="shared" si="386"/>
        <v>0</v>
      </c>
      <c r="AX814" s="1">
        <f t="shared" si="387"/>
        <v>0</v>
      </c>
      <c r="AY814" s="29">
        <f t="shared" si="388"/>
        <v>0</v>
      </c>
      <c r="AZ814" s="1">
        <f t="shared" si="400"/>
        <v>0</v>
      </c>
      <c r="CB814" s="20">
        <f t="shared" ref="CB814:CB877" si="409">IF(O814=0,IF(P814&gt;0,V813,IF(O813=0,0,P814)),IF(O813=0,0,P814))</f>
        <v>0</v>
      </c>
      <c r="CC814" s="173">
        <f t="shared" si="401"/>
        <v>0</v>
      </c>
    </row>
    <row r="815" spans="10:81" x14ac:dyDescent="0.25">
      <c r="J815" s="7"/>
      <c r="K815" s="8"/>
      <c r="L815" s="16"/>
      <c r="M815" s="22"/>
      <c r="N815" s="22"/>
      <c r="O815" s="22"/>
      <c r="P815" s="22"/>
      <c r="Q815" s="1">
        <f t="shared" si="402"/>
        <v>0.60744618579017706</v>
      </c>
      <c r="R815" s="12">
        <f t="shared" ca="1" si="389"/>
        <v>23552</v>
      </c>
      <c r="S815" s="88">
        <f t="shared" si="398"/>
        <v>0</v>
      </c>
      <c r="T815" s="19">
        <f t="shared" si="390"/>
        <v>0</v>
      </c>
      <c r="U815" s="19">
        <f t="shared" si="391"/>
        <v>0</v>
      </c>
      <c r="V815" s="19">
        <f t="shared" si="407"/>
        <v>0</v>
      </c>
      <c r="W815" s="20">
        <f t="shared" ca="1" si="392"/>
        <v>0</v>
      </c>
      <c r="X815" s="19">
        <f t="shared" ca="1" si="393"/>
        <v>0</v>
      </c>
      <c r="Y815" s="19">
        <f t="shared" ca="1" si="394"/>
        <v>0</v>
      </c>
      <c r="Z815" s="20">
        <f t="shared" ca="1" si="395"/>
        <v>0</v>
      </c>
      <c r="AA815" s="1">
        <f t="shared" si="403"/>
        <v>5432.58</v>
      </c>
      <c r="AB815" s="91"/>
      <c r="AC815" s="92"/>
      <c r="AD815" s="101">
        <f t="shared" si="404"/>
        <v>64674</v>
      </c>
      <c r="AE815" s="103">
        <f t="shared" si="405"/>
        <v>0</v>
      </c>
      <c r="AG815" s="1">
        <f t="shared" si="396"/>
        <v>0</v>
      </c>
      <c r="AH815" s="1">
        <f t="shared" si="397"/>
        <v>0</v>
      </c>
      <c r="AI815" s="1">
        <f t="shared" si="406"/>
        <v>5432.58</v>
      </c>
      <c r="AJ815" s="20">
        <f t="shared" si="408"/>
        <v>0</v>
      </c>
      <c r="AK815" s="100">
        <f t="shared" si="380"/>
        <v>0</v>
      </c>
      <c r="AL815" s="100">
        <f t="shared" si="381"/>
        <v>0</v>
      </c>
      <c r="AN815" s="100">
        <f t="shared" si="382"/>
        <v>3649.6730101413018</v>
      </c>
      <c r="AO815" s="20">
        <f t="shared" si="383"/>
        <v>0</v>
      </c>
      <c r="AQ815" s="109">
        <f t="shared" si="384"/>
        <v>0</v>
      </c>
      <c r="AU815" s="109">
        <f t="shared" si="399"/>
        <v>25.257160637652511</v>
      </c>
      <c r="AV815" s="101">
        <f t="shared" si="385"/>
        <v>64704</v>
      </c>
      <c r="AW815" s="99">
        <f t="shared" si="386"/>
        <v>0</v>
      </c>
      <c r="AX815" s="1">
        <f t="shared" si="387"/>
        <v>0</v>
      </c>
      <c r="AY815" s="29">
        <f t="shared" si="388"/>
        <v>0</v>
      </c>
      <c r="AZ815" s="1">
        <f t="shared" si="400"/>
        <v>0</v>
      </c>
      <c r="CB815" s="20">
        <f t="shared" si="409"/>
        <v>0</v>
      </c>
      <c r="CC815" s="173">
        <f t="shared" si="401"/>
        <v>0</v>
      </c>
    </row>
    <row r="816" spans="10:81" x14ac:dyDescent="0.25">
      <c r="J816" s="9"/>
      <c r="K816" s="10"/>
      <c r="L816" s="17"/>
      <c r="M816" s="23"/>
      <c r="N816" s="23"/>
      <c r="O816" s="23"/>
      <c r="P816" s="23"/>
      <c r="Q816" s="1">
        <f t="shared" si="402"/>
        <v>0.60744618579017706</v>
      </c>
      <c r="R816" s="12">
        <f t="shared" ca="1" si="389"/>
        <v>23582</v>
      </c>
      <c r="S816" s="88">
        <f t="shared" si="398"/>
        <v>0</v>
      </c>
      <c r="T816" s="19">
        <f t="shared" si="390"/>
        <v>0</v>
      </c>
      <c r="U816" s="19">
        <f t="shared" si="391"/>
        <v>0</v>
      </c>
      <c r="V816" s="19">
        <f t="shared" si="407"/>
        <v>0</v>
      </c>
      <c r="W816" s="20">
        <f t="shared" ca="1" si="392"/>
        <v>0</v>
      </c>
      <c r="X816" s="19">
        <f t="shared" ca="1" si="393"/>
        <v>0</v>
      </c>
      <c r="Y816" s="19">
        <f t="shared" ca="1" si="394"/>
        <v>0</v>
      </c>
      <c r="Z816" s="20">
        <f t="shared" ca="1" si="395"/>
        <v>0</v>
      </c>
      <c r="AA816" s="1">
        <f t="shared" si="403"/>
        <v>5432.58</v>
      </c>
      <c r="AB816" s="93"/>
      <c r="AC816" s="94"/>
      <c r="AD816" s="101">
        <f t="shared" si="404"/>
        <v>64704</v>
      </c>
      <c r="AE816" s="103">
        <f t="shared" si="405"/>
        <v>0</v>
      </c>
      <c r="AG816" s="1">
        <f t="shared" si="396"/>
        <v>0</v>
      </c>
      <c r="AH816" s="1">
        <f t="shared" si="397"/>
        <v>0</v>
      </c>
      <c r="AI816" s="1">
        <f t="shared" si="406"/>
        <v>5432.58</v>
      </c>
      <c r="AJ816" s="20">
        <f t="shared" si="408"/>
        <v>0</v>
      </c>
      <c r="AK816" s="100">
        <f t="shared" si="380"/>
        <v>0</v>
      </c>
      <c r="AL816" s="100">
        <f t="shared" si="381"/>
        <v>0</v>
      </c>
      <c r="AN816" s="100">
        <f t="shared" si="382"/>
        <v>3647.826461582541</v>
      </c>
      <c r="AO816" s="20">
        <f t="shared" si="383"/>
        <v>0</v>
      </c>
      <c r="AQ816" s="109">
        <f t="shared" si="384"/>
        <v>0</v>
      </c>
      <c r="AU816" s="109">
        <f t="shared" si="399"/>
        <v>25.254943814806548</v>
      </c>
      <c r="AV816" s="101">
        <f t="shared" si="385"/>
        <v>64734</v>
      </c>
      <c r="AW816" s="99">
        <f t="shared" si="386"/>
        <v>0</v>
      </c>
      <c r="AX816" s="1">
        <f t="shared" si="387"/>
        <v>0</v>
      </c>
      <c r="AY816" s="29">
        <f t="shared" si="388"/>
        <v>0</v>
      </c>
      <c r="AZ816" s="1">
        <f t="shared" si="400"/>
        <v>0</v>
      </c>
      <c r="CB816" s="20">
        <f t="shared" si="409"/>
        <v>0</v>
      </c>
      <c r="CC816" s="173">
        <f t="shared" si="401"/>
        <v>0</v>
      </c>
    </row>
    <row r="817" spans="10:81" x14ac:dyDescent="0.25">
      <c r="J817" s="7"/>
      <c r="K817" s="8"/>
      <c r="L817" s="16"/>
      <c r="M817" s="22"/>
      <c r="N817" s="22"/>
      <c r="O817" s="22"/>
      <c r="P817" s="22"/>
      <c r="Q817" s="1">
        <f t="shared" si="402"/>
        <v>0.60744618579017706</v>
      </c>
      <c r="R817" s="12">
        <f t="shared" ca="1" si="389"/>
        <v>23612</v>
      </c>
      <c r="S817" s="88">
        <f t="shared" si="398"/>
        <v>0</v>
      </c>
      <c r="T817" s="19">
        <f t="shared" si="390"/>
        <v>0</v>
      </c>
      <c r="U817" s="19">
        <f t="shared" si="391"/>
        <v>0</v>
      </c>
      <c r="V817" s="19">
        <f t="shared" si="407"/>
        <v>0</v>
      </c>
      <c r="W817" s="20">
        <f t="shared" ca="1" si="392"/>
        <v>0</v>
      </c>
      <c r="X817" s="19">
        <f t="shared" ca="1" si="393"/>
        <v>0</v>
      </c>
      <c r="Y817" s="19">
        <f t="shared" ca="1" si="394"/>
        <v>0</v>
      </c>
      <c r="Z817" s="20">
        <f t="shared" ca="1" si="395"/>
        <v>0</v>
      </c>
      <c r="AA817" s="1">
        <f t="shared" si="403"/>
        <v>5432.58</v>
      </c>
      <c r="AB817" s="91"/>
      <c r="AC817" s="92"/>
      <c r="AD817" s="101">
        <f t="shared" si="404"/>
        <v>64734</v>
      </c>
      <c r="AE817" s="103">
        <f t="shared" si="405"/>
        <v>0</v>
      </c>
      <c r="AG817" s="1">
        <f t="shared" si="396"/>
        <v>0</v>
      </c>
      <c r="AH817" s="1">
        <f t="shared" si="397"/>
        <v>0</v>
      </c>
      <c r="AI817" s="1">
        <f t="shared" si="406"/>
        <v>5432.58</v>
      </c>
      <c r="AJ817" s="20">
        <f t="shared" si="408"/>
        <v>0</v>
      </c>
      <c r="AK817" s="100">
        <f t="shared" si="380"/>
        <v>0</v>
      </c>
      <c r="AL817" s="100">
        <f t="shared" si="381"/>
        <v>0</v>
      </c>
      <c r="AN817" s="100">
        <f t="shared" si="382"/>
        <v>3645.9808472832515</v>
      </c>
      <c r="AO817" s="20">
        <f t="shared" si="383"/>
        <v>0</v>
      </c>
      <c r="AQ817" s="109">
        <f t="shared" si="384"/>
        <v>0</v>
      </c>
      <c r="AU817" s="109">
        <f t="shared" si="399"/>
        <v>25.252727186531285</v>
      </c>
      <c r="AV817" s="101">
        <f t="shared" si="385"/>
        <v>64764</v>
      </c>
      <c r="AW817" s="99">
        <f t="shared" si="386"/>
        <v>0</v>
      </c>
      <c r="AX817" s="1">
        <f t="shared" si="387"/>
        <v>0</v>
      </c>
      <c r="AY817" s="29">
        <f t="shared" si="388"/>
        <v>0</v>
      </c>
      <c r="AZ817" s="1">
        <f t="shared" si="400"/>
        <v>0</v>
      </c>
      <c r="CB817" s="20">
        <f t="shared" si="409"/>
        <v>0</v>
      </c>
      <c r="CC817" s="173">
        <f t="shared" si="401"/>
        <v>0</v>
      </c>
    </row>
    <row r="818" spans="10:81" x14ac:dyDescent="0.25">
      <c r="J818" s="9"/>
      <c r="K818" s="10"/>
      <c r="L818" s="17"/>
      <c r="M818" s="23"/>
      <c r="N818" s="23"/>
      <c r="O818" s="23"/>
      <c r="P818" s="23"/>
      <c r="Q818" s="1">
        <f t="shared" si="402"/>
        <v>0.60744618579017706</v>
      </c>
      <c r="R818" s="12">
        <f t="shared" ca="1" si="389"/>
        <v>23642</v>
      </c>
      <c r="S818" s="88">
        <f t="shared" si="398"/>
        <v>0</v>
      </c>
      <c r="T818" s="19">
        <f t="shared" si="390"/>
        <v>0</v>
      </c>
      <c r="U818" s="19">
        <f t="shared" si="391"/>
        <v>0</v>
      </c>
      <c r="V818" s="19">
        <f t="shared" si="407"/>
        <v>0</v>
      </c>
      <c r="W818" s="20">
        <f t="shared" ca="1" si="392"/>
        <v>0</v>
      </c>
      <c r="X818" s="19">
        <f t="shared" ca="1" si="393"/>
        <v>0</v>
      </c>
      <c r="Y818" s="19">
        <f t="shared" ca="1" si="394"/>
        <v>0</v>
      </c>
      <c r="Z818" s="20">
        <f t="shared" ca="1" si="395"/>
        <v>0</v>
      </c>
      <c r="AA818" s="1">
        <f t="shared" si="403"/>
        <v>5432.58</v>
      </c>
      <c r="AB818" s="93"/>
      <c r="AC818" s="94"/>
      <c r="AD818" s="101">
        <f t="shared" si="404"/>
        <v>64764</v>
      </c>
      <c r="AE818" s="103">
        <f t="shared" si="405"/>
        <v>0</v>
      </c>
      <c r="AG818" s="1">
        <f t="shared" si="396"/>
        <v>0</v>
      </c>
      <c r="AH818" s="1">
        <f t="shared" si="397"/>
        <v>0</v>
      </c>
      <c r="AI818" s="1">
        <f t="shared" si="406"/>
        <v>5432.58</v>
      </c>
      <c r="AJ818" s="20">
        <f t="shared" si="408"/>
        <v>0</v>
      </c>
      <c r="AK818" s="100">
        <f t="shared" si="380"/>
        <v>0</v>
      </c>
      <c r="AL818" s="100">
        <f t="shared" si="381"/>
        <v>0</v>
      </c>
      <c r="AN818" s="100">
        <f t="shared" si="382"/>
        <v>3644.1361667707474</v>
      </c>
      <c r="AO818" s="20">
        <f t="shared" si="383"/>
        <v>0</v>
      </c>
      <c r="AQ818" s="109">
        <f t="shared" si="384"/>
        <v>0</v>
      </c>
      <c r="AU818" s="109">
        <f t="shared" si="399"/>
        <v>25.250510752809657</v>
      </c>
      <c r="AV818" s="101">
        <f t="shared" si="385"/>
        <v>64794</v>
      </c>
      <c r="AW818" s="99">
        <f t="shared" si="386"/>
        <v>0</v>
      </c>
      <c r="AX818" s="1">
        <f t="shared" si="387"/>
        <v>0</v>
      </c>
      <c r="AY818" s="29">
        <f t="shared" si="388"/>
        <v>0</v>
      </c>
      <c r="AZ818" s="1">
        <f t="shared" si="400"/>
        <v>0</v>
      </c>
      <c r="CB818" s="20">
        <f t="shared" si="409"/>
        <v>0</v>
      </c>
      <c r="CC818" s="173">
        <f t="shared" si="401"/>
        <v>0</v>
      </c>
    </row>
    <row r="819" spans="10:81" x14ac:dyDescent="0.25">
      <c r="J819" s="7"/>
      <c r="K819" s="8"/>
      <c r="L819" s="16"/>
      <c r="M819" s="22"/>
      <c r="N819" s="22"/>
      <c r="O819" s="22"/>
      <c r="P819" s="22"/>
      <c r="Q819" s="1">
        <f t="shared" si="402"/>
        <v>0.60744618579017706</v>
      </c>
      <c r="R819" s="12">
        <f t="shared" ca="1" si="389"/>
        <v>23672</v>
      </c>
      <c r="S819" s="88">
        <f t="shared" si="398"/>
        <v>0</v>
      </c>
      <c r="T819" s="19">
        <f t="shared" si="390"/>
        <v>0</v>
      </c>
      <c r="U819" s="19">
        <f t="shared" si="391"/>
        <v>0</v>
      </c>
      <c r="V819" s="19">
        <f t="shared" si="407"/>
        <v>0</v>
      </c>
      <c r="W819" s="20">
        <f t="shared" ca="1" si="392"/>
        <v>0</v>
      </c>
      <c r="X819" s="19">
        <f t="shared" ca="1" si="393"/>
        <v>0</v>
      </c>
      <c r="Y819" s="19">
        <f t="shared" ca="1" si="394"/>
        <v>0</v>
      </c>
      <c r="Z819" s="20">
        <f t="shared" ca="1" si="395"/>
        <v>0</v>
      </c>
      <c r="AA819" s="1">
        <f t="shared" si="403"/>
        <v>5432.58</v>
      </c>
      <c r="AB819" s="91"/>
      <c r="AC819" s="92"/>
      <c r="AD819" s="101">
        <f t="shared" si="404"/>
        <v>64794</v>
      </c>
      <c r="AE819" s="103">
        <f t="shared" si="405"/>
        <v>0</v>
      </c>
      <c r="AG819" s="1">
        <f t="shared" si="396"/>
        <v>0</v>
      </c>
      <c r="AH819" s="1">
        <f t="shared" si="397"/>
        <v>0</v>
      </c>
      <c r="AI819" s="1">
        <f t="shared" si="406"/>
        <v>5432.58</v>
      </c>
      <c r="AJ819" s="20">
        <f t="shared" si="408"/>
        <v>0</v>
      </c>
      <c r="AK819" s="100">
        <f t="shared" si="380"/>
        <v>0</v>
      </c>
      <c r="AL819" s="100">
        <f t="shared" si="381"/>
        <v>0</v>
      </c>
      <c r="AN819" s="100">
        <f t="shared" si="382"/>
        <v>3642.2924195725782</v>
      </c>
      <c r="AO819" s="20">
        <f t="shared" si="383"/>
        <v>0</v>
      </c>
      <c r="AQ819" s="109">
        <f t="shared" si="384"/>
        <v>0</v>
      </c>
      <c r="AU819" s="109">
        <f t="shared" si="399"/>
        <v>25.248294513624568</v>
      </c>
      <c r="AV819" s="101">
        <f t="shared" si="385"/>
        <v>64824</v>
      </c>
      <c r="AW819" s="99">
        <f t="shared" si="386"/>
        <v>0</v>
      </c>
      <c r="AX819" s="1">
        <f t="shared" si="387"/>
        <v>0</v>
      </c>
      <c r="AY819" s="29">
        <f t="shared" si="388"/>
        <v>0</v>
      </c>
      <c r="AZ819" s="1">
        <f t="shared" si="400"/>
        <v>0</v>
      </c>
      <c r="CB819" s="20">
        <f t="shared" si="409"/>
        <v>0</v>
      </c>
      <c r="CC819" s="173">
        <f t="shared" si="401"/>
        <v>0</v>
      </c>
    </row>
    <row r="820" spans="10:81" x14ac:dyDescent="0.25">
      <c r="J820" s="9"/>
      <c r="K820" s="10"/>
      <c r="L820" s="17"/>
      <c r="M820" s="23"/>
      <c r="N820" s="23"/>
      <c r="O820" s="23"/>
      <c r="P820" s="23"/>
      <c r="Q820" s="1">
        <f t="shared" si="402"/>
        <v>0.60744618579017706</v>
      </c>
      <c r="R820" s="12">
        <f t="shared" ca="1" si="389"/>
        <v>23702</v>
      </c>
      <c r="S820" s="88">
        <f t="shared" si="398"/>
        <v>0</v>
      </c>
      <c r="T820" s="19">
        <f t="shared" si="390"/>
        <v>0</v>
      </c>
      <c r="U820" s="19">
        <f t="shared" si="391"/>
        <v>0</v>
      </c>
      <c r="V820" s="19">
        <f t="shared" si="407"/>
        <v>0</v>
      </c>
      <c r="W820" s="20">
        <f t="shared" ca="1" si="392"/>
        <v>0</v>
      </c>
      <c r="X820" s="19">
        <f t="shared" ca="1" si="393"/>
        <v>0</v>
      </c>
      <c r="Y820" s="19">
        <f t="shared" ca="1" si="394"/>
        <v>0</v>
      </c>
      <c r="Z820" s="20">
        <f t="shared" ca="1" si="395"/>
        <v>0</v>
      </c>
      <c r="AA820" s="1">
        <f t="shared" si="403"/>
        <v>5432.58</v>
      </c>
      <c r="AB820" s="93"/>
      <c r="AC820" s="94"/>
      <c r="AD820" s="101">
        <f t="shared" si="404"/>
        <v>64824</v>
      </c>
      <c r="AE820" s="103">
        <f t="shared" si="405"/>
        <v>0</v>
      </c>
      <c r="AG820" s="1">
        <f t="shared" si="396"/>
        <v>0</v>
      </c>
      <c r="AH820" s="1">
        <f t="shared" si="397"/>
        <v>0</v>
      </c>
      <c r="AI820" s="1">
        <f t="shared" si="406"/>
        <v>5432.58</v>
      </c>
      <c r="AJ820" s="20">
        <f t="shared" si="408"/>
        <v>0</v>
      </c>
      <c r="AK820" s="100">
        <f t="shared" si="380"/>
        <v>0</v>
      </c>
      <c r="AL820" s="100">
        <f t="shared" si="381"/>
        <v>0</v>
      </c>
      <c r="AN820" s="100">
        <f t="shared" si="382"/>
        <v>3640.4496052165368</v>
      </c>
      <c r="AO820" s="20">
        <f t="shared" si="383"/>
        <v>0</v>
      </c>
      <c r="AQ820" s="109">
        <f t="shared" si="384"/>
        <v>0</v>
      </c>
      <c r="AU820" s="109">
        <f t="shared" si="399"/>
        <v>25.246078468958967</v>
      </c>
      <c r="AV820" s="101">
        <f t="shared" si="385"/>
        <v>64854</v>
      </c>
      <c r="AW820" s="99">
        <f t="shared" si="386"/>
        <v>0</v>
      </c>
      <c r="AX820" s="1">
        <f t="shared" si="387"/>
        <v>0</v>
      </c>
      <c r="AY820" s="29">
        <f t="shared" si="388"/>
        <v>0</v>
      </c>
      <c r="AZ820" s="1">
        <f t="shared" si="400"/>
        <v>0</v>
      </c>
      <c r="CB820" s="20">
        <f t="shared" si="409"/>
        <v>0</v>
      </c>
      <c r="CC820" s="173">
        <f t="shared" si="401"/>
        <v>0</v>
      </c>
    </row>
    <row r="821" spans="10:81" x14ac:dyDescent="0.25">
      <c r="J821" s="7"/>
      <c r="K821" s="8"/>
      <c r="L821" s="16"/>
      <c r="M821" s="22"/>
      <c r="N821" s="22"/>
      <c r="O821" s="22"/>
      <c r="P821" s="22"/>
      <c r="Q821" s="1">
        <f t="shared" si="402"/>
        <v>0.60744618579017706</v>
      </c>
      <c r="R821" s="12">
        <f t="shared" ca="1" si="389"/>
        <v>23732</v>
      </c>
      <c r="S821" s="88">
        <f t="shared" si="398"/>
        <v>0</v>
      </c>
      <c r="T821" s="19">
        <f t="shared" si="390"/>
        <v>0</v>
      </c>
      <c r="U821" s="19">
        <f t="shared" si="391"/>
        <v>0</v>
      </c>
      <c r="V821" s="19">
        <f t="shared" si="407"/>
        <v>0</v>
      </c>
      <c r="W821" s="20">
        <f t="shared" ca="1" si="392"/>
        <v>0</v>
      </c>
      <c r="X821" s="19">
        <f t="shared" ca="1" si="393"/>
        <v>0</v>
      </c>
      <c r="Y821" s="19">
        <f t="shared" ca="1" si="394"/>
        <v>0</v>
      </c>
      <c r="Z821" s="20">
        <f t="shared" ca="1" si="395"/>
        <v>0</v>
      </c>
      <c r="AA821" s="1">
        <f t="shared" si="403"/>
        <v>5432.58</v>
      </c>
      <c r="AB821" s="91"/>
      <c r="AC821" s="92"/>
      <c r="AD821" s="101">
        <f t="shared" si="404"/>
        <v>64854</v>
      </c>
      <c r="AE821" s="103">
        <f t="shared" si="405"/>
        <v>0</v>
      </c>
      <c r="AG821" s="1">
        <f t="shared" si="396"/>
        <v>0</v>
      </c>
      <c r="AH821" s="1">
        <f t="shared" si="397"/>
        <v>0</v>
      </c>
      <c r="AI821" s="1">
        <f t="shared" si="406"/>
        <v>5432.58</v>
      </c>
      <c r="AJ821" s="20">
        <f t="shared" si="408"/>
        <v>0</v>
      </c>
      <c r="AK821" s="100">
        <f t="shared" si="380"/>
        <v>0</v>
      </c>
      <c r="AL821" s="100">
        <f t="shared" si="381"/>
        <v>0</v>
      </c>
      <c r="AN821" s="100">
        <f t="shared" si="382"/>
        <v>3638.6077232306507</v>
      </c>
      <c r="AO821" s="20">
        <f t="shared" si="383"/>
        <v>0</v>
      </c>
      <c r="AQ821" s="109">
        <f t="shared" si="384"/>
        <v>0</v>
      </c>
      <c r="AU821" s="109">
        <f t="shared" si="399"/>
        <v>25.243862618795767</v>
      </c>
      <c r="AV821" s="101">
        <f t="shared" si="385"/>
        <v>64884</v>
      </c>
      <c r="AW821" s="99">
        <f t="shared" si="386"/>
        <v>0</v>
      </c>
      <c r="AX821" s="1">
        <f t="shared" si="387"/>
        <v>0</v>
      </c>
      <c r="AY821" s="29">
        <f t="shared" si="388"/>
        <v>0</v>
      </c>
      <c r="AZ821" s="1">
        <f t="shared" si="400"/>
        <v>0</v>
      </c>
      <c r="CB821" s="20">
        <f t="shared" si="409"/>
        <v>0</v>
      </c>
      <c r="CC821" s="173">
        <f t="shared" si="401"/>
        <v>0</v>
      </c>
    </row>
    <row r="822" spans="10:81" x14ac:dyDescent="0.25">
      <c r="J822" s="9"/>
      <c r="K822" s="10"/>
      <c r="L822" s="17"/>
      <c r="M822" s="23"/>
      <c r="N822" s="23"/>
      <c r="O822" s="23"/>
      <c r="P822" s="23"/>
      <c r="Q822" s="1">
        <f t="shared" si="402"/>
        <v>0.60744618579017706</v>
      </c>
      <c r="R822" s="12">
        <f t="shared" ca="1" si="389"/>
        <v>23762</v>
      </c>
      <c r="S822" s="88">
        <f t="shared" si="398"/>
        <v>0</v>
      </c>
      <c r="T822" s="19">
        <f t="shared" si="390"/>
        <v>0</v>
      </c>
      <c r="U822" s="19">
        <f t="shared" si="391"/>
        <v>0</v>
      </c>
      <c r="V822" s="19">
        <f t="shared" si="407"/>
        <v>0</v>
      </c>
      <c r="W822" s="20">
        <f t="shared" ca="1" si="392"/>
        <v>0</v>
      </c>
      <c r="X822" s="19">
        <f t="shared" ca="1" si="393"/>
        <v>0</v>
      </c>
      <c r="Y822" s="19">
        <f t="shared" ca="1" si="394"/>
        <v>0</v>
      </c>
      <c r="Z822" s="20">
        <f t="shared" ca="1" si="395"/>
        <v>0</v>
      </c>
      <c r="AA822" s="1">
        <f t="shared" si="403"/>
        <v>5432.58</v>
      </c>
      <c r="AB822" s="93"/>
      <c r="AC822" s="94"/>
      <c r="AD822" s="101">
        <f t="shared" si="404"/>
        <v>64884</v>
      </c>
      <c r="AE822" s="103">
        <f t="shared" si="405"/>
        <v>0</v>
      </c>
      <c r="AG822" s="1">
        <f t="shared" si="396"/>
        <v>0</v>
      </c>
      <c r="AH822" s="1">
        <f t="shared" si="397"/>
        <v>0</v>
      </c>
      <c r="AI822" s="1">
        <f t="shared" si="406"/>
        <v>5432.58</v>
      </c>
      <c r="AJ822" s="20">
        <f t="shared" si="408"/>
        <v>0</v>
      </c>
      <c r="AK822" s="100">
        <f t="shared" ref="AK822:AK885" si="410">IF(ISERROR(AJ822/(1+(Q822)/1200)^(ROW()-29)),0,AJ822/(1+(Q822)/1200)^(ROW()-29))</f>
        <v>0</v>
      </c>
      <c r="AL822" s="100">
        <f t="shared" ref="AL822:AL885" si="411">IF(ISERROR((Q822/1200)*O822),0,(Q822/1200)*O822)</f>
        <v>0</v>
      </c>
      <c r="AN822" s="100">
        <f t="shared" ref="AN822:AN885" si="412">IF(ISERROR(AA822/(1+(Q822)/1200)^(ROW()-29)),0,AA822/(1+(Q822)/1200)^(ROW()-29))</f>
        <v>3636.7667731431875</v>
      </c>
      <c r="AO822" s="20">
        <f t="shared" ref="AO822:AO885" si="413">IF(ISERROR(V821+U822+T822+(V821*Q822/1200)-AA822-P822),0,IF(V821+U822+T822+(V821*Q822/1200)-AA822-P822&lt;0,V821,-(U822+T822-AA822+P822-AH822)))</f>
        <v>0</v>
      </c>
      <c r="AQ822" s="109">
        <f t="shared" ref="AQ822:AQ885" si="414">AO822/(1+((1+$AM$27)^((ROW()-29)*30)-1))</f>
        <v>0</v>
      </c>
      <c r="AU822" s="109">
        <f t="shared" si="399"/>
        <v>25.241646963117898</v>
      </c>
      <c r="AV822" s="101">
        <f t="shared" ref="AV822:AV885" si="415">AD823</f>
        <v>64914</v>
      </c>
      <c r="AW822" s="99">
        <f t="shared" ref="AW822:AW885" si="416">IF(AJ823&lt;0,0,AJ823)</f>
        <v>0</v>
      </c>
      <c r="AX822" s="1">
        <f t="shared" ref="AX822:AX885" si="417">IF(AG822&gt;0,AA822,0)</f>
        <v>0</v>
      </c>
      <c r="AY822" s="29">
        <f t="shared" ref="AY822:AY885" si="418">AE822</f>
        <v>0</v>
      </c>
      <c r="AZ822" s="1">
        <f t="shared" si="400"/>
        <v>0</v>
      </c>
      <c r="CB822" s="20">
        <f t="shared" si="409"/>
        <v>0</v>
      </c>
      <c r="CC822" s="173">
        <f t="shared" si="401"/>
        <v>0</v>
      </c>
    </row>
    <row r="823" spans="10:81" x14ac:dyDescent="0.25">
      <c r="J823" s="7"/>
      <c r="K823" s="8"/>
      <c r="L823" s="16"/>
      <c r="M823" s="22"/>
      <c r="N823" s="22"/>
      <c r="O823" s="22"/>
      <c r="P823" s="22"/>
      <c r="Q823" s="1">
        <f t="shared" si="402"/>
        <v>0.60744618579017706</v>
      </c>
      <c r="R823" s="12">
        <f t="shared" ref="R823:R886" ca="1" si="419">IF(ROW()&gt;$T$20,R822+30,DAYS360(K822,K823)+R822)</f>
        <v>23792</v>
      </c>
      <c r="S823" s="88">
        <f t="shared" si="398"/>
        <v>0</v>
      </c>
      <c r="T823" s="19">
        <f t="shared" ref="T823:T886" si="420">IF(ISERROR((previousBalance*Q823/1200)*(IF(ROW()-30&lt;$G$22,$G$21,0))),0,(previousBalance*Q823/1200)*(IF(ROW()-30&lt;$G$22,$G$21,0)))</f>
        <v>0</v>
      </c>
      <c r="U823" s="19">
        <f t="shared" ref="U823:U886" si="421">AA823*(IF(ROW()-30&lt;$H$22,$H$21,0))</f>
        <v>0</v>
      </c>
      <c r="V823" s="19">
        <f t="shared" si="407"/>
        <v>0</v>
      </c>
      <c r="W823" s="20">
        <f t="shared" ref="W823:W886" ca="1" si="422">(T823)/(1+((1+$T$12)^$R823-1))</f>
        <v>0</v>
      </c>
      <c r="X823" s="19">
        <f t="shared" ref="X823:X886" ca="1" si="423">(U823)/(1+((1+$T$12)^$R823-1))</f>
        <v>0</v>
      </c>
      <c r="Y823" s="19">
        <f t="shared" ref="Y823:Y886" ca="1" si="424">P823/(1+((1+$T$12)^$R823-1))</f>
        <v>0</v>
      </c>
      <c r="Z823" s="20">
        <f t="shared" ref="Z823:Z886" ca="1" si="425">W823+X823</f>
        <v>0</v>
      </c>
      <c r="AA823" s="1">
        <f t="shared" si="403"/>
        <v>5432.58</v>
      </c>
      <c r="AB823" s="91"/>
      <c r="AC823" s="92"/>
      <c r="AD823" s="101">
        <f t="shared" si="404"/>
        <v>64914</v>
      </c>
      <c r="AE823" s="103">
        <f t="shared" si="405"/>
        <v>0</v>
      </c>
      <c r="AG823" s="1">
        <f t="shared" ref="AG823:AG886" si="426">AE823/360</f>
        <v>0</v>
      </c>
      <c r="AH823" s="1">
        <f t="shared" ref="AH823:AH886" si="427">IF(ISERROR(IF(V822+U823+T823+(V822*Q823/1200)-AA823-P823&lt;0,0,(V822*Q823/1200))),0,IF(V822+U823+T823+(V822*Q823/1200)-AA823-P823&lt;0,0,(V822*Q823/1200)))</f>
        <v>0</v>
      </c>
      <c r="AI823" s="1">
        <f t="shared" si="406"/>
        <v>5432.58</v>
      </c>
      <c r="AJ823" s="20">
        <f t="shared" si="408"/>
        <v>0</v>
      </c>
      <c r="AK823" s="100">
        <f t="shared" si="410"/>
        <v>0</v>
      </c>
      <c r="AL823" s="100">
        <f t="shared" si="411"/>
        <v>0</v>
      </c>
      <c r="AN823" s="100">
        <f t="shared" si="412"/>
        <v>3634.9267544826562</v>
      </c>
      <c r="AO823" s="20">
        <f t="shared" si="413"/>
        <v>0</v>
      </c>
      <c r="AQ823" s="109">
        <f t="shared" si="414"/>
        <v>0</v>
      </c>
      <c r="AU823" s="109">
        <f t="shared" si="399"/>
        <v>25.239431501908285</v>
      </c>
      <c r="AV823" s="101">
        <f t="shared" si="415"/>
        <v>64944</v>
      </c>
      <c r="AW823" s="99">
        <f t="shared" si="416"/>
        <v>0</v>
      </c>
      <c r="AX823" s="1">
        <f t="shared" si="417"/>
        <v>0</v>
      </c>
      <c r="AY823" s="29">
        <f t="shared" si="418"/>
        <v>0</v>
      </c>
      <c r="AZ823" s="1">
        <f t="shared" si="400"/>
        <v>0</v>
      </c>
      <c r="CB823" s="20">
        <f t="shared" si="409"/>
        <v>0</v>
      </c>
      <c r="CC823" s="173">
        <f t="shared" si="401"/>
        <v>0</v>
      </c>
    </row>
    <row r="824" spans="10:81" x14ac:dyDescent="0.25">
      <c r="J824" s="9"/>
      <c r="K824" s="10"/>
      <c r="L824" s="17"/>
      <c r="M824" s="23"/>
      <c r="N824" s="23"/>
      <c r="O824" s="23"/>
      <c r="P824" s="23"/>
      <c r="Q824" s="1">
        <f t="shared" si="402"/>
        <v>0.60744618579017706</v>
      </c>
      <c r="R824" s="12">
        <f t="shared" ca="1" si="419"/>
        <v>23822</v>
      </c>
      <c r="S824" s="88">
        <f t="shared" si="398"/>
        <v>0</v>
      </c>
      <c r="T824" s="19">
        <f t="shared" si="420"/>
        <v>0</v>
      </c>
      <c r="U824" s="19">
        <f t="shared" si="421"/>
        <v>0</v>
      </c>
      <c r="V824" s="19">
        <f t="shared" si="407"/>
        <v>0</v>
      </c>
      <c r="W824" s="20">
        <f t="shared" ca="1" si="422"/>
        <v>0</v>
      </c>
      <c r="X824" s="19">
        <f t="shared" ca="1" si="423"/>
        <v>0</v>
      </c>
      <c r="Y824" s="19">
        <f t="shared" ca="1" si="424"/>
        <v>0</v>
      </c>
      <c r="Z824" s="20">
        <f t="shared" ca="1" si="425"/>
        <v>0</v>
      </c>
      <c r="AA824" s="1">
        <f t="shared" si="403"/>
        <v>5432.58</v>
      </c>
      <c r="AB824" s="93"/>
      <c r="AC824" s="94"/>
      <c r="AD824" s="101">
        <f t="shared" si="404"/>
        <v>64944</v>
      </c>
      <c r="AE824" s="103">
        <f t="shared" si="405"/>
        <v>0</v>
      </c>
      <c r="AG824" s="1">
        <f t="shared" si="426"/>
        <v>0</v>
      </c>
      <c r="AH824" s="1">
        <f t="shared" si="427"/>
        <v>0</v>
      </c>
      <c r="AI824" s="1">
        <f t="shared" si="406"/>
        <v>5432.58</v>
      </c>
      <c r="AJ824" s="20">
        <f t="shared" si="408"/>
        <v>0</v>
      </c>
      <c r="AK824" s="100">
        <f t="shared" si="410"/>
        <v>0</v>
      </c>
      <c r="AL824" s="100">
        <f t="shared" si="411"/>
        <v>0</v>
      </c>
      <c r="AN824" s="100">
        <f t="shared" si="412"/>
        <v>3633.0876667778016</v>
      </c>
      <c r="AO824" s="20">
        <f t="shared" si="413"/>
        <v>0</v>
      </c>
      <c r="AQ824" s="109">
        <f t="shared" si="414"/>
        <v>0</v>
      </c>
      <c r="AU824" s="109">
        <f t="shared" si="399"/>
        <v>25.237216235149873</v>
      </c>
      <c r="AV824" s="101">
        <f t="shared" si="415"/>
        <v>64974</v>
      </c>
      <c r="AW824" s="99">
        <f t="shared" si="416"/>
        <v>0</v>
      </c>
      <c r="AX824" s="1">
        <f t="shared" si="417"/>
        <v>0</v>
      </c>
      <c r="AY824" s="29">
        <f t="shared" si="418"/>
        <v>0</v>
      </c>
      <c r="AZ824" s="1">
        <f t="shared" si="400"/>
        <v>0</v>
      </c>
      <c r="CB824" s="20">
        <f t="shared" si="409"/>
        <v>0</v>
      </c>
      <c r="CC824" s="173">
        <f t="shared" si="401"/>
        <v>0</v>
      </c>
    </row>
    <row r="825" spans="10:81" x14ac:dyDescent="0.25">
      <c r="J825" s="7"/>
      <c r="K825" s="8"/>
      <c r="L825" s="16"/>
      <c r="M825" s="22"/>
      <c r="N825" s="22"/>
      <c r="O825" s="22"/>
      <c r="P825" s="22"/>
      <c r="Q825" s="1">
        <f t="shared" si="402"/>
        <v>0.60744618579017706</v>
      </c>
      <c r="R825" s="12">
        <f t="shared" ca="1" si="419"/>
        <v>23852</v>
      </c>
      <c r="S825" s="88">
        <f t="shared" si="398"/>
        <v>0</v>
      </c>
      <c r="T825" s="19">
        <f t="shared" si="420"/>
        <v>0</v>
      </c>
      <c r="U825" s="19">
        <f t="shared" si="421"/>
        <v>0</v>
      </c>
      <c r="V825" s="19">
        <f t="shared" si="407"/>
        <v>0</v>
      </c>
      <c r="W825" s="20">
        <f t="shared" ca="1" si="422"/>
        <v>0</v>
      </c>
      <c r="X825" s="19">
        <f t="shared" ca="1" si="423"/>
        <v>0</v>
      </c>
      <c r="Y825" s="19">
        <f t="shared" ca="1" si="424"/>
        <v>0</v>
      </c>
      <c r="Z825" s="20">
        <f t="shared" ca="1" si="425"/>
        <v>0</v>
      </c>
      <c r="AA825" s="1">
        <f t="shared" si="403"/>
        <v>5432.58</v>
      </c>
      <c r="AB825" s="91"/>
      <c r="AC825" s="92"/>
      <c r="AD825" s="101">
        <f t="shared" si="404"/>
        <v>64974</v>
      </c>
      <c r="AE825" s="103">
        <f t="shared" si="405"/>
        <v>0</v>
      </c>
      <c r="AG825" s="1">
        <f t="shared" si="426"/>
        <v>0</v>
      </c>
      <c r="AH825" s="1">
        <f t="shared" si="427"/>
        <v>0</v>
      </c>
      <c r="AI825" s="1">
        <f t="shared" si="406"/>
        <v>5432.58</v>
      </c>
      <c r="AJ825" s="20">
        <f t="shared" si="408"/>
        <v>0</v>
      </c>
      <c r="AK825" s="100">
        <f t="shared" si="410"/>
        <v>0</v>
      </c>
      <c r="AL825" s="100">
        <f t="shared" si="411"/>
        <v>0</v>
      </c>
      <c r="AN825" s="100">
        <f t="shared" si="412"/>
        <v>3631.2495095576069</v>
      </c>
      <c r="AO825" s="20">
        <f t="shared" si="413"/>
        <v>0</v>
      </c>
      <c r="AQ825" s="109">
        <f t="shared" si="414"/>
        <v>0</v>
      </c>
      <c r="AU825" s="109">
        <f t="shared" si="399"/>
        <v>25.235001162825583</v>
      </c>
      <c r="AV825" s="101">
        <f t="shared" si="415"/>
        <v>65004</v>
      </c>
      <c r="AW825" s="99">
        <f t="shared" si="416"/>
        <v>0</v>
      </c>
      <c r="AX825" s="1">
        <f t="shared" si="417"/>
        <v>0</v>
      </c>
      <c r="AY825" s="29">
        <f t="shared" si="418"/>
        <v>0</v>
      </c>
      <c r="AZ825" s="1">
        <f t="shared" si="400"/>
        <v>0</v>
      </c>
      <c r="CB825" s="20">
        <f t="shared" si="409"/>
        <v>0</v>
      </c>
      <c r="CC825" s="173">
        <f t="shared" si="401"/>
        <v>0</v>
      </c>
    </row>
    <row r="826" spans="10:81" x14ac:dyDescent="0.25">
      <c r="J826" s="9"/>
      <c r="K826" s="10"/>
      <c r="L826" s="17"/>
      <c r="M826" s="23"/>
      <c r="N826" s="23"/>
      <c r="O826" s="23"/>
      <c r="P826" s="23"/>
      <c r="Q826" s="1">
        <f t="shared" si="402"/>
        <v>0.60744618579017706</v>
      </c>
      <c r="R826" s="12">
        <f t="shared" ca="1" si="419"/>
        <v>23882</v>
      </c>
      <c r="S826" s="88">
        <f t="shared" si="398"/>
        <v>0</v>
      </c>
      <c r="T826" s="19">
        <f t="shared" si="420"/>
        <v>0</v>
      </c>
      <c r="U826" s="19">
        <f t="shared" si="421"/>
        <v>0</v>
      </c>
      <c r="V826" s="19">
        <f t="shared" si="407"/>
        <v>0</v>
      </c>
      <c r="W826" s="20">
        <f t="shared" ca="1" si="422"/>
        <v>0</v>
      </c>
      <c r="X826" s="19">
        <f t="shared" ca="1" si="423"/>
        <v>0</v>
      </c>
      <c r="Y826" s="19">
        <f t="shared" ca="1" si="424"/>
        <v>0</v>
      </c>
      <c r="Z826" s="20">
        <f t="shared" ca="1" si="425"/>
        <v>0</v>
      </c>
      <c r="AA826" s="1">
        <f t="shared" si="403"/>
        <v>5432.58</v>
      </c>
      <c r="AB826" s="93"/>
      <c r="AC826" s="94"/>
      <c r="AD826" s="101">
        <f t="shared" si="404"/>
        <v>65004</v>
      </c>
      <c r="AE826" s="103">
        <f t="shared" si="405"/>
        <v>0</v>
      </c>
      <c r="AG826" s="1">
        <f t="shared" si="426"/>
        <v>0</v>
      </c>
      <c r="AH826" s="1">
        <f t="shared" si="427"/>
        <v>0</v>
      </c>
      <c r="AI826" s="1">
        <f t="shared" si="406"/>
        <v>5432.58</v>
      </c>
      <c r="AJ826" s="20">
        <f t="shared" si="408"/>
        <v>0</v>
      </c>
      <c r="AK826" s="100">
        <f t="shared" si="410"/>
        <v>0</v>
      </c>
      <c r="AL826" s="100">
        <f t="shared" si="411"/>
        <v>0</v>
      </c>
      <c r="AN826" s="100">
        <f t="shared" si="412"/>
        <v>3629.4122823512944</v>
      </c>
      <c r="AO826" s="20">
        <f t="shared" si="413"/>
        <v>0</v>
      </c>
      <c r="AQ826" s="109">
        <f t="shared" si="414"/>
        <v>0</v>
      </c>
      <c r="AU826" s="109">
        <f t="shared" si="399"/>
        <v>25.232786284918348</v>
      </c>
      <c r="AV826" s="101">
        <f t="shared" si="415"/>
        <v>65034</v>
      </c>
      <c r="AW826" s="99">
        <f t="shared" si="416"/>
        <v>0</v>
      </c>
      <c r="AX826" s="1">
        <f t="shared" si="417"/>
        <v>0</v>
      </c>
      <c r="AY826" s="29">
        <f t="shared" si="418"/>
        <v>0</v>
      </c>
      <c r="AZ826" s="1">
        <f t="shared" si="400"/>
        <v>0</v>
      </c>
      <c r="CB826" s="20">
        <f t="shared" si="409"/>
        <v>0</v>
      </c>
      <c r="CC826" s="173">
        <f t="shared" si="401"/>
        <v>0</v>
      </c>
    </row>
    <row r="827" spans="10:81" x14ac:dyDescent="0.25">
      <c r="J827" s="7"/>
      <c r="K827" s="8"/>
      <c r="L827" s="16"/>
      <c r="M827" s="22"/>
      <c r="N827" s="22"/>
      <c r="O827" s="22"/>
      <c r="P827" s="22"/>
      <c r="Q827" s="1">
        <f t="shared" si="402"/>
        <v>0.60744618579017706</v>
      </c>
      <c r="R827" s="12">
        <f t="shared" ca="1" si="419"/>
        <v>23912</v>
      </c>
      <c r="S827" s="88">
        <f t="shared" si="398"/>
        <v>0</v>
      </c>
      <c r="T827" s="19">
        <f t="shared" si="420"/>
        <v>0</v>
      </c>
      <c r="U827" s="19">
        <f t="shared" si="421"/>
        <v>0</v>
      </c>
      <c r="V827" s="19">
        <f t="shared" si="407"/>
        <v>0</v>
      </c>
      <c r="W827" s="20">
        <f t="shared" ca="1" si="422"/>
        <v>0</v>
      </c>
      <c r="X827" s="19">
        <f t="shared" ca="1" si="423"/>
        <v>0</v>
      </c>
      <c r="Y827" s="19">
        <f t="shared" ca="1" si="424"/>
        <v>0</v>
      </c>
      <c r="Z827" s="20">
        <f t="shared" ca="1" si="425"/>
        <v>0</v>
      </c>
      <c r="AA827" s="1">
        <f t="shared" si="403"/>
        <v>5432.58</v>
      </c>
      <c r="AB827" s="91"/>
      <c r="AC827" s="92"/>
      <c r="AD827" s="101">
        <f t="shared" si="404"/>
        <v>65034</v>
      </c>
      <c r="AE827" s="103">
        <f t="shared" si="405"/>
        <v>0</v>
      </c>
      <c r="AG827" s="1">
        <f t="shared" si="426"/>
        <v>0</v>
      </c>
      <c r="AH827" s="1">
        <f t="shared" si="427"/>
        <v>0</v>
      </c>
      <c r="AI827" s="1">
        <f t="shared" si="406"/>
        <v>5432.58</v>
      </c>
      <c r="AJ827" s="20">
        <f t="shared" si="408"/>
        <v>0</v>
      </c>
      <c r="AK827" s="100">
        <f t="shared" si="410"/>
        <v>0</v>
      </c>
      <c r="AL827" s="100">
        <f t="shared" si="411"/>
        <v>0</v>
      </c>
      <c r="AN827" s="100">
        <f t="shared" si="412"/>
        <v>3627.5759846883238</v>
      </c>
      <c r="AO827" s="20">
        <f t="shared" si="413"/>
        <v>0</v>
      </c>
      <c r="AQ827" s="109">
        <f t="shared" si="414"/>
        <v>0</v>
      </c>
      <c r="AU827" s="109">
        <f t="shared" si="399"/>
        <v>25.230571601411118</v>
      </c>
      <c r="AV827" s="101">
        <f t="shared" si="415"/>
        <v>65064</v>
      </c>
      <c r="AW827" s="99">
        <f t="shared" si="416"/>
        <v>0</v>
      </c>
      <c r="AX827" s="1">
        <f t="shared" si="417"/>
        <v>0</v>
      </c>
      <c r="AY827" s="29">
        <f t="shared" si="418"/>
        <v>0</v>
      </c>
      <c r="AZ827" s="1">
        <f t="shared" si="400"/>
        <v>0</v>
      </c>
      <c r="CB827" s="20">
        <f t="shared" si="409"/>
        <v>0</v>
      </c>
      <c r="CC827" s="173">
        <f t="shared" si="401"/>
        <v>0</v>
      </c>
    </row>
    <row r="828" spans="10:81" x14ac:dyDescent="0.25">
      <c r="J828" s="9"/>
      <c r="K828" s="10"/>
      <c r="L828" s="17"/>
      <c r="M828" s="23"/>
      <c r="N828" s="23"/>
      <c r="O828" s="23"/>
      <c r="P828" s="23"/>
      <c r="Q828" s="1">
        <f t="shared" si="402"/>
        <v>0.60744618579017706</v>
      </c>
      <c r="R828" s="12">
        <f t="shared" ca="1" si="419"/>
        <v>23942</v>
      </c>
      <c r="S828" s="88">
        <f t="shared" si="398"/>
        <v>0</v>
      </c>
      <c r="T828" s="19">
        <f t="shared" si="420"/>
        <v>0</v>
      </c>
      <c r="U828" s="19">
        <f t="shared" si="421"/>
        <v>0</v>
      </c>
      <c r="V828" s="19">
        <f t="shared" si="407"/>
        <v>0</v>
      </c>
      <c r="W828" s="20">
        <f t="shared" ca="1" si="422"/>
        <v>0</v>
      </c>
      <c r="X828" s="19">
        <f t="shared" ca="1" si="423"/>
        <v>0</v>
      </c>
      <c r="Y828" s="19">
        <f t="shared" ca="1" si="424"/>
        <v>0</v>
      </c>
      <c r="Z828" s="20">
        <f t="shared" ca="1" si="425"/>
        <v>0</v>
      </c>
      <c r="AA828" s="1">
        <f t="shared" si="403"/>
        <v>5432.58</v>
      </c>
      <c r="AB828" s="93"/>
      <c r="AC828" s="94"/>
      <c r="AD828" s="101">
        <f t="shared" si="404"/>
        <v>65064</v>
      </c>
      <c r="AE828" s="103">
        <f t="shared" si="405"/>
        <v>0</v>
      </c>
      <c r="AG828" s="1">
        <f t="shared" si="426"/>
        <v>0</v>
      </c>
      <c r="AH828" s="1">
        <f t="shared" si="427"/>
        <v>0</v>
      </c>
      <c r="AI828" s="1">
        <f t="shared" si="406"/>
        <v>5432.58</v>
      </c>
      <c r="AJ828" s="20">
        <f t="shared" si="408"/>
        <v>0</v>
      </c>
      <c r="AK828" s="100">
        <f t="shared" si="410"/>
        <v>0</v>
      </c>
      <c r="AL828" s="100">
        <f t="shared" si="411"/>
        <v>0</v>
      </c>
      <c r="AN828" s="100">
        <f t="shared" si="412"/>
        <v>3625.740616098396</v>
      </c>
      <c r="AO828" s="20">
        <f t="shared" si="413"/>
        <v>0</v>
      </c>
      <c r="AQ828" s="109">
        <f t="shared" si="414"/>
        <v>0</v>
      </c>
      <c r="AU828" s="109">
        <f t="shared" si="399"/>
        <v>25.228357112286822</v>
      </c>
      <c r="AV828" s="101">
        <f t="shared" si="415"/>
        <v>65094</v>
      </c>
      <c r="AW828" s="99">
        <f t="shared" si="416"/>
        <v>0</v>
      </c>
      <c r="AX828" s="1">
        <f t="shared" si="417"/>
        <v>0</v>
      </c>
      <c r="AY828" s="29">
        <f t="shared" si="418"/>
        <v>0</v>
      </c>
      <c r="AZ828" s="1">
        <f t="shared" si="400"/>
        <v>0</v>
      </c>
      <c r="CB828" s="20">
        <f t="shared" si="409"/>
        <v>0</v>
      </c>
      <c r="CC828" s="173">
        <f t="shared" si="401"/>
        <v>0</v>
      </c>
    </row>
    <row r="829" spans="10:81" x14ac:dyDescent="0.25">
      <c r="J829" s="7"/>
      <c r="K829" s="8"/>
      <c r="L829" s="16"/>
      <c r="M829" s="22"/>
      <c r="N829" s="22"/>
      <c r="O829" s="22"/>
      <c r="P829" s="22"/>
      <c r="Q829" s="1">
        <f t="shared" si="402"/>
        <v>0.60744618579017706</v>
      </c>
      <c r="R829" s="12">
        <f t="shared" ca="1" si="419"/>
        <v>23972</v>
      </c>
      <c r="S829" s="88">
        <f t="shared" si="398"/>
        <v>0</v>
      </c>
      <c r="T829" s="19">
        <f t="shared" si="420"/>
        <v>0</v>
      </c>
      <c r="U829" s="19">
        <f t="shared" si="421"/>
        <v>0</v>
      </c>
      <c r="V829" s="19">
        <f t="shared" si="407"/>
        <v>0</v>
      </c>
      <c r="W829" s="20">
        <f t="shared" ca="1" si="422"/>
        <v>0</v>
      </c>
      <c r="X829" s="19">
        <f t="shared" ca="1" si="423"/>
        <v>0</v>
      </c>
      <c r="Y829" s="19">
        <f t="shared" ca="1" si="424"/>
        <v>0</v>
      </c>
      <c r="Z829" s="20">
        <f t="shared" ca="1" si="425"/>
        <v>0</v>
      </c>
      <c r="AA829" s="1">
        <f t="shared" si="403"/>
        <v>5432.58</v>
      </c>
      <c r="AB829" s="91"/>
      <c r="AC829" s="92"/>
      <c r="AD829" s="101">
        <f t="shared" si="404"/>
        <v>65094</v>
      </c>
      <c r="AE829" s="103">
        <f t="shared" si="405"/>
        <v>0</v>
      </c>
      <c r="AG829" s="1">
        <f t="shared" si="426"/>
        <v>0</v>
      </c>
      <c r="AH829" s="1">
        <f t="shared" si="427"/>
        <v>0</v>
      </c>
      <c r="AI829" s="1">
        <f t="shared" si="406"/>
        <v>5432.58</v>
      </c>
      <c r="AJ829" s="20">
        <f t="shared" si="408"/>
        <v>0</v>
      </c>
      <c r="AK829" s="100">
        <f t="shared" si="410"/>
        <v>0</v>
      </c>
      <c r="AL829" s="100">
        <f t="shared" si="411"/>
        <v>0</v>
      </c>
      <c r="AN829" s="100">
        <f t="shared" si="412"/>
        <v>3623.9061761114453</v>
      </c>
      <c r="AO829" s="20">
        <f t="shared" si="413"/>
        <v>0</v>
      </c>
      <c r="AQ829" s="109">
        <f t="shared" si="414"/>
        <v>0</v>
      </c>
      <c r="AU829" s="109">
        <f t="shared" si="399"/>
        <v>25.226142817528398</v>
      </c>
      <c r="AV829" s="101">
        <f t="shared" si="415"/>
        <v>65124</v>
      </c>
      <c r="AW829" s="99">
        <f t="shared" si="416"/>
        <v>0</v>
      </c>
      <c r="AX829" s="1">
        <f t="shared" si="417"/>
        <v>0</v>
      </c>
      <c r="AY829" s="29">
        <f t="shared" si="418"/>
        <v>0</v>
      </c>
      <c r="AZ829" s="1">
        <f t="shared" si="400"/>
        <v>0</v>
      </c>
      <c r="CB829" s="20">
        <f t="shared" si="409"/>
        <v>0</v>
      </c>
      <c r="CC829" s="173">
        <f t="shared" si="401"/>
        <v>0</v>
      </c>
    </row>
    <row r="830" spans="10:81" x14ac:dyDescent="0.25">
      <c r="J830" s="9"/>
      <c r="K830" s="10"/>
      <c r="L830" s="17"/>
      <c r="M830" s="23"/>
      <c r="N830" s="23"/>
      <c r="O830" s="23"/>
      <c r="P830" s="23"/>
      <c r="Q830" s="1">
        <f t="shared" si="402"/>
        <v>0.60744618579017706</v>
      </c>
      <c r="R830" s="12">
        <f t="shared" ca="1" si="419"/>
        <v>24002</v>
      </c>
      <c r="S830" s="88">
        <f t="shared" si="398"/>
        <v>0</v>
      </c>
      <c r="T830" s="19">
        <f t="shared" si="420"/>
        <v>0</v>
      </c>
      <c r="U830" s="19">
        <f t="shared" si="421"/>
        <v>0</v>
      </c>
      <c r="V830" s="19">
        <f t="shared" si="407"/>
        <v>0</v>
      </c>
      <c r="W830" s="20">
        <f t="shared" ca="1" si="422"/>
        <v>0</v>
      </c>
      <c r="X830" s="19">
        <f t="shared" ca="1" si="423"/>
        <v>0</v>
      </c>
      <c r="Y830" s="19">
        <f t="shared" ca="1" si="424"/>
        <v>0</v>
      </c>
      <c r="Z830" s="20">
        <f t="shared" ca="1" si="425"/>
        <v>0</v>
      </c>
      <c r="AA830" s="1">
        <f t="shared" si="403"/>
        <v>5432.58</v>
      </c>
      <c r="AB830" s="93"/>
      <c r="AC830" s="94"/>
      <c r="AD830" s="101">
        <f t="shared" si="404"/>
        <v>65124</v>
      </c>
      <c r="AE830" s="103">
        <f t="shared" si="405"/>
        <v>0</v>
      </c>
      <c r="AG830" s="1">
        <f t="shared" si="426"/>
        <v>0</v>
      </c>
      <c r="AH830" s="1">
        <f t="shared" si="427"/>
        <v>0</v>
      </c>
      <c r="AI830" s="1">
        <f t="shared" si="406"/>
        <v>5432.58</v>
      </c>
      <c r="AJ830" s="20">
        <f t="shared" si="408"/>
        <v>0</v>
      </c>
      <c r="AK830" s="100">
        <f t="shared" si="410"/>
        <v>0</v>
      </c>
      <c r="AL830" s="100">
        <f t="shared" si="411"/>
        <v>0</v>
      </c>
      <c r="AN830" s="100">
        <f t="shared" si="412"/>
        <v>3622.0726642576465</v>
      </c>
      <c r="AO830" s="20">
        <f t="shared" si="413"/>
        <v>0</v>
      </c>
      <c r="AQ830" s="109">
        <f t="shared" si="414"/>
        <v>0</v>
      </c>
      <c r="AU830" s="109">
        <f t="shared" si="399"/>
        <v>25.223928717118785</v>
      </c>
      <c r="AV830" s="101">
        <f t="shared" si="415"/>
        <v>65154</v>
      </c>
      <c r="AW830" s="99">
        <f t="shared" si="416"/>
        <v>0</v>
      </c>
      <c r="AX830" s="1">
        <f t="shared" si="417"/>
        <v>0</v>
      </c>
      <c r="AY830" s="29">
        <f t="shared" si="418"/>
        <v>0</v>
      </c>
      <c r="AZ830" s="1">
        <f t="shared" si="400"/>
        <v>0</v>
      </c>
      <c r="CB830" s="20">
        <f t="shared" si="409"/>
        <v>0</v>
      </c>
      <c r="CC830" s="173">
        <f t="shared" si="401"/>
        <v>0</v>
      </c>
    </row>
    <row r="831" spans="10:81" x14ac:dyDescent="0.25">
      <c r="J831" s="7"/>
      <c r="K831" s="8"/>
      <c r="L831" s="16"/>
      <c r="M831" s="22"/>
      <c r="N831" s="22"/>
      <c r="O831" s="22"/>
      <c r="P831" s="22"/>
      <c r="Q831" s="1">
        <f t="shared" si="402"/>
        <v>0.60744618579017706</v>
      </c>
      <c r="R831" s="12">
        <f t="shared" ca="1" si="419"/>
        <v>24032</v>
      </c>
      <c r="S831" s="88">
        <f t="shared" si="398"/>
        <v>0</v>
      </c>
      <c r="T831" s="19">
        <f t="shared" si="420"/>
        <v>0</v>
      </c>
      <c r="U831" s="19">
        <f t="shared" si="421"/>
        <v>0</v>
      </c>
      <c r="V831" s="19">
        <f t="shared" si="407"/>
        <v>0</v>
      </c>
      <c r="W831" s="20">
        <f t="shared" ca="1" si="422"/>
        <v>0</v>
      </c>
      <c r="X831" s="19">
        <f t="shared" ca="1" si="423"/>
        <v>0</v>
      </c>
      <c r="Y831" s="19">
        <f t="shared" ca="1" si="424"/>
        <v>0</v>
      </c>
      <c r="Z831" s="20">
        <f t="shared" ca="1" si="425"/>
        <v>0</v>
      </c>
      <c r="AA831" s="1">
        <f t="shared" si="403"/>
        <v>5432.58</v>
      </c>
      <c r="AB831" s="91"/>
      <c r="AC831" s="92"/>
      <c r="AD831" s="101">
        <f t="shared" si="404"/>
        <v>65154</v>
      </c>
      <c r="AE831" s="103">
        <f t="shared" si="405"/>
        <v>0</v>
      </c>
      <c r="AG831" s="1">
        <f t="shared" si="426"/>
        <v>0</v>
      </c>
      <c r="AH831" s="1">
        <f t="shared" si="427"/>
        <v>0</v>
      </c>
      <c r="AI831" s="1">
        <f t="shared" si="406"/>
        <v>5432.58</v>
      </c>
      <c r="AJ831" s="20">
        <f t="shared" si="408"/>
        <v>0</v>
      </c>
      <c r="AK831" s="100">
        <f t="shared" si="410"/>
        <v>0</v>
      </c>
      <c r="AL831" s="100">
        <f t="shared" si="411"/>
        <v>0</v>
      </c>
      <c r="AN831" s="100">
        <f t="shared" si="412"/>
        <v>3620.2400800674118</v>
      </c>
      <c r="AO831" s="20">
        <f t="shared" si="413"/>
        <v>0</v>
      </c>
      <c r="AQ831" s="109">
        <f t="shared" si="414"/>
        <v>0</v>
      </c>
      <c r="AU831" s="109">
        <f t="shared" si="399"/>
        <v>25.22171481104094</v>
      </c>
      <c r="AV831" s="101">
        <f t="shared" si="415"/>
        <v>65184</v>
      </c>
      <c r="AW831" s="99">
        <f t="shared" si="416"/>
        <v>0</v>
      </c>
      <c r="AX831" s="1">
        <f t="shared" si="417"/>
        <v>0</v>
      </c>
      <c r="AY831" s="29">
        <f t="shared" si="418"/>
        <v>0</v>
      </c>
      <c r="AZ831" s="1">
        <f t="shared" si="400"/>
        <v>0</v>
      </c>
      <c r="CB831" s="20">
        <f t="shared" si="409"/>
        <v>0</v>
      </c>
      <c r="CC831" s="173">
        <f t="shared" si="401"/>
        <v>0</v>
      </c>
    </row>
    <row r="832" spans="10:81" x14ac:dyDescent="0.25">
      <c r="J832" s="9"/>
      <c r="K832" s="10"/>
      <c r="L832" s="17"/>
      <c r="M832" s="23"/>
      <c r="N832" s="23"/>
      <c r="O832" s="23"/>
      <c r="P832" s="23"/>
      <c r="Q832" s="1">
        <f t="shared" si="402"/>
        <v>0.60744618579017706</v>
      </c>
      <c r="R832" s="12">
        <f t="shared" ca="1" si="419"/>
        <v>24062</v>
      </c>
      <c r="S832" s="88">
        <f t="shared" si="398"/>
        <v>0</v>
      </c>
      <c r="T832" s="19">
        <f t="shared" si="420"/>
        <v>0</v>
      </c>
      <c r="U832" s="19">
        <f t="shared" si="421"/>
        <v>0</v>
      </c>
      <c r="V832" s="19">
        <f t="shared" si="407"/>
        <v>0</v>
      </c>
      <c r="W832" s="20">
        <f t="shared" ca="1" si="422"/>
        <v>0</v>
      </c>
      <c r="X832" s="19">
        <f t="shared" ca="1" si="423"/>
        <v>0</v>
      </c>
      <c r="Y832" s="19">
        <f t="shared" ca="1" si="424"/>
        <v>0</v>
      </c>
      <c r="Z832" s="20">
        <f t="shared" ca="1" si="425"/>
        <v>0</v>
      </c>
      <c r="AA832" s="1">
        <f t="shared" si="403"/>
        <v>5432.58</v>
      </c>
      <c r="AB832" s="93"/>
      <c r="AC832" s="94"/>
      <c r="AD832" s="101">
        <f t="shared" si="404"/>
        <v>65184</v>
      </c>
      <c r="AE832" s="103">
        <f t="shared" si="405"/>
        <v>0</v>
      </c>
      <c r="AG832" s="1">
        <f t="shared" si="426"/>
        <v>0</v>
      </c>
      <c r="AH832" s="1">
        <f t="shared" si="427"/>
        <v>0</v>
      </c>
      <c r="AI832" s="1">
        <f t="shared" si="406"/>
        <v>5432.58</v>
      </c>
      <c r="AJ832" s="20">
        <f t="shared" si="408"/>
        <v>0</v>
      </c>
      <c r="AK832" s="100">
        <f t="shared" si="410"/>
        <v>0</v>
      </c>
      <c r="AL832" s="100">
        <f t="shared" si="411"/>
        <v>0</v>
      </c>
      <c r="AN832" s="100">
        <f t="shared" si="412"/>
        <v>3618.4084230713902</v>
      </c>
      <c r="AO832" s="20">
        <f t="shared" si="413"/>
        <v>0</v>
      </c>
      <c r="AQ832" s="109">
        <f t="shared" si="414"/>
        <v>0</v>
      </c>
      <c r="AU832" s="109">
        <f t="shared" si="399"/>
        <v>25.219501099277778</v>
      </c>
      <c r="AV832" s="101">
        <f t="shared" si="415"/>
        <v>65214</v>
      </c>
      <c r="AW832" s="99">
        <f t="shared" si="416"/>
        <v>0</v>
      </c>
      <c r="AX832" s="1">
        <f t="shared" si="417"/>
        <v>0</v>
      </c>
      <c r="AY832" s="29">
        <f t="shared" si="418"/>
        <v>0</v>
      </c>
      <c r="AZ832" s="1">
        <f t="shared" si="400"/>
        <v>0</v>
      </c>
      <c r="CB832" s="20">
        <f t="shared" si="409"/>
        <v>0</v>
      </c>
      <c r="CC832" s="173">
        <f t="shared" si="401"/>
        <v>0</v>
      </c>
    </row>
    <row r="833" spans="10:81" x14ac:dyDescent="0.25">
      <c r="J833" s="7"/>
      <c r="K833" s="8"/>
      <c r="L833" s="16"/>
      <c r="M833" s="22"/>
      <c r="N833" s="22"/>
      <c r="O833" s="22"/>
      <c r="P833" s="22"/>
      <c r="Q833" s="1">
        <f t="shared" si="402"/>
        <v>0.60744618579017706</v>
      </c>
      <c r="R833" s="12">
        <f t="shared" ca="1" si="419"/>
        <v>24092</v>
      </c>
      <c r="S833" s="88">
        <f t="shared" si="398"/>
        <v>0</v>
      </c>
      <c r="T833" s="19">
        <f t="shared" si="420"/>
        <v>0</v>
      </c>
      <c r="U833" s="19">
        <f t="shared" si="421"/>
        <v>0</v>
      </c>
      <c r="V833" s="19">
        <f t="shared" si="407"/>
        <v>0</v>
      </c>
      <c r="W833" s="20">
        <f t="shared" ca="1" si="422"/>
        <v>0</v>
      </c>
      <c r="X833" s="19">
        <f t="shared" ca="1" si="423"/>
        <v>0</v>
      </c>
      <c r="Y833" s="19">
        <f t="shared" ca="1" si="424"/>
        <v>0</v>
      </c>
      <c r="Z833" s="20">
        <f t="shared" ca="1" si="425"/>
        <v>0</v>
      </c>
      <c r="AA833" s="1">
        <f t="shared" si="403"/>
        <v>5432.58</v>
      </c>
      <c r="AB833" s="91"/>
      <c r="AC833" s="92"/>
      <c r="AD833" s="101">
        <f t="shared" si="404"/>
        <v>65214</v>
      </c>
      <c r="AE833" s="103">
        <f t="shared" si="405"/>
        <v>0</v>
      </c>
      <c r="AG833" s="1">
        <f t="shared" si="426"/>
        <v>0</v>
      </c>
      <c r="AH833" s="1">
        <f t="shared" si="427"/>
        <v>0</v>
      </c>
      <c r="AI833" s="1">
        <f t="shared" si="406"/>
        <v>5432.58</v>
      </c>
      <c r="AJ833" s="20">
        <f t="shared" si="408"/>
        <v>0</v>
      </c>
      <c r="AK833" s="100">
        <f t="shared" si="410"/>
        <v>0</v>
      </c>
      <c r="AL833" s="100">
        <f t="shared" si="411"/>
        <v>0</v>
      </c>
      <c r="AN833" s="100">
        <f t="shared" si="412"/>
        <v>3616.5776928004684</v>
      </c>
      <c r="AO833" s="20">
        <f t="shared" si="413"/>
        <v>0</v>
      </c>
      <c r="AQ833" s="109">
        <f t="shared" si="414"/>
        <v>0</v>
      </c>
      <c r="AU833" s="109">
        <f t="shared" si="399"/>
        <v>25.217287581812265</v>
      </c>
      <c r="AV833" s="101">
        <f t="shared" si="415"/>
        <v>65244</v>
      </c>
      <c r="AW833" s="99">
        <f t="shared" si="416"/>
        <v>0</v>
      </c>
      <c r="AX833" s="1">
        <f t="shared" si="417"/>
        <v>0</v>
      </c>
      <c r="AY833" s="29">
        <f t="shared" si="418"/>
        <v>0</v>
      </c>
      <c r="AZ833" s="1">
        <f t="shared" si="400"/>
        <v>0</v>
      </c>
      <c r="CB833" s="20">
        <f t="shared" si="409"/>
        <v>0</v>
      </c>
      <c r="CC833" s="173">
        <f t="shared" si="401"/>
        <v>0</v>
      </c>
    </row>
    <row r="834" spans="10:81" x14ac:dyDescent="0.25">
      <c r="J834" s="9"/>
      <c r="K834" s="10"/>
      <c r="L834" s="17"/>
      <c r="M834" s="23"/>
      <c r="N834" s="23"/>
      <c r="O834" s="23"/>
      <c r="P834" s="23"/>
      <c r="Q834" s="1">
        <f t="shared" si="402"/>
        <v>0.60744618579017706</v>
      </c>
      <c r="R834" s="12">
        <f t="shared" ca="1" si="419"/>
        <v>24122</v>
      </c>
      <c r="S834" s="88">
        <f t="shared" si="398"/>
        <v>0</v>
      </c>
      <c r="T834" s="19">
        <f t="shared" si="420"/>
        <v>0</v>
      </c>
      <c r="U834" s="19">
        <f t="shared" si="421"/>
        <v>0</v>
      </c>
      <c r="V834" s="19">
        <f t="shared" si="407"/>
        <v>0</v>
      </c>
      <c r="W834" s="20">
        <f t="shared" ca="1" si="422"/>
        <v>0</v>
      </c>
      <c r="X834" s="19">
        <f t="shared" ca="1" si="423"/>
        <v>0</v>
      </c>
      <c r="Y834" s="19">
        <f t="shared" ca="1" si="424"/>
        <v>0</v>
      </c>
      <c r="Z834" s="20">
        <f t="shared" ca="1" si="425"/>
        <v>0</v>
      </c>
      <c r="AA834" s="1">
        <f t="shared" si="403"/>
        <v>5432.58</v>
      </c>
      <c r="AB834" s="93"/>
      <c r="AC834" s="94"/>
      <c r="AD834" s="101">
        <f t="shared" si="404"/>
        <v>65244</v>
      </c>
      <c r="AE834" s="103">
        <f t="shared" si="405"/>
        <v>0</v>
      </c>
      <c r="AG834" s="1">
        <f t="shared" si="426"/>
        <v>0</v>
      </c>
      <c r="AH834" s="1">
        <f t="shared" si="427"/>
        <v>0</v>
      </c>
      <c r="AI834" s="1">
        <f t="shared" si="406"/>
        <v>5432.58</v>
      </c>
      <c r="AJ834" s="20">
        <f t="shared" si="408"/>
        <v>0</v>
      </c>
      <c r="AK834" s="100">
        <f t="shared" si="410"/>
        <v>0</v>
      </c>
      <c r="AL834" s="100">
        <f t="shared" si="411"/>
        <v>0</v>
      </c>
      <c r="AN834" s="100">
        <f t="shared" si="412"/>
        <v>3614.7478887857719</v>
      </c>
      <c r="AO834" s="20">
        <f t="shared" si="413"/>
        <v>0</v>
      </c>
      <c r="AQ834" s="109">
        <f t="shared" si="414"/>
        <v>0</v>
      </c>
      <c r="AU834" s="109">
        <f t="shared" si="399"/>
        <v>25.21507425862734</v>
      </c>
      <c r="AV834" s="101">
        <f t="shared" si="415"/>
        <v>65274</v>
      </c>
      <c r="AW834" s="99">
        <f t="shared" si="416"/>
        <v>0</v>
      </c>
      <c r="AX834" s="1">
        <f t="shared" si="417"/>
        <v>0</v>
      </c>
      <c r="AY834" s="29">
        <f t="shared" si="418"/>
        <v>0</v>
      </c>
      <c r="AZ834" s="1">
        <f t="shared" si="400"/>
        <v>0</v>
      </c>
      <c r="CB834" s="20">
        <f t="shared" si="409"/>
        <v>0</v>
      </c>
      <c r="CC834" s="173">
        <f t="shared" si="401"/>
        <v>0</v>
      </c>
    </row>
    <row r="835" spans="10:81" x14ac:dyDescent="0.25">
      <c r="J835" s="7"/>
      <c r="K835" s="8"/>
      <c r="L835" s="16"/>
      <c r="M835" s="22"/>
      <c r="N835" s="22"/>
      <c r="O835" s="22"/>
      <c r="P835" s="22"/>
      <c r="Q835" s="1">
        <f t="shared" si="402"/>
        <v>0.60744618579017706</v>
      </c>
      <c r="R835" s="12">
        <f t="shared" ca="1" si="419"/>
        <v>24152</v>
      </c>
      <c r="S835" s="88">
        <f t="shared" ref="S835:S898" si="428">N835+M835</f>
        <v>0</v>
      </c>
      <c r="T835" s="19">
        <f t="shared" si="420"/>
        <v>0</v>
      </c>
      <c r="U835" s="19">
        <f t="shared" si="421"/>
        <v>0</v>
      </c>
      <c r="V835" s="19">
        <f t="shared" si="407"/>
        <v>0</v>
      </c>
      <c r="W835" s="20">
        <f t="shared" ca="1" si="422"/>
        <v>0</v>
      </c>
      <c r="X835" s="19">
        <f t="shared" ca="1" si="423"/>
        <v>0</v>
      </c>
      <c r="Y835" s="19">
        <f t="shared" ca="1" si="424"/>
        <v>0</v>
      </c>
      <c r="Z835" s="20">
        <f t="shared" ca="1" si="425"/>
        <v>0</v>
      </c>
      <c r="AA835" s="1">
        <f t="shared" si="403"/>
        <v>5432.58</v>
      </c>
      <c r="AB835" s="91"/>
      <c r="AC835" s="92"/>
      <c r="AD835" s="101">
        <f t="shared" si="404"/>
        <v>65274</v>
      </c>
      <c r="AE835" s="103">
        <f t="shared" si="405"/>
        <v>0</v>
      </c>
      <c r="AG835" s="1">
        <f t="shared" si="426"/>
        <v>0</v>
      </c>
      <c r="AH835" s="1">
        <f t="shared" si="427"/>
        <v>0</v>
      </c>
      <c r="AI835" s="1">
        <f t="shared" si="406"/>
        <v>5432.58</v>
      </c>
      <c r="AJ835" s="20">
        <f t="shared" si="408"/>
        <v>0</v>
      </c>
      <c r="AK835" s="100">
        <f t="shared" si="410"/>
        <v>0</v>
      </c>
      <c r="AL835" s="100">
        <f t="shared" si="411"/>
        <v>0</v>
      </c>
      <c r="AN835" s="100">
        <f t="shared" si="412"/>
        <v>3612.9190105586604</v>
      </c>
      <c r="AO835" s="20">
        <f t="shared" si="413"/>
        <v>0</v>
      </c>
      <c r="AQ835" s="109">
        <f t="shared" si="414"/>
        <v>0</v>
      </c>
      <c r="AU835" s="109">
        <f t="shared" si="399"/>
        <v>25.212861129705956</v>
      </c>
      <c r="AV835" s="101">
        <f t="shared" si="415"/>
        <v>65304</v>
      </c>
      <c r="AW835" s="99">
        <f t="shared" si="416"/>
        <v>0</v>
      </c>
      <c r="AX835" s="1">
        <f t="shared" si="417"/>
        <v>0</v>
      </c>
      <c r="AY835" s="29">
        <f t="shared" si="418"/>
        <v>0</v>
      </c>
      <c r="AZ835" s="1">
        <f t="shared" si="400"/>
        <v>0</v>
      </c>
      <c r="CB835" s="20">
        <f t="shared" si="409"/>
        <v>0</v>
      </c>
      <c r="CC835" s="173">
        <f t="shared" si="401"/>
        <v>0</v>
      </c>
    </row>
    <row r="836" spans="10:81" x14ac:dyDescent="0.25">
      <c r="J836" s="9"/>
      <c r="K836" s="10"/>
      <c r="L836" s="17"/>
      <c r="M836" s="23"/>
      <c r="N836" s="23"/>
      <c r="O836" s="23"/>
      <c r="P836" s="23"/>
      <c r="Q836" s="1">
        <f t="shared" si="402"/>
        <v>0.60744618579017706</v>
      </c>
      <c r="R836" s="12">
        <f t="shared" ca="1" si="419"/>
        <v>24182</v>
      </c>
      <c r="S836" s="88">
        <f t="shared" si="428"/>
        <v>0</v>
      </c>
      <c r="T836" s="19">
        <f t="shared" si="420"/>
        <v>0</v>
      </c>
      <c r="U836" s="19">
        <f t="shared" si="421"/>
        <v>0</v>
      </c>
      <c r="V836" s="19">
        <f t="shared" si="407"/>
        <v>0</v>
      </c>
      <c r="W836" s="20">
        <f t="shared" ca="1" si="422"/>
        <v>0</v>
      </c>
      <c r="X836" s="19">
        <f t="shared" ca="1" si="423"/>
        <v>0</v>
      </c>
      <c r="Y836" s="19">
        <f t="shared" ca="1" si="424"/>
        <v>0</v>
      </c>
      <c r="Z836" s="20">
        <f t="shared" ca="1" si="425"/>
        <v>0</v>
      </c>
      <c r="AA836" s="1">
        <f t="shared" si="403"/>
        <v>5432.58</v>
      </c>
      <c r="AB836" s="93"/>
      <c r="AC836" s="94"/>
      <c r="AD836" s="101">
        <f t="shared" si="404"/>
        <v>65304</v>
      </c>
      <c r="AE836" s="103">
        <f t="shared" si="405"/>
        <v>0</v>
      </c>
      <c r="AG836" s="1">
        <f t="shared" si="426"/>
        <v>0</v>
      </c>
      <c r="AH836" s="1">
        <f t="shared" si="427"/>
        <v>0</v>
      </c>
      <c r="AI836" s="1">
        <f t="shared" si="406"/>
        <v>5432.58</v>
      </c>
      <c r="AJ836" s="20">
        <f t="shared" si="408"/>
        <v>0</v>
      </c>
      <c r="AK836" s="100">
        <f t="shared" si="410"/>
        <v>0</v>
      </c>
      <c r="AL836" s="100">
        <f t="shared" si="411"/>
        <v>0</v>
      </c>
      <c r="AN836" s="100">
        <f t="shared" si="412"/>
        <v>3611.0910576507345</v>
      </c>
      <c r="AO836" s="20">
        <f t="shared" si="413"/>
        <v>0</v>
      </c>
      <c r="AQ836" s="109">
        <f t="shared" si="414"/>
        <v>0</v>
      </c>
      <c r="AU836" s="109">
        <f t="shared" si="399"/>
        <v>25.210648195031073</v>
      </c>
      <c r="AV836" s="101">
        <f t="shared" si="415"/>
        <v>65334</v>
      </c>
      <c r="AW836" s="99">
        <f t="shared" si="416"/>
        <v>0</v>
      </c>
      <c r="AX836" s="1">
        <f t="shared" si="417"/>
        <v>0</v>
      </c>
      <c r="AY836" s="29">
        <f t="shared" si="418"/>
        <v>0</v>
      </c>
      <c r="AZ836" s="1">
        <f t="shared" si="400"/>
        <v>0</v>
      </c>
      <c r="CB836" s="20">
        <f t="shared" si="409"/>
        <v>0</v>
      </c>
      <c r="CC836" s="173">
        <f t="shared" si="401"/>
        <v>0</v>
      </c>
    </row>
    <row r="837" spans="10:81" x14ac:dyDescent="0.25">
      <c r="J837" s="7"/>
      <c r="K837" s="8"/>
      <c r="L837" s="16"/>
      <c r="M837" s="22"/>
      <c r="N837" s="22"/>
      <c r="O837" s="22"/>
      <c r="P837" s="22"/>
      <c r="Q837" s="1">
        <f t="shared" si="402"/>
        <v>0.60744618579017706</v>
      </c>
      <c r="R837" s="12">
        <f t="shared" ca="1" si="419"/>
        <v>24212</v>
      </c>
      <c r="S837" s="88">
        <f t="shared" si="428"/>
        <v>0</v>
      </c>
      <c r="T837" s="19">
        <f t="shared" si="420"/>
        <v>0</v>
      </c>
      <c r="U837" s="19">
        <f t="shared" si="421"/>
        <v>0</v>
      </c>
      <c r="V837" s="19">
        <f t="shared" si="407"/>
        <v>0</v>
      </c>
      <c r="W837" s="20">
        <f t="shared" ca="1" si="422"/>
        <v>0</v>
      </c>
      <c r="X837" s="19">
        <f t="shared" ca="1" si="423"/>
        <v>0</v>
      </c>
      <c r="Y837" s="19">
        <f t="shared" ca="1" si="424"/>
        <v>0</v>
      </c>
      <c r="Z837" s="20">
        <f t="shared" ca="1" si="425"/>
        <v>0</v>
      </c>
      <c r="AA837" s="1">
        <f t="shared" si="403"/>
        <v>5432.58</v>
      </c>
      <c r="AB837" s="91"/>
      <c r="AC837" s="92"/>
      <c r="AD837" s="101">
        <f t="shared" si="404"/>
        <v>65334</v>
      </c>
      <c r="AE837" s="103">
        <f t="shared" si="405"/>
        <v>0</v>
      </c>
      <c r="AG837" s="1">
        <f t="shared" si="426"/>
        <v>0</v>
      </c>
      <c r="AH837" s="1">
        <f t="shared" si="427"/>
        <v>0</v>
      </c>
      <c r="AI837" s="1">
        <f t="shared" si="406"/>
        <v>5432.58</v>
      </c>
      <c r="AJ837" s="20">
        <f t="shared" si="408"/>
        <v>0</v>
      </c>
      <c r="AK837" s="100">
        <f t="shared" si="410"/>
        <v>0</v>
      </c>
      <c r="AL837" s="100">
        <f t="shared" si="411"/>
        <v>0</v>
      </c>
      <c r="AN837" s="100">
        <f t="shared" si="412"/>
        <v>3609.2640295938286</v>
      </c>
      <c r="AO837" s="20">
        <f t="shared" si="413"/>
        <v>0</v>
      </c>
      <c r="AQ837" s="109">
        <f t="shared" si="414"/>
        <v>0</v>
      </c>
      <c r="AU837" s="109">
        <f t="shared" si="399"/>
        <v>25.208435454585612</v>
      </c>
      <c r="AV837" s="101">
        <f t="shared" si="415"/>
        <v>65364</v>
      </c>
      <c r="AW837" s="99">
        <f t="shared" si="416"/>
        <v>0</v>
      </c>
      <c r="AX837" s="1">
        <f t="shared" si="417"/>
        <v>0</v>
      </c>
      <c r="AY837" s="29">
        <f t="shared" si="418"/>
        <v>0</v>
      </c>
      <c r="AZ837" s="1">
        <f t="shared" si="400"/>
        <v>0</v>
      </c>
      <c r="CB837" s="20">
        <f t="shared" si="409"/>
        <v>0</v>
      </c>
      <c r="CC837" s="173">
        <f t="shared" si="401"/>
        <v>0</v>
      </c>
    </row>
    <row r="838" spans="10:81" x14ac:dyDescent="0.25">
      <c r="J838" s="9"/>
      <c r="K838" s="10"/>
      <c r="L838" s="17"/>
      <c r="M838" s="23"/>
      <c r="N838" s="23"/>
      <c r="O838" s="23"/>
      <c r="P838" s="23"/>
      <c r="Q838" s="1">
        <f t="shared" si="402"/>
        <v>0.60744618579017706</v>
      </c>
      <c r="R838" s="12">
        <f t="shared" ca="1" si="419"/>
        <v>24242</v>
      </c>
      <c r="S838" s="88">
        <f t="shared" si="428"/>
        <v>0</v>
      </c>
      <c r="T838" s="19">
        <f t="shared" si="420"/>
        <v>0</v>
      </c>
      <c r="U838" s="19">
        <f t="shared" si="421"/>
        <v>0</v>
      </c>
      <c r="V838" s="19">
        <f t="shared" si="407"/>
        <v>0</v>
      </c>
      <c r="W838" s="20">
        <f t="shared" ca="1" si="422"/>
        <v>0</v>
      </c>
      <c r="X838" s="19">
        <f t="shared" ca="1" si="423"/>
        <v>0</v>
      </c>
      <c r="Y838" s="19">
        <f t="shared" ca="1" si="424"/>
        <v>0</v>
      </c>
      <c r="Z838" s="20">
        <f t="shared" ca="1" si="425"/>
        <v>0</v>
      </c>
      <c r="AA838" s="1">
        <f t="shared" si="403"/>
        <v>5432.58</v>
      </c>
      <c r="AB838" s="93"/>
      <c r="AC838" s="94"/>
      <c r="AD838" s="101">
        <f t="shared" si="404"/>
        <v>65364</v>
      </c>
      <c r="AE838" s="103">
        <f t="shared" si="405"/>
        <v>0</v>
      </c>
      <c r="AG838" s="1">
        <f t="shared" si="426"/>
        <v>0</v>
      </c>
      <c r="AH838" s="1">
        <f t="shared" si="427"/>
        <v>0</v>
      </c>
      <c r="AI838" s="1">
        <f t="shared" si="406"/>
        <v>5432.58</v>
      </c>
      <c r="AJ838" s="20">
        <f t="shared" si="408"/>
        <v>0</v>
      </c>
      <c r="AK838" s="100">
        <f t="shared" si="410"/>
        <v>0</v>
      </c>
      <c r="AL838" s="100">
        <f t="shared" si="411"/>
        <v>0</v>
      </c>
      <c r="AN838" s="100">
        <f t="shared" si="412"/>
        <v>3607.4379259200155</v>
      </c>
      <c r="AO838" s="20">
        <f t="shared" si="413"/>
        <v>0</v>
      </c>
      <c r="AQ838" s="109">
        <f t="shared" si="414"/>
        <v>0</v>
      </c>
      <c r="AU838" s="109">
        <f t="shared" si="399"/>
        <v>25.206222908352544</v>
      </c>
      <c r="AV838" s="101">
        <f t="shared" si="415"/>
        <v>65394</v>
      </c>
      <c r="AW838" s="99">
        <f t="shared" si="416"/>
        <v>0</v>
      </c>
      <c r="AX838" s="1">
        <f t="shared" si="417"/>
        <v>0</v>
      </c>
      <c r="AY838" s="29">
        <f t="shared" si="418"/>
        <v>0</v>
      </c>
      <c r="AZ838" s="1">
        <f t="shared" si="400"/>
        <v>0</v>
      </c>
      <c r="CB838" s="20">
        <f t="shared" si="409"/>
        <v>0</v>
      </c>
      <c r="CC838" s="173">
        <f t="shared" si="401"/>
        <v>0</v>
      </c>
    </row>
    <row r="839" spans="10:81" x14ac:dyDescent="0.25">
      <c r="J839" s="7"/>
      <c r="K839" s="8"/>
      <c r="L839" s="16"/>
      <c r="M839" s="22"/>
      <c r="N839" s="22"/>
      <c r="O839" s="22"/>
      <c r="P839" s="22"/>
      <c r="Q839" s="1">
        <f t="shared" si="402"/>
        <v>0.60744618579017706</v>
      </c>
      <c r="R839" s="12">
        <f t="shared" ca="1" si="419"/>
        <v>24272</v>
      </c>
      <c r="S839" s="88">
        <f t="shared" si="428"/>
        <v>0</v>
      </c>
      <c r="T839" s="19">
        <f t="shared" si="420"/>
        <v>0</v>
      </c>
      <c r="U839" s="19">
        <f t="shared" si="421"/>
        <v>0</v>
      </c>
      <c r="V839" s="19">
        <f t="shared" si="407"/>
        <v>0</v>
      </c>
      <c r="W839" s="20">
        <f t="shared" ca="1" si="422"/>
        <v>0</v>
      </c>
      <c r="X839" s="19">
        <f t="shared" ca="1" si="423"/>
        <v>0</v>
      </c>
      <c r="Y839" s="19">
        <f t="shared" ca="1" si="424"/>
        <v>0</v>
      </c>
      <c r="Z839" s="20">
        <f t="shared" ca="1" si="425"/>
        <v>0</v>
      </c>
      <c r="AA839" s="1">
        <f t="shared" si="403"/>
        <v>5432.58</v>
      </c>
      <c r="AB839" s="91"/>
      <c r="AC839" s="92"/>
      <c r="AD839" s="101">
        <f t="shared" si="404"/>
        <v>65394</v>
      </c>
      <c r="AE839" s="103">
        <f t="shared" si="405"/>
        <v>0</v>
      </c>
      <c r="AG839" s="1">
        <f t="shared" si="426"/>
        <v>0</v>
      </c>
      <c r="AH839" s="1">
        <f t="shared" si="427"/>
        <v>0</v>
      </c>
      <c r="AI839" s="1">
        <f t="shared" si="406"/>
        <v>5432.58</v>
      </c>
      <c r="AJ839" s="20">
        <f t="shared" si="408"/>
        <v>0</v>
      </c>
      <c r="AK839" s="100">
        <f t="shared" si="410"/>
        <v>0</v>
      </c>
      <c r="AL839" s="100">
        <f t="shared" si="411"/>
        <v>0</v>
      </c>
      <c r="AN839" s="100">
        <f t="shared" si="412"/>
        <v>3605.6127461616052</v>
      </c>
      <c r="AO839" s="20">
        <f t="shared" si="413"/>
        <v>0</v>
      </c>
      <c r="AQ839" s="109">
        <f t="shared" si="414"/>
        <v>0</v>
      </c>
      <c r="AU839" s="109">
        <f t="shared" si="399"/>
        <v>25.20401055631482</v>
      </c>
      <c r="AV839" s="101">
        <f t="shared" si="415"/>
        <v>65424</v>
      </c>
      <c r="AW839" s="99">
        <f t="shared" si="416"/>
        <v>0</v>
      </c>
      <c r="AX839" s="1">
        <f t="shared" si="417"/>
        <v>0</v>
      </c>
      <c r="AY839" s="29">
        <f t="shared" si="418"/>
        <v>0</v>
      </c>
      <c r="AZ839" s="1">
        <f t="shared" si="400"/>
        <v>0</v>
      </c>
      <c r="CB839" s="20">
        <f t="shared" si="409"/>
        <v>0</v>
      </c>
      <c r="CC839" s="173">
        <f t="shared" si="401"/>
        <v>0</v>
      </c>
    </row>
    <row r="840" spans="10:81" x14ac:dyDescent="0.25">
      <c r="J840" s="9"/>
      <c r="K840" s="10"/>
      <c r="L840" s="17"/>
      <c r="M840" s="23"/>
      <c r="N840" s="23"/>
      <c r="O840" s="23"/>
      <c r="P840" s="23"/>
      <c r="Q840" s="1">
        <f t="shared" si="402"/>
        <v>0.60744618579017706</v>
      </c>
      <c r="R840" s="12">
        <f t="shared" ca="1" si="419"/>
        <v>24302</v>
      </c>
      <c r="S840" s="88">
        <f t="shared" si="428"/>
        <v>0</v>
      </c>
      <c r="T840" s="19">
        <f t="shared" si="420"/>
        <v>0</v>
      </c>
      <c r="U840" s="19">
        <f t="shared" si="421"/>
        <v>0</v>
      </c>
      <c r="V840" s="19">
        <f t="shared" si="407"/>
        <v>0</v>
      </c>
      <c r="W840" s="20">
        <f t="shared" ca="1" si="422"/>
        <v>0</v>
      </c>
      <c r="X840" s="19">
        <f t="shared" ca="1" si="423"/>
        <v>0</v>
      </c>
      <c r="Y840" s="19">
        <f t="shared" ca="1" si="424"/>
        <v>0</v>
      </c>
      <c r="Z840" s="20">
        <f t="shared" ca="1" si="425"/>
        <v>0</v>
      </c>
      <c r="AA840" s="1">
        <f t="shared" si="403"/>
        <v>5432.58</v>
      </c>
      <c r="AB840" s="93"/>
      <c r="AC840" s="94"/>
      <c r="AD840" s="101">
        <f t="shared" si="404"/>
        <v>65424</v>
      </c>
      <c r="AE840" s="103">
        <f t="shared" si="405"/>
        <v>0</v>
      </c>
      <c r="AG840" s="1">
        <f t="shared" si="426"/>
        <v>0</v>
      </c>
      <c r="AH840" s="1">
        <f t="shared" si="427"/>
        <v>0</v>
      </c>
      <c r="AI840" s="1">
        <f t="shared" si="406"/>
        <v>5432.58</v>
      </c>
      <c r="AJ840" s="20">
        <f t="shared" si="408"/>
        <v>0</v>
      </c>
      <c r="AK840" s="100">
        <f t="shared" si="410"/>
        <v>0</v>
      </c>
      <c r="AL840" s="100">
        <f t="shared" si="411"/>
        <v>0</v>
      </c>
      <c r="AN840" s="100">
        <f t="shared" si="412"/>
        <v>3603.7884898511429</v>
      </c>
      <c r="AO840" s="20">
        <f t="shared" si="413"/>
        <v>0</v>
      </c>
      <c r="AQ840" s="109">
        <f t="shared" si="414"/>
        <v>0</v>
      </c>
      <c r="AU840" s="109">
        <f t="shared" si="399"/>
        <v>25.201798398455409</v>
      </c>
      <c r="AV840" s="101">
        <f t="shared" si="415"/>
        <v>65454</v>
      </c>
      <c r="AW840" s="99">
        <f t="shared" si="416"/>
        <v>0</v>
      </c>
      <c r="AX840" s="1">
        <f t="shared" si="417"/>
        <v>0</v>
      </c>
      <c r="AY840" s="29">
        <f t="shared" si="418"/>
        <v>0</v>
      </c>
      <c r="AZ840" s="1">
        <f t="shared" si="400"/>
        <v>0</v>
      </c>
      <c r="CB840" s="20">
        <f t="shared" si="409"/>
        <v>0</v>
      </c>
      <c r="CC840" s="173">
        <f t="shared" si="401"/>
        <v>0</v>
      </c>
    </row>
    <row r="841" spans="10:81" x14ac:dyDescent="0.25">
      <c r="J841" s="7"/>
      <c r="K841" s="8"/>
      <c r="L841" s="16"/>
      <c r="M841" s="22"/>
      <c r="N841" s="22"/>
      <c r="O841" s="22"/>
      <c r="P841" s="22"/>
      <c r="Q841" s="1">
        <f t="shared" si="402"/>
        <v>0.60744618579017706</v>
      </c>
      <c r="R841" s="12">
        <f t="shared" ca="1" si="419"/>
        <v>24332</v>
      </c>
      <c r="S841" s="88">
        <f t="shared" si="428"/>
        <v>0</v>
      </c>
      <c r="T841" s="19">
        <f t="shared" si="420"/>
        <v>0</v>
      </c>
      <c r="U841" s="19">
        <f t="shared" si="421"/>
        <v>0</v>
      </c>
      <c r="V841" s="19">
        <f t="shared" si="407"/>
        <v>0</v>
      </c>
      <c r="W841" s="20">
        <f t="shared" ca="1" si="422"/>
        <v>0</v>
      </c>
      <c r="X841" s="19">
        <f t="shared" ca="1" si="423"/>
        <v>0</v>
      </c>
      <c r="Y841" s="19">
        <f t="shared" ca="1" si="424"/>
        <v>0</v>
      </c>
      <c r="Z841" s="20">
        <f t="shared" ca="1" si="425"/>
        <v>0</v>
      </c>
      <c r="AA841" s="1">
        <f t="shared" si="403"/>
        <v>5432.58</v>
      </c>
      <c r="AB841" s="91"/>
      <c r="AC841" s="92"/>
      <c r="AD841" s="101">
        <f t="shared" si="404"/>
        <v>65454</v>
      </c>
      <c r="AE841" s="103">
        <f t="shared" si="405"/>
        <v>0</v>
      </c>
      <c r="AG841" s="1">
        <f t="shared" si="426"/>
        <v>0</v>
      </c>
      <c r="AH841" s="1">
        <f t="shared" si="427"/>
        <v>0</v>
      </c>
      <c r="AI841" s="1">
        <f t="shared" si="406"/>
        <v>5432.58</v>
      </c>
      <c r="AJ841" s="20">
        <f t="shared" si="408"/>
        <v>0</v>
      </c>
      <c r="AK841" s="100">
        <f t="shared" si="410"/>
        <v>0</v>
      </c>
      <c r="AL841" s="100">
        <f t="shared" si="411"/>
        <v>0</v>
      </c>
      <c r="AN841" s="100">
        <f t="shared" si="412"/>
        <v>3601.9651565214103</v>
      </c>
      <c r="AO841" s="20">
        <f t="shared" si="413"/>
        <v>0</v>
      </c>
      <c r="AQ841" s="109">
        <f t="shared" si="414"/>
        <v>0</v>
      </c>
      <c r="AU841" s="109">
        <f t="shared" si="399"/>
        <v>25.199586434757247</v>
      </c>
      <c r="AV841" s="101">
        <f t="shared" si="415"/>
        <v>65484</v>
      </c>
      <c r="AW841" s="99">
        <f t="shared" si="416"/>
        <v>0</v>
      </c>
      <c r="AX841" s="1">
        <f t="shared" si="417"/>
        <v>0</v>
      </c>
      <c r="AY841" s="29">
        <f t="shared" si="418"/>
        <v>0</v>
      </c>
      <c r="AZ841" s="1">
        <f t="shared" si="400"/>
        <v>0</v>
      </c>
      <c r="CB841" s="20">
        <f t="shared" si="409"/>
        <v>0</v>
      </c>
      <c r="CC841" s="173">
        <f t="shared" si="401"/>
        <v>0</v>
      </c>
    </row>
    <row r="842" spans="10:81" x14ac:dyDescent="0.25">
      <c r="J842" s="9"/>
      <c r="K842" s="10"/>
      <c r="L842" s="17"/>
      <c r="M842" s="23"/>
      <c r="N842" s="23"/>
      <c r="O842" s="23"/>
      <c r="P842" s="23"/>
      <c r="Q842" s="1">
        <f t="shared" si="402"/>
        <v>0.60744618579017706</v>
      </c>
      <c r="R842" s="12">
        <f t="shared" ca="1" si="419"/>
        <v>24362</v>
      </c>
      <c r="S842" s="88">
        <f t="shared" si="428"/>
        <v>0</v>
      </c>
      <c r="T842" s="19">
        <f t="shared" si="420"/>
        <v>0</v>
      </c>
      <c r="U842" s="19">
        <f t="shared" si="421"/>
        <v>0</v>
      </c>
      <c r="V842" s="19">
        <f t="shared" si="407"/>
        <v>0</v>
      </c>
      <c r="W842" s="20">
        <f t="shared" ca="1" si="422"/>
        <v>0</v>
      </c>
      <c r="X842" s="19">
        <f t="shared" ca="1" si="423"/>
        <v>0</v>
      </c>
      <c r="Y842" s="19">
        <f t="shared" ca="1" si="424"/>
        <v>0</v>
      </c>
      <c r="Z842" s="20">
        <f t="shared" ca="1" si="425"/>
        <v>0</v>
      </c>
      <c r="AA842" s="1">
        <f t="shared" si="403"/>
        <v>5432.58</v>
      </c>
      <c r="AB842" s="93"/>
      <c r="AC842" s="94"/>
      <c r="AD842" s="101">
        <f t="shared" si="404"/>
        <v>65484</v>
      </c>
      <c r="AE842" s="103">
        <f t="shared" si="405"/>
        <v>0</v>
      </c>
      <c r="AG842" s="1">
        <f t="shared" si="426"/>
        <v>0</v>
      </c>
      <c r="AH842" s="1">
        <f t="shared" si="427"/>
        <v>0</v>
      </c>
      <c r="AI842" s="1">
        <f t="shared" si="406"/>
        <v>5432.58</v>
      </c>
      <c r="AJ842" s="20">
        <f t="shared" si="408"/>
        <v>0</v>
      </c>
      <c r="AK842" s="100">
        <f t="shared" si="410"/>
        <v>0</v>
      </c>
      <c r="AL842" s="100">
        <f t="shared" si="411"/>
        <v>0</v>
      </c>
      <c r="AN842" s="100">
        <f t="shared" si="412"/>
        <v>3600.1427457054274</v>
      </c>
      <c r="AO842" s="20">
        <f t="shared" si="413"/>
        <v>0</v>
      </c>
      <c r="AQ842" s="109">
        <f t="shared" si="414"/>
        <v>0</v>
      </c>
      <c r="AU842" s="109">
        <f t="shared" si="399"/>
        <v>25.197374665203306</v>
      </c>
      <c r="AV842" s="101">
        <f t="shared" si="415"/>
        <v>65514</v>
      </c>
      <c r="AW842" s="99">
        <f t="shared" si="416"/>
        <v>0</v>
      </c>
      <c r="AX842" s="1">
        <f t="shared" si="417"/>
        <v>0</v>
      </c>
      <c r="AY842" s="29">
        <f t="shared" si="418"/>
        <v>0</v>
      </c>
      <c r="AZ842" s="1">
        <f t="shared" si="400"/>
        <v>0</v>
      </c>
      <c r="CB842" s="20">
        <f t="shared" si="409"/>
        <v>0</v>
      </c>
      <c r="CC842" s="173">
        <f t="shared" si="401"/>
        <v>0</v>
      </c>
    </row>
    <row r="843" spans="10:81" x14ac:dyDescent="0.25">
      <c r="J843" s="7"/>
      <c r="K843" s="8"/>
      <c r="L843" s="16"/>
      <c r="M843" s="22"/>
      <c r="N843" s="22"/>
      <c r="O843" s="22"/>
      <c r="P843" s="22"/>
      <c r="Q843" s="1">
        <f t="shared" si="402"/>
        <v>0.60744618579017706</v>
      </c>
      <c r="R843" s="12">
        <f t="shared" ca="1" si="419"/>
        <v>24392</v>
      </c>
      <c r="S843" s="88">
        <f t="shared" si="428"/>
        <v>0</v>
      </c>
      <c r="T843" s="19">
        <f t="shared" si="420"/>
        <v>0</v>
      </c>
      <c r="U843" s="19">
        <f t="shared" si="421"/>
        <v>0</v>
      </c>
      <c r="V843" s="19">
        <f t="shared" si="407"/>
        <v>0</v>
      </c>
      <c r="W843" s="20">
        <f t="shared" ca="1" si="422"/>
        <v>0</v>
      </c>
      <c r="X843" s="19">
        <f t="shared" ca="1" si="423"/>
        <v>0</v>
      </c>
      <c r="Y843" s="19">
        <f t="shared" ca="1" si="424"/>
        <v>0</v>
      </c>
      <c r="Z843" s="20">
        <f t="shared" ca="1" si="425"/>
        <v>0</v>
      </c>
      <c r="AA843" s="1">
        <f t="shared" si="403"/>
        <v>5432.58</v>
      </c>
      <c r="AB843" s="91"/>
      <c r="AC843" s="92"/>
      <c r="AD843" s="101">
        <f t="shared" si="404"/>
        <v>65514</v>
      </c>
      <c r="AE843" s="103">
        <f t="shared" si="405"/>
        <v>0</v>
      </c>
      <c r="AG843" s="1">
        <f t="shared" si="426"/>
        <v>0</v>
      </c>
      <c r="AH843" s="1">
        <f t="shared" si="427"/>
        <v>0</v>
      </c>
      <c r="AI843" s="1">
        <f t="shared" si="406"/>
        <v>5432.58</v>
      </c>
      <c r="AJ843" s="20">
        <f t="shared" si="408"/>
        <v>0</v>
      </c>
      <c r="AK843" s="100">
        <f t="shared" si="410"/>
        <v>0</v>
      </c>
      <c r="AL843" s="100">
        <f t="shared" si="411"/>
        <v>0</v>
      </c>
      <c r="AN843" s="100">
        <f t="shared" si="412"/>
        <v>3598.3212569364482</v>
      </c>
      <c r="AO843" s="20">
        <f t="shared" si="413"/>
        <v>0</v>
      </c>
      <c r="AQ843" s="109">
        <f t="shared" si="414"/>
        <v>0</v>
      </c>
      <c r="AU843" s="109">
        <f t="shared" si="399"/>
        <v>25.195163089776543</v>
      </c>
      <c r="AV843" s="101">
        <f t="shared" si="415"/>
        <v>65544</v>
      </c>
      <c r="AW843" s="99">
        <f t="shared" si="416"/>
        <v>0</v>
      </c>
      <c r="AX843" s="1">
        <f t="shared" si="417"/>
        <v>0</v>
      </c>
      <c r="AY843" s="29">
        <f t="shared" si="418"/>
        <v>0</v>
      </c>
      <c r="AZ843" s="1">
        <f t="shared" si="400"/>
        <v>0</v>
      </c>
      <c r="CB843" s="20">
        <f t="shared" si="409"/>
        <v>0</v>
      </c>
      <c r="CC843" s="173">
        <f t="shared" si="401"/>
        <v>0</v>
      </c>
    </row>
    <row r="844" spans="10:81" x14ac:dyDescent="0.25">
      <c r="J844" s="9"/>
      <c r="K844" s="10"/>
      <c r="L844" s="17"/>
      <c r="M844" s="23"/>
      <c r="N844" s="23"/>
      <c r="O844" s="23"/>
      <c r="P844" s="23"/>
      <c r="Q844" s="1">
        <f t="shared" si="402"/>
        <v>0.60744618579017706</v>
      </c>
      <c r="R844" s="12">
        <f t="shared" ca="1" si="419"/>
        <v>24422</v>
      </c>
      <c r="S844" s="88">
        <f t="shared" si="428"/>
        <v>0</v>
      </c>
      <c r="T844" s="19">
        <f t="shared" si="420"/>
        <v>0</v>
      </c>
      <c r="U844" s="19">
        <f t="shared" si="421"/>
        <v>0</v>
      </c>
      <c r="V844" s="19">
        <f t="shared" si="407"/>
        <v>0</v>
      </c>
      <c r="W844" s="20">
        <f t="shared" ca="1" si="422"/>
        <v>0</v>
      </c>
      <c r="X844" s="19">
        <f t="shared" ca="1" si="423"/>
        <v>0</v>
      </c>
      <c r="Y844" s="19">
        <f t="shared" ca="1" si="424"/>
        <v>0</v>
      </c>
      <c r="Z844" s="20">
        <f t="shared" ca="1" si="425"/>
        <v>0</v>
      </c>
      <c r="AA844" s="1">
        <f t="shared" si="403"/>
        <v>5432.58</v>
      </c>
      <c r="AB844" s="93"/>
      <c r="AC844" s="94"/>
      <c r="AD844" s="101">
        <f t="shared" si="404"/>
        <v>65544</v>
      </c>
      <c r="AE844" s="103">
        <f t="shared" si="405"/>
        <v>0</v>
      </c>
      <c r="AG844" s="1">
        <f t="shared" si="426"/>
        <v>0</v>
      </c>
      <c r="AH844" s="1">
        <f t="shared" si="427"/>
        <v>0</v>
      </c>
      <c r="AI844" s="1">
        <f t="shared" si="406"/>
        <v>5432.58</v>
      </c>
      <c r="AJ844" s="20">
        <f t="shared" si="408"/>
        <v>0</v>
      </c>
      <c r="AK844" s="100">
        <f t="shared" si="410"/>
        <v>0</v>
      </c>
      <c r="AL844" s="100">
        <f t="shared" si="411"/>
        <v>0</v>
      </c>
      <c r="AN844" s="100">
        <f t="shared" si="412"/>
        <v>3596.5006897479657</v>
      </c>
      <c r="AO844" s="20">
        <f t="shared" si="413"/>
        <v>0</v>
      </c>
      <c r="AQ844" s="109">
        <f t="shared" si="414"/>
        <v>0</v>
      </c>
      <c r="AU844" s="109">
        <f t="shared" si="399"/>
        <v>25.192951708459919</v>
      </c>
      <c r="AV844" s="101">
        <f t="shared" si="415"/>
        <v>65574</v>
      </c>
      <c r="AW844" s="99">
        <f t="shared" si="416"/>
        <v>0</v>
      </c>
      <c r="AX844" s="1">
        <f t="shared" si="417"/>
        <v>0</v>
      </c>
      <c r="AY844" s="29">
        <f t="shared" si="418"/>
        <v>0</v>
      </c>
      <c r="AZ844" s="1">
        <f t="shared" si="400"/>
        <v>0</v>
      </c>
      <c r="CB844" s="20">
        <f t="shared" si="409"/>
        <v>0</v>
      </c>
      <c r="CC844" s="173">
        <f t="shared" si="401"/>
        <v>0</v>
      </c>
    </row>
    <row r="845" spans="10:81" x14ac:dyDescent="0.25">
      <c r="J845" s="7"/>
      <c r="K845" s="8"/>
      <c r="L845" s="16"/>
      <c r="M845" s="22"/>
      <c r="N845" s="22"/>
      <c r="O845" s="22"/>
      <c r="P845" s="22"/>
      <c r="Q845" s="1">
        <f t="shared" si="402"/>
        <v>0.60744618579017706</v>
      </c>
      <c r="R845" s="12">
        <f t="shared" ca="1" si="419"/>
        <v>24452</v>
      </c>
      <c r="S845" s="88">
        <f t="shared" si="428"/>
        <v>0</v>
      </c>
      <c r="T845" s="19">
        <f t="shared" si="420"/>
        <v>0</v>
      </c>
      <c r="U845" s="19">
        <f t="shared" si="421"/>
        <v>0</v>
      </c>
      <c r="V845" s="19">
        <f t="shared" si="407"/>
        <v>0</v>
      </c>
      <c r="W845" s="20">
        <f t="shared" ca="1" si="422"/>
        <v>0</v>
      </c>
      <c r="X845" s="19">
        <f t="shared" ca="1" si="423"/>
        <v>0</v>
      </c>
      <c r="Y845" s="19">
        <f t="shared" ca="1" si="424"/>
        <v>0</v>
      </c>
      <c r="Z845" s="20">
        <f t="shared" ca="1" si="425"/>
        <v>0</v>
      </c>
      <c r="AA845" s="1">
        <f t="shared" si="403"/>
        <v>5432.58</v>
      </c>
      <c r="AB845" s="91"/>
      <c r="AC845" s="92"/>
      <c r="AD845" s="101">
        <f t="shared" si="404"/>
        <v>65574</v>
      </c>
      <c r="AE845" s="103">
        <f t="shared" si="405"/>
        <v>0</v>
      </c>
      <c r="AG845" s="1">
        <f t="shared" si="426"/>
        <v>0</v>
      </c>
      <c r="AH845" s="1">
        <f t="shared" si="427"/>
        <v>0</v>
      </c>
      <c r="AI845" s="1">
        <f t="shared" si="406"/>
        <v>5432.58</v>
      </c>
      <c r="AJ845" s="20">
        <f t="shared" si="408"/>
        <v>0</v>
      </c>
      <c r="AK845" s="100">
        <f t="shared" si="410"/>
        <v>0</v>
      </c>
      <c r="AL845" s="100">
        <f t="shared" si="411"/>
        <v>0</v>
      </c>
      <c r="AN845" s="100">
        <f t="shared" si="412"/>
        <v>3594.681043673706</v>
      </c>
      <c r="AO845" s="20">
        <f t="shared" si="413"/>
        <v>0</v>
      </c>
      <c r="AQ845" s="109">
        <f t="shared" si="414"/>
        <v>0</v>
      </c>
      <c r="AU845" s="109">
        <f t="shared" si="399"/>
        <v>25.190740521236389</v>
      </c>
      <c r="AV845" s="101">
        <f t="shared" si="415"/>
        <v>65604</v>
      </c>
      <c r="AW845" s="99">
        <f t="shared" si="416"/>
        <v>0</v>
      </c>
      <c r="AX845" s="1">
        <f t="shared" si="417"/>
        <v>0</v>
      </c>
      <c r="AY845" s="29">
        <f t="shared" si="418"/>
        <v>0</v>
      </c>
      <c r="AZ845" s="1">
        <f t="shared" si="400"/>
        <v>0</v>
      </c>
      <c r="CB845" s="20">
        <f t="shared" si="409"/>
        <v>0</v>
      </c>
      <c r="CC845" s="173">
        <f t="shared" si="401"/>
        <v>0</v>
      </c>
    </row>
    <row r="846" spans="10:81" x14ac:dyDescent="0.25">
      <c r="J846" s="9"/>
      <c r="K846" s="10"/>
      <c r="L846" s="17"/>
      <c r="M846" s="23"/>
      <c r="N846" s="23"/>
      <c r="O846" s="23"/>
      <c r="P846" s="23"/>
      <c r="Q846" s="1">
        <f t="shared" si="402"/>
        <v>0.60744618579017706</v>
      </c>
      <c r="R846" s="12">
        <f t="shared" ca="1" si="419"/>
        <v>24482</v>
      </c>
      <c r="S846" s="88">
        <f t="shared" si="428"/>
        <v>0</v>
      </c>
      <c r="T846" s="19">
        <f t="shared" si="420"/>
        <v>0</v>
      </c>
      <c r="U846" s="19">
        <f t="shared" si="421"/>
        <v>0</v>
      </c>
      <c r="V846" s="19">
        <f t="shared" si="407"/>
        <v>0</v>
      </c>
      <c r="W846" s="20">
        <f t="shared" ca="1" si="422"/>
        <v>0</v>
      </c>
      <c r="X846" s="19">
        <f t="shared" ca="1" si="423"/>
        <v>0</v>
      </c>
      <c r="Y846" s="19">
        <f t="shared" ca="1" si="424"/>
        <v>0</v>
      </c>
      <c r="Z846" s="20">
        <f t="shared" ca="1" si="425"/>
        <v>0</v>
      </c>
      <c r="AA846" s="1">
        <f t="shared" si="403"/>
        <v>5432.58</v>
      </c>
      <c r="AB846" s="93"/>
      <c r="AC846" s="94"/>
      <c r="AD846" s="101">
        <f t="shared" si="404"/>
        <v>65604</v>
      </c>
      <c r="AE846" s="103">
        <f t="shared" si="405"/>
        <v>0</v>
      </c>
      <c r="AG846" s="1">
        <f t="shared" si="426"/>
        <v>0</v>
      </c>
      <c r="AH846" s="1">
        <f t="shared" si="427"/>
        <v>0</v>
      </c>
      <c r="AI846" s="1">
        <f t="shared" si="406"/>
        <v>5432.58</v>
      </c>
      <c r="AJ846" s="20">
        <f t="shared" si="408"/>
        <v>0</v>
      </c>
      <c r="AK846" s="100">
        <f t="shared" si="410"/>
        <v>0</v>
      </c>
      <c r="AL846" s="100">
        <f t="shared" si="411"/>
        <v>0</v>
      </c>
      <c r="AN846" s="100">
        <f t="shared" si="412"/>
        <v>3592.8623182476308</v>
      </c>
      <c r="AO846" s="20">
        <f t="shared" si="413"/>
        <v>0</v>
      </c>
      <c r="AQ846" s="109">
        <f t="shared" si="414"/>
        <v>0</v>
      </c>
      <c r="AU846" s="109">
        <f t="shared" si="399"/>
        <v>25.188529528088921</v>
      </c>
      <c r="AV846" s="101">
        <f t="shared" si="415"/>
        <v>65634</v>
      </c>
      <c r="AW846" s="99">
        <f t="shared" si="416"/>
        <v>0</v>
      </c>
      <c r="AX846" s="1">
        <f t="shared" si="417"/>
        <v>0</v>
      </c>
      <c r="AY846" s="29">
        <f t="shared" si="418"/>
        <v>0</v>
      </c>
      <c r="AZ846" s="1">
        <f t="shared" si="400"/>
        <v>0</v>
      </c>
      <c r="CB846" s="20">
        <f t="shared" si="409"/>
        <v>0</v>
      </c>
      <c r="CC846" s="173">
        <f t="shared" si="401"/>
        <v>0</v>
      </c>
    </row>
    <row r="847" spans="10:81" x14ac:dyDescent="0.25">
      <c r="J847" s="7"/>
      <c r="K847" s="8"/>
      <c r="L847" s="16"/>
      <c r="M847" s="22"/>
      <c r="N847" s="22"/>
      <c r="O847" s="22"/>
      <c r="P847" s="22"/>
      <c r="Q847" s="1">
        <f t="shared" si="402"/>
        <v>0.60744618579017706</v>
      </c>
      <c r="R847" s="12">
        <f t="shared" ca="1" si="419"/>
        <v>24512</v>
      </c>
      <c r="S847" s="88">
        <f t="shared" si="428"/>
        <v>0</v>
      </c>
      <c r="T847" s="19">
        <f t="shared" si="420"/>
        <v>0</v>
      </c>
      <c r="U847" s="19">
        <f t="shared" si="421"/>
        <v>0</v>
      </c>
      <c r="V847" s="19">
        <f t="shared" si="407"/>
        <v>0</v>
      </c>
      <c r="W847" s="20">
        <f t="shared" ca="1" si="422"/>
        <v>0</v>
      </c>
      <c r="X847" s="19">
        <f t="shared" ca="1" si="423"/>
        <v>0</v>
      </c>
      <c r="Y847" s="19">
        <f t="shared" ca="1" si="424"/>
        <v>0</v>
      </c>
      <c r="Z847" s="20">
        <f t="shared" ca="1" si="425"/>
        <v>0</v>
      </c>
      <c r="AA847" s="1">
        <f t="shared" si="403"/>
        <v>5432.58</v>
      </c>
      <c r="AB847" s="91"/>
      <c r="AC847" s="92"/>
      <c r="AD847" s="101">
        <f t="shared" si="404"/>
        <v>65634</v>
      </c>
      <c r="AE847" s="103">
        <f t="shared" si="405"/>
        <v>0</v>
      </c>
      <c r="AG847" s="1">
        <f t="shared" si="426"/>
        <v>0</v>
      </c>
      <c r="AH847" s="1">
        <f t="shared" si="427"/>
        <v>0</v>
      </c>
      <c r="AI847" s="1">
        <f t="shared" si="406"/>
        <v>5432.58</v>
      </c>
      <c r="AJ847" s="20">
        <f t="shared" si="408"/>
        <v>0</v>
      </c>
      <c r="AK847" s="100">
        <f t="shared" si="410"/>
        <v>0</v>
      </c>
      <c r="AL847" s="100">
        <f t="shared" si="411"/>
        <v>0</v>
      </c>
      <c r="AN847" s="100">
        <f t="shared" si="412"/>
        <v>3591.044513003942</v>
      </c>
      <c r="AO847" s="20">
        <f t="shared" si="413"/>
        <v>0</v>
      </c>
      <c r="AQ847" s="109">
        <f t="shared" si="414"/>
        <v>0</v>
      </c>
      <c r="AU847" s="109">
        <f t="shared" si="399"/>
        <v>25.186318729000497</v>
      </c>
      <c r="AV847" s="101">
        <f t="shared" si="415"/>
        <v>65664</v>
      </c>
      <c r="AW847" s="99">
        <f t="shared" si="416"/>
        <v>0</v>
      </c>
      <c r="AX847" s="1">
        <f t="shared" si="417"/>
        <v>0</v>
      </c>
      <c r="AY847" s="29">
        <f t="shared" si="418"/>
        <v>0</v>
      </c>
      <c r="AZ847" s="1">
        <f t="shared" si="400"/>
        <v>0</v>
      </c>
      <c r="CB847" s="20">
        <f t="shared" si="409"/>
        <v>0</v>
      </c>
      <c r="CC847" s="173">
        <f t="shared" si="401"/>
        <v>0</v>
      </c>
    </row>
    <row r="848" spans="10:81" x14ac:dyDescent="0.25">
      <c r="J848" s="9"/>
      <c r="K848" s="10"/>
      <c r="L848" s="17"/>
      <c r="M848" s="23"/>
      <c r="N848" s="23"/>
      <c r="O848" s="23"/>
      <c r="P848" s="23"/>
      <c r="Q848" s="1">
        <f t="shared" si="402"/>
        <v>0.60744618579017706</v>
      </c>
      <c r="R848" s="12">
        <f t="shared" ca="1" si="419"/>
        <v>24542</v>
      </c>
      <c r="S848" s="88">
        <f t="shared" si="428"/>
        <v>0</v>
      </c>
      <c r="T848" s="19">
        <f t="shared" si="420"/>
        <v>0</v>
      </c>
      <c r="U848" s="19">
        <f t="shared" si="421"/>
        <v>0</v>
      </c>
      <c r="V848" s="19">
        <f t="shared" si="407"/>
        <v>0</v>
      </c>
      <c r="W848" s="20">
        <f t="shared" ca="1" si="422"/>
        <v>0</v>
      </c>
      <c r="X848" s="19">
        <f t="shared" ca="1" si="423"/>
        <v>0</v>
      </c>
      <c r="Y848" s="19">
        <f t="shared" ca="1" si="424"/>
        <v>0</v>
      </c>
      <c r="Z848" s="20">
        <f t="shared" ca="1" si="425"/>
        <v>0</v>
      </c>
      <c r="AA848" s="1">
        <f t="shared" si="403"/>
        <v>5432.58</v>
      </c>
      <c r="AB848" s="93"/>
      <c r="AC848" s="94"/>
      <c r="AD848" s="101">
        <f t="shared" si="404"/>
        <v>65664</v>
      </c>
      <c r="AE848" s="103">
        <f t="shared" si="405"/>
        <v>0</v>
      </c>
      <c r="AG848" s="1">
        <f t="shared" si="426"/>
        <v>0</v>
      </c>
      <c r="AH848" s="1">
        <f t="shared" si="427"/>
        <v>0</v>
      </c>
      <c r="AI848" s="1">
        <f t="shared" si="406"/>
        <v>5432.58</v>
      </c>
      <c r="AJ848" s="20">
        <f t="shared" si="408"/>
        <v>0</v>
      </c>
      <c r="AK848" s="100">
        <f t="shared" si="410"/>
        <v>0</v>
      </c>
      <c r="AL848" s="100">
        <f t="shared" si="411"/>
        <v>0</v>
      </c>
      <c r="AN848" s="100">
        <f t="shared" si="412"/>
        <v>3589.227627477072</v>
      </c>
      <c r="AO848" s="20">
        <f t="shared" si="413"/>
        <v>0</v>
      </c>
      <c r="AQ848" s="109">
        <f t="shared" si="414"/>
        <v>0</v>
      </c>
      <c r="AU848" s="109">
        <f t="shared" si="399"/>
        <v>25.184108123954061</v>
      </c>
      <c r="AV848" s="101">
        <f t="shared" si="415"/>
        <v>65694</v>
      </c>
      <c r="AW848" s="99">
        <f t="shared" si="416"/>
        <v>0</v>
      </c>
      <c r="AX848" s="1">
        <f t="shared" si="417"/>
        <v>0</v>
      </c>
      <c r="AY848" s="29">
        <f t="shared" si="418"/>
        <v>0</v>
      </c>
      <c r="AZ848" s="1">
        <f t="shared" si="400"/>
        <v>0</v>
      </c>
      <c r="CB848" s="20">
        <f t="shared" si="409"/>
        <v>0</v>
      </c>
      <c r="CC848" s="173">
        <f t="shared" si="401"/>
        <v>0</v>
      </c>
    </row>
    <row r="849" spans="10:81" x14ac:dyDescent="0.25">
      <c r="J849" s="7"/>
      <c r="K849" s="8"/>
      <c r="L849" s="16"/>
      <c r="M849" s="22"/>
      <c r="N849" s="22"/>
      <c r="O849" s="22"/>
      <c r="P849" s="22"/>
      <c r="Q849" s="1">
        <f t="shared" si="402"/>
        <v>0.60744618579017706</v>
      </c>
      <c r="R849" s="12">
        <f t="shared" ca="1" si="419"/>
        <v>24572</v>
      </c>
      <c r="S849" s="88">
        <f t="shared" si="428"/>
        <v>0</v>
      </c>
      <c r="T849" s="19">
        <f t="shared" si="420"/>
        <v>0</v>
      </c>
      <c r="U849" s="19">
        <f t="shared" si="421"/>
        <v>0</v>
      </c>
      <c r="V849" s="19">
        <f t="shared" si="407"/>
        <v>0</v>
      </c>
      <c r="W849" s="20">
        <f t="shared" ca="1" si="422"/>
        <v>0</v>
      </c>
      <c r="X849" s="19">
        <f t="shared" ca="1" si="423"/>
        <v>0</v>
      </c>
      <c r="Y849" s="19">
        <f t="shared" ca="1" si="424"/>
        <v>0</v>
      </c>
      <c r="Z849" s="20">
        <f t="shared" ca="1" si="425"/>
        <v>0</v>
      </c>
      <c r="AA849" s="1">
        <f t="shared" si="403"/>
        <v>5432.58</v>
      </c>
      <c r="AB849" s="91"/>
      <c r="AC849" s="92"/>
      <c r="AD849" s="101">
        <f t="shared" si="404"/>
        <v>65694</v>
      </c>
      <c r="AE849" s="103">
        <f t="shared" si="405"/>
        <v>0</v>
      </c>
      <c r="AG849" s="1">
        <f t="shared" si="426"/>
        <v>0</v>
      </c>
      <c r="AH849" s="1">
        <f t="shared" si="427"/>
        <v>0</v>
      </c>
      <c r="AI849" s="1">
        <f t="shared" si="406"/>
        <v>5432.58</v>
      </c>
      <c r="AJ849" s="20">
        <f t="shared" si="408"/>
        <v>0</v>
      </c>
      <c r="AK849" s="100">
        <f t="shared" si="410"/>
        <v>0</v>
      </c>
      <c r="AL849" s="100">
        <f t="shared" si="411"/>
        <v>0</v>
      </c>
      <c r="AN849" s="100">
        <f t="shared" si="412"/>
        <v>3587.4116612016915</v>
      </c>
      <c r="AO849" s="20">
        <f t="shared" si="413"/>
        <v>0</v>
      </c>
      <c r="AQ849" s="109">
        <f t="shared" si="414"/>
        <v>0</v>
      </c>
      <c r="AU849" s="109">
        <f t="shared" si="399"/>
        <v>25.181897712932596</v>
      </c>
      <c r="AV849" s="101">
        <f t="shared" si="415"/>
        <v>65724</v>
      </c>
      <c r="AW849" s="99">
        <f t="shared" si="416"/>
        <v>0</v>
      </c>
      <c r="AX849" s="1">
        <f t="shared" si="417"/>
        <v>0</v>
      </c>
      <c r="AY849" s="29">
        <f t="shared" si="418"/>
        <v>0</v>
      </c>
      <c r="AZ849" s="1">
        <f t="shared" si="400"/>
        <v>0</v>
      </c>
      <c r="CB849" s="20">
        <f t="shared" si="409"/>
        <v>0</v>
      </c>
      <c r="CC849" s="173">
        <f t="shared" si="401"/>
        <v>0</v>
      </c>
    </row>
    <row r="850" spans="10:81" x14ac:dyDescent="0.25">
      <c r="J850" s="9"/>
      <c r="K850" s="10"/>
      <c r="L850" s="17"/>
      <c r="M850" s="23"/>
      <c r="N850" s="23"/>
      <c r="O850" s="23"/>
      <c r="P850" s="23"/>
      <c r="Q850" s="1">
        <f t="shared" si="402"/>
        <v>0.60744618579017706</v>
      </c>
      <c r="R850" s="12">
        <f t="shared" ca="1" si="419"/>
        <v>24602</v>
      </c>
      <c r="S850" s="88">
        <f t="shared" si="428"/>
        <v>0</v>
      </c>
      <c r="T850" s="19">
        <f t="shared" si="420"/>
        <v>0</v>
      </c>
      <c r="U850" s="19">
        <f t="shared" si="421"/>
        <v>0</v>
      </c>
      <c r="V850" s="19">
        <f t="shared" si="407"/>
        <v>0</v>
      </c>
      <c r="W850" s="20">
        <f t="shared" ca="1" si="422"/>
        <v>0</v>
      </c>
      <c r="X850" s="19">
        <f t="shared" ca="1" si="423"/>
        <v>0</v>
      </c>
      <c r="Y850" s="19">
        <f t="shared" ca="1" si="424"/>
        <v>0</v>
      </c>
      <c r="Z850" s="20">
        <f t="shared" ca="1" si="425"/>
        <v>0</v>
      </c>
      <c r="AA850" s="1">
        <f t="shared" si="403"/>
        <v>5432.58</v>
      </c>
      <c r="AB850" s="93"/>
      <c r="AC850" s="94"/>
      <c r="AD850" s="101">
        <f t="shared" si="404"/>
        <v>65724</v>
      </c>
      <c r="AE850" s="103">
        <f t="shared" si="405"/>
        <v>0</v>
      </c>
      <c r="AG850" s="1">
        <f t="shared" si="426"/>
        <v>0</v>
      </c>
      <c r="AH850" s="1">
        <f t="shared" si="427"/>
        <v>0</v>
      </c>
      <c r="AI850" s="1">
        <f t="shared" si="406"/>
        <v>5432.58</v>
      </c>
      <c r="AJ850" s="20">
        <f t="shared" si="408"/>
        <v>0</v>
      </c>
      <c r="AK850" s="100">
        <f t="shared" si="410"/>
        <v>0</v>
      </c>
      <c r="AL850" s="100">
        <f t="shared" si="411"/>
        <v>0</v>
      </c>
      <c r="AN850" s="100">
        <f t="shared" si="412"/>
        <v>3585.5966137127066</v>
      </c>
      <c r="AO850" s="20">
        <f t="shared" si="413"/>
        <v>0</v>
      </c>
      <c r="AQ850" s="109">
        <f t="shared" si="414"/>
        <v>0</v>
      </c>
      <c r="AU850" s="109">
        <f t="shared" si="399"/>
        <v>25.179687495919062</v>
      </c>
      <c r="AV850" s="101">
        <f t="shared" si="415"/>
        <v>65754</v>
      </c>
      <c r="AW850" s="99">
        <f t="shared" si="416"/>
        <v>0</v>
      </c>
      <c r="AX850" s="1">
        <f t="shared" si="417"/>
        <v>0</v>
      </c>
      <c r="AY850" s="29">
        <f t="shared" si="418"/>
        <v>0</v>
      </c>
      <c r="AZ850" s="1">
        <f t="shared" si="400"/>
        <v>0</v>
      </c>
      <c r="CB850" s="20">
        <f t="shared" si="409"/>
        <v>0</v>
      </c>
      <c r="CC850" s="173">
        <f t="shared" si="401"/>
        <v>0</v>
      </c>
    </row>
    <row r="851" spans="10:81" x14ac:dyDescent="0.25">
      <c r="J851" s="7"/>
      <c r="K851" s="8"/>
      <c r="L851" s="16"/>
      <c r="M851" s="22"/>
      <c r="N851" s="22"/>
      <c r="O851" s="22"/>
      <c r="P851" s="22"/>
      <c r="Q851" s="1">
        <f t="shared" si="402"/>
        <v>0.60744618579017706</v>
      </c>
      <c r="R851" s="12">
        <f t="shared" ca="1" si="419"/>
        <v>24632</v>
      </c>
      <c r="S851" s="88">
        <f t="shared" si="428"/>
        <v>0</v>
      </c>
      <c r="T851" s="19">
        <f t="shared" si="420"/>
        <v>0</v>
      </c>
      <c r="U851" s="19">
        <f t="shared" si="421"/>
        <v>0</v>
      </c>
      <c r="V851" s="19">
        <f t="shared" si="407"/>
        <v>0</v>
      </c>
      <c r="W851" s="20">
        <f t="shared" ca="1" si="422"/>
        <v>0</v>
      </c>
      <c r="X851" s="19">
        <f t="shared" ca="1" si="423"/>
        <v>0</v>
      </c>
      <c r="Y851" s="19">
        <f t="shared" ca="1" si="424"/>
        <v>0</v>
      </c>
      <c r="Z851" s="20">
        <f t="shared" ca="1" si="425"/>
        <v>0</v>
      </c>
      <c r="AA851" s="1">
        <f t="shared" si="403"/>
        <v>5432.58</v>
      </c>
      <c r="AB851" s="91"/>
      <c r="AC851" s="92"/>
      <c r="AD851" s="101">
        <f t="shared" si="404"/>
        <v>65754</v>
      </c>
      <c r="AE851" s="103">
        <f t="shared" si="405"/>
        <v>0</v>
      </c>
      <c r="AG851" s="1">
        <f t="shared" si="426"/>
        <v>0</v>
      </c>
      <c r="AH851" s="1">
        <f t="shared" si="427"/>
        <v>0</v>
      </c>
      <c r="AI851" s="1">
        <f t="shared" si="406"/>
        <v>5432.58</v>
      </c>
      <c r="AJ851" s="20">
        <f t="shared" si="408"/>
        <v>0</v>
      </c>
      <c r="AK851" s="100">
        <f t="shared" si="410"/>
        <v>0</v>
      </c>
      <c r="AL851" s="100">
        <f t="shared" si="411"/>
        <v>0</v>
      </c>
      <c r="AN851" s="100">
        <f t="shared" si="412"/>
        <v>3583.782484545256</v>
      </c>
      <c r="AO851" s="20">
        <f t="shared" si="413"/>
        <v>0</v>
      </c>
      <c r="AQ851" s="109">
        <f t="shared" si="414"/>
        <v>0</v>
      </c>
      <c r="AU851" s="109">
        <f t="shared" si="399"/>
        <v>25.177477472896449</v>
      </c>
      <c r="AV851" s="101">
        <f t="shared" si="415"/>
        <v>65784</v>
      </c>
      <c r="AW851" s="99">
        <f t="shared" si="416"/>
        <v>0</v>
      </c>
      <c r="AX851" s="1">
        <f t="shared" si="417"/>
        <v>0</v>
      </c>
      <c r="AY851" s="29">
        <f t="shared" si="418"/>
        <v>0</v>
      </c>
      <c r="AZ851" s="1">
        <f t="shared" si="400"/>
        <v>0</v>
      </c>
      <c r="CB851" s="20">
        <f t="shared" si="409"/>
        <v>0</v>
      </c>
      <c r="CC851" s="173">
        <f t="shared" si="401"/>
        <v>0</v>
      </c>
    </row>
    <row r="852" spans="10:81" x14ac:dyDescent="0.25">
      <c r="J852" s="9"/>
      <c r="K852" s="10"/>
      <c r="L852" s="17"/>
      <c r="M852" s="23"/>
      <c r="N852" s="23"/>
      <c r="O852" s="23"/>
      <c r="P852" s="23"/>
      <c r="Q852" s="1">
        <f t="shared" si="402"/>
        <v>0.60744618579017706</v>
      </c>
      <c r="R852" s="12">
        <f t="shared" ca="1" si="419"/>
        <v>24662</v>
      </c>
      <c r="S852" s="88">
        <f t="shared" si="428"/>
        <v>0</v>
      </c>
      <c r="T852" s="19">
        <f t="shared" si="420"/>
        <v>0</v>
      </c>
      <c r="U852" s="19">
        <f t="shared" si="421"/>
        <v>0</v>
      </c>
      <c r="V852" s="19">
        <f t="shared" si="407"/>
        <v>0</v>
      </c>
      <c r="W852" s="20">
        <f t="shared" ca="1" si="422"/>
        <v>0</v>
      </c>
      <c r="X852" s="19">
        <f t="shared" ca="1" si="423"/>
        <v>0</v>
      </c>
      <c r="Y852" s="19">
        <f t="shared" ca="1" si="424"/>
        <v>0</v>
      </c>
      <c r="Z852" s="20">
        <f t="shared" ca="1" si="425"/>
        <v>0</v>
      </c>
      <c r="AA852" s="1">
        <f t="shared" si="403"/>
        <v>5432.58</v>
      </c>
      <c r="AB852" s="93"/>
      <c r="AC852" s="94"/>
      <c r="AD852" s="101">
        <f t="shared" si="404"/>
        <v>65784</v>
      </c>
      <c r="AE852" s="103">
        <f t="shared" si="405"/>
        <v>0</v>
      </c>
      <c r="AG852" s="1">
        <f t="shared" si="426"/>
        <v>0</v>
      </c>
      <c r="AH852" s="1">
        <f t="shared" si="427"/>
        <v>0</v>
      </c>
      <c r="AI852" s="1">
        <f t="shared" si="406"/>
        <v>5432.58</v>
      </c>
      <c r="AJ852" s="20">
        <f t="shared" si="408"/>
        <v>0</v>
      </c>
      <c r="AK852" s="100">
        <f t="shared" si="410"/>
        <v>0</v>
      </c>
      <c r="AL852" s="100">
        <f t="shared" si="411"/>
        <v>0</v>
      </c>
      <c r="AN852" s="100">
        <f t="shared" si="412"/>
        <v>3581.9692732347198</v>
      </c>
      <c r="AO852" s="20">
        <f t="shared" si="413"/>
        <v>0</v>
      </c>
      <c r="AQ852" s="109">
        <f t="shared" si="414"/>
        <v>0</v>
      </c>
      <c r="AU852" s="109">
        <f t="shared" si="399"/>
        <v>25.175267643847715</v>
      </c>
      <c r="AV852" s="101">
        <f t="shared" si="415"/>
        <v>65814</v>
      </c>
      <c r="AW852" s="99">
        <f t="shared" si="416"/>
        <v>0</v>
      </c>
      <c r="AX852" s="1">
        <f t="shared" si="417"/>
        <v>0</v>
      </c>
      <c r="AY852" s="29">
        <f t="shared" si="418"/>
        <v>0</v>
      </c>
      <c r="AZ852" s="1">
        <f t="shared" si="400"/>
        <v>0</v>
      </c>
      <c r="CB852" s="20">
        <f t="shared" si="409"/>
        <v>0</v>
      </c>
      <c r="CC852" s="173">
        <f t="shared" si="401"/>
        <v>0</v>
      </c>
    </row>
    <row r="853" spans="10:81" x14ac:dyDescent="0.25">
      <c r="J853" s="7"/>
      <c r="K853" s="8"/>
      <c r="L853" s="16"/>
      <c r="M853" s="22"/>
      <c r="N853" s="22"/>
      <c r="O853" s="22"/>
      <c r="P853" s="22"/>
      <c r="Q853" s="1">
        <f t="shared" si="402"/>
        <v>0.60744618579017706</v>
      </c>
      <c r="R853" s="12">
        <f t="shared" ca="1" si="419"/>
        <v>24692</v>
      </c>
      <c r="S853" s="88">
        <f t="shared" si="428"/>
        <v>0</v>
      </c>
      <c r="T853" s="19">
        <f t="shared" si="420"/>
        <v>0</v>
      </c>
      <c r="U853" s="19">
        <f t="shared" si="421"/>
        <v>0</v>
      </c>
      <c r="V853" s="19">
        <f t="shared" si="407"/>
        <v>0</v>
      </c>
      <c r="W853" s="20">
        <f t="shared" ca="1" si="422"/>
        <v>0</v>
      </c>
      <c r="X853" s="19">
        <f t="shared" ca="1" si="423"/>
        <v>0</v>
      </c>
      <c r="Y853" s="19">
        <f t="shared" ca="1" si="424"/>
        <v>0</v>
      </c>
      <c r="Z853" s="20">
        <f t="shared" ca="1" si="425"/>
        <v>0</v>
      </c>
      <c r="AA853" s="1">
        <f t="shared" si="403"/>
        <v>5432.58</v>
      </c>
      <c r="AB853" s="91"/>
      <c r="AC853" s="92"/>
      <c r="AD853" s="101">
        <f t="shared" si="404"/>
        <v>65814</v>
      </c>
      <c r="AE853" s="103">
        <f t="shared" si="405"/>
        <v>0</v>
      </c>
      <c r="AG853" s="1">
        <f t="shared" si="426"/>
        <v>0</v>
      </c>
      <c r="AH853" s="1">
        <f t="shared" si="427"/>
        <v>0</v>
      </c>
      <c r="AI853" s="1">
        <f t="shared" si="406"/>
        <v>5432.58</v>
      </c>
      <c r="AJ853" s="20">
        <f t="shared" si="408"/>
        <v>0</v>
      </c>
      <c r="AK853" s="100">
        <f t="shared" si="410"/>
        <v>0</v>
      </c>
      <c r="AL853" s="100">
        <f t="shared" si="411"/>
        <v>0</v>
      </c>
      <c r="AN853" s="100">
        <f t="shared" si="412"/>
        <v>3580.1569793167059</v>
      </c>
      <c r="AO853" s="20">
        <f t="shared" si="413"/>
        <v>0</v>
      </c>
      <c r="AQ853" s="109">
        <f t="shared" si="414"/>
        <v>0</v>
      </c>
      <c r="AU853" s="109">
        <f t="shared" si="399"/>
        <v>25.173058008755834</v>
      </c>
      <c r="AV853" s="101">
        <f t="shared" si="415"/>
        <v>65844</v>
      </c>
      <c r="AW853" s="99">
        <f t="shared" si="416"/>
        <v>0</v>
      </c>
      <c r="AX853" s="1">
        <f t="shared" si="417"/>
        <v>0</v>
      </c>
      <c r="AY853" s="29">
        <f t="shared" si="418"/>
        <v>0</v>
      </c>
      <c r="AZ853" s="1">
        <f t="shared" si="400"/>
        <v>0</v>
      </c>
      <c r="CB853" s="20">
        <f t="shared" si="409"/>
        <v>0</v>
      </c>
      <c r="CC853" s="173">
        <f t="shared" si="401"/>
        <v>0</v>
      </c>
    </row>
    <row r="854" spans="10:81" x14ac:dyDescent="0.25">
      <c r="J854" s="9"/>
      <c r="K854" s="10"/>
      <c r="L854" s="17"/>
      <c r="M854" s="23"/>
      <c r="N854" s="23"/>
      <c r="O854" s="23"/>
      <c r="P854" s="23"/>
      <c r="Q854" s="1">
        <f t="shared" si="402"/>
        <v>0.60744618579017706</v>
      </c>
      <c r="R854" s="12">
        <f t="shared" ca="1" si="419"/>
        <v>24722</v>
      </c>
      <c r="S854" s="88">
        <f t="shared" si="428"/>
        <v>0</v>
      </c>
      <c r="T854" s="19">
        <f t="shared" si="420"/>
        <v>0</v>
      </c>
      <c r="U854" s="19">
        <f t="shared" si="421"/>
        <v>0</v>
      </c>
      <c r="V854" s="19">
        <f t="shared" si="407"/>
        <v>0</v>
      </c>
      <c r="W854" s="20">
        <f t="shared" ca="1" si="422"/>
        <v>0</v>
      </c>
      <c r="X854" s="19">
        <f t="shared" ca="1" si="423"/>
        <v>0</v>
      </c>
      <c r="Y854" s="19">
        <f t="shared" ca="1" si="424"/>
        <v>0</v>
      </c>
      <c r="Z854" s="20">
        <f t="shared" ca="1" si="425"/>
        <v>0</v>
      </c>
      <c r="AA854" s="1">
        <f t="shared" si="403"/>
        <v>5432.58</v>
      </c>
      <c r="AB854" s="93"/>
      <c r="AC854" s="94"/>
      <c r="AD854" s="101">
        <f t="shared" si="404"/>
        <v>65844</v>
      </c>
      <c r="AE854" s="103">
        <f t="shared" si="405"/>
        <v>0</v>
      </c>
      <c r="AG854" s="1">
        <f t="shared" si="426"/>
        <v>0</v>
      </c>
      <c r="AH854" s="1">
        <f t="shared" si="427"/>
        <v>0</v>
      </c>
      <c r="AI854" s="1">
        <f t="shared" si="406"/>
        <v>5432.58</v>
      </c>
      <c r="AJ854" s="20">
        <f t="shared" si="408"/>
        <v>0</v>
      </c>
      <c r="AK854" s="100">
        <f t="shared" si="410"/>
        <v>0</v>
      </c>
      <c r="AL854" s="100">
        <f t="shared" si="411"/>
        <v>0</v>
      </c>
      <c r="AN854" s="100">
        <f t="shared" si="412"/>
        <v>3578.345602327061</v>
      </c>
      <c r="AO854" s="20">
        <f t="shared" si="413"/>
        <v>0</v>
      </c>
      <c r="AQ854" s="109">
        <f t="shared" si="414"/>
        <v>0</v>
      </c>
      <c r="AU854" s="109">
        <f t="shared" si="399"/>
        <v>25.170848567603798</v>
      </c>
      <c r="AV854" s="101">
        <f t="shared" si="415"/>
        <v>65874</v>
      </c>
      <c r="AW854" s="99">
        <f t="shared" si="416"/>
        <v>0</v>
      </c>
      <c r="AX854" s="1">
        <f t="shared" si="417"/>
        <v>0</v>
      </c>
      <c r="AY854" s="29">
        <f t="shared" si="418"/>
        <v>0</v>
      </c>
      <c r="AZ854" s="1">
        <f t="shared" si="400"/>
        <v>0</v>
      </c>
      <c r="CB854" s="20">
        <f t="shared" si="409"/>
        <v>0</v>
      </c>
      <c r="CC854" s="173">
        <f t="shared" si="401"/>
        <v>0</v>
      </c>
    </row>
    <row r="855" spans="10:81" x14ac:dyDescent="0.25">
      <c r="J855" s="7"/>
      <c r="K855" s="8"/>
      <c r="L855" s="16"/>
      <c r="M855" s="22"/>
      <c r="N855" s="22"/>
      <c r="O855" s="22"/>
      <c r="P855" s="22"/>
      <c r="Q855" s="1">
        <f t="shared" si="402"/>
        <v>0.60744618579017706</v>
      </c>
      <c r="R855" s="12">
        <f t="shared" ca="1" si="419"/>
        <v>24752</v>
      </c>
      <c r="S855" s="88">
        <f t="shared" si="428"/>
        <v>0</v>
      </c>
      <c r="T855" s="19">
        <f t="shared" si="420"/>
        <v>0</v>
      </c>
      <c r="U855" s="19">
        <f t="shared" si="421"/>
        <v>0</v>
      </c>
      <c r="V855" s="19">
        <f t="shared" si="407"/>
        <v>0</v>
      </c>
      <c r="W855" s="20">
        <f t="shared" ca="1" si="422"/>
        <v>0</v>
      </c>
      <c r="X855" s="19">
        <f t="shared" ca="1" si="423"/>
        <v>0</v>
      </c>
      <c r="Y855" s="19">
        <f t="shared" ca="1" si="424"/>
        <v>0</v>
      </c>
      <c r="Z855" s="20">
        <f t="shared" ca="1" si="425"/>
        <v>0</v>
      </c>
      <c r="AA855" s="1">
        <f t="shared" si="403"/>
        <v>5432.58</v>
      </c>
      <c r="AB855" s="91"/>
      <c r="AC855" s="92"/>
      <c r="AD855" s="101">
        <f t="shared" si="404"/>
        <v>65874</v>
      </c>
      <c r="AE855" s="103">
        <f t="shared" si="405"/>
        <v>0</v>
      </c>
      <c r="AG855" s="1">
        <f t="shared" si="426"/>
        <v>0</v>
      </c>
      <c r="AH855" s="1">
        <f t="shared" si="427"/>
        <v>0</v>
      </c>
      <c r="AI855" s="1">
        <f t="shared" si="406"/>
        <v>5432.58</v>
      </c>
      <c r="AJ855" s="20">
        <f t="shared" si="408"/>
        <v>0</v>
      </c>
      <c r="AK855" s="100">
        <f t="shared" si="410"/>
        <v>0</v>
      </c>
      <c r="AL855" s="100">
        <f t="shared" si="411"/>
        <v>0</v>
      </c>
      <c r="AN855" s="100">
        <f t="shared" si="412"/>
        <v>3576.5351418018677</v>
      </c>
      <c r="AO855" s="20">
        <f t="shared" si="413"/>
        <v>0</v>
      </c>
      <c r="AQ855" s="109">
        <f t="shared" si="414"/>
        <v>0</v>
      </c>
      <c r="AU855" s="109">
        <f t="shared" si="399"/>
        <v>25.16863932037456</v>
      </c>
      <c r="AV855" s="101">
        <f t="shared" si="415"/>
        <v>65904</v>
      </c>
      <c r="AW855" s="99">
        <f t="shared" si="416"/>
        <v>0</v>
      </c>
      <c r="AX855" s="1">
        <f t="shared" si="417"/>
        <v>0</v>
      </c>
      <c r="AY855" s="29">
        <f t="shared" si="418"/>
        <v>0</v>
      </c>
      <c r="AZ855" s="1">
        <f t="shared" si="400"/>
        <v>0</v>
      </c>
      <c r="CB855" s="20">
        <f t="shared" si="409"/>
        <v>0</v>
      </c>
      <c r="CC855" s="173">
        <f t="shared" si="401"/>
        <v>0</v>
      </c>
    </row>
    <row r="856" spans="10:81" x14ac:dyDescent="0.25">
      <c r="J856" s="9"/>
      <c r="K856" s="10"/>
      <c r="L856" s="17"/>
      <c r="M856" s="23"/>
      <c r="N856" s="23"/>
      <c r="O856" s="23"/>
      <c r="P856" s="23"/>
      <c r="Q856" s="1">
        <f t="shared" si="402"/>
        <v>0.60744618579017706</v>
      </c>
      <c r="R856" s="12">
        <f t="shared" ca="1" si="419"/>
        <v>24782</v>
      </c>
      <c r="S856" s="88">
        <f t="shared" si="428"/>
        <v>0</v>
      </c>
      <c r="T856" s="19">
        <f t="shared" si="420"/>
        <v>0</v>
      </c>
      <c r="U856" s="19">
        <f t="shared" si="421"/>
        <v>0</v>
      </c>
      <c r="V856" s="19">
        <f t="shared" si="407"/>
        <v>0</v>
      </c>
      <c r="W856" s="20">
        <f t="shared" ca="1" si="422"/>
        <v>0</v>
      </c>
      <c r="X856" s="19">
        <f t="shared" ca="1" si="423"/>
        <v>0</v>
      </c>
      <c r="Y856" s="19">
        <f t="shared" ca="1" si="424"/>
        <v>0</v>
      </c>
      <c r="Z856" s="20">
        <f t="shared" ca="1" si="425"/>
        <v>0</v>
      </c>
      <c r="AA856" s="1">
        <f t="shared" si="403"/>
        <v>5432.58</v>
      </c>
      <c r="AB856" s="93"/>
      <c r="AC856" s="94"/>
      <c r="AD856" s="101">
        <f t="shared" si="404"/>
        <v>65904</v>
      </c>
      <c r="AE856" s="103">
        <f t="shared" si="405"/>
        <v>0</v>
      </c>
      <c r="AG856" s="1">
        <f t="shared" si="426"/>
        <v>0</v>
      </c>
      <c r="AH856" s="1">
        <f t="shared" si="427"/>
        <v>0</v>
      </c>
      <c r="AI856" s="1">
        <f t="shared" si="406"/>
        <v>5432.58</v>
      </c>
      <c r="AJ856" s="20">
        <f t="shared" si="408"/>
        <v>0</v>
      </c>
      <c r="AK856" s="100">
        <f t="shared" si="410"/>
        <v>0</v>
      </c>
      <c r="AL856" s="100">
        <f t="shared" si="411"/>
        <v>0</v>
      </c>
      <c r="AN856" s="100">
        <f t="shared" si="412"/>
        <v>3574.7255972774406</v>
      </c>
      <c r="AO856" s="20">
        <f t="shared" si="413"/>
        <v>0</v>
      </c>
      <c r="AQ856" s="109">
        <f t="shared" si="414"/>
        <v>0</v>
      </c>
      <c r="AU856" s="109">
        <f t="shared" si="399"/>
        <v>25.16643026705113</v>
      </c>
      <c r="AV856" s="101">
        <f t="shared" si="415"/>
        <v>65934</v>
      </c>
      <c r="AW856" s="99">
        <f t="shared" si="416"/>
        <v>0</v>
      </c>
      <c r="AX856" s="1">
        <f t="shared" si="417"/>
        <v>0</v>
      </c>
      <c r="AY856" s="29">
        <f t="shared" si="418"/>
        <v>0</v>
      </c>
      <c r="AZ856" s="1">
        <f t="shared" si="400"/>
        <v>0</v>
      </c>
      <c r="CB856" s="20">
        <f t="shared" si="409"/>
        <v>0</v>
      </c>
      <c r="CC856" s="173">
        <f t="shared" si="401"/>
        <v>0</v>
      </c>
    </row>
    <row r="857" spans="10:81" x14ac:dyDescent="0.25">
      <c r="J857" s="7"/>
      <c r="K857" s="8"/>
      <c r="L857" s="16"/>
      <c r="M857" s="22"/>
      <c r="N857" s="22"/>
      <c r="O857" s="22"/>
      <c r="P857" s="22"/>
      <c r="Q857" s="1">
        <f t="shared" si="402"/>
        <v>0.60744618579017706</v>
      </c>
      <c r="R857" s="12">
        <f t="shared" ca="1" si="419"/>
        <v>24812</v>
      </c>
      <c r="S857" s="88">
        <f t="shared" si="428"/>
        <v>0</v>
      </c>
      <c r="T857" s="19">
        <f t="shared" si="420"/>
        <v>0</v>
      </c>
      <c r="U857" s="19">
        <f t="shared" si="421"/>
        <v>0</v>
      </c>
      <c r="V857" s="19">
        <f t="shared" si="407"/>
        <v>0</v>
      </c>
      <c r="W857" s="20">
        <f t="shared" ca="1" si="422"/>
        <v>0</v>
      </c>
      <c r="X857" s="19">
        <f t="shared" ca="1" si="423"/>
        <v>0</v>
      </c>
      <c r="Y857" s="19">
        <f t="shared" ca="1" si="424"/>
        <v>0</v>
      </c>
      <c r="Z857" s="20">
        <f t="shared" ca="1" si="425"/>
        <v>0</v>
      </c>
      <c r="AA857" s="1">
        <f t="shared" si="403"/>
        <v>5432.58</v>
      </c>
      <c r="AB857" s="91"/>
      <c r="AC857" s="92"/>
      <c r="AD857" s="101">
        <f t="shared" si="404"/>
        <v>65934</v>
      </c>
      <c r="AE857" s="103">
        <f t="shared" si="405"/>
        <v>0</v>
      </c>
      <c r="AG857" s="1">
        <f t="shared" si="426"/>
        <v>0</v>
      </c>
      <c r="AH857" s="1">
        <f t="shared" si="427"/>
        <v>0</v>
      </c>
      <c r="AI857" s="1">
        <f t="shared" si="406"/>
        <v>5432.58</v>
      </c>
      <c r="AJ857" s="20">
        <f t="shared" si="408"/>
        <v>0</v>
      </c>
      <c r="AK857" s="100">
        <f t="shared" si="410"/>
        <v>0</v>
      </c>
      <c r="AL857" s="100">
        <f t="shared" si="411"/>
        <v>0</v>
      </c>
      <c r="AN857" s="100">
        <f t="shared" si="412"/>
        <v>3572.9169682903289</v>
      </c>
      <c r="AO857" s="20">
        <f t="shared" si="413"/>
        <v>0</v>
      </c>
      <c r="AQ857" s="109">
        <f t="shared" si="414"/>
        <v>0</v>
      </c>
      <c r="AU857" s="109">
        <f t="shared" si="399"/>
        <v>25.164221407616466</v>
      </c>
      <c r="AV857" s="101">
        <f t="shared" si="415"/>
        <v>65964</v>
      </c>
      <c r="AW857" s="99">
        <f t="shared" si="416"/>
        <v>0</v>
      </c>
      <c r="AX857" s="1">
        <f t="shared" si="417"/>
        <v>0</v>
      </c>
      <c r="AY857" s="29">
        <f t="shared" si="418"/>
        <v>0</v>
      </c>
      <c r="AZ857" s="1">
        <f t="shared" si="400"/>
        <v>0</v>
      </c>
      <c r="CB857" s="20">
        <f t="shared" si="409"/>
        <v>0</v>
      </c>
      <c r="CC857" s="173">
        <f t="shared" si="401"/>
        <v>0</v>
      </c>
    </row>
    <row r="858" spans="10:81" x14ac:dyDescent="0.25">
      <c r="J858" s="9"/>
      <c r="K858" s="10"/>
      <c r="L858" s="17"/>
      <c r="M858" s="23"/>
      <c r="N858" s="23"/>
      <c r="O858" s="23"/>
      <c r="P858" s="23"/>
      <c r="Q858" s="1">
        <f t="shared" si="402"/>
        <v>0.60744618579017706</v>
      </c>
      <c r="R858" s="12">
        <f t="shared" ca="1" si="419"/>
        <v>24842</v>
      </c>
      <c r="S858" s="88">
        <f t="shared" si="428"/>
        <v>0</v>
      </c>
      <c r="T858" s="19">
        <f t="shared" si="420"/>
        <v>0</v>
      </c>
      <c r="U858" s="19">
        <f t="shared" si="421"/>
        <v>0</v>
      </c>
      <c r="V858" s="19">
        <f t="shared" si="407"/>
        <v>0</v>
      </c>
      <c r="W858" s="20">
        <f t="shared" ca="1" si="422"/>
        <v>0</v>
      </c>
      <c r="X858" s="19">
        <f t="shared" ca="1" si="423"/>
        <v>0</v>
      </c>
      <c r="Y858" s="19">
        <f t="shared" ca="1" si="424"/>
        <v>0</v>
      </c>
      <c r="Z858" s="20">
        <f t="shared" ca="1" si="425"/>
        <v>0</v>
      </c>
      <c r="AA858" s="1">
        <f t="shared" si="403"/>
        <v>5432.58</v>
      </c>
      <c r="AB858" s="93"/>
      <c r="AC858" s="94"/>
      <c r="AD858" s="101">
        <f t="shared" si="404"/>
        <v>65964</v>
      </c>
      <c r="AE858" s="103">
        <f t="shared" si="405"/>
        <v>0</v>
      </c>
      <c r="AG858" s="1">
        <f t="shared" si="426"/>
        <v>0</v>
      </c>
      <c r="AH858" s="1">
        <f t="shared" si="427"/>
        <v>0</v>
      </c>
      <c r="AI858" s="1">
        <f t="shared" si="406"/>
        <v>5432.58</v>
      </c>
      <c r="AJ858" s="20">
        <f t="shared" si="408"/>
        <v>0</v>
      </c>
      <c r="AK858" s="100">
        <f t="shared" si="410"/>
        <v>0</v>
      </c>
      <c r="AL858" s="100">
        <f t="shared" si="411"/>
        <v>0</v>
      </c>
      <c r="AN858" s="100">
        <f t="shared" si="412"/>
        <v>3571.1092543773184</v>
      </c>
      <c r="AO858" s="20">
        <f t="shared" si="413"/>
        <v>0</v>
      </c>
      <c r="AQ858" s="109">
        <f t="shared" si="414"/>
        <v>0</v>
      </c>
      <c r="AU858" s="109">
        <f t="shared" si="399"/>
        <v>25.162012742053552</v>
      </c>
      <c r="AV858" s="101">
        <f t="shared" si="415"/>
        <v>65994</v>
      </c>
      <c r="AW858" s="99">
        <f t="shared" si="416"/>
        <v>0</v>
      </c>
      <c r="AX858" s="1">
        <f t="shared" si="417"/>
        <v>0</v>
      </c>
      <c r="AY858" s="29">
        <f t="shared" si="418"/>
        <v>0</v>
      </c>
      <c r="AZ858" s="1">
        <f t="shared" si="400"/>
        <v>0</v>
      </c>
      <c r="CB858" s="20">
        <f t="shared" si="409"/>
        <v>0</v>
      </c>
      <c r="CC858" s="173">
        <f t="shared" si="401"/>
        <v>0</v>
      </c>
    </row>
    <row r="859" spans="10:81" x14ac:dyDescent="0.25">
      <c r="J859" s="7"/>
      <c r="K859" s="8"/>
      <c r="L859" s="16"/>
      <c r="M859" s="22"/>
      <c r="N859" s="22"/>
      <c r="O859" s="22"/>
      <c r="P859" s="22"/>
      <c r="Q859" s="1">
        <f t="shared" si="402"/>
        <v>0.60744618579017706</v>
      </c>
      <c r="R859" s="12">
        <f t="shared" ca="1" si="419"/>
        <v>24872</v>
      </c>
      <c r="S859" s="88">
        <f t="shared" si="428"/>
        <v>0</v>
      </c>
      <c r="T859" s="19">
        <f t="shared" si="420"/>
        <v>0</v>
      </c>
      <c r="U859" s="19">
        <f t="shared" si="421"/>
        <v>0</v>
      </c>
      <c r="V859" s="19">
        <f t="shared" si="407"/>
        <v>0</v>
      </c>
      <c r="W859" s="20">
        <f t="shared" ca="1" si="422"/>
        <v>0</v>
      </c>
      <c r="X859" s="19">
        <f t="shared" ca="1" si="423"/>
        <v>0</v>
      </c>
      <c r="Y859" s="19">
        <f t="shared" ca="1" si="424"/>
        <v>0</v>
      </c>
      <c r="Z859" s="20">
        <f t="shared" ca="1" si="425"/>
        <v>0</v>
      </c>
      <c r="AA859" s="1">
        <f t="shared" si="403"/>
        <v>5432.58</v>
      </c>
      <c r="AB859" s="91"/>
      <c r="AC859" s="92"/>
      <c r="AD859" s="101">
        <f t="shared" si="404"/>
        <v>65994</v>
      </c>
      <c r="AE859" s="103">
        <f t="shared" si="405"/>
        <v>0</v>
      </c>
      <c r="AG859" s="1">
        <f t="shared" si="426"/>
        <v>0</v>
      </c>
      <c r="AH859" s="1">
        <f t="shared" si="427"/>
        <v>0</v>
      </c>
      <c r="AI859" s="1">
        <f t="shared" si="406"/>
        <v>5432.58</v>
      </c>
      <c r="AJ859" s="20">
        <f t="shared" si="408"/>
        <v>0</v>
      </c>
      <c r="AK859" s="100">
        <f t="shared" si="410"/>
        <v>0</v>
      </c>
      <c r="AL859" s="100">
        <f t="shared" si="411"/>
        <v>0</v>
      </c>
      <c r="AN859" s="100">
        <f t="shared" si="412"/>
        <v>3569.302455075429</v>
      </c>
      <c r="AO859" s="20">
        <f t="shared" si="413"/>
        <v>0</v>
      </c>
      <c r="AQ859" s="109">
        <f t="shared" si="414"/>
        <v>0</v>
      </c>
      <c r="AU859" s="109">
        <f t="shared" si="399"/>
        <v>25.159804270345379</v>
      </c>
      <c r="AV859" s="101">
        <f t="shared" si="415"/>
        <v>66024</v>
      </c>
      <c r="AW859" s="99">
        <f t="shared" si="416"/>
        <v>0</v>
      </c>
      <c r="AX859" s="1">
        <f t="shared" si="417"/>
        <v>0</v>
      </c>
      <c r="AY859" s="29">
        <f t="shared" si="418"/>
        <v>0</v>
      </c>
      <c r="AZ859" s="1">
        <f t="shared" si="400"/>
        <v>0</v>
      </c>
      <c r="CB859" s="20">
        <f t="shared" si="409"/>
        <v>0</v>
      </c>
      <c r="CC859" s="173">
        <f t="shared" si="401"/>
        <v>0</v>
      </c>
    </row>
    <row r="860" spans="10:81" x14ac:dyDescent="0.25">
      <c r="J860" s="9"/>
      <c r="K860" s="10"/>
      <c r="L860" s="17"/>
      <c r="M860" s="23"/>
      <c r="N860" s="23"/>
      <c r="O860" s="23"/>
      <c r="P860" s="23"/>
      <c r="Q860" s="1">
        <f t="shared" si="402"/>
        <v>0.60744618579017706</v>
      </c>
      <c r="R860" s="12">
        <f t="shared" ca="1" si="419"/>
        <v>24902</v>
      </c>
      <c r="S860" s="88">
        <f t="shared" si="428"/>
        <v>0</v>
      </c>
      <c r="T860" s="19">
        <f t="shared" si="420"/>
        <v>0</v>
      </c>
      <c r="U860" s="19">
        <f t="shared" si="421"/>
        <v>0</v>
      </c>
      <c r="V860" s="19">
        <f t="shared" si="407"/>
        <v>0</v>
      </c>
      <c r="W860" s="20">
        <f t="shared" ca="1" si="422"/>
        <v>0</v>
      </c>
      <c r="X860" s="19">
        <f t="shared" ca="1" si="423"/>
        <v>0</v>
      </c>
      <c r="Y860" s="19">
        <f t="shared" ca="1" si="424"/>
        <v>0</v>
      </c>
      <c r="Z860" s="20">
        <f t="shared" ca="1" si="425"/>
        <v>0</v>
      </c>
      <c r="AA860" s="1">
        <f t="shared" si="403"/>
        <v>5432.58</v>
      </c>
      <c r="AB860" s="93"/>
      <c r="AC860" s="94"/>
      <c r="AD860" s="101">
        <f t="shared" si="404"/>
        <v>66024</v>
      </c>
      <c r="AE860" s="103">
        <f t="shared" si="405"/>
        <v>0</v>
      </c>
      <c r="AG860" s="1">
        <f t="shared" si="426"/>
        <v>0</v>
      </c>
      <c r="AH860" s="1">
        <f t="shared" si="427"/>
        <v>0</v>
      </c>
      <c r="AI860" s="1">
        <f t="shared" si="406"/>
        <v>5432.58</v>
      </c>
      <c r="AJ860" s="20">
        <f t="shared" si="408"/>
        <v>0</v>
      </c>
      <c r="AK860" s="100">
        <f t="shared" si="410"/>
        <v>0</v>
      </c>
      <c r="AL860" s="100">
        <f t="shared" si="411"/>
        <v>0</v>
      </c>
      <c r="AN860" s="100">
        <f t="shared" si="412"/>
        <v>3567.4965699219124</v>
      </c>
      <c r="AO860" s="20">
        <f t="shared" si="413"/>
        <v>0</v>
      </c>
      <c r="AQ860" s="109">
        <f t="shared" si="414"/>
        <v>0</v>
      </c>
      <c r="AU860" s="109">
        <f t="shared" si="399"/>
        <v>25.157595992474931</v>
      </c>
      <c r="AV860" s="101">
        <f t="shared" si="415"/>
        <v>66054</v>
      </c>
      <c r="AW860" s="99">
        <f t="shared" si="416"/>
        <v>0</v>
      </c>
      <c r="AX860" s="1">
        <f t="shared" si="417"/>
        <v>0</v>
      </c>
      <c r="AY860" s="29">
        <f t="shared" si="418"/>
        <v>0</v>
      </c>
      <c r="AZ860" s="1">
        <f t="shared" si="400"/>
        <v>0</v>
      </c>
      <c r="CB860" s="20">
        <f t="shared" si="409"/>
        <v>0</v>
      </c>
      <c r="CC860" s="173">
        <f t="shared" si="401"/>
        <v>0</v>
      </c>
    </row>
    <row r="861" spans="10:81" x14ac:dyDescent="0.25">
      <c r="J861" s="7"/>
      <c r="K861" s="8"/>
      <c r="L861" s="16"/>
      <c r="M861" s="22"/>
      <c r="N861" s="22"/>
      <c r="O861" s="22"/>
      <c r="P861" s="22"/>
      <c r="Q861" s="1">
        <f t="shared" si="402"/>
        <v>0.60744618579017706</v>
      </c>
      <c r="R861" s="12">
        <f t="shared" ca="1" si="419"/>
        <v>24932</v>
      </c>
      <c r="S861" s="88">
        <f t="shared" si="428"/>
        <v>0</v>
      </c>
      <c r="T861" s="19">
        <f t="shared" si="420"/>
        <v>0</v>
      </c>
      <c r="U861" s="19">
        <f t="shared" si="421"/>
        <v>0</v>
      </c>
      <c r="V861" s="19">
        <f t="shared" si="407"/>
        <v>0</v>
      </c>
      <c r="W861" s="20">
        <f t="shared" ca="1" si="422"/>
        <v>0</v>
      </c>
      <c r="X861" s="19">
        <f t="shared" ca="1" si="423"/>
        <v>0</v>
      </c>
      <c r="Y861" s="19">
        <f t="shared" ca="1" si="424"/>
        <v>0</v>
      </c>
      <c r="Z861" s="20">
        <f t="shared" ca="1" si="425"/>
        <v>0</v>
      </c>
      <c r="AA861" s="1">
        <f t="shared" si="403"/>
        <v>5432.58</v>
      </c>
      <c r="AB861" s="91"/>
      <c r="AC861" s="92"/>
      <c r="AD861" s="101">
        <f t="shared" si="404"/>
        <v>66054</v>
      </c>
      <c r="AE861" s="103">
        <f t="shared" si="405"/>
        <v>0</v>
      </c>
      <c r="AG861" s="1">
        <f t="shared" si="426"/>
        <v>0</v>
      </c>
      <c r="AH861" s="1">
        <f t="shared" si="427"/>
        <v>0</v>
      </c>
      <c r="AI861" s="1">
        <f t="shared" si="406"/>
        <v>5432.58</v>
      </c>
      <c r="AJ861" s="20">
        <f t="shared" si="408"/>
        <v>0</v>
      </c>
      <c r="AK861" s="100">
        <f t="shared" si="410"/>
        <v>0</v>
      </c>
      <c r="AL861" s="100">
        <f t="shared" si="411"/>
        <v>0</v>
      </c>
      <c r="AN861" s="100">
        <f t="shared" si="412"/>
        <v>3565.6915984542588</v>
      </c>
      <c r="AO861" s="20">
        <f t="shared" si="413"/>
        <v>0</v>
      </c>
      <c r="AQ861" s="109">
        <f t="shared" si="414"/>
        <v>0</v>
      </c>
      <c r="AU861" s="109">
        <f t="shared" si="399"/>
        <v>25.155387908425197</v>
      </c>
      <c r="AV861" s="101">
        <f t="shared" si="415"/>
        <v>66084</v>
      </c>
      <c r="AW861" s="99">
        <f t="shared" si="416"/>
        <v>0</v>
      </c>
      <c r="AX861" s="1">
        <f t="shared" si="417"/>
        <v>0</v>
      </c>
      <c r="AY861" s="29">
        <f t="shared" si="418"/>
        <v>0</v>
      </c>
      <c r="AZ861" s="1">
        <f t="shared" si="400"/>
        <v>0</v>
      </c>
      <c r="CB861" s="20">
        <f t="shared" si="409"/>
        <v>0</v>
      </c>
      <c r="CC861" s="173">
        <f t="shared" si="401"/>
        <v>0</v>
      </c>
    </row>
    <row r="862" spans="10:81" x14ac:dyDescent="0.25">
      <c r="J862" s="9"/>
      <c r="K862" s="10"/>
      <c r="L862" s="17"/>
      <c r="M862" s="23"/>
      <c r="N862" s="23"/>
      <c r="O862" s="23"/>
      <c r="P862" s="23"/>
      <c r="Q862" s="1">
        <f t="shared" si="402"/>
        <v>0.60744618579017706</v>
      </c>
      <c r="R862" s="12">
        <f t="shared" ca="1" si="419"/>
        <v>24962</v>
      </c>
      <c r="S862" s="88">
        <f t="shared" si="428"/>
        <v>0</v>
      </c>
      <c r="T862" s="19">
        <f t="shared" si="420"/>
        <v>0</v>
      </c>
      <c r="U862" s="19">
        <f t="shared" si="421"/>
        <v>0</v>
      </c>
      <c r="V862" s="19">
        <f t="shared" si="407"/>
        <v>0</v>
      </c>
      <c r="W862" s="20">
        <f t="shared" ca="1" si="422"/>
        <v>0</v>
      </c>
      <c r="X862" s="19">
        <f t="shared" ca="1" si="423"/>
        <v>0</v>
      </c>
      <c r="Y862" s="19">
        <f t="shared" ca="1" si="424"/>
        <v>0</v>
      </c>
      <c r="Z862" s="20">
        <f t="shared" ca="1" si="425"/>
        <v>0</v>
      </c>
      <c r="AA862" s="1">
        <f t="shared" si="403"/>
        <v>5432.58</v>
      </c>
      <c r="AB862" s="93"/>
      <c r="AC862" s="94"/>
      <c r="AD862" s="101">
        <f t="shared" si="404"/>
        <v>66084</v>
      </c>
      <c r="AE862" s="103">
        <f t="shared" si="405"/>
        <v>0</v>
      </c>
      <c r="AG862" s="1">
        <f t="shared" si="426"/>
        <v>0</v>
      </c>
      <c r="AH862" s="1">
        <f t="shared" si="427"/>
        <v>0</v>
      </c>
      <c r="AI862" s="1">
        <f t="shared" si="406"/>
        <v>5432.58</v>
      </c>
      <c r="AJ862" s="20">
        <f t="shared" si="408"/>
        <v>0</v>
      </c>
      <c r="AK862" s="100">
        <f t="shared" si="410"/>
        <v>0</v>
      </c>
      <c r="AL862" s="100">
        <f t="shared" si="411"/>
        <v>0</v>
      </c>
      <c r="AN862" s="100">
        <f t="shared" si="412"/>
        <v>3563.8875402101871</v>
      </c>
      <c r="AO862" s="20">
        <f t="shared" si="413"/>
        <v>0</v>
      </c>
      <c r="AQ862" s="109">
        <f t="shared" si="414"/>
        <v>0</v>
      </c>
      <c r="AU862" s="109">
        <f t="shared" si="399"/>
        <v>25.15318001817916</v>
      </c>
      <c r="AV862" s="101">
        <f t="shared" si="415"/>
        <v>66114</v>
      </c>
      <c r="AW862" s="99">
        <f t="shared" si="416"/>
        <v>0</v>
      </c>
      <c r="AX862" s="1">
        <f t="shared" si="417"/>
        <v>0</v>
      </c>
      <c r="AY862" s="29">
        <f t="shared" si="418"/>
        <v>0</v>
      </c>
      <c r="AZ862" s="1">
        <f t="shared" si="400"/>
        <v>0</v>
      </c>
      <c r="CB862" s="20">
        <f t="shared" si="409"/>
        <v>0</v>
      </c>
      <c r="CC862" s="173">
        <f t="shared" si="401"/>
        <v>0</v>
      </c>
    </row>
    <row r="863" spans="10:81" x14ac:dyDescent="0.25">
      <c r="J863" s="7"/>
      <c r="K863" s="8"/>
      <c r="L863" s="16"/>
      <c r="M863" s="22"/>
      <c r="N863" s="22"/>
      <c r="O863" s="22"/>
      <c r="P863" s="22"/>
      <c r="Q863" s="1">
        <f t="shared" si="402"/>
        <v>0.60744618579017706</v>
      </c>
      <c r="R863" s="12">
        <f t="shared" ca="1" si="419"/>
        <v>24992</v>
      </c>
      <c r="S863" s="88">
        <f t="shared" si="428"/>
        <v>0</v>
      </c>
      <c r="T863" s="19">
        <f t="shared" si="420"/>
        <v>0</v>
      </c>
      <c r="U863" s="19">
        <f t="shared" si="421"/>
        <v>0</v>
      </c>
      <c r="V863" s="19">
        <f t="shared" si="407"/>
        <v>0</v>
      </c>
      <c r="W863" s="20">
        <f t="shared" ca="1" si="422"/>
        <v>0</v>
      </c>
      <c r="X863" s="19">
        <f t="shared" ca="1" si="423"/>
        <v>0</v>
      </c>
      <c r="Y863" s="19">
        <f t="shared" ca="1" si="424"/>
        <v>0</v>
      </c>
      <c r="Z863" s="20">
        <f t="shared" ca="1" si="425"/>
        <v>0</v>
      </c>
      <c r="AA863" s="1">
        <f t="shared" si="403"/>
        <v>5432.58</v>
      </c>
      <c r="AB863" s="91"/>
      <c r="AC863" s="92"/>
      <c r="AD863" s="101">
        <f t="shared" si="404"/>
        <v>66114</v>
      </c>
      <c r="AE863" s="103">
        <f t="shared" si="405"/>
        <v>0</v>
      </c>
      <c r="AG863" s="1">
        <f t="shared" si="426"/>
        <v>0</v>
      </c>
      <c r="AH863" s="1">
        <f t="shared" si="427"/>
        <v>0</v>
      </c>
      <c r="AI863" s="1">
        <f t="shared" si="406"/>
        <v>5432.58</v>
      </c>
      <c r="AJ863" s="20">
        <f t="shared" si="408"/>
        <v>0</v>
      </c>
      <c r="AK863" s="100">
        <f t="shared" si="410"/>
        <v>0</v>
      </c>
      <c r="AL863" s="100">
        <f t="shared" si="411"/>
        <v>0</v>
      </c>
      <c r="AN863" s="100">
        <f t="shared" si="412"/>
        <v>3562.084394727653</v>
      </c>
      <c r="AO863" s="20">
        <f t="shared" si="413"/>
        <v>0</v>
      </c>
      <c r="AQ863" s="109">
        <f t="shared" si="414"/>
        <v>0</v>
      </c>
      <c r="AU863" s="109">
        <f t="shared" ref="AU863:AU926" si="429">(($AT$27/(1+((1+$AM$27)^(ROW()-29)*30)-1))/292)*0.32</f>
        <v>25.150972321719816</v>
      </c>
      <c r="AV863" s="101">
        <f t="shared" si="415"/>
        <v>66144</v>
      </c>
      <c r="AW863" s="99">
        <f t="shared" si="416"/>
        <v>0</v>
      </c>
      <c r="AX863" s="1">
        <f t="shared" si="417"/>
        <v>0</v>
      </c>
      <c r="AY863" s="29">
        <f t="shared" si="418"/>
        <v>0</v>
      </c>
      <c r="AZ863" s="1">
        <f t="shared" ref="AZ863:AZ926" si="430">AY863/360</f>
        <v>0</v>
      </c>
      <c r="CB863" s="20">
        <f t="shared" si="409"/>
        <v>0</v>
      </c>
      <c r="CC863" s="173">
        <f t="shared" ref="CC863:CC926" si="431">AJ863+U863+T863</f>
        <v>0</v>
      </c>
    </row>
    <row r="864" spans="10:81" x14ac:dyDescent="0.25">
      <c r="J864" s="9"/>
      <c r="K864" s="10"/>
      <c r="L864" s="17"/>
      <c r="M864" s="23"/>
      <c r="N864" s="23"/>
      <c r="O864" s="23"/>
      <c r="P864" s="23"/>
      <c r="Q864" s="1">
        <f t="shared" ref="Q864:Q927" si="432">IF(M864=0,Q863,(M864*1200)/O863)</f>
        <v>0.60744618579017706</v>
      </c>
      <c r="R864" s="12">
        <f t="shared" ca="1" si="419"/>
        <v>25022</v>
      </c>
      <c r="S864" s="88">
        <f t="shared" si="428"/>
        <v>0</v>
      </c>
      <c r="T864" s="19">
        <f t="shared" si="420"/>
        <v>0</v>
      </c>
      <c r="U864" s="19">
        <f t="shared" si="421"/>
        <v>0</v>
      </c>
      <c r="V864" s="19">
        <f t="shared" si="407"/>
        <v>0</v>
      </c>
      <c r="W864" s="20">
        <f t="shared" ca="1" si="422"/>
        <v>0</v>
      </c>
      <c r="X864" s="19">
        <f t="shared" ca="1" si="423"/>
        <v>0</v>
      </c>
      <c r="Y864" s="19">
        <f t="shared" ca="1" si="424"/>
        <v>0</v>
      </c>
      <c r="Z864" s="20">
        <f t="shared" ca="1" si="425"/>
        <v>0</v>
      </c>
      <c r="AA864" s="1">
        <f t="shared" ref="AA864:AA927" si="433">IF(S864=0,AA863,N864)</f>
        <v>5432.58</v>
      </c>
      <c r="AB864" s="93"/>
      <c r="AC864" s="94"/>
      <c r="AD864" s="101">
        <f t="shared" ref="AD864:AD927" si="434">IF(M864=0,AD863+30,K864)</f>
        <v>66144</v>
      </c>
      <c r="AE864" s="103">
        <f t="shared" ref="AE864:AE927" si="435">IF(V864=0,0,R864)</f>
        <v>0</v>
      </c>
      <c r="AG864" s="1">
        <f t="shared" si="426"/>
        <v>0</v>
      </c>
      <c r="AH864" s="1">
        <f t="shared" si="427"/>
        <v>0</v>
      </c>
      <c r="AI864" s="1">
        <f t="shared" ref="AI864:AI927" si="436">IF(M864-1=0,IF(M864=0,IF(V864=0,N864,AI863),AA864),AA864)</f>
        <v>5432.58</v>
      </c>
      <c r="AJ864" s="20">
        <f t="shared" si="408"/>
        <v>0</v>
      </c>
      <c r="AK864" s="100">
        <f t="shared" si="410"/>
        <v>0</v>
      </c>
      <c r="AL864" s="100">
        <f t="shared" si="411"/>
        <v>0</v>
      </c>
      <c r="AN864" s="100">
        <f t="shared" si="412"/>
        <v>3560.2821615448461</v>
      </c>
      <c r="AO864" s="20">
        <f t="shared" si="413"/>
        <v>0</v>
      </c>
      <c r="AQ864" s="109">
        <f t="shared" si="414"/>
        <v>0</v>
      </c>
      <c r="AU864" s="109">
        <f t="shared" si="429"/>
        <v>25.148764819030145</v>
      </c>
      <c r="AV864" s="101">
        <f t="shared" si="415"/>
        <v>66174</v>
      </c>
      <c r="AW864" s="99">
        <f t="shared" si="416"/>
        <v>0</v>
      </c>
      <c r="AX864" s="1">
        <f t="shared" si="417"/>
        <v>0</v>
      </c>
      <c r="AY864" s="29">
        <f t="shared" si="418"/>
        <v>0</v>
      </c>
      <c r="AZ864" s="1">
        <f t="shared" si="430"/>
        <v>0</v>
      </c>
      <c r="CB864" s="20">
        <f t="shared" si="409"/>
        <v>0</v>
      </c>
      <c r="CC864" s="173">
        <f t="shared" si="431"/>
        <v>0</v>
      </c>
    </row>
    <row r="865" spans="10:81" x14ac:dyDescent="0.25">
      <c r="J865" s="7"/>
      <c r="K865" s="8"/>
      <c r="L865" s="16"/>
      <c r="M865" s="22"/>
      <c r="N865" s="22"/>
      <c r="O865" s="22"/>
      <c r="P865" s="22"/>
      <c r="Q865" s="1">
        <f t="shared" si="432"/>
        <v>0.60744618579017706</v>
      </c>
      <c r="R865" s="12">
        <f t="shared" ca="1" si="419"/>
        <v>25052</v>
      </c>
      <c r="S865" s="88">
        <f t="shared" si="428"/>
        <v>0</v>
      </c>
      <c r="T865" s="19">
        <f t="shared" si="420"/>
        <v>0</v>
      </c>
      <c r="U865" s="19">
        <f t="shared" si="421"/>
        <v>0</v>
      </c>
      <c r="V865" s="19">
        <f t="shared" si="407"/>
        <v>0</v>
      </c>
      <c r="W865" s="20">
        <f t="shared" ca="1" si="422"/>
        <v>0</v>
      </c>
      <c r="X865" s="19">
        <f t="shared" ca="1" si="423"/>
        <v>0</v>
      </c>
      <c r="Y865" s="19">
        <f t="shared" ca="1" si="424"/>
        <v>0</v>
      </c>
      <c r="Z865" s="20">
        <f t="shared" ca="1" si="425"/>
        <v>0</v>
      </c>
      <c r="AA865" s="1">
        <f t="shared" si="433"/>
        <v>5432.58</v>
      </c>
      <c r="AB865" s="91"/>
      <c r="AC865" s="92"/>
      <c r="AD865" s="101">
        <f t="shared" si="434"/>
        <v>66174</v>
      </c>
      <c r="AE865" s="103">
        <f t="shared" si="435"/>
        <v>0</v>
      </c>
      <c r="AG865" s="1">
        <f t="shared" si="426"/>
        <v>0</v>
      </c>
      <c r="AH865" s="1">
        <f t="shared" si="427"/>
        <v>0</v>
      </c>
      <c r="AI865" s="1">
        <f t="shared" si="436"/>
        <v>5432.58</v>
      </c>
      <c r="AJ865" s="20">
        <f t="shared" si="408"/>
        <v>0</v>
      </c>
      <c r="AK865" s="100">
        <f t="shared" si="410"/>
        <v>0</v>
      </c>
      <c r="AL865" s="100">
        <f t="shared" si="411"/>
        <v>0</v>
      </c>
      <c r="AN865" s="100">
        <f t="shared" si="412"/>
        <v>3558.4808402001904</v>
      </c>
      <c r="AO865" s="20">
        <f t="shared" si="413"/>
        <v>0</v>
      </c>
      <c r="AQ865" s="109">
        <f t="shared" si="414"/>
        <v>0</v>
      </c>
      <c r="AU865" s="109">
        <f t="shared" si="429"/>
        <v>25.14655751009315</v>
      </c>
      <c r="AV865" s="101">
        <f t="shared" si="415"/>
        <v>66204</v>
      </c>
      <c r="AW865" s="99">
        <f t="shared" si="416"/>
        <v>0</v>
      </c>
      <c r="AX865" s="1">
        <f t="shared" si="417"/>
        <v>0</v>
      </c>
      <c r="AY865" s="29">
        <f t="shared" si="418"/>
        <v>0</v>
      </c>
      <c r="AZ865" s="1">
        <f t="shared" si="430"/>
        <v>0</v>
      </c>
      <c r="CB865" s="20">
        <f t="shared" si="409"/>
        <v>0</v>
      </c>
      <c r="CC865" s="173">
        <f t="shared" si="431"/>
        <v>0</v>
      </c>
    </row>
    <row r="866" spans="10:81" x14ac:dyDescent="0.25">
      <c r="J866" s="9"/>
      <c r="K866" s="10"/>
      <c r="L866" s="17"/>
      <c r="M866" s="23"/>
      <c r="N866" s="23"/>
      <c r="O866" s="23"/>
      <c r="P866" s="23"/>
      <c r="Q866" s="1">
        <f t="shared" si="432"/>
        <v>0.60744618579017706</v>
      </c>
      <c r="R866" s="12">
        <f t="shared" ca="1" si="419"/>
        <v>25082</v>
      </c>
      <c r="S866" s="88">
        <f t="shared" si="428"/>
        <v>0</v>
      </c>
      <c r="T866" s="19">
        <f t="shared" si="420"/>
        <v>0</v>
      </c>
      <c r="U866" s="19">
        <f t="shared" si="421"/>
        <v>0</v>
      </c>
      <c r="V866" s="19">
        <f t="shared" ref="V866:V929" si="437">IF(ISERROR(IF(V865+U866+T866+(V865*Q866/1200)-AA866-P866&lt;0,0,V865+U866+T866-AA866-P866)),0,IF(V865+U866+T866+(V865*Q866/1200)-AA866-CB866&lt;0,0,V865+U866+T866-AA866-CB866))</f>
        <v>0</v>
      </c>
      <c r="W866" s="20">
        <f t="shared" ca="1" si="422"/>
        <v>0</v>
      </c>
      <c r="X866" s="19">
        <f t="shared" ca="1" si="423"/>
        <v>0</v>
      </c>
      <c r="Y866" s="19">
        <f t="shared" ca="1" si="424"/>
        <v>0</v>
      </c>
      <c r="Z866" s="20">
        <f t="shared" ca="1" si="425"/>
        <v>0</v>
      </c>
      <c r="AA866" s="1">
        <f t="shared" si="433"/>
        <v>5432.58</v>
      </c>
      <c r="AB866" s="93"/>
      <c r="AC866" s="94"/>
      <c r="AD866" s="101">
        <f t="shared" si="434"/>
        <v>66204</v>
      </c>
      <c r="AE866" s="103">
        <f t="shared" si="435"/>
        <v>0</v>
      </c>
      <c r="AG866" s="1">
        <f t="shared" si="426"/>
        <v>0</v>
      </c>
      <c r="AH866" s="1">
        <f t="shared" si="427"/>
        <v>0</v>
      </c>
      <c r="AI866" s="1">
        <f t="shared" si="436"/>
        <v>5432.58</v>
      </c>
      <c r="AJ866" s="20">
        <f t="shared" si="408"/>
        <v>0</v>
      </c>
      <c r="AK866" s="100">
        <f t="shared" si="410"/>
        <v>0</v>
      </c>
      <c r="AL866" s="100">
        <f t="shared" si="411"/>
        <v>0</v>
      </c>
      <c r="AN866" s="100">
        <f t="shared" si="412"/>
        <v>3556.6804302323412</v>
      </c>
      <c r="AO866" s="20">
        <f t="shared" si="413"/>
        <v>0</v>
      </c>
      <c r="AQ866" s="109">
        <f t="shared" si="414"/>
        <v>0</v>
      </c>
      <c r="AU866" s="109">
        <f t="shared" si="429"/>
        <v>25.144350394891827</v>
      </c>
      <c r="AV866" s="101">
        <f t="shared" si="415"/>
        <v>66234</v>
      </c>
      <c r="AW866" s="99">
        <f t="shared" si="416"/>
        <v>0</v>
      </c>
      <c r="AX866" s="1">
        <f t="shared" si="417"/>
        <v>0</v>
      </c>
      <c r="AY866" s="29">
        <f t="shared" si="418"/>
        <v>0</v>
      </c>
      <c r="AZ866" s="1">
        <f t="shared" si="430"/>
        <v>0</v>
      </c>
      <c r="CB866" s="20">
        <f t="shared" si="409"/>
        <v>0</v>
      </c>
      <c r="CC866" s="173">
        <f t="shared" si="431"/>
        <v>0</v>
      </c>
    </row>
    <row r="867" spans="10:81" x14ac:dyDescent="0.25">
      <c r="J867" s="7"/>
      <c r="K867" s="8"/>
      <c r="L867" s="16"/>
      <c r="M867" s="22"/>
      <c r="N867" s="22"/>
      <c r="O867" s="22"/>
      <c r="P867" s="22"/>
      <c r="Q867" s="1">
        <f t="shared" si="432"/>
        <v>0.60744618579017706</v>
      </c>
      <c r="R867" s="12">
        <f t="shared" ca="1" si="419"/>
        <v>25112</v>
      </c>
      <c r="S867" s="88">
        <f t="shared" si="428"/>
        <v>0</v>
      </c>
      <c r="T867" s="19">
        <f t="shared" si="420"/>
        <v>0</v>
      </c>
      <c r="U867" s="19">
        <f t="shared" si="421"/>
        <v>0</v>
      </c>
      <c r="V867" s="19">
        <f t="shared" si="437"/>
        <v>0</v>
      </c>
      <c r="W867" s="20">
        <f t="shared" ca="1" si="422"/>
        <v>0</v>
      </c>
      <c r="X867" s="19">
        <f t="shared" ca="1" si="423"/>
        <v>0</v>
      </c>
      <c r="Y867" s="19">
        <f t="shared" ca="1" si="424"/>
        <v>0</v>
      </c>
      <c r="Z867" s="20">
        <f t="shared" ca="1" si="425"/>
        <v>0</v>
      </c>
      <c r="AA867" s="1">
        <f t="shared" si="433"/>
        <v>5432.58</v>
      </c>
      <c r="AB867" s="91"/>
      <c r="AC867" s="92"/>
      <c r="AD867" s="101">
        <f t="shared" si="434"/>
        <v>66234</v>
      </c>
      <c r="AE867" s="103">
        <f t="shared" si="435"/>
        <v>0</v>
      </c>
      <c r="AG867" s="1">
        <f t="shared" si="426"/>
        <v>0</v>
      </c>
      <c r="AH867" s="1">
        <f t="shared" si="427"/>
        <v>0</v>
      </c>
      <c r="AI867" s="1">
        <f t="shared" si="436"/>
        <v>5432.58</v>
      </c>
      <c r="AJ867" s="20">
        <f t="shared" si="408"/>
        <v>0</v>
      </c>
      <c r="AK867" s="100">
        <f t="shared" si="410"/>
        <v>0</v>
      </c>
      <c r="AL867" s="100">
        <f t="shared" si="411"/>
        <v>0</v>
      </c>
      <c r="AN867" s="100">
        <f t="shared" si="412"/>
        <v>3554.880931180187</v>
      </c>
      <c r="AO867" s="20">
        <f t="shared" si="413"/>
        <v>0</v>
      </c>
      <c r="AQ867" s="109">
        <f t="shared" si="414"/>
        <v>0</v>
      </c>
      <c r="AU867" s="109">
        <f t="shared" si="429"/>
        <v>25.142143473409156</v>
      </c>
      <c r="AV867" s="101">
        <f t="shared" si="415"/>
        <v>66264</v>
      </c>
      <c r="AW867" s="99">
        <f t="shared" si="416"/>
        <v>0</v>
      </c>
      <c r="AX867" s="1">
        <f t="shared" si="417"/>
        <v>0</v>
      </c>
      <c r="AY867" s="29">
        <f t="shared" si="418"/>
        <v>0</v>
      </c>
      <c r="AZ867" s="1">
        <f t="shared" si="430"/>
        <v>0</v>
      </c>
      <c r="CB867" s="20">
        <f t="shared" si="409"/>
        <v>0</v>
      </c>
      <c r="CC867" s="173">
        <f t="shared" si="431"/>
        <v>0</v>
      </c>
    </row>
    <row r="868" spans="10:81" x14ac:dyDescent="0.25">
      <c r="J868" s="9"/>
      <c r="K868" s="10"/>
      <c r="L868" s="17"/>
      <c r="M868" s="23"/>
      <c r="N868" s="23"/>
      <c r="O868" s="23"/>
      <c r="P868" s="23"/>
      <c r="Q868" s="1">
        <f t="shared" si="432"/>
        <v>0.60744618579017706</v>
      </c>
      <c r="R868" s="12">
        <f t="shared" ca="1" si="419"/>
        <v>25142</v>
      </c>
      <c r="S868" s="88">
        <f t="shared" si="428"/>
        <v>0</v>
      </c>
      <c r="T868" s="19">
        <f t="shared" si="420"/>
        <v>0</v>
      </c>
      <c r="U868" s="19">
        <f t="shared" si="421"/>
        <v>0</v>
      </c>
      <c r="V868" s="19">
        <f t="shared" si="437"/>
        <v>0</v>
      </c>
      <c r="W868" s="20">
        <f t="shared" ca="1" si="422"/>
        <v>0</v>
      </c>
      <c r="X868" s="19">
        <f t="shared" ca="1" si="423"/>
        <v>0</v>
      </c>
      <c r="Y868" s="19">
        <f t="shared" ca="1" si="424"/>
        <v>0</v>
      </c>
      <c r="Z868" s="20">
        <f t="shared" ca="1" si="425"/>
        <v>0</v>
      </c>
      <c r="AA868" s="1">
        <f t="shared" si="433"/>
        <v>5432.58</v>
      </c>
      <c r="AB868" s="93"/>
      <c r="AC868" s="94"/>
      <c r="AD868" s="101">
        <f t="shared" si="434"/>
        <v>66264</v>
      </c>
      <c r="AE868" s="103">
        <f t="shared" si="435"/>
        <v>0</v>
      </c>
      <c r="AG868" s="1">
        <f t="shared" si="426"/>
        <v>0</v>
      </c>
      <c r="AH868" s="1">
        <f t="shared" si="427"/>
        <v>0</v>
      </c>
      <c r="AI868" s="1">
        <f t="shared" si="436"/>
        <v>5432.58</v>
      </c>
      <c r="AJ868" s="20">
        <f t="shared" si="408"/>
        <v>0</v>
      </c>
      <c r="AK868" s="100">
        <f t="shared" si="410"/>
        <v>0</v>
      </c>
      <c r="AL868" s="100">
        <f t="shared" si="411"/>
        <v>0</v>
      </c>
      <c r="AN868" s="100">
        <f t="shared" si="412"/>
        <v>3553.082342582853</v>
      </c>
      <c r="AO868" s="20">
        <f t="shared" si="413"/>
        <v>0</v>
      </c>
      <c r="AQ868" s="109">
        <f t="shared" si="414"/>
        <v>0</v>
      </c>
      <c r="AU868" s="109">
        <f t="shared" si="429"/>
        <v>25.139936745628166</v>
      </c>
      <c r="AV868" s="101">
        <f t="shared" si="415"/>
        <v>66294</v>
      </c>
      <c r="AW868" s="99">
        <f t="shared" si="416"/>
        <v>0</v>
      </c>
      <c r="AX868" s="1">
        <f t="shared" si="417"/>
        <v>0</v>
      </c>
      <c r="AY868" s="29">
        <f t="shared" si="418"/>
        <v>0</v>
      </c>
      <c r="AZ868" s="1">
        <f t="shared" si="430"/>
        <v>0</v>
      </c>
      <c r="CB868" s="20">
        <f t="shared" si="409"/>
        <v>0</v>
      </c>
      <c r="CC868" s="173">
        <f t="shared" si="431"/>
        <v>0</v>
      </c>
    </row>
    <row r="869" spans="10:81" x14ac:dyDescent="0.25">
      <c r="J869" s="7"/>
      <c r="K869" s="8"/>
      <c r="L869" s="16"/>
      <c r="M869" s="22"/>
      <c r="N869" s="22"/>
      <c r="O869" s="22"/>
      <c r="P869" s="22"/>
      <c r="Q869" s="1">
        <f t="shared" si="432"/>
        <v>0.60744618579017706</v>
      </c>
      <c r="R869" s="12">
        <f t="shared" ca="1" si="419"/>
        <v>25172</v>
      </c>
      <c r="S869" s="88">
        <f t="shared" si="428"/>
        <v>0</v>
      </c>
      <c r="T869" s="19">
        <f t="shared" si="420"/>
        <v>0</v>
      </c>
      <c r="U869" s="19">
        <f t="shared" si="421"/>
        <v>0</v>
      </c>
      <c r="V869" s="19">
        <f t="shared" si="437"/>
        <v>0</v>
      </c>
      <c r="W869" s="20">
        <f t="shared" ca="1" si="422"/>
        <v>0</v>
      </c>
      <c r="X869" s="19">
        <f t="shared" ca="1" si="423"/>
        <v>0</v>
      </c>
      <c r="Y869" s="19">
        <f t="shared" ca="1" si="424"/>
        <v>0</v>
      </c>
      <c r="Z869" s="20">
        <f t="shared" ca="1" si="425"/>
        <v>0</v>
      </c>
      <c r="AA869" s="1">
        <f t="shared" si="433"/>
        <v>5432.58</v>
      </c>
      <c r="AB869" s="91"/>
      <c r="AC869" s="92"/>
      <c r="AD869" s="101">
        <f t="shared" si="434"/>
        <v>66294</v>
      </c>
      <c r="AE869" s="103">
        <f t="shared" si="435"/>
        <v>0</v>
      </c>
      <c r="AG869" s="1">
        <f t="shared" si="426"/>
        <v>0</v>
      </c>
      <c r="AH869" s="1">
        <f t="shared" si="427"/>
        <v>0</v>
      </c>
      <c r="AI869" s="1">
        <f t="shared" si="436"/>
        <v>5432.58</v>
      </c>
      <c r="AJ869" s="20">
        <f t="shared" si="408"/>
        <v>0</v>
      </c>
      <c r="AK869" s="100">
        <f t="shared" si="410"/>
        <v>0</v>
      </c>
      <c r="AL869" s="100">
        <f t="shared" si="411"/>
        <v>0</v>
      </c>
      <c r="AN869" s="100">
        <f t="shared" si="412"/>
        <v>3551.2846639796949</v>
      </c>
      <c r="AO869" s="20">
        <f t="shared" si="413"/>
        <v>0</v>
      </c>
      <c r="AQ869" s="109">
        <f t="shared" si="414"/>
        <v>0</v>
      </c>
      <c r="AU869" s="109">
        <f t="shared" si="429"/>
        <v>25.137730211531821</v>
      </c>
      <c r="AV869" s="101">
        <f t="shared" si="415"/>
        <v>66324</v>
      </c>
      <c r="AW869" s="99">
        <f t="shared" si="416"/>
        <v>0</v>
      </c>
      <c r="AX869" s="1">
        <f t="shared" si="417"/>
        <v>0</v>
      </c>
      <c r="AY869" s="29">
        <f t="shared" si="418"/>
        <v>0</v>
      </c>
      <c r="AZ869" s="1">
        <f t="shared" si="430"/>
        <v>0</v>
      </c>
      <c r="CB869" s="20">
        <f t="shared" si="409"/>
        <v>0</v>
      </c>
      <c r="CC869" s="173">
        <f t="shared" si="431"/>
        <v>0</v>
      </c>
    </row>
    <row r="870" spans="10:81" x14ac:dyDescent="0.25">
      <c r="J870" s="9"/>
      <c r="K870" s="10"/>
      <c r="L870" s="17"/>
      <c r="M870" s="23"/>
      <c r="N870" s="23"/>
      <c r="O870" s="23"/>
      <c r="P870" s="23"/>
      <c r="Q870" s="1">
        <f t="shared" si="432"/>
        <v>0.60744618579017706</v>
      </c>
      <c r="R870" s="12">
        <f t="shared" ca="1" si="419"/>
        <v>25202</v>
      </c>
      <c r="S870" s="88">
        <f t="shared" si="428"/>
        <v>0</v>
      </c>
      <c r="T870" s="19">
        <f t="shared" si="420"/>
        <v>0</v>
      </c>
      <c r="U870" s="19">
        <f t="shared" si="421"/>
        <v>0</v>
      </c>
      <c r="V870" s="19">
        <f t="shared" si="437"/>
        <v>0</v>
      </c>
      <c r="W870" s="20">
        <f t="shared" ca="1" si="422"/>
        <v>0</v>
      </c>
      <c r="X870" s="19">
        <f t="shared" ca="1" si="423"/>
        <v>0</v>
      </c>
      <c r="Y870" s="19">
        <f t="shared" ca="1" si="424"/>
        <v>0</v>
      </c>
      <c r="Z870" s="20">
        <f t="shared" ca="1" si="425"/>
        <v>0</v>
      </c>
      <c r="AA870" s="1">
        <f t="shared" si="433"/>
        <v>5432.58</v>
      </c>
      <c r="AB870" s="93"/>
      <c r="AC870" s="94"/>
      <c r="AD870" s="101">
        <f t="shared" si="434"/>
        <v>66324</v>
      </c>
      <c r="AE870" s="103">
        <f t="shared" si="435"/>
        <v>0</v>
      </c>
      <c r="AG870" s="1">
        <f t="shared" si="426"/>
        <v>0</v>
      </c>
      <c r="AH870" s="1">
        <f t="shared" si="427"/>
        <v>0</v>
      </c>
      <c r="AI870" s="1">
        <f t="shared" si="436"/>
        <v>5432.58</v>
      </c>
      <c r="AJ870" s="20">
        <f t="shared" si="408"/>
        <v>0</v>
      </c>
      <c r="AK870" s="100">
        <f t="shared" si="410"/>
        <v>0</v>
      </c>
      <c r="AL870" s="100">
        <f t="shared" si="411"/>
        <v>0</v>
      </c>
      <c r="AN870" s="100">
        <f t="shared" si="412"/>
        <v>3549.4878949103013</v>
      </c>
      <c r="AO870" s="20">
        <f t="shared" si="413"/>
        <v>0</v>
      </c>
      <c r="AQ870" s="109">
        <f t="shared" si="414"/>
        <v>0</v>
      </c>
      <c r="AU870" s="109">
        <f t="shared" si="429"/>
        <v>25.135523871103132</v>
      </c>
      <c r="AV870" s="101">
        <f t="shared" si="415"/>
        <v>66354</v>
      </c>
      <c r="AW870" s="99">
        <f t="shared" si="416"/>
        <v>0</v>
      </c>
      <c r="AX870" s="1">
        <f t="shared" si="417"/>
        <v>0</v>
      </c>
      <c r="AY870" s="29">
        <f t="shared" si="418"/>
        <v>0</v>
      </c>
      <c r="AZ870" s="1">
        <f t="shared" si="430"/>
        <v>0</v>
      </c>
      <c r="CB870" s="20">
        <f t="shared" si="409"/>
        <v>0</v>
      </c>
      <c r="CC870" s="173">
        <f t="shared" si="431"/>
        <v>0</v>
      </c>
    </row>
    <row r="871" spans="10:81" x14ac:dyDescent="0.25">
      <c r="J871" s="7"/>
      <c r="K871" s="8"/>
      <c r="L871" s="16"/>
      <c r="M871" s="22"/>
      <c r="N871" s="22"/>
      <c r="O871" s="22"/>
      <c r="P871" s="22"/>
      <c r="Q871" s="1">
        <f t="shared" si="432"/>
        <v>0.60744618579017706</v>
      </c>
      <c r="R871" s="12">
        <f t="shared" ca="1" si="419"/>
        <v>25232</v>
      </c>
      <c r="S871" s="88">
        <f t="shared" si="428"/>
        <v>0</v>
      </c>
      <c r="T871" s="19">
        <f t="shared" si="420"/>
        <v>0</v>
      </c>
      <c r="U871" s="19">
        <f t="shared" si="421"/>
        <v>0</v>
      </c>
      <c r="V871" s="19">
        <f t="shared" si="437"/>
        <v>0</v>
      </c>
      <c r="W871" s="20">
        <f t="shared" ca="1" si="422"/>
        <v>0</v>
      </c>
      <c r="X871" s="19">
        <f t="shared" ca="1" si="423"/>
        <v>0</v>
      </c>
      <c r="Y871" s="19">
        <f t="shared" ca="1" si="424"/>
        <v>0</v>
      </c>
      <c r="Z871" s="20">
        <f t="shared" ca="1" si="425"/>
        <v>0</v>
      </c>
      <c r="AA871" s="1">
        <f t="shared" si="433"/>
        <v>5432.58</v>
      </c>
      <c r="AB871" s="91"/>
      <c r="AC871" s="92"/>
      <c r="AD871" s="101">
        <f t="shared" si="434"/>
        <v>66354</v>
      </c>
      <c r="AE871" s="103">
        <f t="shared" si="435"/>
        <v>0</v>
      </c>
      <c r="AG871" s="1">
        <f t="shared" si="426"/>
        <v>0</v>
      </c>
      <c r="AH871" s="1">
        <f t="shared" si="427"/>
        <v>0</v>
      </c>
      <c r="AI871" s="1">
        <f t="shared" si="436"/>
        <v>5432.58</v>
      </c>
      <c r="AJ871" s="20">
        <f t="shared" si="408"/>
        <v>0</v>
      </c>
      <c r="AK871" s="100">
        <f t="shared" si="410"/>
        <v>0</v>
      </c>
      <c r="AL871" s="100">
        <f t="shared" si="411"/>
        <v>0</v>
      </c>
      <c r="AN871" s="100">
        <f t="shared" si="412"/>
        <v>3547.6920349144957</v>
      </c>
      <c r="AO871" s="20">
        <f t="shared" si="413"/>
        <v>0</v>
      </c>
      <c r="AQ871" s="109">
        <f t="shared" si="414"/>
        <v>0</v>
      </c>
      <c r="AU871" s="109">
        <f t="shared" si="429"/>
        <v>25.133317724325117</v>
      </c>
      <c r="AV871" s="101">
        <f t="shared" si="415"/>
        <v>66384</v>
      </c>
      <c r="AW871" s="99">
        <f t="shared" si="416"/>
        <v>0</v>
      </c>
      <c r="AX871" s="1">
        <f t="shared" si="417"/>
        <v>0</v>
      </c>
      <c r="AY871" s="29">
        <f t="shared" si="418"/>
        <v>0</v>
      </c>
      <c r="AZ871" s="1">
        <f t="shared" si="430"/>
        <v>0</v>
      </c>
      <c r="CB871" s="20">
        <f t="shared" si="409"/>
        <v>0</v>
      </c>
      <c r="CC871" s="173">
        <f t="shared" si="431"/>
        <v>0</v>
      </c>
    </row>
    <row r="872" spans="10:81" x14ac:dyDescent="0.25">
      <c r="J872" s="9"/>
      <c r="K872" s="10"/>
      <c r="L872" s="17"/>
      <c r="M872" s="23"/>
      <c r="N872" s="23"/>
      <c r="O872" s="23"/>
      <c r="P872" s="23"/>
      <c r="Q872" s="1">
        <f t="shared" si="432"/>
        <v>0.60744618579017706</v>
      </c>
      <c r="R872" s="12">
        <f t="shared" ca="1" si="419"/>
        <v>25262</v>
      </c>
      <c r="S872" s="88">
        <f t="shared" si="428"/>
        <v>0</v>
      </c>
      <c r="T872" s="19">
        <f t="shared" si="420"/>
        <v>0</v>
      </c>
      <c r="U872" s="19">
        <f t="shared" si="421"/>
        <v>0</v>
      </c>
      <c r="V872" s="19">
        <f t="shared" si="437"/>
        <v>0</v>
      </c>
      <c r="W872" s="20">
        <f t="shared" ca="1" si="422"/>
        <v>0</v>
      </c>
      <c r="X872" s="19">
        <f t="shared" ca="1" si="423"/>
        <v>0</v>
      </c>
      <c r="Y872" s="19">
        <f t="shared" ca="1" si="424"/>
        <v>0</v>
      </c>
      <c r="Z872" s="20">
        <f t="shared" ca="1" si="425"/>
        <v>0</v>
      </c>
      <c r="AA872" s="1">
        <f t="shared" si="433"/>
        <v>5432.58</v>
      </c>
      <c r="AB872" s="93"/>
      <c r="AC872" s="94"/>
      <c r="AD872" s="101">
        <f t="shared" si="434"/>
        <v>66384</v>
      </c>
      <c r="AE872" s="103">
        <f t="shared" si="435"/>
        <v>0</v>
      </c>
      <c r="AG872" s="1">
        <f t="shared" si="426"/>
        <v>0</v>
      </c>
      <c r="AH872" s="1">
        <f t="shared" si="427"/>
        <v>0</v>
      </c>
      <c r="AI872" s="1">
        <f t="shared" si="436"/>
        <v>5432.58</v>
      </c>
      <c r="AJ872" s="20">
        <f t="shared" ref="AJ872:AJ935" si="438">IF(ISERROR(IF(V871+U872+T872+(V871*Q872/1200)-AA872-P872&lt;0,V871,-(U872+T872-AA872+P872-AH872))),0,IF(V871+U872+T872+(V871*Q872/1200)-AA872-P872&lt;0,0,-(U872+T872-AA872-AH872)))</f>
        <v>0</v>
      </c>
      <c r="AK872" s="100">
        <f t="shared" si="410"/>
        <v>0</v>
      </c>
      <c r="AL872" s="100">
        <f t="shared" si="411"/>
        <v>0</v>
      </c>
      <c r="AN872" s="100">
        <f t="shared" si="412"/>
        <v>3545.8970835323316</v>
      </c>
      <c r="AO872" s="20">
        <f t="shared" si="413"/>
        <v>0</v>
      </c>
      <c r="AQ872" s="109">
        <f t="shared" si="414"/>
        <v>0</v>
      </c>
      <c r="AU872" s="109">
        <f t="shared" si="429"/>
        <v>25.131111771180759</v>
      </c>
      <c r="AV872" s="101">
        <f t="shared" si="415"/>
        <v>66414</v>
      </c>
      <c r="AW872" s="99">
        <f t="shared" si="416"/>
        <v>0</v>
      </c>
      <c r="AX872" s="1">
        <f t="shared" si="417"/>
        <v>0</v>
      </c>
      <c r="AY872" s="29">
        <f t="shared" si="418"/>
        <v>0</v>
      </c>
      <c r="AZ872" s="1">
        <f t="shared" si="430"/>
        <v>0</v>
      </c>
      <c r="CB872" s="20">
        <f t="shared" si="409"/>
        <v>0</v>
      </c>
      <c r="CC872" s="173">
        <f t="shared" si="431"/>
        <v>0</v>
      </c>
    </row>
    <row r="873" spans="10:81" x14ac:dyDescent="0.25">
      <c r="J873" s="7"/>
      <c r="K873" s="8"/>
      <c r="L873" s="16"/>
      <c r="M873" s="22"/>
      <c r="N873" s="22"/>
      <c r="O873" s="22"/>
      <c r="P873" s="22"/>
      <c r="Q873" s="1">
        <f t="shared" si="432"/>
        <v>0.60744618579017706</v>
      </c>
      <c r="R873" s="12">
        <f t="shared" ca="1" si="419"/>
        <v>25292</v>
      </c>
      <c r="S873" s="88">
        <f t="shared" si="428"/>
        <v>0</v>
      </c>
      <c r="T873" s="19">
        <f t="shared" si="420"/>
        <v>0</v>
      </c>
      <c r="U873" s="19">
        <f t="shared" si="421"/>
        <v>0</v>
      </c>
      <c r="V873" s="19">
        <f t="shared" si="437"/>
        <v>0</v>
      </c>
      <c r="W873" s="20">
        <f t="shared" ca="1" si="422"/>
        <v>0</v>
      </c>
      <c r="X873" s="19">
        <f t="shared" ca="1" si="423"/>
        <v>0</v>
      </c>
      <c r="Y873" s="19">
        <f t="shared" ca="1" si="424"/>
        <v>0</v>
      </c>
      <c r="Z873" s="20">
        <f t="shared" ca="1" si="425"/>
        <v>0</v>
      </c>
      <c r="AA873" s="1">
        <f t="shared" si="433"/>
        <v>5432.58</v>
      </c>
      <c r="AB873" s="91"/>
      <c r="AC873" s="92"/>
      <c r="AD873" s="101">
        <f t="shared" si="434"/>
        <v>66414</v>
      </c>
      <c r="AE873" s="103">
        <f t="shared" si="435"/>
        <v>0</v>
      </c>
      <c r="AG873" s="1">
        <f t="shared" si="426"/>
        <v>0</v>
      </c>
      <c r="AH873" s="1">
        <f t="shared" si="427"/>
        <v>0</v>
      </c>
      <c r="AI873" s="1">
        <f t="shared" si="436"/>
        <v>5432.58</v>
      </c>
      <c r="AJ873" s="20">
        <f t="shared" si="438"/>
        <v>0</v>
      </c>
      <c r="AK873" s="100">
        <f t="shared" si="410"/>
        <v>0</v>
      </c>
      <c r="AL873" s="100">
        <f t="shared" si="411"/>
        <v>0</v>
      </c>
      <c r="AN873" s="100">
        <f t="shared" si="412"/>
        <v>3544.1030403040972</v>
      </c>
      <c r="AO873" s="20">
        <f t="shared" si="413"/>
        <v>0</v>
      </c>
      <c r="AQ873" s="109">
        <f t="shared" si="414"/>
        <v>0</v>
      </c>
      <c r="AU873" s="109">
        <f t="shared" si="429"/>
        <v>25.128906011653068</v>
      </c>
      <c r="AV873" s="101">
        <f t="shared" si="415"/>
        <v>66444</v>
      </c>
      <c r="AW873" s="99">
        <f t="shared" si="416"/>
        <v>0</v>
      </c>
      <c r="AX873" s="1">
        <f t="shared" si="417"/>
        <v>0</v>
      </c>
      <c r="AY873" s="29">
        <f t="shared" si="418"/>
        <v>0</v>
      </c>
      <c r="AZ873" s="1">
        <f t="shared" si="430"/>
        <v>0</v>
      </c>
      <c r="CB873" s="20">
        <f t="shared" si="409"/>
        <v>0</v>
      </c>
      <c r="CC873" s="173">
        <f t="shared" si="431"/>
        <v>0</v>
      </c>
    </row>
    <row r="874" spans="10:81" x14ac:dyDescent="0.25">
      <c r="J874" s="9"/>
      <c r="K874" s="10"/>
      <c r="L874" s="17"/>
      <c r="M874" s="23"/>
      <c r="N874" s="23"/>
      <c r="O874" s="23"/>
      <c r="P874" s="23"/>
      <c r="Q874" s="1">
        <f t="shared" si="432"/>
        <v>0.60744618579017706</v>
      </c>
      <c r="R874" s="12">
        <f t="shared" ca="1" si="419"/>
        <v>25322</v>
      </c>
      <c r="S874" s="88">
        <f t="shared" si="428"/>
        <v>0</v>
      </c>
      <c r="T874" s="19">
        <f t="shared" si="420"/>
        <v>0</v>
      </c>
      <c r="U874" s="19">
        <f t="shared" si="421"/>
        <v>0</v>
      </c>
      <c r="V874" s="19">
        <f t="shared" si="437"/>
        <v>0</v>
      </c>
      <c r="W874" s="20">
        <f t="shared" ca="1" si="422"/>
        <v>0</v>
      </c>
      <c r="X874" s="19">
        <f t="shared" ca="1" si="423"/>
        <v>0</v>
      </c>
      <c r="Y874" s="19">
        <f t="shared" ca="1" si="424"/>
        <v>0</v>
      </c>
      <c r="Z874" s="20">
        <f t="shared" ca="1" si="425"/>
        <v>0</v>
      </c>
      <c r="AA874" s="1">
        <f t="shared" si="433"/>
        <v>5432.58</v>
      </c>
      <c r="AB874" s="93"/>
      <c r="AC874" s="94"/>
      <c r="AD874" s="101">
        <f t="shared" si="434"/>
        <v>66444</v>
      </c>
      <c r="AE874" s="103">
        <f t="shared" si="435"/>
        <v>0</v>
      </c>
      <c r="AG874" s="1">
        <f t="shared" si="426"/>
        <v>0</v>
      </c>
      <c r="AH874" s="1">
        <f t="shared" si="427"/>
        <v>0</v>
      </c>
      <c r="AI874" s="1">
        <f t="shared" si="436"/>
        <v>5432.58</v>
      </c>
      <c r="AJ874" s="20">
        <f t="shared" si="438"/>
        <v>0</v>
      </c>
      <c r="AK874" s="100">
        <f t="shared" si="410"/>
        <v>0</v>
      </c>
      <c r="AL874" s="100">
        <f t="shared" si="411"/>
        <v>0</v>
      </c>
      <c r="AN874" s="100">
        <f t="shared" si="412"/>
        <v>3542.3099047703145</v>
      </c>
      <c r="AO874" s="20">
        <f t="shared" si="413"/>
        <v>0</v>
      </c>
      <c r="AQ874" s="109">
        <f t="shared" si="414"/>
        <v>0</v>
      </c>
      <c r="AU874" s="109">
        <f t="shared" si="429"/>
        <v>25.126700445725056</v>
      </c>
      <c r="AV874" s="101">
        <f t="shared" si="415"/>
        <v>66474</v>
      </c>
      <c r="AW874" s="99">
        <f t="shared" si="416"/>
        <v>0</v>
      </c>
      <c r="AX874" s="1">
        <f t="shared" si="417"/>
        <v>0</v>
      </c>
      <c r="AY874" s="29">
        <f t="shared" si="418"/>
        <v>0</v>
      </c>
      <c r="AZ874" s="1">
        <f t="shared" si="430"/>
        <v>0</v>
      </c>
      <c r="CB874" s="20">
        <f t="shared" si="409"/>
        <v>0</v>
      </c>
      <c r="CC874" s="173">
        <f t="shared" si="431"/>
        <v>0</v>
      </c>
    </row>
    <row r="875" spans="10:81" x14ac:dyDescent="0.25">
      <c r="J875" s="7"/>
      <c r="K875" s="8"/>
      <c r="L875" s="16"/>
      <c r="M875" s="22"/>
      <c r="N875" s="22"/>
      <c r="O875" s="22"/>
      <c r="P875" s="22"/>
      <c r="Q875" s="1">
        <f t="shared" si="432"/>
        <v>0.60744618579017706</v>
      </c>
      <c r="R875" s="12">
        <f t="shared" ca="1" si="419"/>
        <v>25352</v>
      </c>
      <c r="S875" s="88">
        <f t="shared" si="428"/>
        <v>0</v>
      </c>
      <c r="T875" s="19">
        <f t="shared" si="420"/>
        <v>0</v>
      </c>
      <c r="U875" s="19">
        <f t="shared" si="421"/>
        <v>0</v>
      </c>
      <c r="V875" s="19">
        <f t="shared" si="437"/>
        <v>0</v>
      </c>
      <c r="W875" s="20">
        <f t="shared" ca="1" si="422"/>
        <v>0</v>
      </c>
      <c r="X875" s="19">
        <f t="shared" ca="1" si="423"/>
        <v>0</v>
      </c>
      <c r="Y875" s="19">
        <f t="shared" ca="1" si="424"/>
        <v>0</v>
      </c>
      <c r="Z875" s="20">
        <f t="shared" ca="1" si="425"/>
        <v>0</v>
      </c>
      <c r="AA875" s="1">
        <f t="shared" si="433"/>
        <v>5432.58</v>
      </c>
      <c r="AB875" s="91"/>
      <c r="AC875" s="92"/>
      <c r="AD875" s="101">
        <f t="shared" si="434"/>
        <v>66474</v>
      </c>
      <c r="AE875" s="103">
        <f t="shared" si="435"/>
        <v>0</v>
      </c>
      <c r="AG875" s="1">
        <f t="shared" si="426"/>
        <v>0</v>
      </c>
      <c r="AH875" s="1">
        <f t="shared" si="427"/>
        <v>0</v>
      </c>
      <c r="AI875" s="1">
        <f t="shared" si="436"/>
        <v>5432.58</v>
      </c>
      <c r="AJ875" s="20">
        <f t="shared" si="438"/>
        <v>0</v>
      </c>
      <c r="AK875" s="100">
        <f t="shared" si="410"/>
        <v>0</v>
      </c>
      <c r="AL875" s="100">
        <f t="shared" si="411"/>
        <v>0</v>
      </c>
      <c r="AN875" s="100">
        <f t="shared" si="412"/>
        <v>3540.5176764717348</v>
      </c>
      <c r="AO875" s="20">
        <f t="shared" si="413"/>
        <v>0</v>
      </c>
      <c r="AQ875" s="109">
        <f t="shared" si="414"/>
        <v>0</v>
      </c>
      <c r="AU875" s="109">
        <f t="shared" si="429"/>
        <v>25.12449507337973</v>
      </c>
      <c r="AV875" s="101">
        <f t="shared" si="415"/>
        <v>66504</v>
      </c>
      <c r="AW875" s="99">
        <f t="shared" si="416"/>
        <v>0</v>
      </c>
      <c r="AX875" s="1">
        <f t="shared" si="417"/>
        <v>0</v>
      </c>
      <c r="AY875" s="29">
        <f t="shared" si="418"/>
        <v>0</v>
      </c>
      <c r="AZ875" s="1">
        <f t="shared" si="430"/>
        <v>0</v>
      </c>
      <c r="CB875" s="20">
        <f t="shared" si="409"/>
        <v>0</v>
      </c>
      <c r="CC875" s="173">
        <f t="shared" si="431"/>
        <v>0</v>
      </c>
    </row>
    <row r="876" spans="10:81" x14ac:dyDescent="0.25">
      <c r="J876" s="9"/>
      <c r="K876" s="10"/>
      <c r="L876" s="17"/>
      <c r="M876" s="23"/>
      <c r="N876" s="23"/>
      <c r="O876" s="23"/>
      <c r="P876" s="23"/>
      <c r="Q876" s="1">
        <f t="shared" si="432"/>
        <v>0.60744618579017706</v>
      </c>
      <c r="R876" s="12">
        <f t="shared" ca="1" si="419"/>
        <v>25382</v>
      </c>
      <c r="S876" s="88">
        <f t="shared" si="428"/>
        <v>0</v>
      </c>
      <c r="T876" s="19">
        <f t="shared" si="420"/>
        <v>0</v>
      </c>
      <c r="U876" s="19">
        <f t="shared" si="421"/>
        <v>0</v>
      </c>
      <c r="V876" s="19">
        <f t="shared" si="437"/>
        <v>0</v>
      </c>
      <c r="W876" s="20">
        <f t="shared" ca="1" si="422"/>
        <v>0</v>
      </c>
      <c r="X876" s="19">
        <f t="shared" ca="1" si="423"/>
        <v>0</v>
      </c>
      <c r="Y876" s="19">
        <f t="shared" ca="1" si="424"/>
        <v>0</v>
      </c>
      <c r="Z876" s="20">
        <f t="shared" ca="1" si="425"/>
        <v>0</v>
      </c>
      <c r="AA876" s="1">
        <f t="shared" si="433"/>
        <v>5432.58</v>
      </c>
      <c r="AB876" s="93"/>
      <c r="AC876" s="94"/>
      <c r="AD876" s="101">
        <f t="shared" si="434"/>
        <v>66504</v>
      </c>
      <c r="AE876" s="103">
        <f t="shared" si="435"/>
        <v>0</v>
      </c>
      <c r="AG876" s="1">
        <f t="shared" si="426"/>
        <v>0</v>
      </c>
      <c r="AH876" s="1">
        <f t="shared" si="427"/>
        <v>0</v>
      </c>
      <c r="AI876" s="1">
        <f t="shared" si="436"/>
        <v>5432.58</v>
      </c>
      <c r="AJ876" s="20">
        <f t="shared" si="438"/>
        <v>0</v>
      </c>
      <c r="AK876" s="100">
        <f t="shared" si="410"/>
        <v>0</v>
      </c>
      <c r="AL876" s="100">
        <f t="shared" si="411"/>
        <v>0</v>
      </c>
      <c r="AN876" s="100">
        <f t="shared" si="412"/>
        <v>3538.7263549493432</v>
      </c>
      <c r="AO876" s="20">
        <f t="shared" si="413"/>
        <v>0</v>
      </c>
      <c r="AQ876" s="109">
        <f t="shared" si="414"/>
        <v>0</v>
      </c>
      <c r="AU876" s="109">
        <f t="shared" si="429"/>
        <v>25.122289894600105</v>
      </c>
      <c r="AV876" s="101">
        <f t="shared" si="415"/>
        <v>66534</v>
      </c>
      <c r="AW876" s="99">
        <f t="shared" si="416"/>
        <v>0</v>
      </c>
      <c r="AX876" s="1">
        <f t="shared" si="417"/>
        <v>0</v>
      </c>
      <c r="AY876" s="29">
        <f t="shared" si="418"/>
        <v>0</v>
      </c>
      <c r="AZ876" s="1">
        <f t="shared" si="430"/>
        <v>0</v>
      </c>
      <c r="CB876" s="20">
        <f t="shared" si="409"/>
        <v>0</v>
      </c>
      <c r="CC876" s="173">
        <f t="shared" si="431"/>
        <v>0</v>
      </c>
    </row>
    <row r="877" spans="10:81" x14ac:dyDescent="0.25">
      <c r="J877" s="7"/>
      <c r="K877" s="8"/>
      <c r="L877" s="16"/>
      <c r="M877" s="22"/>
      <c r="N877" s="22"/>
      <c r="O877" s="22"/>
      <c r="P877" s="22"/>
      <c r="Q877" s="1">
        <f t="shared" si="432"/>
        <v>0.60744618579017706</v>
      </c>
      <c r="R877" s="12">
        <f t="shared" ca="1" si="419"/>
        <v>25412</v>
      </c>
      <c r="S877" s="88">
        <f t="shared" si="428"/>
        <v>0</v>
      </c>
      <c r="T877" s="19">
        <f t="shared" si="420"/>
        <v>0</v>
      </c>
      <c r="U877" s="19">
        <f t="shared" si="421"/>
        <v>0</v>
      </c>
      <c r="V877" s="19">
        <f t="shared" si="437"/>
        <v>0</v>
      </c>
      <c r="W877" s="20">
        <f t="shared" ca="1" si="422"/>
        <v>0</v>
      </c>
      <c r="X877" s="19">
        <f t="shared" ca="1" si="423"/>
        <v>0</v>
      </c>
      <c r="Y877" s="19">
        <f t="shared" ca="1" si="424"/>
        <v>0</v>
      </c>
      <c r="Z877" s="20">
        <f t="shared" ca="1" si="425"/>
        <v>0</v>
      </c>
      <c r="AA877" s="1">
        <f t="shared" si="433"/>
        <v>5432.58</v>
      </c>
      <c r="AB877" s="91"/>
      <c r="AC877" s="92"/>
      <c r="AD877" s="101">
        <f t="shared" si="434"/>
        <v>66534</v>
      </c>
      <c r="AE877" s="103">
        <f t="shared" si="435"/>
        <v>0</v>
      </c>
      <c r="AG877" s="1">
        <f t="shared" si="426"/>
        <v>0</v>
      </c>
      <c r="AH877" s="1">
        <f t="shared" si="427"/>
        <v>0</v>
      </c>
      <c r="AI877" s="1">
        <f t="shared" si="436"/>
        <v>5432.58</v>
      </c>
      <c r="AJ877" s="20">
        <f t="shared" si="438"/>
        <v>0</v>
      </c>
      <c r="AK877" s="100">
        <f t="shared" si="410"/>
        <v>0</v>
      </c>
      <c r="AL877" s="100">
        <f t="shared" si="411"/>
        <v>0</v>
      </c>
      <c r="AN877" s="100">
        <f t="shared" si="412"/>
        <v>3536.9359397443577</v>
      </c>
      <c r="AO877" s="20">
        <f t="shared" si="413"/>
        <v>0</v>
      </c>
      <c r="AQ877" s="109">
        <f t="shared" si="414"/>
        <v>0</v>
      </c>
      <c r="AU877" s="109">
        <f t="shared" si="429"/>
        <v>25.120084909369165</v>
      </c>
      <c r="AV877" s="101">
        <f t="shared" si="415"/>
        <v>66564</v>
      </c>
      <c r="AW877" s="99">
        <f t="shared" si="416"/>
        <v>0</v>
      </c>
      <c r="AX877" s="1">
        <f t="shared" si="417"/>
        <v>0</v>
      </c>
      <c r="AY877" s="29">
        <f t="shared" si="418"/>
        <v>0</v>
      </c>
      <c r="AZ877" s="1">
        <f t="shared" si="430"/>
        <v>0</v>
      </c>
      <c r="CB877" s="20">
        <f t="shared" si="409"/>
        <v>0</v>
      </c>
      <c r="CC877" s="173">
        <f t="shared" si="431"/>
        <v>0</v>
      </c>
    </row>
    <row r="878" spans="10:81" x14ac:dyDescent="0.25">
      <c r="J878" s="9"/>
      <c r="K878" s="10"/>
      <c r="L878" s="17"/>
      <c r="M878" s="23"/>
      <c r="N878" s="23"/>
      <c r="O878" s="23"/>
      <c r="P878" s="23"/>
      <c r="Q878" s="1">
        <f t="shared" si="432"/>
        <v>0.60744618579017706</v>
      </c>
      <c r="R878" s="12">
        <f t="shared" ca="1" si="419"/>
        <v>25442</v>
      </c>
      <c r="S878" s="88">
        <f t="shared" si="428"/>
        <v>0</v>
      </c>
      <c r="T878" s="19">
        <f t="shared" si="420"/>
        <v>0</v>
      </c>
      <c r="U878" s="19">
        <f t="shared" si="421"/>
        <v>0</v>
      </c>
      <c r="V878" s="19">
        <f t="shared" si="437"/>
        <v>0</v>
      </c>
      <c r="W878" s="20">
        <f t="shared" ca="1" si="422"/>
        <v>0</v>
      </c>
      <c r="X878" s="19">
        <f t="shared" ca="1" si="423"/>
        <v>0</v>
      </c>
      <c r="Y878" s="19">
        <f t="shared" ca="1" si="424"/>
        <v>0</v>
      </c>
      <c r="Z878" s="20">
        <f t="shared" ca="1" si="425"/>
        <v>0</v>
      </c>
      <c r="AA878" s="1">
        <f t="shared" si="433"/>
        <v>5432.58</v>
      </c>
      <c r="AB878" s="93"/>
      <c r="AC878" s="94"/>
      <c r="AD878" s="101">
        <f t="shared" si="434"/>
        <v>66564</v>
      </c>
      <c r="AE878" s="103">
        <f t="shared" si="435"/>
        <v>0</v>
      </c>
      <c r="AG878" s="1">
        <f t="shared" si="426"/>
        <v>0</v>
      </c>
      <c r="AH878" s="1">
        <f t="shared" si="427"/>
        <v>0</v>
      </c>
      <c r="AI878" s="1">
        <f t="shared" si="436"/>
        <v>5432.58</v>
      </c>
      <c r="AJ878" s="20">
        <f t="shared" si="438"/>
        <v>0</v>
      </c>
      <c r="AK878" s="100">
        <f t="shared" si="410"/>
        <v>0</v>
      </c>
      <c r="AL878" s="100">
        <f t="shared" si="411"/>
        <v>0</v>
      </c>
      <c r="AN878" s="100">
        <f t="shared" si="412"/>
        <v>3535.1464303982275</v>
      </c>
      <c r="AO878" s="20">
        <f t="shared" si="413"/>
        <v>0</v>
      </c>
      <c r="AQ878" s="109">
        <f t="shared" si="414"/>
        <v>0</v>
      </c>
      <c r="AU878" s="109">
        <f t="shared" si="429"/>
        <v>25.117880117669952</v>
      </c>
      <c r="AV878" s="101">
        <f t="shared" si="415"/>
        <v>66594</v>
      </c>
      <c r="AW878" s="99">
        <f t="shared" si="416"/>
        <v>0</v>
      </c>
      <c r="AX878" s="1">
        <f t="shared" si="417"/>
        <v>0</v>
      </c>
      <c r="AY878" s="29">
        <f t="shared" si="418"/>
        <v>0</v>
      </c>
      <c r="AZ878" s="1">
        <f t="shared" si="430"/>
        <v>0</v>
      </c>
      <c r="CB878" s="20">
        <f t="shared" ref="CB878:CB941" si="439">IF(O878=0,IF(P878&gt;0,V877,IF(O877=0,0,P878)),IF(O877=0,0,P878))</f>
        <v>0</v>
      </c>
      <c r="CC878" s="173">
        <f t="shared" si="431"/>
        <v>0</v>
      </c>
    </row>
    <row r="879" spans="10:81" x14ac:dyDescent="0.25">
      <c r="J879" s="7"/>
      <c r="K879" s="8"/>
      <c r="L879" s="16"/>
      <c r="M879" s="22"/>
      <c r="N879" s="22"/>
      <c r="O879" s="22"/>
      <c r="P879" s="22"/>
      <c r="Q879" s="1">
        <f t="shared" si="432"/>
        <v>0.60744618579017706</v>
      </c>
      <c r="R879" s="12">
        <f t="shared" ca="1" si="419"/>
        <v>25472</v>
      </c>
      <c r="S879" s="88">
        <f t="shared" si="428"/>
        <v>0</v>
      </c>
      <c r="T879" s="19">
        <f t="shared" si="420"/>
        <v>0</v>
      </c>
      <c r="U879" s="19">
        <f t="shared" si="421"/>
        <v>0</v>
      </c>
      <c r="V879" s="19">
        <f t="shared" si="437"/>
        <v>0</v>
      </c>
      <c r="W879" s="20">
        <f t="shared" ca="1" si="422"/>
        <v>0</v>
      </c>
      <c r="X879" s="19">
        <f t="shared" ca="1" si="423"/>
        <v>0</v>
      </c>
      <c r="Y879" s="19">
        <f t="shared" ca="1" si="424"/>
        <v>0</v>
      </c>
      <c r="Z879" s="20">
        <f t="shared" ca="1" si="425"/>
        <v>0</v>
      </c>
      <c r="AA879" s="1">
        <f t="shared" si="433"/>
        <v>5432.58</v>
      </c>
      <c r="AB879" s="91"/>
      <c r="AC879" s="92"/>
      <c r="AD879" s="101">
        <f t="shared" si="434"/>
        <v>66594</v>
      </c>
      <c r="AE879" s="103">
        <f t="shared" si="435"/>
        <v>0</v>
      </c>
      <c r="AG879" s="1">
        <f t="shared" si="426"/>
        <v>0</v>
      </c>
      <c r="AH879" s="1">
        <f t="shared" si="427"/>
        <v>0</v>
      </c>
      <c r="AI879" s="1">
        <f t="shared" si="436"/>
        <v>5432.58</v>
      </c>
      <c r="AJ879" s="20">
        <f t="shared" si="438"/>
        <v>0</v>
      </c>
      <c r="AK879" s="100">
        <f t="shared" si="410"/>
        <v>0</v>
      </c>
      <c r="AL879" s="100">
        <f t="shared" si="411"/>
        <v>0</v>
      </c>
      <c r="AN879" s="100">
        <f t="shared" si="412"/>
        <v>3533.3578264526363</v>
      </c>
      <c r="AO879" s="20">
        <f t="shared" si="413"/>
        <v>0</v>
      </c>
      <c r="AQ879" s="109">
        <f t="shared" si="414"/>
        <v>0</v>
      </c>
      <c r="AU879" s="109">
        <f t="shared" si="429"/>
        <v>25.115675519485478</v>
      </c>
      <c r="AV879" s="101">
        <f t="shared" si="415"/>
        <v>66624</v>
      </c>
      <c r="AW879" s="99">
        <f t="shared" si="416"/>
        <v>0</v>
      </c>
      <c r="AX879" s="1">
        <f t="shared" si="417"/>
        <v>0</v>
      </c>
      <c r="AY879" s="29">
        <f t="shared" si="418"/>
        <v>0</v>
      </c>
      <c r="AZ879" s="1">
        <f t="shared" si="430"/>
        <v>0</v>
      </c>
      <c r="CB879" s="20">
        <f t="shared" si="439"/>
        <v>0</v>
      </c>
      <c r="CC879" s="173">
        <f t="shared" si="431"/>
        <v>0</v>
      </c>
    </row>
    <row r="880" spans="10:81" x14ac:dyDescent="0.25">
      <c r="J880" s="9"/>
      <c r="K880" s="10"/>
      <c r="L880" s="17"/>
      <c r="M880" s="23"/>
      <c r="N880" s="23"/>
      <c r="O880" s="23"/>
      <c r="P880" s="23"/>
      <c r="Q880" s="1">
        <f t="shared" si="432"/>
        <v>0.60744618579017706</v>
      </c>
      <c r="R880" s="12">
        <f t="shared" ca="1" si="419"/>
        <v>25502</v>
      </c>
      <c r="S880" s="88">
        <f t="shared" si="428"/>
        <v>0</v>
      </c>
      <c r="T880" s="19">
        <f t="shared" si="420"/>
        <v>0</v>
      </c>
      <c r="U880" s="19">
        <f t="shared" si="421"/>
        <v>0</v>
      </c>
      <c r="V880" s="19">
        <f t="shared" si="437"/>
        <v>0</v>
      </c>
      <c r="W880" s="20">
        <f t="shared" ca="1" si="422"/>
        <v>0</v>
      </c>
      <c r="X880" s="19">
        <f t="shared" ca="1" si="423"/>
        <v>0</v>
      </c>
      <c r="Y880" s="19">
        <f t="shared" ca="1" si="424"/>
        <v>0</v>
      </c>
      <c r="Z880" s="20">
        <f t="shared" ca="1" si="425"/>
        <v>0</v>
      </c>
      <c r="AA880" s="1">
        <f t="shared" si="433"/>
        <v>5432.58</v>
      </c>
      <c r="AB880" s="93"/>
      <c r="AC880" s="94"/>
      <c r="AD880" s="101">
        <f t="shared" si="434"/>
        <v>66624</v>
      </c>
      <c r="AE880" s="103">
        <f t="shared" si="435"/>
        <v>0</v>
      </c>
      <c r="AG880" s="1">
        <f t="shared" si="426"/>
        <v>0</v>
      </c>
      <c r="AH880" s="1">
        <f t="shared" si="427"/>
        <v>0</v>
      </c>
      <c r="AI880" s="1">
        <f t="shared" si="436"/>
        <v>5432.58</v>
      </c>
      <c r="AJ880" s="20">
        <f t="shared" si="438"/>
        <v>0</v>
      </c>
      <c r="AK880" s="100">
        <f t="shared" si="410"/>
        <v>0</v>
      </c>
      <c r="AL880" s="100">
        <f t="shared" si="411"/>
        <v>0</v>
      </c>
      <c r="AN880" s="100">
        <f t="shared" si="412"/>
        <v>3531.5701274494941</v>
      </c>
      <c r="AO880" s="20">
        <f t="shared" si="413"/>
        <v>0</v>
      </c>
      <c r="AQ880" s="109">
        <f t="shared" si="414"/>
        <v>0</v>
      </c>
      <c r="AU880" s="109">
        <f t="shared" si="429"/>
        <v>25.113471114798728</v>
      </c>
      <c r="AV880" s="101">
        <f t="shared" si="415"/>
        <v>66654</v>
      </c>
      <c r="AW880" s="99">
        <f t="shared" si="416"/>
        <v>0</v>
      </c>
      <c r="AX880" s="1">
        <f t="shared" si="417"/>
        <v>0</v>
      </c>
      <c r="AY880" s="29">
        <f t="shared" si="418"/>
        <v>0</v>
      </c>
      <c r="AZ880" s="1">
        <f t="shared" si="430"/>
        <v>0</v>
      </c>
      <c r="CB880" s="20">
        <f t="shared" si="439"/>
        <v>0</v>
      </c>
      <c r="CC880" s="173">
        <f t="shared" si="431"/>
        <v>0</v>
      </c>
    </row>
    <row r="881" spans="10:81" x14ac:dyDescent="0.25">
      <c r="J881" s="7"/>
      <c r="K881" s="8"/>
      <c r="L881" s="16"/>
      <c r="M881" s="22"/>
      <c r="N881" s="22"/>
      <c r="O881" s="22"/>
      <c r="P881" s="22"/>
      <c r="Q881" s="1">
        <f t="shared" si="432"/>
        <v>0.60744618579017706</v>
      </c>
      <c r="R881" s="12">
        <f t="shared" ca="1" si="419"/>
        <v>25532</v>
      </c>
      <c r="S881" s="88">
        <f t="shared" si="428"/>
        <v>0</v>
      </c>
      <c r="T881" s="19">
        <f t="shared" si="420"/>
        <v>0</v>
      </c>
      <c r="U881" s="19">
        <f t="shared" si="421"/>
        <v>0</v>
      </c>
      <c r="V881" s="19">
        <f t="shared" si="437"/>
        <v>0</v>
      </c>
      <c r="W881" s="20">
        <f t="shared" ca="1" si="422"/>
        <v>0</v>
      </c>
      <c r="X881" s="19">
        <f t="shared" ca="1" si="423"/>
        <v>0</v>
      </c>
      <c r="Y881" s="19">
        <f t="shared" ca="1" si="424"/>
        <v>0</v>
      </c>
      <c r="Z881" s="20">
        <f t="shared" ca="1" si="425"/>
        <v>0</v>
      </c>
      <c r="AA881" s="1">
        <f t="shared" si="433"/>
        <v>5432.58</v>
      </c>
      <c r="AB881" s="91"/>
      <c r="AC881" s="92"/>
      <c r="AD881" s="101">
        <f t="shared" si="434"/>
        <v>66654</v>
      </c>
      <c r="AE881" s="103">
        <f t="shared" si="435"/>
        <v>0</v>
      </c>
      <c r="AG881" s="1">
        <f t="shared" si="426"/>
        <v>0</v>
      </c>
      <c r="AH881" s="1">
        <f t="shared" si="427"/>
        <v>0</v>
      </c>
      <c r="AI881" s="1">
        <f t="shared" si="436"/>
        <v>5432.58</v>
      </c>
      <c r="AJ881" s="20">
        <f t="shared" si="438"/>
        <v>0</v>
      </c>
      <c r="AK881" s="100">
        <f t="shared" si="410"/>
        <v>0</v>
      </c>
      <c r="AL881" s="100">
        <f t="shared" si="411"/>
        <v>0</v>
      </c>
      <c r="AN881" s="100">
        <f t="shared" si="412"/>
        <v>3529.7833329309478</v>
      </c>
      <c r="AO881" s="20">
        <f t="shared" si="413"/>
        <v>0</v>
      </c>
      <c r="AQ881" s="109">
        <f t="shared" si="414"/>
        <v>0</v>
      </c>
      <c r="AU881" s="109">
        <f t="shared" si="429"/>
        <v>25.11126690359275</v>
      </c>
      <c r="AV881" s="101">
        <f t="shared" si="415"/>
        <v>66684</v>
      </c>
      <c r="AW881" s="99">
        <f t="shared" si="416"/>
        <v>0</v>
      </c>
      <c r="AX881" s="1">
        <f t="shared" si="417"/>
        <v>0</v>
      </c>
      <c r="AY881" s="29">
        <f t="shared" si="418"/>
        <v>0</v>
      </c>
      <c r="AZ881" s="1">
        <f t="shared" si="430"/>
        <v>0</v>
      </c>
      <c r="CB881" s="20">
        <f t="shared" si="439"/>
        <v>0</v>
      </c>
      <c r="CC881" s="173">
        <f t="shared" si="431"/>
        <v>0</v>
      </c>
    </row>
    <row r="882" spans="10:81" x14ac:dyDescent="0.25">
      <c r="J882" s="9"/>
      <c r="K882" s="10"/>
      <c r="L882" s="17"/>
      <c r="M882" s="23"/>
      <c r="N882" s="23"/>
      <c r="O882" s="23"/>
      <c r="P882" s="23"/>
      <c r="Q882" s="1">
        <f t="shared" si="432"/>
        <v>0.60744618579017706</v>
      </c>
      <c r="R882" s="12">
        <f t="shared" ca="1" si="419"/>
        <v>25562</v>
      </c>
      <c r="S882" s="88">
        <f t="shared" si="428"/>
        <v>0</v>
      </c>
      <c r="T882" s="19">
        <f t="shared" si="420"/>
        <v>0</v>
      </c>
      <c r="U882" s="19">
        <f t="shared" si="421"/>
        <v>0</v>
      </c>
      <c r="V882" s="19">
        <f t="shared" si="437"/>
        <v>0</v>
      </c>
      <c r="W882" s="20">
        <f t="shared" ca="1" si="422"/>
        <v>0</v>
      </c>
      <c r="X882" s="19">
        <f t="shared" ca="1" si="423"/>
        <v>0</v>
      </c>
      <c r="Y882" s="19">
        <f t="shared" ca="1" si="424"/>
        <v>0</v>
      </c>
      <c r="Z882" s="20">
        <f t="shared" ca="1" si="425"/>
        <v>0</v>
      </c>
      <c r="AA882" s="1">
        <f t="shared" si="433"/>
        <v>5432.58</v>
      </c>
      <c r="AB882" s="93"/>
      <c r="AC882" s="94"/>
      <c r="AD882" s="101">
        <f t="shared" si="434"/>
        <v>66684</v>
      </c>
      <c r="AE882" s="103">
        <f t="shared" si="435"/>
        <v>0</v>
      </c>
      <c r="AG882" s="1">
        <f t="shared" si="426"/>
        <v>0</v>
      </c>
      <c r="AH882" s="1">
        <f t="shared" si="427"/>
        <v>0</v>
      </c>
      <c r="AI882" s="1">
        <f t="shared" si="436"/>
        <v>5432.58</v>
      </c>
      <c r="AJ882" s="20">
        <f t="shared" si="438"/>
        <v>0</v>
      </c>
      <c r="AK882" s="100">
        <f t="shared" si="410"/>
        <v>0</v>
      </c>
      <c r="AL882" s="100">
        <f t="shared" si="411"/>
        <v>0</v>
      </c>
      <c r="AN882" s="100">
        <f t="shared" si="412"/>
        <v>3527.9974424393754</v>
      </c>
      <c r="AO882" s="20">
        <f t="shared" si="413"/>
        <v>0</v>
      </c>
      <c r="AQ882" s="109">
        <f t="shared" si="414"/>
        <v>0</v>
      </c>
      <c r="AU882" s="109">
        <f t="shared" si="429"/>
        <v>25.109062885850545</v>
      </c>
      <c r="AV882" s="101">
        <f t="shared" si="415"/>
        <v>66714</v>
      </c>
      <c r="AW882" s="99">
        <f t="shared" si="416"/>
        <v>0</v>
      </c>
      <c r="AX882" s="1">
        <f t="shared" si="417"/>
        <v>0</v>
      </c>
      <c r="AY882" s="29">
        <f t="shared" si="418"/>
        <v>0</v>
      </c>
      <c r="AZ882" s="1">
        <f t="shared" si="430"/>
        <v>0</v>
      </c>
      <c r="CB882" s="20">
        <f t="shared" si="439"/>
        <v>0</v>
      </c>
      <c r="CC882" s="173">
        <f t="shared" si="431"/>
        <v>0</v>
      </c>
    </row>
    <row r="883" spans="10:81" x14ac:dyDescent="0.25">
      <c r="J883" s="7"/>
      <c r="K883" s="8"/>
      <c r="L883" s="16"/>
      <c r="M883" s="22"/>
      <c r="N883" s="22"/>
      <c r="O883" s="22"/>
      <c r="P883" s="22"/>
      <c r="Q883" s="1">
        <f t="shared" si="432"/>
        <v>0.60744618579017706</v>
      </c>
      <c r="R883" s="12">
        <f t="shared" ca="1" si="419"/>
        <v>25592</v>
      </c>
      <c r="S883" s="88">
        <f t="shared" si="428"/>
        <v>0</v>
      </c>
      <c r="T883" s="19">
        <f t="shared" si="420"/>
        <v>0</v>
      </c>
      <c r="U883" s="19">
        <f t="shared" si="421"/>
        <v>0</v>
      </c>
      <c r="V883" s="19">
        <f t="shared" si="437"/>
        <v>0</v>
      </c>
      <c r="W883" s="20">
        <f t="shared" ca="1" si="422"/>
        <v>0</v>
      </c>
      <c r="X883" s="19">
        <f t="shared" ca="1" si="423"/>
        <v>0</v>
      </c>
      <c r="Y883" s="19">
        <f t="shared" ca="1" si="424"/>
        <v>0</v>
      </c>
      <c r="Z883" s="20">
        <f t="shared" ca="1" si="425"/>
        <v>0</v>
      </c>
      <c r="AA883" s="1">
        <f t="shared" si="433"/>
        <v>5432.58</v>
      </c>
      <c r="AB883" s="91"/>
      <c r="AC883" s="92"/>
      <c r="AD883" s="101">
        <f t="shared" si="434"/>
        <v>66714</v>
      </c>
      <c r="AE883" s="103">
        <f t="shared" si="435"/>
        <v>0</v>
      </c>
      <c r="AG883" s="1">
        <f t="shared" si="426"/>
        <v>0</v>
      </c>
      <c r="AH883" s="1">
        <f t="shared" si="427"/>
        <v>0</v>
      </c>
      <c r="AI883" s="1">
        <f t="shared" si="436"/>
        <v>5432.58</v>
      </c>
      <c r="AJ883" s="20">
        <f t="shared" si="438"/>
        <v>0</v>
      </c>
      <c r="AK883" s="100">
        <f t="shared" si="410"/>
        <v>0</v>
      </c>
      <c r="AL883" s="100">
        <f t="shared" si="411"/>
        <v>0</v>
      </c>
      <c r="AN883" s="100">
        <f t="shared" si="412"/>
        <v>3526.2124555173828</v>
      </c>
      <c r="AO883" s="20">
        <f t="shared" si="413"/>
        <v>0</v>
      </c>
      <c r="AQ883" s="109">
        <f t="shared" si="414"/>
        <v>0</v>
      </c>
      <c r="AU883" s="109">
        <f t="shared" si="429"/>
        <v>25.106859061555152</v>
      </c>
      <c r="AV883" s="101">
        <f t="shared" si="415"/>
        <v>66744</v>
      </c>
      <c r="AW883" s="99">
        <f t="shared" si="416"/>
        <v>0</v>
      </c>
      <c r="AX883" s="1">
        <f t="shared" si="417"/>
        <v>0</v>
      </c>
      <c r="AY883" s="29">
        <f t="shared" si="418"/>
        <v>0</v>
      </c>
      <c r="AZ883" s="1">
        <f t="shared" si="430"/>
        <v>0</v>
      </c>
      <c r="CB883" s="20">
        <f t="shared" si="439"/>
        <v>0</v>
      </c>
      <c r="CC883" s="173">
        <f t="shared" si="431"/>
        <v>0</v>
      </c>
    </row>
    <row r="884" spans="10:81" x14ac:dyDescent="0.25">
      <c r="J884" s="9"/>
      <c r="K884" s="10"/>
      <c r="L884" s="17"/>
      <c r="M884" s="23"/>
      <c r="N884" s="23"/>
      <c r="O884" s="23"/>
      <c r="P884" s="23"/>
      <c r="Q884" s="1">
        <f t="shared" si="432"/>
        <v>0.60744618579017706</v>
      </c>
      <c r="R884" s="12">
        <f t="shared" ca="1" si="419"/>
        <v>25622</v>
      </c>
      <c r="S884" s="88">
        <f t="shared" si="428"/>
        <v>0</v>
      </c>
      <c r="T884" s="19">
        <f t="shared" si="420"/>
        <v>0</v>
      </c>
      <c r="U884" s="19">
        <f t="shared" si="421"/>
        <v>0</v>
      </c>
      <c r="V884" s="19">
        <f t="shared" si="437"/>
        <v>0</v>
      </c>
      <c r="W884" s="20">
        <f t="shared" ca="1" si="422"/>
        <v>0</v>
      </c>
      <c r="X884" s="19">
        <f t="shared" ca="1" si="423"/>
        <v>0</v>
      </c>
      <c r="Y884" s="19">
        <f t="shared" ca="1" si="424"/>
        <v>0</v>
      </c>
      <c r="Z884" s="20">
        <f t="shared" ca="1" si="425"/>
        <v>0</v>
      </c>
      <c r="AA884" s="1">
        <f t="shared" si="433"/>
        <v>5432.58</v>
      </c>
      <c r="AB884" s="93"/>
      <c r="AC884" s="94"/>
      <c r="AD884" s="101">
        <f t="shared" si="434"/>
        <v>66744</v>
      </c>
      <c r="AE884" s="103">
        <f t="shared" si="435"/>
        <v>0</v>
      </c>
      <c r="AG884" s="1">
        <f t="shared" si="426"/>
        <v>0</v>
      </c>
      <c r="AH884" s="1">
        <f t="shared" si="427"/>
        <v>0</v>
      </c>
      <c r="AI884" s="1">
        <f t="shared" si="436"/>
        <v>5432.58</v>
      </c>
      <c r="AJ884" s="20">
        <f t="shared" si="438"/>
        <v>0</v>
      </c>
      <c r="AK884" s="100">
        <f t="shared" si="410"/>
        <v>0</v>
      </c>
      <c r="AL884" s="100">
        <f t="shared" si="411"/>
        <v>0</v>
      </c>
      <c r="AN884" s="100">
        <f t="shared" si="412"/>
        <v>3524.4283717078119</v>
      </c>
      <c r="AO884" s="20">
        <f t="shared" si="413"/>
        <v>0</v>
      </c>
      <c r="AQ884" s="109">
        <f t="shared" si="414"/>
        <v>0</v>
      </c>
      <c r="AU884" s="109">
        <f t="shared" si="429"/>
        <v>25.104655430689569</v>
      </c>
      <c r="AV884" s="101">
        <f t="shared" si="415"/>
        <v>66774</v>
      </c>
      <c r="AW884" s="99">
        <f t="shared" si="416"/>
        <v>0</v>
      </c>
      <c r="AX884" s="1">
        <f t="shared" si="417"/>
        <v>0</v>
      </c>
      <c r="AY884" s="29">
        <f t="shared" si="418"/>
        <v>0</v>
      </c>
      <c r="AZ884" s="1">
        <f t="shared" si="430"/>
        <v>0</v>
      </c>
      <c r="CB884" s="20">
        <f t="shared" si="439"/>
        <v>0</v>
      </c>
      <c r="CC884" s="173">
        <f t="shared" si="431"/>
        <v>0</v>
      </c>
    </row>
    <row r="885" spans="10:81" x14ac:dyDescent="0.25">
      <c r="J885" s="7"/>
      <c r="K885" s="8"/>
      <c r="L885" s="16"/>
      <c r="M885" s="22"/>
      <c r="N885" s="22"/>
      <c r="O885" s="22"/>
      <c r="P885" s="22"/>
      <c r="Q885" s="1">
        <f t="shared" si="432"/>
        <v>0.60744618579017706</v>
      </c>
      <c r="R885" s="12">
        <f t="shared" ca="1" si="419"/>
        <v>25652</v>
      </c>
      <c r="S885" s="88">
        <f t="shared" si="428"/>
        <v>0</v>
      </c>
      <c r="T885" s="19">
        <f t="shared" si="420"/>
        <v>0</v>
      </c>
      <c r="U885" s="19">
        <f t="shared" si="421"/>
        <v>0</v>
      </c>
      <c r="V885" s="19">
        <f t="shared" si="437"/>
        <v>0</v>
      </c>
      <c r="W885" s="20">
        <f t="shared" ca="1" si="422"/>
        <v>0</v>
      </c>
      <c r="X885" s="19">
        <f t="shared" ca="1" si="423"/>
        <v>0</v>
      </c>
      <c r="Y885" s="19">
        <f t="shared" ca="1" si="424"/>
        <v>0</v>
      </c>
      <c r="Z885" s="20">
        <f t="shared" ca="1" si="425"/>
        <v>0</v>
      </c>
      <c r="AA885" s="1">
        <f t="shared" si="433"/>
        <v>5432.58</v>
      </c>
      <c r="AB885" s="91"/>
      <c r="AC885" s="92"/>
      <c r="AD885" s="101">
        <f t="shared" si="434"/>
        <v>66774</v>
      </c>
      <c r="AE885" s="103">
        <f t="shared" si="435"/>
        <v>0</v>
      </c>
      <c r="AG885" s="1">
        <f t="shared" si="426"/>
        <v>0</v>
      </c>
      <c r="AH885" s="1">
        <f t="shared" si="427"/>
        <v>0</v>
      </c>
      <c r="AI885" s="1">
        <f t="shared" si="436"/>
        <v>5432.58</v>
      </c>
      <c r="AJ885" s="20">
        <f t="shared" si="438"/>
        <v>0</v>
      </c>
      <c r="AK885" s="100">
        <f t="shared" si="410"/>
        <v>0</v>
      </c>
      <c r="AL885" s="100">
        <f t="shared" si="411"/>
        <v>0</v>
      </c>
      <c r="AN885" s="100">
        <f t="shared" si="412"/>
        <v>3522.6451905537338</v>
      </c>
      <c r="AO885" s="20">
        <f t="shared" si="413"/>
        <v>0</v>
      </c>
      <c r="AQ885" s="109">
        <f t="shared" si="414"/>
        <v>0</v>
      </c>
      <c r="AU885" s="109">
        <f t="shared" si="429"/>
        <v>25.102451993236826</v>
      </c>
      <c r="AV885" s="101">
        <f t="shared" si="415"/>
        <v>66804</v>
      </c>
      <c r="AW885" s="99">
        <f t="shared" si="416"/>
        <v>0</v>
      </c>
      <c r="AX885" s="1">
        <f t="shared" si="417"/>
        <v>0</v>
      </c>
      <c r="AY885" s="29">
        <f t="shared" si="418"/>
        <v>0</v>
      </c>
      <c r="AZ885" s="1">
        <f t="shared" si="430"/>
        <v>0</v>
      </c>
      <c r="CB885" s="20">
        <f t="shared" si="439"/>
        <v>0</v>
      </c>
      <c r="CC885" s="173">
        <f t="shared" si="431"/>
        <v>0</v>
      </c>
    </row>
    <row r="886" spans="10:81" x14ac:dyDescent="0.25">
      <c r="J886" s="9"/>
      <c r="K886" s="10"/>
      <c r="L886" s="17"/>
      <c r="M886" s="23"/>
      <c r="N886" s="23"/>
      <c r="O886" s="23"/>
      <c r="P886" s="23"/>
      <c r="Q886" s="1">
        <f t="shared" si="432"/>
        <v>0.60744618579017706</v>
      </c>
      <c r="R886" s="12">
        <f t="shared" ca="1" si="419"/>
        <v>25682</v>
      </c>
      <c r="S886" s="88">
        <f t="shared" si="428"/>
        <v>0</v>
      </c>
      <c r="T886" s="19">
        <f t="shared" si="420"/>
        <v>0</v>
      </c>
      <c r="U886" s="19">
        <f t="shared" si="421"/>
        <v>0</v>
      </c>
      <c r="V886" s="19">
        <f t="shared" si="437"/>
        <v>0</v>
      </c>
      <c r="W886" s="20">
        <f t="shared" ca="1" si="422"/>
        <v>0</v>
      </c>
      <c r="X886" s="19">
        <f t="shared" ca="1" si="423"/>
        <v>0</v>
      </c>
      <c r="Y886" s="19">
        <f t="shared" ca="1" si="424"/>
        <v>0</v>
      </c>
      <c r="Z886" s="20">
        <f t="shared" ca="1" si="425"/>
        <v>0</v>
      </c>
      <c r="AA886" s="1">
        <f t="shared" si="433"/>
        <v>5432.58</v>
      </c>
      <c r="AB886" s="93"/>
      <c r="AC886" s="94"/>
      <c r="AD886" s="101">
        <f t="shared" si="434"/>
        <v>66804</v>
      </c>
      <c r="AE886" s="103">
        <f t="shared" si="435"/>
        <v>0</v>
      </c>
      <c r="AG886" s="1">
        <f t="shared" si="426"/>
        <v>0</v>
      </c>
      <c r="AH886" s="1">
        <f t="shared" si="427"/>
        <v>0</v>
      </c>
      <c r="AI886" s="1">
        <f t="shared" si="436"/>
        <v>5432.58</v>
      </c>
      <c r="AJ886" s="20">
        <f t="shared" si="438"/>
        <v>0</v>
      </c>
      <c r="AK886" s="100">
        <f t="shared" ref="AK886:AK949" si="440">IF(ISERROR(AJ886/(1+(Q886)/1200)^(ROW()-29)),0,AJ886/(1+(Q886)/1200)^(ROW()-29))</f>
        <v>0</v>
      </c>
      <c r="AL886" s="100">
        <f t="shared" ref="AL886:AL949" si="441">IF(ISERROR((Q886/1200)*O886),0,(Q886/1200)*O886)</f>
        <v>0</v>
      </c>
      <c r="AN886" s="100">
        <f t="shared" ref="AN886:AN949" si="442">IF(ISERROR(AA886/(1+(Q886)/1200)^(ROW()-29)),0,AA886/(1+(Q886)/1200)^(ROW()-29))</f>
        <v>3520.862911598449</v>
      </c>
      <c r="AO886" s="20">
        <f t="shared" ref="AO886:AO949" si="443">IF(ISERROR(V885+U886+T886+(V885*Q886/1200)-AA886-P886),0,IF(V885+U886+T886+(V885*Q886/1200)-AA886-P886&lt;0,V885,-(U886+T886-AA886+P886-AH886)))</f>
        <v>0</v>
      </c>
      <c r="AQ886" s="109">
        <f t="shared" ref="AQ886:AQ949" si="444">AO886/(1+((1+$AM$27)^((ROW()-29)*30)-1))</f>
        <v>0</v>
      </c>
      <c r="AU886" s="109">
        <f t="shared" si="429"/>
        <v>25.100248749179954</v>
      </c>
      <c r="AV886" s="101">
        <f t="shared" ref="AV886:AV949" si="445">AD887</f>
        <v>66834</v>
      </c>
      <c r="AW886" s="99">
        <f t="shared" ref="AW886:AW949" si="446">IF(AJ887&lt;0,0,AJ887)</f>
        <v>0</v>
      </c>
      <c r="AX886" s="1">
        <f t="shared" ref="AX886:AX949" si="447">IF(AG886&gt;0,AA886,0)</f>
        <v>0</v>
      </c>
      <c r="AY886" s="29">
        <f t="shared" ref="AY886:AY949" si="448">AE886</f>
        <v>0</v>
      </c>
      <c r="AZ886" s="1">
        <f t="shared" si="430"/>
        <v>0</v>
      </c>
      <c r="CB886" s="20">
        <f t="shared" si="439"/>
        <v>0</v>
      </c>
      <c r="CC886" s="173">
        <f t="shared" si="431"/>
        <v>0</v>
      </c>
    </row>
    <row r="887" spans="10:81" x14ac:dyDescent="0.25">
      <c r="J887" s="7"/>
      <c r="K887" s="8"/>
      <c r="L887" s="16"/>
      <c r="M887" s="22"/>
      <c r="N887" s="22"/>
      <c r="O887" s="22"/>
      <c r="P887" s="22"/>
      <c r="Q887" s="1">
        <f t="shared" si="432"/>
        <v>0.60744618579017706</v>
      </c>
      <c r="R887" s="12">
        <f t="shared" ref="R887:R950" ca="1" si="449">IF(ROW()&gt;$T$20,R886+30,DAYS360(K886,K887)+R886)</f>
        <v>25712</v>
      </c>
      <c r="S887" s="88">
        <f t="shared" si="428"/>
        <v>0</v>
      </c>
      <c r="T887" s="19">
        <f t="shared" ref="T887:T950" si="450">IF(ISERROR((previousBalance*Q887/1200)*(IF(ROW()-30&lt;$G$22,$G$21,0))),0,(previousBalance*Q887/1200)*(IF(ROW()-30&lt;$G$22,$G$21,0)))</f>
        <v>0</v>
      </c>
      <c r="U887" s="19">
        <f t="shared" ref="U887:U950" si="451">AA887*(IF(ROW()-30&lt;$H$22,$H$21,0))</f>
        <v>0</v>
      </c>
      <c r="V887" s="19">
        <f t="shared" si="437"/>
        <v>0</v>
      </c>
      <c r="W887" s="20">
        <f t="shared" ref="W887:W950" ca="1" si="452">(T887)/(1+((1+$T$12)^$R887-1))</f>
        <v>0</v>
      </c>
      <c r="X887" s="19">
        <f t="shared" ref="X887:X950" ca="1" si="453">(U887)/(1+((1+$T$12)^$R887-1))</f>
        <v>0</v>
      </c>
      <c r="Y887" s="19">
        <f t="shared" ref="Y887:Y950" ca="1" si="454">P887/(1+((1+$T$12)^$R887-1))</f>
        <v>0</v>
      </c>
      <c r="Z887" s="20">
        <f t="shared" ref="Z887:Z950" ca="1" si="455">W887+X887</f>
        <v>0</v>
      </c>
      <c r="AA887" s="1">
        <f t="shared" si="433"/>
        <v>5432.58</v>
      </c>
      <c r="AB887" s="91"/>
      <c r="AC887" s="92"/>
      <c r="AD887" s="101">
        <f t="shared" si="434"/>
        <v>66834</v>
      </c>
      <c r="AE887" s="103">
        <f t="shared" si="435"/>
        <v>0</v>
      </c>
      <c r="AG887" s="1">
        <f t="shared" ref="AG887:AG950" si="456">AE887/360</f>
        <v>0</v>
      </c>
      <c r="AH887" s="1">
        <f t="shared" ref="AH887:AH950" si="457">IF(ISERROR(IF(V886+U887+T887+(V886*Q887/1200)-AA887-P887&lt;0,0,(V886*Q887/1200))),0,IF(V886+U887+T887+(V886*Q887/1200)-AA887-P887&lt;0,0,(V886*Q887/1200)))</f>
        <v>0</v>
      </c>
      <c r="AI887" s="1">
        <f t="shared" si="436"/>
        <v>5432.58</v>
      </c>
      <c r="AJ887" s="20">
        <f t="shared" si="438"/>
        <v>0</v>
      </c>
      <c r="AK887" s="100">
        <f t="shared" si="440"/>
        <v>0</v>
      </c>
      <c r="AL887" s="100">
        <f t="shared" si="441"/>
        <v>0</v>
      </c>
      <c r="AN887" s="100">
        <f t="shared" si="442"/>
        <v>3519.0815343854929</v>
      </c>
      <c r="AO887" s="20">
        <f t="shared" si="443"/>
        <v>0</v>
      </c>
      <c r="AQ887" s="109">
        <f t="shared" si="444"/>
        <v>0</v>
      </c>
      <c r="AU887" s="109">
        <f t="shared" si="429"/>
        <v>25.098045698501988</v>
      </c>
      <c r="AV887" s="101">
        <f t="shared" si="445"/>
        <v>66864</v>
      </c>
      <c r="AW887" s="99">
        <f t="shared" si="446"/>
        <v>0</v>
      </c>
      <c r="AX887" s="1">
        <f t="shared" si="447"/>
        <v>0</v>
      </c>
      <c r="AY887" s="29">
        <f t="shared" si="448"/>
        <v>0</v>
      </c>
      <c r="AZ887" s="1">
        <f t="shared" si="430"/>
        <v>0</v>
      </c>
      <c r="CB887" s="20">
        <f t="shared" si="439"/>
        <v>0</v>
      </c>
      <c r="CC887" s="173">
        <f t="shared" si="431"/>
        <v>0</v>
      </c>
    </row>
    <row r="888" spans="10:81" x14ac:dyDescent="0.25">
      <c r="J888" s="9"/>
      <c r="K888" s="10"/>
      <c r="L888" s="17"/>
      <c r="M888" s="23"/>
      <c r="N888" s="23"/>
      <c r="O888" s="23"/>
      <c r="P888" s="23"/>
      <c r="Q888" s="1">
        <f t="shared" si="432"/>
        <v>0.60744618579017706</v>
      </c>
      <c r="R888" s="12">
        <f t="shared" ca="1" si="449"/>
        <v>25742</v>
      </c>
      <c r="S888" s="88">
        <f t="shared" si="428"/>
        <v>0</v>
      </c>
      <c r="T888" s="19">
        <f t="shared" si="450"/>
        <v>0</v>
      </c>
      <c r="U888" s="19">
        <f t="shared" si="451"/>
        <v>0</v>
      </c>
      <c r="V888" s="19">
        <f t="shared" si="437"/>
        <v>0</v>
      </c>
      <c r="W888" s="20">
        <f t="shared" ca="1" si="452"/>
        <v>0</v>
      </c>
      <c r="X888" s="19">
        <f t="shared" ca="1" si="453"/>
        <v>0</v>
      </c>
      <c r="Y888" s="19">
        <f t="shared" ca="1" si="454"/>
        <v>0</v>
      </c>
      <c r="Z888" s="20">
        <f t="shared" ca="1" si="455"/>
        <v>0</v>
      </c>
      <c r="AA888" s="1">
        <f t="shared" si="433"/>
        <v>5432.58</v>
      </c>
      <c r="AB888" s="93"/>
      <c r="AC888" s="94"/>
      <c r="AD888" s="101">
        <f t="shared" si="434"/>
        <v>66864</v>
      </c>
      <c r="AE888" s="103">
        <f t="shared" si="435"/>
        <v>0</v>
      </c>
      <c r="AG888" s="1">
        <f t="shared" si="456"/>
        <v>0</v>
      </c>
      <c r="AH888" s="1">
        <f t="shared" si="457"/>
        <v>0</v>
      </c>
      <c r="AI888" s="1">
        <f t="shared" si="436"/>
        <v>5432.58</v>
      </c>
      <c r="AJ888" s="20">
        <f t="shared" si="438"/>
        <v>0</v>
      </c>
      <c r="AK888" s="100">
        <f t="shared" si="440"/>
        <v>0</v>
      </c>
      <c r="AL888" s="100">
        <f t="shared" si="441"/>
        <v>0</v>
      </c>
      <c r="AN888" s="100">
        <f t="shared" si="442"/>
        <v>3517.3010584586291</v>
      </c>
      <c r="AO888" s="20">
        <f t="shared" si="443"/>
        <v>0</v>
      </c>
      <c r="AQ888" s="109">
        <f t="shared" si="444"/>
        <v>0</v>
      </c>
      <c r="AU888" s="109">
        <f t="shared" si="429"/>
        <v>25.095842841185924</v>
      </c>
      <c r="AV888" s="101">
        <f t="shared" si="445"/>
        <v>66894</v>
      </c>
      <c r="AW888" s="99">
        <f t="shared" si="446"/>
        <v>0</v>
      </c>
      <c r="AX888" s="1">
        <f t="shared" si="447"/>
        <v>0</v>
      </c>
      <c r="AY888" s="29">
        <f t="shared" si="448"/>
        <v>0</v>
      </c>
      <c r="AZ888" s="1">
        <f t="shared" si="430"/>
        <v>0</v>
      </c>
      <c r="CB888" s="20">
        <f t="shared" si="439"/>
        <v>0</v>
      </c>
      <c r="CC888" s="173">
        <f t="shared" si="431"/>
        <v>0</v>
      </c>
    </row>
    <row r="889" spans="10:81" x14ac:dyDescent="0.25">
      <c r="J889" s="7"/>
      <c r="K889" s="8"/>
      <c r="L889" s="16"/>
      <c r="M889" s="22"/>
      <c r="N889" s="22"/>
      <c r="O889" s="22"/>
      <c r="P889" s="22"/>
      <c r="Q889" s="1">
        <f t="shared" si="432"/>
        <v>0.60744618579017706</v>
      </c>
      <c r="R889" s="12">
        <f t="shared" ca="1" si="449"/>
        <v>25772</v>
      </c>
      <c r="S889" s="88">
        <f t="shared" si="428"/>
        <v>0</v>
      </c>
      <c r="T889" s="19">
        <f t="shared" si="450"/>
        <v>0</v>
      </c>
      <c r="U889" s="19">
        <f t="shared" si="451"/>
        <v>0</v>
      </c>
      <c r="V889" s="19">
        <f t="shared" si="437"/>
        <v>0</v>
      </c>
      <c r="W889" s="20">
        <f t="shared" ca="1" si="452"/>
        <v>0</v>
      </c>
      <c r="X889" s="19">
        <f t="shared" ca="1" si="453"/>
        <v>0</v>
      </c>
      <c r="Y889" s="19">
        <f t="shared" ca="1" si="454"/>
        <v>0</v>
      </c>
      <c r="Z889" s="20">
        <f t="shared" ca="1" si="455"/>
        <v>0</v>
      </c>
      <c r="AA889" s="1">
        <f t="shared" si="433"/>
        <v>5432.58</v>
      </c>
      <c r="AB889" s="91"/>
      <c r="AC889" s="92"/>
      <c r="AD889" s="101">
        <f t="shared" si="434"/>
        <v>66894</v>
      </c>
      <c r="AE889" s="103">
        <f t="shared" si="435"/>
        <v>0</v>
      </c>
      <c r="AG889" s="1">
        <f t="shared" si="456"/>
        <v>0</v>
      </c>
      <c r="AH889" s="1">
        <f t="shared" si="457"/>
        <v>0</v>
      </c>
      <c r="AI889" s="1">
        <f t="shared" si="436"/>
        <v>5432.58</v>
      </c>
      <c r="AJ889" s="20">
        <f t="shared" si="438"/>
        <v>0</v>
      </c>
      <c r="AK889" s="100">
        <f t="shared" si="440"/>
        <v>0</v>
      </c>
      <c r="AL889" s="100">
        <f t="shared" si="441"/>
        <v>0</v>
      </c>
      <c r="AN889" s="100">
        <f t="shared" si="442"/>
        <v>3515.521483361852</v>
      </c>
      <c r="AO889" s="20">
        <f t="shared" si="443"/>
        <v>0</v>
      </c>
      <c r="AQ889" s="109">
        <f t="shared" si="444"/>
        <v>0</v>
      </c>
      <c r="AU889" s="109">
        <f t="shared" si="429"/>
        <v>25.093640177214827</v>
      </c>
      <c r="AV889" s="101">
        <f t="shared" si="445"/>
        <v>66924</v>
      </c>
      <c r="AW889" s="99">
        <f t="shared" si="446"/>
        <v>0</v>
      </c>
      <c r="AX889" s="1">
        <f t="shared" si="447"/>
        <v>0</v>
      </c>
      <c r="AY889" s="29">
        <f t="shared" si="448"/>
        <v>0</v>
      </c>
      <c r="AZ889" s="1">
        <f t="shared" si="430"/>
        <v>0</v>
      </c>
      <c r="CB889" s="20">
        <f t="shared" si="439"/>
        <v>0</v>
      </c>
      <c r="CC889" s="173">
        <f t="shared" si="431"/>
        <v>0</v>
      </c>
    </row>
    <row r="890" spans="10:81" x14ac:dyDescent="0.25">
      <c r="J890" s="9"/>
      <c r="K890" s="10"/>
      <c r="L890" s="17"/>
      <c r="M890" s="23"/>
      <c r="N890" s="23"/>
      <c r="O890" s="23"/>
      <c r="P890" s="23"/>
      <c r="Q890" s="1">
        <f t="shared" si="432"/>
        <v>0.60744618579017706</v>
      </c>
      <c r="R890" s="12">
        <f t="shared" ca="1" si="449"/>
        <v>25802</v>
      </c>
      <c r="S890" s="88">
        <f t="shared" si="428"/>
        <v>0</v>
      </c>
      <c r="T890" s="19">
        <f t="shared" si="450"/>
        <v>0</v>
      </c>
      <c r="U890" s="19">
        <f t="shared" si="451"/>
        <v>0</v>
      </c>
      <c r="V890" s="19">
        <f t="shared" si="437"/>
        <v>0</v>
      </c>
      <c r="W890" s="20">
        <f t="shared" ca="1" si="452"/>
        <v>0</v>
      </c>
      <c r="X890" s="19">
        <f t="shared" ca="1" si="453"/>
        <v>0</v>
      </c>
      <c r="Y890" s="19">
        <f t="shared" ca="1" si="454"/>
        <v>0</v>
      </c>
      <c r="Z890" s="20">
        <f t="shared" ca="1" si="455"/>
        <v>0</v>
      </c>
      <c r="AA890" s="1">
        <f t="shared" si="433"/>
        <v>5432.58</v>
      </c>
      <c r="AB890" s="93"/>
      <c r="AC890" s="94"/>
      <c r="AD890" s="101">
        <f t="shared" si="434"/>
        <v>66924</v>
      </c>
      <c r="AE890" s="103">
        <f t="shared" si="435"/>
        <v>0</v>
      </c>
      <c r="AG890" s="1">
        <f t="shared" si="456"/>
        <v>0</v>
      </c>
      <c r="AH890" s="1">
        <f t="shared" si="457"/>
        <v>0</v>
      </c>
      <c r="AI890" s="1">
        <f t="shared" si="436"/>
        <v>5432.58</v>
      </c>
      <c r="AJ890" s="20">
        <f t="shared" si="438"/>
        <v>0</v>
      </c>
      <c r="AK890" s="100">
        <f t="shared" si="440"/>
        <v>0</v>
      </c>
      <c r="AL890" s="100">
        <f t="shared" si="441"/>
        <v>0</v>
      </c>
      <c r="AN890" s="100">
        <f t="shared" si="442"/>
        <v>3513.7428086393888</v>
      </c>
      <c r="AO890" s="20">
        <f t="shared" si="443"/>
        <v>0</v>
      </c>
      <c r="AQ890" s="109">
        <f t="shared" si="444"/>
        <v>0</v>
      </c>
      <c r="AU890" s="109">
        <f t="shared" si="429"/>
        <v>25.091437706571689</v>
      </c>
      <c r="AV890" s="101">
        <f t="shared" si="445"/>
        <v>66954</v>
      </c>
      <c r="AW890" s="99">
        <f t="shared" si="446"/>
        <v>0</v>
      </c>
      <c r="AX890" s="1">
        <f t="shared" si="447"/>
        <v>0</v>
      </c>
      <c r="AY890" s="29">
        <f t="shared" si="448"/>
        <v>0</v>
      </c>
      <c r="AZ890" s="1">
        <f t="shared" si="430"/>
        <v>0</v>
      </c>
      <c r="CB890" s="20">
        <f t="shared" si="439"/>
        <v>0</v>
      </c>
      <c r="CC890" s="173">
        <f t="shared" si="431"/>
        <v>0</v>
      </c>
    </row>
    <row r="891" spans="10:81" x14ac:dyDescent="0.25">
      <c r="J891" s="7"/>
      <c r="K891" s="8"/>
      <c r="L891" s="16"/>
      <c r="M891" s="22"/>
      <c r="N891" s="22"/>
      <c r="O891" s="22"/>
      <c r="P891" s="22"/>
      <c r="Q891" s="1">
        <f t="shared" si="432"/>
        <v>0.60744618579017706</v>
      </c>
      <c r="R891" s="12">
        <f t="shared" ca="1" si="449"/>
        <v>25832</v>
      </c>
      <c r="S891" s="88">
        <f t="shared" si="428"/>
        <v>0</v>
      </c>
      <c r="T891" s="19">
        <f t="shared" si="450"/>
        <v>0</v>
      </c>
      <c r="U891" s="19">
        <f t="shared" si="451"/>
        <v>0</v>
      </c>
      <c r="V891" s="19">
        <f t="shared" si="437"/>
        <v>0</v>
      </c>
      <c r="W891" s="20">
        <f t="shared" ca="1" si="452"/>
        <v>0</v>
      </c>
      <c r="X891" s="19">
        <f t="shared" ca="1" si="453"/>
        <v>0</v>
      </c>
      <c r="Y891" s="19">
        <f t="shared" ca="1" si="454"/>
        <v>0</v>
      </c>
      <c r="Z891" s="20">
        <f t="shared" ca="1" si="455"/>
        <v>0</v>
      </c>
      <c r="AA891" s="1">
        <f t="shared" si="433"/>
        <v>5432.58</v>
      </c>
      <c r="AB891" s="91"/>
      <c r="AC891" s="92"/>
      <c r="AD891" s="101">
        <f t="shared" si="434"/>
        <v>66954</v>
      </c>
      <c r="AE891" s="103">
        <f t="shared" si="435"/>
        <v>0</v>
      </c>
      <c r="AG891" s="1">
        <f t="shared" si="456"/>
        <v>0</v>
      </c>
      <c r="AH891" s="1">
        <f t="shared" si="457"/>
        <v>0</v>
      </c>
      <c r="AI891" s="1">
        <f t="shared" si="436"/>
        <v>5432.58</v>
      </c>
      <c r="AJ891" s="20">
        <f t="shared" si="438"/>
        <v>0</v>
      </c>
      <c r="AK891" s="100">
        <f t="shared" si="440"/>
        <v>0</v>
      </c>
      <c r="AL891" s="100">
        <f t="shared" si="441"/>
        <v>0</v>
      </c>
      <c r="AN891" s="100">
        <f t="shared" si="442"/>
        <v>3511.9650338356942</v>
      </c>
      <c r="AO891" s="20">
        <f t="shared" si="443"/>
        <v>0</v>
      </c>
      <c r="AQ891" s="109">
        <f t="shared" si="444"/>
        <v>0</v>
      </c>
      <c r="AU891" s="109">
        <f t="shared" si="429"/>
        <v>25.089235429239572</v>
      </c>
      <c r="AV891" s="101">
        <f t="shared" si="445"/>
        <v>66984</v>
      </c>
      <c r="AW891" s="99">
        <f t="shared" si="446"/>
        <v>0</v>
      </c>
      <c r="AX891" s="1">
        <f t="shared" si="447"/>
        <v>0</v>
      </c>
      <c r="AY891" s="29">
        <f t="shared" si="448"/>
        <v>0</v>
      </c>
      <c r="AZ891" s="1">
        <f t="shared" si="430"/>
        <v>0</v>
      </c>
      <c r="CB891" s="20">
        <f t="shared" si="439"/>
        <v>0</v>
      </c>
      <c r="CC891" s="173">
        <f t="shared" si="431"/>
        <v>0</v>
      </c>
    </row>
    <row r="892" spans="10:81" x14ac:dyDescent="0.25">
      <c r="J892" s="9"/>
      <c r="K892" s="10"/>
      <c r="L892" s="17"/>
      <c r="M892" s="23"/>
      <c r="N892" s="23"/>
      <c r="O892" s="23"/>
      <c r="P892" s="23"/>
      <c r="Q892" s="1">
        <f t="shared" si="432"/>
        <v>0.60744618579017706</v>
      </c>
      <c r="R892" s="12">
        <f t="shared" ca="1" si="449"/>
        <v>25862</v>
      </c>
      <c r="S892" s="88">
        <f t="shared" si="428"/>
        <v>0</v>
      </c>
      <c r="T892" s="19">
        <f t="shared" si="450"/>
        <v>0</v>
      </c>
      <c r="U892" s="19">
        <f t="shared" si="451"/>
        <v>0</v>
      </c>
      <c r="V892" s="19">
        <f t="shared" si="437"/>
        <v>0</v>
      </c>
      <c r="W892" s="20">
        <f t="shared" ca="1" si="452"/>
        <v>0</v>
      </c>
      <c r="X892" s="19">
        <f t="shared" ca="1" si="453"/>
        <v>0</v>
      </c>
      <c r="Y892" s="19">
        <f t="shared" ca="1" si="454"/>
        <v>0</v>
      </c>
      <c r="Z892" s="20">
        <f t="shared" ca="1" si="455"/>
        <v>0</v>
      </c>
      <c r="AA892" s="1">
        <f t="shared" si="433"/>
        <v>5432.58</v>
      </c>
      <c r="AB892" s="93"/>
      <c r="AC892" s="94"/>
      <c r="AD892" s="101">
        <f t="shared" si="434"/>
        <v>66984</v>
      </c>
      <c r="AE892" s="103">
        <f t="shared" si="435"/>
        <v>0</v>
      </c>
      <c r="AG892" s="1">
        <f t="shared" si="456"/>
        <v>0</v>
      </c>
      <c r="AH892" s="1">
        <f t="shared" si="457"/>
        <v>0</v>
      </c>
      <c r="AI892" s="1">
        <f t="shared" si="436"/>
        <v>5432.58</v>
      </c>
      <c r="AJ892" s="20">
        <f t="shared" si="438"/>
        <v>0</v>
      </c>
      <c r="AK892" s="100">
        <f t="shared" si="440"/>
        <v>0</v>
      </c>
      <c r="AL892" s="100">
        <f t="shared" si="441"/>
        <v>0</v>
      </c>
      <c r="AN892" s="100">
        <f t="shared" si="442"/>
        <v>3510.1881584954581</v>
      </c>
      <c r="AO892" s="20">
        <f t="shared" si="443"/>
        <v>0</v>
      </c>
      <c r="AQ892" s="109">
        <f t="shared" si="444"/>
        <v>0</v>
      </c>
      <c r="AU892" s="109">
        <f t="shared" si="429"/>
        <v>25.087033345201494</v>
      </c>
      <c r="AV892" s="101">
        <f t="shared" si="445"/>
        <v>67014</v>
      </c>
      <c r="AW892" s="99">
        <f t="shared" si="446"/>
        <v>0</v>
      </c>
      <c r="AX892" s="1">
        <f t="shared" si="447"/>
        <v>0</v>
      </c>
      <c r="AY892" s="29">
        <f t="shared" si="448"/>
        <v>0</v>
      </c>
      <c r="AZ892" s="1">
        <f t="shared" si="430"/>
        <v>0</v>
      </c>
      <c r="CB892" s="20">
        <f t="shared" si="439"/>
        <v>0</v>
      </c>
      <c r="CC892" s="173">
        <f t="shared" si="431"/>
        <v>0</v>
      </c>
    </row>
    <row r="893" spans="10:81" x14ac:dyDescent="0.25">
      <c r="J893" s="7"/>
      <c r="K893" s="8"/>
      <c r="L893" s="16"/>
      <c r="M893" s="22"/>
      <c r="N893" s="22"/>
      <c r="O893" s="22"/>
      <c r="P893" s="22"/>
      <c r="Q893" s="1">
        <f t="shared" si="432"/>
        <v>0.60744618579017706</v>
      </c>
      <c r="R893" s="12">
        <f t="shared" ca="1" si="449"/>
        <v>25892</v>
      </c>
      <c r="S893" s="88">
        <f t="shared" si="428"/>
        <v>0</v>
      </c>
      <c r="T893" s="19">
        <f t="shared" si="450"/>
        <v>0</v>
      </c>
      <c r="U893" s="19">
        <f t="shared" si="451"/>
        <v>0</v>
      </c>
      <c r="V893" s="19">
        <f t="shared" si="437"/>
        <v>0</v>
      </c>
      <c r="W893" s="20">
        <f t="shared" ca="1" si="452"/>
        <v>0</v>
      </c>
      <c r="X893" s="19">
        <f t="shared" ca="1" si="453"/>
        <v>0</v>
      </c>
      <c r="Y893" s="19">
        <f t="shared" ca="1" si="454"/>
        <v>0</v>
      </c>
      <c r="Z893" s="20">
        <f t="shared" ca="1" si="455"/>
        <v>0</v>
      </c>
      <c r="AA893" s="1">
        <f t="shared" si="433"/>
        <v>5432.58</v>
      </c>
      <c r="AB893" s="91"/>
      <c r="AC893" s="92"/>
      <c r="AD893" s="101">
        <f t="shared" si="434"/>
        <v>67014</v>
      </c>
      <c r="AE893" s="103">
        <f t="shared" si="435"/>
        <v>0</v>
      </c>
      <c r="AG893" s="1">
        <f t="shared" si="456"/>
        <v>0</v>
      </c>
      <c r="AH893" s="1">
        <f t="shared" si="457"/>
        <v>0</v>
      </c>
      <c r="AI893" s="1">
        <f t="shared" si="436"/>
        <v>5432.58</v>
      </c>
      <c r="AJ893" s="20">
        <f t="shared" si="438"/>
        <v>0</v>
      </c>
      <c r="AK893" s="100">
        <f t="shared" si="440"/>
        <v>0</v>
      </c>
      <c r="AL893" s="100">
        <f t="shared" si="441"/>
        <v>0</v>
      </c>
      <c r="AN893" s="100">
        <f t="shared" si="442"/>
        <v>3508.4121821635949</v>
      </c>
      <c r="AO893" s="20">
        <f t="shared" si="443"/>
        <v>0</v>
      </c>
      <c r="AQ893" s="109">
        <f t="shared" si="444"/>
        <v>0</v>
      </c>
      <c r="AU893" s="109">
        <f t="shared" si="429"/>
        <v>25.084831454440501</v>
      </c>
      <c r="AV893" s="101">
        <f t="shared" si="445"/>
        <v>67044</v>
      </c>
      <c r="AW893" s="99">
        <f t="shared" si="446"/>
        <v>0</v>
      </c>
      <c r="AX893" s="1">
        <f t="shared" si="447"/>
        <v>0</v>
      </c>
      <c r="AY893" s="29">
        <f t="shared" si="448"/>
        <v>0</v>
      </c>
      <c r="AZ893" s="1">
        <f t="shared" si="430"/>
        <v>0</v>
      </c>
      <c r="CB893" s="20">
        <f t="shared" si="439"/>
        <v>0</v>
      </c>
      <c r="CC893" s="173">
        <f t="shared" si="431"/>
        <v>0</v>
      </c>
    </row>
    <row r="894" spans="10:81" x14ac:dyDescent="0.25">
      <c r="J894" s="9"/>
      <c r="K894" s="10"/>
      <c r="L894" s="17"/>
      <c r="M894" s="23"/>
      <c r="N894" s="23"/>
      <c r="O894" s="23"/>
      <c r="P894" s="23"/>
      <c r="Q894" s="1">
        <f t="shared" si="432"/>
        <v>0.60744618579017706</v>
      </c>
      <c r="R894" s="12">
        <f t="shared" ca="1" si="449"/>
        <v>25922</v>
      </c>
      <c r="S894" s="88">
        <f t="shared" si="428"/>
        <v>0</v>
      </c>
      <c r="T894" s="19">
        <f t="shared" si="450"/>
        <v>0</v>
      </c>
      <c r="U894" s="19">
        <f t="shared" si="451"/>
        <v>0</v>
      </c>
      <c r="V894" s="19">
        <f t="shared" si="437"/>
        <v>0</v>
      </c>
      <c r="W894" s="20">
        <f t="shared" ca="1" si="452"/>
        <v>0</v>
      </c>
      <c r="X894" s="19">
        <f t="shared" ca="1" si="453"/>
        <v>0</v>
      </c>
      <c r="Y894" s="19">
        <f t="shared" ca="1" si="454"/>
        <v>0</v>
      </c>
      <c r="Z894" s="20">
        <f t="shared" ca="1" si="455"/>
        <v>0</v>
      </c>
      <c r="AA894" s="1">
        <f t="shared" si="433"/>
        <v>5432.58</v>
      </c>
      <c r="AB894" s="93"/>
      <c r="AC894" s="94"/>
      <c r="AD894" s="101">
        <f t="shared" si="434"/>
        <v>67044</v>
      </c>
      <c r="AE894" s="103">
        <f t="shared" si="435"/>
        <v>0</v>
      </c>
      <c r="AG894" s="1">
        <f t="shared" si="456"/>
        <v>0</v>
      </c>
      <c r="AH894" s="1">
        <f t="shared" si="457"/>
        <v>0</v>
      </c>
      <c r="AI894" s="1">
        <f t="shared" si="436"/>
        <v>5432.58</v>
      </c>
      <c r="AJ894" s="20">
        <f t="shared" si="438"/>
        <v>0</v>
      </c>
      <c r="AK894" s="100">
        <f t="shared" si="440"/>
        <v>0</v>
      </c>
      <c r="AL894" s="100">
        <f t="shared" si="441"/>
        <v>0</v>
      </c>
      <c r="AN894" s="100">
        <f t="shared" si="442"/>
        <v>3506.6371043852541</v>
      </c>
      <c r="AO894" s="20">
        <f t="shared" si="443"/>
        <v>0</v>
      </c>
      <c r="AQ894" s="109">
        <f t="shared" si="444"/>
        <v>0</v>
      </c>
      <c r="AU894" s="109">
        <f t="shared" si="429"/>
        <v>25.082629756939614</v>
      </c>
      <c r="AV894" s="101">
        <f t="shared" si="445"/>
        <v>67074</v>
      </c>
      <c r="AW894" s="99">
        <f t="shared" si="446"/>
        <v>0</v>
      </c>
      <c r="AX894" s="1">
        <f t="shared" si="447"/>
        <v>0</v>
      </c>
      <c r="AY894" s="29">
        <f t="shared" si="448"/>
        <v>0</v>
      </c>
      <c r="AZ894" s="1">
        <f t="shared" si="430"/>
        <v>0</v>
      </c>
      <c r="CB894" s="20">
        <f t="shared" si="439"/>
        <v>0</v>
      </c>
      <c r="CC894" s="173">
        <f t="shared" si="431"/>
        <v>0</v>
      </c>
    </row>
    <row r="895" spans="10:81" x14ac:dyDescent="0.25">
      <c r="J895" s="7"/>
      <c r="K895" s="8"/>
      <c r="L895" s="16"/>
      <c r="M895" s="22"/>
      <c r="N895" s="22"/>
      <c r="O895" s="22"/>
      <c r="P895" s="22"/>
      <c r="Q895" s="1">
        <f t="shared" si="432"/>
        <v>0.60744618579017706</v>
      </c>
      <c r="R895" s="12">
        <f t="shared" ca="1" si="449"/>
        <v>25952</v>
      </c>
      <c r="S895" s="88">
        <f t="shared" si="428"/>
        <v>0</v>
      </c>
      <c r="T895" s="19">
        <f t="shared" si="450"/>
        <v>0</v>
      </c>
      <c r="U895" s="19">
        <f t="shared" si="451"/>
        <v>0</v>
      </c>
      <c r="V895" s="19">
        <f t="shared" si="437"/>
        <v>0</v>
      </c>
      <c r="W895" s="20">
        <f t="shared" ca="1" si="452"/>
        <v>0</v>
      </c>
      <c r="X895" s="19">
        <f t="shared" ca="1" si="453"/>
        <v>0</v>
      </c>
      <c r="Y895" s="19">
        <f t="shared" ca="1" si="454"/>
        <v>0</v>
      </c>
      <c r="Z895" s="20">
        <f t="shared" ca="1" si="455"/>
        <v>0</v>
      </c>
      <c r="AA895" s="1">
        <f t="shared" si="433"/>
        <v>5432.58</v>
      </c>
      <c r="AB895" s="91"/>
      <c r="AC895" s="92"/>
      <c r="AD895" s="101">
        <f t="shared" si="434"/>
        <v>67074</v>
      </c>
      <c r="AE895" s="103">
        <f t="shared" si="435"/>
        <v>0</v>
      </c>
      <c r="AG895" s="1">
        <f t="shared" si="456"/>
        <v>0</v>
      </c>
      <c r="AH895" s="1">
        <f t="shared" si="457"/>
        <v>0</v>
      </c>
      <c r="AI895" s="1">
        <f t="shared" si="436"/>
        <v>5432.58</v>
      </c>
      <c r="AJ895" s="20">
        <f t="shared" si="438"/>
        <v>0</v>
      </c>
      <c r="AK895" s="100">
        <f t="shared" si="440"/>
        <v>0</v>
      </c>
      <c r="AL895" s="100">
        <f t="shared" si="441"/>
        <v>0</v>
      </c>
      <c r="AN895" s="100">
        <f t="shared" si="442"/>
        <v>3504.862924705812</v>
      </c>
      <c r="AO895" s="20">
        <f t="shared" si="443"/>
        <v>0</v>
      </c>
      <c r="AQ895" s="109">
        <f t="shared" si="444"/>
        <v>0</v>
      </c>
      <c r="AU895" s="109">
        <f t="shared" si="429"/>
        <v>25.080428252681887</v>
      </c>
      <c r="AV895" s="101">
        <f t="shared" si="445"/>
        <v>67104</v>
      </c>
      <c r="AW895" s="99">
        <f t="shared" si="446"/>
        <v>0</v>
      </c>
      <c r="AX895" s="1">
        <f t="shared" si="447"/>
        <v>0</v>
      </c>
      <c r="AY895" s="29">
        <f t="shared" si="448"/>
        <v>0</v>
      </c>
      <c r="AZ895" s="1">
        <f t="shared" si="430"/>
        <v>0</v>
      </c>
      <c r="CB895" s="20">
        <f t="shared" si="439"/>
        <v>0</v>
      </c>
      <c r="CC895" s="173">
        <f t="shared" si="431"/>
        <v>0</v>
      </c>
    </row>
    <row r="896" spans="10:81" x14ac:dyDescent="0.25">
      <c r="J896" s="9"/>
      <c r="K896" s="10"/>
      <c r="L896" s="17"/>
      <c r="M896" s="23"/>
      <c r="N896" s="23"/>
      <c r="O896" s="23"/>
      <c r="P896" s="23"/>
      <c r="Q896" s="1">
        <f t="shared" si="432"/>
        <v>0.60744618579017706</v>
      </c>
      <c r="R896" s="12">
        <f t="shared" ca="1" si="449"/>
        <v>25982</v>
      </c>
      <c r="S896" s="88">
        <f t="shared" si="428"/>
        <v>0</v>
      </c>
      <c r="T896" s="19">
        <f t="shared" si="450"/>
        <v>0</v>
      </c>
      <c r="U896" s="19">
        <f t="shared" si="451"/>
        <v>0</v>
      </c>
      <c r="V896" s="19">
        <f t="shared" si="437"/>
        <v>0</v>
      </c>
      <c r="W896" s="20">
        <f t="shared" ca="1" si="452"/>
        <v>0</v>
      </c>
      <c r="X896" s="19">
        <f t="shared" ca="1" si="453"/>
        <v>0</v>
      </c>
      <c r="Y896" s="19">
        <f t="shared" ca="1" si="454"/>
        <v>0</v>
      </c>
      <c r="Z896" s="20">
        <f t="shared" ca="1" si="455"/>
        <v>0</v>
      </c>
      <c r="AA896" s="1">
        <f t="shared" si="433"/>
        <v>5432.58</v>
      </c>
      <c r="AB896" s="93"/>
      <c r="AC896" s="94"/>
      <c r="AD896" s="101">
        <f t="shared" si="434"/>
        <v>67104</v>
      </c>
      <c r="AE896" s="103">
        <f t="shared" si="435"/>
        <v>0</v>
      </c>
      <c r="AG896" s="1">
        <f t="shared" si="456"/>
        <v>0</v>
      </c>
      <c r="AH896" s="1">
        <f t="shared" si="457"/>
        <v>0</v>
      </c>
      <c r="AI896" s="1">
        <f t="shared" si="436"/>
        <v>5432.58</v>
      </c>
      <c r="AJ896" s="20">
        <f t="shared" si="438"/>
        <v>0</v>
      </c>
      <c r="AK896" s="100">
        <f t="shared" si="440"/>
        <v>0</v>
      </c>
      <c r="AL896" s="100">
        <f t="shared" si="441"/>
        <v>0</v>
      </c>
      <c r="AN896" s="100">
        <f t="shared" si="442"/>
        <v>3503.0896426708773</v>
      </c>
      <c r="AO896" s="20">
        <f t="shared" si="443"/>
        <v>0</v>
      </c>
      <c r="AQ896" s="109">
        <f t="shared" si="444"/>
        <v>0</v>
      </c>
      <c r="AU896" s="109">
        <f t="shared" si="429"/>
        <v>25.078226941650346</v>
      </c>
      <c r="AV896" s="101">
        <f t="shared" si="445"/>
        <v>67134</v>
      </c>
      <c r="AW896" s="99">
        <f t="shared" si="446"/>
        <v>0</v>
      </c>
      <c r="AX896" s="1">
        <f t="shared" si="447"/>
        <v>0</v>
      </c>
      <c r="AY896" s="29">
        <f t="shared" si="448"/>
        <v>0</v>
      </c>
      <c r="AZ896" s="1">
        <f t="shared" si="430"/>
        <v>0</v>
      </c>
      <c r="CB896" s="20">
        <f t="shared" si="439"/>
        <v>0</v>
      </c>
      <c r="CC896" s="173">
        <f t="shared" si="431"/>
        <v>0</v>
      </c>
    </row>
    <row r="897" spans="10:81" x14ac:dyDescent="0.25">
      <c r="J897" s="7"/>
      <c r="K897" s="8"/>
      <c r="L897" s="16"/>
      <c r="M897" s="22"/>
      <c r="N897" s="22"/>
      <c r="O897" s="22"/>
      <c r="P897" s="22"/>
      <c r="Q897" s="1">
        <f t="shared" si="432"/>
        <v>0.60744618579017706</v>
      </c>
      <c r="R897" s="12">
        <f t="shared" ca="1" si="449"/>
        <v>26012</v>
      </c>
      <c r="S897" s="88">
        <f t="shared" si="428"/>
        <v>0</v>
      </c>
      <c r="T897" s="19">
        <f t="shared" si="450"/>
        <v>0</v>
      </c>
      <c r="U897" s="19">
        <f t="shared" si="451"/>
        <v>0</v>
      </c>
      <c r="V897" s="19">
        <f t="shared" si="437"/>
        <v>0</v>
      </c>
      <c r="W897" s="20">
        <f t="shared" ca="1" si="452"/>
        <v>0</v>
      </c>
      <c r="X897" s="19">
        <f t="shared" ca="1" si="453"/>
        <v>0</v>
      </c>
      <c r="Y897" s="19">
        <f t="shared" ca="1" si="454"/>
        <v>0</v>
      </c>
      <c r="Z897" s="20">
        <f t="shared" ca="1" si="455"/>
        <v>0</v>
      </c>
      <c r="AA897" s="1">
        <f t="shared" si="433"/>
        <v>5432.58</v>
      </c>
      <c r="AB897" s="91"/>
      <c r="AC897" s="92"/>
      <c r="AD897" s="101">
        <f t="shared" si="434"/>
        <v>67134</v>
      </c>
      <c r="AE897" s="103">
        <f t="shared" si="435"/>
        <v>0</v>
      </c>
      <c r="AG897" s="1">
        <f t="shared" si="456"/>
        <v>0</v>
      </c>
      <c r="AH897" s="1">
        <f t="shared" si="457"/>
        <v>0</v>
      </c>
      <c r="AI897" s="1">
        <f t="shared" si="436"/>
        <v>5432.58</v>
      </c>
      <c r="AJ897" s="20">
        <f t="shared" si="438"/>
        <v>0</v>
      </c>
      <c r="AK897" s="100">
        <f t="shared" si="440"/>
        <v>0</v>
      </c>
      <c r="AL897" s="100">
        <f t="shared" si="441"/>
        <v>0</v>
      </c>
      <c r="AN897" s="100">
        <f t="shared" si="442"/>
        <v>3501.317257826287</v>
      </c>
      <c r="AO897" s="20">
        <f t="shared" si="443"/>
        <v>0</v>
      </c>
      <c r="AQ897" s="109">
        <f t="shared" si="444"/>
        <v>0</v>
      </c>
      <c r="AU897" s="109">
        <f t="shared" si="429"/>
        <v>25.076025823828033</v>
      </c>
      <c r="AV897" s="101">
        <f t="shared" si="445"/>
        <v>67164</v>
      </c>
      <c r="AW897" s="99">
        <f t="shared" si="446"/>
        <v>0</v>
      </c>
      <c r="AX897" s="1">
        <f t="shared" si="447"/>
        <v>0</v>
      </c>
      <c r="AY897" s="29">
        <f t="shared" si="448"/>
        <v>0</v>
      </c>
      <c r="AZ897" s="1">
        <f t="shared" si="430"/>
        <v>0</v>
      </c>
      <c r="CB897" s="20">
        <f t="shared" si="439"/>
        <v>0</v>
      </c>
      <c r="CC897" s="173">
        <f t="shared" si="431"/>
        <v>0</v>
      </c>
    </row>
    <row r="898" spans="10:81" x14ac:dyDescent="0.25">
      <c r="J898" s="9"/>
      <c r="K898" s="10"/>
      <c r="L898" s="17"/>
      <c r="M898" s="23"/>
      <c r="N898" s="23"/>
      <c r="O898" s="23"/>
      <c r="P898" s="23"/>
      <c r="Q898" s="1">
        <f t="shared" si="432"/>
        <v>0.60744618579017706</v>
      </c>
      <c r="R898" s="12">
        <f t="shared" ca="1" si="449"/>
        <v>26042</v>
      </c>
      <c r="S898" s="88">
        <f t="shared" si="428"/>
        <v>0</v>
      </c>
      <c r="T898" s="19">
        <f t="shared" si="450"/>
        <v>0</v>
      </c>
      <c r="U898" s="19">
        <f t="shared" si="451"/>
        <v>0</v>
      </c>
      <c r="V898" s="19">
        <f t="shared" si="437"/>
        <v>0</v>
      </c>
      <c r="W898" s="20">
        <f t="shared" ca="1" si="452"/>
        <v>0</v>
      </c>
      <c r="X898" s="19">
        <f t="shared" ca="1" si="453"/>
        <v>0</v>
      </c>
      <c r="Y898" s="19">
        <f t="shared" ca="1" si="454"/>
        <v>0</v>
      </c>
      <c r="Z898" s="20">
        <f t="shared" ca="1" si="455"/>
        <v>0</v>
      </c>
      <c r="AA898" s="1">
        <f t="shared" si="433"/>
        <v>5432.58</v>
      </c>
      <c r="AB898" s="93"/>
      <c r="AC898" s="94"/>
      <c r="AD898" s="101">
        <f t="shared" si="434"/>
        <v>67164</v>
      </c>
      <c r="AE898" s="103">
        <f t="shared" si="435"/>
        <v>0</v>
      </c>
      <c r="AG898" s="1">
        <f t="shared" si="456"/>
        <v>0</v>
      </c>
      <c r="AH898" s="1">
        <f t="shared" si="457"/>
        <v>0</v>
      </c>
      <c r="AI898" s="1">
        <f t="shared" si="436"/>
        <v>5432.58</v>
      </c>
      <c r="AJ898" s="20">
        <f t="shared" si="438"/>
        <v>0</v>
      </c>
      <c r="AK898" s="100">
        <f t="shared" si="440"/>
        <v>0</v>
      </c>
      <c r="AL898" s="100">
        <f t="shared" si="441"/>
        <v>0</v>
      </c>
      <c r="AN898" s="100">
        <f t="shared" si="442"/>
        <v>3499.5457697181087</v>
      </c>
      <c r="AO898" s="20">
        <f t="shared" si="443"/>
        <v>0</v>
      </c>
      <c r="AQ898" s="109">
        <f t="shared" si="444"/>
        <v>0</v>
      </c>
      <c r="AU898" s="109">
        <f t="shared" si="429"/>
        <v>25.073824899197991</v>
      </c>
      <c r="AV898" s="101">
        <f t="shared" si="445"/>
        <v>67194</v>
      </c>
      <c r="AW898" s="99">
        <f t="shared" si="446"/>
        <v>0</v>
      </c>
      <c r="AX898" s="1">
        <f t="shared" si="447"/>
        <v>0</v>
      </c>
      <c r="AY898" s="29">
        <f t="shared" si="448"/>
        <v>0</v>
      </c>
      <c r="AZ898" s="1">
        <f t="shared" si="430"/>
        <v>0</v>
      </c>
      <c r="CB898" s="20">
        <f t="shared" si="439"/>
        <v>0</v>
      </c>
      <c r="CC898" s="173">
        <f t="shared" si="431"/>
        <v>0</v>
      </c>
    </row>
    <row r="899" spans="10:81" x14ac:dyDescent="0.25">
      <c r="J899" s="7"/>
      <c r="K899" s="8"/>
      <c r="L899" s="16"/>
      <c r="M899" s="22"/>
      <c r="N899" s="22"/>
      <c r="O899" s="22"/>
      <c r="P899" s="22"/>
      <c r="Q899" s="1">
        <f t="shared" si="432"/>
        <v>0.60744618579017706</v>
      </c>
      <c r="R899" s="12">
        <f t="shared" ca="1" si="449"/>
        <v>26072</v>
      </c>
      <c r="S899" s="88">
        <f t="shared" ref="S899:S962" si="458">N899+M899</f>
        <v>0</v>
      </c>
      <c r="T899" s="19">
        <f t="shared" si="450"/>
        <v>0</v>
      </c>
      <c r="U899" s="19">
        <f t="shared" si="451"/>
        <v>0</v>
      </c>
      <c r="V899" s="19">
        <f t="shared" si="437"/>
        <v>0</v>
      </c>
      <c r="W899" s="20">
        <f t="shared" ca="1" si="452"/>
        <v>0</v>
      </c>
      <c r="X899" s="19">
        <f t="shared" ca="1" si="453"/>
        <v>0</v>
      </c>
      <c r="Y899" s="19">
        <f t="shared" ca="1" si="454"/>
        <v>0</v>
      </c>
      <c r="Z899" s="20">
        <f t="shared" ca="1" si="455"/>
        <v>0</v>
      </c>
      <c r="AA899" s="1">
        <f t="shared" si="433"/>
        <v>5432.58</v>
      </c>
      <c r="AB899" s="91"/>
      <c r="AC899" s="92"/>
      <c r="AD899" s="101">
        <f t="shared" si="434"/>
        <v>67194</v>
      </c>
      <c r="AE899" s="103">
        <f t="shared" si="435"/>
        <v>0</v>
      </c>
      <c r="AG899" s="1">
        <f t="shared" si="456"/>
        <v>0</v>
      </c>
      <c r="AH899" s="1">
        <f t="shared" si="457"/>
        <v>0</v>
      </c>
      <c r="AI899" s="1">
        <f t="shared" si="436"/>
        <v>5432.58</v>
      </c>
      <c r="AJ899" s="20">
        <f t="shared" si="438"/>
        <v>0</v>
      </c>
      <c r="AK899" s="100">
        <f t="shared" si="440"/>
        <v>0</v>
      </c>
      <c r="AL899" s="100">
        <f t="shared" si="441"/>
        <v>0</v>
      </c>
      <c r="AN899" s="100">
        <f t="shared" si="442"/>
        <v>3497.775177892639</v>
      </c>
      <c r="AO899" s="20">
        <f t="shared" si="443"/>
        <v>0</v>
      </c>
      <c r="AQ899" s="109">
        <f t="shared" si="444"/>
        <v>0</v>
      </c>
      <c r="AU899" s="109">
        <f t="shared" si="429"/>
        <v>25.07162416774327</v>
      </c>
      <c r="AV899" s="101">
        <f t="shared" si="445"/>
        <v>67224</v>
      </c>
      <c r="AW899" s="99">
        <f t="shared" si="446"/>
        <v>0</v>
      </c>
      <c r="AX899" s="1">
        <f t="shared" si="447"/>
        <v>0</v>
      </c>
      <c r="AY899" s="29">
        <f t="shared" si="448"/>
        <v>0</v>
      </c>
      <c r="AZ899" s="1">
        <f t="shared" si="430"/>
        <v>0</v>
      </c>
      <c r="CB899" s="20">
        <f t="shared" si="439"/>
        <v>0</v>
      </c>
      <c r="CC899" s="173">
        <f t="shared" si="431"/>
        <v>0</v>
      </c>
    </row>
    <row r="900" spans="10:81" x14ac:dyDescent="0.25">
      <c r="J900" s="9"/>
      <c r="K900" s="10"/>
      <c r="L900" s="17"/>
      <c r="M900" s="23"/>
      <c r="N900" s="23"/>
      <c r="O900" s="23"/>
      <c r="P900" s="23"/>
      <c r="Q900" s="1">
        <f t="shared" si="432"/>
        <v>0.60744618579017706</v>
      </c>
      <c r="R900" s="12">
        <f t="shared" ca="1" si="449"/>
        <v>26102</v>
      </c>
      <c r="S900" s="88">
        <f t="shared" si="458"/>
        <v>0</v>
      </c>
      <c r="T900" s="19">
        <f t="shared" si="450"/>
        <v>0</v>
      </c>
      <c r="U900" s="19">
        <f t="shared" si="451"/>
        <v>0</v>
      </c>
      <c r="V900" s="19">
        <f t="shared" si="437"/>
        <v>0</v>
      </c>
      <c r="W900" s="20">
        <f t="shared" ca="1" si="452"/>
        <v>0</v>
      </c>
      <c r="X900" s="19">
        <f t="shared" ca="1" si="453"/>
        <v>0</v>
      </c>
      <c r="Y900" s="19">
        <f t="shared" ca="1" si="454"/>
        <v>0</v>
      </c>
      <c r="Z900" s="20">
        <f t="shared" ca="1" si="455"/>
        <v>0</v>
      </c>
      <c r="AA900" s="1">
        <f t="shared" si="433"/>
        <v>5432.58</v>
      </c>
      <c r="AB900" s="93"/>
      <c r="AC900" s="94"/>
      <c r="AD900" s="101">
        <f t="shared" si="434"/>
        <v>67224</v>
      </c>
      <c r="AE900" s="103">
        <f t="shared" si="435"/>
        <v>0</v>
      </c>
      <c r="AG900" s="1">
        <f t="shared" si="456"/>
        <v>0</v>
      </c>
      <c r="AH900" s="1">
        <f t="shared" si="457"/>
        <v>0</v>
      </c>
      <c r="AI900" s="1">
        <f t="shared" si="436"/>
        <v>5432.58</v>
      </c>
      <c r="AJ900" s="20">
        <f t="shared" si="438"/>
        <v>0</v>
      </c>
      <c r="AK900" s="100">
        <f t="shared" si="440"/>
        <v>0</v>
      </c>
      <c r="AL900" s="100">
        <f t="shared" si="441"/>
        <v>0</v>
      </c>
      <c r="AN900" s="100">
        <f t="shared" si="442"/>
        <v>3496.0054818964059</v>
      </c>
      <c r="AO900" s="20">
        <f t="shared" si="443"/>
        <v>0</v>
      </c>
      <c r="AQ900" s="109">
        <f t="shared" si="444"/>
        <v>0</v>
      </c>
      <c r="AU900" s="109">
        <f t="shared" si="429"/>
        <v>25.069423629446916</v>
      </c>
      <c r="AV900" s="101">
        <f t="shared" si="445"/>
        <v>67254</v>
      </c>
      <c r="AW900" s="99">
        <f t="shared" si="446"/>
        <v>0</v>
      </c>
      <c r="AX900" s="1">
        <f t="shared" si="447"/>
        <v>0</v>
      </c>
      <c r="AY900" s="29">
        <f t="shared" si="448"/>
        <v>0</v>
      </c>
      <c r="AZ900" s="1">
        <f t="shared" si="430"/>
        <v>0</v>
      </c>
      <c r="CB900" s="20">
        <f t="shared" si="439"/>
        <v>0</v>
      </c>
      <c r="CC900" s="173">
        <f t="shared" si="431"/>
        <v>0</v>
      </c>
    </row>
    <row r="901" spans="10:81" x14ac:dyDescent="0.25">
      <c r="J901" s="7"/>
      <c r="K901" s="8"/>
      <c r="L901" s="16"/>
      <c r="M901" s="22"/>
      <c r="N901" s="22"/>
      <c r="O901" s="22"/>
      <c r="P901" s="22"/>
      <c r="Q901" s="1">
        <f t="shared" si="432"/>
        <v>0.60744618579017706</v>
      </c>
      <c r="R901" s="12">
        <f t="shared" ca="1" si="449"/>
        <v>26132</v>
      </c>
      <c r="S901" s="88">
        <f t="shared" si="458"/>
        <v>0</v>
      </c>
      <c r="T901" s="19">
        <f t="shared" si="450"/>
        <v>0</v>
      </c>
      <c r="U901" s="19">
        <f t="shared" si="451"/>
        <v>0</v>
      </c>
      <c r="V901" s="19">
        <f t="shared" si="437"/>
        <v>0</v>
      </c>
      <c r="W901" s="20">
        <f t="shared" ca="1" si="452"/>
        <v>0</v>
      </c>
      <c r="X901" s="19">
        <f t="shared" ca="1" si="453"/>
        <v>0</v>
      </c>
      <c r="Y901" s="19">
        <f t="shared" ca="1" si="454"/>
        <v>0</v>
      </c>
      <c r="Z901" s="20">
        <f t="shared" ca="1" si="455"/>
        <v>0</v>
      </c>
      <c r="AA901" s="1">
        <f t="shared" si="433"/>
        <v>5432.58</v>
      </c>
      <c r="AB901" s="91"/>
      <c r="AC901" s="92"/>
      <c r="AD901" s="101">
        <f t="shared" si="434"/>
        <v>67254</v>
      </c>
      <c r="AE901" s="103">
        <f t="shared" si="435"/>
        <v>0</v>
      </c>
      <c r="AG901" s="1">
        <f t="shared" si="456"/>
        <v>0</v>
      </c>
      <c r="AH901" s="1">
        <f t="shared" si="457"/>
        <v>0</v>
      </c>
      <c r="AI901" s="1">
        <f t="shared" si="436"/>
        <v>5432.58</v>
      </c>
      <c r="AJ901" s="20">
        <f t="shared" si="438"/>
        <v>0</v>
      </c>
      <c r="AK901" s="100">
        <f t="shared" si="440"/>
        <v>0</v>
      </c>
      <c r="AL901" s="100">
        <f t="shared" si="441"/>
        <v>0</v>
      </c>
      <c r="AN901" s="100">
        <f t="shared" si="442"/>
        <v>3494.2366812761643</v>
      </c>
      <c r="AO901" s="20">
        <f t="shared" si="443"/>
        <v>0</v>
      </c>
      <c r="AQ901" s="109">
        <f t="shared" si="444"/>
        <v>0</v>
      </c>
      <c r="AU901" s="109">
        <f t="shared" si="429"/>
        <v>25.06722328429197</v>
      </c>
      <c r="AV901" s="101">
        <f t="shared" si="445"/>
        <v>67284</v>
      </c>
      <c r="AW901" s="99">
        <f t="shared" si="446"/>
        <v>0</v>
      </c>
      <c r="AX901" s="1">
        <f t="shared" si="447"/>
        <v>0</v>
      </c>
      <c r="AY901" s="29">
        <f t="shared" si="448"/>
        <v>0</v>
      </c>
      <c r="AZ901" s="1">
        <f t="shared" si="430"/>
        <v>0</v>
      </c>
      <c r="CB901" s="20">
        <f t="shared" si="439"/>
        <v>0</v>
      </c>
      <c r="CC901" s="173">
        <f t="shared" si="431"/>
        <v>0</v>
      </c>
    </row>
    <row r="902" spans="10:81" x14ac:dyDescent="0.25">
      <c r="J902" s="9"/>
      <c r="K902" s="10"/>
      <c r="L902" s="17"/>
      <c r="M902" s="23"/>
      <c r="N902" s="23"/>
      <c r="O902" s="23"/>
      <c r="P902" s="23"/>
      <c r="Q902" s="1">
        <f t="shared" si="432"/>
        <v>0.60744618579017706</v>
      </c>
      <c r="R902" s="12">
        <f t="shared" ca="1" si="449"/>
        <v>26162</v>
      </c>
      <c r="S902" s="88">
        <f t="shared" si="458"/>
        <v>0</v>
      </c>
      <c r="T902" s="19">
        <f t="shared" si="450"/>
        <v>0</v>
      </c>
      <c r="U902" s="19">
        <f t="shared" si="451"/>
        <v>0</v>
      </c>
      <c r="V902" s="19">
        <f t="shared" si="437"/>
        <v>0</v>
      </c>
      <c r="W902" s="20">
        <f t="shared" ca="1" si="452"/>
        <v>0</v>
      </c>
      <c r="X902" s="19">
        <f t="shared" ca="1" si="453"/>
        <v>0</v>
      </c>
      <c r="Y902" s="19">
        <f t="shared" ca="1" si="454"/>
        <v>0</v>
      </c>
      <c r="Z902" s="20">
        <f t="shared" ca="1" si="455"/>
        <v>0</v>
      </c>
      <c r="AA902" s="1">
        <f t="shared" si="433"/>
        <v>5432.58</v>
      </c>
      <c r="AB902" s="93"/>
      <c r="AC902" s="94"/>
      <c r="AD902" s="101">
        <f t="shared" si="434"/>
        <v>67284</v>
      </c>
      <c r="AE902" s="103">
        <f t="shared" si="435"/>
        <v>0</v>
      </c>
      <c r="AG902" s="1">
        <f t="shared" si="456"/>
        <v>0</v>
      </c>
      <c r="AH902" s="1">
        <f t="shared" si="457"/>
        <v>0</v>
      </c>
      <c r="AI902" s="1">
        <f t="shared" si="436"/>
        <v>5432.58</v>
      </c>
      <c r="AJ902" s="20">
        <f t="shared" si="438"/>
        <v>0</v>
      </c>
      <c r="AK902" s="100">
        <f t="shared" si="440"/>
        <v>0</v>
      </c>
      <c r="AL902" s="100">
        <f t="shared" si="441"/>
        <v>0</v>
      </c>
      <c r="AN902" s="100">
        <f t="shared" si="442"/>
        <v>3492.4687755789</v>
      </c>
      <c r="AO902" s="20">
        <f t="shared" si="443"/>
        <v>0</v>
      </c>
      <c r="AQ902" s="109">
        <f t="shared" si="444"/>
        <v>0</v>
      </c>
      <c r="AU902" s="109">
        <f t="shared" si="429"/>
        <v>25.065023132261469</v>
      </c>
      <c r="AV902" s="101">
        <f t="shared" si="445"/>
        <v>67314</v>
      </c>
      <c r="AW902" s="99">
        <f t="shared" si="446"/>
        <v>0</v>
      </c>
      <c r="AX902" s="1">
        <f t="shared" si="447"/>
        <v>0</v>
      </c>
      <c r="AY902" s="29">
        <f t="shared" si="448"/>
        <v>0</v>
      </c>
      <c r="AZ902" s="1">
        <f t="shared" si="430"/>
        <v>0</v>
      </c>
      <c r="CB902" s="20">
        <f t="shared" si="439"/>
        <v>0</v>
      </c>
      <c r="CC902" s="173">
        <f t="shared" si="431"/>
        <v>0</v>
      </c>
    </row>
    <row r="903" spans="10:81" x14ac:dyDescent="0.25">
      <c r="J903" s="7"/>
      <c r="K903" s="8"/>
      <c r="L903" s="16"/>
      <c r="M903" s="22"/>
      <c r="N903" s="22"/>
      <c r="O903" s="22"/>
      <c r="P903" s="22"/>
      <c r="Q903" s="1">
        <f t="shared" si="432"/>
        <v>0.60744618579017706</v>
      </c>
      <c r="R903" s="12">
        <f t="shared" ca="1" si="449"/>
        <v>26192</v>
      </c>
      <c r="S903" s="88">
        <f t="shared" si="458"/>
        <v>0</v>
      </c>
      <c r="T903" s="19">
        <f t="shared" si="450"/>
        <v>0</v>
      </c>
      <c r="U903" s="19">
        <f t="shared" si="451"/>
        <v>0</v>
      </c>
      <c r="V903" s="19">
        <f t="shared" si="437"/>
        <v>0</v>
      </c>
      <c r="W903" s="20">
        <f t="shared" ca="1" si="452"/>
        <v>0</v>
      </c>
      <c r="X903" s="19">
        <f t="shared" ca="1" si="453"/>
        <v>0</v>
      </c>
      <c r="Y903" s="19">
        <f t="shared" ca="1" si="454"/>
        <v>0</v>
      </c>
      <c r="Z903" s="20">
        <f t="shared" ca="1" si="455"/>
        <v>0</v>
      </c>
      <c r="AA903" s="1">
        <f t="shared" si="433"/>
        <v>5432.58</v>
      </c>
      <c r="AB903" s="91"/>
      <c r="AC903" s="92"/>
      <c r="AD903" s="101">
        <f t="shared" si="434"/>
        <v>67314</v>
      </c>
      <c r="AE903" s="103">
        <f t="shared" si="435"/>
        <v>0</v>
      </c>
      <c r="AG903" s="1">
        <f t="shared" si="456"/>
        <v>0</v>
      </c>
      <c r="AH903" s="1">
        <f t="shared" si="457"/>
        <v>0</v>
      </c>
      <c r="AI903" s="1">
        <f t="shared" si="436"/>
        <v>5432.58</v>
      </c>
      <c r="AJ903" s="20">
        <f t="shared" si="438"/>
        <v>0</v>
      </c>
      <c r="AK903" s="100">
        <f t="shared" si="440"/>
        <v>0</v>
      </c>
      <c r="AL903" s="100">
        <f t="shared" si="441"/>
        <v>0</v>
      </c>
      <c r="AN903" s="100">
        <f t="shared" si="442"/>
        <v>3490.7017643518284</v>
      </c>
      <c r="AO903" s="20">
        <f t="shared" si="443"/>
        <v>0</v>
      </c>
      <c r="AQ903" s="109">
        <f t="shared" si="444"/>
        <v>0</v>
      </c>
      <c r="AU903" s="109">
        <f t="shared" si="429"/>
        <v>25.062823173338472</v>
      </c>
      <c r="AV903" s="101">
        <f t="shared" si="445"/>
        <v>67344</v>
      </c>
      <c r="AW903" s="99">
        <f t="shared" si="446"/>
        <v>0</v>
      </c>
      <c r="AX903" s="1">
        <f t="shared" si="447"/>
        <v>0</v>
      </c>
      <c r="AY903" s="29">
        <f t="shared" si="448"/>
        <v>0</v>
      </c>
      <c r="AZ903" s="1">
        <f t="shared" si="430"/>
        <v>0</v>
      </c>
      <c r="CB903" s="20">
        <f t="shared" si="439"/>
        <v>0</v>
      </c>
      <c r="CC903" s="173">
        <f t="shared" si="431"/>
        <v>0</v>
      </c>
    </row>
    <row r="904" spans="10:81" x14ac:dyDescent="0.25">
      <c r="J904" s="9"/>
      <c r="K904" s="10"/>
      <c r="L904" s="17"/>
      <c r="M904" s="23"/>
      <c r="N904" s="23"/>
      <c r="O904" s="23"/>
      <c r="P904" s="23"/>
      <c r="Q904" s="1">
        <f t="shared" si="432"/>
        <v>0.60744618579017706</v>
      </c>
      <c r="R904" s="12">
        <f t="shared" ca="1" si="449"/>
        <v>26222</v>
      </c>
      <c r="S904" s="88">
        <f t="shared" si="458"/>
        <v>0</v>
      </c>
      <c r="T904" s="19">
        <f t="shared" si="450"/>
        <v>0</v>
      </c>
      <c r="U904" s="19">
        <f t="shared" si="451"/>
        <v>0</v>
      </c>
      <c r="V904" s="19">
        <f t="shared" si="437"/>
        <v>0</v>
      </c>
      <c r="W904" s="20">
        <f t="shared" ca="1" si="452"/>
        <v>0</v>
      </c>
      <c r="X904" s="19">
        <f t="shared" ca="1" si="453"/>
        <v>0</v>
      </c>
      <c r="Y904" s="19">
        <f t="shared" ca="1" si="454"/>
        <v>0</v>
      </c>
      <c r="Z904" s="20">
        <f t="shared" ca="1" si="455"/>
        <v>0</v>
      </c>
      <c r="AA904" s="1">
        <f t="shared" si="433"/>
        <v>5432.58</v>
      </c>
      <c r="AB904" s="93"/>
      <c r="AC904" s="94"/>
      <c r="AD904" s="101">
        <f t="shared" si="434"/>
        <v>67344</v>
      </c>
      <c r="AE904" s="103">
        <f t="shared" si="435"/>
        <v>0</v>
      </c>
      <c r="AG904" s="1">
        <f t="shared" si="456"/>
        <v>0</v>
      </c>
      <c r="AH904" s="1">
        <f t="shared" si="457"/>
        <v>0</v>
      </c>
      <c r="AI904" s="1">
        <f t="shared" si="436"/>
        <v>5432.58</v>
      </c>
      <c r="AJ904" s="20">
        <f t="shared" si="438"/>
        <v>0</v>
      </c>
      <c r="AK904" s="100">
        <f t="shared" si="440"/>
        <v>0</v>
      </c>
      <c r="AL904" s="100">
        <f t="shared" si="441"/>
        <v>0</v>
      </c>
      <c r="AN904" s="100">
        <f t="shared" si="442"/>
        <v>3488.9356471423916</v>
      </c>
      <c r="AO904" s="20">
        <f t="shared" si="443"/>
        <v>0</v>
      </c>
      <c r="AQ904" s="109">
        <f t="shared" si="444"/>
        <v>0</v>
      </c>
      <c r="AU904" s="109">
        <f t="shared" si="429"/>
        <v>25.060623407506043</v>
      </c>
      <c r="AV904" s="101">
        <f t="shared" si="445"/>
        <v>67374</v>
      </c>
      <c r="AW904" s="99">
        <f t="shared" si="446"/>
        <v>0</v>
      </c>
      <c r="AX904" s="1">
        <f t="shared" si="447"/>
        <v>0</v>
      </c>
      <c r="AY904" s="29">
        <f t="shared" si="448"/>
        <v>0</v>
      </c>
      <c r="AZ904" s="1">
        <f t="shared" si="430"/>
        <v>0</v>
      </c>
      <c r="CB904" s="20">
        <f t="shared" si="439"/>
        <v>0</v>
      </c>
      <c r="CC904" s="173">
        <f t="shared" si="431"/>
        <v>0</v>
      </c>
    </row>
    <row r="905" spans="10:81" x14ac:dyDescent="0.25">
      <c r="J905" s="7"/>
      <c r="K905" s="8"/>
      <c r="L905" s="16"/>
      <c r="M905" s="22"/>
      <c r="N905" s="22"/>
      <c r="O905" s="22"/>
      <c r="P905" s="22"/>
      <c r="Q905" s="1">
        <f t="shared" si="432"/>
        <v>0.60744618579017706</v>
      </c>
      <c r="R905" s="12">
        <f t="shared" ca="1" si="449"/>
        <v>26252</v>
      </c>
      <c r="S905" s="88">
        <f t="shared" si="458"/>
        <v>0</v>
      </c>
      <c r="T905" s="19">
        <f t="shared" si="450"/>
        <v>0</v>
      </c>
      <c r="U905" s="19">
        <f t="shared" si="451"/>
        <v>0</v>
      </c>
      <c r="V905" s="19">
        <f t="shared" si="437"/>
        <v>0</v>
      </c>
      <c r="W905" s="20">
        <f t="shared" ca="1" si="452"/>
        <v>0</v>
      </c>
      <c r="X905" s="19">
        <f t="shared" ca="1" si="453"/>
        <v>0</v>
      </c>
      <c r="Y905" s="19">
        <f t="shared" ca="1" si="454"/>
        <v>0</v>
      </c>
      <c r="Z905" s="20">
        <f t="shared" ca="1" si="455"/>
        <v>0</v>
      </c>
      <c r="AA905" s="1">
        <f t="shared" si="433"/>
        <v>5432.58</v>
      </c>
      <c r="AB905" s="91"/>
      <c r="AC905" s="92"/>
      <c r="AD905" s="101">
        <f t="shared" si="434"/>
        <v>67374</v>
      </c>
      <c r="AE905" s="103">
        <f t="shared" si="435"/>
        <v>0</v>
      </c>
      <c r="AG905" s="1">
        <f t="shared" si="456"/>
        <v>0</v>
      </c>
      <c r="AH905" s="1">
        <f t="shared" si="457"/>
        <v>0</v>
      </c>
      <c r="AI905" s="1">
        <f t="shared" si="436"/>
        <v>5432.58</v>
      </c>
      <c r="AJ905" s="20">
        <f t="shared" si="438"/>
        <v>0</v>
      </c>
      <c r="AK905" s="100">
        <f t="shared" si="440"/>
        <v>0</v>
      </c>
      <c r="AL905" s="100">
        <f t="shared" si="441"/>
        <v>0</v>
      </c>
      <c r="AN905" s="100">
        <f t="shared" si="442"/>
        <v>3487.1704234982617</v>
      </c>
      <c r="AO905" s="20">
        <f t="shared" si="443"/>
        <v>0</v>
      </c>
      <c r="AQ905" s="109">
        <f t="shared" si="444"/>
        <v>0</v>
      </c>
      <c r="AU905" s="109">
        <f t="shared" si="429"/>
        <v>25.058423834747213</v>
      </c>
      <c r="AV905" s="101">
        <f t="shared" si="445"/>
        <v>67404</v>
      </c>
      <c r="AW905" s="99">
        <f t="shared" si="446"/>
        <v>0</v>
      </c>
      <c r="AX905" s="1">
        <f t="shared" si="447"/>
        <v>0</v>
      </c>
      <c r="AY905" s="29">
        <f t="shared" si="448"/>
        <v>0</v>
      </c>
      <c r="AZ905" s="1">
        <f t="shared" si="430"/>
        <v>0</v>
      </c>
      <c r="CB905" s="20">
        <f t="shared" si="439"/>
        <v>0</v>
      </c>
      <c r="CC905" s="173">
        <f t="shared" si="431"/>
        <v>0</v>
      </c>
    </row>
    <row r="906" spans="10:81" x14ac:dyDescent="0.25">
      <c r="J906" s="9"/>
      <c r="K906" s="10"/>
      <c r="L906" s="17"/>
      <c r="M906" s="23"/>
      <c r="N906" s="23"/>
      <c r="O906" s="23"/>
      <c r="P906" s="23"/>
      <c r="Q906" s="1">
        <f t="shared" si="432"/>
        <v>0.60744618579017706</v>
      </c>
      <c r="R906" s="12">
        <f t="shared" ca="1" si="449"/>
        <v>26282</v>
      </c>
      <c r="S906" s="88">
        <f t="shared" si="458"/>
        <v>0</v>
      </c>
      <c r="T906" s="19">
        <f t="shared" si="450"/>
        <v>0</v>
      </c>
      <c r="U906" s="19">
        <f t="shared" si="451"/>
        <v>0</v>
      </c>
      <c r="V906" s="19">
        <f t="shared" si="437"/>
        <v>0</v>
      </c>
      <c r="W906" s="20">
        <f t="shared" ca="1" si="452"/>
        <v>0</v>
      </c>
      <c r="X906" s="19">
        <f t="shared" ca="1" si="453"/>
        <v>0</v>
      </c>
      <c r="Y906" s="19">
        <f t="shared" ca="1" si="454"/>
        <v>0</v>
      </c>
      <c r="Z906" s="20">
        <f t="shared" ca="1" si="455"/>
        <v>0</v>
      </c>
      <c r="AA906" s="1">
        <f t="shared" si="433"/>
        <v>5432.58</v>
      </c>
      <c r="AB906" s="93"/>
      <c r="AC906" s="94"/>
      <c r="AD906" s="101">
        <f t="shared" si="434"/>
        <v>67404</v>
      </c>
      <c r="AE906" s="103">
        <f t="shared" si="435"/>
        <v>0</v>
      </c>
      <c r="AG906" s="1">
        <f t="shared" si="456"/>
        <v>0</v>
      </c>
      <c r="AH906" s="1">
        <f t="shared" si="457"/>
        <v>0</v>
      </c>
      <c r="AI906" s="1">
        <f t="shared" si="436"/>
        <v>5432.58</v>
      </c>
      <c r="AJ906" s="20">
        <f t="shared" si="438"/>
        <v>0</v>
      </c>
      <c r="AK906" s="100">
        <f t="shared" si="440"/>
        <v>0</v>
      </c>
      <c r="AL906" s="100">
        <f t="shared" si="441"/>
        <v>0</v>
      </c>
      <c r="AN906" s="100">
        <f t="shared" si="442"/>
        <v>3485.4060929673415</v>
      </c>
      <c r="AO906" s="20">
        <f t="shared" si="443"/>
        <v>0</v>
      </c>
      <c r="AQ906" s="109">
        <f t="shared" si="444"/>
        <v>0</v>
      </c>
      <c r="AU906" s="109">
        <f t="shared" si="429"/>
        <v>25.056224455045051</v>
      </c>
      <c r="AV906" s="101">
        <f t="shared" si="445"/>
        <v>67434</v>
      </c>
      <c r="AW906" s="99">
        <f t="shared" si="446"/>
        <v>0</v>
      </c>
      <c r="AX906" s="1">
        <f t="shared" si="447"/>
        <v>0</v>
      </c>
      <c r="AY906" s="29">
        <f t="shared" si="448"/>
        <v>0</v>
      </c>
      <c r="AZ906" s="1">
        <f t="shared" si="430"/>
        <v>0</v>
      </c>
      <c r="CB906" s="20">
        <f t="shared" si="439"/>
        <v>0</v>
      </c>
      <c r="CC906" s="173">
        <f t="shared" si="431"/>
        <v>0</v>
      </c>
    </row>
    <row r="907" spans="10:81" x14ac:dyDescent="0.25">
      <c r="J907" s="7"/>
      <c r="K907" s="8"/>
      <c r="L907" s="16"/>
      <c r="M907" s="22"/>
      <c r="N907" s="22"/>
      <c r="O907" s="22"/>
      <c r="P907" s="22"/>
      <c r="Q907" s="1">
        <f t="shared" si="432"/>
        <v>0.60744618579017706</v>
      </c>
      <c r="R907" s="12">
        <f t="shared" ca="1" si="449"/>
        <v>26312</v>
      </c>
      <c r="S907" s="88">
        <f t="shared" si="458"/>
        <v>0</v>
      </c>
      <c r="T907" s="19">
        <f t="shared" si="450"/>
        <v>0</v>
      </c>
      <c r="U907" s="19">
        <f t="shared" si="451"/>
        <v>0</v>
      </c>
      <c r="V907" s="19">
        <f t="shared" si="437"/>
        <v>0</v>
      </c>
      <c r="W907" s="20">
        <f t="shared" ca="1" si="452"/>
        <v>0</v>
      </c>
      <c r="X907" s="19">
        <f t="shared" ca="1" si="453"/>
        <v>0</v>
      </c>
      <c r="Y907" s="19">
        <f t="shared" ca="1" si="454"/>
        <v>0</v>
      </c>
      <c r="Z907" s="20">
        <f t="shared" ca="1" si="455"/>
        <v>0</v>
      </c>
      <c r="AA907" s="1">
        <f t="shared" si="433"/>
        <v>5432.58</v>
      </c>
      <c r="AB907" s="91"/>
      <c r="AC907" s="92"/>
      <c r="AD907" s="101">
        <f t="shared" si="434"/>
        <v>67434</v>
      </c>
      <c r="AE907" s="103">
        <f t="shared" si="435"/>
        <v>0</v>
      </c>
      <c r="AG907" s="1">
        <f t="shared" si="456"/>
        <v>0</v>
      </c>
      <c r="AH907" s="1">
        <f t="shared" si="457"/>
        <v>0</v>
      </c>
      <c r="AI907" s="1">
        <f t="shared" si="436"/>
        <v>5432.58</v>
      </c>
      <c r="AJ907" s="20">
        <f t="shared" si="438"/>
        <v>0</v>
      </c>
      <c r="AK907" s="100">
        <f t="shared" si="440"/>
        <v>0</v>
      </c>
      <c r="AL907" s="100">
        <f t="shared" si="441"/>
        <v>0</v>
      </c>
      <c r="AN907" s="100">
        <f t="shared" si="442"/>
        <v>3483.6426550977631</v>
      </c>
      <c r="AO907" s="20">
        <f t="shared" si="443"/>
        <v>0</v>
      </c>
      <c r="AQ907" s="109">
        <f t="shared" si="444"/>
        <v>0</v>
      </c>
      <c r="AU907" s="109">
        <f t="shared" si="429"/>
        <v>25.054025268382613</v>
      </c>
      <c r="AV907" s="101">
        <f t="shared" si="445"/>
        <v>67464</v>
      </c>
      <c r="AW907" s="99">
        <f t="shared" si="446"/>
        <v>0</v>
      </c>
      <c r="AX907" s="1">
        <f t="shared" si="447"/>
        <v>0</v>
      </c>
      <c r="AY907" s="29">
        <f t="shared" si="448"/>
        <v>0</v>
      </c>
      <c r="AZ907" s="1">
        <f t="shared" si="430"/>
        <v>0</v>
      </c>
      <c r="CB907" s="20">
        <f t="shared" si="439"/>
        <v>0</v>
      </c>
      <c r="CC907" s="173">
        <f t="shared" si="431"/>
        <v>0</v>
      </c>
    </row>
    <row r="908" spans="10:81" x14ac:dyDescent="0.25">
      <c r="J908" s="9"/>
      <c r="K908" s="10"/>
      <c r="L908" s="17"/>
      <c r="M908" s="23"/>
      <c r="N908" s="23"/>
      <c r="O908" s="23"/>
      <c r="P908" s="23"/>
      <c r="Q908" s="1">
        <f t="shared" si="432"/>
        <v>0.60744618579017706</v>
      </c>
      <c r="R908" s="12">
        <f t="shared" ca="1" si="449"/>
        <v>26342</v>
      </c>
      <c r="S908" s="88">
        <f t="shared" si="458"/>
        <v>0</v>
      </c>
      <c r="T908" s="19">
        <f t="shared" si="450"/>
        <v>0</v>
      </c>
      <c r="U908" s="19">
        <f t="shared" si="451"/>
        <v>0</v>
      </c>
      <c r="V908" s="19">
        <f t="shared" si="437"/>
        <v>0</v>
      </c>
      <c r="W908" s="20">
        <f t="shared" ca="1" si="452"/>
        <v>0</v>
      </c>
      <c r="X908" s="19">
        <f t="shared" ca="1" si="453"/>
        <v>0</v>
      </c>
      <c r="Y908" s="19">
        <f t="shared" ca="1" si="454"/>
        <v>0</v>
      </c>
      <c r="Z908" s="20">
        <f t="shared" ca="1" si="455"/>
        <v>0</v>
      </c>
      <c r="AA908" s="1">
        <f t="shared" si="433"/>
        <v>5432.58</v>
      </c>
      <c r="AB908" s="93"/>
      <c r="AC908" s="94"/>
      <c r="AD908" s="101">
        <f t="shared" si="434"/>
        <v>67464</v>
      </c>
      <c r="AE908" s="103">
        <f t="shared" si="435"/>
        <v>0</v>
      </c>
      <c r="AG908" s="1">
        <f t="shared" si="456"/>
        <v>0</v>
      </c>
      <c r="AH908" s="1">
        <f t="shared" si="457"/>
        <v>0</v>
      </c>
      <c r="AI908" s="1">
        <f t="shared" si="436"/>
        <v>5432.58</v>
      </c>
      <c r="AJ908" s="20">
        <f t="shared" si="438"/>
        <v>0</v>
      </c>
      <c r="AK908" s="100">
        <f t="shared" si="440"/>
        <v>0</v>
      </c>
      <c r="AL908" s="100">
        <f t="shared" si="441"/>
        <v>0</v>
      </c>
      <c r="AN908" s="100">
        <f t="shared" si="442"/>
        <v>3481.8801094378823</v>
      </c>
      <c r="AO908" s="20">
        <f t="shared" si="443"/>
        <v>0</v>
      </c>
      <c r="AQ908" s="109">
        <f t="shared" si="444"/>
        <v>0</v>
      </c>
      <c r="AU908" s="109">
        <f t="shared" si="429"/>
        <v>25.05182627474294</v>
      </c>
      <c r="AV908" s="101">
        <f t="shared" si="445"/>
        <v>67494</v>
      </c>
      <c r="AW908" s="99">
        <f t="shared" si="446"/>
        <v>0</v>
      </c>
      <c r="AX908" s="1">
        <f t="shared" si="447"/>
        <v>0</v>
      </c>
      <c r="AY908" s="29">
        <f t="shared" si="448"/>
        <v>0</v>
      </c>
      <c r="AZ908" s="1">
        <f t="shared" si="430"/>
        <v>0</v>
      </c>
      <c r="CB908" s="20">
        <f t="shared" si="439"/>
        <v>0</v>
      </c>
      <c r="CC908" s="173">
        <f t="shared" si="431"/>
        <v>0</v>
      </c>
    </row>
    <row r="909" spans="10:81" x14ac:dyDescent="0.25">
      <c r="J909" s="7"/>
      <c r="K909" s="8"/>
      <c r="L909" s="16"/>
      <c r="M909" s="22"/>
      <c r="N909" s="22"/>
      <c r="O909" s="22"/>
      <c r="P909" s="22"/>
      <c r="Q909" s="1">
        <f t="shared" si="432"/>
        <v>0.60744618579017706</v>
      </c>
      <c r="R909" s="12">
        <f t="shared" ca="1" si="449"/>
        <v>26372</v>
      </c>
      <c r="S909" s="88">
        <f t="shared" si="458"/>
        <v>0</v>
      </c>
      <c r="T909" s="19">
        <f t="shared" si="450"/>
        <v>0</v>
      </c>
      <c r="U909" s="19">
        <f t="shared" si="451"/>
        <v>0</v>
      </c>
      <c r="V909" s="19">
        <f t="shared" si="437"/>
        <v>0</v>
      </c>
      <c r="W909" s="20">
        <f t="shared" ca="1" si="452"/>
        <v>0</v>
      </c>
      <c r="X909" s="19">
        <f t="shared" ca="1" si="453"/>
        <v>0</v>
      </c>
      <c r="Y909" s="19">
        <f t="shared" ca="1" si="454"/>
        <v>0</v>
      </c>
      <c r="Z909" s="20">
        <f t="shared" ca="1" si="455"/>
        <v>0</v>
      </c>
      <c r="AA909" s="1">
        <f t="shared" si="433"/>
        <v>5432.58</v>
      </c>
      <c r="AB909" s="91"/>
      <c r="AC909" s="92"/>
      <c r="AD909" s="101">
        <f t="shared" si="434"/>
        <v>67494</v>
      </c>
      <c r="AE909" s="103">
        <f t="shared" si="435"/>
        <v>0</v>
      </c>
      <c r="AG909" s="1">
        <f t="shared" si="456"/>
        <v>0</v>
      </c>
      <c r="AH909" s="1">
        <f t="shared" si="457"/>
        <v>0</v>
      </c>
      <c r="AI909" s="1">
        <f t="shared" si="436"/>
        <v>5432.58</v>
      </c>
      <c r="AJ909" s="20">
        <f t="shared" si="438"/>
        <v>0</v>
      </c>
      <c r="AK909" s="100">
        <f t="shared" si="440"/>
        <v>0</v>
      </c>
      <c r="AL909" s="100">
        <f t="shared" si="441"/>
        <v>0</v>
      </c>
      <c r="AN909" s="100">
        <f t="shared" si="442"/>
        <v>3480.1184555362861</v>
      </c>
      <c r="AO909" s="20">
        <f t="shared" si="443"/>
        <v>0</v>
      </c>
      <c r="AQ909" s="109">
        <f t="shared" si="444"/>
        <v>0</v>
      </c>
      <c r="AU909" s="109">
        <f t="shared" si="429"/>
        <v>25.049627474109109</v>
      </c>
      <c r="AV909" s="101">
        <f t="shared" si="445"/>
        <v>67524</v>
      </c>
      <c r="AW909" s="99">
        <f t="shared" si="446"/>
        <v>0</v>
      </c>
      <c r="AX909" s="1">
        <f t="shared" si="447"/>
        <v>0</v>
      </c>
      <c r="AY909" s="29">
        <f t="shared" si="448"/>
        <v>0</v>
      </c>
      <c r="AZ909" s="1">
        <f t="shared" si="430"/>
        <v>0</v>
      </c>
      <c r="CB909" s="20">
        <f t="shared" si="439"/>
        <v>0</v>
      </c>
      <c r="CC909" s="173">
        <f t="shared" si="431"/>
        <v>0</v>
      </c>
    </row>
    <row r="910" spans="10:81" x14ac:dyDescent="0.25">
      <c r="J910" s="9"/>
      <c r="K910" s="10"/>
      <c r="L910" s="17"/>
      <c r="M910" s="23"/>
      <c r="N910" s="23"/>
      <c r="O910" s="23"/>
      <c r="P910" s="23"/>
      <c r="Q910" s="1">
        <f t="shared" si="432"/>
        <v>0.60744618579017706</v>
      </c>
      <c r="R910" s="12">
        <f t="shared" ca="1" si="449"/>
        <v>26402</v>
      </c>
      <c r="S910" s="88">
        <f t="shared" si="458"/>
        <v>0</v>
      </c>
      <c r="T910" s="19">
        <f t="shared" si="450"/>
        <v>0</v>
      </c>
      <c r="U910" s="19">
        <f t="shared" si="451"/>
        <v>0</v>
      </c>
      <c r="V910" s="19">
        <f t="shared" si="437"/>
        <v>0</v>
      </c>
      <c r="W910" s="20">
        <f t="shared" ca="1" si="452"/>
        <v>0</v>
      </c>
      <c r="X910" s="19">
        <f t="shared" ca="1" si="453"/>
        <v>0</v>
      </c>
      <c r="Y910" s="19">
        <f t="shared" ca="1" si="454"/>
        <v>0</v>
      </c>
      <c r="Z910" s="20">
        <f t="shared" ca="1" si="455"/>
        <v>0</v>
      </c>
      <c r="AA910" s="1">
        <f t="shared" si="433"/>
        <v>5432.58</v>
      </c>
      <c r="AB910" s="93"/>
      <c r="AC910" s="94"/>
      <c r="AD910" s="101">
        <f t="shared" si="434"/>
        <v>67524</v>
      </c>
      <c r="AE910" s="103">
        <f t="shared" si="435"/>
        <v>0</v>
      </c>
      <c r="AG910" s="1">
        <f t="shared" si="456"/>
        <v>0</v>
      </c>
      <c r="AH910" s="1">
        <f t="shared" si="457"/>
        <v>0</v>
      </c>
      <c r="AI910" s="1">
        <f t="shared" si="436"/>
        <v>5432.58</v>
      </c>
      <c r="AJ910" s="20">
        <f t="shared" si="438"/>
        <v>0</v>
      </c>
      <c r="AK910" s="100">
        <f t="shared" si="440"/>
        <v>0</v>
      </c>
      <c r="AL910" s="100">
        <f t="shared" si="441"/>
        <v>0</v>
      </c>
      <c r="AN910" s="100">
        <f t="shared" si="442"/>
        <v>3478.3576929417927</v>
      </c>
      <c r="AO910" s="20">
        <f t="shared" si="443"/>
        <v>0</v>
      </c>
      <c r="AQ910" s="109">
        <f t="shared" si="444"/>
        <v>0</v>
      </c>
      <c r="AU910" s="109">
        <f t="shared" si="429"/>
        <v>25.047428866464166</v>
      </c>
      <c r="AV910" s="101">
        <f t="shared" si="445"/>
        <v>67554</v>
      </c>
      <c r="AW910" s="99">
        <f t="shared" si="446"/>
        <v>0</v>
      </c>
      <c r="AX910" s="1">
        <f t="shared" si="447"/>
        <v>0</v>
      </c>
      <c r="AY910" s="29">
        <f t="shared" si="448"/>
        <v>0</v>
      </c>
      <c r="AZ910" s="1">
        <f t="shared" si="430"/>
        <v>0</v>
      </c>
      <c r="CB910" s="20">
        <f t="shared" si="439"/>
        <v>0</v>
      </c>
      <c r="CC910" s="173">
        <f t="shared" si="431"/>
        <v>0</v>
      </c>
    </row>
    <row r="911" spans="10:81" x14ac:dyDescent="0.25">
      <c r="J911" s="7"/>
      <c r="K911" s="8"/>
      <c r="L911" s="16"/>
      <c r="M911" s="22"/>
      <c r="N911" s="22"/>
      <c r="O911" s="22"/>
      <c r="P911" s="22"/>
      <c r="Q911" s="1">
        <f t="shared" si="432"/>
        <v>0.60744618579017706</v>
      </c>
      <c r="R911" s="12">
        <f t="shared" ca="1" si="449"/>
        <v>26432</v>
      </c>
      <c r="S911" s="88">
        <f t="shared" si="458"/>
        <v>0</v>
      </c>
      <c r="T911" s="19">
        <f t="shared" si="450"/>
        <v>0</v>
      </c>
      <c r="U911" s="19">
        <f t="shared" si="451"/>
        <v>0</v>
      </c>
      <c r="V911" s="19">
        <f t="shared" si="437"/>
        <v>0</v>
      </c>
      <c r="W911" s="20">
        <f t="shared" ca="1" si="452"/>
        <v>0</v>
      </c>
      <c r="X911" s="19">
        <f t="shared" ca="1" si="453"/>
        <v>0</v>
      </c>
      <c r="Y911" s="19">
        <f t="shared" ca="1" si="454"/>
        <v>0</v>
      </c>
      <c r="Z911" s="20">
        <f t="shared" ca="1" si="455"/>
        <v>0</v>
      </c>
      <c r="AA911" s="1">
        <f t="shared" si="433"/>
        <v>5432.58</v>
      </c>
      <c r="AB911" s="91"/>
      <c r="AC911" s="92"/>
      <c r="AD911" s="101">
        <f t="shared" si="434"/>
        <v>67554</v>
      </c>
      <c r="AE911" s="103">
        <f t="shared" si="435"/>
        <v>0</v>
      </c>
      <c r="AG911" s="1">
        <f t="shared" si="456"/>
        <v>0</v>
      </c>
      <c r="AH911" s="1">
        <f t="shared" si="457"/>
        <v>0</v>
      </c>
      <c r="AI911" s="1">
        <f t="shared" si="436"/>
        <v>5432.58</v>
      </c>
      <c r="AJ911" s="20">
        <f t="shared" si="438"/>
        <v>0</v>
      </c>
      <c r="AK911" s="100">
        <f t="shared" si="440"/>
        <v>0</v>
      </c>
      <c r="AL911" s="100">
        <f t="shared" si="441"/>
        <v>0</v>
      </c>
      <c r="AN911" s="100">
        <f t="shared" si="442"/>
        <v>3476.5978212034461</v>
      </c>
      <c r="AO911" s="20">
        <f t="shared" si="443"/>
        <v>0</v>
      </c>
      <c r="AQ911" s="109">
        <f t="shared" si="444"/>
        <v>0</v>
      </c>
      <c r="AU911" s="109">
        <f t="shared" si="429"/>
        <v>25.045230451791173</v>
      </c>
      <c r="AV911" s="101">
        <f t="shared" si="445"/>
        <v>67584</v>
      </c>
      <c r="AW911" s="99">
        <f t="shared" si="446"/>
        <v>0</v>
      </c>
      <c r="AX911" s="1">
        <f t="shared" si="447"/>
        <v>0</v>
      </c>
      <c r="AY911" s="29">
        <f t="shared" si="448"/>
        <v>0</v>
      </c>
      <c r="AZ911" s="1">
        <f t="shared" si="430"/>
        <v>0</v>
      </c>
      <c r="CB911" s="20">
        <f t="shared" si="439"/>
        <v>0</v>
      </c>
      <c r="CC911" s="173">
        <f t="shared" si="431"/>
        <v>0</v>
      </c>
    </row>
    <row r="912" spans="10:81" x14ac:dyDescent="0.25">
      <c r="J912" s="9"/>
      <c r="K912" s="10"/>
      <c r="L912" s="17"/>
      <c r="M912" s="23"/>
      <c r="N912" s="23"/>
      <c r="O912" s="23"/>
      <c r="P912" s="23"/>
      <c r="Q912" s="1">
        <f t="shared" si="432"/>
        <v>0.60744618579017706</v>
      </c>
      <c r="R912" s="12">
        <f t="shared" ca="1" si="449"/>
        <v>26462</v>
      </c>
      <c r="S912" s="88">
        <f t="shared" si="458"/>
        <v>0</v>
      </c>
      <c r="T912" s="19">
        <f t="shared" si="450"/>
        <v>0</v>
      </c>
      <c r="U912" s="19">
        <f t="shared" si="451"/>
        <v>0</v>
      </c>
      <c r="V912" s="19">
        <f t="shared" si="437"/>
        <v>0</v>
      </c>
      <c r="W912" s="20">
        <f t="shared" ca="1" si="452"/>
        <v>0</v>
      </c>
      <c r="X912" s="19">
        <f t="shared" ca="1" si="453"/>
        <v>0</v>
      </c>
      <c r="Y912" s="19">
        <f t="shared" ca="1" si="454"/>
        <v>0</v>
      </c>
      <c r="Z912" s="20">
        <f t="shared" ca="1" si="455"/>
        <v>0</v>
      </c>
      <c r="AA912" s="1">
        <f t="shared" si="433"/>
        <v>5432.58</v>
      </c>
      <c r="AB912" s="93"/>
      <c r="AC912" s="94"/>
      <c r="AD912" s="101">
        <f t="shared" si="434"/>
        <v>67584</v>
      </c>
      <c r="AE912" s="103">
        <f t="shared" si="435"/>
        <v>0</v>
      </c>
      <c r="AG912" s="1">
        <f t="shared" si="456"/>
        <v>0</v>
      </c>
      <c r="AH912" s="1">
        <f t="shared" si="457"/>
        <v>0</v>
      </c>
      <c r="AI912" s="1">
        <f t="shared" si="436"/>
        <v>5432.58</v>
      </c>
      <c r="AJ912" s="20">
        <f t="shared" si="438"/>
        <v>0</v>
      </c>
      <c r="AK912" s="100">
        <f t="shared" si="440"/>
        <v>0</v>
      </c>
      <c r="AL912" s="100">
        <f t="shared" si="441"/>
        <v>0</v>
      </c>
      <c r="AN912" s="100">
        <f t="shared" si="442"/>
        <v>3474.8388398705165</v>
      </c>
      <c r="AO912" s="20">
        <f t="shared" si="443"/>
        <v>0</v>
      </c>
      <c r="AQ912" s="109">
        <f t="shared" si="444"/>
        <v>0</v>
      </c>
      <c r="AU912" s="109">
        <f t="shared" si="429"/>
        <v>25.043032230073205</v>
      </c>
      <c r="AV912" s="101">
        <f t="shared" si="445"/>
        <v>67614</v>
      </c>
      <c r="AW912" s="99">
        <f t="shared" si="446"/>
        <v>0</v>
      </c>
      <c r="AX912" s="1">
        <f t="shared" si="447"/>
        <v>0</v>
      </c>
      <c r="AY912" s="29">
        <f t="shared" si="448"/>
        <v>0</v>
      </c>
      <c r="AZ912" s="1">
        <f t="shared" si="430"/>
        <v>0</v>
      </c>
      <c r="CB912" s="20">
        <f t="shared" si="439"/>
        <v>0</v>
      </c>
      <c r="CC912" s="173">
        <f t="shared" si="431"/>
        <v>0</v>
      </c>
    </row>
    <row r="913" spans="10:81" x14ac:dyDescent="0.25">
      <c r="J913" s="7"/>
      <c r="K913" s="8"/>
      <c r="L913" s="16"/>
      <c r="M913" s="22"/>
      <c r="N913" s="22"/>
      <c r="O913" s="22"/>
      <c r="P913" s="22"/>
      <c r="Q913" s="1">
        <f t="shared" si="432"/>
        <v>0.60744618579017706</v>
      </c>
      <c r="R913" s="12">
        <f t="shared" ca="1" si="449"/>
        <v>26492</v>
      </c>
      <c r="S913" s="88">
        <f t="shared" si="458"/>
        <v>0</v>
      </c>
      <c r="T913" s="19">
        <f t="shared" si="450"/>
        <v>0</v>
      </c>
      <c r="U913" s="19">
        <f t="shared" si="451"/>
        <v>0</v>
      </c>
      <c r="V913" s="19">
        <f t="shared" si="437"/>
        <v>0</v>
      </c>
      <c r="W913" s="20">
        <f t="shared" ca="1" si="452"/>
        <v>0</v>
      </c>
      <c r="X913" s="19">
        <f t="shared" ca="1" si="453"/>
        <v>0</v>
      </c>
      <c r="Y913" s="19">
        <f t="shared" ca="1" si="454"/>
        <v>0</v>
      </c>
      <c r="Z913" s="20">
        <f t="shared" ca="1" si="455"/>
        <v>0</v>
      </c>
      <c r="AA913" s="1">
        <f t="shared" si="433"/>
        <v>5432.58</v>
      </c>
      <c r="AB913" s="91"/>
      <c r="AC913" s="92"/>
      <c r="AD913" s="101">
        <f t="shared" si="434"/>
        <v>67614</v>
      </c>
      <c r="AE913" s="103">
        <f t="shared" si="435"/>
        <v>0</v>
      </c>
      <c r="AG913" s="1">
        <f t="shared" si="456"/>
        <v>0</v>
      </c>
      <c r="AH913" s="1">
        <f t="shared" si="457"/>
        <v>0</v>
      </c>
      <c r="AI913" s="1">
        <f t="shared" si="436"/>
        <v>5432.58</v>
      </c>
      <c r="AJ913" s="20">
        <f t="shared" si="438"/>
        <v>0</v>
      </c>
      <c r="AK913" s="100">
        <f t="shared" si="440"/>
        <v>0</v>
      </c>
      <c r="AL913" s="100">
        <f t="shared" si="441"/>
        <v>0</v>
      </c>
      <c r="AN913" s="100">
        <f t="shared" si="442"/>
        <v>3473.0807484925049</v>
      </c>
      <c r="AO913" s="20">
        <f t="shared" si="443"/>
        <v>0</v>
      </c>
      <c r="AQ913" s="109">
        <f t="shared" si="444"/>
        <v>0</v>
      </c>
      <c r="AU913" s="109">
        <f t="shared" si="429"/>
        <v>25.040834201293318</v>
      </c>
      <c r="AV913" s="101">
        <f t="shared" si="445"/>
        <v>67644</v>
      </c>
      <c r="AW913" s="99">
        <f t="shared" si="446"/>
        <v>0</v>
      </c>
      <c r="AX913" s="1">
        <f t="shared" si="447"/>
        <v>0</v>
      </c>
      <c r="AY913" s="29">
        <f t="shared" si="448"/>
        <v>0</v>
      </c>
      <c r="AZ913" s="1">
        <f t="shared" si="430"/>
        <v>0</v>
      </c>
      <c r="CB913" s="20">
        <f t="shared" si="439"/>
        <v>0</v>
      </c>
      <c r="CC913" s="173">
        <f t="shared" si="431"/>
        <v>0</v>
      </c>
    </row>
    <row r="914" spans="10:81" x14ac:dyDescent="0.25">
      <c r="J914" s="9"/>
      <c r="K914" s="10"/>
      <c r="L914" s="17"/>
      <c r="M914" s="23"/>
      <c r="N914" s="23"/>
      <c r="O914" s="23"/>
      <c r="P914" s="23"/>
      <c r="Q914" s="1">
        <f t="shared" si="432"/>
        <v>0.60744618579017706</v>
      </c>
      <c r="R914" s="12">
        <f t="shared" ca="1" si="449"/>
        <v>26522</v>
      </c>
      <c r="S914" s="88">
        <f t="shared" si="458"/>
        <v>0</v>
      </c>
      <c r="T914" s="19">
        <f t="shared" si="450"/>
        <v>0</v>
      </c>
      <c r="U914" s="19">
        <f t="shared" si="451"/>
        <v>0</v>
      </c>
      <c r="V914" s="19">
        <f t="shared" si="437"/>
        <v>0</v>
      </c>
      <c r="W914" s="20">
        <f t="shared" ca="1" si="452"/>
        <v>0</v>
      </c>
      <c r="X914" s="19">
        <f t="shared" ca="1" si="453"/>
        <v>0</v>
      </c>
      <c r="Y914" s="19">
        <f t="shared" ca="1" si="454"/>
        <v>0</v>
      </c>
      <c r="Z914" s="20">
        <f t="shared" ca="1" si="455"/>
        <v>0</v>
      </c>
      <c r="AA914" s="1">
        <f t="shared" si="433"/>
        <v>5432.58</v>
      </c>
      <c r="AB914" s="93"/>
      <c r="AC914" s="94"/>
      <c r="AD914" s="101">
        <f t="shared" si="434"/>
        <v>67644</v>
      </c>
      <c r="AE914" s="103">
        <f t="shared" si="435"/>
        <v>0</v>
      </c>
      <c r="AG914" s="1">
        <f t="shared" si="456"/>
        <v>0</v>
      </c>
      <c r="AH914" s="1">
        <f t="shared" si="457"/>
        <v>0</v>
      </c>
      <c r="AI914" s="1">
        <f t="shared" si="436"/>
        <v>5432.58</v>
      </c>
      <c r="AJ914" s="20">
        <f t="shared" si="438"/>
        <v>0</v>
      </c>
      <c r="AK914" s="100">
        <f t="shared" si="440"/>
        <v>0</v>
      </c>
      <c r="AL914" s="100">
        <f t="shared" si="441"/>
        <v>0</v>
      </c>
      <c r="AN914" s="100">
        <f t="shared" si="442"/>
        <v>3471.3235466191404</v>
      </c>
      <c r="AO914" s="20">
        <f t="shared" si="443"/>
        <v>0</v>
      </c>
      <c r="AQ914" s="109">
        <f t="shared" si="444"/>
        <v>0</v>
      </c>
      <c r="AU914" s="109">
        <f t="shared" si="429"/>
        <v>25.038636365434577</v>
      </c>
      <c r="AV914" s="101">
        <f t="shared" si="445"/>
        <v>67674</v>
      </c>
      <c r="AW914" s="99">
        <f t="shared" si="446"/>
        <v>0</v>
      </c>
      <c r="AX914" s="1">
        <f t="shared" si="447"/>
        <v>0</v>
      </c>
      <c r="AY914" s="29">
        <f t="shared" si="448"/>
        <v>0</v>
      </c>
      <c r="AZ914" s="1">
        <f t="shared" si="430"/>
        <v>0</v>
      </c>
      <c r="CB914" s="20">
        <f t="shared" si="439"/>
        <v>0</v>
      </c>
      <c r="CC914" s="173">
        <f t="shared" si="431"/>
        <v>0</v>
      </c>
    </row>
    <row r="915" spans="10:81" x14ac:dyDescent="0.25">
      <c r="J915" s="7"/>
      <c r="K915" s="8"/>
      <c r="L915" s="16"/>
      <c r="M915" s="22"/>
      <c r="N915" s="22"/>
      <c r="O915" s="22"/>
      <c r="P915" s="22"/>
      <c r="Q915" s="1">
        <f t="shared" si="432"/>
        <v>0.60744618579017706</v>
      </c>
      <c r="R915" s="12">
        <f t="shared" ca="1" si="449"/>
        <v>26552</v>
      </c>
      <c r="S915" s="88">
        <f t="shared" si="458"/>
        <v>0</v>
      </c>
      <c r="T915" s="19">
        <f t="shared" si="450"/>
        <v>0</v>
      </c>
      <c r="U915" s="19">
        <f t="shared" si="451"/>
        <v>0</v>
      </c>
      <c r="V915" s="19">
        <f t="shared" si="437"/>
        <v>0</v>
      </c>
      <c r="W915" s="20">
        <f t="shared" ca="1" si="452"/>
        <v>0</v>
      </c>
      <c r="X915" s="19">
        <f t="shared" ca="1" si="453"/>
        <v>0</v>
      </c>
      <c r="Y915" s="19">
        <f t="shared" ca="1" si="454"/>
        <v>0</v>
      </c>
      <c r="Z915" s="20">
        <f t="shared" ca="1" si="455"/>
        <v>0</v>
      </c>
      <c r="AA915" s="1">
        <f t="shared" si="433"/>
        <v>5432.58</v>
      </c>
      <c r="AB915" s="91"/>
      <c r="AC915" s="92"/>
      <c r="AD915" s="101">
        <f t="shared" si="434"/>
        <v>67674</v>
      </c>
      <c r="AE915" s="103">
        <f t="shared" si="435"/>
        <v>0</v>
      </c>
      <c r="AG915" s="1">
        <f t="shared" si="456"/>
        <v>0</v>
      </c>
      <c r="AH915" s="1">
        <f t="shared" si="457"/>
        <v>0</v>
      </c>
      <c r="AI915" s="1">
        <f t="shared" si="436"/>
        <v>5432.58</v>
      </c>
      <c r="AJ915" s="20">
        <f t="shared" si="438"/>
        <v>0</v>
      </c>
      <c r="AK915" s="100">
        <f t="shared" si="440"/>
        <v>0</v>
      </c>
      <c r="AL915" s="100">
        <f t="shared" si="441"/>
        <v>0</v>
      </c>
      <c r="AN915" s="100">
        <f t="shared" si="442"/>
        <v>3469.5672338003783</v>
      </c>
      <c r="AO915" s="20">
        <f t="shared" si="443"/>
        <v>0</v>
      </c>
      <c r="AQ915" s="109">
        <f t="shared" si="444"/>
        <v>0</v>
      </c>
      <c r="AU915" s="109">
        <f t="shared" si="429"/>
        <v>25.036438722480042</v>
      </c>
      <c r="AV915" s="101">
        <f t="shared" si="445"/>
        <v>67704</v>
      </c>
      <c r="AW915" s="99">
        <f t="shared" si="446"/>
        <v>0</v>
      </c>
      <c r="AX915" s="1">
        <f t="shared" si="447"/>
        <v>0</v>
      </c>
      <c r="AY915" s="29">
        <f t="shared" si="448"/>
        <v>0</v>
      </c>
      <c r="AZ915" s="1">
        <f t="shared" si="430"/>
        <v>0</v>
      </c>
      <c r="CB915" s="20">
        <f t="shared" si="439"/>
        <v>0</v>
      </c>
      <c r="CC915" s="173">
        <f t="shared" si="431"/>
        <v>0</v>
      </c>
    </row>
    <row r="916" spans="10:81" x14ac:dyDescent="0.25">
      <c r="J916" s="9"/>
      <c r="K916" s="10"/>
      <c r="L916" s="17"/>
      <c r="M916" s="23"/>
      <c r="N916" s="23"/>
      <c r="O916" s="23"/>
      <c r="P916" s="23"/>
      <c r="Q916" s="1">
        <f t="shared" si="432"/>
        <v>0.60744618579017706</v>
      </c>
      <c r="R916" s="12">
        <f t="shared" ca="1" si="449"/>
        <v>26582</v>
      </c>
      <c r="S916" s="88">
        <f t="shared" si="458"/>
        <v>0</v>
      </c>
      <c r="T916" s="19">
        <f t="shared" si="450"/>
        <v>0</v>
      </c>
      <c r="U916" s="19">
        <f t="shared" si="451"/>
        <v>0</v>
      </c>
      <c r="V916" s="19">
        <f t="shared" si="437"/>
        <v>0</v>
      </c>
      <c r="W916" s="20">
        <f t="shared" ca="1" si="452"/>
        <v>0</v>
      </c>
      <c r="X916" s="19">
        <f t="shared" ca="1" si="453"/>
        <v>0</v>
      </c>
      <c r="Y916" s="19">
        <f t="shared" ca="1" si="454"/>
        <v>0</v>
      </c>
      <c r="Z916" s="20">
        <f t="shared" ca="1" si="455"/>
        <v>0</v>
      </c>
      <c r="AA916" s="1">
        <f t="shared" si="433"/>
        <v>5432.58</v>
      </c>
      <c r="AB916" s="93"/>
      <c r="AC916" s="94"/>
      <c r="AD916" s="101">
        <f t="shared" si="434"/>
        <v>67704</v>
      </c>
      <c r="AE916" s="103">
        <f t="shared" si="435"/>
        <v>0</v>
      </c>
      <c r="AG916" s="1">
        <f t="shared" si="456"/>
        <v>0</v>
      </c>
      <c r="AH916" s="1">
        <f t="shared" si="457"/>
        <v>0</v>
      </c>
      <c r="AI916" s="1">
        <f t="shared" si="436"/>
        <v>5432.58</v>
      </c>
      <c r="AJ916" s="20">
        <f t="shared" si="438"/>
        <v>0</v>
      </c>
      <c r="AK916" s="100">
        <f t="shared" si="440"/>
        <v>0</v>
      </c>
      <c r="AL916" s="100">
        <f t="shared" si="441"/>
        <v>0</v>
      </c>
      <c r="AN916" s="100">
        <f t="shared" si="442"/>
        <v>3467.811809586402</v>
      </c>
      <c r="AO916" s="20">
        <f t="shared" si="443"/>
        <v>0</v>
      </c>
      <c r="AQ916" s="109">
        <f t="shared" si="444"/>
        <v>0</v>
      </c>
      <c r="AU916" s="109">
        <f t="shared" si="429"/>
        <v>25.034241272412807</v>
      </c>
      <c r="AV916" s="101">
        <f t="shared" si="445"/>
        <v>67734</v>
      </c>
      <c r="AW916" s="99">
        <f t="shared" si="446"/>
        <v>0</v>
      </c>
      <c r="AX916" s="1">
        <f t="shared" si="447"/>
        <v>0</v>
      </c>
      <c r="AY916" s="29">
        <f t="shared" si="448"/>
        <v>0</v>
      </c>
      <c r="AZ916" s="1">
        <f t="shared" si="430"/>
        <v>0</v>
      </c>
      <c r="CB916" s="20">
        <f t="shared" si="439"/>
        <v>0</v>
      </c>
      <c r="CC916" s="173">
        <f t="shared" si="431"/>
        <v>0</v>
      </c>
    </row>
    <row r="917" spans="10:81" x14ac:dyDescent="0.25">
      <c r="J917" s="7"/>
      <c r="K917" s="8"/>
      <c r="L917" s="16"/>
      <c r="M917" s="22"/>
      <c r="N917" s="22"/>
      <c r="O917" s="22"/>
      <c r="P917" s="22"/>
      <c r="Q917" s="1">
        <f t="shared" si="432"/>
        <v>0.60744618579017706</v>
      </c>
      <c r="R917" s="12">
        <f t="shared" ca="1" si="449"/>
        <v>26612</v>
      </c>
      <c r="S917" s="88">
        <f t="shared" si="458"/>
        <v>0</v>
      </c>
      <c r="T917" s="19">
        <f t="shared" si="450"/>
        <v>0</v>
      </c>
      <c r="U917" s="19">
        <f t="shared" si="451"/>
        <v>0</v>
      </c>
      <c r="V917" s="19">
        <f t="shared" si="437"/>
        <v>0</v>
      </c>
      <c r="W917" s="20">
        <f t="shared" ca="1" si="452"/>
        <v>0</v>
      </c>
      <c r="X917" s="19">
        <f t="shared" ca="1" si="453"/>
        <v>0</v>
      </c>
      <c r="Y917" s="19">
        <f t="shared" ca="1" si="454"/>
        <v>0</v>
      </c>
      <c r="Z917" s="20">
        <f t="shared" ca="1" si="455"/>
        <v>0</v>
      </c>
      <c r="AA917" s="1">
        <f t="shared" si="433"/>
        <v>5432.58</v>
      </c>
      <c r="AB917" s="91"/>
      <c r="AC917" s="92"/>
      <c r="AD917" s="101">
        <f t="shared" si="434"/>
        <v>67734</v>
      </c>
      <c r="AE917" s="103">
        <f t="shared" si="435"/>
        <v>0</v>
      </c>
      <c r="AG917" s="1">
        <f t="shared" si="456"/>
        <v>0</v>
      </c>
      <c r="AH917" s="1">
        <f t="shared" si="457"/>
        <v>0</v>
      </c>
      <c r="AI917" s="1">
        <f t="shared" si="436"/>
        <v>5432.58</v>
      </c>
      <c r="AJ917" s="20">
        <f t="shared" si="438"/>
        <v>0</v>
      </c>
      <c r="AK917" s="100">
        <f t="shared" si="440"/>
        <v>0</v>
      </c>
      <c r="AL917" s="100">
        <f t="shared" si="441"/>
        <v>0</v>
      </c>
      <c r="AN917" s="100">
        <f t="shared" si="442"/>
        <v>3466.0572735276219</v>
      </c>
      <c r="AO917" s="20">
        <f t="shared" si="443"/>
        <v>0</v>
      </c>
      <c r="AQ917" s="109">
        <f t="shared" si="444"/>
        <v>0</v>
      </c>
      <c r="AU917" s="109">
        <f t="shared" si="429"/>
        <v>25.032044015215924</v>
      </c>
      <c r="AV917" s="101">
        <f t="shared" si="445"/>
        <v>67764</v>
      </c>
      <c r="AW917" s="99">
        <f t="shared" si="446"/>
        <v>0</v>
      </c>
      <c r="AX917" s="1">
        <f t="shared" si="447"/>
        <v>0</v>
      </c>
      <c r="AY917" s="29">
        <f t="shared" si="448"/>
        <v>0</v>
      </c>
      <c r="AZ917" s="1">
        <f t="shared" si="430"/>
        <v>0</v>
      </c>
      <c r="CB917" s="20">
        <f t="shared" si="439"/>
        <v>0</v>
      </c>
      <c r="CC917" s="173">
        <f t="shared" si="431"/>
        <v>0</v>
      </c>
    </row>
    <row r="918" spans="10:81" x14ac:dyDescent="0.25">
      <c r="J918" s="9"/>
      <c r="K918" s="10"/>
      <c r="L918" s="17"/>
      <c r="M918" s="23"/>
      <c r="N918" s="23"/>
      <c r="O918" s="23"/>
      <c r="P918" s="23"/>
      <c r="Q918" s="1">
        <f t="shared" si="432"/>
        <v>0.60744618579017706</v>
      </c>
      <c r="R918" s="12">
        <f t="shared" ca="1" si="449"/>
        <v>26642</v>
      </c>
      <c r="S918" s="88">
        <f t="shared" si="458"/>
        <v>0</v>
      </c>
      <c r="T918" s="19">
        <f t="shared" si="450"/>
        <v>0</v>
      </c>
      <c r="U918" s="19">
        <f t="shared" si="451"/>
        <v>0</v>
      </c>
      <c r="V918" s="19">
        <f t="shared" si="437"/>
        <v>0</v>
      </c>
      <c r="W918" s="20">
        <f t="shared" ca="1" si="452"/>
        <v>0</v>
      </c>
      <c r="X918" s="19">
        <f t="shared" ca="1" si="453"/>
        <v>0</v>
      </c>
      <c r="Y918" s="19">
        <f t="shared" ca="1" si="454"/>
        <v>0</v>
      </c>
      <c r="Z918" s="20">
        <f t="shared" ca="1" si="455"/>
        <v>0</v>
      </c>
      <c r="AA918" s="1">
        <f t="shared" si="433"/>
        <v>5432.58</v>
      </c>
      <c r="AB918" s="93"/>
      <c r="AC918" s="94"/>
      <c r="AD918" s="101">
        <f t="shared" si="434"/>
        <v>67764</v>
      </c>
      <c r="AE918" s="103">
        <f t="shared" si="435"/>
        <v>0</v>
      </c>
      <c r="AG918" s="1">
        <f t="shared" si="456"/>
        <v>0</v>
      </c>
      <c r="AH918" s="1">
        <f t="shared" si="457"/>
        <v>0</v>
      </c>
      <c r="AI918" s="1">
        <f t="shared" si="436"/>
        <v>5432.58</v>
      </c>
      <c r="AJ918" s="20">
        <f t="shared" si="438"/>
        <v>0</v>
      </c>
      <c r="AK918" s="100">
        <f t="shared" si="440"/>
        <v>0</v>
      </c>
      <c r="AL918" s="100">
        <f t="shared" si="441"/>
        <v>0</v>
      </c>
      <c r="AN918" s="100">
        <f t="shared" si="442"/>
        <v>3464.3036251746789</v>
      </c>
      <c r="AO918" s="20">
        <f t="shared" si="443"/>
        <v>0</v>
      </c>
      <c r="AQ918" s="109">
        <f t="shared" si="444"/>
        <v>0</v>
      </c>
      <c r="AU918" s="109">
        <f t="shared" si="429"/>
        <v>25.029846950872461</v>
      </c>
      <c r="AV918" s="101">
        <f t="shared" si="445"/>
        <v>67794</v>
      </c>
      <c r="AW918" s="99">
        <f t="shared" si="446"/>
        <v>0</v>
      </c>
      <c r="AX918" s="1">
        <f t="shared" si="447"/>
        <v>0</v>
      </c>
      <c r="AY918" s="29">
        <f t="shared" si="448"/>
        <v>0</v>
      </c>
      <c r="AZ918" s="1">
        <f t="shared" si="430"/>
        <v>0</v>
      </c>
      <c r="CB918" s="20">
        <f t="shared" si="439"/>
        <v>0</v>
      </c>
      <c r="CC918" s="173">
        <f t="shared" si="431"/>
        <v>0</v>
      </c>
    </row>
    <row r="919" spans="10:81" x14ac:dyDescent="0.25">
      <c r="J919" s="7"/>
      <c r="K919" s="8"/>
      <c r="L919" s="16"/>
      <c r="M919" s="22"/>
      <c r="N919" s="22"/>
      <c r="O919" s="22"/>
      <c r="P919" s="22"/>
      <c r="Q919" s="1">
        <f t="shared" si="432"/>
        <v>0.60744618579017706</v>
      </c>
      <c r="R919" s="12">
        <f t="shared" ca="1" si="449"/>
        <v>26672</v>
      </c>
      <c r="S919" s="88">
        <f t="shared" si="458"/>
        <v>0</v>
      </c>
      <c r="T919" s="19">
        <f t="shared" si="450"/>
        <v>0</v>
      </c>
      <c r="U919" s="19">
        <f t="shared" si="451"/>
        <v>0</v>
      </c>
      <c r="V919" s="19">
        <f t="shared" si="437"/>
        <v>0</v>
      </c>
      <c r="W919" s="20">
        <f t="shared" ca="1" si="452"/>
        <v>0</v>
      </c>
      <c r="X919" s="19">
        <f t="shared" ca="1" si="453"/>
        <v>0</v>
      </c>
      <c r="Y919" s="19">
        <f t="shared" ca="1" si="454"/>
        <v>0</v>
      </c>
      <c r="Z919" s="20">
        <f t="shared" ca="1" si="455"/>
        <v>0</v>
      </c>
      <c r="AA919" s="1">
        <f t="shared" si="433"/>
        <v>5432.58</v>
      </c>
      <c r="AB919" s="91"/>
      <c r="AC919" s="92"/>
      <c r="AD919" s="101">
        <f t="shared" si="434"/>
        <v>67794</v>
      </c>
      <c r="AE919" s="103">
        <f t="shared" si="435"/>
        <v>0</v>
      </c>
      <c r="AG919" s="1">
        <f t="shared" si="456"/>
        <v>0</v>
      </c>
      <c r="AH919" s="1">
        <f t="shared" si="457"/>
        <v>0</v>
      </c>
      <c r="AI919" s="1">
        <f t="shared" si="436"/>
        <v>5432.58</v>
      </c>
      <c r="AJ919" s="20">
        <f t="shared" si="438"/>
        <v>0</v>
      </c>
      <c r="AK919" s="100">
        <f t="shared" si="440"/>
        <v>0</v>
      </c>
      <c r="AL919" s="100">
        <f t="shared" si="441"/>
        <v>0</v>
      </c>
      <c r="AN919" s="100">
        <f t="shared" si="442"/>
        <v>3462.5508640784383</v>
      </c>
      <c r="AO919" s="20">
        <f t="shared" si="443"/>
        <v>0</v>
      </c>
      <c r="AQ919" s="109">
        <f t="shared" si="444"/>
        <v>0</v>
      </c>
      <c r="AU919" s="109">
        <f t="shared" si="429"/>
        <v>25.027650079365493</v>
      </c>
      <c r="AV919" s="101">
        <f t="shared" si="445"/>
        <v>67824</v>
      </c>
      <c r="AW919" s="99">
        <f t="shared" si="446"/>
        <v>0</v>
      </c>
      <c r="AX919" s="1">
        <f t="shared" si="447"/>
        <v>0</v>
      </c>
      <c r="AY919" s="29">
        <f t="shared" si="448"/>
        <v>0</v>
      </c>
      <c r="AZ919" s="1">
        <f t="shared" si="430"/>
        <v>0</v>
      </c>
      <c r="CB919" s="20">
        <f t="shared" si="439"/>
        <v>0</v>
      </c>
      <c r="CC919" s="173">
        <f t="shared" si="431"/>
        <v>0</v>
      </c>
    </row>
    <row r="920" spans="10:81" x14ac:dyDescent="0.25">
      <c r="J920" s="9"/>
      <c r="K920" s="10"/>
      <c r="L920" s="17"/>
      <c r="M920" s="23"/>
      <c r="N920" s="23"/>
      <c r="O920" s="23"/>
      <c r="P920" s="23"/>
      <c r="Q920" s="1">
        <f t="shared" si="432"/>
        <v>0.60744618579017706</v>
      </c>
      <c r="R920" s="12">
        <f t="shared" ca="1" si="449"/>
        <v>26702</v>
      </c>
      <c r="S920" s="88">
        <f t="shared" si="458"/>
        <v>0</v>
      </c>
      <c r="T920" s="19">
        <f t="shared" si="450"/>
        <v>0</v>
      </c>
      <c r="U920" s="19">
        <f t="shared" si="451"/>
        <v>0</v>
      </c>
      <c r="V920" s="19">
        <f t="shared" si="437"/>
        <v>0</v>
      </c>
      <c r="W920" s="20">
        <f t="shared" ca="1" si="452"/>
        <v>0</v>
      </c>
      <c r="X920" s="19">
        <f t="shared" ca="1" si="453"/>
        <v>0</v>
      </c>
      <c r="Y920" s="19">
        <f t="shared" ca="1" si="454"/>
        <v>0</v>
      </c>
      <c r="Z920" s="20">
        <f t="shared" ca="1" si="455"/>
        <v>0</v>
      </c>
      <c r="AA920" s="1">
        <f t="shared" si="433"/>
        <v>5432.58</v>
      </c>
      <c r="AB920" s="93"/>
      <c r="AC920" s="94"/>
      <c r="AD920" s="101">
        <f t="shared" si="434"/>
        <v>67824</v>
      </c>
      <c r="AE920" s="103">
        <f t="shared" si="435"/>
        <v>0</v>
      </c>
      <c r="AG920" s="1">
        <f t="shared" si="456"/>
        <v>0</v>
      </c>
      <c r="AH920" s="1">
        <f t="shared" si="457"/>
        <v>0</v>
      </c>
      <c r="AI920" s="1">
        <f t="shared" si="436"/>
        <v>5432.58</v>
      </c>
      <c r="AJ920" s="20">
        <f t="shared" si="438"/>
        <v>0</v>
      </c>
      <c r="AK920" s="100">
        <f t="shared" si="440"/>
        <v>0</v>
      </c>
      <c r="AL920" s="100">
        <f t="shared" si="441"/>
        <v>0</v>
      </c>
      <c r="AN920" s="100">
        <f t="shared" si="442"/>
        <v>3460.7989897899929</v>
      </c>
      <c r="AO920" s="20">
        <f t="shared" si="443"/>
        <v>0</v>
      </c>
      <c r="AQ920" s="109">
        <f t="shared" si="444"/>
        <v>0</v>
      </c>
      <c r="AU920" s="109">
        <f t="shared" si="429"/>
        <v>25.025453400678106</v>
      </c>
      <c r="AV920" s="101">
        <f t="shared" si="445"/>
        <v>67854</v>
      </c>
      <c r="AW920" s="99">
        <f t="shared" si="446"/>
        <v>0</v>
      </c>
      <c r="AX920" s="1">
        <f t="shared" si="447"/>
        <v>0</v>
      </c>
      <c r="AY920" s="29">
        <f t="shared" si="448"/>
        <v>0</v>
      </c>
      <c r="AZ920" s="1">
        <f t="shared" si="430"/>
        <v>0</v>
      </c>
      <c r="CB920" s="20">
        <f t="shared" si="439"/>
        <v>0</v>
      </c>
      <c r="CC920" s="173">
        <f t="shared" si="431"/>
        <v>0</v>
      </c>
    </row>
    <row r="921" spans="10:81" x14ac:dyDescent="0.25">
      <c r="J921" s="7"/>
      <c r="K921" s="8"/>
      <c r="L921" s="16"/>
      <c r="M921" s="22"/>
      <c r="N921" s="22"/>
      <c r="O921" s="22"/>
      <c r="P921" s="22"/>
      <c r="Q921" s="1">
        <f t="shared" si="432"/>
        <v>0.60744618579017706</v>
      </c>
      <c r="R921" s="12">
        <f t="shared" ca="1" si="449"/>
        <v>26732</v>
      </c>
      <c r="S921" s="88">
        <f t="shared" si="458"/>
        <v>0</v>
      </c>
      <c r="T921" s="19">
        <f t="shared" si="450"/>
        <v>0</v>
      </c>
      <c r="U921" s="19">
        <f t="shared" si="451"/>
        <v>0</v>
      </c>
      <c r="V921" s="19">
        <f t="shared" si="437"/>
        <v>0</v>
      </c>
      <c r="W921" s="20">
        <f t="shared" ca="1" si="452"/>
        <v>0</v>
      </c>
      <c r="X921" s="19">
        <f t="shared" ca="1" si="453"/>
        <v>0</v>
      </c>
      <c r="Y921" s="19">
        <f t="shared" ca="1" si="454"/>
        <v>0</v>
      </c>
      <c r="Z921" s="20">
        <f t="shared" ca="1" si="455"/>
        <v>0</v>
      </c>
      <c r="AA921" s="1">
        <f t="shared" si="433"/>
        <v>5432.58</v>
      </c>
      <c r="AB921" s="91"/>
      <c r="AC921" s="92"/>
      <c r="AD921" s="101">
        <f t="shared" si="434"/>
        <v>67854</v>
      </c>
      <c r="AE921" s="103">
        <f t="shared" si="435"/>
        <v>0</v>
      </c>
      <c r="AG921" s="1">
        <f t="shared" si="456"/>
        <v>0</v>
      </c>
      <c r="AH921" s="1">
        <f t="shared" si="457"/>
        <v>0</v>
      </c>
      <c r="AI921" s="1">
        <f t="shared" si="436"/>
        <v>5432.58</v>
      </c>
      <c r="AJ921" s="20">
        <f t="shared" si="438"/>
        <v>0</v>
      </c>
      <c r="AK921" s="100">
        <f t="shared" si="440"/>
        <v>0</v>
      </c>
      <c r="AL921" s="100">
        <f t="shared" si="441"/>
        <v>0</v>
      </c>
      <c r="AN921" s="100">
        <f t="shared" si="442"/>
        <v>3459.0480018606618</v>
      </c>
      <c r="AO921" s="20">
        <f t="shared" si="443"/>
        <v>0</v>
      </c>
      <c r="AQ921" s="109">
        <f t="shared" si="444"/>
        <v>0</v>
      </c>
      <c r="AU921" s="109">
        <f t="shared" si="429"/>
        <v>25.023256914793365</v>
      </c>
      <c r="AV921" s="101">
        <f t="shared" si="445"/>
        <v>67884</v>
      </c>
      <c r="AW921" s="99">
        <f t="shared" si="446"/>
        <v>0</v>
      </c>
      <c r="AX921" s="1">
        <f t="shared" si="447"/>
        <v>0</v>
      </c>
      <c r="AY921" s="29">
        <f t="shared" si="448"/>
        <v>0</v>
      </c>
      <c r="AZ921" s="1">
        <f t="shared" si="430"/>
        <v>0</v>
      </c>
      <c r="CB921" s="20">
        <f t="shared" si="439"/>
        <v>0</v>
      </c>
      <c r="CC921" s="173">
        <f t="shared" si="431"/>
        <v>0</v>
      </c>
    </row>
    <row r="922" spans="10:81" x14ac:dyDescent="0.25">
      <c r="J922" s="9"/>
      <c r="K922" s="10"/>
      <c r="L922" s="17"/>
      <c r="M922" s="23"/>
      <c r="N922" s="23"/>
      <c r="O922" s="23"/>
      <c r="P922" s="23"/>
      <c r="Q922" s="1">
        <f t="shared" si="432"/>
        <v>0.60744618579017706</v>
      </c>
      <c r="R922" s="12">
        <f t="shared" ca="1" si="449"/>
        <v>26762</v>
      </c>
      <c r="S922" s="88">
        <f t="shared" si="458"/>
        <v>0</v>
      </c>
      <c r="T922" s="19">
        <f t="shared" si="450"/>
        <v>0</v>
      </c>
      <c r="U922" s="19">
        <f t="shared" si="451"/>
        <v>0</v>
      </c>
      <c r="V922" s="19">
        <f t="shared" si="437"/>
        <v>0</v>
      </c>
      <c r="W922" s="20">
        <f t="shared" ca="1" si="452"/>
        <v>0</v>
      </c>
      <c r="X922" s="19">
        <f t="shared" ca="1" si="453"/>
        <v>0</v>
      </c>
      <c r="Y922" s="19">
        <f t="shared" ca="1" si="454"/>
        <v>0</v>
      </c>
      <c r="Z922" s="20">
        <f t="shared" ca="1" si="455"/>
        <v>0</v>
      </c>
      <c r="AA922" s="1">
        <f t="shared" si="433"/>
        <v>5432.58</v>
      </c>
      <c r="AB922" s="93"/>
      <c r="AC922" s="94"/>
      <c r="AD922" s="101">
        <f t="shared" si="434"/>
        <v>67884</v>
      </c>
      <c r="AE922" s="103">
        <f t="shared" si="435"/>
        <v>0</v>
      </c>
      <c r="AG922" s="1">
        <f t="shared" si="456"/>
        <v>0</v>
      </c>
      <c r="AH922" s="1">
        <f t="shared" si="457"/>
        <v>0</v>
      </c>
      <c r="AI922" s="1">
        <f t="shared" si="436"/>
        <v>5432.58</v>
      </c>
      <c r="AJ922" s="20">
        <f t="shared" si="438"/>
        <v>0</v>
      </c>
      <c r="AK922" s="100">
        <f t="shared" si="440"/>
        <v>0</v>
      </c>
      <c r="AL922" s="100">
        <f t="shared" si="441"/>
        <v>0</v>
      </c>
      <c r="AN922" s="100">
        <f t="shared" si="442"/>
        <v>3457.2978998419953</v>
      </c>
      <c r="AO922" s="20">
        <f t="shared" si="443"/>
        <v>0</v>
      </c>
      <c r="AQ922" s="109">
        <f t="shared" si="444"/>
        <v>0</v>
      </c>
      <c r="AU922" s="109">
        <f t="shared" si="429"/>
        <v>25.02106062169435</v>
      </c>
      <c r="AV922" s="101">
        <f t="shared" si="445"/>
        <v>67914</v>
      </c>
      <c r="AW922" s="99">
        <f t="shared" si="446"/>
        <v>0</v>
      </c>
      <c r="AX922" s="1">
        <f t="shared" si="447"/>
        <v>0</v>
      </c>
      <c r="AY922" s="29">
        <f t="shared" si="448"/>
        <v>0</v>
      </c>
      <c r="AZ922" s="1">
        <f t="shared" si="430"/>
        <v>0</v>
      </c>
      <c r="CB922" s="20">
        <f t="shared" si="439"/>
        <v>0</v>
      </c>
      <c r="CC922" s="173">
        <f t="shared" si="431"/>
        <v>0</v>
      </c>
    </row>
    <row r="923" spans="10:81" x14ac:dyDescent="0.25">
      <c r="J923" s="7"/>
      <c r="K923" s="8"/>
      <c r="L923" s="16"/>
      <c r="M923" s="22"/>
      <c r="N923" s="22"/>
      <c r="O923" s="22"/>
      <c r="P923" s="22"/>
      <c r="Q923" s="1">
        <f t="shared" si="432"/>
        <v>0.60744618579017706</v>
      </c>
      <c r="R923" s="12">
        <f t="shared" ca="1" si="449"/>
        <v>26792</v>
      </c>
      <c r="S923" s="88">
        <f t="shared" si="458"/>
        <v>0</v>
      </c>
      <c r="T923" s="19">
        <f t="shared" si="450"/>
        <v>0</v>
      </c>
      <c r="U923" s="19">
        <f t="shared" si="451"/>
        <v>0</v>
      </c>
      <c r="V923" s="19">
        <f t="shared" si="437"/>
        <v>0</v>
      </c>
      <c r="W923" s="20">
        <f t="shared" ca="1" si="452"/>
        <v>0</v>
      </c>
      <c r="X923" s="19">
        <f t="shared" ca="1" si="453"/>
        <v>0</v>
      </c>
      <c r="Y923" s="19">
        <f t="shared" ca="1" si="454"/>
        <v>0</v>
      </c>
      <c r="Z923" s="20">
        <f t="shared" ca="1" si="455"/>
        <v>0</v>
      </c>
      <c r="AA923" s="1">
        <f t="shared" si="433"/>
        <v>5432.58</v>
      </c>
      <c r="AB923" s="91"/>
      <c r="AC923" s="92"/>
      <c r="AD923" s="101">
        <f t="shared" si="434"/>
        <v>67914</v>
      </c>
      <c r="AE923" s="103">
        <f t="shared" si="435"/>
        <v>0</v>
      </c>
      <c r="AG923" s="1">
        <f t="shared" si="456"/>
        <v>0</v>
      </c>
      <c r="AH923" s="1">
        <f t="shared" si="457"/>
        <v>0</v>
      </c>
      <c r="AI923" s="1">
        <f t="shared" si="436"/>
        <v>5432.58</v>
      </c>
      <c r="AJ923" s="20">
        <f t="shared" si="438"/>
        <v>0</v>
      </c>
      <c r="AK923" s="100">
        <f t="shared" si="440"/>
        <v>0</v>
      </c>
      <c r="AL923" s="100">
        <f t="shared" si="441"/>
        <v>0</v>
      </c>
      <c r="AN923" s="100">
        <f t="shared" si="442"/>
        <v>3455.5486832857664</v>
      </c>
      <c r="AO923" s="20">
        <f t="shared" si="443"/>
        <v>0</v>
      </c>
      <c r="AQ923" s="109">
        <f t="shared" si="444"/>
        <v>0</v>
      </c>
      <c r="AU923" s="109">
        <f t="shared" si="429"/>
        <v>25.01886452136414</v>
      </c>
      <c r="AV923" s="101">
        <f t="shared" si="445"/>
        <v>67944</v>
      </c>
      <c r="AW923" s="99">
        <f t="shared" si="446"/>
        <v>0</v>
      </c>
      <c r="AX923" s="1">
        <f t="shared" si="447"/>
        <v>0</v>
      </c>
      <c r="AY923" s="29">
        <f t="shared" si="448"/>
        <v>0</v>
      </c>
      <c r="AZ923" s="1">
        <f t="shared" si="430"/>
        <v>0</v>
      </c>
      <c r="CB923" s="20">
        <f t="shared" si="439"/>
        <v>0</v>
      </c>
      <c r="CC923" s="173">
        <f t="shared" si="431"/>
        <v>0</v>
      </c>
    </row>
    <row r="924" spans="10:81" x14ac:dyDescent="0.25">
      <c r="J924" s="9"/>
      <c r="K924" s="10"/>
      <c r="L924" s="17"/>
      <c r="M924" s="23"/>
      <c r="N924" s="23"/>
      <c r="O924" s="23"/>
      <c r="P924" s="23"/>
      <c r="Q924" s="1">
        <f t="shared" si="432"/>
        <v>0.60744618579017706</v>
      </c>
      <c r="R924" s="12">
        <f t="shared" ca="1" si="449"/>
        <v>26822</v>
      </c>
      <c r="S924" s="88">
        <f t="shared" si="458"/>
        <v>0</v>
      </c>
      <c r="T924" s="19">
        <f t="shared" si="450"/>
        <v>0</v>
      </c>
      <c r="U924" s="19">
        <f t="shared" si="451"/>
        <v>0</v>
      </c>
      <c r="V924" s="19">
        <f t="shared" si="437"/>
        <v>0</v>
      </c>
      <c r="W924" s="20">
        <f t="shared" ca="1" si="452"/>
        <v>0</v>
      </c>
      <c r="X924" s="19">
        <f t="shared" ca="1" si="453"/>
        <v>0</v>
      </c>
      <c r="Y924" s="19">
        <f t="shared" ca="1" si="454"/>
        <v>0</v>
      </c>
      <c r="Z924" s="20">
        <f t="shared" ca="1" si="455"/>
        <v>0</v>
      </c>
      <c r="AA924" s="1">
        <f t="shared" si="433"/>
        <v>5432.58</v>
      </c>
      <c r="AB924" s="93"/>
      <c r="AC924" s="94"/>
      <c r="AD924" s="101">
        <f t="shared" si="434"/>
        <v>67944</v>
      </c>
      <c r="AE924" s="103">
        <f t="shared" si="435"/>
        <v>0</v>
      </c>
      <c r="AG924" s="1">
        <f t="shared" si="456"/>
        <v>0</v>
      </c>
      <c r="AH924" s="1">
        <f t="shared" si="457"/>
        <v>0</v>
      </c>
      <c r="AI924" s="1">
        <f t="shared" si="436"/>
        <v>5432.58</v>
      </c>
      <c r="AJ924" s="20">
        <f t="shared" si="438"/>
        <v>0</v>
      </c>
      <c r="AK924" s="100">
        <f t="shared" si="440"/>
        <v>0</v>
      </c>
      <c r="AL924" s="100">
        <f t="shared" si="441"/>
        <v>0</v>
      </c>
      <c r="AN924" s="100">
        <f t="shared" si="442"/>
        <v>3453.8003517439761</v>
      </c>
      <c r="AO924" s="20">
        <f t="shared" si="443"/>
        <v>0</v>
      </c>
      <c r="AQ924" s="109">
        <f t="shared" si="444"/>
        <v>0</v>
      </c>
      <c r="AU924" s="109">
        <f t="shared" si="429"/>
        <v>25.016668613785832</v>
      </c>
      <c r="AV924" s="101">
        <f t="shared" si="445"/>
        <v>67974</v>
      </c>
      <c r="AW924" s="99">
        <f t="shared" si="446"/>
        <v>0</v>
      </c>
      <c r="AX924" s="1">
        <f t="shared" si="447"/>
        <v>0</v>
      </c>
      <c r="AY924" s="29">
        <f t="shared" si="448"/>
        <v>0</v>
      </c>
      <c r="AZ924" s="1">
        <f t="shared" si="430"/>
        <v>0</v>
      </c>
      <c r="CB924" s="20">
        <f t="shared" si="439"/>
        <v>0</v>
      </c>
      <c r="CC924" s="173">
        <f t="shared" si="431"/>
        <v>0</v>
      </c>
    </row>
    <row r="925" spans="10:81" x14ac:dyDescent="0.25">
      <c r="J925" s="7"/>
      <c r="K925" s="8"/>
      <c r="L925" s="16"/>
      <c r="M925" s="22"/>
      <c r="N925" s="22"/>
      <c r="O925" s="22"/>
      <c r="P925" s="22"/>
      <c r="Q925" s="1">
        <f t="shared" si="432"/>
        <v>0.60744618579017706</v>
      </c>
      <c r="R925" s="12">
        <f t="shared" ca="1" si="449"/>
        <v>26852</v>
      </c>
      <c r="S925" s="88">
        <f t="shared" si="458"/>
        <v>0</v>
      </c>
      <c r="T925" s="19">
        <f t="shared" si="450"/>
        <v>0</v>
      </c>
      <c r="U925" s="19">
        <f t="shared" si="451"/>
        <v>0</v>
      </c>
      <c r="V925" s="19">
        <f t="shared" si="437"/>
        <v>0</v>
      </c>
      <c r="W925" s="20">
        <f t="shared" ca="1" si="452"/>
        <v>0</v>
      </c>
      <c r="X925" s="19">
        <f t="shared" ca="1" si="453"/>
        <v>0</v>
      </c>
      <c r="Y925" s="19">
        <f t="shared" ca="1" si="454"/>
        <v>0</v>
      </c>
      <c r="Z925" s="20">
        <f t="shared" ca="1" si="455"/>
        <v>0</v>
      </c>
      <c r="AA925" s="1">
        <f t="shared" si="433"/>
        <v>5432.58</v>
      </c>
      <c r="AB925" s="91"/>
      <c r="AC925" s="92"/>
      <c r="AD925" s="101">
        <f t="shared" si="434"/>
        <v>67974</v>
      </c>
      <c r="AE925" s="103">
        <f t="shared" si="435"/>
        <v>0</v>
      </c>
      <c r="AG925" s="1">
        <f t="shared" si="456"/>
        <v>0</v>
      </c>
      <c r="AH925" s="1">
        <f t="shared" si="457"/>
        <v>0</v>
      </c>
      <c r="AI925" s="1">
        <f t="shared" si="436"/>
        <v>5432.58</v>
      </c>
      <c r="AJ925" s="20">
        <f t="shared" si="438"/>
        <v>0</v>
      </c>
      <c r="AK925" s="100">
        <f t="shared" si="440"/>
        <v>0</v>
      </c>
      <c r="AL925" s="100">
        <f t="shared" si="441"/>
        <v>0</v>
      </c>
      <c r="AN925" s="100">
        <f t="shared" si="442"/>
        <v>3452.0529047688528</v>
      </c>
      <c r="AO925" s="20">
        <f t="shared" si="443"/>
        <v>0</v>
      </c>
      <c r="AQ925" s="109">
        <f t="shared" si="444"/>
        <v>0</v>
      </c>
      <c r="AU925" s="109">
        <f t="shared" si="429"/>
        <v>25.01447289894249</v>
      </c>
      <c r="AV925" s="101">
        <f t="shared" si="445"/>
        <v>68004</v>
      </c>
      <c r="AW925" s="99">
        <f t="shared" si="446"/>
        <v>0</v>
      </c>
      <c r="AX925" s="1">
        <f t="shared" si="447"/>
        <v>0</v>
      </c>
      <c r="AY925" s="29">
        <f t="shared" si="448"/>
        <v>0</v>
      </c>
      <c r="AZ925" s="1">
        <f t="shared" si="430"/>
        <v>0</v>
      </c>
      <c r="CB925" s="20">
        <f t="shared" si="439"/>
        <v>0</v>
      </c>
      <c r="CC925" s="173">
        <f t="shared" si="431"/>
        <v>0</v>
      </c>
    </row>
    <row r="926" spans="10:81" x14ac:dyDescent="0.25">
      <c r="J926" s="9"/>
      <c r="K926" s="10"/>
      <c r="L926" s="17"/>
      <c r="M926" s="23"/>
      <c r="N926" s="23"/>
      <c r="O926" s="23"/>
      <c r="P926" s="23"/>
      <c r="Q926" s="1">
        <f t="shared" si="432"/>
        <v>0.60744618579017706</v>
      </c>
      <c r="R926" s="12">
        <f t="shared" ca="1" si="449"/>
        <v>26882</v>
      </c>
      <c r="S926" s="88">
        <f t="shared" si="458"/>
        <v>0</v>
      </c>
      <c r="T926" s="19">
        <f t="shared" si="450"/>
        <v>0</v>
      </c>
      <c r="U926" s="19">
        <f t="shared" si="451"/>
        <v>0</v>
      </c>
      <c r="V926" s="19">
        <f t="shared" si="437"/>
        <v>0</v>
      </c>
      <c r="W926" s="20">
        <f t="shared" ca="1" si="452"/>
        <v>0</v>
      </c>
      <c r="X926" s="19">
        <f t="shared" ca="1" si="453"/>
        <v>0</v>
      </c>
      <c r="Y926" s="19">
        <f t="shared" ca="1" si="454"/>
        <v>0</v>
      </c>
      <c r="Z926" s="20">
        <f t="shared" ca="1" si="455"/>
        <v>0</v>
      </c>
      <c r="AA926" s="1">
        <f t="shared" si="433"/>
        <v>5432.58</v>
      </c>
      <c r="AB926" s="93"/>
      <c r="AC926" s="94"/>
      <c r="AD926" s="101">
        <f t="shared" si="434"/>
        <v>68004</v>
      </c>
      <c r="AE926" s="103">
        <f t="shared" si="435"/>
        <v>0</v>
      </c>
      <c r="AG926" s="1">
        <f t="shared" si="456"/>
        <v>0</v>
      </c>
      <c r="AH926" s="1">
        <f t="shared" si="457"/>
        <v>0</v>
      </c>
      <c r="AI926" s="1">
        <f t="shared" si="436"/>
        <v>5432.58</v>
      </c>
      <c r="AJ926" s="20">
        <f t="shared" si="438"/>
        <v>0</v>
      </c>
      <c r="AK926" s="100">
        <f t="shared" si="440"/>
        <v>0</v>
      </c>
      <c r="AL926" s="100">
        <f t="shared" si="441"/>
        <v>0</v>
      </c>
      <c r="AN926" s="100">
        <f t="shared" si="442"/>
        <v>3450.3063419128503</v>
      </c>
      <c r="AO926" s="20">
        <f t="shared" si="443"/>
        <v>0</v>
      </c>
      <c r="AQ926" s="109">
        <f t="shared" si="444"/>
        <v>0</v>
      </c>
      <c r="AU926" s="109">
        <f t="shared" si="429"/>
        <v>25.012277376817188</v>
      </c>
      <c r="AV926" s="101">
        <f t="shared" si="445"/>
        <v>68034</v>
      </c>
      <c r="AW926" s="99">
        <f t="shared" si="446"/>
        <v>0</v>
      </c>
      <c r="AX926" s="1">
        <f t="shared" si="447"/>
        <v>0</v>
      </c>
      <c r="AY926" s="29">
        <f t="shared" si="448"/>
        <v>0</v>
      </c>
      <c r="AZ926" s="1">
        <f t="shared" si="430"/>
        <v>0</v>
      </c>
      <c r="CB926" s="20">
        <f t="shared" si="439"/>
        <v>0</v>
      </c>
      <c r="CC926" s="173">
        <f t="shared" si="431"/>
        <v>0</v>
      </c>
    </row>
    <row r="927" spans="10:81" x14ac:dyDescent="0.25">
      <c r="J927" s="7"/>
      <c r="K927" s="8"/>
      <c r="L927" s="16"/>
      <c r="M927" s="22"/>
      <c r="N927" s="22"/>
      <c r="O927" s="22"/>
      <c r="P927" s="22"/>
      <c r="Q927" s="1">
        <f t="shared" si="432"/>
        <v>0.60744618579017706</v>
      </c>
      <c r="R927" s="12">
        <f t="shared" ca="1" si="449"/>
        <v>26912</v>
      </c>
      <c r="S927" s="88">
        <f t="shared" si="458"/>
        <v>0</v>
      </c>
      <c r="T927" s="19">
        <f t="shared" si="450"/>
        <v>0</v>
      </c>
      <c r="U927" s="19">
        <f t="shared" si="451"/>
        <v>0</v>
      </c>
      <c r="V927" s="19">
        <f t="shared" si="437"/>
        <v>0</v>
      </c>
      <c r="W927" s="20">
        <f t="shared" ca="1" si="452"/>
        <v>0</v>
      </c>
      <c r="X927" s="19">
        <f t="shared" ca="1" si="453"/>
        <v>0</v>
      </c>
      <c r="Y927" s="19">
        <f t="shared" ca="1" si="454"/>
        <v>0</v>
      </c>
      <c r="Z927" s="20">
        <f t="shared" ca="1" si="455"/>
        <v>0</v>
      </c>
      <c r="AA927" s="1">
        <f t="shared" si="433"/>
        <v>5432.58</v>
      </c>
      <c r="AB927" s="91"/>
      <c r="AC927" s="92"/>
      <c r="AD927" s="101">
        <f t="shared" si="434"/>
        <v>68034</v>
      </c>
      <c r="AE927" s="103">
        <f t="shared" si="435"/>
        <v>0</v>
      </c>
      <c r="AG927" s="1">
        <f t="shared" si="456"/>
        <v>0</v>
      </c>
      <c r="AH927" s="1">
        <f t="shared" si="457"/>
        <v>0</v>
      </c>
      <c r="AI927" s="1">
        <f t="shared" si="436"/>
        <v>5432.58</v>
      </c>
      <c r="AJ927" s="20">
        <f t="shared" si="438"/>
        <v>0</v>
      </c>
      <c r="AK927" s="100">
        <f t="shared" si="440"/>
        <v>0</v>
      </c>
      <c r="AL927" s="100">
        <f t="shared" si="441"/>
        <v>0</v>
      </c>
      <c r="AN927" s="100">
        <f t="shared" si="442"/>
        <v>3448.5606627286502</v>
      </c>
      <c r="AO927" s="20">
        <f t="shared" si="443"/>
        <v>0</v>
      </c>
      <c r="AQ927" s="109">
        <f t="shared" si="444"/>
        <v>0</v>
      </c>
      <c r="AU927" s="109">
        <f t="shared" ref="AU927:AU990" si="459">(($AT$27/(1+((1+$AM$27)^(ROW()-29)*30)-1))/292)*0.32</f>
        <v>25.010082047393031</v>
      </c>
      <c r="AV927" s="101">
        <f t="shared" si="445"/>
        <v>68064</v>
      </c>
      <c r="AW927" s="99">
        <f t="shared" si="446"/>
        <v>0</v>
      </c>
      <c r="AX927" s="1">
        <f t="shared" si="447"/>
        <v>0</v>
      </c>
      <c r="AY927" s="29">
        <f t="shared" si="448"/>
        <v>0</v>
      </c>
      <c r="AZ927" s="1">
        <f t="shared" ref="AZ927:AZ990" si="460">AY927/360</f>
        <v>0</v>
      </c>
      <c r="CB927" s="20">
        <f t="shared" si="439"/>
        <v>0</v>
      </c>
      <c r="CC927" s="173">
        <f t="shared" ref="CC927:CC990" si="461">AJ927+U927+T927</f>
        <v>0</v>
      </c>
    </row>
    <row r="928" spans="10:81" x14ac:dyDescent="0.25">
      <c r="J928" s="9"/>
      <c r="K928" s="10"/>
      <c r="L928" s="17"/>
      <c r="M928" s="23"/>
      <c r="N928" s="23"/>
      <c r="O928" s="23"/>
      <c r="P928" s="23"/>
      <c r="Q928" s="1">
        <f t="shared" ref="Q928:Q991" si="462">IF(M928=0,Q927,(M928*1200)/O927)</f>
        <v>0.60744618579017706</v>
      </c>
      <c r="R928" s="12">
        <f t="shared" ca="1" si="449"/>
        <v>26942</v>
      </c>
      <c r="S928" s="88">
        <f t="shared" si="458"/>
        <v>0</v>
      </c>
      <c r="T928" s="19">
        <f t="shared" si="450"/>
        <v>0</v>
      </c>
      <c r="U928" s="19">
        <f t="shared" si="451"/>
        <v>0</v>
      </c>
      <c r="V928" s="19">
        <f t="shared" si="437"/>
        <v>0</v>
      </c>
      <c r="W928" s="20">
        <f t="shared" ca="1" si="452"/>
        <v>0</v>
      </c>
      <c r="X928" s="19">
        <f t="shared" ca="1" si="453"/>
        <v>0</v>
      </c>
      <c r="Y928" s="19">
        <f t="shared" ca="1" si="454"/>
        <v>0</v>
      </c>
      <c r="Z928" s="20">
        <f t="shared" ca="1" si="455"/>
        <v>0</v>
      </c>
      <c r="AA928" s="1">
        <f t="shared" ref="AA928:AA991" si="463">IF(S928=0,AA927,N928)</f>
        <v>5432.58</v>
      </c>
      <c r="AB928" s="93"/>
      <c r="AC928" s="94"/>
      <c r="AD928" s="101">
        <f t="shared" ref="AD928:AD991" si="464">IF(M928=0,AD927+30,K928)</f>
        <v>68064</v>
      </c>
      <c r="AE928" s="103">
        <f t="shared" ref="AE928:AE991" si="465">IF(V928=0,0,R928)</f>
        <v>0</v>
      </c>
      <c r="AG928" s="1">
        <f t="shared" si="456"/>
        <v>0</v>
      </c>
      <c r="AH928" s="1">
        <f t="shared" si="457"/>
        <v>0</v>
      </c>
      <c r="AI928" s="1">
        <f t="shared" ref="AI928:AI991" si="466">IF(M928-1=0,IF(M928=0,IF(V928=0,N928,AI927),AA928),AA928)</f>
        <v>5432.58</v>
      </c>
      <c r="AJ928" s="20">
        <f t="shared" si="438"/>
        <v>0</v>
      </c>
      <c r="AK928" s="100">
        <f t="shared" si="440"/>
        <v>0</v>
      </c>
      <c r="AL928" s="100">
        <f t="shared" si="441"/>
        <v>0</v>
      </c>
      <c r="AN928" s="100">
        <f t="shared" si="442"/>
        <v>3446.8158667691573</v>
      </c>
      <c r="AO928" s="20">
        <f t="shared" si="443"/>
        <v>0</v>
      </c>
      <c r="AQ928" s="109">
        <f t="shared" si="444"/>
        <v>0</v>
      </c>
      <c r="AU928" s="109">
        <f t="shared" si="459"/>
        <v>25.007886910653106</v>
      </c>
      <c r="AV928" s="101">
        <f t="shared" si="445"/>
        <v>68094</v>
      </c>
      <c r="AW928" s="99">
        <f t="shared" si="446"/>
        <v>0</v>
      </c>
      <c r="AX928" s="1">
        <f t="shared" si="447"/>
        <v>0</v>
      </c>
      <c r="AY928" s="29">
        <f t="shared" si="448"/>
        <v>0</v>
      </c>
      <c r="AZ928" s="1">
        <f t="shared" si="460"/>
        <v>0</v>
      </c>
      <c r="CB928" s="20">
        <f t="shared" si="439"/>
        <v>0</v>
      </c>
      <c r="CC928" s="173">
        <f t="shared" si="461"/>
        <v>0</v>
      </c>
    </row>
    <row r="929" spans="10:81" x14ac:dyDescent="0.25">
      <c r="J929" s="7"/>
      <c r="K929" s="8"/>
      <c r="L929" s="16"/>
      <c r="M929" s="22"/>
      <c r="N929" s="22"/>
      <c r="O929" s="22"/>
      <c r="P929" s="22"/>
      <c r="Q929" s="1">
        <f t="shared" si="462"/>
        <v>0.60744618579017706</v>
      </c>
      <c r="R929" s="12">
        <f t="shared" ca="1" si="449"/>
        <v>26972</v>
      </c>
      <c r="S929" s="88">
        <f t="shared" si="458"/>
        <v>0</v>
      </c>
      <c r="T929" s="19">
        <f t="shared" si="450"/>
        <v>0</v>
      </c>
      <c r="U929" s="19">
        <f t="shared" si="451"/>
        <v>0</v>
      </c>
      <c r="V929" s="19">
        <f t="shared" si="437"/>
        <v>0</v>
      </c>
      <c r="W929" s="20">
        <f t="shared" ca="1" si="452"/>
        <v>0</v>
      </c>
      <c r="X929" s="19">
        <f t="shared" ca="1" si="453"/>
        <v>0</v>
      </c>
      <c r="Y929" s="19">
        <f t="shared" ca="1" si="454"/>
        <v>0</v>
      </c>
      <c r="Z929" s="20">
        <f t="shared" ca="1" si="455"/>
        <v>0</v>
      </c>
      <c r="AA929" s="1">
        <f t="shared" si="463"/>
        <v>5432.58</v>
      </c>
      <c r="AB929" s="91"/>
      <c r="AC929" s="92"/>
      <c r="AD929" s="101">
        <f t="shared" si="464"/>
        <v>68094</v>
      </c>
      <c r="AE929" s="103">
        <f t="shared" si="465"/>
        <v>0</v>
      </c>
      <c r="AG929" s="1">
        <f t="shared" si="456"/>
        <v>0</v>
      </c>
      <c r="AH929" s="1">
        <f t="shared" si="457"/>
        <v>0</v>
      </c>
      <c r="AI929" s="1">
        <f t="shared" si="466"/>
        <v>5432.58</v>
      </c>
      <c r="AJ929" s="20">
        <f t="shared" si="438"/>
        <v>0</v>
      </c>
      <c r="AK929" s="100">
        <f t="shared" si="440"/>
        <v>0</v>
      </c>
      <c r="AL929" s="100">
        <f t="shared" si="441"/>
        <v>0</v>
      </c>
      <c r="AN929" s="100">
        <f t="shared" si="442"/>
        <v>3445.0719535875078</v>
      </c>
      <c r="AO929" s="20">
        <f t="shared" si="443"/>
        <v>0</v>
      </c>
      <c r="AQ929" s="109">
        <f t="shared" si="444"/>
        <v>0</v>
      </c>
      <c r="AU929" s="109">
        <f t="shared" si="459"/>
        <v>25.005691966580475</v>
      </c>
      <c r="AV929" s="101">
        <f t="shared" si="445"/>
        <v>68124</v>
      </c>
      <c r="AW929" s="99">
        <f t="shared" si="446"/>
        <v>0</v>
      </c>
      <c r="AX929" s="1">
        <f t="shared" si="447"/>
        <v>0</v>
      </c>
      <c r="AY929" s="29">
        <f t="shared" si="448"/>
        <v>0</v>
      </c>
      <c r="AZ929" s="1">
        <f t="shared" si="460"/>
        <v>0</v>
      </c>
      <c r="CB929" s="20">
        <f t="shared" si="439"/>
        <v>0</v>
      </c>
      <c r="CC929" s="173">
        <f t="shared" si="461"/>
        <v>0</v>
      </c>
    </row>
    <row r="930" spans="10:81" x14ac:dyDescent="0.25">
      <c r="J930" s="9"/>
      <c r="K930" s="10"/>
      <c r="L930" s="17"/>
      <c r="M930" s="23"/>
      <c r="N930" s="23"/>
      <c r="O930" s="23"/>
      <c r="P930" s="23"/>
      <c r="Q930" s="1">
        <f t="shared" si="462"/>
        <v>0.60744618579017706</v>
      </c>
      <c r="R930" s="12">
        <f t="shared" ca="1" si="449"/>
        <v>27002</v>
      </c>
      <c r="S930" s="88">
        <f t="shared" si="458"/>
        <v>0</v>
      </c>
      <c r="T930" s="19">
        <f t="shared" si="450"/>
        <v>0</v>
      </c>
      <c r="U930" s="19">
        <f t="shared" si="451"/>
        <v>0</v>
      </c>
      <c r="V930" s="19">
        <f t="shared" ref="V930:V993" si="467">IF(ISERROR(IF(V929+U930+T930+(V929*Q930/1200)-AA930-P930&lt;0,0,V929+U930+T930-AA930-P930)),0,IF(V929+U930+T930+(V929*Q930/1200)-AA930-CB930&lt;0,0,V929+U930+T930-AA930-CB930))</f>
        <v>0</v>
      </c>
      <c r="W930" s="20">
        <f t="shared" ca="1" si="452"/>
        <v>0</v>
      </c>
      <c r="X930" s="19">
        <f t="shared" ca="1" si="453"/>
        <v>0</v>
      </c>
      <c r="Y930" s="19">
        <f t="shared" ca="1" si="454"/>
        <v>0</v>
      </c>
      <c r="Z930" s="20">
        <f t="shared" ca="1" si="455"/>
        <v>0</v>
      </c>
      <c r="AA930" s="1">
        <f t="shared" si="463"/>
        <v>5432.58</v>
      </c>
      <c r="AB930" s="93"/>
      <c r="AC930" s="94"/>
      <c r="AD930" s="101">
        <f t="shared" si="464"/>
        <v>68124</v>
      </c>
      <c r="AE930" s="103">
        <f t="shared" si="465"/>
        <v>0</v>
      </c>
      <c r="AG930" s="1">
        <f t="shared" si="456"/>
        <v>0</v>
      </c>
      <c r="AH930" s="1">
        <f t="shared" si="457"/>
        <v>0</v>
      </c>
      <c r="AI930" s="1">
        <f t="shared" si="466"/>
        <v>5432.58</v>
      </c>
      <c r="AJ930" s="20">
        <f t="shared" si="438"/>
        <v>0</v>
      </c>
      <c r="AK930" s="100">
        <f t="shared" si="440"/>
        <v>0</v>
      </c>
      <c r="AL930" s="100">
        <f t="shared" si="441"/>
        <v>0</v>
      </c>
      <c r="AN930" s="100">
        <f t="shared" si="442"/>
        <v>3443.3289227370597</v>
      </c>
      <c r="AO930" s="20">
        <f t="shared" si="443"/>
        <v>0</v>
      </c>
      <c r="AQ930" s="109">
        <f t="shared" si="444"/>
        <v>0</v>
      </c>
      <c r="AU930" s="109">
        <f t="shared" si="459"/>
        <v>25.003497215158269</v>
      </c>
      <c r="AV930" s="101">
        <f t="shared" si="445"/>
        <v>68154</v>
      </c>
      <c r="AW930" s="99">
        <f t="shared" si="446"/>
        <v>0</v>
      </c>
      <c r="AX930" s="1">
        <f t="shared" si="447"/>
        <v>0</v>
      </c>
      <c r="AY930" s="29">
        <f t="shared" si="448"/>
        <v>0</v>
      </c>
      <c r="AZ930" s="1">
        <f t="shared" si="460"/>
        <v>0</v>
      </c>
      <c r="CB930" s="20">
        <f t="shared" si="439"/>
        <v>0</v>
      </c>
      <c r="CC930" s="173">
        <f t="shared" si="461"/>
        <v>0</v>
      </c>
    </row>
    <row r="931" spans="10:81" x14ac:dyDescent="0.25">
      <c r="J931" s="7"/>
      <c r="K931" s="8"/>
      <c r="L931" s="16"/>
      <c r="M931" s="22"/>
      <c r="N931" s="22"/>
      <c r="O931" s="22"/>
      <c r="P931" s="22"/>
      <c r="Q931" s="1">
        <f t="shared" si="462"/>
        <v>0.60744618579017706</v>
      </c>
      <c r="R931" s="12">
        <f t="shared" ca="1" si="449"/>
        <v>27032</v>
      </c>
      <c r="S931" s="88">
        <f t="shared" si="458"/>
        <v>0</v>
      </c>
      <c r="T931" s="19">
        <f t="shared" si="450"/>
        <v>0</v>
      </c>
      <c r="U931" s="19">
        <f t="shared" si="451"/>
        <v>0</v>
      </c>
      <c r="V931" s="19">
        <f t="shared" si="467"/>
        <v>0</v>
      </c>
      <c r="W931" s="20">
        <f t="shared" ca="1" si="452"/>
        <v>0</v>
      </c>
      <c r="X931" s="19">
        <f t="shared" ca="1" si="453"/>
        <v>0</v>
      </c>
      <c r="Y931" s="19">
        <f t="shared" ca="1" si="454"/>
        <v>0</v>
      </c>
      <c r="Z931" s="20">
        <f t="shared" ca="1" si="455"/>
        <v>0</v>
      </c>
      <c r="AA931" s="1">
        <f t="shared" si="463"/>
        <v>5432.58</v>
      </c>
      <c r="AB931" s="91"/>
      <c r="AC931" s="92"/>
      <c r="AD931" s="101">
        <f t="shared" si="464"/>
        <v>68154</v>
      </c>
      <c r="AE931" s="103">
        <f t="shared" si="465"/>
        <v>0</v>
      </c>
      <c r="AG931" s="1">
        <f t="shared" si="456"/>
        <v>0</v>
      </c>
      <c r="AH931" s="1">
        <f t="shared" si="457"/>
        <v>0</v>
      </c>
      <c r="AI931" s="1">
        <f t="shared" si="466"/>
        <v>5432.58</v>
      </c>
      <c r="AJ931" s="20">
        <f t="shared" si="438"/>
        <v>0</v>
      </c>
      <c r="AK931" s="100">
        <f t="shared" si="440"/>
        <v>0</v>
      </c>
      <c r="AL931" s="100">
        <f t="shared" si="441"/>
        <v>0</v>
      </c>
      <c r="AN931" s="100">
        <f t="shared" si="442"/>
        <v>3441.5867737713975</v>
      </c>
      <c r="AO931" s="20">
        <f t="shared" si="443"/>
        <v>0</v>
      </c>
      <c r="AQ931" s="109">
        <f t="shared" si="444"/>
        <v>0</v>
      </c>
      <c r="AU931" s="109">
        <f t="shared" si="459"/>
        <v>25.001302656369546</v>
      </c>
      <c r="AV931" s="101">
        <f t="shared" si="445"/>
        <v>68184</v>
      </c>
      <c r="AW931" s="99">
        <f t="shared" si="446"/>
        <v>0</v>
      </c>
      <c r="AX931" s="1">
        <f t="shared" si="447"/>
        <v>0</v>
      </c>
      <c r="AY931" s="29">
        <f t="shared" si="448"/>
        <v>0</v>
      </c>
      <c r="AZ931" s="1">
        <f t="shared" si="460"/>
        <v>0</v>
      </c>
      <c r="CB931" s="20">
        <f t="shared" si="439"/>
        <v>0</v>
      </c>
      <c r="CC931" s="173">
        <f t="shared" si="461"/>
        <v>0</v>
      </c>
    </row>
    <row r="932" spans="10:81" x14ac:dyDescent="0.25">
      <c r="J932" s="9"/>
      <c r="K932" s="10"/>
      <c r="L932" s="17"/>
      <c r="M932" s="23"/>
      <c r="N932" s="23"/>
      <c r="O932" s="23"/>
      <c r="P932" s="23"/>
      <c r="Q932" s="1">
        <f t="shared" si="462"/>
        <v>0.60744618579017706</v>
      </c>
      <c r="R932" s="12">
        <f t="shared" ca="1" si="449"/>
        <v>27062</v>
      </c>
      <c r="S932" s="88">
        <f t="shared" si="458"/>
        <v>0</v>
      </c>
      <c r="T932" s="19">
        <f t="shared" si="450"/>
        <v>0</v>
      </c>
      <c r="U932" s="19">
        <f t="shared" si="451"/>
        <v>0</v>
      </c>
      <c r="V932" s="19">
        <f t="shared" si="467"/>
        <v>0</v>
      </c>
      <c r="W932" s="20">
        <f t="shared" ca="1" si="452"/>
        <v>0</v>
      </c>
      <c r="X932" s="19">
        <f t="shared" ca="1" si="453"/>
        <v>0</v>
      </c>
      <c r="Y932" s="19">
        <f t="shared" ca="1" si="454"/>
        <v>0</v>
      </c>
      <c r="Z932" s="20">
        <f t="shared" ca="1" si="455"/>
        <v>0</v>
      </c>
      <c r="AA932" s="1">
        <f t="shared" si="463"/>
        <v>5432.58</v>
      </c>
      <c r="AB932" s="93"/>
      <c r="AC932" s="94"/>
      <c r="AD932" s="101">
        <f t="shared" si="464"/>
        <v>68184</v>
      </c>
      <c r="AE932" s="103">
        <f t="shared" si="465"/>
        <v>0</v>
      </c>
      <c r="AG932" s="1">
        <f t="shared" si="456"/>
        <v>0</v>
      </c>
      <c r="AH932" s="1">
        <f t="shared" si="457"/>
        <v>0</v>
      </c>
      <c r="AI932" s="1">
        <f t="shared" si="466"/>
        <v>5432.58</v>
      </c>
      <c r="AJ932" s="20">
        <f t="shared" si="438"/>
        <v>0</v>
      </c>
      <c r="AK932" s="100">
        <f t="shared" si="440"/>
        <v>0</v>
      </c>
      <c r="AL932" s="100">
        <f t="shared" si="441"/>
        <v>0</v>
      </c>
      <c r="AN932" s="100">
        <f t="shared" si="442"/>
        <v>3439.8455062443345</v>
      </c>
      <c r="AO932" s="20">
        <f t="shared" si="443"/>
        <v>0</v>
      </c>
      <c r="AQ932" s="109">
        <f t="shared" si="444"/>
        <v>0</v>
      </c>
      <c r="AU932" s="109">
        <f t="shared" si="459"/>
        <v>24.999108290197409</v>
      </c>
      <c r="AV932" s="101">
        <f t="shared" si="445"/>
        <v>68214</v>
      </c>
      <c r="AW932" s="99">
        <f t="shared" si="446"/>
        <v>0</v>
      </c>
      <c r="AX932" s="1">
        <f t="shared" si="447"/>
        <v>0</v>
      </c>
      <c r="AY932" s="29">
        <f t="shared" si="448"/>
        <v>0</v>
      </c>
      <c r="AZ932" s="1">
        <f t="shared" si="460"/>
        <v>0</v>
      </c>
      <c r="CB932" s="20">
        <f t="shared" si="439"/>
        <v>0</v>
      </c>
      <c r="CC932" s="173">
        <f t="shared" si="461"/>
        <v>0</v>
      </c>
    </row>
    <row r="933" spans="10:81" x14ac:dyDescent="0.25">
      <c r="J933" s="7"/>
      <c r="K933" s="8"/>
      <c r="L933" s="16"/>
      <c r="M933" s="22"/>
      <c r="N933" s="22"/>
      <c r="O933" s="22"/>
      <c r="P933" s="22"/>
      <c r="Q933" s="1">
        <f t="shared" si="462"/>
        <v>0.60744618579017706</v>
      </c>
      <c r="R933" s="12">
        <f t="shared" ca="1" si="449"/>
        <v>27092</v>
      </c>
      <c r="S933" s="88">
        <f t="shared" si="458"/>
        <v>0</v>
      </c>
      <c r="T933" s="19">
        <f t="shared" si="450"/>
        <v>0</v>
      </c>
      <c r="U933" s="19">
        <f t="shared" si="451"/>
        <v>0</v>
      </c>
      <c r="V933" s="19">
        <f t="shared" si="467"/>
        <v>0</v>
      </c>
      <c r="W933" s="20">
        <f t="shared" ca="1" si="452"/>
        <v>0</v>
      </c>
      <c r="X933" s="19">
        <f t="shared" ca="1" si="453"/>
        <v>0</v>
      </c>
      <c r="Y933" s="19">
        <f t="shared" ca="1" si="454"/>
        <v>0</v>
      </c>
      <c r="Z933" s="20">
        <f t="shared" ca="1" si="455"/>
        <v>0</v>
      </c>
      <c r="AA933" s="1">
        <f t="shared" si="463"/>
        <v>5432.58</v>
      </c>
      <c r="AB933" s="91"/>
      <c r="AC933" s="92"/>
      <c r="AD933" s="101">
        <f t="shared" si="464"/>
        <v>68214</v>
      </c>
      <c r="AE933" s="103">
        <f t="shared" si="465"/>
        <v>0</v>
      </c>
      <c r="AG933" s="1">
        <f t="shared" si="456"/>
        <v>0</v>
      </c>
      <c r="AH933" s="1">
        <f t="shared" si="457"/>
        <v>0</v>
      </c>
      <c r="AI933" s="1">
        <f t="shared" si="466"/>
        <v>5432.58</v>
      </c>
      <c r="AJ933" s="20">
        <f t="shared" si="438"/>
        <v>0</v>
      </c>
      <c r="AK933" s="100">
        <f t="shared" si="440"/>
        <v>0</v>
      </c>
      <c r="AL933" s="100">
        <f t="shared" si="441"/>
        <v>0</v>
      </c>
      <c r="AN933" s="100">
        <f t="shared" si="442"/>
        <v>3438.1051197099064</v>
      </c>
      <c r="AO933" s="20">
        <f t="shared" si="443"/>
        <v>0</v>
      </c>
      <c r="AQ933" s="109">
        <f t="shared" si="444"/>
        <v>0</v>
      </c>
      <c r="AU933" s="109">
        <f t="shared" si="459"/>
        <v>24.996914116624954</v>
      </c>
      <c r="AV933" s="101">
        <f t="shared" si="445"/>
        <v>68244</v>
      </c>
      <c r="AW933" s="99">
        <f t="shared" si="446"/>
        <v>0</v>
      </c>
      <c r="AX933" s="1">
        <f t="shared" si="447"/>
        <v>0</v>
      </c>
      <c r="AY933" s="29">
        <f t="shared" si="448"/>
        <v>0</v>
      </c>
      <c r="AZ933" s="1">
        <f t="shared" si="460"/>
        <v>0</v>
      </c>
      <c r="CB933" s="20">
        <f t="shared" si="439"/>
        <v>0</v>
      </c>
      <c r="CC933" s="173">
        <f t="shared" si="461"/>
        <v>0</v>
      </c>
    </row>
    <row r="934" spans="10:81" x14ac:dyDescent="0.25">
      <c r="J934" s="9"/>
      <c r="K934" s="10"/>
      <c r="L934" s="17"/>
      <c r="M934" s="23"/>
      <c r="N934" s="23"/>
      <c r="O934" s="23"/>
      <c r="P934" s="23"/>
      <c r="Q934" s="1">
        <f t="shared" si="462"/>
        <v>0.60744618579017706</v>
      </c>
      <c r="R934" s="12">
        <f t="shared" ca="1" si="449"/>
        <v>27122</v>
      </c>
      <c r="S934" s="88">
        <f t="shared" si="458"/>
        <v>0</v>
      </c>
      <c r="T934" s="19">
        <f t="shared" si="450"/>
        <v>0</v>
      </c>
      <c r="U934" s="19">
        <f t="shared" si="451"/>
        <v>0</v>
      </c>
      <c r="V934" s="19">
        <f t="shared" si="467"/>
        <v>0</v>
      </c>
      <c r="W934" s="20">
        <f t="shared" ca="1" si="452"/>
        <v>0</v>
      </c>
      <c r="X934" s="19">
        <f t="shared" ca="1" si="453"/>
        <v>0</v>
      </c>
      <c r="Y934" s="19">
        <f t="shared" ca="1" si="454"/>
        <v>0</v>
      </c>
      <c r="Z934" s="20">
        <f t="shared" ca="1" si="455"/>
        <v>0</v>
      </c>
      <c r="AA934" s="1">
        <f t="shared" si="463"/>
        <v>5432.58</v>
      </c>
      <c r="AB934" s="93"/>
      <c r="AC934" s="94"/>
      <c r="AD934" s="101">
        <f t="shared" si="464"/>
        <v>68244</v>
      </c>
      <c r="AE934" s="103">
        <f t="shared" si="465"/>
        <v>0</v>
      </c>
      <c r="AG934" s="1">
        <f t="shared" si="456"/>
        <v>0</v>
      </c>
      <c r="AH934" s="1">
        <f t="shared" si="457"/>
        <v>0</v>
      </c>
      <c r="AI934" s="1">
        <f t="shared" si="466"/>
        <v>5432.58</v>
      </c>
      <c r="AJ934" s="20">
        <f t="shared" si="438"/>
        <v>0</v>
      </c>
      <c r="AK934" s="100">
        <f t="shared" si="440"/>
        <v>0</v>
      </c>
      <c r="AL934" s="100">
        <f t="shared" si="441"/>
        <v>0</v>
      </c>
      <c r="AN934" s="100">
        <f t="shared" si="442"/>
        <v>3436.3656137223747</v>
      </c>
      <c r="AO934" s="20">
        <f t="shared" si="443"/>
        <v>0</v>
      </c>
      <c r="AQ934" s="109">
        <f t="shared" si="444"/>
        <v>0</v>
      </c>
      <c r="AU934" s="109">
        <f t="shared" si="459"/>
        <v>24.994720135635273</v>
      </c>
      <c r="AV934" s="101">
        <f t="shared" si="445"/>
        <v>68274</v>
      </c>
      <c r="AW934" s="99">
        <f t="shared" si="446"/>
        <v>0</v>
      </c>
      <c r="AX934" s="1">
        <f t="shared" si="447"/>
        <v>0</v>
      </c>
      <c r="AY934" s="29">
        <f t="shared" si="448"/>
        <v>0</v>
      </c>
      <c r="AZ934" s="1">
        <f t="shared" si="460"/>
        <v>0</v>
      </c>
      <c r="CB934" s="20">
        <f t="shared" si="439"/>
        <v>0</v>
      </c>
      <c r="CC934" s="173">
        <f t="shared" si="461"/>
        <v>0</v>
      </c>
    </row>
    <row r="935" spans="10:81" x14ac:dyDescent="0.25">
      <c r="J935" s="7"/>
      <c r="K935" s="8"/>
      <c r="L935" s="16"/>
      <c r="M935" s="22"/>
      <c r="N935" s="22"/>
      <c r="O935" s="22"/>
      <c r="P935" s="22"/>
      <c r="Q935" s="1">
        <f t="shared" si="462"/>
        <v>0.60744618579017706</v>
      </c>
      <c r="R935" s="12">
        <f t="shared" ca="1" si="449"/>
        <v>27152</v>
      </c>
      <c r="S935" s="88">
        <f t="shared" si="458"/>
        <v>0</v>
      </c>
      <c r="T935" s="19">
        <f t="shared" si="450"/>
        <v>0</v>
      </c>
      <c r="U935" s="19">
        <f t="shared" si="451"/>
        <v>0</v>
      </c>
      <c r="V935" s="19">
        <f t="shared" si="467"/>
        <v>0</v>
      </c>
      <c r="W935" s="20">
        <f t="shared" ca="1" si="452"/>
        <v>0</v>
      </c>
      <c r="X935" s="19">
        <f t="shared" ca="1" si="453"/>
        <v>0</v>
      </c>
      <c r="Y935" s="19">
        <f t="shared" ca="1" si="454"/>
        <v>0</v>
      </c>
      <c r="Z935" s="20">
        <f t="shared" ca="1" si="455"/>
        <v>0</v>
      </c>
      <c r="AA935" s="1">
        <f t="shared" si="463"/>
        <v>5432.58</v>
      </c>
      <c r="AB935" s="91"/>
      <c r="AC935" s="92"/>
      <c r="AD935" s="101">
        <f t="shared" si="464"/>
        <v>68274</v>
      </c>
      <c r="AE935" s="103">
        <f t="shared" si="465"/>
        <v>0</v>
      </c>
      <c r="AG935" s="1">
        <f t="shared" si="456"/>
        <v>0</v>
      </c>
      <c r="AH935" s="1">
        <f t="shared" si="457"/>
        <v>0</v>
      </c>
      <c r="AI935" s="1">
        <f t="shared" si="466"/>
        <v>5432.58</v>
      </c>
      <c r="AJ935" s="20">
        <f t="shared" si="438"/>
        <v>0</v>
      </c>
      <c r="AK935" s="100">
        <f t="shared" si="440"/>
        <v>0</v>
      </c>
      <c r="AL935" s="100">
        <f t="shared" si="441"/>
        <v>0</v>
      </c>
      <c r="AN935" s="100">
        <f t="shared" si="442"/>
        <v>3434.6269878362309</v>
      </c>
      <c r="AO935" s="20">
        <f t="shared" si="443"/>
        <v>0</v>
      </c>
      <c r="AQ935" s="109">
        <f t="shared" si="444"/>
        <v>0</v>
      </c>
      <c r="AU935" s="109">
        <f t="shared" si="459"/>
        <v>24.992526347211466</v>
      </c>
      <c r="AV935" s="101">
        <f t="shared" si="445"/>
        <v>68304</v>
      </c>
      <c r="AW935" s="99">
        <f t="shared" si="446"/>
        <v>0</v>
      </c>
      <c r="AX935" s="1">
        <f t="shared" si="447"/>
        <v>0</v>
      </c>
      <c r="AY935" s="29">
        <f t="shared" si="448"/>
        <v>0</v>
      </c>
      <c r="AZ935" s="1">
        <f t="shared" si="460"/>
        <v>0</v>
      </c>
      <c r="CB935" s="20">
        <f t="shared" si="439"/>
        <v>0</v>
      </c>
      <c r="CC935" s="173">
        <f t="shared" si="461"/>
        <v>0</v>
      </c>
    </row>
    <row r="936" spans="10:81" x14ac:dyDescent="0.25">
      <c r="J936" s="9"/>
      <c r="K936" s="10"/>
      <c r="L936" s="17"/>
      <c r="M936" s="23"/>
      <c r="N936" s="23"/>
      <c r="O936" s="23"/>
      <c r="P936" s="23"/>
      <c r="Q936" s="1">
        <f t="shared" si="462"/>
        <v>0.60744618579017706</v>
      </c>
      <c r="R936" s="12">
        <f t="shared" ca="1" si="449"/>
        <v>27182</v>
      </c>
      <c r="S936" s="88">
        <f t="shared" si="458"/>
        <v>0</v>
      </c>
      <c r="T936" s="19">
        <f t="shared" si="450"/>
        <v>0</v>
      </c>
      <c r="U936" s="19">
        <f t="shared" si="451"/>
        <v>0</v>
      </c>
      <c r="V936" s="19">
        <f t="shared" si="467"/>
        <v>0</v>
      </c>
      <c r="W936" s="20">
        <f t="shared" ca="1" si="452"/>
        <v>0</v>
      </c>
      <c r="X936" s="19">
        <f t="shared" ca="1" si="453"/>
        <v>0</v>
      </c>
      <c r="Y936" s="19">
        <f t="shared" ca="1" si="454"/>
        <v>0</v>
      </c>
      <c r="Z936" s="20">
        <f t="shared" ca="1" si="455"/>
        <v>0</v>
      </c>
      <c r="AA936" s="1">
        <f t="shared" si="463"/>
        <v>5432.58</v>
      </c>
      <c r="AB936" s="93"/>
      <c r="AC936" s="94"/>
      <c r="AD936" s="101">
        <f t="shared" si="464"/>
        <v>68304</v>
      </c>
      <c r="AE936" s="103">
        <f t="shared" si="465"/>
        <v>0</v>
      </c>
      <c r="AG936" s="1">
        <f t="shared" si="456"/>
        <v>0</v>
      </c>
      <c r="AH936" s="1">
        <f t="shared" si="457"/>
        <v>0</v>
      </c>
      <c r="AI936" s="1">
        <f t="shared" si="466"/>
        <v>5432.58</v>
      </c>
      <c r="AJ936" s="20">
        <f t="shared" ref="AJ936:AJ999" si="468">IF(ISERROR(IF(V935+U936+T936+(V935*Q936/1200)-AA936-P936&lt;0,V935,-(U936+T936-AA936+P936-AH936))),0,IF(V935+U936+T936+(V935*Q936/1200)-AA936-P936&lt;0,0,-(U936+T936-AA936-AH936)))</f>
        <v>0</v>
      </c>
      <c r="AK936" s="100">
        <f t="shared" si="440"/>
        <v>0</v>
      </c>
      <c r="AL936" s="100">
        <f t="shared" si="441"/>
        <v>0</v>
      </c>
      <c r="AN936" s="100">
        <f t="shared" si="442"/>
        <v>3432.8892416061863</v>
      </c>
      <c r="AO936" s="20">
        <f t="shared" si="443"/>
        <v>0</v>
      </c>
      <c r="AQ936" s="109">
        <f t="shared" si="444"/>
        <v>0</v>
      </c>
      <c r="AU936" s="109">
        <f t="shared" si="459"/>
        <v>24.990332751336624</v>
      </c>
      <c r="AV936" s="101">
        <f t="shared" si="445"/>
        <v>68334</v>
      </c>
      <c r="AW936" s="99">
        <f t="shared" si="446"/>
        <v>0</v>
      </c>
      <c r="AX936" s="1">
        <f t="shared" si="447"/>
        <v>0</v>
      </c>
      <c r="AY936" s="29">
        <f t="shared" si="448"/>
        <v>0</v>
      </c>
      <c r="AZ936" s="1">
        <f t="shared" si="460"/>
        <v>0</v>
      </c>
      <c r="CB936" s="20">
        <f t="shared" si="439"/>
        <v>0</v>
      </c>
      <c r="CC936" s="173">
        <f t="shared" si="461"/>
        <v>0</v>
      </c>
    </row>
    <row r="937" spans="10:81" x14ac:dyDescent="0.25">
      <c r="J937" s="7"/>
      <c r="K937" s="8"/>
      <c r="L937" s="16"/>
      <c r="M937" s="22"/>
      <c r="N937" s="22"/>
      <c r="O937" s="22"/>
      <c r="P937" s="22"/>
      <c r="Q937" s="1">
        <f t="shared" si="462"/>
        <v>0.60744618579017706</v>
      </c>
      <c r="R937" s="12">
        <f t="shared" ca="1" si="449"/>
        <v>27212</v>
      </c>
      <c r="S937" s="88">
        <f t="shared" si="458"/>
        <v>0</v>
      </c>
      <c r="T937" s="19">
        <f t="shared" si="450"/>
        <v>0</v>
      </c>
      <c r="U937" s="19">
        <f t="shared" si="451"/>
        <v>0</v>
      </c>
      <c r="V937" s="19">
        <f t="shared" si="467"/>
        <v>0</v>
      </c>
      <c r="W937" s="20">
        <f t="shared" ca="1" si="452"/>
        <v>0</v>
      </c>
      <c r="X937" s="19">
        <f t="shared" ca="1" si="453"/>
        <v>0</v>
      </c>
      <c r="Y937" s="19">
        <f t="shared" ca="1" si="454"/>
        <v>0</v>
      </c>
      <c r="Z937" s="20">
        <f t="shared" ca="1" si="455"/>
        <v>0</v>
      </c>
      <c r="AA937" s="1">
        <f t="shared" si="463"/>
        <v>5432.58</v>
      </c>
      <c r="AB937" s="91"/>
      <c r="AC937" s="92"/>
      <c r="AD937" s="101">
        <f t="shared" si="464"/>
        <v>68334</v>
      </c>
      <c r="AE937" s="103">
        <f t="shared" si="465"/>
        <v>0</v>
      </c>
      <c r="AG937" s="1">
        <f t="shared" si="456"/>
        <v>0</v>
      </c>
      <c r="AH937" s="1">
        <f t="shared" si="457"/>
        <v>0</v>
      </c>
      <c r="AI937" s="1">
        <f t="shared" si="466"/>
        <v>5432.58</v>
      </c>
      <c r="AJ937" s="20">
        <f t="shared" si="468"/>
        <v>0</v>
      </c>
      <c r="AK937" s="100">
        <f t="shared" si="440"/>
        <v>0</v>
      </c>
      <c r="AL937" s="100">
        <f t="shared" si="441"/>
        <v>0</v>
      </c>
      <c r="AN937" s="100">
        <f t="shared" si="442"/>
        <v>3431.1523745871791</v>
      </c>
      <c r="AO937" s="20">
        <f t="shared" si="443"/>
        <v>0</v>
      </c>
      <c r="AQ937" s="109">
        <f t="shared" si="444"/>
        <v>0</v>
      </c>
      <c r="AU937" s="109">
        <f t="shared" si="459"/>
        <v>24.988139347993858</v>
      </c>
      <c r="AV937" s="101">
        <f t="shared" si="445"/>
        <v>68364</v>
      </c>
      <c r="AW937" s="99">
        <f t="shared" si="446"/>
        <v>0</v>
      </c>
      <c r="AX937" s="1">
        <f t="shared" si="447"/>
        <v>0</v>
      </c>
      <c r="AY937" s="29">
        <f t="shared" si="448"/>
        <v>0</v>
      </c>
      <c r="AZ937" s="1">
        <f t="shared" si="460"/>
        <v>0</v>
      </c>
      <c r="CB937" s="20">
        <f t="shared" si="439"/>
        <v>0</v>
      </c>
      <c r="CC937" s="173">
        <f t="shared" si="461"/>
        <v>0</v>
      </c>
    </row>
    <row r="938" spans="10:81" x14ac:dyDescent="0.25">
      <c r="J938" s="9"/>
      <c r="K938" s="10"/>
      <c r="L938" s="17"/>
      <c r="M938" s="23"/>
      <c r="N938" s="23"/>
      <c r="O938" s="23"/>
      <c r="P938" s="23"/>
      <c r="Q938" s="1">
        <f t="shared" si="462"/>
        <v>0.60744618579017706</v>
      </c>
      <c r="R938" s="12">
        <f t="shared" ca="1" si="449"/>
        <v>27242</v>
      </c>
      <c r="S938" s="88">
        <f t="shared" si="458"/>
        <v>0</v>
      </c>
      <c r="T938" s="19">
        <f t="shared" si="450"/>
        <v>0</v>
      </c>
      <c r="U938" s="19">
        <f t="shared" si="451"/>
        <v>0</v>
      </c>
      <c r="V938" s="19">
        <f t="shared" si="467"/>
        <v>0</v>
      </c>
      <c r="W938" s="20">
        <f t="shared" ca="1" si="452"/>
        <v>0</v>
      </c>
      <c r="X938" s="19">
        <f t="shared" ca="1" si="453"/>
        <v>0</v>
      </c>
      <c r="Y938" s="19">
        <f t="shared" ca="1" si="454"/>
        <v>0</v>
      </c>
      <c r="Z938" s="20">
        <f t="shared" ca="1" si="455"/>
        <v>0</v>
      </c>
      <c r="AA938" s="1">
        <f t="shared" si="463"/>
        <v>5432.58</v>
      </c>
      <c r="AB938" s="93"/>
      <c r="AC938" s="94"/>
      <c r="AD938" s="101">
        <f t="shared" si="464"/>
        <v>68364</v>
      </c>
      <c r="AE938" s="103">
        <f t="shared" si="465"/>
        <v>0</v>
      </c>
      <c r="AG938" s="1">
        <f t="shared" si="456"/>
        <v>0</v>
      </c>
      <c r="AH938" s="1">
        <f t="shared" si="457"/>
        <v>0</v>
      </c>
      <c r="AI938" s="1">
        <f t="shared" si="466"/>
        <v>5432.58</v>
      </c>
      <c r="AJ938" s="20">
        <f t="shared" si="468"/>
        <v>0</v>
      </c>
      <c r="AK938" s="100">
        <f t="shared" si="440"/>
        <v>0</v>
      </c>
      <c r="AL938" s="100">
        <f t="shared" si="441"/>
        <v>0</v>
      </c>
      <c r="AN938" s="100">
        <f t="shared" si="442"/>
        <v>3429.4163863343742</v>
      </c>
      <c r="AO938" s="20">
        <f t="shared" si="443"/>
        <v>0</v>
      </c>
      <c r="AQ938" s="109">
        <f t="shared" si="444"/>
        <v>0</v>
      </c>
      <c r="AU938" s="109">
        <f t="shared" si="459"/>
        <v>24.985946137166266</v>
      </c>
      <c r="AV938" s="101">
        <f t="shared" si="445"/>
        <v>68394</v>
      </c>
      <c r="AW938" s="99">
        <f t="shared" si="446"/>
        <v>0</v>
      </c>
      <c r="AX938" s="1">
        <f t="shared" si="447"/>
        <v>0</v>
      </c>
      <c r="AY938" s="29">
        <f t="shared" si="448"/>
        <v>0</v>
      </c>
      <c r="AZ938" s="1">
        <f t="shared" si="460"/>
        <v>0</v>
      </c>
      <c r="CB938" s="20">
        <f t="shared" si="439"/>
        <v>0</v>
      </c>
      <c r="CC938" s="173">
        <f t="shared" si="461"/>
        <v>0</v>
      </c>
    </row>
    <row r="939" spans="10:81" x14ac:dyDescent="0.25">
      <c r="J939" s="7"/>
      <c r="K939" s="8"/>
      <c r="L939" s="16"/>
      <c r="M939" s="22"/>
      <c r="N939" s="22"/>
      <c r="O939" s="22"/>
      <c r="P939" s="22"/>
      <c r="Q939" s="1">
        <f t="shared" si="462"/>
        <v>0.60744618579017706</v>
      </c>
      <c r="R939" s="12">
        <f t="shared" ca="1" si="449"/>
        <v>27272</v>
      </c>
      <c r="S939" s="88">
        <f t="shared" si="458"/>
        <v>0</v>
      </c>
      <c r="T939" s="19">
        <f t="shared" si="450"/>
        <v>0</v>
      </c>
      <c r="U939" s="19">
        <f t="shared" si="451"/>
        <v>0</v>
      </c>
      <c r="V939" s="19">
        <f t="shared" si="467"/>
        <v>0</v>
      </c>
      <c r="W939" s="20">
        <f t="shared" ca="1" si="452"/>
        <v>0</v>
      </c>
      <c r="X939" s="19">
        <f t="shared" ca="1" si="453"/>
        <v>0</v>
      </c>
      <c r="Y939" s="19">
        <f t="shared" ca="1" si="454"/>
        <v>0</v>
      </c>
      <c r="Z939" s="20">
        <f t="shared" ca="1" si="455"/>
        <v>0</v>
      </c>
      <c r="AA939" s="1">
        <f t="shared" si="463"/>
        <v>5432.58</v>
      </c>
      <c r="AB939" s="91"/>
      <c r="AC939" s="92"/>
      <c r="AD939" s="101">
        <f t="shared" si="464"/>
        <v>68394</v>
      </c>
      <c r="AE939" s="103">
        <f t="shared" si="465"/>
        <v>0</v>
      </c>
      <c r="AG939" s="1">
        <f t="shared" si="456"/>
        <v>0</v>
      </c>
      <c r="AH939" s="1">
        <f t="shared" si="457"/>
        <v>0</v>
      </c>
      <c r="AI939" s="1">
        <f t="shared" si="466"/>
        <v>5432.58</v>
      </c>
      <c r="AJ939" s="20">
        <f t="shared" si="468"/>
        <v>0</v>
      </c>
      <c r="AK939" s="100">
        <f t="shared" si="440"/>
        <v>0</v>
      </c>
      <c r="AL939" s="100">
        <f t="shared" si="441"/>
        <v>0</v>
      </c>
      <c r="AN939" s="100">
        <f t="shared" si="442"/>
        <v>3427.6812764031606</v>
      </c>
      <c r="AO939" s="20">
        <f t="shared" si="443"/>
        <v>0</v>
      </c>
      <c r="AQ939" s="109">
        <f t="shared" si="444"/>
        <v>0</v>
      </c>
      <c r="AU939" s="109">
        <f t="shared" si="459"/>
        <v>24.983753118836947</v>
      </c>
      <c r="AV939" s="101">
        <f t="shared" si="445"/>
        <v>68424</v>
      </c>
      <c r="AW939" s="99">
        <f t="shared" si="446"/>
        <v>0</v>
      </c>
      <c r="AX939" s="1">
        <f t="shared" si="447"/>
        <v>0</v>
      </c>
      <c r="AY939" s="29">
        <f t="shared" si="448"/>
        <v>0</v>
      </c>
      <c r="AZ939" s="1">
        <f t="shared" si="460"/>
        <v>0</v>
      </c>
      <c r="CB939" s="20">
        <f t="shared" si="439"/>
        <v>0</v>
      </c>
      <c r="CC939" s="173">
        <f t="shared" si="461"/>
        <v>0</v>
      </c>
    </row>
    <row r="940" spans="10:81" x14ac:dyDescent="0.25">
      <c r="J940" s="9"/>
      <c r="K940" s="10"/>
      <c r="L940" s="17"/>
      <c r="M940" s="23"/>
      <c r="N940" s="23"/>
      <c r="O940" s="23"/>
      <c r="P940" s="23"/>
      <c r="Q940" s="1">
        <f t="shared" si="462"/>
        <v>0.60744618579017706</v>
      </c>
      <c r="R940" s="12">
        <f t="shared" ca="1" si="449"/>
        <v>27302</v>
      </c>
      <c r="S940" s="88">
        <f t="shared" si="458"/>
        <v>0</v>
      </c>
      <c r="T940" s="19">
        <f t="shared" si="450"/>
        <v>0</v>
      </c>
      <c r="U940" s="19">
        <f t="shared" si="451"/>
        <v>0</v>
      </c>
      <c r="V940" s="19">
        <f t="shared" si="467"/>
        <v>0</v>
      </c>
      <c r="W940" s="20">
        <f t="shared" ca="1" si="452"/>
        <v>0</v>
      </c>
      <c r="X940" s="19">
        <f t="shared" ca="1" si="453"/>
        <v>0</v>
      </c>
      <c r="Y940" s="19">
        <f t="shared" ca="1" si="454"/>
        <v>0</v>
      </c>
      <c r="Z940" s="20">
        <f t="shared" ca="1" si="455"/>
        <v>0</v>
      </c>
      <c r="AA940" s="1">
        <f t="shared" si="463"/>
        <v>5432.58</v>
      </c>
      <c r="AB940" s="93"/>
      <c r="AC940" s="94"/>
      <c r="AD940" s="101">
        <f t="shared" si="464"/>
        <v>68424</v>
      </c>
      <c r="AE940" s="103">
        <f t="shared" si="465"/>
        <v>0</v>
      </c>
      <c r="AG940" s="1">
        <f t="shared" si="456"/>
        <v>0</v>
      </c>
      <c r="AH940" s="1">
        <f t="shared" si="457"/>
        <v>0</v>
      </c>
      <c r="AI940" s="1">
        <f t="shared" si="466"/>
        <v>5432.58</v>
      </c>
      <c r="AJ940" s="20">
        <f t="shared" si="468"/>
        <v>0</v>
      </c>
      <c r="AK940" s="100">
        <f t="shared" si="440"/>
        <v>0</v>
      </c>
      <c r="AL940" s="100">
        <f t="shared" si="441"/>
        <v>0</v>
      </c>
      <c r="AN940" s="100">
        <f t="shared" si="442"/>
        <v>3425.9470443491532</v>
      </c>
      <c r="AO940" s="20">
        <f t="shared" si="443"/>
        <v>0</v>
      </c>
      <c r="AQ940" s="109">
        <f t="shared" si="444"/>
        <v>0</v>
      </c>
      <c r="AU940" s="109">
        <f t="shared" si="459"/>
        <v>24.981560292989016</v>
      </c>
      <c r="AV940" s="101">
        <f t="shared" si="445"/>
        <v>68454</v>
      </c>
      <c r="AW940" s="99">
        <f t="shared" si="446"/>
        <v>0</v>
      </c>
      <c r="AX940" s="1">
        <f t="shared" si="447"/>
        <v>0</v>
      </c>
      <c r="AY940" s="29">
        <f t="shared" si="448"/>
        <v>0</v>
      </c>
      <c r="AZ940" s="1">
        <f t="shared" si="460"/>
        <v>0</v>
      </c>
      <c r="CB940" s="20">
        <f t="shared" si="439"/>
        <v>0</v>
      </c>
      <c r="CC940" s="173">
        <f t="shared" si="461"/>
        <v>0</v>
      </c>
    </row>
    <row r="941" spans="10:81" x14ac:dyDescent="0.25">
      <c r="J941" s="7"/>
      <c r="K941" s="8"/>
      <c r="L941" s="16"/>
      <c r="M941" s="22"/>
      <c r="N941" s="22"/>
      <c r="O941" s="22"/>
      <c r="P941" s="22"/>
      <c r="Q941" s="1">
        <f t="shared" si="462"/>
        <v>0.60744618579017706</v>
      </c>
      <c r="R941" s="12">
        <f t="shared" ca="1" si="449"/>
        <v>27332</v>
      </c>
      <c r="S941" s="88">
        <f t="shared" si="458"/>
        <v>0</v>
      </c>
      <c r="T941" s="19">
        <f t="shared" si="450"/>
        <v>0</v>
      </c>
      <c r="U941" s="19">
        <f t="shared" si="451"/>
        <v>0</v>
      </c>
      <c r="V941" s="19">
        <f t="shared" si="467"/>
        <v>0</v>
      </c>
      <c r="W941" s="20">
        <f t="shared" ca="1" si="452"/>
        <v>0</v>
      </c>
      <c r="X941" s="19">
        <f t="shared" ca="1" si="453"/>
        <v>0</v>
      </c>
      <c r="Y941" s="19">
        <f t="shared" ca="1" si="454"/>
        <v>0</v>
      </c>
      <c r="Z941" s="20">
        <f t="shared" ca="1" si="455"/>
        <v>0</v>
      </c>
      <c r="AA941" s="1">
        <f t="shared" si="463"/>
        <v>5432.58</v>
      </c>
      <c r="AB941" s="91"/>
      <c r="AC941" s="92"/>
      <c r="AD941" s="101">
        <f t="shared" si="464"/>
        <v>68454</v>
      </c>
      <c r="AE941" s="103">
        <f t="shared" si="465"/>
        <v>0</v>
      </c>
      <c r="AG941" s="1">
        <f t="shared" si="456"/>
        <v>0</v>
      </c>
      <c r="AH941" s="1">
        <f t="shared" si="457"/>
        <v>0</v>
      </c>
      <c r="AI941" s="1">
        <f t="shared" si="466"/>
        <v>5432.58</v>
      </c>
      <c r="AJ941" s="20">
        <f t="shared" si="468"/>
        <v>0</v>
      </c>
      <c r="AK941" s="100">
        <f t="shared" si="440"/>
        <v>0</v>
      </c>
      <c r="AL941" s="100">
        <f t="shared" si="441"/>
        <v>0</v>
      </c>
      <c r="AN941" s="100">
        <f t="shared" si="442"/>
        <v>3424.2136897281894</v>
      </c>
      <c r="AO941" s="20">
        <f t="shared" si="443"/>
        <v>0</v>
      </c>
      <c r="AQ941" s="109">
        <f t="shared" si="444"/>
        <v>0</v>
      </c>
      <c r="AU941" s="109">
        <f t="shared" si="459"/>
        <v>24.979367659605561</v>
      </c>
      <c r="AV941" s="101">
        <f t="shared" si="445"/>
        <v>68484</v>
      </c>
      <c r="AW941" s="99">
        <f t="shared" si="446"/>
        <v>0</v>
      </c>
      <c r="AX941" s="1">
        <f t="shared" si="447"/>
        <v>0</v>
      </c>
      <c r="AY941" s="29">
        <f t="shared" si="448"/>
        <v>0</v>
      </c>
      <c r="AZ941" s="1">
        <f t="shared" si="460"/>
        <v>0</v>
      </c>
      <c r="CB941" s="20">
        <f t="shared" si="439"/>
        <v>0</v>
      </c>
      <c r="CC941" s="173">
        <f t="shared" si="461"/>
        <v>0</v>
      </c>
    </row>
    <row r="942" spans="10:81" x14ac:dyDescent="0.25">
      <c r="J942" s="9"/>
      <c r="K942" s="10"/>
      <c r="L942" s="17"/>
      <c r="M942" s="23"/>
      <c r="N942" s="23"/>
      <c r="O942" s="23"/>
      <c r="P942" s="23"/>
      <c r="Q942" s="1">
        <f t="shared" si="462"/>
        <v>0.60744618579017706</v>
      </c>
      <c r="R942" s="12">
        <f t="shared" ca="1" si="449"/>
        <v>27362</v>
      </c>
      <c r="S942" s="88">
        <f t="shared" si="458"/>
        <v>0</v>
      </c>
      <c r="T942" s="19">
        <f t="shared" si="450"/>
        <v>0</v>
      </c>
      <c r="U942" s="19">
        <f t="shared" si="451"/>
        <v>0</v>
      </c>
      <c r="V942" s="19">
        <f t="shared" si="467"/>
        <v>0</v>
      </c>
      <c r="W942" s="20">
        <f t="shared" ca="1" si="452"/>
        <v>0</v>
      </c>
      <c r="X942" s="19">
        <f t="shared" ca="1" si="453"/>
        <v>0</v>
      </c>
      <c r="Y942" s="19">
        <f t="shared" ca="1" si="454"/>
        <v>0</v>
      </c>
      <c r="Z942" s="20">
        <f t="shared" ca="1" si="455"/>
        <v>0</v>
      </c>
      <c r="AA942" s="1">
        <f t="shared" si="463"/>
        <v>5432.58</v>
      </c>
      <c r="AB942" s="93"/>
      <c r="AC942" s="94"/>
      <c r="AD942" s="101">
        <f t="shared" si="464"/>
        <v>68484</v>
      </c>
      <c r="AE942" s="103">
        <f t="shared" si="465"/>
        <v>0</v>
      </c>
      <c r="AG942" s="1">
        <f t="shared" si="456"/>
        <v>0</v>
      </c>
      <c r="AH942" s="1">
        <f t="shared" si="457"/>
        <v>0</v>
      </c>
      <c r="AI942" s="1">
        <f t="shared" si="466"/>
        <v>5432.58</v>
      </c>
      <c r="AJ942" s="20">
        <f t="shared" si="468"/>
        <v>0</v>
      </c>
      <c r="AK942" s="100">
        <f t="shared" si="440"/>
        <v>0</v>
      </c>
      <c r="AL942" s="100">
        <f t="shared" si="441"/>
        <v>0</v>
      </c>
      <c r="AN942" s="100">
        <f t="shared" si="442"/>
        <v>3422.4812120963338</v>
      </c>
      <c r="AO942" s="20">
        <f t="shared" si="443"/>
        <v>0</v>
      </c>
      <c r="AQ942" s="109">
        <f t="shared" si="444"/>
        <v>0</v>
      </c>
      <c r="AU942" s="109">
        <f t="shared" si="459"/>
        <v>24.9771752186697</v>
      </c>
      <c r="AV942" s="101">
        <f t="shared" si="445"/>
        <v>68514</v>
      </c>
      <c r="AW942" s="99">
        <f t="shared" si="446"/>
        <v>0</v>
      </c>
      <c r="AX942" s="1">
        <f t="shared" si="447"/>
        <v>0</v>
      </c>
      <c r="AY942" s="29">
        <f t="shared" si="448"/>
        <v>0</v>
      </c>
      <c r="AZ942" s="1">
        <f t="shared" si="460"/>
        <v>0</v>
      </c>
      <c r="CB942" s="20">
        <f t="shared" ref="CB942:CB1005" si="469">IF(O942=0,IF(P942&gt;0,V941,IF(O941=0,0,P942)),IF(O941=0,0,P942))</f>
        <v>0</v>
      </c>
      <c r="CC942" s="173">
        <f t="shared" si="461"/>
        <v>0</v>
      </c>
    </row>
    <row r="943" spans="10:81" x14ac:dyDescent="0.25">
      <c r="J943" s="7"/>
      <c r="K943" s="8"/>
      <c r="L943" s="16"/>
      <c r="M943" s="22"/>
      <c r="N943" s="22"/>
      <c r="O943" s="22"/>
      <c r="P943" s="22"/>
      <c r="Q943" s="1">
        <f t="shared" si="462"/>
        <v>0.60744618579017706</v>
      </c>
      <c r="R943" s="12">
        <f t="shared" ca="1" si="449"/>
        <v>27392</v>
      </c>
      <c r="S943" s="88">
        <f t="shared" si="458"/>
        <v>0</v>
      </c>
      <c r="T943" s="19">
        <f t="shared" si="450"/>
        <v>0</v>
      </c>
      <c r="U943" s="19">
        <f t="shared" si="451"/>
        <v>0</v>
      </c>
      <c r="V943" s="19">
        <f t="shared" si="467"/>
        <v>0</v>
      </c>
      <c r="W943" s="20">
        <f t="shared" ca="1" si="452"/>
        <v>0</v>
      </c>
      <c r="X943" s="19">
        <f t="shared" ca="1" si="453"/>
        <v>0</v>
      </c>
      <c r="Y943" s="19">
        <f t="shared" ca="1" si="454"/>
        <v>0</v>
      </c>
      <c r="Z943" s="20">
        <f t="shared" ca="1" si="455"/>
        <v>0</v>
      </c>
      <c r="AA943" s="1">
        <f t="shared" si="463"/>
        <v>5432.58</v>
      </c>
      <c r="AB943" s="91"/>
      <c r="AC943" s="92"/>
      <c r="AD943" s="101">
        <f t="shared" si="464"/>
        <v>68514</v>
      </c>
      <c r="AE943" s="103">
        <f t="shared" si="465"/>
        <v>0</v>
      </c>
      <c r="AG943" s="1">
        <f t="shared" si="456"/>
        <v>0</v>
      </c>
      <c r="AH943" s="1">
        <f t="shared" si="457"/>
        <v>0</v>
      </c>
      <c r="AI943" s="1">
        <f t="shared" si="466"/>
        <v>5432.58</v>
      </c>
      <c r="AJ943" s="20">
        <f t="shared" si="468"/>
        <v>0</v>
      </c>
      <c r="AK943" s="100">
        <f t="shared" si="440"/>
        <v>0</v>
      </c>
      <c r="AL943" s="100">
        <f t="shared" si="441"/>
        <v>0</v>
      </c>
      <c r="AN943" s="100">
        <f t="shared" si="442"/>
        <v>3420.7496110098741</v>
      </c>
      <c r="AO943" s="20">
        <f t="shared" si="443"/>
        <v>0</v>
      </c>
      <c r="AQ943" s="109">
        <f t="shared" si="444"/>
        <v>0</v>
      </c>
      <c r="AU943" s="109">
        <f t="shared" si="459"/>
        <v>24.974982970164547</v>
      </c>
      <c r="AV943" s="101">
        <f t="shared" si="445"/>
        <v>68544</v>
      </c>
      <c r="AW943" s="99">
        <f t="shared" si="446"/>
        <v>0</v>
      </c>
      <c r="AX943" s="1">
        <f t="shared" si="447"/>
        <v>0</v>
      </c>
      <c r="AY943" s="29">
        <f t="shared" si="448"/>
        <v>0</v>
      </c>
      <c r="AZ943" s="1">
        <f t="shared" si="460"/>
        <v>0</v>
      </c>
      <c r="CB943" s="20">
        <f t="shared" si="469"/>
        <v>0</v>
      </c>
      <c r="CC943" s="173">
        <f t="shared" si="461"/>
        <v>0</v>
      </c>
    </row>
    <row r="944" spans="10:81" x14ac:dyDescent="0.25">
      <c r="J944" s="9"/>
      <c r="K944" s="10"/>
      <c r="L944" s="17"/>
      <c r="M944" s="23"/>
      <c r="N944" s="23"/>
      <c r="O944" s="23"/>
      <c r="P944" s="23"/>
      <c r="Q944" s="1">
        <f t="shared" si="462"/>
        <v>0.60744618579017706</v>
      </c>
      <c r="R944" s="12">
        <f t="shared" ca="1" si="449"/>
        <v>27422</v>
      </c>
      <c r="S944" s="88">
        <f t="shared" si="458"/>
        <v>0</v>
      </c>
      <c r="T944" s="19">
        <f t="shared" si="450"/>
        <v>0</v>
      </c>
      <c r="U944" s="19">
        <f t="shared" si="451"/>
        <v>0</v>
      </c>
      <c r="V944" s="19">
        <f t="shared" si="467"/>
        <v>0</v>
      </c>
      <c r="W944" s="20">
        <f t="shared" ca="1" si="452"/>
        <v>0</v>
      </c>
      <c r="X944" s="19">
        <f t="shared" ca="1" si="453"/>
        <v>0</v>
      </c>
      <c r="Y944" s="19">
        <f t="shared" ca="1" si="454"/>
        <v>0</v>
      </c>
      <c r="Z944" s="20">
        <f t="shared" ca="1" si="455"/>
        <v>0</v>
      </c>
      <c r="AA944" s="1">
        <f t="shared" si="463"/>
        <v>5432.58</v>
      </c>
      <c r="AB944" s="93"/>
      <c r="AC944" s="94"/>
      <c r="AD944" s="101">
        <f t="shared" si="464"/>
        <v>68544</v>
      </c>
      <c r="AE944" s="103">
        <f t="shared" si="465"/>
        <v>0</v>
      </c>
      <c r="AG944" s="1">
        <f t="shared" si="456"/>
        <v>0</v>
      </c>
      <c r="AH944" s="1">
        <f t="shared" si="457"/>
        <v>0</v>
      </c>
      <c r="AI944" s="1">
        <f t="shared" si="466"/>
        <v>5432.58</v>
      </c>
      <c r="AJ944" s="20">
        <f t="shared" si="468"/>
        <v>0</v>
      </c>
      <c r="AK944" s="100">
        <f t="shared" si="440"/>
        <v>0</v>
      </c>
      <c r="AL944" s="100">
        <f t="shared" si="441"/>
        <v>0</v>
      </c>
      <c r="AN944" s="100">
        <f t="shared" si="442"/>
        <v>3419.0188860253234</v>
      </c>
      <c r="AO944" s="20">
        <f t="shared" si="443"/>
        <v>0</v>
      </c>
      <c r="AQ944" s="109">
        <f t="shared" si="444"/>
        <v>0</v>
      </c>
      <c r="AU944" s="109">
        <f t="shared" si="459"/>
        <v>24.972790914073205</v>
      </c>
      <c r="AV944" s="101">
        <f t="shared" si="445"/>
        <v>68574</v>
      </c>
      <c r="AW944" s="99">
        <f t="shared" si="446"/>
        <v>0</v>
      </c>
      <c r="AX944" s="1">
        <f t="shared" si="447"/>
        <v>0</v>
      </c>
      <c r="AY944" s="29">
        <f t="shared" si="448"/>
        <v>0</v>
      </c>
      <c r="AZ944" s="1">
        <f t="shared" si="460"/>
        <v>0</v>
      </c>
      <c r="CB944" s="20">
        <f t="shared" si="469"/>
        <v>0</v>
      </c>
      <c r="CC944" s="173">
        <f t="shared" si="461"/>
        <v>0</v>
      </c>
    </row>
    <row r="945" spans="10:81" x14ac:dyDescent="0.25">
      <c r="J945" s="7"/>
      <c r="K945" s="8"/>
      <c r="L945" s="16"/>
      <c r="M945" s="22"/>
      <c r="N945" s="22"/>
      <c r="O945" s="22"/>
      <c r="P945" s="22"/>
      <c r="Q945" s="1">
        <f t="shared" si="462"/>
        <v>0.60744618579017706</v>
      </c>
      <c r="R945" s="12">
        <f t="shared" ca="1" si="449"/>
        <v>27452</v>
      </c>
      <c r="S945" s="88">
        <f t="shared" si="458"/>
        <v>0</v>
      </c>
      <c r="T945" s="19">
        <f t="shared" si="450"/>
        <v>0</v>
      </c>
      <c r="U945" s="19">
        <f t="shared" si="451"/>
        <v>0</v>
      </c>
      <c r="V945" s="19">
        <f t="shared" si="467"/>
        <v>0</v>
      </c>
      <c r="W945" s="20">
        <f t="shared" ca="1" si="452"/>
        <v>0</v>
      </c>
      <c r="X945" s="19">
        <f t="shared" ca="1" si="453"/>
        <v>0</v>
      </c>
      <c r="Y945" s="19">
        <f t="shared" ca="1" si="454"/>
        <v>0</v>
      </c>
      <c r="Z945" s="20">
        <f t="shared" ca="1" si="455"/>
        <v>0</v>
      </c>
      <c r="AA945" s="1">
        <f t="shared" si="463"/>
        <v>5432.58</v>
      </c>
      <c r="AB945" s="91"/>
      <c r="AC945" s="92"/>
      <c r="AD945" s="101">
        <f t="shared" si="464"/>
        <v>68574</v>
      </c>
      <c r="AE945" s="103">
        <f t="shared" si="465"/>
        <v>0</v>
      </c>
      <c r="AG945" s="1">
        <f t="shared" si="456"/>
        <v>0</v>
      </c>
      <c r="AH945" s="1">
        <f t="shared" si="457"/>
        <v>0</v>
      </c>
      <c r="AI945" s="1">
        <f t="shared" si="466"/>
        <v>5432.58</v>
      </c>
      <c r="AJ945" s="20">
        <f t="shared" si="468"/>
        <v>0</v>
      </c>
      <c r="AK945" s="100">
        <f t="shared" si="440"/>
        <v>0</v>
      </c>
      <c r="AL945" s="100">
        <f t="shared" si="441"/>
        <v>0</v>
      </c>
      <c r="AN945" s="100">
        <f t="shared" si="442"/>
        <v>3417.2890366994184</v>
      </c>
      <c r="AO945" s="20">
        <f t="shared" si="443"/>
        <v>0</v>
      </c>
      <c r="AQ945" s="109">
        <f t="shared" si="444"/>
        <v>0</v>
      </c>
      <c r="AU945" s="109">
        <f t="shared" si="459"/>
        <v>24.97059905037878</v>
      </c>
      <c r="AV945" s="101">
        <f t="shared" si="445"/>
        <v>68604</v>
      </c>
      <c r="AW945" s="99">
        <f t="shared" si="446"/>
        <v>0</v>
      </c>
      <c r="AX945" s="1">
        <f t="shared" si="447"/>
        <v>0</v>
      </c>
      <c r="AY945" s="29">
        <f t="shared" si="448"/>
        <v>0</v>
      </c>
      <c r="AZ945" s="1">
        <f t="shared" si="460"/>
        <v>0</v>
      </c>
      <c r="CB945" s="20">
        <f t="shared" si="469"/>
        <v>0</v>
      </c>
      <c r="CC945" s="173">
        <f t="shared" si="461"/>
        <v>0</v>
      </c>
    </row>
    <row r="946" spans="10:81" x14ac:dyDescent="0.25">
      <c r="J946" s="9"/>
      <c r="K946" s="10"/>
      <c r="L946" s="17"/>
      <c r="M946" s="23"/>
      <c r="N946" s="23"/>
      <c r="O946" s="23"/>
      <c r="P946" s="23"/>
      <c r="Q946" s="1">
        <f t="shared" si="462"/>
        <v>0.60744618579017706</v>
      </c>
      <c r="R946" s="12">
        <f t="shared" ca="1" si="449"/>
        <v>27482</v>
      </c>
      <c r="S946" s="88">
        <f t="shared" si="458"/>
        <v>0</v>
      </c>
      <c r="T946" s="19">
        <f t="shared" si="450"/>
        <v>0</v>
      </c>
      <c r="U946" s="19">
        <f t="shared" si="451"/>
        <v>0</v>
      </c>
      <c r="V946" s="19">
        <f t="shared" si="467"/>
        <v>0</v>
      </c>
      <c r="W946" s="20">
        <f t="shared" ca="1" si="452"/>
        <v>0</v>
      </c>
      <c r="X946" s="19">
        <f t="shared" ca="1" si="453"/>
        <v>0</v>
      </c>
      <c r="Y946" s="19">
        <f t="shared" ca="1" si="454"/>
        <v>0</v>
      </c>
      <c r="Z946" s="20">
        <f t="shared" ca="1" si="455"/>
        <v>0</v>
      </c>
      <c r="AA946" s="1">
        <f t="shared" si="463"/>
        <v>5432.58</v>
      </c>
      <c r="AB946" s="93"/>
      <c r="AC946" s="94"/>
      <c r="AD946" s="101">
        <f t="shared" si="464"/>
        <v>68604</v>
      </c>
      <c r="AE946" s="103">
        <f t="shared" si="465"/>
        <v>0</v>
      </c>
      <c r="AG946" s="1">
        <f t="shared" si="456"/>
        <v>0</v>
      </c>
      <c r="AH946" s="1">
        <f t="shared" si="457"/>
        <v>0</v>
      </c>
      <c r="AI946" s="1">
        <f t="shared" si="466"/>
        <v>5432.58</v>
      </c>
      <c r="AJ946" s="20">
        <f t="shared" si="468"/>
        <v>0</v>
      </c>
      <c r="AK946" s="100">
        <f t="shared" si="440"/>
        <v>0</v>
      </c>
      <c r="AL946" s="100">
        <f t="shared" si="441"/>
        <v>0</v>
      </c>
      <c r="AN946" s="100">
        <f t="shared" si="442"/>
        <v>3415.5600625891207</v>
      </c>
      <c r="AO946" s="20">
        <f t="shared" si="443"/>
        <v>0</v>
      </c>
      <c r="AQ946" s="109">
        <f t="shared" si="444"/>
        <v>0</v>
      </c>
      <c r="AU946" s="109">
        <f t="shared" si="459"/>
        <v>24.968407379064391</v>
      </c>
      <c r="AV946" s="101">
        <f t="shared" si="445"/>
        <v>68634</v>
      </c>
      <c r="AW946" s="99">
        <f t="shared" si="446"/>
        <v>0</v>
      </c>
      <c r="AX946" s="1">
        <f t="shared" si="447"/>
        <v>0</v>
      </c>
      <c r="AY946" s="29">
        <f t="shared" si="448"/>
        <v>0</v>
      </c>
      <c r="AZ946" s="1">
        <f t="shared" si="460"/>
        <v>0</v>
      </c>
      <c r="CB946" s="20">
        <f t="shared" si="469"/>
        <v>0</v>
      </c>
      <c r="CC946" s="173">
        <f t="shared" si="461"/>
        <v>0</v>
      </c>
    </row>
    <row r="947" spans="10:81" x14ac:dyDescent="0.25">
      <c r="J947" s="7"/>
      <c r="K947" s="8"/>
      <c r="L947" s="16"/>
      <c r="M947" s="22"/>
      <c r="N947" s="22"/>
      <c r="O947" s="22"/>
      <c r="P947" s="22"/>
      <c r="Q947" s="1">
        <f t="shared" si="462"/>
        <v>0.60744618579017706</v>
      </c>
      <c r="R947" s="12">
        <f t="shared" ca="1" si="449"/>
        <v>27512</v>
      </c>
      <c r="S947" s="88">
        <f t="shared" si="458"/>
        <v>0</v>
      </c>
      <c r="T947" s="19">
        <f t="shared" si="450"/>
        <v>0</v>
      </c>
      <c r="U947" s="19">
        <f t="shared" si="451"/>
        <v>0</v>
      </c>
      <c r="V947" s="19">
        <f t="shared" si="467"/>
        <v>0</v>
      </c>
      <c r="W947" s="20">
        <f t="shared" ca="1" si="452"/>
        <v>0</v>
      </c>
      <c r="X947" s="19">
        <f t="shared" ca="1" si="453"/>
        <v>0</v>
      </c>
      <c r="Y947" s="19">
        <f t="shared" ca="1" si="454"/>
        <v>0</v>
      </c>
      <c r="Z947" s="20">
        <f t="shared" ca="1" si="455"/>
        <v>0</v>
      </c>
      <c r="AA947" s="1">
        <f t="shared" si="463"/>
        <v>5432.58</v>
      </c>
      <c r="AB947" s="91"/>
      <c r="AC947" s="92"/>
      <c r="AD947" s="101">
        <f t="shared" si="464"/>
        <v>68634</v>
      </c>
      <c r="AE947" s="103">
        <f t="shared" si="465"/>
        <v>0</v>
      </c>
      <c r="AG947" s="1">
        <f t="shared" si="456"/>
        <v>0</v>
      </c>
      <c r="AH947" s="1">
        <f t="shared" si="457"/>
        <v>0</v>
      </c>
      <c r="AI947" s="1">
        <f t="shared" si="466"/>
        <v>5432.58</v>
      </c>
      <c r="AJ947" s="20">
        <f t="shared" si="468"/>
        <v>0</v>
      </c>
      <c r="AK947" s="100">
        <f t="shared" si="440"/>
        <v>0</v>
      </c>
      <c r="AL947" s="100">
        <f t="shared" si="441"/>
        <v>0</v>
      </c>
      <c r="AN947" s="100">
        <f t="shared" si="442"/>
        <v>3413.831963251615</v>
      </c>
      <c r="AO947" s="20">
        <f t="shared" si="443"/>
        <v>0</v>
      </c>
      <c r="AQ947" s="109">
        <f t="shared" si="444"/>
        <v>0</v>
      </c>
      <c r="AU947" s="109">
        <f t="shared" si="459"/>
        <v>24.96621590011317</v>
      </c>
      <c r="AV947" s="101">
        <f t="shared" si="445"/>
        <v>68664</v>
      </c>
      <c r="AW947" s="99">
        <f t="shared" si="446"/>
        <v>0</v>
      </c>
      <c r="AX947" s="1">
        <f t="shared" si="447"/>
        <v>0</v>
      </c>
      <c r="AY947" s="29">
        <f t="shared" si="448"/>
        <v>0</v>
      </c>
      <c r="AZ947" s="1">
        <f t="shared" si="460"/>
        <v>0</v>
      </c>
      <c r="CB947" s="20">
        <f t="shared" si="469"/>
        <v>0</v>
      </c>
      <c r="CC947" s="173">
        <f t="shared" si="461"/>
        <v>0</v>
      </c>
    </row>
    <row r="948" spans="10:81" x14ac:dyDescent="0.25">
      <c r="J948" s="9"/>
      <c r="K948" s="10"/>
      <c r="L948" s="17"/>
      <c r="M948" s="23"/>
      <c r="N948" s="23"/>
      <c r="O948" s="23"/>
      <c r="P948" s="23"/>
      <c r="Q948" s="1">
        <f t="shared" si="462"/>
        <v>0.60744618579017706</v>
      </c>
      <c r="R948" s="12">
        <f t="shared" ca="1" si="449"/>
        <v>27542</v>
      </c>
      <c r="S948" s="88">
        <f t="shared" si="458"/>
        <v>0</v>
      </c>
      <c r="T948" s="19">
        <f t="shared" si="450"/>
        <v>0</v>
      </c>
      <c r="U948" s="19">
        <f t="shared" si="451"/>
        <v>0</v>
      </c>
      <c r="V948" s="19">
        <f t="shared" si="467"/>
        <v>0</v>
      </c>
      <c r="W948" s="20">
        <f t="shared" ca="1" si="452"/>
        <v>0</v>
      </c>
      <c r="X948" s="19">
        <f t="shared" ca="1" si="453"/>
        <v>0</v>
      </c>
      <c r="Y948" s="19">
        <f t="shared" ca="1" si="454"/>
        <v>0</v>
      </c>
      <c r="Z948" s="20">
        <f t="shared" ca="1" si="455"/>
        <v>0</v>
      </c>
      <c r="AA948" s="1">
        <f t="shared" si="463"/>
        <v>5432.58</v>
      </c>
      <c r="AB948" s="93"/>
      <c r="AC948" s="94"/>
      <c r="AD948" s="101">
        <f t="shared" si="464"/>
        <v>68664</v>
      </c>
      <c r="AE948" s="103">
        <f t="shared" si="465"/>
        <v>0</v>
      </c>
      <c r="AG948" s="1">
        <f t="shared" si="456"/>
        <v>0</v>
      </c>
      <c r="AH948" s="1">
        <f t="shared" si="457"/>
        <v>0</v>
      </c>
      <c r="AI948" s="1">
        <f t="shared" si="466"/>
        <v>5432.58</v>
      </c>
      <c r="AJ948" s="20">
        <f t="shared" si="468"/>
        <v>0</v>
      </c>
      <c r="AK948" s="100">
        <f t="shared" si="440"/>
        <v>0</v>
      </c>
      <c r="AL948" s="100">
        <f t="shared" si="441"/>
        <v>0</v>
      </c>
      <c r="AN948" s="100">
        <f t="shared" si="442"/>
        <v>3412.1047382443126</v>
      </c>
      <c r="AO948" s="20">
        <f t="shared" si="443"/>
        <v>0</v>
      </c>
      <c r="AQ948" s="109">
        <f t="shared" si="444"/>
        <v>0</v>
      </c>
      <c r="AU948" s="109">
        <f t="shared" si="459"/>
        <v>24.964024613508219</v>
      </c>
      <c r="AV948" s="101">
        <f t="shared" si="445"/>
        <v>68694</v>
      </c>
      <c r="AW948" s="99">
        <f t="shared" si="446"/>
        <v>0</v>
      </c>
      <c r="AX948" s="1">
        <f t="shared" si="447"/>
        <v>0</v>
      </c>
      <c r="AY948" s="29">
        <f t="shared" si="448"/>
        <v>0</v>
      </c>
      <c r="AZ948" s="1">
        <f t="shared" si="460"/>
        <v>0</v>
      </c>
      <c r="CB948" s="20">
        <f t="shared" si="469"/>
        <v>0</v>
      </c>
      <c r="CC948" s="173">
        <f t="shared" si="461"/>
        <v>0</v>
      </c>
    </row>
    <row r="949" spans="10:81" x14ac:dyDescent="0.25">
      <c r="J949" s="7"/>
      <c r="K949" s="8"/>
      <c r="L949" s="16"/>
      <c r="M949" s="22"/>
      <c r="N949" s="22"/>
      <c r="O949" s="22"/>
      <c r="P949" s="22"/>
      <c r="Q949" s="1">
        <f t="shared" si="462"/>
        <v>0.60744618579017706</v>
      </c>
      <c r="R949" s="12">
        <f t="shared" ca="1" si="449"/>
        <v>27572</v>
      </c>
      <c r="S949" s="88">
        <f t="shared" si="458"/>
        <v>0</v>
      </c>
      <c r="T949" s="19">
        <f t="shared" si="450"/>
        <v>0</v>
      </c>
      <c r="U949" s="19">
        <f t="shared" si="451"/>
        <v>0</v>
      </c>
      <c r="V949" s="19">
        <f t="shared" si="467"/>
        <v>0</v>
      </c>
      <c r="W949" s="20">
        <f t="shared" ca="1" si="452"/>
        <v>0</v>
      </c>
      <c r="X949" s="19">
        <f t="shared" ca="1" si="453"/>
        <v>0</v>
      </c>
      <c r="Y949" s="19">
        <f t="shared" ca="1" si="454"/>
        <v>0</v>
      </c>
      <c r="Z949" s="20">
        <f t="shared" ca="1" si="455"/>
        <v>0</v>
      </c>
      <c r="AA949" s="1">
        <f t="shared" si="463"/>
        <v>5432.58</v>
      </c>
      <c r="AB949" s="91"/>
      <c r="AC949" s="92"/>
      <c r="AD949" s="101">
        <f t="shared" si="464"/>
        <v>68694</v>
      </c>
      <c r="AE949" s="103">
        <f t="shared" si="465"/>
        <v>0</v>
      </c>
      <c r="AG949" s="1">
        <f t="shared" si="456"/>
        <v>0</v>
      </c>
      <c r="AH949" s="1">
        <f t="shared" si="457"/>
        <v>0</v>
      </c>
      <c r="AI949" s="1">
        <f t="shared" si="466"/>
        <v>5432.58</v>
      </c>
      <c r="AJ949" s="20">
        <f t="shared" si="468"/>
        <v>0</v>
      </c>
      <c r="AK949" s="100">
        <f t="shared" si="440"/>
        <v>0</v>
      </c>
      <c r="AL949" s="100">
        <f t="shared" si="441"/>
        <v>0</v>
      </c>
      <c r="AN949" s="100">
        <f t="shared" si="442"/>
        <v>3410.3783871248461</v>
      </c>
      <c r="AO949" s="20">
        <f t="shared" si="443"/>
        <v>0</v>
      </c>
      <c r="AQ949" s="109">
        <f t="shared" si="444"/>
        <v>0</v>
      </c>
      <c r="AU949" s="109">
        <f t="shared" si="459"/>
        <v>24.961833519232634</v>
      </c>
      <c r="AV949" s="101">
        <f t="shared" si="445"/>
        <v>68724</v>
      </c>
      <c r="AW949" s="99">
        <f t="shared" si="446"/>
        <v>0</v>
      </c>
      <c r="AX949" s="1">
        <f t="shared" si="447"/>
        <v>0</v>
      </c>
      <c r="AY949" s="29">
        <f t="shared" si="448"/>
        <v>0</v>
      </c>
      <c r="AZ949" s="1">
        <f t="shared" si="460"/>
        <v>0</v>
      </c>
      <c r="CB949" s="20">
        <f t="shared" si="469"/>
        <v>0</v>
      </c>
      <c r="CC949" s="173">
        <f t="shared" si="461"/>
        <v>0</v>
      </c>
    </row>
    <row r="950" spans="10:81" x14ac:dyDescent="0.25">
      <c r="J950" s="9"/>
      <c r="K950" s="10"/>
      <c r="L950" s="17"/>
      <c r="M950" s="23"/>
      <c r="N950" s="23"/>
      <c r="O950" s="23"/>
      <c r="P950" s="23"/>
      <c r="Q950" s="1">
        <f t="shared" si="462"/>
        <v>0.60744618579017706</v>
      </c>
      <c r="R950" s="12">
        <f t="shared" ca="1" si="449"/>
        <v>27602</v>
      </c>
      <c r="S950" s="88">
        <f t="shared" si="458"/>
        <v>0</v>
      </c>
      <c r="T950" s="19">
        <f t="shared" si="450"/>
        <v>0</v>
      </c>
      <c r="U950" s="19">
        <f t="shared" si="451"/>
        <v>0</v>
      </c>
      <c r="V950" s="19">
        <f t="shared" si="467"/>
        <v>0</v>
      </c>
      <c r="W950" s="20">
        <f t="shared" ca="1" si="452"/>
        <v>0</v>
      </c>
      <c r="X950" s="19">
        <f t="shared" ca="1" si="453"/>
        <v>0</v>
      </c>
      <c r="Y950" s="19">
        <f t="shared" ca="1" si="454"/>
        <v>0</v>
      </c>
      <c r="Z950" s="20">
        <f t="shared" ca="1" si="455"/>
        <v>0</v>
      </c>
      <c r="AA950" s="1">
        <f t="shared" si="463"/>
        <v>5432.58</v>
      </c>
      <c r="AB950" s="93"/>
      <c r="AC950" s="94"/>
      <c r="AD950" s="101">
        <f t="shared" si="464"/>
        <v>68724</v>
      </c>
      <c r="AE950" s="103">
        <f t="shared" si="465"/>
        <v>0</v>
      </c>
      <c r="AG950" s="1">
        <f t="shared" si="456"/>
        <v>0</v>
      </c>
      <c r="AH950" s="1">
        <f t="shared" si="457"/>
        <v>0</v>
      </c>
      <c r="AI950" s="1">
        <f t="shared" si="466"/>
        <v>5432.58</v>
      </c>
      <c r="AJ950" s="20">
        <f t="shared" si="468"/>
        <v>0</v>
      </c>
      <c r="AK950" s="100">
        <f t="shared" ref="AK950:AK1013" si="470">IF(ISERROR(AJ950/(1+(Q950)/1200)^(ROW()-29)),0,AJ950/(1+(Q950)/1200)^(ROW()-29))</f>
        <v>0</v>
      </c>
      <c r="AL950" s="100">
        <f t="shared" ref="AL950:AL1013" si="471">IF(ISERROR((Q950/1200)*O950),0,(Q950/1200)*O950)</f>
        <v>0</v>
      </c>
      <c r="AN950" s="100">
        <f t="shared" ref="AN950:AN1013" si="472">IF(ISERROR(AA950/(1+(Q950)/1200)^(ROW()-29)),0,AA950/(1+(Q950)/1200)^(ROW()-29))</f>
        <v>3408.6529094510706</v>
      </c>
      <c r="AO950" s="20">
        <f t="shared" ref="AO950:AO1013" si="473">IF(ISERROR(V949+U950+T950+(V949*Q950/1200)-AA950-P950),0,IF(V949+U950+T950+(V949*Q950/1200)-AA950-P950&lt;0,V949,-(U950+T950-AA950+P950-AH950)))</f>
        <v>0</v>
      </c>
      <c r="AQ950" s="109">
        <f t="shared" ref="AQ950:AQ1013" si="474">AO950/(1+((1+$AM$27)^((ROW()-29)*30)-1))</f>
        <v>0</v>
      </c>
      <c r="AU950" s="109">
        <f t="shared" si="459"/>
        <v>24.959642617269566</v>
      </c>
      <c r="AV950" s="101">
        <f t="shared" ref="AV950:AV1013" si="475">AD951</f>
        <v>68754</v>
      </c>
      <c r="AW950" s="99">
        <f t="shared" ref="AW950:AW1013" si="476">IF(AJ951&lt;0,0,AJ951)</f>
        <v>0</v>
      </c>
      <c r="AX950" s="1">
        <f t="shared" ref="AX950:AX1013" si="477">IF(AG950&gt;0,AA950,0)</f>
        <v>0</v>
      </c>
      <c r="AY950" s="29">
        <f t="shared" ref="AY950:AY1013" si="478">AE950</f>
        <v>0</v>
      </c>
      <c r="AZ950" s="1">
        <f t="shared" si="460"/>
        <v>0</v>
      </c>
      <c r="CB950" s="20">
        <f t="shared" si="469"/>
        <v>0</v>
      </c>
      <c r="CC950" s="173">
        <f t="shared" si="461"/>
        <v>0</v>
      </c>
    </row>
    <row r="951" spans="10:81" x14ac:dyDescent="0.25">
      <c r="J951" s="7"/>
      <c r="K951" s="8"/>
      <c r="L951" s="16"/>
      <c r="M951" s="22"/>
      <c r="N951" s="22"/>
      <c r="O951" s="22"/>
      <c r="P951" s="22"/>
      <c r="Q951" s="1">
        <f t="shared" si="462"/>
        <v>0.60744618579017706</v>
      </c>
      <c r="R951" s="12">
        <f t="shared" ref="R951:R1014" ca="1" si="479">IF(ROW()&gt;$T$20,R950+30,DAYS360(K950,K951)+R950)</f>
        <v>27632</v>
      </c>
      <c r="S951" s="88">
        <f t="shared" si="458"/>
        <v>0</v>
      </c>
      <c r="T951" s="19">
        <f t="shared" ref="T951:T1014" si="480">IF(ISERROR((previousBalance*Q951/1200)*(IF(ROW()-30&lt;$G$22,$G$21,0))),0,(previousBalance*Q951/1200)*(IF(ROW()-30&lt;$G$22,$G$21,0)))</f>
        <v>0</v>
      </c>
      <c r="U951" s="19">
        <f t="shared" ref="U951:U1014" si="481">AA951*(IF(ROW()-30&lt;$H$22,$H$21,0))</f>
        <v>0</v>
      </c>
      <c r="V951" s="19">
        <f t="shared" si="467"/>
        <v>0</v>
      </c>
      <c r="W951" s="20">
        <f t="shared" ref="W951:W1014" ca="1" si="482">(T951)/(1+((1+$T$12)^$R951-1))</f>
        <v>0</v>
      </c>
      <c r="X951" s="19">
        <f t="shared" ref="X951:X1014" ca="1" si="483">(U951)/(1+((1+$T$12)^$R951-1))</f>
        <v>0</v>
      </c>
      <c r="Y951" s="19">
        <f t="shared" ref="Y951:Y1014" ca="1" si="484">P951/(1+((1+$T$12)^$R951-1))</f>
        <v>0</v>
      </c>
      <c r="Z951" s="20">
        <f t="shared" ref="Z951:Z1014" ca="1" si="485">W951+X951</f>
        <v>0</v>
      </c>
      <c r="AA951" s="1">
        <f t="shared" si="463"/>
        <v>5432.58</v>
      </c>
      <c r="AB951" s="91"/>
      <c r="AC951" s="92"/>
      <c r="AD951" s="101">
        <f t="shared" si="464"/>
        <v>68754</v>
      </c>
      <c r="AE951" s="103">
        <f t="shared" si="465"/>
        <v>0</v>
      </c>
      <c r="AG951" s="1">
        <f t="shared" ref="AG951:AG1014" si="486">AE951/360</f>
        <v>0</v>
      </c>
      <c r="AH951" s="1">
        <f t="shared" ref="AH951:AH1014" si="487">IF(ISERROR(IF(V950+U951+T951+(V950*Q951/1200)-AA951-P951&lt;0,0,(V950*Q951/1200))),0,IF(V950+U951+T951+(V950*Q951/1200)-AA951-P951&lt;0,0,(V950*Q951/1200)))</f>
        <v>0</v>
      </c>
      <c r="AI951" s="1">
        <f t="shared" si="466"/>
        <v>5432.58</v>
      </c>
      <c r="AJ951" s="20">
        <f t="shared" si="468"/>
        <v>0</v>
      </c>
      <c r="AK951" s="100">
        <f t="shared" si="470"/>
        <v>0</v>
      </c>
      <c r="AL951" s="100">
        <f t="shared" si="471"/>
        <v>0</v>
      </c>
      <c r="AN951" s="100">
        <f t="shared" si="472"/>
        <v>3406.9283047810704</v>
      </c>
      <c r="AO951" s="20">
        <f t="shared" si="473"/>
        <v>0</v>
      </c>
      <c r="AQ951" s="109">
        <f t="shared" si="474"/>
        <v>0</v>
      </c>
      <c r="AU951" s="109">
        <f t="shared" si="459"/>
        <v>24.957451907602131</v>
      </c>
      <c r="AV951" s="101">
        <f t="shared" si="475"/>
        <v>68784</v>
      </c>
      <c r="AW951" s="99">
        <f t="shared" si="476"/>
        <v>0</v>
      </c>
      <c r="AX951" s="1">
        <f t="shared" si="477"/>
        <v>0</v>
      </c>
      <c r="AY951" s="29">
        <f t="shared" si="478"/>
        <v>0</v>
      </c>
      <c r="AZ951" s="1">
        <f t="shared" si="460"/>
        <v>0</v>
      </c>
      <c r="CB951" s="20">
        <f t="shared" si="469"/>
        <v>0</v>
      </c>
      <c r="CC951" s="173">
        <f t="shared" si="461"/>
        <v>0</v>
      </c>
    </row>
    <row r="952" spans="10:81" x14ac:dyDescent="0.25">
      <c r="J952" s="9"/>
      <c r="K952" s="10"/>
      <c r="L952" s="17"/>
      <c r="M952" s="23"/>
      <c r="N952" s="23"/>
      <c r="O952" s="23"/>
      <c r="P952" s="23"/>
      <c r="Q952" s="1">
        <f t="shared" si="462"/>
        <v>0.60744618579017706</v>
      </c>
      <c r="R952" s="12">
        <f t="shared" ca="1" si="479"/>
        <v>27662</v>
      </c>
      <c r="S952" s="88">
        <f t="shared" si="458"/>
        <v>0</v>
      </c>
      <c r="T952" s="19">
        <f t="shared" si="480"/>
        <v>0</v>
      </c>
      <c r="U952" s="19">
        <f t="shared" si="481"/>
        <v>0</v>
      </c>
      <c r="V952" s="19">
        <f t="shared" si="467"/>
        <v>0</v>
      </c>
      <c r="W952" s="20">
        <f t="shared" ca="1" si="482"/>
        <v>0</v>
      </c>
      <c r="X952" s="19">
        <f t="shared" ca="1" si="483"/>
        <v>0</v>
      </c>
      <c r="Y952" s="19">
        <f t="shared" ca="1" si="484"/>
        <v>0</v>
      </c>
      <c r="Z952" s="20">
        <f t="shared" ca="1" si="485"/>
        <v>0</v>
      </c>
      <c r="AA952" s="1">
        <f t="shared" si="463"/>
        <v>5432.58</v>
      </c>
      <c r="AB952" s="93"/>
      <c r="AC952" s="94"/>
      <c r="AD952" s="101">
        <f t="shared" si="464"/>
        <v>68784</v>
      </c>
      <c r="AE952" s="103">
        <f t="shared" si="465"/>
        <v>0</v>
      </c>
      <c r="AG952" s="1">
        <f t="shared" si="486"/>
        <v>0</v>
      </c>
      <c r="AH952" s="1">
        <f t="shared" si="487"/>
        <v>0</v>
      </c>
      <c r="AI952" s="1">
        <f t="shared" si="466"/>
        <v>5432.58</v>
      </c>
      <c r="AJ952" s="20">
        <f t="shared" si="468"/>
        <v>0</v>
      </c>
      <c r="AK952" s="100">
        <f t="shared" si="470"/>
        <v>0</v>
      </c>
      <c r="AL952" s="100">
        <f t="shared" si="471"/>
        <v>0</v>
      </c>
      <c r="AN952" s="100">
        <f t="shared" si="472"/>
        <v>3405.204572673149</v>
      </c>
      <c r="AO952" s="20">
        <f t="shared" si="473"/>
        <v>0</v>
      </c>
      <c r="AQ952" s="109">
        <f t="shared" si="474"/>
        <v>0</v>
      </c>
      <c r="AU952" s="109">
        <f t="shared" si="459"/>
        <v>24.955261390213426</v>
      </c>
      <c r="AV952" s="101">
        <f t="shared" si="475"/>
        <v>68814</v>
      </c>
      <c r="AW952" s="99">
        <f t="shared" si="476"/>
        <v>0</v>
      </c>
      <c r="AX952" s="1">
        <f t="shared" si="477"/>
        <v>0</v>
      </c>
      <c r="AY952" s="29">
        <f t="shared" si="478"/>
        <v>0</v>
      </c>
      <c r="AZ952" s="1">
        <f t="shared" si="460"/>
        <v>0</v>
      </c>
      <c r="CB952" s="20">
        <f t="shared" si="469"/>
        <v>0</v>
      </c>
      <c r="CC952" s="173">
        <f t="shared" si="461"/>
        <v>0</v>
      </c>
    </row>
    <row r="953" spans="10:81" x14ac:dyDescent="0.25">
      <c r="J953" s="7"/>
      <c r="K953" s="8"/>
      <c r="L953" s="16"/>
      <c r="M953" s="22"/>
      <c r="N953" s="22"/>
      <c r="O953" s="22"/>
      <c r="P953" s="22"/>
      <c r="Q953" s="1">
        <f t="shared" si="462"/>
        <v>0.60744618579017706</v>
      </c>
      <c r="R953" s="12">
        <f t="shared" ca="1" si="479"/>
        <v>27692</v>
      </c>
      <c r="S953" s="88">
        <f t="shared" si="458"/>
        <v>0</v>
      </c>
      <c r="T953" s="19">
        <f t="shared" si="480"/>
        <v>0</v>
      </c>
      <c r="U953" s="19">
        <f t="shared" si="481"/>
        <v>0</v>
      </c>
      <c r="V953" s="19">
        <f t="shared" si="467"/>
        <v>0</v>
      </c>
      <c r="W953" s="20">
        <f t="shared" ca="1" si="482"/>
        <v>0</v>
      </c>
      <c r="X953" s="19">
        <f t="shared" ca="1" si="483"/>
        <v>0</v>
      </c>
      <c r="Y953" s="19">
        <f t="shared" ca="1" si="484"/>
        <v>0</v>
      </c>
      <c r="Z953" s="20">
        <f t="shared" ca="1" si="485"/>
        <v>0</v>
      </c>
      <c r="AA953" s="1">
        <f t="shared" si="463"/>
        <v>5432.58</v>
      </c>
      <c r="AB953" s="91"/>
      <c r="AC953" s="92"/>
      <c r="AD953" s="101">
        <f t="shared" si="464"/>
        <v>68814</v>
      </c>
      <c r="AE953" s="103">
        <f t="shared" si="465"/>
        <v>0</v>
      </c>
      <c r="AG953" s="1">
        <f t="shared" si="486"/>
        <v>0</v>
      </c>
      <c r="AH953" s="1">
        <f t="shared" si="487"/>
        <v>0</v>
      </c>
      <c r="AI953" s="1">
        <f t="shared" si="466"/>
        <v>5432.58</v>
      </c>
      <c r="AJ953" s="20">
        <f t="shared" si="468"/>
        <v>0</v>
      </c>
      <c r="AK953" s="100">
        <f t="shared" si="470"/>
        <v>0</v>
      </c>
      <c r="AL953" s="100">
        <f t="shared" si="471"/>
        <v>0</v>
      </c>
      <c r="AN953" s="100">
        <f t="shared" si="472"/>
        <v>3403.4817126858338</v>
      </c>
      <c r="AO953" s="20">
        <f t="shared" si="473"/>
        <v>0</v>
      </c>
      <c r="AQ953" s="109">
        <f t="shared" si="474"/>
        <v>0</v>
      </c>
      <c r="AU953" s="109">
        <f t="shared" si="459"/>
        <v>24.953071065086615</v>
      </c>
      <c r="AV953" s="101">
        <f t="shared" si="475"/>
        <v>68844</v>
      </c>
      <c r="AW953" s="99">
        <f t="shared" si="476"/>
        <v>0</v>
      </c>
      <c r="AX953" s="1">
        <f t="shared" si="477"/>
        <v>0</v>
      </c>
      <c r="AY953" s="29">
        <f t="shared" si="478"/>
        <v>0</v>
      </c>
      <c r="AZ953" s="1">
        <f t="shared" si="460"/>
        <v>0</v>
      </c>
      <c r="CB953" s="20">
        <f t="shared" si="469"/>
        <v>0</v>
      </c>
      <c r="CC953" s="173">
        <f t="shared" si="461"/>
        <v>0</v>
      </c>
    </row>
    <row r="954" spans="10:81" x14ac:dyDescent="0.25">
      <c r="J954" s="9"/>
      <c r="K954" s="10"/>
      <c r="L954" s="17"/>
      <c r="M954" s="23"/>
      <c r="N954" s="23"/>
      <c r="O954" s="23"/>
      <c r="P954" s="23"/>
      <c r="Q954" s="1">
        <f t="shared" si="462"/>
        <v>0.60744618579017706</v>
      </c>
      <c r="R954" s="12">
        <f t="shared" ca="1" si="479"/>
        <v>27722</v>
      </c>
      <c r="S954" s="88">
        <f t="shared" si="458"/>
        <v>0</v>
      </c>
      <c r="T954" s="19">
        <f t="shared" si="480"/>
        <v>0</v>
      </c>
      <c r="U954" s="19">
        <f t="shared" si="481"/>
        <v>0</v>
      </c>
      <c r="V954" s="19">
        <f t="shared" si="467"/>
        <v>0</v>
      </c>
      <c r="W954" s="20">
        <f t="shared" ca="1" si="482"/>
        <v>0</v>
      </c>
      <c r="X954" s="19">
        <f t="shared" ca="1" si="483"/>
        <v>0</v>
      </c>
      <c r="Y954" s="19">
        <f t="shared" ca="1" si="484"/>
        <v>0</v>
      </c>
      <c r="Z954" s="20">
        <f t="shared" ca="1" si="485"/>
        <v>0</v>
      </c>
      <c r="AA954" s="1">
        <f t="shared" si="463"/>
        <v>5432.58</v>
      </c>
      <c r="AB954" s="93"/>
      <c r="AC954" s="94"/>
      <c r="AD954" s="101">
        <f t="shared" si="464"/>
        <v>68844</v>
      </c>
      <c r="AE954" s="103">
        <f t="shared" si="465"/>
        <v>0</v>
      </c>
      <c r="AG954" s="1">
        <f t="shared" si="486"/>
        <v>0</v>
      </c>
      <c r="AH954" s="1">
        <f t="shared" si="487"/>
        <v>0</v>
      </c>
      <c r="AI954" s="1">
        <f t="shared" si="466"/>
        <v>5432.58</v>
      </c>
      <c r="AJ954" s="20">
        <f t="shared" si="468"/>
        <v>0</v>
      </c>
      <c r="AK954" s="100">
        <f t="shared" si="470"/>
        <v>0</v>
      </c>
      <c r="AL954" s="100">
        <f t="shared" si="471"/>
        <v>0</v>
      </c>
      <c r="AN954" s="100">
        <f t="shared" si="472"/>
        <v>3401.7597243778769</v>
      </c>
      <c r="AO954" s="20">
        <f t="shared" si="473"/>
        <v>0</v>
      </c>
      <c r="AQ954" s="109">
        <f t="shared" si="474"/>
        <v>0</v>
      </c>
      <c r="AU954" s="109">
        <f t="shared" si="459"/>
        <v>24.950880932204786</v>
      </c>
      <c r="AV954" s="101">
        <f t="shared" si="475"/>
        <v>68874</v>
      </c>
      <c r="AW954" s="99">
        <f t="shared" si="476"/>
        <v>0</v>
      </c>
      <c r="AX954" s="1">
        <f t="shared" si="477"/>
        <v>0</v>
      </c>
      <c r="AY954" s="29">
        <f t="shared" si="478"/>
        <v>0</v>
      </c>
      <c r="AZ954" s="1">
        <f t="shared" si="460"/>
        <v>0</v>
      </c>
      <c r="CB954" s="20">
        <f t="shared" si="469"/>
        <v>0</v>
      </c>
      <c r="CC954" s="173">
        <f t="shared" si="461"/>
        <v>0</v>
      </c>
    </row>
    <row r="955" spans="10:81" x14ac:dyDescent="0.25">
      <c r="J955" s="7"/>
      <c r="K955" s="8"/>
      <c r="L955" s="16"/>
      <c r="M955" s="22"/>
      <c r="N955" s="22"/>
      <c r="O955" s="22"/>
      <c r="P955" s="22"/>
      <c r="Q955" s="1">
        <f t="shared" si="462"/>
        <v>0.60744618579017706</v>
      </c>
      <c r="R955" s="12">
        <f t="shared" ca="1" si="479"/>
        <v>27752</v>
      </c>
      <c r="S955" s="88">
        <f t="shared" si="458"/>
        <v>0</v>
      </c>
      <c r="T955" s="19">
        <f t="shared" si="480"/>
        <v>0</v>
      </c>
      <c r="U955" s="19">
        <f t="shared" si="481"/>
        <v>0</v>
      </c>
      <c r="V955" s="19">
        <f t="shared" si="467"/>
        <v>0</v>
      </c>
      <c r="W955" s="20">
        <f t="shared" ca="1" si="482"/>
        <v>0</v>
      </c>
      <c r="X955" s="19">
        <f t="shared" ca="1" si="483"/>
        <v>0</v>
      </c>
      <c r="Y955" s="19">
        <f t="shared" ca="1" si="484"/>
        <v>0</v>
      </c>
      <c r="Z955" s="20">
        <f t="shared" ca="1" si="485"/>
        <v>0</v>
      </c>
      <c r="AA955" s="1">
        <f t="shared" si="463"/>
        <v>5432.58</v>
      </c>
      <c r="AB955" s="91"/>
      <c r="AC955" s="92"/>
      <c r="AD955" s="101">
        <f t="shared" si="464"/>
        <v>68874</v>
      </c>
      <c r="AE955" s="103">
        <f t="shared" si="465"/>
        <v>0</v>
      </c>
      <c r="AG955" s="1">
        <f t="shared" si="486"/>
        <v>0</v>
      </c>
      <c r="AH955" s="1">
        <f t="shared" si="487"/>
        <v>0</v>
      </c>
      <c r="AI955" s="1">
        <f t="shared" si="466"/>
        <v>5432.58</v>
      </c>
      <c r="AJ955" s="20">
        <f t="shared" si="468"/>
        <v>0</v>
      </c>
      <c r="AK955" s="100">
        <f t="shared" si="470"/>
        <v>0</v>
      </c>
      <c r="AL955" s="100">
        <f t="shared" si="471"/>
        <v>0</v>
      </c>
      <c r="AN955" s="100">
        <f t="shared" si="472"/>
        <v>3400.0386073082523</v>
      </c>
      <c r="AO955" s="20">
        <f t="shared" si="473"/>
        <v>0</v>
      </c>
      <c r="AQ955" s="109">
        <f t="shared" si="474"/>
        <v>0</v>
      </c>
      <c r="AU955" s="109">
        <f t="shared" si="459"/>
        <v>24.948690991551086</v>
      </c>
      <c r="AV955" s="101">
        <f t="shared" si="475"/>
        <v>68904</v>
      </c>
      <c r="AW955" s="99">
        <f t="shared" si="476"/>
        <v>0</v>
      </c>
      <c r="AX955" s="1">
        <f t="shared" si="477"/>
        <v>0</v>
      </c>
      <c r="AY955" s="29">
        <f t="shared" si="478"/>
        <v>0</v>
      </c>
      <c r="AZ955" s="1">
        <f t="shared" si="460"/>
        <v>0</v>
      </c>
      <c r="CB955" s="20">
        <f t="shared" si="469"/>
        <v>0</v>
      </c>
      <c r="CC955" s="173">
        <f t="shared" si="461"/>
        <v>0</v>
      </c>
    </row>
    <row r="956" spans="10:81" x14ac:dyDescent="0.25">
      <c r="J956" s="9"/>
      <c r="K956" s="10"/>
      <c r="L956" s="17"/>
      <c r="M956" s="23"/>
      <c r="N956" s="23"/>
      <c r="O956" s="23"/>
      <c r="P956" s="23"/>
      <c r="Q956" s="1">
        <f t="shared" si="462"/>
        <v>0.60744618579017706</v>
      </c>
      <c r="R956" s="12">
        <f t="shared" ca="1" si="479"/>
        <v>27782</v>
      </c>
      <c r="S956" s="88">
        <f t="shared" si="458"/>
        <v>0</v>
      </c>
      <c r="T956" s="19">
        <f t="shared" si="480"/>
        <v>0</v>
      </c>
      <c r="U956" s="19">
        <f t="shared" si="481"/>
        <v>0</v>
      </c>
      <c r="V956" s="19">
        <f t="shared" si="467"/>
        <v>0</v>
      </c>
      <c r="W956" s="20">
        <f t="shared" ca="1" si="482"/>
        <v>0</v>
      </c>
      <c r="X956" s="19">
        <f t="shared" ca="1" si="483"/>
        <v>0</v>
      </c>
      <c r="Y956" s="19">
        <f t="shared" ca="1" si="484"/>
        <v>0</v>
      </c>
      <c r="Z956" s="20">
        <f t="shared" ca="1" si="485"/>
        <v>0</v>
      </c>
      <c r="AA956" s="1">
        <f t="shared" si="463"/>
        <v>5432.58</v>
      </c>
      <c r="AB956" s="93"/>
      <c r="AC956" s="94"/>
      <c r="AD956" s="101">
        <f t="shared" si="464"/>
        <v>68904</v>
      </c>
      <c r="AE956" s="103">
        <f t="shared" si="465"/>
        <v>0</v>
      </c>
      <c r="AG956" s="1">
        <f t="shared" si="486"/>
        <v>0</v>
      </c>
      <c r="AH956" s="1">
        <f t="shared" si="487"/>
        <v>0</v>
      </c>
      <c r="AI956" s="1">
        <f t="shared" si="466"/>
        <v>5432.58</v>
      </c>
      <c r="AJ956" s="20">
        <f t="shared" si="468"/>
        <v>0</v>
      </c>
      <c r="AK956" s="100">
        <f t="shared" si="470"/>
        <v>0</v>
      </c>
      <c r="AL956" s="100">
        <f t="shared" si="471"/>
        <v>0</v>
      </c>
      <c r="AN956" s="100">
        <f t="shared" si="472"/>
        <v>3398.3183610361584</v>
      </c>
      <c r="AO956" s="20">
        <f t="shared" si="473"/>
        <v>0</v>
      </c>
      <c r="AQ956" s="109">
        <f t="shared" si="474"/>
        <v>0</v>
      </c>
      <c r="AU956" s="109">
        <f t="shared" si="459"/>
        <v>24.946501243108639</v>
      </c>
      <c r="AV956" s="101">
        <f t="shared" si="475"/>
        <v>68934</v>
      </c>
      <c r="AW956" s="99">
        <f t="shared" si="476"/>
        <v>0</v>
      </c>
      <c r="AX956" s="1">
        <f t="shared" si="477"/>
        <v>0</v>
      </c>
      <c r="AY956" s="29">
        <f t="shared" si="478"/>
        <v>0</v>
      </c>
      <c r="AZ956" s="1">
        <f t="shared" si="460"/>
        <v>0</v>
      </c>
      <c r="CB956" s="20">
        <f t="shared" si="469"/>
        <v>0</v>
      </c>
      <c r="CC956" s="173">
        <f t="shared" si="461"/>
        <v>0</v>
      </c>
    </row>
    <row r="957" spans="10:81" x14ac:dyDescent="0.25">
      <c r="J957" s="7"/>
      <c r="K957" s="8"/>
      <c r="L957" s="16"/>
      <c r="M957" s="22"/>
      <c r="N957" s="22"/>
      <c r="O957" s="22"/>
      <c r="P957" s="22"/>
      <c r="Q957" s="1">
        <f t="shared" si="462"/>
        <v>0.60744618579017706</v>
      </c>
      <c r="R957" s="12">
        <f t="shared" ca="1" si="479"/>
        <v>27812</v>
      </c>
      <c r="S957" s="88">
        <f t="shared" si="458"/>
        <v>0</v>
      </c>
      <c r="T957" s="19">
        <f t="shared" si="480"/>
        <v>0</v>
      </c>
      <c r="U957" s="19">
        <f t="shared" si="481"/>
        <v>0</v>
      </c>
      <c r="V957" s="19">
        <f t="shared" si="467"/>
        <v>0</v>
      </c>
      <c r="W957" s="20">
        <f t="shared" ca="1" si="482"/>
        <v>0</v>
      </c>
      <c r="X957" s="19">
        <f t="shared" ca="1" si="483"/>
        <v>0</v>
      </c>
      <c r="Y957" s="19">
        <f t="shared" ca="1" si="484"/>
        <v>0</v>
      </c>
      <c r="Z957" s="20">
        <f t="shared" ca="1" si="485"/>
        <v>0</v>
      </c>
      <c r="AA957" s="1">
        <f t="shared" si="463"/>
        <v>5432.58</v>
      </c>
      <c r="AB957" s="91"/>
      <c r="AC957" s="92"/>
      <c r="AD957" s="101">
        <f t="shared" si="464"/>
        <v>68934</v>
      </c>
      <c r="AE957" s="103">
        <f t="shared" si="465"/>
        <v>0</v>
      </c>
      <c r="AG957" s="1">
        <f t="shared" si="486"/>
        <v>0</v>
      </c>
      <c r="AH957" s="1">
        <f t="shared" si="487"/>
        <v>0</v>
      </c>
      <c r="AI957" s="1">
        <f t="shared" si="466"/>
        <v>5432.58</v>
      </c>
      <c r="AJ957" s="20">
        <f t="shared" si="468"/>
        <v>0</v>
      </c>
      <c r="AK957" s="100">
        <f t="shared" si="470"/>
        <v>0</v>
      </c>
      <c r="AL957" s="100">
        <f t="shared" si="471"/>
        <v>0</v>
      </c>
      <c r="AN957" s="100">
        <f t="shared" si="472"/>
        <v>3396.5989851210161</v>
      </c>
      <c r="AO957" s="20">
        <f t="shared" si="473"/>
        <v>0</v>
      </c>
      <c r="AQ957" s="109">
        <f t="shared" si="474"/>
        <v>0</v>
      </c>
      <c r="AU957" s="109">
        <f t="shared" si="459"/>
        <v>24.94431168686058</v>
      </c>
      <c r="AV957" s="101">
        <f t="shared" si="475"/>
        <v>68964</v>
      </c>
      <c r="AW957" s="99">
        <f t="shared" si="476"/>
        <v>0</v>
      </c>
      <c r="AX957" s="1">
        <f t="shared" si="477"/>
        <v>0</v>
      </c>
      <c r="AY957" s="29">
        <f t="shared" si="478"/>
        <v>0</v>
      </c>
      <c r="AZ957" s="1">
        <f t="shared" si="460"/>
        <v>0</v>
      </c>
      <c r="CB957" s="20">
        <f t="shared" si="469"/>
        <v>0</v>
      </c>
      <c r="CC957" s="173">
        <f t="shared" si="461"/>
        <v>0</v>
      </c>
    </row>
    <row r="958" spans="10:81" x14ac:dyDescent="0.25">
      <c r="J958" s="9"/>
      <c r="K958" s="10"/>
      <c r="L958" s="17"/>
      <c r="M958" s="23"/>
      <c r="N958" s="23"/>
      <c r="O958" s="23"/>
      <c r="P958" s="23"/>
      <c r="Q958" s="1">
        <f t="shared" si="462"/>
        <v>0.60744618579017706</v>
      </c>
      <c r="R958" s="12">
        <f t="shared" ca="1" si="479"/>
        <v>27842</v>
      </c>
      <c r="S958" s="88">
        <f t="shared" si="458"/>
        <v>0</v>
      </c>
      <c r="T958" s="19">
        <f t="shared" si="480"/>
        <v>0</v>
      </c>
      <c r="U958" s="19">
        <f t="shared" si="481"/>
        <v>0</v>
      </c>
      <c r="V958" s="19">
        <f t="shared" si="467"/>
        <v>0</v>
      </c>
      <c r="W958" s="20">
        <f t="shared" ca="1" si="482"/>
        <v>0</v>
      </c>
      <c r="X958" s="19">
        <f t="shared" ca="1" si="483"/>
        <v>0</v>
      </c>
      <c r="Y958" s="19">
        <f t="shared" ca="1" si="484"/>
        <v>0</v>
      </c>
      <c r="Z958" s="20">
        <f t="shared" ca="1" si="485"/>
        <v>0</v>
      </c>
      <c r="AA958" s="1">
        <f t="shared" si="463"/>
        <v>5432.58</v>
      </c>
      <c r="AB958" s="93"/>
      <c r="AC958" s="94"/>
      <c r="AD958" s="101">
        <f t="shared" si="464"/>
        <v>68964</v>
      </c>
      <c r="AE958" s="103">
        <f t="shared" si="465"/>
        <v>0</v>
      </c>
      <c r="AG958" s="1">
        <f t="shared" si="486"/>
        <v>0</v>
      </c>
      <c r="AH958" s="1">
        <f t="shared" si="487"/>
        <v>0</v>
      </c>
      <c r="AI958" s="1">
        <f t="shared" si="466"/>
        <v>5432.58</v>
      </c>
      <c r="AJ958" s="20">
        <f t="shared" si="468"/>
        <v>0</v>
      </c>
      <c r="AK958" s="100">
        <f t="shared" si="470"/>
        <v>0</v>
      </c>
      <c r="AL958" s="100">
        <f t="shared" si="471"/>
        <v>0</v>
      </c>
      <c r="AN958" s="100">
        <f t="shared" si="472"/>
        <v>3394.8804791224693</v>
      </c>
      <c r="AO958" s="20">
        <f t="shared" si="473"/>
        <v>0</v>
      </c>
      <c r="AQ958" s="109">
        <f t="shared" si="474"/>
        <v>0</v>
      </c>
      <c r="AU958" s="109">
        <f t="shared" si="459"/>
        <v>24.94212232279002</v>
      </c>
      <c r="AV958" s="101">
        <f t="shared" si="475"/>
        <v>68994</v>
      </c>
      <c r="AW958" s="99">
        <f t="shared" si="476"/>
        <v>0</v>
      </c>
      <c r="AX958" s="1">
        <f t="shared" si="477"/>
        <v>0</v>
      </c>
      <c r="AY958" s="29">
        <f t="shared" si="478"/>
        <v>0</v>
      </c>
      <c r="AZ958" s="1">
        <f t="shared" si="460"/>
        <v>0</v>
      </c>
      <c r="CB958" s="20">
        <f t="shared" si="469"/>
        <v>0</v>
      </c>
      <c r="CC958" s="173">
        <f t="shared" si="461"/>
        <v>0</v>
      </c>
    </row>
    <row r="959" spans="10:81" x14ac:dyDescent="0.25">
      <c r="J959" s="7"/>
      <c r="K959" s="8"/>
      <c r="L959" s="16"/>
      <c r="M959" s="22"/>
      <c r="N959" s="22"/>
      <c r="O959" s="22"/>
      <c r="P959" s="22"/>
      <c r="Q959" s="1">
        <f t="shared" si="462"/>
        <v>0.60744618579017706</v>
      </c>
      <c r="R959" s="12">
        <f t="shared" ca="1" si="479"/>
        <v>27872</v>
      </c>
      <c r="S959" s="88">
        <f t="shared" si="458"/>
        <v>0</v>
      </c>
      <c r="T959" s="19">
        <f t="shared" si="480"/>
        <v>0</v>
      </c>
      <c r="U959" s="19">
        <f t="shared" si="481"/>
        <v>0</v>
      </c>
      <c r="V959" s="19">
        <f t="shared" si="467"/>
        <v>0</v>
      </c>
      <c r="W959" s="20">
        <f t="shared" ca="1" si="482"/>
        <v>0</v>
      </c>
      <c r="X959" s="19">
        <f t="shared" ca="1" si="483"/>
        <v>0</v>
      </c>
      <c r="Y959" s="19">
        <f t="shared" ca="1" si="484"/>
        <v>0</v>
      </c>
      <c r="Z959" s="20">
        <f t="shared" ca="1" si="485"/>
        <v>0</v>
      </c>
      <c r="AA959" s="1">
        <f t="shared" si="463"/>
        <v>5432.58</v>
      </c>
      <c r="AB959" s="91"/>
      <c r="AC959" s="92"/>
      <c r="AD959" s="101">
        <f t="shared" si="464"/>
        <v>68994</v>
      </c>
      <c r="AE959" s="103">
        <f t="shared" si="465"/>
        <v>0</v>
      </c>
      <c r="AG959" s="1">
        <f t="shared" si="486"/>
        <v>0</v>
      </c>
      <c r="AH959" s="1">
        <f t="shared" si="487"/>
        <v>0</v>
      </c>
      <c r="AI959" s="1">
        <f t="shared" si="466"/>
        <v>5432.58</v>
      </c>
      <c r="AJ959" s="20">
        <f t="shared" si="468"/>
        <v>0</v>
      </c>
      <c r="AK959" s="100">
        <f t="shared" si="470"/>
        <v>0</v>
      </c>
      <c r="AL959" s="100">
        <f t="shared" si="471"/>
        <v>0</v>
      </c>
      <c r="AN959" s="100">
        <f t="shared" si="472"/>
        <v>3393.1628426003831</v>
      </c>
      <c r="AO959" s="20">
        <f t="shared" si="473"/>
        <v>0</v>
      </c>
      <c r="AQ959" s="109">
        <f t="shared" si="474"/>
        <v>0</v>
      </c>
      <c r="AU959" s="109">
        <f t="shared" si="459"/>
        <v>24.939933150880115</v>
      </c>
      <c r="AV959" s="101">
        <f t="shared" si="475"/>
        <v>69024</v>
      </c>
      <c r="AW959" s="99">
        <f t="shared" si="476"/>
        <v>0</v>
      </c>
      <c r="AX959" s="1">
        <f t="shared" si="477"/>
        <v>0</v>
      </c>
      <c r="AY959" s="29">
        <f t="shared" si="478"/>
        <v>0</v>
      </c>
      <c r="AZ959" s="1">
        <f t="shared" si="460"/>
        <v>0</v>
      </c>
      <c r="CB959" s="20">
        <f t="shared" si="469"/>
        <v>0</v>
      </c>
      <c r="CC959" s="173">
        <f t="shared" si="461"/>
        <v>0</v>
      </c>
    </row>
    <row r="960" spans="10:81" x14ac:dyDescent="0.25">
      <c r="J960" s="9"/>
      <c r="K960" s="10"/>
      <c r="L960" s="17"/>
      <c r="M960" s="23"/>
      <c r="N960" s="23"/>
      <c r="O960" s="23"/>
      <c r="P960" s="23"/>
      <c r="Q960" s="1">
        <f t="shared" si="462"/>
        <v>0.60744618579017706</v>
      </c>
      <c r="R960" s="12">
        <f t="shared" ca="1" si="479"/>
        <v>27902</v>
      </c>
      <c r="S960" s="88">
        <f t="shared" si="458"/>
        <v>0</v>
      </c>
      <c r="T960" s="19">
        <f t="shared" si="480"/>
        <v>0</v>
      </c>
      <c r="U960" s="19">
        <f t="shared" si="481"/>
        <v>0</v>
      </c>
      <c r="V960" s="19">
        <f t="shared" si="467"/>
        <v>0</v>
      </c>
      <c r="W960" s="20">
        <f t="shared" ca="1" si="482"/>
        <v>0</v>
      </c>
      <c r="X960" s="19">
        <f t="shared" ca="1" si="483"/>
        <v>0</v>
      </c>
      <c r="Y960" s="19">
        <f t="shared" ca="1" si="484"/>
        <v>0</v>
      </c>
      <c r="Z960" s="20">
        <f t="shared" ca="1" si="485"/>
        <v>0</v>
      </c>
      <c r="AA960" s="1">
        <f t="shared" si="463"/>
        <v>5432.58</v>
      </c>
      <c r="AB960" s="93"/>
      <c r="AC960" s="94"/>
      <c r="AD960" s="101">
        <f t="shared" si="464"/>
        <v>69024</v>
      </c>
      <c r="AE960" s="103">
        <f t="shared" si="465"/>
        <v>0</v>
      </c>
      <c r="AG960" s="1">
        <f t="shared" si="486"/>
        <v>0</v>
      </c>
      <c r="AH960" s="1">
        <f t="shared" si="487"/>
        <v>0</v>
      </c>
      <c r="AI960" s="1">
        <f t="shared" si="466"/>
        <v>5432.58</v>
      </c>
      <c r="AJ960" s="20">
        <f t="shared" si="468"/>
        <v>0</v>
      </c>
      <c r="AK960" s="100">
        <f t="shared" si="470"/>
        <v>0</v>
      </c>
      <c r="AL960" s="100">
        <f t="shared" si="471"/>
        <v>0</v>
      </c>
      <c r="AN960" s="100">
        <f t="shared" si="472"/>
        <v>3391.4460751148481</v>
      </c>
      <c r="AO960" s="20">
        <f t="shared" si="473"/>
        <v>0</v>
      </c>
      <c r="AQ960" s="109">
        <f t="shared" si="474"/>
        <v>0</v>
      </c>
      <c r="AU960" s="109">
        <f t="shared" si="459"/>
        <v>24.937744171113987</v>
      </c>
      <c r="AV960" s="101">
        <f t="shared" si="475"/>
        <v>69054</v>
      </c>
      <c r="AW960" s="99">
        <f t="shared" si="476"/>
        <v>0</v>
      </c>
      <c r="AX960" s="1">
        <f t="shared" si="477"/>
        <v>0</v>
      </c>
      <c r="AY960" s="29">
        <f t="shared" si="478"/>
        <v>0</v>
      </c>
      <c r="AZ960" s="1">
        <f t="shared" si="460"/>
        <v>0</v>
      </c>
      <c r="CB960" s="20">
        <f t="shared" si="469"/>
        <v>0</v>
      </c>
      <c r="CC960" s="173">
        <f t="shared" si="461"/>
        <v>0</v>
      </c>
    </row>
    <row r="961" spans="10:81" x14ac:dyDescent="0.25">
      <c r="J961" s="7"/>
      <c r="K961" s="8"/>
      <c r="L961" s="16"/>
      <c r="M961" s="22"/>
      <c r="N961" s="22"/>
      <c r="O961" s="22"/>
      <c r="P961" s="22"/>
      <c r="Q961" s="1">
        <f t="shared" si="462"/>
        <v>0.60744618579017706</v>
      </c>
      <c r="R961" s="12">
        <f t="shared" ca="1" si="479"/>
        <v>27932</v>
      </c>
      <c r="S961" s="88">
        <f t="shared" si="458"/>
        <v>0</v>
      </c>
      <c r="T961" s="19">
        <f t="shared" si="480"/>
        <v>0</v>
      </c>
      <c r="U961" s="19">
        <f t="shared" si="481"/>
        <v>0</v>
      </c>
      <c r="V961" s="19">
        <f t="shared" si="467"/>
        <v>0</v>
      </c>
      <c r="W961" s="20">
        <f t="shared" ca="1" si="482"/>
        <v>0</v>
      </c>
      <c r="X961" s="19">
        <f t="shared" ca="1" si="483"/>
        <v>0</v>
      </c>
      <c r="Y961" s="19">
        <f t="shared" ca="1" si="484"/>
        <v>0</v>
      </c>
      <c r="Z961" s="20">
        <f t="shared" ca="1" si="485"/>
        <v>0</v>
      </c>
      <c r="AA961" s="1">
        <f t="shared" si="463"/>
        <v>5432.58</v>
      </c>
      <c r="AB961" s="91"/>
      <c r="AC961" s="92"/>
      <c r="AD961" s="101">
        <f t="shared" si="464"/>
        <v>69054</v>
      </c>
      <c r="AE961" s="103">
        <f t="shared" si="465"/>
        <v>0</v>
      </c>
      <c r="AG961" s="1">
        <f t="shared" si="486"/>
        <v>0</v>
      </c>
      <c r="AH961" s="1">
        <f t="shared" si="487"/>
        <v>0</v>
      </c>
      <c r="AI961" s="1">
        <f t="shared" si="466"/>
        <v>5432.58</v>
      </c>
      <c r="AJ961" s="20">
        <f t="shared" si="468"/>
        <v>0</v>
      </c>
      <c r="AK961" s="100">
        <f t="shared" si="470"/>
        <v>0</v>
      </c>
      <c r="AL961" s="100">
        <f t="shared" si="471"/>
        <v>0</v>
      </c>
      <c r="AN961" s="100">
        <f t="shared" si="472"/>
        <v>3389.7301762261759</v>
      </c>
      <c r="AO961" s="20">
        <f t="shared" si="473"/>
        <v>0</v>
      </c>
      <c r="AQ961" s="109">
        <f t="shared" si="474"/>
        <v>0</v>
      </c>
      <c r="AU961" s="109">
        <f t="shared" si="459"/>
        <v>24.935555383474775</v>
      </c>
      <c r="AV961" s="101">
        <f t="shared" si="475"/>
        <v>69084</v>
      </c>
      <c r="AW961" s="99">
        <f t="shared" si="476"/>
        <v>0</v>
      </c>
      <c r="AX961" s="1">
        <f t="shared" si="477"/>
        <v>0</v>
      </c>
      <c r="AY961" s="29">
        <f t="shared" si="478"/>
        <v>0</v>
      </c>
      <c r="AZ961" s="1">
        <f t="shared" si="460"/>
        <v>0</v>
      </c>
      <c r="CB961" s="20">
        <f t="shared" si="469"/>
        <v>0</v>
      </c>
      <c r="CC961" s="173">
        <f t="shared" si="461"/>
        <v>0</v>
      </c>
    </row>
    <row r="962" spans="10:81" x14ac:dyDescent="0.25">
      <c r="J962" s="9"/>
      <c r="K962" s="10"/>
      <c r="L962" s="17"/>
      <c r="M962" s="23"/>
      <c r="N962" s="23"/>
      <c r="O962" s="23"/>
      <c r="P962" s="23"/>
      <c r="Q962" s="1">
        <f t="shared" si="462"/>
        <v>0.60744618579017706</v>
      </c>
      <c r="R962" s="12">
        <f t="shared" ca="1" si="479"/>
        <v>27962</v>
      </c>
      <c r="S962" s="88">
        <f t="shared" si="458"/>
        <v>0</v>
      </c>
      <c r="T962" s="19">
        <f t="shared" si="480"/>
        <v>0</v>
      </c>
      <c r="U962" s="19">
        <f t="shared" si="481"/>
        <v>0</v>
      </c>
      <c r="V962" s="19">
        <f t="shared" si="467"/>
        <v>0</v>
      </c>
      <c r="W962" s="20">
        <f t="shared" ca="1" si="482"/>
        <v>0</v>
      </c>
      <c r="X962" s="19">
        <f t="shared" ca="1" si="483"/>
        <v>0</v>
      </c>
      <c r="Y962" s="19">
        <f t="shared" ca="1" si="484"/>
        <v>0</v>
      </c>
      <c r="Z962" s="20">
        <f t="shared" ca="1" si="485"/>
        <v>0</v>
      </c>
      <c r="AA962" s="1">
        <f t="shared" si="463"/>
        <v>5432.58</v>
      </c>
      <c r="AB962" s="93"/>
      <c r="AC962" s="94"/>
      <c r="AD962" s="101">
        <f t="shared" si="464"/>
        <v>69084</v>
      </c>
      <c r="AE962" s="103">
        <f t="shared" si="465"/>
        <v>0</v>
      </c>
      <c r="AG962" s="1">
        <f t="shared" si="486"/>
        <v>0</v>
      </c>
      <c r="AH962" s="1">
        <f t="shared" si="487"/>
        <v>0</v>
      </c>
      <c r="AI962" s="1">
        <f t="shared" si="466"/>
        <v>5432.58</v>
      </c>
      <c r="AJ962" s="20">
        <f t="shared" si="468"/>
        <v>0</v>
      </c>
      <c r="AK962" s="100">
        <f t="shared" si="470"/>
        <v>0</v>
      </c>
      <c r="AL962" s="100">
        <f t="shared" si="471"/>
        <v>0</v>
      </c>
      <c r="AN962" s="100">
        <f t="shared" si="472"/>
        <v>3388.0151454949009</v>
      </c>
      <c r="AO962" s="20">
        <f t="shared" si="473"/>
        <v>0</v>
      </c>
      <c r="AQ962" s="109">
        <f t="shared" si="474"/>
        <v>0</v>
      </c>
      <c r="AU962" s="109">
        <f t="shared" si="459"/>
        <v>24.933366787945612</v>
      </c>
      <c r="AV962" s="101">
        <f t="shared" si="475"/>
        <v>69114</v>
      </c>
      <c r="AW962" s="99">
        <f t="shared" si="476"/>
        <v>0</v>
      </c>
      <c r="AX962" s="1">
        <f t="shared" si="477"/>
        <v>0</v>
      </c>
      <c r="AY962" s="29">
        <f t="shared" si="478"/>
        <v>0</v>
      </c>
      <c r="AZ962" s="1">
        <f t="shared" si="460"/>
        <v>0</v>
      </c>
      <c r="CB962" s="20">
        <f t="shared" si="469"/>
        <v>0</v>
      </c>
      <c r="CC962" s="173">
        <f t="shared" si="461"/>
        <v>0</v>
      </c>
    </row>
    <row r="963" spans="10:81" x14ac:dyDescent="0.25">
      <c r="J963" s="7"/>
      <c r="K963" s="8"/>
      <c r="L963" s="16"/>
      <c r="M963" s="22"/>
      <c r="N963" s="22"/>
      <c r="O963" s="22"/>
      <c r="P963" s="22"/>
      <c r="Q963" s="1">
        <f t="shared" si="462"/>
        <v>0.60744618579017706</v>
      </c>
      <c r="R963" s="12">
        <f t="shared" ca="1" si="479"/>
        <v>27992</v>
      </c>
      <c r="S963" s="88">
        <f t="shared" ref="S963:S1026" si="488">N963+M963</f>
        <v>0</v>
      </c>
      <c r="T963" s="19">
        <f t="shared" si="480"/>
        <v>0</v>
      </c>
      <c r="U963" s="19">
        <f t="shared" si="481"/>
        <v>0</v>
      </c>
      <c r="V963" s="19">
        <f t="shared" si="467"/>
        <v>0</v>
      </c>
      <c r="W963" s="20">
        <f t="shared" ca="1" si="482"/>
        <v>0</v>
      </c>
      <c r="X963" s="19">
        <f t="shared" ca="1" si="483"/>
        <v>0</v>
      </c>
      <c r="Y963" s="19">
        <f t="shared" ca="1" si="484"/>
        <v>0</v>
      </c>
      <c r="Z963" s="20">
        <f t="shared" ca="1" si="485"/>
        <v>0</v>
      </c>
      <c r="AA963" s="1">
        <f t="shared" si="463"/>
        <v>5432.58</v>
      </c>
      <c r="AB963" s="91"/>
      <c r="AC963" s="92"/>
      <c r="AD963" s="101">
        <f t="shared" si="464"/>
        <v>69114</v>
      </c>
      <c r="AE963" s="103">
        <f t="shared" si="465"/>
        <v>0</v>
      </c>
      <c r="AG963" s="1">
        <f t="shared" si="486"/>
        <v>0</v>
      </c>
      <c r="AH963" s="1">
        <f t="shared" si="487"/>
        <v>0</v>
      </c>
      <c r="AI963" s="1">
        <f t="shared" si="466"/>
        <v>5432.58</v>
      </c>
      <c r="AJ963" s="20">
        <f t="shared" si="468"/>
        <v>0</v>
      </c>
      <c r="AK963" s="100">
        <f t="shared" si="470"/>
        <v>0</v>
      </c>
      <c r="AL963" s="100">
        <f t="shared" si="471"/>
        <v>0</v>
      </c>
      <c r="AN963" s="100">
        <f t="shared" si="472"/>
        <v>3386.3009824817782</v>
      </c>
      <c r="AO963" s="20">
        <f t="shared" si="473"/>
        <v>0</v>
      </c>
      <c r="AQ963" s="109">
        <f t="shared" si="474"/>
        <v>0</v>
      </c>
      <c r="AU963" s="109">
        <f t="shared" si="459"/>
        <v>24.931178384509639</v>
      </c>
      <c r="AV963" s="101">
        <f t="shared" si="475"/>
        <v>69144</v>
      </c>
      <c r="AW963" s="99">
        <f t="shared" si="476"/>
        <v>0</v>
      </c>
      <c r="AX963" s="1">
        <f t="shared" si="477"/>
        <v>0</v>
      </c>
      <c r="AY963" s="29">
        <f t="shared" si="478"/>
        <v>0</v>
      </c>
      <c r="AZ963" s="1">
        <f t="shared" si="460"/>
        <v>0</v>
      </c>
      <c r="CB963" s="20">
        <f t="shared" si="469"/>
        <v>0</v>
      </c>
      <c r="CC963" s="173">
        <f t="shared" si="461"/>
        <v>0</v>
      </c>
    </row>
    <row r="964" spans="10:81" x14ac:dyDescent="0.25">
      <c r="J964" s="9"/>
      <c r="K964" s="10"/>
      <c r="L964" s="17"/>
      <c r="M964" s="23"/>
      <c r="N964" s="23"/>
      <c r="O964" s="23"/>
      <c r="P964" s="23"/>
      <c r="Q964" s="1">
        <f t="shared" si="462"/>
        <v>0.60744618579017706</v>
      </c>
      <c r="R964" s="12">
        <f t="shared" ca="1" si="479"/>
        <v>28022</v>
      </c>
      <c r="S964" s="88">
        <f t="shared" si="488"/>
        <v>0</v>
      </c>
      <c r="T964" s="19">
        <f t="shared" si="480"/>
        <v>0</v>
      </c>
      <c r="U964" s="19">
        <f t="shared" si="481"/>
        <v>0</v>
      </c>
      <c r="V964" s="19">
        <f t="shared" si="467"/>
        <v>0</v>
      </c>
      <c r="W964" s="20">
        <f t="shared" ca="1" si="482"/>
        <v>0</v>
      </c>
      <c r="X964" s="19">
        <f t="shared" ca="1" si="483"/>
        <v>0</v>
      </c>
      <c r="Y964" s="19">
        <f t="shared" ca="1" si="484"/>
        <v>0</v>
      </c>
      <c r="Z964" s="20">
        <f t="shared" ca="1" si="485"/>
        <v>0</v>
      </c>
      <c r="AA964" s="1">
        <f t="shared" si="463"/>
        <v>5432.58</v>
      </c>
      <c r="AB964" s="93"/>
      <c r="AC964" s="94"/>
      <c r="AD964" s="101">
        <f t="shared" si="464"/>
        <v>69144</v>
      </c>
      <c r="AE964" s="103">
        <f t="shared" si="465"/>
        <v>0</v>
      </c>
      <c r="AG964" s="1">
        <f t="shared" si="486"/>
        <v>0</v>
      </c>
      <c r="AH964" s="1">
        <f t="shared" si="487"/>
        <v>0</v>
      </c>
      <c r="AI964" s="1">
        <f t="shared" si="466"/>
        <v>5432.58</v>
      </c>
      <c r="AJ964" s="20">
        <f t="shared" si="468"/>
        <v>0</v>
      </c>
      <c r="AK964" s="100">
        <f t="shared" si="470"/>
        <v>0</v>
      </c>
      <c r="AL964" s="100">
        <f t="shared" si="471"/>
        <v>0</v>
      </c>
      <c r="AN964" s="100">
        <f t="shared" si="472"/>
        <v>3384.5876867477882</v>
      </c>
      <c r="AO964" s="20">
        <f t="shared" si="473"/>
        <v>0</v>
      </c>
      <c r="AQ964" s="109">
        <f t="shared" si="474"/>
        <v>0</v>
      </c>
      <c r="AU964" s="109">
        <f t="shared" si="459"/>
        <v>24.928990173150005</v>
      </c>
      <c r="AV964" s="101">
        <f t="shared" si="475"/>
        <v>69174</v>
      </c>
      <c r="AW964" s="99">
        <f t="shared" si="476"/>
        <v>0</v>
      </c>
      <c r="AX964" s="1">
        <f t="shared" si="477"/>
        <v>0</v>
      </c>
      <c r="AY964" s="29">
        <f t="shared" si="478"/>
        <v>0</v>
      </c>
      <c r="AZ964" s="1">
        <f t="shared" si="460"/>
        <v>0</v>
      </c>
      <c r="CB964" s="20">
        <f t="shared" si="469"/>
        <v>0</v>
      </c>
      <c r="CC964" s="173">
        <f t="shared" si="461"/>
        <v>0</v>
      </c>
    </row>
    <row r="965" spans="10:81" x14ac:dyDescent="0.25">
      <c r="J965" s="7"/>
      <c r="K965" s="8"/>
      <c r="L965" s="16"/>
      <c r="M965" s="22"/>
      <c r="N965" s="22"/>
      <c r="O965" s="22"/>
      <c r="P965" s="22"/>
      <c r="Q965" s="1">
        <f t="shared" si="462"/>
        <v>0.60744618579017706</v>
      </c>
      <c r="R965" s="12">
        <f t="shared" ca="1" si="479"/>
        <v>28052</v>
      </c>
      <c r="S965" s="88">
        <f t="shared" si="488"/>
        <v>0</v>
      </c>
      <c r="T965" s="19">
        <f t="shared" si="480"/>
        <v>0</v>
      </c>
      <c r="U965" s="19">
        <f t="shared" si="481"/>
        <v>0</v>
      </c>
      <c r="V965" s="19">
        <f t="shared" si="467"/>
        <v>0</v>
      </c>
      <c r="W965" s="20">
        <f t="shared" ca="1" si="482"/>
        <v>0</v>
      </c>
      <c r="X965" s="19">
        <f t="shared" ca="1" si="483"/>
        <v>0</v>
      </c>
      <c r="Y965" s="19">
        <f t="shared" ca="1" si="484"/>
        <v>0</v>
      </c>
      <c r="Z965" s="20">
        <f t="shared" ca="1" si="485"/>
        <v>0</v>
      </c>
      <c r="AA965" s="1">
        <f t="shared" si="463"/>
        <v>5432.58</v>
      </c>
      <c r="AB965" s="91"/>
      <c r="AC965" s="92"/>
      <c r="AD965" s="101">
        <f t="shared" si="464"/>
        <v>69174</v>
      </c>
      <c r="AE965" s="103">
        <f t="shared" si="465"/>
        <v>0</v>
      </c>
      <c r="AG965" s="1">
        <f t="shared" si="486"/>
        <v>0</v>
      </c>
      <c r="AH965" s="1">
        <f t="shared" si="487"/>
        <v>0</v>
      </c>
      <c r="AI965" s="1">
        <f t="shared" si="466"/>
        <v>5432.58</v>
      </c>
      <c r="AJ965" s="20">
        <f t="shared" si="468"/>
        <v>0</v>
      </c>
      <c r="AK965" s="100">
        <f t="shared" si="470"/>
        <v>0</v>
      </c>
      <c r="AL965" s="100">
        <f t="shared" si="471"/>
        <v>0</v>
      </c>
      <c r="AN965" s="100">
        <f t="shared" si="472"/>
        <v>3382.8752578541312</v>
      </c>
      <c r="AO965" s="20">
        <f t="shared" si="473"/>
        <v>0</v>
      </c>
      <c r="AQ965" s="109">
        <f t="shared" si="474"/>
        <v>0</v>
      </c>
      <c r="AU965" s="109">
        <f t="shared" si="459"/>
        <v>24.926802153849842</v>
      </c>
      <c r="AV965" s="101">
        <f t="shared" si="475"/>
        <v>69204</v>
      </c>
      <c r="AW965" s="99">
        <f t="shared" si="476"/>
        <v>0</v>
      </c>
      <c r="AX965" s="1">
        <f t="shared" si="477"/>
        <v>0</v>
      </c>
      <c r="AY965" s="29">
        <f t="shared" si="478"/>
        <v>0</v>
      </c>
      <c r="AZ965" s="1">
        <f t="shared" si="460"/>
        <v>0</v>
      </c>
      <c r="CB965" s="20">
        <f t="shared" si="469"/>
        <v>0</v>
      </c>
      <c r="CC965" s="173">
        <f t="shared" si="461"/>
        <v>0</v>
      </c>
    </row>
    <row r="966" spans="10:81" x14ac:dyDescent="0.25">
      <c r="J966" s="9"/>
      <c r="K966" s="10"/>
      <c r="L966" s="17"/>
      <c r="M966" s="23"/>
      <c r="N966" s="23"/>
      <c r="O966" s="23"/>
      <c r="P966" s="23"/>
      <c r="Q966" s="1">
        <f t="shared" si="462"/>
        <v>0.60744618579017706</v>
      </c>
      <c r="R966" s="12">
        <f t="shared" ca="1" si="479"/>
        <v>28082</v>
      </c>
      <c r="S966" s="88">
        <f t="shared" si="488"/>
        <v>0</v>
      </c>
      <c r="T966" s="19">
        <f t="shared" si="480"/>
        <v>0</v>
      </c>
      <c r="U966" s="19">
        <f t="shared" si="481"/>
        <v>0</v>
      </c>
      <c r="V966" s="19">
        <f t="shared" si="467"/>
        <v>0</v>
      </c>
      <c r="W966" s="20">
        <f t="shared" ca="1" si="482"/>
        <v>0</v>
      </c>
      <c r="X966" s="19">
        <f t="shared" ca="1" si="483"/>
        <v>0</v>
      </c>
      <c r="Y966" s="19">
        <f t="shared" ca="1" si="484"/>
        <v>0</v>
      </c>
      <c r="Z966" s="20">
        <f t="shared" ca="1" si="485"/>
        <v>0</v>
      </c>
      <c r="AA966" s="1">
        <f t="shared" si="463"/>
        <v>5432.58</v>
      </c>
      <c r="AB966" s="93"/>
      <c r="AC966" s="94"/>
      <c r="AD966" s="101">
        <f t="shared" si="464"/>
        <v>69204</v>
      </c>
      <c r="AE966" s="103">
        <f t="shared" si="465"/>
        <v>0</v>
      </c>
      <c r="AG966" s="1">
        <f t="shared" si="486"/>
        <v>0</v>
      </c>
      <c r="AH966" s="1">
        <f t="shared" si="487"/>
        <v>0</v>
      </c>
      <c r="AI966" s="1">
        <f t="shared" si="466"/>
        <v>5432.58</v>
      </c>
      <c r="AJ966" s="20">
        <f t="shared" si="468"/>
        <v>0</v>
      </c>
      <c r="AK966" s="100">
        <f t="shared" si="470"/>
        <v>0</v>
      </c>
      <c r="AL966" s="100">
        <f t="shared" si="471"/>
        <v>0</v>
      </c>
      <c r="AN966" s="100">
        <f t="shared" si="472"/>
        <v>3381.1636953622315</v>
      </c>
      <c r="AO966" s="20">
        <f t="shared" si="473"/>
        <v>0</v>
      </c>
      <c r="AQ966" s="109">
        <f t="shared" si="474"/>
        <v>0</v>
      </c>
      <c r="AU966" s="109">
        <f t="shared" si="459"/>
        <v>24.924614326592284</v>
      </c>
      <c r="AV966" s="101">
        <f t="shared" si="475"/>
        <v>69234</v>
      </c>
      <c r="AW966" s="99">
        <f t="shared" si="476"/>
        <v>0</v>
      </c>
      <c r="AX966" s="1">
        <f t="shared" si="477"/>
        <v>0</v>
      </c>
      <c r="AY966" s="29">
        <f t="shared" si="478"/>
        <v>0</v>
      </c>
      <c r="AZ966" s="1">
        <f t="shared" si="460"/>
        <v>0</v>
      </c>
      <c r="CB966" s="20">
        <f t="shared" si="469"/>
        <v>0</v>
      </c>
      <c r="CC966" s="173">
        <f t="shared" si="461"/>
        <v>0</v>
      </c>
    </row>
    <row r="967" spans="10:81" x14ac:dyDescent="0.25">
      <c r="J967" s="7"/>
      <c r="K967" s="8"/>
      <c r="L967" s="16"/>
      <c r="M967" s="22"/>
      <c r="N967" s="22"/>
      <c r="O967" s="22"/>
      <c r="P967" s="22"/>
      <c r="Q967" s="1">
        <f t="shared" si="462"/>
        <v>0.60744618579017706</v>
      </c>
      <c r="R967" s="12">
        <f t="shared" ca="1" si="479"/>
        <v>28112</v>
      </c>
      <c r="S967" s="88">
        <f t="shared" si="488"/>
        <v>0</v>
      </c>
      <c r="T967" s="19">
        <f t="shared" si="480"/>
        <v>0</v>
      </c>
      <c r="U967" s="19">
        <f t="shared" si="481"/>
        <v>0</v>
      </c>
      <c r="V967" s="19">
        <f t="shared" si="467"/>
        <v>0</v>
      </c>
      <c r="W967" s="20">
        <f t="shared" ca="1" si="482"/>
        <v>0</v>
      </c>
      <c r="X967" s="19">
        <f t="shared" ca="1" si="483"/>
        <v>0</v>
      </c>
      <c r="Y967" s="19">
        <f t="shared" ca="1" si="484"/>
        <v>0</v>
      </c>
      <c r="Z967" s="20">
        <f t="shared" ca="1" si="485"/>
        <v>0</v>
      </c>
      <c r="AA967" s="1">
        <f t="shared" si="463"/>
        <v>5432.58</v>
      </c>
      <c r="AB967" s="91"/>
      <c r="AC967" s="92"/>
      <c r="AD967" s="101">
        <f t="shared" si="464"/>
        <v>69234</v>
      </c>
      <c r="AE967" s="103">
        <f t="shared" si="465"/>
        <v>0</v>
      </c>
      <c r="AG967" s="1">
        <f t="shared" si="486"/>
        <v>0</v>
      </c>
      <c r="AH967" s="1">
        <f t="shared" si="487"/>
        <v>0</v>
      </c>
      <c r="AI967" s="1">
        <f t="shared" si="466"/>
        <v>5432.58</v>
      </c>
      <c r="AJ967" s="20">
        <f t="shared" si="468"/>
        <v>0</v>
      </c>
      <c r="AK967" s="100">
        <f t="shared" si="470"/>
        <v>0</v>
      </c>
      <c r="AL967" s="100">
        <f t="shared" si="471"/>
        <v>0</v>
      </c>
      <c r="AN967" s="100">
        <f t="shared" si="472"/>
        <v>3379.4529988337322</v>
      </c>
      <c r="AO967" s="20">
        <f t="shared" si="473"/>
        <v>0</v>
      </c>
      <c r="AQ967" s="109">
        <f t="shared" si="474"/>
        <v>0</v>
      </c>
      <c r="AU967" s="109">
        <f t="shared" si="459"/>
        <v>24.922426691360485</v>
      </c>
      <c r="AV967" s="101">
        <f t="shared" si="475"/>
        <v>69264</v>
      </c>
      <c r="AW967" s="99">
        <f t="shared" si="476"/>
        <v>0</v>
      </c>
      <c r="AX967" s="1">
        <f t="shared" si="477"/>
        <v>0</v>
      </c>
      <c r="AY967" s="29">
        <f t="shared" si="478"/>
        <v>0</v>
      </c>
      <c r="AZ967" s="1">
        <f t="shared" si="460"/>
        <v>0</v>
      </c>
      <c r="CB967" s="20">
        <f t="shared" si="469"/>
        <v>0</v>
      </c>
      <c r="CC967" s="173">
        <f t="shared" si="461"/>
        <v>0</v>
      </c>
    </row>
    <row r="968" spans="10:81" x14ac:dyDescent="0.25">
      <c r="J968" s="9"/>
      <c r="K968" s="10"/>
      <c r="L968" s="17"/>
      <c r="M968" s="23"/>
      <c r="N968" s="23"/>
      <c r="O968" s="23"/>
      <c r="P968" s="23"/>
      <c r="Q968" s="1">
        <f t="shared" si="462"/>
        <v>0.60744618579017706</v>
      </c>
      <c r="R968" s="12">
        <f t="shared" ca="1" si="479"/>
        <v>28142</v>
      </c>
      <c r="S968" s="88">
        <f t="shared" si="488"/>
        <v>0</v>
      </c>
      <c r="T968" s="19">
        <f t="shared" si="480"/>
        <v>0</v>
      </c>
      <c r="U968" s="19">
        <f t="shared" si="481"/>
        <v>0</v>
      </c>
      <c r="V968" s="19">
        <f t="shared" si="467"/>
        <v>0</v>
      </c>
      <c r="W968" s="20">
        <f t="shared" ca="1" si="482"/>
        <v>0</v>
      </c>
      <c r="X968" s="19">
        <f t="shared" ca="1" si="483"/>
        <v>0</v>
      </c>
      <c r="Y968" s="19">
        <f t="shared" ca="1" si="484"/>
        <v>0</v>
      </c>
      <c r="Z968" s="20">
        <f t="shared" ca="1" si="485"/>
        <v>0</v>
      </c>
      <c r="AA968" s="1">
        <f t="shared" si="463"/>
        <v>5432.58</v>
      </c>
      <c r="AB968" s="93"/>
      <c r="AC968" s="94"/>
      <c r="AD968" s="101">
        <f t="shared" si="464"/>
        <v>69264</v>
      </c>
      <c r="AE968" s="103">
        <f t="shared" si="465"/>
        <v>0</v>
      </c>
      <c r="AG968" s="1">
        <f t="shared" si="486"/>
        <v>0</v>
      </c>
      <c r="AH968" s="1">
        <f t="shared" si="487"/>
        <v>0</v>
      </c>
      <c r="AI968" s="1">
        <f t="shared" si="466"/>
        <v>5432.58</v>
      </c>
      <c r="AJ968" s="20">
        <f t="shared" si="468"/>
        <v>0</v>
      </c>
      <c r="AK968" s="100">
        <f t="shared" si="470"/>
        <v>0</v>
      </c>
      <c r="AL968" s="100">
        <f t="shared" si="471"/>
        <v>0</v>
      </c>
      <c r="AN968" s="100">
        <f t="shared" si="472"/>
        <v>3377.7431678305011</v>
      </c>
      <c r="AO968" s="20">
        <f t="shared" si="473"/>
        <v>0</v>
      </c>
      <c r="AQ968" s="109">
        <f t="shared" si="474"/>
        <v>0</v>
      </c>
      <c r="AU968" s="109">
        <f t="shared" si="459"/>
        <v>24.920239248137595</v>
      </c>
      <c r="AV968" s="101">
        <f t="shared" si="475"/>
        <v>69294</v>
      </c>
      <c r="AW968" s="99">
        <f t="shared" si="476"/>
        <v>0</v>
      </c>
      <c r="AX968" s="1">
        <f t="shared" si="477"/>
        <v>0</v>
      </c>
      <c r="AY968" s="29">
        <f t="shared" si="478"/>
        <v>0</v>
      </c>
      <c r="AZ968" s="1">
        <f t="shared" si="460"/>
        <v>0</v>
      </c>
      <c r="CB968" s="20">
        <f t="shared" si="469"/>
        <v>0</v>
      </c>
      <c r="CC968" s="173">
        <f t="shared" si="461"/>
        <v>0</v>
      </c>
    </row>
    <row r="969" spans="10:81" x14ac:dyDescent="0.25">
      <c r="J969" s="7"/>
      <c r="K969" s="8"/>
      <c r="L969" s="16"/>
      <c r="M969" s="22"/>
      <c r="N969" s="22"/>
      <c r="O969" s="22"/>
      <c r="P969" s="22"/>
      <c r="Q969" s="1">
        <f t="shared" si="462"/>
        <v>0.60744618579017706</v>
      </c>
      <c r="R969" s="12">
        <f t="shared" ca="1" si="479"/>
        <v>28172</v>
      </c>
      <c r="S969" s="88">
        <f t="shared" si="488"/>
        <v>0</v>
      </c>
      <c r="T969" s="19">
        <f t="shared" si="480"/>
        <v>0</v>
      </c>
      <c r="U969" s="19">
        <f t="shared" si="481"/>
        <v>0</v>
      </c>
      <c r="V969" s="19">
        <f t="shared" si="467"/>
        <v>0</v>
      </c>
      <c r="W969" s="20">
        <f t="shared" ca="1" si="482"/>
        <v>0</v>
      </c>
      <c r="X969" s="19">
        <f t="shared" ca="1" si="483"/>
        <v>0</v>
      </c>
      <c r="Y969" s="19">
        <f t="shared" ca="1" si="484"/>
        <v>0</v>
      </c>
      <c r="Z969" s="20">
        <f t="shared" ca="1" si="485"/>
        <v>0</v>
      </c>
      <c r="AA969" s="1">
        <f t="shared" si="463"/>
        <v>5432.58</v>
      </c>
      <c r="AB969" s="91"/>
      <c r="AC969" s="92"/>
      <c r="AD969" s="101">
        <f t="shared" si="464"/>
        <v>69294</v>
      </c>
      <c r="AE969" s="103">
        <f t="shared" si="465"/>
        <v>0</v>
      </c>
      <c r="AG969" s="1">
        <f t="shared" si="486"/>
        <v>0</v>
      </c>
      <c r="AH969" s="1">
        <f t="shared" si="487"/>
        <v>0</v>
      </c>
      <c r="AI969" s="1">
        <f t="shared" si="466"/>
        <v>5432.58</v>
      </c>
      <c r="AJ969" s="20">
        <f t="shared" si="468"/>
        <v>0</v>
      </c>
      <c r="AK969" s="100">
        <f t="shared" si="470"/>
        <v>0</v>
      </c>
      <c r="AL969" s="100">
        <f t="shared" si="471"/>
        <v>0</v>
      </c>
      <c r="AN969" s="100">
        <f t="shared" si="472"/>
        <v>3376.0342019146246</v>
      </c>
      <c r="AO969" s="20">
        <f t="shared" si="473"/>
        <v>0</v>
      </c>
      <c r="AQ969" s="109">
        <f t="shared" si="474"/>
        <v>0</v>
      </c>
      <c r="AU969" s="109">
        <f t="shared" si="459"/>
        <v>24.918051996906762</v>
      </c>
      <c r="AV969" s="101">
        <f t="shared" si="475"/>
        <v>69324</v>
      </c>
      <c r="AW969" s="99">
        <f t="shared" si="476"/>
        <v>0</v>
      </c>
      <c r="AX969" s="1">
        <f t="shared" si="477"/>
        <v>0</v>
      </c>
      <c r="AY969" s="29">
        <f t="shared" si="478"/>
        <v>0</v>
      </c>
      <c r="AZ969" s="1">
        <f t="shared" si="460"/>
        <v>0</v>
      </c>
      <c r="CB969" s="20">
        <f t="shared" si="469"/>
        <v>0</v>
      </c>
      <c r="CC969" s="173">
        <f t="shared" si="461"/>
        <v>0</v>
      </c>
    </row>
    <row r="970" spans="10:81" x14ac:dyDescent="0.25">
      <c r="J970" s="9"/>
      <c r="K970" s="10"/>
      <c r="L970" s="17"/>
      <c r="M970" s="23"/>
      <c r="N970" s="23"/>
      <c r="O970" s="23"/>
      <c r="P970" s="23"/>
      <c r="Q970" s="1">
        <f t="shared" si="462"/>
        <v>0.60744618579017706</v>
      </c>
      <c r="R970" s="12">
        <f t="shared" ca="1" si="479"/>
        <v>28202</v>
      </c>
      <c r="S970" s="88">
        <f t="shared" si="488"/>
        <v>0</v>
      </c>
      <c r="T970" s="19">
        <f t="shared" si="480"/>
        <v>0</v>
      </c>
      <c r="U970" s="19">
        <f t="shared" si="481"/>
        <v>0</v>
      </c>
      <c r="V970" s="19">
        <f t="shared" si="467"/>
        <v>0</v>
      </c>
      <c r="W970" s="20">
        <f t="shared" ca="1" si="482"/>
        <v>0</v>
      </c>
      <c r="X970" s="19">
        <f t="shared" ca="1" si="483"/>
        <v>0</v>
      </c>
      <c r="Y970" s="19">
        <f t="shared" ca="1" si="484"/>
        <v>0</v>
      </c>
      <c r="Z970" s="20">
        <f t="shared" ca="1" si="485"/>
        <v>0</v>
      </c>
      <c r="AA970" s="1">
        <f t="shared" si="463"/>
        <v>5432.58</v>
      </c>
      <c r="AB970" s="93"/>
      <c r="AC970" s="94"/>
      <c r="AD970" s="101">
        <f t="shared" si="464"/>
        <v>69324</v>
      </c>
      <c r="AE970" s="103">
        <f t="shared" si="465"/>
        <v>0</v>
      </c>
      <c r="AG970" s="1">
        <f t="shared" si="486"/>
        <v>0</v>
      </c>
      <c r="AH970" s="1">
        <f t="shared" si="487"/>
        <v>0</v>
      </c>
      <c r="AI970" s="1">
        <f t="shared" si="466"/>
        <v>5432.58</v>
      </c>
      <c r="AJ970" s="20">
        <f t="shared" si="468"/>
        <v>0</v>
      </c>
      <c r="AK970" s="100">
        <f t="shared" si="470"/>
        <v>0</v>
      </c>
      <c r="AL970" s="100">
        <f t="shared" si="471"/>
        <v>0</v>
      </c>
      <c r="AN970" s="100">
        <f t="shared" si="472"/>
        <v>3374.3261006484154</v>
      </c>
      <c r="AO970" s="20">
        <f t="shared" si="473"/>
        <v>0</v>
      </c>
      <c r="AQ970" s="109">
        <f t="shared" si="474"/>
        <v>0</v>
      </c>
      <c r="AU970" s="109">
        <f t="shared" si="459"/>
        <v>24.915864937651122</v>
      </c>
      <c r="AV970" s="101">
        <f t="shared" si="475"/>
        <v>69354</v>
      </c>
      <c r="AW970" s="99">
        <f t="shared" si="476"/>
        <v>0</v>
      </c>
      <c r="AX970" s="1">
        <f t="shared" si="477"/>
        <v>0</v>
      </c>
      <c r="AY970" s="29">
        <f t="shared" si="478"/>
        <v>0</v>
      </c>
      <c r="AZ970" s="1">
        <f t="shared" si="460"/>
        <v>0</v>
      </c>
      <c r="CB970" s="20">
        <f t="shared" si="469"/>
        <v>0</v>
      </c>
      <c r="CC970" s="173">
        <f t="shared" si="461"/>
        <v>0</v>
      </c>
    </row>
    <row r="971" spans="10:81" x14ac:dyDescent="0.25">
      <c r="J971" s="7"/>
      <c r="K971" s="8"/>
      <c r="L971" s="16"/>
      <c r="M971" s="22"/>
      <c r="N971" s="22"/>
      <c r="O971" s="22"/>
      <c r="P971" s="22"/>
      <c r="Q971" s="1">
        <f t="shared" si="462"/>
        <v>0.60744618579017706</v>
      </c>
      <c r="R971" s="12">
        <f t="shared" ca="1" si="479"/>
        <v>28232</v>
      </c>
      <c r="S971" s="88">
        <f t="shared" si="488"/>
        <v>0</v>
      </c>
      <c r="T971" s="19">
        <f t="shared" si="480"/>
        <v>0</v>
      </c>
      <c r="U971" s="19">
        <f t="shared" si="481"/>
        <v>0</v>
      </c>
      <c r="V971" s="19">
        <f t="shared" si="467"/>
        <v>0</v>
      </c>
      <c r="W971" s="20">
        <f t="shared" ca="1" si="482"/>
        <v>0</v>
      </c>
      <c r="X971" s="19">
        <f t="shared" ca="1" si="483"/>
        <v>0</v>
      </c>
      <c r="Y971" s="19">
        <f t="shared" ca="1" si="484"/>
        <v>0</v>
      </c>
      <c r="Z971" s="20">
        <f t="shared" ca="1" si="485"/>
        <v>0</v>
      </c>
      <c r="AA971" s="1">
        <f t="shared" si="463"/>
        <v>5432.58</v>
      </c>
      <c r="AB971" s="91"/>
      <c r="AC971" s="92"/>
      <c r="AD971" s="101">
        <f t="shared" si="464"/>
        <v>69354</v>
      </c>
      <c r="AE971" s="103">
        <f t="shared" si="465"/>
        <v>0</v>
      </c>
      <c r="AG971" s="1">
        <f t="shared" si="486"/>
        <v>0</v>
      </c>
      <c r="AH971" s="1">
        <f t="shared" si="487"/>
        <v>0</v>
      </c>
      <c r="AI971" s="1">
        <f t="shared" si="466"/>
        <v>5432.58</v>
      </c>
      <c r="AJ971" s="20">
        <f t="shared" si="468"/>
        <v>0</v>
      </c>
      <c r="AK971" s="100">
        <f t="shared" si="470"/>
        <v>0</v>
      </c>
      <c r="AL971" s="100">
        <f t="shared" si="471"/>
        <v>0</v>
      </c>
      <c r="AN971" s="100">
        <f t="shared" si="472"/>
        <v>3372.6188635944027</v>
      </c>
      <c r="AO971" s="20">
        <f t="shared" si="473"/>
        <v>0</v>
      </c>
      <c r="AQ971" s="109">
        <f t="shared" si="474"/>
        <v>0</v>
      </c>
      <c r="AU971" s="109">
        <f t="shared" si="459"/>
        <v>24.913678070353839</v>
      </c>
      <c r="AV971" s="101">
        <f t="shared" si="475"/>
        <v>69384</v>
      </c>
      <c r="AW971" s="99">
        <f t="shared" si="476"/>
        <v>0</v>
      </c>
      <c r="AX971" s="1">
        <f t="shared" si="477"/>
        <v>0</v>
      </c>
      <c r="AY971" s="29">
        <f t="shared" si="478"/>
        <v>0</v>
      </c>
      <c r="AZ971" s="1">
        <f t="shared" si="460"/>
        <v>0</v>
      </c>
      <c r="CB971" s="20">
        <f t="shared" si="469"/>
        <v>0</v>
      </c>
      <c r="CC971" s="173">
        <f t="shared" si="461"/>
        <v>0</v>
      </c>
    </row>
    <row r="972" spans="10:81" x14ac:dyDescent="0.25">
      <c r="J972" s="9"/>
      <c r="K972" s="10"/>
      <c r="L972" s="17"/>
      <c r="M972" s="23"/>
      <c r="N972" s="23"/>
      <c r="O972" s="23"/>
      <c r="P972" s="23"/>
      <c r="Q972" s="1">
        <f t="shared" si="462"/>
        <v>0.60744618579017706</v>
      </c>
      <c r="R972" s="12">
        <f t="shared" ca="1" si="479"/>
        <v>28262</v>
      </c>
      <c r="S972" s="88">
        <f t="shared" si="488"/>
        <v>0</v>
      </c>
      <c r="T972" s="19">
        <f t="shared" si="480"/>
        <v>0</v>
      </c>
      <c r="U972" s="19">
        <f t="shared" si="481"/>
        <v>0</v>
      </c>
      <c r="V972" s="19">
        <f t="shared" si="467"/>
        <v>0</v>
      </c>
      <c r="W972" s="20">
        <f t="shared" ca="1" si="482"/>
        <v>0</v>
      </c>
      <c r="X972" s="19">
        <f t="shared" ca="1" si="483"/>
        <v>0</v>
      </c>
      <c r="Y972" s="19">
        <f t="shared" ca="1" si="484"/>
        <v>0</v>
      </c>
      <c r="Z972" s="20">
        <f t="shared" ca="1" si="485"/>
        <v>0</v>
      </c>
      <c r="AA972" s="1">
        <f t="shared" si="463"/>
        <v>5432.58</v>
      </c>
      <c r="AB972" s="93"/>
      <c r="AC972" s="94"/>
      <c r="AD972" s="101">
        <f t="shared" si="464"/>
        <v>69384</v>
      </c>
      <c r="AE972" s="103">
        <f t="shared" si="465"/>
        <v>0</v>
      </c>
      <c r="AG972" s="1">
        <f t="shared" si="486"/>
        <v>0</v>
      </c>
      <c r="AH972" s="1">
        <f t="shared" si="487"/>
        <v>0</v>
      </c>
      <c r="AI972" s="1">
        <f t="shared" si="466"/>
        <v>5432.58</v>
      </c>
      <c r="AJ972" s="20">
        <f t="shared" si="468"/>
        <v>0</v>
      </c>
      <c r="AK972" s="100">
        <f t="shared" si="470"/>
        <v>0</v>
      </c>
      <c r="AL972" s="100">
        <f t="shared" si="471"/>
        <v>0</v>
      </c>
      <c r="AN972" s="100">
        <f t="shared" si="472"/>
        <v>3370.9124903153402</v>
      </c>
      <c r="AO972" s="20">
        <f t="shared" si="473"/>
        <v>0</v>
      </c>
      <c r="AQ972" s="109">
        <f t="shared" si="474"/>
        <v>0</v>
      </c>
      <c r="AU972" s="109">
        <f t="shared" si="459"/>
        <v>24.911491394998066</v>
      </c>
      <c r="AV972" s="101">
        <f t="shared" si="475"/>
        <v>69414</v>
      </c>
      <c r="AW972" s="99">
        <f t="shared" si="476"/>
        <v>0</v>
      </c>
      <c r="AX972" s="1">
        <f t="shared" si="477"/>
        <v>0</v>
      </c>
      <c r="AY972" s="29">
        <f t="shared" si="478"/>
        <v>0</v>
      </c>
      <c r="AZ972" s="1">
        <f t="shared" si="460"/>
        <v>0</v>
      </c>
      <c r="CB972" s="20">
        <f t="shared" si="469"/>
        <v>0</v>
      </c>
      <c r="CC972" s="173">
        <f t="shared" si="461"/>
        <v>0</v>
      </c>
    </row>
    <row r="973" spans="10:81" x14ac:dyDescent="0.25">
      <c r="J973" s="7"/>
      <c r="K973" s="8"/>
      <c r="L973" s="16"/>
      <c r="M973" s="22"/>
      <c r="N973" s="22"/>
      <c r="O973" s="22"/>
      <c r="P973" s="22"/>
      <c r="Q973" s="1">
        <f t="shared" si="462"/>
        <v>0.60744618579017706</v>
      </c>
      <c r="R973" s="12">
        <f t="shared" ca="1" si="479"/>
        <v>28292</v>
      </c>
      <c r="S973" s="88">
        <f t="shared" si="488"/>
        <v>0</v>
      </c>
      <c r="T973" s="19">
        <f t="shared" si="480"/>
        <v>0</v>
      </c>
      <c r="U973" s="19">
        <f t="shared" si="481"/>
        <v>0</v>
      </c>
      <c r="V973" s="19">
        <f t="shared" si="467"/>
        <v>0</v>
      </c>
      <c r="W973" s="20">
        <f t="shared" ca="1" si="482"/>
        <v>0</v>
      </c>
      <c r="X973" s="19">
        <f t="shared" ca="1" si="483"/>
        <v>0</v>
      </c>
      <c r="Y973" s="19">
        <f t="shared" ca="1" si="484"/>
        <v>0</v>
      </c>
      <c r="Z973" s="20">
        <f t="shared" ca="1" si="485"/>
        <v>0</v>
      </c>
      <c r="AA973" s="1">
        <f t="shared" si="463"/>
        <v>5432.58</v>
      </c>
      <c r="AB973" s="91"/>
      <c r="AC973" s="92"/>
      <c r="AD973" s="101">
        <f t="shared" si="464"/>
        <v>69414</v>
      </c>
      <c r="AE973" s="103">
        <f t="shared" si="465"/>
        <v>0</v>
      </c>
      <c r="AG973" s="1">
        <f t="shared" si="486"/>
        <v>0</v>
      </c>
      <c r="AH973" s="1">
        <f t="shared" si="487"/>
        <v>0</v>
      </c>
      <c r="AI973" s="1">
        <f t="shared" si="466"/>
        <v>5432.58</v>
      </c>
      <c r="AJ973" s="20">
        <f t="shared" si="468"/>
        <v>0</v>
      </c>
      <c r="AK973" s="100">
        <f t="shared" si="470"/>
        <v>0</v>
      </c>
      <c r="AL973" s="100">
        <f t="shared" si="471"/>
        <v>0</v>
      </c>
      <c r="AN973" s="100">
        <f t="shared" si="472"/>
        <v>3369.2069803742015</v>
      </c>
      <c r="AO973" s="20">
        <f t="shared" si="473"/>
        <v>0</v>
      </c>
      <c r="AQ973" s="109">
        <f t="shared" si="474"/>
        <v>0</v>
      </c>
      <c r="AU973" s="109">
        <f t="shared" si="459"/>
        <v>24.909304911566934</v>
      </c>
      <c r="AV973" s="101">
        <f t="shared" si="475"/>
        <v>69444</v>
      </c>
      <c r="AW973" s="99">
        <f t="shared" si="476"/>
        <v>0</v>
      </c>
      <c r="AX973" s="1">
        <f t="shared" si="477"/>
        <v>0</v>
      </c>
      <c r="AY973" s="29">
        <f t="shared" si="478"/>
        <v>0</v>
      </c>
      <c r="AZ973" s="1">
        <f t="shared" si="460"/>
        <v>0</v>
      </c>
      <c r="CB973" s="20">
        <f t="shared" si="469"/>
        <v>0</v>
      </c>
      <c r="CC973" s="173">
        <f t="shared" si="461"/>
        <v>0</v>
      </c>
    </row>
    <row r="974" spans="10:81" x14ac:dyDescent="0.25">
      <c r="J974" s="9"/>
      <c r="K974" s="10"/>
      <c r="L974" s="17"/>
      <c r="M974" s="23"/>
      <c r="N974" s="23"/>
      <c r="O974" s="23"/>
      <c r="P974" s="23"/>
      <c r="Q974" s="1">
        <f t="shared" si="462"/>
        <v>0.60744618579017706</v>
      </c>
      <c r="R974" s="12">
        <f t="shared" ca="1" si="479"/>
        <v>28322</v>
      </c>
      <c r="S974" s="88">
        <f t="shared" si="488"/>
        <v>0</v>
      </c>
      <c r="T974" s="19">
        <f t="shared" si="480"/>
        <v>0</v>
      </c>
      <c r="U974" s="19">
        <f t="shared" si="481"/>
        <v>0</v>
      </c>
      <c r="V974" s="19">
        <f t="shared" si="467"/>
        <v>0</v>
      </c>
      <c r="W974" s="20">
        <f t="shared" ca="1" si="482"/>
        <v>0</v>
      </c>
      <c r="X974" s="19">
        <f t="shared" ca="1" si="483"/>
        <v>0</v>
      </c>
      <c r="Y974" s="19">
        <f t="shared" ca="1" si="484"/>
        <v>0</v>
      </c>
      <c r="Z974" s="20">
        <f t="shared" ca="1" si="485"/>
        <v>0</v>
      </c>
      <c r="AA974" s="1">
        <f t="shared" si="463"/>
        <v>5432.58</v>
      </c>
      <c r="AB974" s="93"/>
      <c r="AC974" s="94"/>
      <c r="AD974" s="101">
        <f t="shared" si="464"/>
        <v>69444</v>
      </c>
      <c r="AE974" s="103">
        <f t="shared" si="465"/>
        <v>0</v>
      </c>
      <c r="AG974" s="1">
        <f t="shared" si="486"/>
        <v>0</v>
      </c>
      <c r="AH974" s="1">
        <f t="shared" si="487"/>
        <v>0</v>
      </c>
      <c r="AI974" s="1">
        <f t="shared" si="466"/>
        <v>5432.58</v>
      </c>
      <c r="AJ974" s="20">
        <f t="shared" si="468"/>
        <v>0</v>
      </c>
      <c r="AK974" s="100">
        <f t="shared" si="470"/>
        <v>0</v>
      </c>
      <c r="AL974" s="100">
        <f t="shared" si="471"/>
        <v>0</v>
      </c>
      <c r="AN974" s="100">
        <f t="shared" si="472"/>
        <v>3367.502333334181</v>
      </c>
      <c r="AO974" s="20">
        <f t="shared" si="473"/>
        <v>0</v>
      </c>
      <c r="AQ974" s="109">
        <f t="shared" si="474"/>
        <v>0</v>
      </c>
      <c r="AU974" s="109">
        <f t="shared" si="459"/>
        <v>24.907118620043626</v>
      </c>
      <c r="AV974" s="101">
        <f t="shared" si="475"/>
        <v>69474</v>
      </c>
      <c r="AW974" s="99">
        <f t="shared" si="476"/>
        <v>0</v>
      </c>
      <c r="AX974" s="1">
        <f t="shared" si="477"/>
        <v>0</v>
      </c>
      <c r="AY974" s="29">
        <f t="shared" si="478"/>
        <v>0</v>
      </c>
      <c r="AZ974" s="1">
        <f t="shared" si="460"/>
        <v>0</v>
      </c>
      <c r="CB974" s="20">
        <f t="shared" si="469"/>
        <v>0</v>
      </c>
      <c r="CC974" s="173">
        <f t="shared" si="461"/>
        <v>0</v>
      </c>
    </row>
    <row r="975" spans="10:81" x14ac:dyDescent="0.25">
      <c r="J975" s="7"/>
      <c r="K975" s="8"/>
      <c r="L975" s="16"/>
      <c r="M975" s="22"/>
      <c r="N975" s="22"/>
      <c r="O975" s="22"/>
      <c r="P975" s="22"/>
      <c r="Q975" s="1">
        <f t="shared" si="462"/>
        <v>0.60744618579017706</v>
      </c>
      <c r="R975" s="12">
        <f t="shared" ca="1" si="479"/>
        <v>28352</v>
      </c>
      <c r="S975" s="88">
        <f t="shared" si="488"/>
        <v>0</v>
      </c>
      <c r="T975" s="19">
        <f t="shared" si="480"/>
        <v>0</v>
      </c>
      <c r="U975" s="19">
        <f t="shared" si="481"/>
        <v>0</v>
      </c>
      <c r="V975" s="19">
        <f t="shared" si="467"/>
        <v>0</v>
      </c>
      <c r="W975" s="20">
        <f t="shared" ca="1" si="482"/>
        <v>0</v>
      </c>
      <c r="X975" s="19">
        <f t="shared" ca="1" si="483"/>
        <v>0</v>
      </c>
      <c r="Y975" s="19">
        <f t="shared" ca="1" si="484"/>
        <v>0</v>
      </c>
      <c r="Z975" s="20">
        <f t="shared" ca="1" si="485"/>
        <v>0</v>
      </c>
      <c r="AA975" s="1">
        <f t="shared" si="463"/>
        <v>5432.58</v>
      </c>
      <c r="AB975" s="91"/>
      <c r="AC975" s="92"/>
      <c r="AD975" s="101">
        <f t="shared" si="464"/>
        <v>69474</v>
      </c>
      <c r="AE975" s="103">
        <f t="shared" si="465"/>
        <v>0</v>
      </c>
      <c r="AG975" s="1">
        <f t="shared" si="486"/>
        <v>0</v>
      </c>
      <c r="AH975" s="1">
        <f t="shared" si="487"/>
        <v>0</v>
      </c>
      <c r="AI975" s="1">
        <f t="shared" si="466"/>
        <v>5432.58</v>
      </c>
      <c r="AJ975" s="20">
        <f t="shared" si="468"/>
        <v>0</v>
      </c>
      <c r="AK975" s="100">
        <f t="shared" si="470"/>
        <v>0</v>
      </c>
      <c r="AL975" s="100">
        <f t="shared" si="471"/>
        <v>0</v>
      </c>
      <c r="AN975" s="100">
        <f t="shared" si="472"/>
        <v>3365.7985487586971</v>
      </c>
      <c r="AO975" s="20">
        <f t="shared" si="473"/>
        <v>0</v>
      </c>
      <c r="AQ975" s="109">
        <f t="shared" si="474"/>
        <v>0</v>
      </c>
      <c r="AU975" s="109">
        <f t="shared" si="459"/>
        <v>24.904932520411286</v>
      </c>
      <c r="AV975" s="101">
        <f t="shared" si="475"/>
        <v>69504</v>
      </c>
      <c r="AW975" s="99">
        <f t="shared" si="476"/>
        <v>0</v>
      </c>
      <c r="AX975" s="1">
        <f t="shared" si="477"/>
        <v>0</v>
      </c>
      <c r="AY975" s="29">
        <f t="shared" si="478"/>
        <v>0</v>
      </c>
      <c r="AZ975" s="1">
        <f t="shared" si="460"/>
        <v>0</v>
      </c>
      <c r="CB975" s="20">
        <f t="shared" si="469"/>
        <v>0</v>
      </c>
      <c r="CC975" s="173">
        <f t="shared" si="461"/>
        <v>0</v>
      </c>
    </row>
    <row r="976" spans="10:81" x14ac:dyDescent="0.25">
      <c r="J976" s="9"/>
      <c r="K976" s="10"/>
      <c r="L976" s="17"/>
      <c r="M976" s="23"/>
      <c r="N976" s="23"/>
      <c r="O976" s="23"/>
      <c r="P976" s="23"/>
      <c r="Q976" s="1">
        <f t="shared" si="462"/>
        <v>0.60744618579017706</v>
      </c>
      <c r="R976" s="12">
        <f t="shared" ca="1" si="479"/>
        <v>28382</v>
      </c>
      <c r="S976" s="88">
        <f t="shared" si="488"/>
        <v>0</v>
      </c>
      <c r="T976" s="19">
        <f t="shared" si="480"/>
        <v>0</v>
      </c>
      <c r="U976" s="19">
        <f t="shared" si="481"/>
        <v>0</v>
      </c>
      <c r="V976" s="19">
        <f t="shared" si="467"/>
        <v>0</v>
      </c>
      <c r="W976" s="20">
        <f t="shared" ca="1" si="482"/>
        <v>0</v>
      </c>
      <c r="X976" s="19">
        <f t="shared" ca="1" si="483"/>
        <v>0</v>
      </c>
      <c r="Y976" s="19">
        <f t="shared" ca="1" si="484"/>
        <v>0</v>
      </c>
      <c r="Z976" s="20">
        <f t="shared" ca="1" si="485"/>
        <v>0</v>
      </c>
      <c r="AA976" s="1">
        <f t="shared" si="463"/>
        <v>5432.58</v>
      </c>
      <c r="AB976" s="93"/>
      <c r="AC976" s="94"/>
      <c r="AD976" s="101">
        <f t="shared" si="464"/>
        <v>69504</v>
      </c>
      <c r="AE976" s="103">
        <f t="shared" si="465"/>
        <v>0</v>
      </c>
      <c r="AG976" s="1">
        <f t="shared" si="486"/>
        <v>0</v>
      </c>
      <c r="AH976" s="1">
        <f t="shared" si="487"/>
        <v>0</v>
      </c>
      <c r="AI976" s="1">
        <f t="shared" si="466"/>
        <v>5432.58</v>
      </c>
      <c r="AJ976" s="20">
        <f t="shared" si="468"/>
        <v>0</v>
      </c>
      <c r="AK976" s="100">
        <f t="shared" si="470"/>
        <v>0</v>
      </c>
      <c r="AL976" s="100">
        <f t="shared" si="471"/>
        <v>0</v>
      </c>
      <c r="AN976" s="100">
        <f t="shared" si="472"/>
        <v>3364.0956262113832</v>
      </c>
      <c r="AO976" s="20">
        <f t="shared" si="473"/>
        <v>0</v>
      </c>
      <c r="AQ976" s="109">
        <f t="shared" si="474"/>
        <v>0</v>
      </c>
      <c r="AU976" s="109">
        <f t="shared" si="459"/>
        <v>24.902746612653065</v>
      </c>
      <c r="AV976" s="101">
        <f t="shared" si="475"/>
        <v>69534</v>
      </c>
      <c r="AW976" s="99">
        <f t="shared" si="476"/>
        <v>0</v>
      </c>
      <c r="AX976" s="1">
        <f t="shared" si="477"/>
        <v>0</v>
      </c>
      <c r="AY976" s="29">
        <f t="shared" si="478"/>
        <v>0</v>
      </c>
      <c r="AZ976" s="1">
        <f t="shared" si="460"/>
        <v>0</v>
      </c>
      <c r="CB976" s="20">
        <f t="shared" si="469"/>
        <v>0</v>
      </c>
      <c r="CC976" s="173">
        <f t="shared" si="461"/>
        <v>0</v>
      </c>
    </row>
    <row r="977" spans="10:81" x14ac:dyDescent="0.25">
      <c r="J977" s="7"/>
      <c r="K977" s="8"/>
      <c r="L977" s="16"/>
      <c r="M977" s="22"/>
      <c r="N977" s="22"/>
      <c r="O977" s="22"/>
      <c r="P977" s="22"/>
      <c r="Q977" s="1">
        <f t="shared" si="462"/>
        <v>0.60744618579017706</v>
      </c>
      <c r="R977" s="12">
        <f t="shared" ca="1" si="479"/>
        <v>28412</v>
      </c>
      <c r="S977" s="88">
        <f t="shared" si="488"/>
        <v>0</v>
      </c>
      <c r="T977" s="19">
        <f t="shared" si="480"/>
        <v>0</v>
      </c>
      <c r="U977" s="19">
        <f t="shared" si="481"/>
        <v>0</v>
      </c>
      <c r="V977" s="19">
        <f t="shared" si="467"/>
        <v>0</v>
      </c>
      <c r="W977" s="20">
        <f t="shared" ca="1" si="482"/>
        <v>0</v>
      </c>
      <c r="X977" s="19">
        <f t="shared" ca="1" si="483"/>
        <v>0</v>
      </c>
      <c r="Y977" s="19">
        <f t="shared" ca="1" si="484"/>
        <v>0</v>
      </c>
      <c r="Z977" s="20">
        <f t="shared" ca="1" si="485"/>
        <v>0</v>
      </c>
      <c r="AA977" s="1">
        <f t="shared" si="463"/>
        <v>5432.58</v>
      </c>
      <c r="AB977" s="91"/>
      <c r="AC977" s="92"/>
      <c r="AD977" s="101">
        <f t="shared" si="464"/>
        <v>69534</v>
      </c>
      <c r="AE977" s="103">
        <f t="shared" si="465"/>
        <v>0</v>
      </c>
      <c r="AG977" s="1">
        <f t="shared" si="486"/>
        <v>0</v>
      </c>
      <c r="AH977" s="1">
        <f t="shared" si="487"/>
        <v>0</v>
      </c>
      <c r="AI977" s="1">
        <f t="shared" si="466"/>
        <v>5432.58</v>
      </c>
      <c r="AJ977" s="20">
        <f t="shared" si="468"/>
        <v>0</v>
      </c>
      <c r="AK977" s="100">
        <f t="shared" si="470"/>
        <v>0</v>
      </c>
      <c r="AL977" s="100">
        <f t="shared" si="471"/>
        <v>0</v>
      </c>
      <c r="AN977" s="100">
        <f t="shared" si="472"/>
        <v>3362.3935652560995</v>
      </c>
      <c r="AO977" s="20">
        <f t="shared" si="473"/>
        <v>0</v>
      </c>
      <c r="AQ977" s="109">
        <f t="shared" si="474"/>
        <v>0</v>
      </c>
      <c r="AU977" s="109">
        <f t="shared" si="459"/>
        <v>24.900560896752125</v>
      </c>
      <c r="AV977" s="101">
        <f t="shared" si="475"/>
        <v>69564</v>
      </c>
      <c r="AW977" s="99">
        <f t="shared" si="476"/>
        <v>0</v>
      </c>
      <c r="AX977" s="1">
        <f t="shared" si="477"/>
        <v>0</v>
      </c>
      <c r="AY977" s="29">
        <f t="shared" si="478"/>
        <v>0</v>
      </c>
      <c r="AZ977" s="1">
        <f t="shared" si="460"/>
        <v>0</v>
      </c>
      <c r="CB977" s="20">
        <f t="shared" si="469"/>
        <v>0</v>
      </c>
      <c r="CC977" s="173">
        <f t="shared" si="461"/>
        <v>0</v>
      </c>
    </row>
    <row r="978" spans="10:81" x14ac:dyDescent="0.25">
      <c r="J978" s="9"/>
      <c r="K978" s="10"/>
      <c r="L978" s="17"/>
      <c r="M978" s="23"/>
      <c r="N978" s="23"/>
      <c r="O978" s="23"/>
      <c r="P978" s="23"/>
      <c r="Q978" s="1">
        <f t="shared" si="462"/>
        <v>0.60744618579017706</v>
      </c>
      <c r="R978" s="12">
        <f t="shared" ca="1" si="479"/>
        <v>28442</v>
      </c>
      <c r="S978" s="88">
        <f t="shared" si="488"/>
        <v>0</v>
      </c>
      <c r="T978" s="19">
        <f t="shared" si="480"/>
        <v>0</v>
      </c>
      <c r="U978" s="19">
        <f t="shared" si="481"/>
        <v>0</v>
      </c>
      <c r="V978" s="19">
        <f t="shared" si="467"/>
        <v>0</v>
      </c>
      <c r="W978" s="20">
        <f t="shared" ca="1" si="482"/>
        <v>0</v>
      </c>
      <c r="X978" s="19">
        <f t="shared" ca="1" si="483"/>
        <v>0</v>
      </c>
      <c r="Y978" s="19">
        <f t="shared" ca="1" si="484"/>
        <v>0</v>
      </c>
      <c r="Z978" s="20">
        <f t="shared" ca="1" si="485"/>
        <v>0</v>
      </c>
      <c r="AA978" s="1">
        <f t="shared" si="463"/>
        <v>5432.58</v>
      </c>
      <c r="AB978" s="93"/>
      <c r="AC978" s="94"/>
      <c r="AD978" s="101">
        <f t="shared" si="464"/>
        <v>69564</v>
      </c>
      <c r="AE978" s="103">
        <f t="shared" si="465"/>
        <v>0</v>
      </c>
      <c r="AG978" s="1">
        <f t="shared" si="486"/>
        <v>0</v>
      </c>
      <c r="AH978" s="1">
        <f t="shared" si="487"/>
        <v>0</v>
      </c>
      <c r="AI978" s="1">
        <f t="shared" si="466"/>
        <v>5432.58</v>
      </c>
      <c r="AJ978" s="20">
        <f t="shared" si="468"/>
        <v>0</v>
      </c>
      <c r="AK978" s="100">
        <f t="shared" si="470"/>
        <v>0</v>
      </c>
      <c r="AL978" s="100">
        <f t="shared" si="471"/>
        <v>0</v>
      </c>
      <c r="AN978" s="100">
        <f t="shared" si="472"/>
        <v>3360.6923654569241</v>
      </c>
      <c r="AO978" s="20">
        <f t="shared" si="473"/>
        <v>0</v>
      </c>
      <c r="AQ978" s="109">
        <f t="shared" si="474"/>
        <v>0</v>
      </c>
      <c r="AU978" s="109">
        <f t="shared" si="459"/>
        <v>24.898375372691635</v>
      </c>
      <c r="AV978" s="101">
        <f t="shared" si="475"/>
        <v>69594</v>
      </c>
      <c r="AW978" s="99">
        <f t="shared" si="476"/>
        <v>0</v>
      </c>
      <c r="AX978" s="1">
        <f t="shared" si="477"/>
        <v>0</v>
      </c>
      <c r="AY978" s="29">
        <f t="shared" si="478"/>
        <v>0</v>
      </c>
      <c r="AZ978" s="1">
        <f t="shared" si="460"/>
        <v>0</v>
      </c>
      <c r="CB978" s="20">
        <f t="shared" si="469"/>
        <v>0</v>
      </c>
      <c r="CC978" s="173">
        <f t="shared" si="461"/>
        <v>0</v>
      </c>
    </row>
    <row r="979" spans="10:81" x14ac:dyDescent="0.25">
      <c r="J979" s="7"/>
      <c r="K979" s="8"/>
      <c r="L979" s="16"/>
      <c r="M979" s="22"/>
      <c r="N979" s="22"/>
      <c r="O979" s="22"/>
      <c r="P979" s="22"/>
      <c r="Q979" s="1">
        <f t="shared" si="462"/>
        <v>0.60744618579017706</v>
      </c>
      <c r="R979" s="12">
        <f t="shared" ca="1" si="479"/>
        <v>28472</v>
      </c>
      <c r="S979" s="88">
        <f t="shared" si="488"/>
        <v>0</v>
      </c>
      <c r="T979" s="19">
        <f t="shared" si="480"/>
        <v>0</v>
      </c>
      <c r="U979" s="19">
        <f t="shared" si="481"/>
        <v>0</v>
      </c>
      <c r="V979" s="19">
        <f t="shared" si="467"/>
        <v>0</v>
      </c>
      <c r="W979" s="20">
        <f t="shared" ca="1" si="482"/>
        <v>0</v>
      </c>
      <c r="X979" s="19">
        <f t="shared" ca="1" si="483"/>
        <v>0</v>
      </c>
      <c r="Y979" s="19">
        <f t="shared" ca="1" si="484"/>
        <v>0</v>
      </c>
      <c r="Z979" s="20">
        <f t="shared" ca="1" si="485"/>
        <v>0</v>
      </c>
      <c r="AA979" s="1">
        <f t="shared" si="463"/>
        <v>5432.58</v>
      </c>
      <c r="AB979" s="91"/>
      <c r="AC979" s="92"/>
      <c r="AD979" s="101">
        <f t="shared" si="464"/>
        <v>69594</v>
      </c>
      <c r="AE979" s="103">
        <f t="shared" si="465"/>
        <v>0</v>
      </c>
      <c r="AG979" s="1">
        <f t="shared" si="486"/>
        <v>0</v>
      </c>
      <c r="AH979" s="1">
        <f t="shared" si="487"/>
        <v>0</v>
      </c>
      <c r="AI979" s="1">
        <f t="shared" si="466"/>
        <v>5432.58</v>
      </c>
      <c r="AJ979" s="20">
        <f t="shared" si="468"/>
        <v>0</v>
      </c>
      <c r="AK979" s="100">
        <f t="shared" si="470"/>
        <v>0</v>
      </c>
      <c r="AL979" s="100">
        <f t="shared" si="471"/>
        <v>0</v>
      </c>
      <c r="AN979" s="100">
        <f t="shared" si="472"/>
        <v>3358.9920263781542</v>
      </c>
      <c r="AO979" s="20">
        <f t="shared" si="473"/>
        <v>0</v>
      </c>
      <c r="AQ979" s="109">
        <f t="shared" si="474"/>
        <v>0</v>
      </c>
      <c r="AU979" s="109">
        <f t="shared" si="459"/>
        <v>24.896190040454758</v>
      </c>
      <c r="AV979" s="101">
        <f t="shared" si="475"/>
        <v>69624</v>
      </c>
      <c r="AW979" s="99">
        <f t="shared" si="476"/>
        <v>0</v>
      </c>
      <c r="AX979" s="1">
        <f t="shared" si="477"/>
        <v>0</v>
      </c>
      <c r="AY979" s="29">
        <f t="shared" si="478"/>
        <v>0</v>
      </c>
      <c r="AZ979" s="1">
        <f t="shared" si="460"/>
        <v>0</v>
      </c>
      <c r="CB979" s="20">
        <f t="shared" si="469"/>
        <v>0</v>
      </c>
      <c r="CC979" s="173">
        <f t="shared" si="461"/>
        <v>0</v>
      </c>
    </row>
    <row r="980" spans="10:81" x14ac:dyDescent="0.25">
      <c r="J980" s="9"/>
      <c r="K980" s="10"/>
      <c r="L980" s="17"/>
      <c r="M980" s="23"/>
      <c r="N980" s="23"/>
      <c r="O980" s="23"/>
      <c r="P980" s="23"/>
      <c r="Q980" s="1">
        <f t="shared" si="462"/>
        <v>0.60744618579017706</v>
      </c>
      <c r="R980" s="12">
        <f t="shared" ca="1" si="479"/>
        <v>28502</v>
      </c>
      <c r="S980" s="88">
        <f t="shared" si="488"/>
        <v>0</v>
      </c>
      <c r="T980" s="19">
        <f t="shared" si="480"/>
        <v>0</v>
      </c>
      <c r="U980" s="19">
        <f t="shared" si="481"/>
        <v>0</v>
      </c>
      <c r="V980" s="19">
        <f t="shared" si="467"/>
        <v>0</v>
      </c>
      <c r="W980" s="20">
        <f t="shared" ca="1" si="482"/>
        <v>0</v>
      </c>
      <c r="X980" s="19">
        <f t="shared" ca="1" si="483"/>
        <v>0</v>
      </c>
      <c r="Y980" s="19">
        <f t="shared" ca="1" si="484"/>
        <v>0</v>
      </c>
      <c r="Z980" s="20">
        <f t="shared" ca="1" si="485"/>
        <v>0</v>
      </c>
      <c r="AA980" s="1">
        <f t="shared" si="463"/>
        <v>5432.58</v>
      </c>
      <c r="AB980" s="93"/>
      <c r="AC980" s="94"/>
      <c r="AD980" s="101">
        <f t="shared" si="464"/>
        <v>69624</v>
      </c>
      <c r="AE980" s="103">
        <f t="shared" si="465"/>
        <v>0</v>
      </c>
      <c r="AG980" s="1">
        <f t="shared" si="486"/>
        <v>0</v>
      </c>
      <c r="AH980" s="1">
        <f t="shared" si="487"/>
        <v>0</v>
      </c>
      <c r="AI980" s="1">
        <f t="shared" si="466"/>
        <v>5432.58</v>
      </c>
      <c r="AJ980" s="20">
        <f t="shared" si="468"/>
        <v>0</v>
      </c>
      <c r="AK980" s="100">
        <f t="shared" si="470"/>
        <v>0</v>
      </c>
      <c r="AL980" s="100">
        <f t="shared" si="471"/>
        <v>0</v>
      </c>
      <c r="AN980" s="100">
        <f t="shared" si="472"/>
        <v>3357.2925475843108</v>
      </c>
      <c r="AO980" s="20">
        <f t="shared" si="473"/>
        <v>0</v>
      </c>
      <c r="AQ980" s="109">
        <f t="shared" si="474"/>
        <v>0</v>
      </c>
      <c r="AU980" s="109">
        <f t="shared" si="459"/>
        <v>24.894004900024644</v>
      </c>
      <c r="AV980" s="101">
        <f t="shared" si="475"/>
        <v>69654</v>
      </c>
      <c r="AW980" s="99">
        <f t="shared" si="476"/>
        <v>0</v>
      </c>
      <c r="AX980" s="1">
        <f t="shared" si="477"/>
        <v>0</v>
      </c>
      <c r="AY980" s="29">
        <f t="shared" si="478"/>
        <v>0</v>
      </c>
      <c r="AZ980" s="1">
        <f t="shared" si="460"/>
        <v>0</v>
      </c>
      <c r="CB980" s="20">
        <f t="shared" si="469"/>
        <v>0</v>
      </c>
      <c r="CC980" s="173">
        <f t="shared" si="461"/>
        <v>0</v>
      </c>
    </row>
    <row r="981" spans="10:81" x14ac:dyDescent="0.25">
      <c r="J981" s="7"/>
      <c r="K981" s="8"/>
      <c r="L981" s="16"/>
      <c r="M981" s="22"/>
      <c r="N981" s="22"/>
      <c r="O981" s="22"/>
      <c r="P981" s="22"/>
      <c r="Q981" s="1">
        <f t="shared" si="462"/>
        <v>0.60744618579017706</v>
      </c>
      <c r="R981" s="12">
        <f t="shared" ca="1" si="479"/>
        <v>28532</v>
      </c>
      <c r="S981" s="88">
        <f t="shared" si="488"/>
        <v>0</v>
      </c>
      <c r="T981" s="19">
        <f t="shared" si="480"/>
        <v>0</v>
      </c>
      <c r="U981" s="19">
        <f t="shared" si="481"/>
        <v>0</v>
      </c>
      <c r="V981" s="19">
        <f t="shared" si="467"/>
        <v>0</v>
      </c>
      <c r="W981" s="20">
        <f t="shared" ca="1" si="482"/>
        <v>0</v>
      </c>
      <c r="X981" s="19">
        <f t="shared" ca="1" si="483"/>
        <v>0</v>
      </c>
      <c r="Y981" s="19">
        <f t="shared" ca="1" si="484"/>
        <v>0</v>
      </c>
      <c r="Z981" s="20">
        <f t="shared" ca="1" si="485"/>
        <v>0</v>
      </c>
      <c r="AA981" s="1">
        <f t="shared" si="463"/>
        <v>5432.58</v>
      </c>
      <c r="AB981" s="91"/>
      <c r="AC981" s="92"/>
      <c r="AD981" s="101">
        <f t="shared" si="464"/>
        <v>69654</v>
      </c>
      <c r="AE981" s="103">
        <f t="shared" si="465"/>
        <v>0</v>
      </c>
      <c r="AG981" s="1">
        <f t="shared" si="486"/>
        <v>0</v>
      </c>
      <c r="AH981" s="1">
        <f t="shared" si="487"/>
        <v>0</v>
      </c>
      <c r="AI981" s="1">
        <f t="shared" si="466"/>
        <v>5432.58</v>
      </c>
      <c r="AJ981" s="20">
        <f t="shared" si="468"/>
        <v>0</v>
      </c>
      <c r="AK981" s="100">
        <f t="shared" si="470"/>
        <v>0</v>
      </c>
      <c r="AL981" s="100">
        <f t="shared" si="471"/>
        <v>0</v>
      </c>
      <c r="AN981" s="100">
        <f t="shared" si="472"/>
        <v>3355.5939286401322</v>
      </c>
      <c r="AO981" s="20">
        <f t="shared" si="473"/>
        <v>0</v>
      </c>
      <c r="AQ981" s="109">
        <f t="shared" si="474"/>
        <v>0</v>
      </c>
      <c r="AU981" s="109">
        <f t="shared" si="459"/>
        <v>24.89181995138447</v>
      </c>
      <c r="AV981" s="101">
        <f t="shared" si="475"/>
        <v>69684</v>
      </c>
      <c r="AW981" s="99">
        <f t="shared" si="476"/>
        <v>0</v>
      </c>
      <c r="AX981" s="1">
        <f t="shared" si="477"/>
        <v>0</v>
      </c>
      <c r="AY981" s="29">
        <f t="shared" si="478"/>
        <v>0</v>
      </c>
      <c r="AZ981" s="1">
        <f t="shared" si="460"/>
        <v>0</v>
      </c>
      <c r="CB981" s="20">
        <f t="shared" si="469"/>
        <v>0</v>
      </c>
      <c r="CC981" s="173">
        <f t="shared" si="461"/>
        <v>0</v>
      </c>
    </row>
    <row r="982" spans="10:81" x14ac:dyDescent="0.25">
      <c r="J982" s="9"/>
      <c r="K982" s="10"/>
      <c r="L982" s="17"/>
      <c r="M982" s="23"/>
      <c r="N982" s="23"/>
      <c r="O982" s="23"/>
      <c r="P982" s="23"/>
      <c r="Q982" s="1">
        <f t="shared" si="462"/>
        <v>0.60744618579017706</v>
      </c>
      <c r="R982" s="12">
        <f t="shared" ca="1" si="479"/>
        <v>28562</v>
      </c>
      <c r="S982" s="88">
        <f t="shared" si="488"/>
        <v>0</v>
      </c>
      <c r="T982" s="19">
        <f t="shared" si="480"/>
        <v>0</v>
      </c>
      <c r="U982" s="19">
        <f t="shared" si="481"/>
        <v>0</v>
      </c>
      <c r="V982" s="19">
        <f t="shared" si="467"/>
        <v>0</v>
      </c>
      <c r="W982" s="20">
        <f t="shared" ca="1" si="482"/>
        <v>0</v>
      </c>
      <c r="X982" s="19">
        <f t="shared" ca="1" si="483"/>
        <v>0</v>
      </c>
      <c r="Y982" s="19">
        <f t="shared" ca="1" si="484"/>
        <v>0</v>
      </c>
      <c r="Z982" s="20">
        <f t="shared" ca="1" si="485"/>
        <v>0</v>
      </c>
      <c r="AA982" s="1">
        <f t="shared" si="463"/>
        <v>5432.58</v>
      </c>
      <c r="AB982" s="93"/>
      <c r="AC982" s="94"/>
      <c r="AD982" s="101">
        <f t="shared" si="464"/>
        <v>69684</v>
      </c>
      <c r="AE982" s="103">
        <f t="shared" si="465"/>
        <v>0</v>
      </c>
      <c r="AG982" s="1">
        <f t="shared" si="486"/>
        <v>0</v>
      </c>
      <c r="AH982" s="1">
        <f t="shared" si="487"/>
        <v>0</v>
      </c>
      <c r="AI982" s="1">
        <f t="shared" si="466"/>
        <v>5432.58</v>
      </c>
      <c r="AJ982" s="20">
        <f t="shared" si="468"/>
        <v>0</v>
      </c>
      <c r="AK982" s="100">
        <f t="shared" si="470"/>
        <v>0</v>
      </c>
      <c r="AL982" s="100">
        <f t="shared" si="471"/>
        <v>0</v>
      </c>
      <c r="AN982" s="100">
        <f t="shared" si="472"/>
        <v>3353.8961691105796</v>
      </c>
      <c r="AO982" s="20">
        <f t="shared" si="473"/>
        <v>0</v>
      </c>
      <c r="AQ982" s="109">
        <f t="shared" si="474"/>
        <v>0</v>
      </c>
      <c r="AU982" s="109">
        <f t="shared" si="459"/>
        <v>24.8896351945174</v>
      </c>
      <c r="AV982" s="101">
        <f t="shared" si="475"/>
        <v>69714</v>
      </c>
      <c r="AW982" s="99">
        <f t="shared" si="476"/>
        <v>0</v>
      </c>
      <c r="AX982" s="1">
        <f t="shared" si="477"/>
        <v>0</v>
      </c>
      <c r="AY982" s="29">
        <f t="shared" si="478"/>
        <v>0</v>
      </c>
      <c r="AZ982" s="1">
        <f t="shared" si="460"/>
        <v>0</v>
      </c>
      <c r="CB982" s="20">
        <f t="shared" si="469"/>
        <v>0</v>
      </c>
      <c r="CC982" s="173">
        <f t="shared" si="461"/>
        <v>0</v>
      </c>
    </row>
    <row r="983" spans="10:81" x14ac:dyDescent="0.25">
      <c r="J983" s="7"/>
      <c r="K983" s="8"/>
      <c r="L983" s="16"/>
      <c r="M983" s="22"/>
      <c r="N983" s="22"/>
      <c r="O983" s="22"/>
      <c r="P983" s="22"/>
      <c r="Q983" s="1">
        <f t="shared" si="462"/>
        <v>0.60744618579017706</v>
      </c>
      <c r="R983" s="12">
        <f t="shared" ca="1" si="479"/>
        <v>28592</v>
      </c>
      <c r="S983" s="88">
        <f t="shared" si="488"/>
        <v>0</v>
      </c>
      <c r="T983" s="19">
        <f t="shared" si="480"/>
        <v>0</v>
      </c>
      <c r="U983" s="19">
        <f t="shared" si="481"/>
        <v>0</v>
      </c>
      <c r="V983" s="19">
        <f t="shared" si="467"/>
        <v>0</v>
      </c>
      <c r="W983" s="20">
        <f t="shared" ca="1" si="482"/>
        <v>0</v>
      </c>
      <c r="X983" s="19">
        <f t="shared" ca="1" si="483"/>
        <v>0</v>
      </c>
      <c r="Y983" s="19">
        <f t="shared" ca="1" si="484"/>
        <v>0</v>
      </c>
      <c r="Z983" s="20">
        <f t="shared" ca="1" si="485"/>
        <v>0</v>
      </c>
      <c r="AA983" s="1">
        <f t="shared" si="463"/>
        <v>5432.58</v>
      </c>
      <c r="AB983" s="91"/>
      <c r="AC983" s="92"/>
      <c r="AD983" s="101">
        <f t="shared" si="464"/>
        <v>69714</v>
      </c>
      <c r="AE983" s="103">
        <f t="shared" si="465"/>
        <v>0</v>
      </c>
      <c r="AG983" s="1">
        <f t="shared" si="486"/>
        <v>0</v>
      </c>
      <c r="AH983" s="1">
        <f t="shared" si="487"/>
        <v>0</v>
      </c>
      <c r="AI983" s="1">
        <f t="shared" si="466"/>
        <v>5432.58</v>
      </c>
      <c r="AJ983" s="20">
        <f t="shared" si="468"/>
        <v>0</v>
      </c>
      <c r="AK983" s="100">
        <f t="shared" si="470"/>
        <v>0</v>
      </c>
      <c r="AL983" s="100">
        <f t="shared" si="471"/>
        <v>0</v>
      </c>
      <c r="AN983" s="100">
        <f t="shared" si="472"/>
        <v>3352.1992685608329</v>
      </c>
      <c r="AO983" s="20">
        <f t="shared" si="473"/>
        <v>0</v>
      </c>
      <c r="AQ983" s="109">
        <f t="shared" si="474"/>
        <v>0</v>
      </c>
      <c r="AU983" s="109">
        <f t="shared" si="459"/>
        <v>24.887450629406601</v>
      </c>
      <c r="AV983" s="101">
        <f t="shared" si="475"/>
        <v>69744</v>
      </c>
      <c r="AW983" s="99">
        <f t="shared" si="476"/>
        <v>0</v>
      </c>
      <c r="AX983" s="1">
        <f t="shared" si="477"/>
        <v>0</v>
      </c>
      <c r="AY983" s="29">
        <f t="shared" si="478"/>
        <v>0</v>
      </c>
      <c r="AZ983" s="1">
        <f t="shared" si="460"/>
        <v>0</v>
      </c>
      <c r="CB983" s="20">
        <f t="shared" si="469"/>
        <v>0</v>
      </c>
      <c r="CC983" s="173">
        <f t="shared" si="461"/>
        <v>0</v>
      </c>
    </row>
    <row r="984" spans="10:81" x14ac:dyDescent="0.25">
      <c r="J984" s="9"/>
      <c r="K984" s="10"/>
      <c r="L984" s="17"/>
      <c r="M984" s="23"/>
      <c r="N984" s="23"/>
      <c r="O984" s="23"/>
      <c r="P984" s="23"/>
      <c r="Q984" s="1">
        <f t="shared" si="462"/>
        <v>0.60744618579017706</v>
      </c>
      <c r="R984" s="12">
        <f t="shared" ca="1" si="479"/>
        <v>28622</v>
      </c>
      <c r="S984" s="88">
        <f t="shared" si="488"/>
        <v>0</v>
      </c>
      <c r="T984" s="19">
        <f t="shared" si="480"/>
        <v>0</v>
      </c>
      <c r="U984" s="19">
        <f t="shared" si="481"/>
        <v>0</v>
      </c>
      <c r="V984" s="19">
        <f t="shared" si="467"/>
        <v>0</v>
      </c>
      <c r="W984" s="20">
        <f t="shared" ca="1" si="482"/>
        <v>0</v>
      </c>
      <c r="X984" s="19">
        <f t="shared" ca="1" si="483"/>
        <v>0</v>
      </c>
      <c r="Y984" s="19">
        <f t="shared" ca="1" si="484"/>
        <v>0</v>
      </c>
      <c r="Z984" s="20">
        <f t="shared" ca="1" si="485"/>
        <v>0</v>
      </c>
      <c r="AA984" s="1">
        <f t="shared" si="463"/>
        <v>5432.58</v>
      </c>
      <c r="AB984" s="93"/>
      <c r="AC984" s="94"/>
      <c r="AD984" s="101">
        <f t="shared" si="464"/>
        <v>69744</v>
      </c>
      <c r="AE984" s="103">
        <f t="shared" si="465"/>
        <v>0</v>
      </c>
      <c r="AG984" s="1">
        <f t="shared" si="486"/>
        <v>0</v>
      </c>
      <c r="AH984" s="1">
        <f t="shared" si="487"/>
        <v>0</v>
      </c>
      <c r="AI984" s="1">
        <f t="shared" si="466"/>
        <v>5432.58</v>
      </c>
      <c r="AJ984" s="20">
        <f t="shared" si="468"/>
        <v>0</v>
      </c>
      <c r="AK984" s="100">
        <f t="shared" si="470"/>
        <v>0</v>
      </c>
      <c r="AL984" s="100">
        <f t="shared" si="471"/>
        <v>0</v>
      </c>
      <c r="AN984" s="100">
        <f t="shared" si="472"/>
        <v>3350.5032265562922</v>
      </c>
      <c r="AO984" s="20">
        <f t="shared" si="473"/>
        <v>0</v>
      </c>
      <c r="AQ984" s="109">
        <f t="shared" si="474"/>
        <v>0</v>
      </c>
      <c r="AU984" s="109">
        <f t="shared" si="459"/>
        <v>24.885266256035237</v>
      </c>
      <c r="AV984" s="101">
        <f t="shared" si="475"/>
        <v>69774</v>
      </c>
      <c r="AW984" s="99">
        <f t="shared" si="476"/>
        <v>0</v>
      </c>
      <c r="AX984" s="1">
        <f t="shared" si="477"/>
        <v>0</v>
      </c>
      <c r="AY984" s="29">
        <f t="shared" si="478"/>
        <v>0</v>
      </c>
      <c r="AZ984" s="1">
        <f t="shared" si="460"/>
        <v>0</v>
      </c>
      <c r="CB984" s="20">
        <f t="shared" si="469"/>
        <v>0</v>
      </c>
      <c r="CC984" s="173">
        <f t="shared" si="461"/>
        <v>0</v>
      </c>
    </row>
    <row r="985" spans="10:81" x14ac:dyDescent="0.25">
      <c r="J985" s="7"/>
      <c r="K985" s="8"/>
      <c r="L985" s="16"/>
      <c r="M985" s="22"/>
      <c r="N985" s="22"/>
      <c r="O985" s="22"/>
      <c r="P985" s="22"/>
      <c r="Q985" s="1">
        <f t="shared" si="462"/>
        <v>0.60744618579017706</v>
      </c>
      <c r="R985" s="12">
        <f t="shared" ca="1" si="479"/>
        <v>28652</v>
      </c>
      <c r="S985" s="88">
        <f t="shared" si="488"/>
        <v>0</v>
      </c>
      <c r="T985" s="19">
        <f t="shared" si="480"/>
        <v>0</v>
      </c>
      <c r="U985" s="19">
        <f t="shared" si="481"/>
        <v>0</v>
      </c>
      <c r="V985" s="19">
        <f t="shared" si="467"/>
        <v>0</v>
      </c>
      <c r="W985" s="20">
        <f t="shared" ca="1" si="482"/>
        <v>0</v>
      </c>
      <c r="X985" s="19">
        <f t="shared" ca="1" si="483"/>
        <v>0</v>
      </c>
      <c r="Y985" s="19">
        <f t="shared" ca="1" si="484"/>
        <v>0</v>
      </c>
      <c r="Z985" s="20">
        <f t="shared" ca="1" si="485"/>
        <v>0</v>
      </c>
      <c r="AA985" s="1">
        <f t="shared" si="463"/>
        <v>5432.58</v>
      </c>
      <c r="AB985" s="91"/>
      <c r="AC985" s="92"/>
      <c r="AD985" s="101">
        <f t="shared" si="464"/>
        <v>69774</v>
      </c>
      <c r="AE985" s="103">
        <f t="shared" si="465"/>
        <v>0</v>
      </c>
      <c r="AG985" s="1">
        <f t="shared" si="486"/>
        <v>0</v>
      </c>
      <c r="AH985" s="1">
        <f t="shared" si="487"/>
        <v>0</v>
      </c>
      <c r="AI985" s="1">
        <f t="shared" si="466"/>
        <v>5432.58</v>
      </c>
      <c r="AJ985" s="20">
        <f t="shared" si="468"/>
        <v>0</v>
      </c>
      <c r="AK985" s="100">
        <f t="shared" si="470"/>
        <v>0</v>
      </c>
      <c r="AL985" s="100">
        <f t="shared" si="471"/>
        <v>0</v>
      </c>
      <c r="AN985" s="100">
        <f t="shared" si="472"/>
        <v>3348.8080426625752</v>
      </c>
      <c r="AO985" s="20">
        <f t="shared" si="473"/>
        <v>0</v>
      </c>
      <c r="AQ985" s="109">
        <f t="shared" si="474"/>
        <v>0</v>
      </c>
      <c r="AU985" s="109">
        <f t="shared" si="459"/>
        <v>24.883082074386493</v>
      </c>
      <c r="AV985" s="101">
        <f t="shared" si="475"/>
        <v>69804</v>
      </c>
      <c r="AW985" s="99">
        <f t="shared" si="476"/>
        <v>0</v>
      </c>
      <c r="AX985" s="1">
        <f t="shared" si="477"/>
        <v>0</v>
      </c>
      <c r="AY985" s="29">
        <f t="shared" si="478"/>
        <v>0</v>
      </c>
      <c r="AZ985" s="1">
        <f t="shared" si="460"/>
        <v>0</v>
      </c>
      <c r="CB985" s="20">
        <f t="shared" si="469"/>
        <v>0</v>
      </c>
      <c r="CC985" s="173">
        <f t="shared" si="461"/>
        <v>0</v>
      </c>
    </row>
    <row r="986" spans="10:81" x14ac:dyDescent="0.25">
      <c r="J986" s="9"/>
      <c r="K986" s="10"/>
      <c r="L986" s="17"/>
      <c r="M986" s="23"/>
      <c r="N986" s="23"/>
      <c r="O986" s="23"/>
      <c r="P986" s="23"/>
      <c r="Q986" s="1">
        <f t="shared" si="462"/>
        <v>0.60744618579017706</v>
      </c>
      <c r="R986" s="12">
        <f t="shared" ca="1" si="479"/>
        <v>28682</v>
      </c>
      <c r="S986" s="88">
        <f t="shared" si="488"/>
        <v>0</v>
      </c>
      <c r="T986" s="19">
        <f t="shared" si="480"/>
        <v>0</v>
      </c>
      <c r="U986" s="19">
        <f t="shared" si="481"/>
        <v>0</v>
      </c>
      <c r="V986" s="19">
        <f t="shared" si="467"/>
        <v>0</v>
      </c>
      <c r="W986" s="20">
        <f t="shared" ca="1" si="482"/>
        <v>0</v>
      </c>
      <c r="X986" s="19">
        <f t="shared" ca="1" si="483"/>
        <v>0</v>
      </c>
      <c r="Y986" s="19">
        <f t="shared" ca="1" si="484"/>
        <v>0</v>
      </c>
      <c r="Z986" s="20">
        <f t="shared" ca="1" si="485"/>
        <v>0</v>
      </c>
      <c r="AA986" s="1">
        <f t="shared" si="463"/>
        <v>5432.58</v>
      </c>
      <c r="AB986" s="93"/>
      <c r="AC986" s="94"/>
      <c r="AD986" s="101">
        <f t="shared" si="464"/>
        <v>69804</v>
      </c>
      <c r="AE986" s="103">
        <f t="shared" si="465"/>
        <v>0</v>
      </c>
      <c r="AG986" s="1">
        <f t="shared" si="486"/>
        <v>0</v>
      </c>
      <c r="AH986" s="1">
        <f t="shared" si="487"/>
        <v>0</v>
      </c>
      <c r="AI986" s="1">
        <f t="shared" si="466"/>
        <v>5432.58</v>
      </c>
      <c r="AJ986" s="20">
        <f t="shared" si="468"/>
        <v>0</v>
      </c>
      <c r="AK986" s="100">
        <f t="shared" si="470"/>
        <v>0</v>
      </c>
      <c r="AL986" s="100">
        <f t="shared" si="471"/>
        <v>0</v>
      </c>
      <c r="AN986" s="100">
        <f t="shared" si="472"/>
        <v>3347.113716445524</v>
      </c>
      <c r="AO986" s="20">
        <f t="shared" si="473"/>
        <v>0</v>
      </c>
      <c r="AQ986" s="109">
        <f t="shared" si="474"/>
        <v>0</v>
      </c>
      <c r="AU986" s="109">
        <f t="shared" si="459"/>
        <v>24.880898084443526</v>
      </c>
      <c r="AV986" s="101">
        <f t="shared" si="475"/>
        <v>69834</v>
      </c>
      <c r="AW986" s="99">
        <f t="shared" si="476"/>
        <v>0</v>
      </c>
      <c r="AX986" s="1">
        <f t="shared" si="477"/>
        <v>0</v>
      </c>
      <c r="AY986" s="29">
        <f t="shared" si="478"/>
        <v>0</v>
      </c>
      <c r="AZ986" s="1">
        <f t="shared" si="460"/>
        <v>0</v>
      </c>
      <c r="CB986" s="20">
        <f t="shared" si="469"/>
        <v>0</v>
      </c>
      <c r="CC986" s="173">
        <f t="shared" si="461"/>
        <v>0</v>
      </c>
    </row>
    <row r="987" spans="10:81" x14ac:dyDescent="0.25">
      <c r="J987" s="7"/>
      <c r="K987" s="8"/>
      <c r="L987" s="16"/>
      <c r="M987" s="22"/>
      <c r="N987" s="22"/>
      <c r="O987" s="22"/>
      <c r="P987" s="22"/>
      <c r="Q987" s="1">
        <f t="shared" si="462"/>
        <v>0.60744618579017706</v>
      </c>
      <c r="R987" s="12">
        <f t="shared" ca="1" si="479"/>
        <v>28712</v>
      </c>
      <c r="S987" s="88">
        <f t="shared" si="488"/>
        <v>0</v>
      </c>
      <c r="T987" s="19">
        <f t="shared" si="480"/>
        <v>0</v>
      </c>
      <c r="U987" s="19">
        <f t="shared" si="481"/>
        <v>0</v>
      </c>
      <c r="V987" s="19">
        <f t="shared" si="467"/>
        <v>0</v>
      </c>
      <c r="W987" s="20">
        <f t="shared" ca="1" si="482"/>
        <v>0</v>
      </c>
      <c r="X987" s="19">
        <f t="shared" ca="1" si="483"/>
        <v>0</v>
      </c>
      <c r="Y987" s="19">
        <f t="shared" ca="1" si="484"/>
        <v>0</v>
      </c>
      <c r="Z987" s="20">
        <f t="shared" ca="1" si="485"/>
        <v>0</v>
      </c>
      <c r="AA987" s="1">
        <f t="shared" si="463"/>
        <v>5432.58</v>
      </c>
      <c r="AB987" s="91"/>
      <c r="AC987" s="92"/>
      <c r="AD987" s="101">
        <f t="shared" si="464"/>
        <v>69834</v>
      </c>
      <c r="AE987" s="103">
        <f t="shared" si="465"/>
        <v>0</v>
      </c>
      <c r="AG987" s="1">
        <f t="shared" si="486"/>
        <v>0</v>
      </c>
      <c r="AH987" s="1">
        <f t="shared" si="487"/>
        <v>0</v>
      </c>
      <c r="AI987" s="1">
        <f t="shared" si="466"/>
        <v>5432.58</v>
      </c>
      <c r="AJ987" s="20">
        <f t="shared" si="468"/>
        <v>0</v>
      </c>
      <c r="AK987" s="100">
        <f t="shared" si="470"/>
        <v>0</v>
      </c>
      <c r="AL987" s="100">
        <f t="shared" si="471"/>
        <v>0</v>
      </c>
      <c r="AN987" s="100">
        <f t="shared" si="472"/>
        <v>3345.4202474711969</v>
      </c>
      <c r="AO987" s="20">
        <f t="shared" si="473"/>
        <v>0</v>
      </c>
      <c r="AQ987" s="109">
        <f t="shared" si="474"/>
        <v>0</v>
      </c>
      <c r="AU987" s="109">
        <f t="shared" si="459"/>
        <v>24.878714286189517</v>
      </c>
      <c r="AV987" s="101">
        <f t="shared" si="475"/>
        <v>69864</v>
      </c>
      <c r="AW987" s="99">
        <f t="shared" si="476"/>
        <v>0</v>
      </c>
      <c r="AX987" s="1">
        <f t="shared" si="477"/>
        <v>0</v>
      </c>
      <c r="AY987" s="29">
        <f t="shared" si="478"/>
        <v>0</v>
      </c>
      <c r="AZ987" s="1">
        <f t="shared" si="460"/>
        <v>0</v>
      </c>
      <c r="CB987" s="20">
        <f t="shared" si="469"/>
        <v>0</v>
      </c>
      <c r="CC987" s="173">
        <f t="shared" si="461"/>
        <v>0</v>
      </c>
    </row>
    <row r="988" spans="10:81" x14ac:dyDescent="0.25">
      <c r="J988" s="9"/>
      <c r="K988" s="10"/>
      <c r="L988" s="17"/>
      <c r="M988" s="23"/>
      <c r="N988" s="23"/>
      <c r="O988" s="23"/>
      <c r="P988" s="23"/>
      <c r="Q988" s="1">
        <f t="shared" si="462"/>
        <v>0.60744618579017706</v>
      </c>
      <c r="R988" s="12">
        <f t="shared" ca="1" si="479"/>
        <v>28742</v>
      </c>
      <c r="S988" s="88">
        <f t="shared" si="488"/>
        <v>0</v>
      </c>
      <c r="T988" s="19">
        <f t="shared" si="480"/>
        <v>0</v>
      </c>
      <c r="U988" s="19">
        <f t="shared" si="481"/>
        <v>0</v>
      </c>
      <c r="V988" s="19">
        <f t="shared" si="467"/>
        <v>0</v>
      </c>
      <c r="W988" s="20">
        <f t="shared" ca="1" si="482"/>
        <v>0</v>
      </c>
      <c r="X988" s="19">
        <f t="shared" ca="1" si="483"/>
        <v>0</v>
      </c>
      <c r="Y988" s="19">
        <f t="shared" ca="1" si="484"/>
        <v>0</v>
      </c>
      <c r="Z988" s="20">
        <f t="shared" ca="1" si="485"/>
        <v>0</v>
      </c>
      <c r="AA988" s="1">
        <f t="shared" si="463"/>
        <v>5432.58</v>
      </c>
      <c r="AB988" s="93"/>
      <c r="AC988" s="94"/>
      <c r="AD988" s="101">
        <f t="shared" si="464"/>
        <v>69864</v>
      </c>
      <c r="AE988" s="103">
        <f t="shared" si="465"/>
        <v>0</v>
      </c>
      <c r="AG988" s="1">
        <f t="shared" si="486"/>
        <v>0</v>
      </c>
      <c r="AH988" s="1">
        <f t="shared" si="487"/>
        <v>0</v>
      </c>
      <c r="AI988" s="1">
        <f t="shared" si="466"/>
        <v>5432.58</v>
      </c>
      <c r="AJ988" s="20">
        <f t="shared" si="468"/>
        <v>0</v>
      </c>
      <c r="AK988" s="100">
        <f t="shared" si="470"/>
        <v>0</v>
      </c>
      <c r="AL988" s="100">
        <f t="shared" si="471"/>
        <v>0</v>
      </c>
      <c r="AN988" s="100">
        <f t="shared" si="472"/>
        <v>3343.7276353058737</v>
      </c>
      <c r="AO988" s="20">
        <f t="shared" si="473"/>
        <v>0</v>
      </c>
      <c r="AQ988" s="109">
        <f t="shared" si="474"/>
        <v>0</v>
      </c>
      <c r="AU988" s="109">
        <f t="shared" si="459"/>
        <v>24.876530679607644</v>
      </c>
      <c r="AV988" s="101">
        <f t="shared" si="475"/>
        <v>69894</v>
      </c>
      <c r="AW988" s="99">
        <f t="shared" si="476"/>
        <v>0</v>
      </c>
      <c r="AX988" s="1">
        <f t="shared" si="477"/>
        <v>0</v>
      </c>
      <c r="AY988" s="29">
        <f t="shared" si="478"/>
        <v>0</v>
      </c>
      <c r="AZ988" s="1">
        <f t="shared" si="460"/>
        <v>0</v>
      </c>
      <c r="CB988" s="20">
        <f t="shared" si="469"/>
        <v>0</v>
      </c>
      <c r="CC988" s="173">
        <f t="shared" si="461"/>
        <v>0</v>
      </c>
    </row>
    <row r="989" spans="10:81" x14ac:dyDescent="0.25">
      <c r="J989" s="7"/>
      <c r="K989" s="8"/>
      <c r="L989" s="16"/>
      <c r="M989" s="22"/>
      <c r="N989" s="22"/>
      <c r="O989" s="22"/>
      <c r="P989" s="22"/>
      <c r="Q989" s="1">
        <f t="shared" si="462"/>
        <v>0.60744618579017706</v>
      </c>
      <c r="R989" s="12">
        <f t="shared" ca="1" si="479"/>
        <v>28772</v>
      </c>
      <c r="S989" s="88">
        <f t="shared" si="488"/>
        <v>0</v>
      </c>
      <c r="T989" s="19">
        <f t="shared" si="480"/>
        <v>0</v>
      </c>
      <c r="U989" s="19">
        <f t="shared" si="481"/>
        <v>0</v>
      </c>
      <c r="V989" s="19">
        <f t="shared" si="467"/>
        <v>0</v>
      </c>
      <c r="W989" s="20">
        <f t="shared" ca="1" si="482"/>
        <v>0</v>
      </c>
      <c r="X989" s="19">
        <f t="shared" ca="1" si="483"/>
        <v>0</v>
      </c>
      <c r="Y989" s="19">
        <f t="shared" ca="1" si="484"/>
        <v>0</v>
      </c>
      <c r="Z989" s="20">
        <f t="shared" ca="1" si="485"/>
        <v>0</v>
      </c>
      <c r="AA989" s="1">
        <f t="shared" si="463"/>
        <v>5432.58</v>
      </c>
      <c r="AB989" s="91"/>
      <c r="AC989" s="92"/>
      <c r="AD989" s="101">
        <f t="shared" si="464"/>
        <v>69894</v>
      </c>
      <c r="AE989" s="103">
        <f t="shared" si="465"/>
        <v>0</v>
      </c>
      <c r="AG989" s="1">
        <f t="shared" si="486"/>
        <v>0</v>
      </c>
      <c r="AH989" s="1">
        <f t="shared" si="487"/>
        <v>0</v>
      </c>
      <c r="AI989" s="1">
        <f t="shared" si="466"/>
        <v>5432.58</v>
      </c>
      <c r="AJ989" s="20">
        <f t="shared" si="468"/>
        <v>0</v>
      </c>
      <c r="AK989" s="100">
        <f t="shared" si="470"/>
        <v>0</v>
      </c>
      <c r="AL989" s="100">
        <f t="shared" si="471"/>
        <v>0</v>
      </c>
      <c r="AN989" s="100">
        <f t="shared" si="472"/>
        <v>3342.0358795160528</v>
      </c>
      <c r="AO989" s="20">
        <f t="shared" si="473"/>
        <v>0</v>
      </c>
      <c r="AQ989" s="109">
        <f t="shared" si="474"/>
        <v>0</v>
      </c>
      <c r="AU989" s="109">
        <f t="shared" si="459"/>
        <v>24.874347264681088</v>
      </c>
      <c r="AV989" s="101">
        <f t="shared" si="475"/>
        <v>69924</v>
      </c>
      <c r="AW989" s="99">
        <f t="shared" si="476"/>
        <v>0</v>
      </c>
      <c r="AX989" s="1">
        <f t="shared" si="477"/>
        <v>0</v>
      </c>
      <c r="AY989" s="29">
        <f t="shared" si="478"/>
        <v>0</v>
      </c>
      <c r="AZ989" s="1">
        <f t="shared" si="460"/>
        <v>0</v>
      </c>
      <c r="CB989" s="20">
        <f t="shared" si="469"/>
        <v>0</v>
      </c>
      <c r="CC989" s="173">
        <f t="shared" si="461"/>
        <v>0</v>
      </c>
    </row>
    <row r="990" spans="10:81" x14ac:dyDescent="0.25">
      <c r="J990" s="9"/>
      <c r="K990" s="10"/>
      <c r="L990" s="17"/>
      <c r="M990" s="23"/>
      <c r="N990" s="23"/>
      <c r="O990" s="23"/>
      <c r="P990" s="23"/>
      <c r="Q990" s="1">
        <f t="shared" si="462"/>
        <v>0.60744618579017706</v>
      </c>
      <c r="R990" s="12">
        <f t="shared" ca="1" si="479"/>
        <v>28802</v>
      </c>
      <c r="S990" s="88">
        <f t="shared" si="488"/>
        <v>0</v>
      </c>
      <c r="T990" s="19">
        <f t="shared" si="480"/>
        <v>0</v>
      </c>
      <c r="U990" s="19">
        <f t="shared" si="481"/>
        <v>0</v>
      </c>
      <c r="V990" s="19">
        <f t="shared" si="467"/>
        <v>0</v>
      </c>
      <c r="W990" s="20">
        <f t="shared" ca="1" si="482"/>
        <v>0</v>
      </c>
      <c r="X990" s="19">
        <f t="shared" ca="1" si="483"/>
        <v>0</v>
      </c>
      <c r="Y990" s="19">
        <f t="shared" ca="1" si="484"/>
        <v>0</v>
      </c>
      <c r="Z990" s="20">
        <f t="shared" ca="1" si="485"/>
        <v>0</v>
      </c>
      <c r="AA990" s="1">
        <f t="shared" si="463"/>
        <v>5432.58</v>
      </c>
      <c r="AB990" s="93"/>
      <c r="AC990" s="94"/>
      <c r="AD990" s="101">
        <f t="shared" si="464"/>
        <v>69924</v>
      </c>
      <c r="AE990" s="103">
        <f t="shared" si="465"/>
        <v>0</v>
      </c>
      <c r="AG990" s="1">
        <f t="shared" si="486"/>
        <v>0</v>
      </c>
      <c r="AH990" s="1">
        <f t="shared" si="487"/>
        <v>0</v>
      </c>
      <c r="AI990" s="1">
        <f t="shared" si="466"/>
        <v>5432.58</v>
      </c>
      <c r="AJ990" s="20">
        <f t="shared" si="468"/>
        <v>0</v>
      </c>
      <c r="AK990" s="100">
        <f t="shared" si="470"/>
        <v>0</v>
      </c>
      <c r="AL990" s="100">
        <f t="shared" si="471"/>
        <v>0</v>
      </c>
      <c r="AN990" s="100">
        <f t="shared" si="472"/>
        <v>3340.3449796684495</v>
      </c>
      <c r="AO990" s="20">
        <f t="shared" si="473"/>
        <v>0</v>
      </c>
      <c r="AQ990" s="109">
        <f t="shared" si="474"/>
        <v>0</v>
      </c>
      <c r="AU990" s="109">
        <f t="shared" si="459"/>
        <v>24.872164041393006</v>
      </c>
      <c r="AV990" s="101">
        <f t="shared" si="475"/>
        <v>69954</v>
      </c>
      <c r="AW990" s="99">
        <f t="shared" si="476"/>
        <v>0</v>
      </c>
      <c r="AX990" s="1">
        <f t="shared" si="477"/>
        <v>0</v>
      </c>
      <c r="AY990" s="29">
        <f t="shared" si="478"/>
        <v>0</v>
      </c>
      <c r="AZ990" s="1">
        <f t="shared" si="460"/>
        <v>0</v>
      </c>
      <c r="CB990" s="20">
        <f t="shared" si="469"/>
        <v>0</v>
      </c>
      <c r="CC990" s="173">
        <f t="shared" si="461"/>
        <v>0</v>
      </c>
    </row>
    <row r="991" spans="10:81" x14ac:dyDescent="0.25">
      <c r="J991" s="7"/>
      <c r="K991" s="8"/>
      <c r="L991" s="16"/>
      <c r="M991" s="22"/>
      <c r="N991" s="22"/>
      <c r="O991" s="22"/>
      <c r="P991" s="22"/>
      <c r="Q991" s="1">
        <f t="shared" si="462"/>
        <v>0.60744618579017706</v>
      </c>
      <c r="R991" s="12">
        <f t="shared" ca="1" si="479"/>
        <v>28832</v>
      </c>
      <c r="S991" s="88">
        <f t="shared" si="488"/>
        <v>0</v>
      </c>
      <c r="T991" s="19">
        <f t="shared" si="480"/>
        <v>0</v>
      </c>
      <c r="U991" s="19">
        <f t="shared" si="481"/>
        <v>0</v>
      </c>
      <c r="V991" s="19">
        <f t="shared" si="467"/>
        <v>0</v>
      </c>
      <c r="W991" s="20">
        <f t="shared" ca="1" si="482"/>
        <v>0</v>
      </c>
      <c r="X991" s="19">
        <f t="shared" ca="1" si="483"/>
        <v>0</v>
      </c>
      <c r="Y991" s="19">
        <f t="shared" ca="1" si="484"/>
        <v>0</v>
      </c>
      <c r="Z991" s="20">
        <f t="shared" ca="1" si="485"/>
        <v>0</v>
      </c>
      <c r="AA991" s="1">
        <f t="shared" si="463"/>
        <v>5432.58</v>
      </c>
      <c r="AB991" s="91"/>
      <c r="AC991" s="92"/>
      <c r="AD991" s="101">
        <f t="shared" si="464"/>
        <v>69954</v>
      </c>
      <c r="AE991" s="103">
        <f t="shared" si="465"/>
        <v>0</v>
      </c>
      <c r="AG991" s="1">
        <f t="shared" si="486"/>
        <v>0</v>
      </c>
      <c r="AH991" s="1">
        <f t="shared" si="487"/>
        <v>0</v>
      </c>
      <c r="AI991" s="1">
        <f t="shared" si="466"/>
        <v>5432.58</v>
      </c>
      <c r="AJ991" s="20">
        <f t="shared" si="468"/>
        <v>0</v>
      </c>
      <c r="AK991" s="100">
        <f t="shared" si="470"/>
        <v>0</v>
      </c>
      <c r="AL991" s="100">
        <f t="shared" si="471"/>
        <v>0</v>
      </c>
      <c r="AN991" s="100">
        <f t="shared" si="472"/>
        <v>3338.6549353300029</v>
      </c>
      <c r="AO991" s="20">
        <f t="shared" si="473"/>
        <v>0</v>
      </c>
      <c r="AQ991" s="109">
        <f t="shared" si="474"/>
        <v>0</v>
      </c>
      <c r="AU991" s="109">
        <f t="shared" ref="AU991:AU1054" si="489">(($AT$27/(1+((1+$AM$27)^(ROW()-29)*30)-1))/292)*0.32</f>
        <v>24.869981009726612</v>
      </c>
      <c r="AV991" s="101">
        <f t="shared" si="475"/>
        <v>69984</v>
      </c>
      <c r="AW991" s="99">
        <f t="shared" si="476"/>
        <v>0</v>
      </c>
      <c r="AX991" s="1">
        <f t="shared" si="477"/>
        <v>0</v>
      </c>
      <c r="AY991" s="29">
        <f t="shared" si="478"/>
        <v>0</v>
      </c>
      <c r="AZ991" s="1">
        <f t="shared" ref="AZ991:AZ1054" si="490">AY991/360</f>
        <v>0</v>
      </c>
      <c r="CB991" s="20">
        <f t="shared" si="469"/>
        <v>0</v>
      </c>
      <c r="CC991" s="173">
        <f t="shared" ref="CC991:CC1054" si="491">AJ991+U991+T991</f>
        <v>0</v>
      </c>
    </row>
    <row r="992" spans="10:81" x14ac:dyDescent="0.25">
      <c r="J992" s="9"/>
      <c r="K992" s="10"/>
      <c r="L992" s="17"/>
      <c r="M992" s="23"/>
      <c r="N992" s="23"/>
      <c r="O992" s="23"/>
      <c r="P992" s="23"/>
      <c r="Q992" s="1">
        <f t="shared" ref="Q992:Q1055" si="492">IF(M992=0,Q991,(M992*1200)/O991)</f>
        <v>0.60744618579017706</v>
      </c>
      <c r="R992" s="12">
        <f t="shared" ca="1" si="479"/>
        <v>28862</v>
      </c>
      <c r="S992" s="88">
        <f t="shared" si="488"/>
        <v>0</v>
      </c>
      <c r="T992" s="19">
        <f t="shared" si="480"/>
        <v>0</v>
      </c>
      <c r="U992" s="19">
        <f t="shared" si="481"/>
        <v>0</v>
      </c>
      <c r="V992" s="19">
        <f t="shared" si="467"/>
        <v>0</v>
      </c>
      <c r="W992" s="20">
        <f t="shared" ca="1" si="482"/>
        <v>0</v>
      </c>
      <c r="X992" s="19">
        <f t="shared" ca="1" si="483"/>
        <v>0</v>
      </c>
      <c r="Y992" s="19">
        <f t="shared" ca="1" si="484"/>
        <v>0</v>
      </c>
      <c r="Z992" s="20">
        <f t="shared" ca="1" si="485"/>
        <v>0</v>
      </c>
      <c r="AA992" s="1">
        <f t="shared" ref="AA992:AA1055" si="493">IF(S992=0,AA991,N992)</f>
        <v>5432.58</v>
      </c>
      <c r="AB992" s="93"/>
      <c r="AC992" s="94"/>
      <c r="AD992" s="101">
        <f t="shared" ref="AD992:AD1055" si="494">IF(M992=0,AD991+30,K992)</f>
        <v>69984</v>
      </c>
      <c r="AE992" s="103">
        <f t="shared" ref="AE992:AE1055" si="495">IF(V992=0,0,R992)</f>
        <v>0</v>
      </c>
      <c r="AG992" s="1">
        <f t="shared" si="486"/>
        <v>0</v>
      </c>
      <c r="AH992" s="1">
        <f t="shared" si="487"/>
        <v>0</v>
      </c>
      <c r="AI992" s="1">
        <f t="shared" ref="AI992:AI1055" si="496">IF(M992-1=0,IF(M992=0,IF(V992=0,N992,AI991),AA992),AA992)</f>
        <v>5432.58</v>
      </c>
      <c r="AJ992" s="20">
        <f t="shared" si="468"/>
        <v>0</v>
      </c>
      <c r="AK992" s="100">
        <f t="shared" si="470"/>
        <v>0</v>
      </c>
      <c r="AL992" s="100">
        <f t="shared" si="471"/>
        <v>0</v>
      </c>
      <c r="AN992" s="100">
        <f t="shared" si="472"/>
        <v>3336.9657460678677</v>
      </c>
      <c r="AO992" s="20">
        <f t="shared" si="473"/>
        <v>0</v>
      </c>
      <c r="AQ992" s="109">
        <f t="shared" si="474"/>
        <v>0</v>
      </c>
      <c r="AU992" s="109">
        <f t="shared" si="489"/>
        <v>24.867798169665054</v>
      </c>
      <c r="AV992" s="101">
        <f t="shared" si="475"/>
        <v>70014</v>
      </c>
      <c r="AW992" s="99">
        <f t="shared" si="476"/>
        <v>0</v>
      </c>
      <c r="AX992" s="1">
        <f t="shared" si="477"/>
        <v>0</v>
      </c>
      <c r="AY992" s="29">
        <f t="shared" si="478"/>
        <v>0</v>
      </c>
      <c r="AZ992" s="1">
        <f t="shared" si="490"/>
        <v>0</v>
      </c>
      <c r="CB992" s="20">
        <f t="shared" si="469"/>
        <v>0</v>
      </c>
      <c r="CC992" s="173">
        <f t="shared" si="491"/>
        <v>0</v>
      </c>
    </row>
    <row r="993" spans="10:81" x14ac:dyDescent="0.25">
      <c r="J993" s="7"/>
      <c r="K993" s="8"/>
      <c r="L993" s="16"/>
      <c r="M993" s="22"/>
      <c r="N993" s="22"/>
      <c r="O993" s="22"/>
      <c r="P993" s="22"/>
      <c r="Q993" s="1">
        <f t="shared" si="492"/>
        <v>0.60744618579017706</v>
      </c>
      <c r="R993" s="12">
        <f t="shared" ca="1" si="479"/>
        <v>28892</v>
      </c>
      <c r="S993" s="88">
        <f t="shared" si="488"/>
        <v>0</v>
      </c>
      <c r="T993" s="19">
        <f t="shared" si="480"/>
        <v>0</v>
      </c>
      <c r="U993" s="19">
        <f t="shared" si="481"/>
        <v>0</v>
      </c>
      <c r="V993" s="19">
        <f t="shared" si="467"/>
        <v>0</v>
      </c>
      <c r="W993" s="20">
        <f t="shared" ca="1" si="482"/>
        <v>0</v>
      </c>
      <c r="X993" s="19">
        <f t="shared" ca="1" si="483"/>
        <v>0</v>
      </c>
      <c r="Y993" s="19">
        <f t="shared" ca="1" si="484"/>
        <v>0</v>
      </c>
      <c r="Z993" s="20">
        <f t="shared" ca="1" si="485"/>
        <v>0</v>
      </c>
      <c r="AA993" s="1">
        <f t="shared" si="493"/>
        <v>5432.58</v>
      </c>
      <c r="AB993" s="91"/>
      <c r="AC993" s="92"/>
      <c r="AD993" s="101">
        <f t="shared" si="494"/>
        <v>70014</v>
      </c>
      <c r="AE993" s="103">
        <f t="shared" si="495"/>
        <v>0</v>
      </c>
      <c r="AG993" s="1">
        <f t="shared" si="486"/>
        <v>0</v>
      </c>
      <c r="AH993" s="1">
        <f t="shared" si="487"/>
        <v>0</v>
      </c>
      <c r="AI993" s="1">
        <f t="shared" si="496"/>
        <v>5432.58</v>
      </c>
      <c r="AJ993" s="20">
        <f t="shared" si="468"/>
        <v>0</v>
      </c>
      <c r="AK993" s="100">
        <f t="shared" si="470"/>
        <v>0</v>
      </c>
      <c r="AL993" s="100">
        <f t="shared" si="471"/>
        <v>0</v>
      </c>
      <c r="AN993" s="100">
        <f t="shared" si="472"/>
        <v>3335.2774114494196</v>
      </c>
      <c r="AO993" s="20">
        <f t="shared" si="473"/>
        <v>0</v>
      </c>
      <c r="AQ993" s="109">
        <f t="shared" si="474"/>
        <v>0</v>
      </c>
      <c r="AU993" s="109">
        <f t="shared" si="489"/>
        <v>24.865615521191522</v>
      </c>
      <c r="AV993" s="101">
        <f t="shared" si="475"/>
        <v>70044</v>
      </c>
      <c r="AW993" s="99">
        <f t="shared" si="476"/>
        <v>0</v>
      </c>
      <c r="AX993" s="1">
        <f t="shared" si="477"/>
        <v>0</v>
      </c>
      <c r="AY993" s="29">
        <f t="shared" si="478"/>
        <v>0</v>
      </c>
      <c r="AZ993" s="1">
        <f t="shared" si="490"/>
        <v>0</v>
      </c>
      <c r="CB993" s="20">
        <f t="shared" si="469"/>
        <v>0</v>
      </c>
      <c r="CC993" s="173">
        <f t="shared" si="491"/>
        <v>0</v>
      </c>
    </row>
    <row r="994" spans="10:81" x14ac:dyDescent="0.25">
      <c r="J994" s="9"/>
      <c r="K994" s="10"/>
      <c r="L994" s="17"/>
      <c r="M994" s="23"/>
      <c r="N994" s="23"/>
      <c r="O994" s="23"/>
      <c r="P994" s="23"/>
      <c r="Q994" s="1">
        <f t="shared" si="492"/>
        <v>0.60744618579017706</v>
      </c>
      <c r="R994" s="12">
        <f t="shared" ca="1" si="479"/>
        <v>28922</v>
      </c>
      <c r="S994" s="88">
        <f t="shared" si="488"/>
        <v>0</v>
      </c>
      <c r="T994" s="19">
        <f t="shared" si="480"/>
        <v>0</v>
      </c>
      <c r="U994" s="19">
        <f t="shared" si="481"/>
        <v>0</v>
      </c>
      <c r="V994" s="19">
        <f t="shared" ref="V994:V1057" si="497">IF(ISERROR(IF(V993+U994+T994+(V993*Q994/1200)-AA994-P994&lt;0,0,V993+U994+T994-AA994-P994)),0,IF(V993+U994+T994+(V993*Q994/1200)-AA994-CB994&lt;0,0,V993+U994+T994-AA994-CB994))</f>
        <v>0</v>
      </c>
      <c r="W994" s="20">
        <f t="shared" ca="1" si="482"/>
        <v>0</v>
      </c>
      <c r="X994" s="19">
        <f t="shared" ca="1" si="483"/>
        <v>0</v>
      </c>
      <c r="Y994" s="19">
        <f t="shared" ca="1" si="484"/>
        <v>0</v>
      </c>
      <c r="Z994" s="20">
        <f t="shared" ca="1" si="485"/>
        <v>0</v>
      </c>
      <c r="AA994" s="1">
        <f t="shared" si="493"/>
        <v>5432.58</v>
      </c>
      <c r="AB994" s="93"/>
      <c r="AC994" s="94"/>
      <c r="AD994" s="101">
        <f t="shared" si="494"/>
        <v>70044</v>
      </c>
      <c r="AE994" s="103">
        <f t="shared" si="495"/>
        <v>0</v>
      </c>
      <c r="AG994" s="1">
        <f t="shared" si="486"/>
        <v>0</v>
      </c>
      <c r="AH994" s="1">
        <f t="shared" si="487"/>
        <v>0</v>
      </c>
      <c r="AI994" s="1">
        <f t="shared" si="496"/>
        <v>5432.58</v>
      </c>
      <c r="AJ994" s="20">
        <f t="shared" si="468"/>
        <v>0</v>
      </c>
      <c r="AK994" s="100">
        <f t="shared" si="470"/>
        <v>0</v>
      </c>
      <c r="AL994" s="100">
        <f t="shared" si="471"/>
        <v>0</v>
      </c>
      <c r="AN994" s="100">
        <f t="shared" si="472"/>
        <v>3333.5899310422528</v>
      </c>
      <c r="AO994" s="20">
        <f t="shared" si="473"/>
        <v>0</v>
      </c>
      <c r="AQ994" s="109">
        <f t="shared" si="474"/>
        <v>0</v>
      </c>
      <c r="AU994" s="109">
        <f t="shared" si="489"/>
        <v>24.863433064289215</v>
      </c>
      <c r="AV994" s="101">
        <f t="shared" si="475"/>
        <v>70074</v>
      </c>
      <c r="AW994" s="99">
        <f t="shared" si="476"/>
        <v>0</v>
      </c>
      <c r="AX994" s="1">
        <f t="shared" si="477"/>
        <v>0</v>
      </c>
      <c r="AY994" s="29">
        <f t="shared" si="478"/>
        <v>0</v>
      </c>
      <c r="AZ994" s="1">
        <f t="shared" si="490"/>
        <v>0</v>
      </c>
      <c r="CB994" s="20">
        <f t="shared" si="469"/>
        <v>0</v>
      </c>
      <c r="CC994" s="173">
        <f t="shared" si="491"/>
        <v>0</v>
      </c>
    </row>
    <row r="995" spans="10:81" x14ac:dyDescent="0.25">
      <c r="J995" s="7"/>
      <c r="K995" s="8"/>
      <c r="L995" s="16"/>
      <c r="M995" s="22"/>
      <c r="N995" s="22"/>
      <c r="O995" s="22"/>
      <c r="P995" s="22"/>
      <c r="Q995" s="1">
        <f t="shared" si="492"/>
        <v>0.60744618579017706</v>
      </c>
      <c r="R995" s="12">
        <f t="shared" ca="1" si="479"/>
        <v>28952</v>
      </c>
      <c r="S995" s="88">
        <f t="shared" si="488"/>
        <v>0</v>
      </c>
      <c r="T995" s="19">
        <f t="shared" si="480"/>
        <v>0</v>
      </c>
      <c r="U995" s="19">
        <f t="shared" si="481"/>
        <v>0</v>
      </c>
      <c r="V995" s="19">
        <f t="shared" si="497"/>
        <v>0</v>
      </c>
      <c r="W995" s="20">
        <f t="shared" ca="1" si="482"/>
        <v>0</v>
      </c>
      <c r="X995" s="19">
        <f t="shared" ca="1" si="483"/>
        <v>0</v>
      </c>
      <c r="Y995" s="19">
        <f t="shared" ca="1" si="484"/>
        <v>0</v>
      </c>
      <c r="Z995" s="20">
        <f t="shared" ca="1" si="485"/>
        <v>0</v>
      </c>
      <c r="AA995" s="1">
        <f t="shared" si="493"/>
        <v>5432.58</v>
      </c>
      <c r="AB995" s="91"/>
      <c r="AC995" s="92"/>
      <c r="AD995" s="101">
        <f t="shared" si="494"/>
        <v>70074</v>
      </c>
      <c r="AE995" s="103">
        <f t="shared" si="495"/>
        <v>0</v>
      </c>
      <c r="AG995" s="1">
        <f t="shared" si="486"/>
        <v>0</v>
      </c>
      <c r="AH995" s="1">
        <f t="shared" si="487"/>
        <v>0</v>
      </c>
      <c r="AI995" s="1">
        <f t="shared" si="496"/>
        <v>5432.58</v>
      </c>
      <c r="AJ995" s="20">
        <f t="shared" si="468"/>
        <v>0</v>
      </c>
      <c r="AK995" s="100">
        <f t="shared" si="470"/>
        <v>0</v>
      </c>
      <c r="AL995" s="100">
        <f t="shared" si="471"/>
        <v>0</v>
      </c>
      <c r="AN995" s="100">
        <f t="shared" si="472"/>
        <v>3331.9033044141788</v>
      </c>
      <c r="AO995" s="20">
        <f t="shared" si="473"/>
        <v>0</v>
      </c>
      <c r="AQ995" s="109">
        <f t="shared" si="474"/>
        <v>0</v>
      </c>
      <c r="AU995" s="109">
        <f t="shared" si="489"/>
        <v>24.86125079894132</v>
      </c>
      <c r="AV995" s="101">
        <f t="shared" si="475"/>
        <v>70104</v>
      </c>
      <c r="AW995" s="99">
        <f t="shared" si="476"/>
        <v>0</v>
      </c>
      <c r="AX995" s="1">
        <f t="shared" si="477"/>
        <v>0</v>
      </c>
      <c r="AY995" s="29">
        <f t="shared" si="478"/>
        <v>0</v>
      </c>
      <c r="AZ995" s="1">
        <f t="shared" si="490"/>
        <v>0</v>
      </c>
      <c r="CB995" s="20">
        <f t="shared" si="469"/>
        <v>0</v>
      </c>
      <c r="CC995" s="173">
        <f t="shared" si="491"/>
        <v>0</v>
      </c>
    </row>
    <row r="996" spans="10:81" x14ac:dyDescent="0.25">
      <c r="J996" s="9"/>
      <c r="K996" s="10"/>
      <c r="L996" s="17"/>
      <c r="M996" s="23"/>
      <c r="N996" s="23"/>
      <c r="O996" s="23"/>
      <c r="P996" s="23"/>
      <c r="Q996" s="1">
        <f t="shared" si="492"/>
        <v>0.60744618579017706</v>
      </c>
      <c r="R996" s="12">
        <f t="shared" ca="1" si="479"/>
        <v>28982</v>
      </c>
      <c r="S996" s="88">
        <f t="shared" si="488"/>
        <v>0</v>
      </c>
      <c r="T996" s="19">
        <f t="shared" si="480"/>
        <v>0</v>
      </c>
      <c r="U996" s="19">
        <f t="shared" si="481"/>
        <v>0</v>
      </c>
      <c r="V996" s="19">
        <f t="shared" si="497"/>
        <v>0</v>
      </c>
      <c r="W996" s="20">
        <f t="shared" ca="1" si="482"/>
        <v>0</v>
      </c>
      <c r="X996" s="19">
        <f t="shared" ca="1" si="483"/>
        <v>0</v>
      </c>
      <c r="Y996" s="19">
        <f t="shared" ca="1" si="484"/>
        <v>0</v>
      </c>
      <c r="Z996" s="20">
        <f t="shared" ca="1" si="485"/>
        <v>0</v>
      </c>
      <c r="AA996" s="1">
        <f t="shared" si="493"/>
        <v>5432.58</v>
      </c>
      <c r="AB996" s="93"/>
      <c r="AC996" s="94"/>
      <c r="AD996" s="101">
        <f t="shared" si="494"/>
        <v>70104</v>
      </c>
      <c r="AE996" s="103">
        <f t="shared" si="495"/>
        <v>0</v>
      </c>
      <c r="AG996" s="1">
        <f t="shared" si="486"/>
        <v>0</v>
      </c>
      <c r="AH996" s="1">
        <f t="shared" si="487"/>
        <v>0</v>
      </c>
      <c r="AI996" s="1">
        <f t="shared" si="496"/>
        <v>5432.58</v>
      </c>
      <c r="AJ996" s="20">
        <f t="shared" si="468"/>
        <v>0</v>
      </c>
      <c r="AK996" s="100">
        <f t="shared" si="470"/>
        <v>0</v>
      </c>
      <c r="AL996" s="100">
        <f t="shared" si="471"/>
        <v>0</v>
      </c>
      <c r="AN996" s="100">
        <f t="shared" si="472"/>
        <v>3330.2175311332294</v>
      </c>
      <c r="AO996" s="20">
        <f t="shared" si="473"/>
        <v>0</v>
      </c>
      <c r="AQ996" s="109">
        <f t="shared" si="474"/>
        <v>0</v>
      </c>
      <c r="AU996" s="109">
        <f t="shared" si="489"/>
        <v>24.859068725130996</v>
      </c>
      <c r="AV996" s="101">
        <f t="shared" si="475"/>
        <v>70134</v>
      </c>
      <c r="AW996" s="99">
        <f t="shared" si="476"/>
        <v>0</v>
      </c>
      <c r="AX996" s="1">
        <f t="shared" si="477"/>
        <v>0</v>
      </c>
      <c r="AY996" s="29">
        <f t="shared" si="478"/>
        <v>0</v>
      </c>
      <c r="AZ996" s="1">
        <f t="shared" si="490"/>
        <v>0</v>
      </c>
      <c r="CB996" s="20">
        <f t="shared" si="469"/>
        <v>0</v>
      </c>
      <c r="CC996" s="173">
        <f t="shared" si="491"/>
        <v>0</v>
      </c>
    </row>
    <row r="997" spans="10:81" x14ac:dyDescent="0.25">
      <c r="J997" s="7"/>
      <c r="K997" s="8"/>
      <c r="L997" s="16"/>
      <c r="M997" s="22"/>
      <c r="N997" s="22"/>
      <c r="O997" s="22"/>
      <c r="P997" s="22"/>
      <c r="Q997" s="1">
        <f t="shared" si="492"/>
        <v>0.60744618579017706</v>
      </c>
      <c r="R997" s="12">
        <f t="shared" ca="1" si="479"/>
        <v>29012</v>
      </c>
      <c r="S997" s="88">
        <f t="shared" si="488"/>
        <v>0</v>
      </c>
      <c r="T997" s="19">
        <f t="shared" si="480"/>
        <v>0</v>
      </c>
      <c r="U997" s="19">
        <f t="shared" si="481"/>
        <v>0</v>
      </c>
      <c r="V997" s="19">
        <f t="shared" si="497"/>
        <v>0</v>
      </c>
      <c r="W997" s="20">
        <f t="shared" ca="1" si="482"/>
        <v>0</v>
      </c>
      <c r="X997" s="19">
        <f t="shared" ca="1" si="483"/>
        <v>0</v>
      </c>
      <c r="Y997" s="19">
        <f t="shared" ca="1" si="484"/>
        <v>0</v>
      </c>
      <c r="Z997" s="20">
        <f t="shared" ca="1" si="485"/>
        <v>0</v>
      </c>
      <c r="AA997" s="1">
        <f t="shared" si="493"/>
        <v>5432.58</v>
      </c>
      <c r="AB997" s="91"/>
      <c r="AC997" s="92"/>
      <c r="AD997" s="101">
        <f t="shared" si="494"/>
        <v>70134</v>
      </c>
      <c r="AE997" s="103">
        <f t="shared" si="495"/>
        <v>0</v>
      </c>
      <c r="AG997" s="1">
        <f t="shared" si="486"/>
        <v>0</v>
      </c>
      <c r="AH997" s="1">
        <f t="shared" si="487"/>
        <v>0</v>
      </c>
      <c r="AI997" s="1">
        <f t="shared" si="496"/>
        <v>5432.58</v>
      </c>
      <c r="AJ997" s="20">
        <f t="shared" si="468"/>
        <v>0</v>
      </c>
      <c r="AK997" s="100">
        <f t="shared" si="470"/>
        <v>0</v>
      </c>
      <c r="AL997" s="100">
        <f t="shared" si="471"/>
        <v>0</v>
      </c>
      <c r="AN997" s="100">
        <f t="shared" si="472"/>
        <v>3328.5326107676551</v>
      </c>
      <c r="AO997" s="20">
        <f t="shared" si="473"/>
        <v>0</v>
      </c>
      <c r="AQ997" s="109">
        <f t="shared" si="474"/>
        <v>0</v>
      </c>
      <c r="AU997" s="109">
        <f t="shared" si="489"/>
        <v>24.856886842841458</v>
      </c>
      <c r="AV997" s="101">
        <f t="shared" si="475"/>
        <v>70164</v>
      </c>
      <c r="AW997" s="99">
        <f t="shared" si="476"/>
        <v>0</v>
      </c>
      <c r="AX997" s="1">
        <f t="shared" si="477"/>
        <v>0</v>
      </c>
      <c r="AY997" s="29">
        <f t="shared" si="478"/>
        <v>0</v>
      </c>
      <c r="AZ997" s="1">
        <f t="shared" si="490"/>
        <v>0</v>
      </c>
      <c r="CB997" s="20">
        <f t="shared" si="469"/>
        <v>0</v>
      </c>
      <c r="CC997" s="173">
        <f t="shared" si="491"/>
        <v>0</v>
      </c>
    </row>
    <row r="998" spans="10:81" x14ac:dyDescent="0.25">
      <c r="J998" s="9"/>
      <c r="K998" s="10"/>
      <c r="L998" s="17"/>
      <c r="M998" s="23"/>
      <c r="N998" s="23"/>
      <c r="O998" s="23"/>
      <c r="P998" s="23"/>
      <c r="Q998" s="1">
        <f t="shared" si="492"/>
        <v>0.60744618579017706</v>
      </c>
      <c r="R998" s="12">
        <f t="shared" ca="1" si="479"/>
        <v>29042</v>
      </c>
      <c r="S998" s="88">
        <f t="shared" si="488"/>
        <v>0</v>
      </c>
      <c r="T998" s="19">
        <f t="shared" si="480"/>
        <v>0</v>
      </c>
      <c r="U998" s="19">
        <f t="shared" si="481"/>
        <v>0</v>
      </c>
      <c r="V998" s="19">
        <f t="shared" si="497"/>
        <v>0</v>
      </c>
      <c r="W998" s="20">
        <f t="shared" ca="1" si="482"/>
        <v>0</v>
      </c>
      <c r="X998" s="19">
        <f t="shared" ca="1" si="483"/>
        <v>0</v>
      </c>
      <c r="Y998" s="19">
        <f t="shared" ca="1" si="484"/>
        <v>0</v>
      </c>
      <c r="Z998" s="20">
        <f t="shared" ca="1" si="485"/>
        <v>0</v>
      </c>
      <c r="AA998" s="1">
        <f t="shared" si="493"/>
        <v>5432.58</v>
      </c>
      <c r="AB998" s="93"/>
      <c r="AC998" s="94"/>
      <c r="AD998" s="101">
        <f t="shared" si="494"/>
        <v>70164</v>
      </c>
      <c r="AE998" s="103">
        <f t="shared" si="495"/>
        <v>0</v>
      </c>
      <c r="AG998" s="1">
        <f t="shared" si="486"/>
        <v>0</v>
      </c>
      <c r="AH998" s="1">
        <f t="shared" si="487"/>
        <v>0</v>
      </c>
      <c r="AI998" s="1">
        <f t="shared" si="496"/>
        <v>5432.58</v>
      </c>
      <c r="AJ998" s="20">
        <f t="shared" si="468"/>
        <v>0</v>
      </c>
      <c r="AK998" s="100">
        <f t="shared" si="470"/>
        <v>0</v>
      </c>
      <c r="AL998" s="100">
        <f t="shared" si="471"/>
        <v>0</v>
      </c>
      <c r="AN998" s="100">
        <f t="shared" si="472"/>
        <v>3326.8485428859231</v>
      </c>
      <c r="AO998" s="20">
        <f t="shared" si="473"/>
        <v>0</v>
      </c>
      <c r="AQ998" s="109">
        <f t="shared" si="474"/>
        <v>0</v>
      </c>
      <c r="AU998" s="109">
        <f t="shared" si="489"/>
        <v>24.854705152055903</v>
      </c>
      <c r="AV998" s="101">
        <f t="shared" si="475"/>
        <v>70194</v>
      </c>
      <c r="AW998" s="99">
        <f t="shared" si="476"/>
        <v>0</v>
      </c>
      <c r="AX998" s="1">
        <f t="shared" si="477"/>
        <v>0</v>
      </c>
      <c r="AY998" s="29">
        <f t="shared" si="478"/>
        <v>0</v>
      </c>
      <c r="AZ998" s="1">
        <f t="shared" si="490"/>
        <v>0</v>
      </c>
      <c r="CB998" s="20">
        <f t="shared" si="469"/>
        <v>0</v>
      </c>
      <c r="CC998" s="173">
        <f t="shared" si="491"/>
        <v>0</v>
      </c>
    </row>
    <row r="999" spans="10:81" x14ac:dyDescent="0.25">
      <c r="J999" s="7"/>
      <c r="K999" s="8"/>
      <c r="L999" s="16"/>
      <c r="M999" s="22"/>
      <c r="N999" s="22"/>
      <c r="O999" s="22"/>
      <c r="P999" s="22"/>
      <c r="Q999" s="1">
        <f t="shared" si="492"/>
        <v>0.60744618579017706</v>
      </c>
      <c r="R999" s="12">
        <f t="shared" ca="1" si="479"/>
        <v>29072</v>
      </c>
      <c r="S999" s="88">
        <f t="shared" si="488"/>
        <v>0</v>
      </c>
      <c r="T999" s="19">
        <f t="shared" si="480"/>
        <v>0</v>
      </c>
      <c r="U999" s="19">
        <f t="shared" si="481"/>
        <v>0</v>
      </c>
      <c r="V999" s="19">
        <f t="shared" si="497"/>
        <v>0</v>
      </c>
      <c r="W999" s="20">
        <f t="shared" ca="1" si="482"/>
        <v>0</v>
      </c>
      <c r="X999" s="19">
        <f t="shared" ca="1" si="483"/>
        <v>0</v>
      </c>
      <c r="Y999" s="19">
        <f t="shared" ca="1" si="484"/>
        <v>0</v>
      </c>
      <c r="Z999" s="20">
        <f t="shared" ca="1" si="485"/>
        <v>0</v>
      </c>
      <c r="AA999" s="1">
        <f t="shared" si="493"/>
        <v>5432.58</v>
      </c>
      <c r="AB999" s="91"/>
      <c r="AC999" s="92"/>
      <c r="AD999" s="101">
        <f t="shared" si="494"/>
        <v>70194</v>
      </c>
      <c r="AE999" s="103">
        <f t="shared" si="495"/>
        <v>0</v>
      </c>
      <c r="AG999" s="1">
        <f t="shared" si="486"/>
        <v>0</v>
      </c>
      <c r="AH999" s="1">
        <f t="shared" si="487"/>
        <v>0</v>
      </c>
      <c r="AI999" s="1">
        <f t="shared" si="496"/>
        <v>5432.58</v>
      </c>
      <c r="AJ999" s="20">
        <f t="shared" si="468"/>
        <v>0</v>
      </c>
      <c r="AK999" s="100">
        <f t="shared" si="470"/>
        <v>0</v>
      </c>
      <c r="AL999" s="100">
        <f t="shared" si="471"/>
        <v>0</v>
      </c>
      <c r="AN999" s="100">
        <f t="shared" si="472"/>
        <v>3325.1653270567217</v>
      </c>
      <c r="AO999" s="20">
        <f t="shared" si="473"/>
        <v>0</v>
      </c>
      <c r="AQ999" s="109">
        <f t="shared" si="474"/>
        <v>0</v>
      </c>
      <c r="AU999" s="109">
        <f t="shared" si="489"/>
        <v>24.85252365275749</v>
      </c>
      <c r="AV999" s="101">
        <f t="shared" si="475"/>
        <v>70224</v>
      </c>
      <c r="AW999" s="99">
        <f t="shared" si="476"/>
        <v>0</v>
      </c>
      <c r="AX999" s="1">
        <f t="shared" si="477"/>
        <v>0</v>
      </c>
      <c r="AY999" s="29">
        <f t="shared" si="478"/>
        <v>0</v>
      </c>
      <c r="AZ999" s="1">
        <f t="shared" si="490"/>
        <v>0</v>
      </c>
      <c r="CB999" s="20">
        <f t="shared" si="469"/>
        <v>0</v>
      </c>
      <c r="CC999" s="173">
        <f t="shared" si="491"/>
        <v>0</v>
      </c>
    </row>
    <row r="1000" spans="10:81" x14ac:dyDescent="0.25">
      <c r="J1000" s="9"/>
      <c r="K1000" s="10"/>
      <c r="L1000" s="17"/>
      <c r="M1000" s="23"/>
      <c r="N1000" s="23"/>
      <c r="O1000" s="23"/>
      <c r="P1000" s="23"/>
      <c r="Q1000" s="1">
        <f t="shared" si="492"/>
        <v>0.60744618579017706</v>
      </c>
      <c r="R1000" s="12">
        <f t="shared" ca="1" si="479"/>
        <v>29102</v>
      </c>
      <c r="S1000" s="88">
        <f t="shared" si="488"/>
        <v>0</v>
      </c>
      <c r="T1000" s="19">
        <f t="shared" si="480"/>
        <v>0</v>
      </c>
      <c r="U1000" s="19">
        <f t="shared" si="481"/>
        <v>0</v>
      </c>
      <c r="V1000" s="19">
        <f t="shared" si="497"/>
        <v>0</v>
      </c>
      <c r="W1000" s="20">
        <f t="shared" ca="1" si="482"/>
        <v>0</v>
      </c>
      <c r="X1000" s="19">
        <f t="shared" ca="1" si="483"/>
        <v>0</v>
      </c>
      <c r="Y1000" s="19">
        <f t="shared" ca="1" si="484"/>
        <v>0</v>
      </c>
      <c r="Z1000" s="20">
        <f t="shared" ca="1" si="485"/>
        <v>0</v>
      </c>
      <c r="AA1000" s="1">
        <f t="shared" si="493"/>
        <v>5432.58</v>
      </c>
      <c r="AB1000" s="93"/>
      <c r="AC1000" s="94"/>
      <c r="AD1000" s="101">
        <f t="shared" si="494"/>
        <v>70224</v>
      </c>
      <c r="AE1000" s="103">
        <f t="shared" si="495"/>
        <v>0</v>
      </c>
      <c r="AG1000" s="1">
        <f t="shared" si="486"/>
        <v>0</v>
      </c>
      <c r="AH1000" s="1">
        <f t="shared" si="487"/>
        <v>0</v>
      </c>
      <c r="AI1000" s="1">
        <f t="shared" si="496"/>
        <v>5432.58</v>
      </c>
      <c r="AJ1000" s="20">
        <f t="shared" ref="AJ1000:AJ1063" si="498">IF(ISERROR(IF(V999+U1000+T1000+(V999*Q1000/1200)-AA1000-P1000&lt;0,V999,-(U1000+T1000-AA1000+P1000-AH1000))),0,IF(V999+U1000+T1000+(V999*Q1000/1200)-AA1000-P1000&lt;0,0,-(U1000+T1000-AA1000-AH1000)))</f>
        <v>0</v>
      </c>
      <c r="AK1000" s="100">
        <f t="shared" si="470"/>
        <v>0</v>
      </c>
      <c r="AL1000" s="100">
        <f t="shared" si="471"/>
        <v>0</v>
      </c>
      <c r="AN1000" s="100">
        <f t="shared" si="472"/>
        <v>3323.4829628489538</v>
      </c>
      <c r="AO1000" s="20">
        <f t="shared" si="473"/>
        <v>0</v>
      </c>
      <c r="AQ1000" s="109">
        <f t="shared" si="474"/>
        <v>0</v>
      </c>
      <c r="AU1000" s="109">
        <f t="shared" si="489"/>
        <v>24.850342344929444</v>
      </c>
      <c r="AV1000" s="101">
        <f t="shared" si="475"/>
        <v>70254</v>
      </c>
      <c r="AW1000" s="99">
        <f t="shared" si="476"/>
        <v>0</v>
      </c>
      <c r="AX1000" s="1">
        <f t="shared" si="477"/>
        <v>0</v>
      </c>
      <c r="AY1000" s="29">
        <f t="shared" si="478"/>
        <v>0</v>
      </c>
      <c r="AZ1000" s="1">
        <f t="shared" si="490"/>
        <v>0</v>
      </c>
      <c r="CB1000" s="20">
        <f t="shared" si="469"/>
        <v>0</v>
      </c>
      <c r="CC1000" s="173">
        <f t="shared" si="491"/>
        <v>0</v>
      </c>
    </row>
    <row r="1001" spans="10:81" x14ac:dyDescent="0.25">
      <c r="J1001" s="7"/>
      <c r="K1001" s="8"/>
      <c r="L1001" s="16"/>
      <c r="M1001" s="22"/>
      <c r="N1001" s="22"/>
      <c r="O1001" s="22"/>
      <c r="P1001" s="22"/>
      <c r="Q1001" s="1">
        <f t="shared" si="492"/>
        <v>0.60744618579017706</v>
      </c>
      <c r="R1001" s="12">
        <f t="shared" ca="1" si="479"/>
        <v>29132</v>
      </c>
      <c r="S1001" s="88">
        <f t="shared" si="488"/>
        <v>0</v>
      </c>
      <c r="T1001" s="19">
        <f t="shared" si="480"/>
        <v>0</v>
      </c>
      <c r="U1001" s="19">
        <f t="shared" si="481"/>
        <v>0</v>
      </c>
      <c r="V1001" s="19">
        <f t="shared" si="497"/>
        <v>0</v>
      </c>
      <c r="W1001" s="20">
        <f t="shared" ca="1" si="482"/>
        <v>0</v>
      </c>
      <c r="X1001" s="19">
        <f t="shared" ca="1" si="483"/>
        <v>0</v>
      </c>
      <c r="Y1001" s="19">
        <f t="shared" ca="1" si="484"/>
        <v>0</v>
      </c>
      <c r="Z1001" s="20">
        <f t="shared" ca="1" si="485"/>
        <v>0</v>
      </c>
      <c r="AA1001" s="1">
        <f t="shared" si="493"/>
        <v>5432.58</v>
      </c>
      <c r="AB1001" s="91"/>
      <c r="AC1001" s="92"/>
      <c r="AD1001" s="101">
        <f t="shared" si="494"/>
        <v>70254</v>
      </c>
      <c r="AE1001" s="103">
        <f t="shared" si="495"/>
        <v>0</v>
      </c>
      <c r="AG1001" s="1">
        <f t="shared" si="486"/>
        <v>0</v>
      </c>
      <c r="AH1001" s="1">
        <f t="shared" si="487"/>
        <v>0</v>
      </c>
      <c r="AI1001" s="1">
        <f t="shared" si="496"/>
        <v>5432.58</v>
      </c>
      <c r="AJ1001" s="20">
        <f t="shared" si="498"/>
        <v>0</v>
      </c>
      <c r="AK1001" s="100">
        <f t="shared" si="470"/>
        <v>0</v>
      </c>
      <c r="AL1001" s="100">
        <f t="shared" si="471"/>
        <v>0</v>
      </c>
      <c r="AN1001" s="100">
        <f t="shared" si="472"/>
        <v>3321.801449831742</v>
      </c>
      <c r="AO1001" s="20">
        <f t="shared" si="473"/>
        <v>0</v>
      </c>
      <c r="AQ1001" s="109">
        <f t="shared" si="474"/>
        <v>0</v>
      </c>
      <c r="AU1001" s="109">
        <f t="shared" si="489"/>
        <v>24.848161228554936</v>
      </c>
      <c r="AV1001" s="101">
        <f t="shared" si="475"/>
        <v>70284</v>
      </c>
      <c r="AW1001" s="99">
        <f t="shared" si="476"/>
        <v>0</v>
      </c>
      <c r="AX1001" s="1">
        <f t="shared" si="477"/>
        <v>0</v>
      </c>
      <c r="AY1001" s="29">
        <f t="shared" si="478"/>
        <v>0</v>
      </c>
      <c r="AZ1001" s="1">
        <f t="shared" si="490"/>
        <v>0</v>
      </c>
      <c r="CB1001" s="20">
        <f t="shared" si="469"/>
        <v>0</v>
      </c>
      <c r="CC1001" s="173">
        <f t="shared" si="491"/>
        <v>0</v>
      </c>
    </row>
    <row r="1002" spans="10:81" x14ac:dyDescent="0.25">
      <c r="J1002" s="9"/>
      <c r="K1002" s="10"/>
      <c r="L1002" s="17"/>
      <c r="M1002" s="23"/>
      <c r="N1002" s="23"/>
      <c r="O1002" s="23"/>
      <c r="P1002" s="23"/>
      <c r="Q1002" s="1">
        <f t="shared" si="492"/>
        <v>0.60744618579017706</v>
      </c>
      <c r="R1002" s="12">
        <f t="shared" ca="1" si="479"/>
        <v>29162</v>
      </c>
      <c r="S1002" s="88">
        <f t="shared" si="488"/>
        <v>0</v>
      </c>
      <c r="T1002" s="19">
        <f t="shared" si="480"/>
        <v>0</v>
      </c>
      <c r="U1002" s="19">
        <f t="shared" si="481"/>
        <v>0</v>
      </c>
      <c r="V1002" s="19">
        <f t="shared" si="497"/>
        <v>0</v>
      </c>
      <c r="W1002" s="20">
        <f t="shared" ca="1" si="482"/>
        <v>0</v>
      </c>
      <c r="X1002" s="19">
        <f t="shared" ca="1" si="483"/>
        <v>0</v>
      </c>
      <c r="Y1002" s="19">
        <f t="shared" ca="1" si="484"/>
        <v>0</v>
      </c>
      <c r="Z1002" s="20">
        <f t="shared" ca="1" si="485"/>
        <v>0</v>
      </c>
      <c r="AA1002" s="1">
        <f t="shared" si="493"/>
        <v>5432.58</v>
      </c>
      <c r="AB1002" s="93"/>
      <c r="AC1002" s="94"/>
      <c r="AD1002" s="101">
        <f t="shared" si="494"/>
        <v>70284</v>
      </c>
      <c r="AE1002" s="103">
        <f t="shared" si="495"/>
        <v>0</v>
      </c>
      <c r="AG1002" s="1">
        <f t="shared" si="486"/>
        <v>0</v>
      </c>
      <c r="AH1002" s="1">
        <f t="shared" si="487"/>
        <v>0</v>
      </c>
      <c r="AI1002" s="1">
        <f t="shared" si="496"/>
        <v>5432.58</v>
      </c>
      <c r="AJ1002" s="20">
        <f t="shared" si="498"/>
        <v>0</v>
      </c>
      <c r="AK1002" s="100">
        <f t="shared" si="470"/>
        <v>0</v>
      </c>
      <c r="AL1002" s="100">
        <f t="shared" si="471"/>
        <v>0</v>
      </c>
      <c r="AN1002" s="100">
        <f t="shared" si="472"/>
        <v>3320.1207875744299</v>
      </c>
      <c r="AO1002" s="20">
        <f t="shared" si="473"/>
        <v>0</v>
      </c>
      <c r="AQ1002" s="109">
        <f t="shared" si="474"/>
        <v>0</v>
      </c>
      <c r="AU1002" s="109">
        <f t="shared" si="489"/>
        <v>24.845980303617182</v>
      </c>
      <c r="AV1002" s="101">
        <f t="shared" si="475"/>
        <v>70314</v>
      </c>
      <c r="AW1002" s="99">
        <f t="shared" si="476"/>
        <v>0</v>
      </c>
      <c r="AX1002" s="1">
        <f t="shared" si="477"/>
        <v>0</v>
      </c>
      <c r="AY1002" s="29">
        <f t="shared" si="478"/>
        <v>0</v>
      </c>
      <c r="AZ1002" s="1">
        <f t="shared" si="490"/>
        <v>0</v>
      </c>
      <c r="CB1002" s="20">
        <f t="shared" si="469"/>
        <v>0</v>
      </c>
      <c r="CC1002" s="173">
        <f t="shared" si="491"/>
        <v>0</v>
      </c>
    </row>
    <row r="1003" spans="10:81" x14ac:dyDescent="0.25">
      <c r="J1003" s="7"/>
      <c r="K1003" s="8"/>
      <c r="L1003" s="16"/>
      <c r="M1003" s="22"/>
      <c r="N1003" s="22"/>
      <c r="O1003" s="22"/>
      <c r="P1003" s="22"/>
      <c r="Q1003" s="1">
        <f t="shared" si="492"/>
        <v>0.60744618579017706</v>
      </c>
      <c r="R1003" s="12">
        <f t="shared" ca="1" si="479"/>
        <v>29192</v>
      </c>
      <c r="S1003" s="88">
        <f t="shared" si="488"/>
        <v>0</v>
      </c>
      <c r="T1003" s="19">
        <f t="shared" si="480"/>
        <v>0</v>
      </c>
      <c r="U1003" s="19">
        <f t="shared" si="481"/>
        <v>0</v>
      </c>
      <c r="V1003" s="19">
        <f t="shared" si="497"/>
        <v>0</v>
      </c>
      <c r="W1003" s="20">
        <f t="shared" ca="1" si="482"/>
        <v>0</v>
      </c>
      <c r="X1003" s="19">
        <f t="shared" ca="1" si="483"/>
        <v>0</v>
      </c>
      <c r="Y1003" s="19">
        <f t="shared" ca="1" si="484"/>
        <v>0</v>
      </c>
      <c r="Z1003" s="20">
        <f t="shared" ca="1" si="485"/>
        <v>0</v>
      </c>
      <c r="AA1003" s="1">
        <f t="shared" si="493"/>
        <v>5432.58</v>
      </c>
      <c r="AB1003" s="91"/>
      <c r="AC1003" s="92"/>
      <c r="AD1003" s="101">
        <f t="shared" si="494"/>
        <v>70314</v>
      </c>
      <c r="AE1003" s="103">
        <f t="shared" si="495"/>
        <v>0</v>
      </c>
      <c r="AG1003" s="1">
        <f t="shared" si="486"/>
        <v>0</v>
      </c>
      <c r="AH1003" s="1">
        <f t="shared" si="487"/>
        <v>0</v>
      </c>
      <c r="AI1003" s="1">
        <f t="shared" si="496"/>
        <v>5432.58</v>
      </c>
      <c r="AJ1003" s="20">
        <f t="shared" si="498"/>
        <v>0</v>
      </c>
      <c r="AK1003" s="100">
        <f t="shared" si="470"/>
        <v>0</v>
      </c>
      <c r="AL1003" s="100">
        <f t="shared" si="471"/>
        <v>0</v>
      </c>
      <c r="AN1003" s="100">
        <f t="shared" si="472"/>
        <v>3318.4409756465739</v>
      </c>
      <c r="AO1003" s="20">
        <f t="shared" si="473"/>
        <v>0</v>
      </c>
      <c r="AQ1003" s="109">
        <f t="shared" si="474"/>
        <v>0</v>
      </c>
      <c r="AU1003" s="109">
        <f t="shared" si="489"/>
        <v>24.843799570099364</v>
      </c>
      <c r="AV1003" s="101">
        <f t="shared" si="475"/>
        <v>70344</v>
      </c>
      <c r="AW1003" s="99">
        <f t="shared" si="476"/>
        <v>0</v>
      </c>
      <c r="AX1003" s="1">
        <f t="shared" si="477"/>
        <v>0</v>
      </c>
      <c r="AY1003" s="29">
        <f t="shared" si="478"/>
        <v>0</v>
      </c>
      <c r="AZ1003" s="1">
        <f t="shared" si="490"/>
        <v>0</v>
      </c>
      <c r="CB1003" s="20">
        <f t="shared" si="469"/>
        <v>0</v>
      </c>
      <c r="CC1003" s="173">
        <f t="shared" si="491"/>
        <v>0</v>
      </c>
    </row>
    <row r="1004" spans="10:81" x14ac:dyDescent="0.25">
      <c r="J1004" s="9"/>
      <c r="K1004" s="10"/>
      <c r="L1004" s="17"/>
      <c r="M1004" s="23"/>
      <c r="N1004" s="23"/>
      <c r="O1004" s="23"/>
      <c r="P1004" s="23"/>
      <c r="Q1004" s="1">
        <f t="shared" si="492"/>
        <v>0.60744618579017706</v>
      </c>
      <c r="R1004" s="12">
        <f t="shared" ca="1" si="479"/>
        <v>29222</v>
      </c>
      <c r="S1004" s="88">
        <f t="shared" si="488"/>
        <v>0</v>
      </c>
      <c r="T1004" s="19">
        <f t="shared" si="480"/>
        <v>0</v>
      </c>
      <c r="U1004" s="19">
        <f t="shared" si="481"/>
        <v>0</v>
      </c>
      <c r="V1004" s="19">
        <f t="shared" si="497"/>
        <v>0</v>
      </c>
      <c r="W1004" s="20">
        <f t="shared" ca="1" si="482"/>
        <v>0</v>
      </c>
      <c r="X1004" s="19">
        <f t="shared" ca="1" si="483"/>
        <v>0</v>
      </c>
      <c r="Y1004" s="19">
        <f t="shared" ca="1" si="484"/>
        <v>0</v>
      </c>
      <c r="Z1004" s="20">
        <f t="shared" ca="1" si="485"/>
        <v>0</v>
      </c>
      <c r="AA1004" s="1">
        <f t="shared" si="493"/>
        <v>5432.58</v>
      </c>
      <c r="AB1004" s="93"/>
      <c r="AC1004" s="94"/>
      <c r="AD1004" s="101">
        <f t="shared" si="494"/>
        <v>70344</v>
      </c>
      <c r="AE1004" s="103">
        <f t="shared" si="495"/>
        <v>0</v>
      </c>
      <c r="AG1004" s="1">
        <f t="shared" si="486"/>
        <v>0</v>
      </c>
      <c r="AH1004" s="1">
        <f t="shared" si="487"/>
        <v>0</v>
      </c>
      <c r="AI1004" s="1">
        <f t="shared" si="496"/>
        <v>5432.58</v>
      </c>
      <c r="AJ1004" s="20">
        <f t="shared" si="498"/>
        <v>0</v>
      </c>
      <c r="AK1004" s="100">
        <f t="shared" si="470"/>
        <v>0</v>
      </c>
      <c r="AL1004" s="100">
        <f t="shared" si="471"/>
        <v>0</v>
      </c>
      <c r="AN1004" s="100">
        <f t="shared" si="472"/>
        <v>3316.7620136179517</v>
      </c>
      <c r="AO1004" s="20">
        <f t="shared" si="473"/>
        <v>0</v>
      </c>
      <c r="AQ1004" s="109">
        <f t="shared" si="474"/>
        <v>0</v>
      </c>
      <c r="AU1004" s="109">
        <f t="shared" si="489"/>
        <v>24.841619027984695</v>
      </c>
      <c r="AV1004" s="101">
        <f t="shared" si="475"/>
        <v>70374</v>
      </c>
      <c r="AW1004" s="99">
        <f t="shared" si="476"/>
        <v>0</v>
      </c>
      <c r="AX1004" s="1">
        <f t="shared" si="477"/>
        <v>0</v>
      </c>
      <c r="AY1004" s="29">
        <f t="shared" si="478"/>
        <v>0</v>
      </c>
      <c r="AZ1004" s="1">
        <f t="shared" si="490"/>
        <v>0</v>
      </c>
      <c r="CB1004" s="20">
        <f t="shared" si="469"/>
        <v>0</v>
      </c>
      <c r="CC1004" s="173">
        <f t="shared" si="491"/>
        <v>0</v>
      </c>
    </row>
    <row r="1005" spans="10:81" x14ac:dyDescent="0.25">
      <c r="J1005" s="7"/>
      <c r="K1005" s="8"/>
      <c r="L1005" s="16"/>
      <c r="M1005" s="22"/>
      <c r="N1005" s="22"/>
      <c r="O1005" s="22"/>
      <c r="P1005" s="22"/>
      <c r="Q1005" s="1">
        <f t="shared" si="492"/>
        <v>0.60744618579017706</v>
      </c>
      <c r="R1005" s="12">
        <f t="shared" ca="1" si="479"/>
        <v>29252</v>
      </c>
      <c r="S1005" s="88">
        <f t="shared" si="488"/>
        <v>0</v>
      </c>
      <c r="T1005" s="19">
        <f t="shared" si="480"/>
        <v>0</v>
      </c>
      <c r="U1005" s="19">
        <f t="shared" si="481"/>
        <v>0</v>
      </c>
      <c r="V1005" s="19">
        <f t="shared" si="497"/>
        <v>0</v>
      </c>
      <c r="W1005" s="20">
        <f t="shared" ca="1" si="482"/>
        <v>0</v>
      </c>
      <c r="X1005" s="19">
        <f t="shared" ca="1" si="483"/>
        <v>0</v>
      </c>
      <c r="Y1005" s="19">
        <f t="shared" ca="1" si="484"/>
        <v>0</v>
      </c>
      <c r="Z1005" s="20">
        <f t="shared" ca="1" si="485"/>
        <v>0</v>
      </c>
      <c r="AA1005" s="1">
        <f t="shared" si="493"/>
        <v>5432.58</v>
      </c>
      <c r="AB1005" s="91"/>
      <c r="AC1005" s="92"/>
      <c r="AD1005" s="101">
        <f t="shared" si="494"/>
        <v>70374</v>
      </c>
      <c r="AE1005" s="103">
        <f t="shared" si="495"/>
        <v>0</v>
      </c>
      <c r="AG1005" s="1">
        <f t="shared" si="486"/>
        <v>0</v>
      </c>
      <c r="AH1005" s="1">
        <f t="shared" si="487"/>
        <v>0</v>
      </c>
      <c r="AI1005" s="1">
        <f t="shared" si="496"/>
        <v>5432.58</v>
      </c>
      <c r="AJ1005" s="20">
        <f t="shared" si="498"/>
        <v>0</v>
      </c>
      <c r="AK1005" s="100">
        <f t="shared" si="470"/>
        <v>0</v>
      </c>
      <c r="AL1005" s="100">
        <f t="shared" si="471"/>
        <v>0</v>
      </c>
      <c r="AN1005" s="100">
        <f t="shared" si="472"/>
        <v>3315.0839010585582</v>
      </c>
      <c r="AO1005" s="20">
        <f t="shared" si="473"/>
        <v>0</v>
      </c>
      <c r="AQ1005" s="109">
        <f t="shared" si="474"/>
        <v>0</v>
      </c>
      <c r="AU1005" s="109">
        <f t="shared" si="489"/>
        <v>24.839438677256354</v>
      </c>
      <c r="AV1005" s="101">
        <f t="shared" si="475"/>
        <v>70404</v>
      </c>
      <c r="AW1005" s="99">
        <f t="shared" si="476"/>
        <v>0</v>
      </c>
      <c r="AX1005" s="1">
        <f t="shared" si="477"/>
        <v>0</v>
      </c>
      <c r="AY1005" s="29">
        <f t="shared" si="478"/>
        <v>0</v>
      </c>
      <c r="AZ1005" s="1">
        <f t="shared" si="490"/>
        <v>0</v>
      </c>
      <c r="CB1005" s="20">
        <f t="shared" si="469"/>
        <v>0</v>
      </c>
      <c r="CC1005" s="173">
        <f t="shared" si="491"/>
        <v>0</v>
      </c>
    </row>
    <row r="1006" spans="10:81" x14ac:dyDescent="0.25">
      <c r="J1006" s="9"/>
      <c r="K1006" s="10"/>
      <c r="L1006" s="17"/>
      <c r="M1006" s="23"/>
      <c r="N1006" s="23"/>
      <c r="O1006" s="23"/>
      <c r="P1006" s="23"/>
      <c r="Q1006" s="1">
        <f t="shared" si="492"/>
        <v>0.60744618579017706</v>
      </c>
      <c r="R1006" s="12">
        <f t="shared" ca="1" si="479"/>
        <v>29282</v>
      </c>
      <c r="S1006" s="88">
        <f t="shared" si="488"/>
        <v>0</v>
      </c>
      <c r="T1006" s="19">
        <f t="shared" si="480"/>
        <v>0</v>
      </c>
      <c r="U1006" s="19">
        <f t="shared" si="481"/>
        <v>0</v>
      </c>
      <c r="V1006" s="19">
        <f t="shared" si="497"/>
        <v>0</v>
      </c>
      <c r="W1006" s="20">
        <f t="shared" ca="1" si="482"/>
        <v>0</v>
      </c>
      <c r="X1006" s="19">
        <f t="shared" ca="1" si="483"/>
        <v>0</v>
      </c>
      <c r="Y1006" s="19">
        <f t="shared" ca="1" si="484"/>
        <v>0</v>
      </c>
      <c r="Z1006" s="20">
        <f t="shared" ca="1" si="485"/>
        <v>0</v>
      </c>
      <c r="AA1006" s="1">
        <f t="shared" si="493"/>
        <v>5432.58</v>
      </c>
      <c r="AB1006" s="93"/>
      <c r="AC1006" s="94"/>
      <c r="AD1006" s="101">
        <f t="shared" si="494"/>
        <v>70404</v>
      </c>
      <c r="AE1006" s="103">
        <f t="shared" si="495"/>
        <v>0</v>
      </c>
      <c r="AG1006" s="1">
        <f t="shared" si="486"/>
        <v>0</v>
      </c>
      <c r="AH1006" s="1">
        <f t="shared" si="487"/>
        <v>0</v>
      </c>
      <c r="AI1006" s="1">
        <f t="shared" si="496"/>
        <v>5432.58</v>
      </c>
      <c r="AJ1006" s="20">
        <f t="shared" si="498"/>
        <v>0</v>
      </c>
      <c r="AK1006" s="100">
        <f t="shared" si="470"/>
        <v>0</v>
      </c>
      <c r="AL1006" s="100">
        <f t="shared" si="471"/>
        <v>0</v>
      </c>
      <c r="AN1006" s="100">
        <f t="shared" si="472"/>
        <v>3313.4066375386033</v>
      </c>
      <c r="AO1006" s="20">
        <f t="shared" si="473"/>
        <v>0</v>
      </c>
      <c r="AQ1006" s="109">
        <f t="shared" si="474"/>
        <v>0</v>
      </c>
      <c r="AU1006" s="109">
        <f t="shared" si="489"/>
        <v>24.83725851789756</v>
      </c>
      <c r="AV1006" s="101">
        <f t="shared" si="475"/>
        <v>70434</v>
      </c>
      <c r="AW1006" s="99">
        <f t="shared" si="476"/>
        <v>0</v>
      </c>
      <c r="AX1006" s="1">
        <f t="shared" si="477"/>
        <v>0</v>
      </c>
      <c r="AY1006" s="29">
        <f t="shared" si="478"/>
        <v>0</v>
      </c>
      <c r="AZ1006" s="1">
        <f t="shared" si="490"/>
        <v>0</v>
      </c>
      <c r="CB1006" s="20">
        <f t="shared" ref="CB1006:CB1069" si="499">IF(O1006=0,IF(P1006&gt;0,V1005,IF(O1005=0,0,P1006)),IF(O1005=0,0,P1006))</f>
        <v>0</v>
      </c>
      <c r="CC1006" s="173">
        <f t="shared" si="491"/>
        <v>0</v>
      </c>
    </row>
    <row r="1007" spans="10:81" x14ac:dyDescent="0.25">
      <c r="J1007" s="7"/>
      <c r="K1007" s="8"/>
      <c r="L1007" s="16"/>
      <c r="M1007" s="22"/>
      <c r="N1007" s="22"/>
      <c r="O1007" s="22"/>
      <c r="P1007" s="22"/>
      <c r="Q1007" s="1">
        <f t="shared" si="492"/>
        <v>0.60744618579017706</v>
      </c>
      <c r="R1007" s="12">
        <f t="shared" ca="1" si="479"/>
        <v>29312</v>
      </c>
      <c r="S1007" s="88">
        <f t="shared" si="488"/>
        <v>0</v>
      </c>
      <c r="T1007" s="19">
        <f t="shared" si="480"/>
        <v>0</v>
      </c>
      <c r="U1007" s="19">
        <f t="shared" si="481"/>
        <v>0</v>
      </c>
      <c r="V1007" s="19">
        <f t="shared" si="497"/>
        <v>0</v>
      </c>
      <c r="W1007" s="20">
        <f t="shared" ca="1" si="482"/>
        <v>0</v>
      </c>
      <c r="X1007" s="19">
        <f t="shared" ca="1" si="483"/>
        <v>0</v>
      </c>
      <c r="Y1007" s="19">
        <f t="shared" ca="1" si="484"/>
        <v>0</v>
      </c>
      <c r="Z1007" s="20">
        <f t="shared" ca="1" si="485"/>
        <v>0</v>
      </c>
      <c r="AA1007" s="1">
        <f t="shared" si="493"/>
        <v>5432.58</v>
      </c>
      <c r="AB1007" s="91"/>
      <c r="AC1007" s="92"/>
      <c r="AD1007" s="101">
        <f t="shared" si="494"/>
        <v>70434</v>
      </c>
      <c r="AE1007" s="103">
        <f t="shared" si="495"/>
        <v>0</v>
      </c>
      <c r="AG1007" s="1">
        <f t="shared" si="486"/>
        <v>0</v>
      </c>
      <c r="AH1007" s="1">
        <f t="shared" si="487"/>
        <v>0</v>
      </c>
      <c r="AI1007" s="1">
        <f t="shared" si="496"/>
        <v>5432.58</v>
      </c>
      <c r="AJ1007" s="20">
        <f t="shared" si="498"/>
        <v>0</v>
      </c>
      <c r="AK1007" s="100">
        <f t="shared" si="470"/>
        <v>0</v>
      </c>
      <c r="AL1007" s="100">
        <f t="shared" si="471"/>
        <v>0</v>
      </c>
      <c r="AN1007" s="100">
        <f t="shared" si="472"/>
        <v>3311.7302226285187</v>
      </c>
      <c r="AO1007" s="20">
        <f t="shared" si="473"/>
        <v>0</v>
      </c>
      <c r="AQ1007" s="109">
        <f t="shared" si="474"/>
        <v>0</v>
      </c>
      <c r="AU1007" s="109">
        <f t="shared" si="489"/>
        <v>24.83507854989152</v>
      </c>
      <c r="AV1007" s="101">
        <f t="shared" si="475"/>
        <v>70464</v>
      </c>
      <c r="AW1007" s="99">
        <f t="shared" si="476"/>
        <v>0</v>
      </c>
      <c r="AX1007" s="1">
        <f t="shared" si="477"/>
        <v>0</v>
      </c>
      <c r="AY1007" s="29">
        <f t="shared" si="478"/>
        <v>0</v>
      </c>
      <c r="AZ1007" s="1">
        <f t="shared" si="490"/>
        <v>0</v>
      </c>
      <c r="CB1007" s="20">
        <f t="shared" si="499"/>
        <v>0</v>
      </c>
      <c r="CC1007" s="173">
        <f t="shared" si="491"/>
        <v>0</v>
      </c>
    </row>
    <row r="1008" spans="10:81" x14ac:dyDescent="0.25">
      <c r="J1008" s="9"/>
      <c r="K1008" s="10"/>
      <c r="L1008" s="17"/>
      <c r="M1008" s="23"/>
      <c r="N1008" s="23"/>
      <c r="O1008" s="23"/>
      <c r="P1008" s="23"/>
      <c r="Q1008" s="1">
        <f t="shared" si="492"/>
        <v>0.60744618579017706</v>
      </c>
      <c r="R1008" s="12">
        <f t="shared" ca="1" si="479"/>
        <v>29342</v>
      </c>
      <c r="S1008" s="88">
        <f t="shared" si="488"/>
        <v>0</v>
      </c>
      <c r="T1008" s="19">
        <f t="shared" si="480"/>
        <v>0</v>
      </c>
      <c r="U1008" s="19">
        <f t="shared" si="481"/>
        <v>0</v>
      </c>
      <c r="V1008" s="19">
        <f t="shared" si="497"/>
        <v>0</v>
      </c>
      <c r="W1008" s="20">
        <f t="shared" ca="1" si="482"/>
        <v>0</v>
      </c>
      <c r="X1008" s="19">
        <f t="shared" ca="1" si="483"/>
        <v>0</v>
      </c>
      <c r="Y1008" s="19">
        <f t="shared" ca="1" si="484"/>
        <v>0</v>
      </c>
      <c r="Z1008" s="20">
        <f t="shared" ca="1" si="485"/>
        <v>0</v>
      </c>
      <c r="AA1008" s="1">
        <f t="shared" si="493"/>
        <v>5432.58</v>
      </c>
      <c r="AB1008" s="93"/>
      <c r="AC1008" s="94"/>
      <c r="AD1008" s="101">
        <f t="shared" si="494"/>
        <v>70464</v>
      </c>
      <c r="AE1008" s="103">
        <f t="shared" si="495"/>
        <v>0</v>
      </c>
      <c r="AG1008" s="1">
        <f t="shared" si="486"/>
        <v>0</v>
      </c>
      <c r="AH1008" s="1">
        <f t="shared" si="487"/>
        <v>0</v>
      </c>
      <c r="AI1008" s="1">
        <f t="shared" si="496"/>
        <v>5432.58</v>
      </c>
      <c r="AJ1008" s="20">
        <f t="shared" si="498"/>
        <v>0</v>
      </c>
      <c r="AK1008" s="100">
        <f t="shared" si="470"/>
        <v>0</v>
      </c>
      <c r="AL1008" s="100">
        <f t="shared" si="471"/>
        <v>0</v>
      </c>
      <c r="AN1008" s="100">
        <f t="shared" si="472"/>
        <v>3310.0546558989499</v>
      </c>
      <c r="AO1008" s="20">
        <f t="shared" si="473"/>
        <v>0</v>
      </c>
      <c r="AQ1008" s="109">
        <f t="shared" si="474"/>
        <v>0</v>
      </c>
      <c r="AU1008" s="109">
        <f t="shared" si="489"/>
        <v>24.832898773221427</v>
      </c>
      <c r="AV1008" s="101">
        <f t="shared" si="475"/>
        <v>70494</v>
      </c>
      <c r="AW1008" s="99">
        <f t="shared" si="476"/>
        <v>0</v>
      </c>
      <c r="AX1008" s="1">
        <f t="shared" si="477"/>
        <v>0</v>
      </c>
      <c r="AY1008" s="29">
        <f t="shared" si="478"/>
        <v>0</v>
      </c>
      <c r="AZ1008" s="1">
        <f t="shared" si="490"/>
        <v>0</v>
      </c>
      <c r="CB1008" s="20">
        <f t="shared" si="499"/>
        <v>0</v>
      </c>
      <c r="CC1008" s="173">
        <f t="shared" si="491"/>
        <v>0</v>
      </c>
    </row>
    <row r="1009" spans="10:81" x14ac:dyDescent="0.25">
      <c r="J1009" s="7"/>
      <c r="K1009" s="8"/>
      <c r="L1009" s="16"/>
      <c r="M1009" s="22"/>
      <c r="N1009" s="22"/>
      <c r="O1009" s="22"/>
      <c r="P1009" s="22"/>
      <c r="Q1009" s="1">
        <f t="shared" si="492"/>
        <v>0.60744618579017706</v>
      </c>
      <c r="R1009" s="12">
        <f t="shared" ca="1" si="479"/>
        <v>29372</v>
      </c>
      <c r="S1009" s="88">
        <f t="shared" si="488"/>
        <v>0</v>
      </c>
      <c r="T1009" s="19">
        <f t="shared" si="480"/>
        <v>0</v>
      </c>
      <c r="U1009" s="19">
        <f t="shared" si="481"/>
        <v>0</v>
      </c>
      <c r="V1009" s="19">
        <f t="shared" si="497"/>
        <v>0</v>
      </c>
      <c r="W1009" s="20">
        <f t="shared" ca="1" si="482"/>
        <v>0</v>
      </c>
      <c r="X1009" s="19">
        <f t="shared" ca="1" si="483"/>
        <v>0</v>
      </c>
      <c r="Y1009" s="19">
        <f t="shared" ca="1" si="484"/>
        <v>0</v>
      </c>
      <c r="Z1009" s="20">
        <f t="shared" ca="1" si="485"/>
        <v>0</v>
      </c>
      <c r="AA1009" s="1">
        <f t="shared" si="493"/>
        <v>5432.58</v>
      </c>
      <c r="AB1009" s="91"/>
      <c r="AC1009" s="92"/>
      <c r="AD1009" s="101">
        <f t="shared" si="494"/>
        <v>70494</v>
      </c>
      <c r="AE1009" s="103">
        <f t="shared" si="495"/>
        <v>0</v>
      </c>
      <c r="AG1009" s="1">
        <f t="shared" si="486"/>
        <v>0</v>
      </c>
      <c r="AH1009" s="1">
        <f t="shared" si="487"/>
        <v>0</v>
      </c>
      <c r="AI1009" s="1">
        <f t="shared" si="496"/>
        <v>5432.58</v>
      </c>
      <c r="AJ1009" s="20">
        <f t="shared" si="498"/>
        <v>0</v>
      </c>
      <c r="AK1009" s="100">
        <f t="shared" si="470"/>
        <v>0</v>
      </c>
      <c r="AL1009" s="100">
        <f t="shared" si="471"/>
        <v>0</v>
      </c>
      <c r="AN1009" s="100">
        <f t="shared" si="472"/>
        <v>3308.3799369207591</v>
      </c>
      <c r="AO1009" s="20">
        <f t="shared" si="473"/>
        <v>0</v>
      </c>
      <c r="AQ1009" s="109">
        <f t="shared" si="474"/>
        <v>0</v>
      </c>
      <c r="AU1009" s="109">
        <f t="shared" si="489"/>
        <v>24.8307191878705</v>
      </c>
      <c r="AV1009" s="101">
        <f t="shared" si="475"/>
        <v>70524</v>
      </c>
      <c r="AW1009" s="99">
        <f t="shared" si="476"/>
        <v>0</v>
      </c>
      <c r="AX1009" s="1">
        <f t="shared" si="477"/>
        <v>0</v>
      </c>
      <c r="AY1009" s="29">
        <f t="shared" si="478"/>
        <v>0</v>
      </c>
      <c r="AZ1009" s="1">
        <f t="shared" si="490"/>
        <v>0</v>
      </c>
      <c r="CB1009" s="20">
        <f t="shared" si="499"/>
        <v>0</v>
      </c>
      <c r="CC1009" s="173">
        <f t="shared" si="491"/>
        <v>0</v>
      </c>
    </row>
    <row r="1010" spans="10:81" x14ac:dyDescent="0.25">
      <c r="J1010" s="9"/>
      <c r="K1010" s="10"/>
      <c r="L1010" s="17"/>
      <c r="M1010" s="23"/>
      <c r="N1010" s="23"/>
      <c r="O1010" s="23"/>
      <c r="P1010" s="23"/>
      <c r="Q1010" s="1">
        <f t="shared" si="492"/>
        <v>0.60744618579017706</v>
      </c>
      <c r="R1010" s="12">
        <f t="shared" ca="1" si="479"/>
        <v>29402</v>
      </c>
      <c r="S1010" s="88">
        <f t="shared" si="488"/>
        <v>0</v>
      </c>
      <c r="T1010" s="19">
        <f t="shared" si="480"/>
        <v>0</v>
      </c>
      <c r="U1010" s="19">
        <f t="shared" si="481"/>
        <v>0</v>
      </c>
      <c r="V1010" s="19">
        <f t="shared" si="497"/>
        <v>0</v>
      </c>
      <c r="W1010" s="20">
        <f t="shared" ca="1" si="482"/>
        <v>0</v>
      </c>
      <c r="X1010" s="19">
        <f t="shared" ca="1" si="483"/>
        <v>0</v>
      </c>
      <c r="Y1010" s="19">
        <f t="shared" ca="1" si="484"/>
        <v>0</v>
      </c>
      <c r="Z1010" s="20">
        <f t="shared" ca="1" si="485"/>
        <v>0</v>
      </c>
      <c r="AA1010" s="1">
        <f t="shared" si="493"/>
        <v>5432.58</v>
      </c>
      <c r="AB1010" s="93"/>
      <c r="AC1010" s="94"/>
      <c r="AD1010" s="101">
        <f t="shared" si="494"/>
        <v>70524</v>
      </c>
      <c r="AE1010" s="103">
        <f t="shared" si="495"/>
        <v>0</v>
      </c>
      <c r="AG1010" s="1">
        <f t="shared" si="486"/>
        <v>0</v>
      </c>
      <c r="AH1010" s="1">
        <f t="shared" si="487"/>
        <v>0</v>
      </c>
      <c r="AI1010" s="1">
        <f t="shared" si="496"/>
        <v>5432.58</v>
      </c>
      <c r="AJ1010" s="20">
        <f t="shared" si="498"/>
        <v>0</v>
      </c>
      <c r="AK1010" s="100">
        <f t="shared" si="470"/>
        <v>0</v>
      </c>
      <c r="AL1010" s="100">
        <f t="shared" si="471"/>
        <v>0</v>
      </c>
      <c r="AN1010" s="100">
        <f t="shared" si="472"/>
        <v>3306.7060652650316</v>
      </c>
      <c r="AO1010" s="20">
        <f t="shared" si="473"/>
        <v>0</v>
      </c>
      <c r="AQ1010" s="109">
        <f t="shared" si="474"/>
        <v>0</v>
      </c>
      <c r="AU1010" s="109">
        <f t="shared" si="489"/>
        <v>24.828539793821925</v>
      </c>
      <c r="AV1010" s="101">
        <f t="shared" si="475"/>
        <v>70554</v>
      </c>
      <c r="AW1010" s="99">
        <f t="shared" si="476"/>
        <v>0</v>
      </c>
      <c r="AX1010" s="1">
        <f t="shared" si="477"/>
        <v>0</v>
      </c>
      <c r="AY1010" s="29">
        <f t="shared" si="478"/>
        <v>0</v>
      </c>
      <c r="AZ1010" s="1">
        <f t="shared" si="490"/>
        <v>0</v>
      </c>
      <c r="CB1010" s="20">
        <f t="shared" si="499"/>
        <v>0</v>
      </c>
      <c r="CC1010" s="173">
        <f t="shared" si="491"/>
        <v>0</v>
      </c>
    </row>
    <row r="1011" spans="10:81" x14ac:dyDescent="0.25">
      <c r="J1011" s="7"/>
      <c r="K1011" s="8"/>
      <c r="L1011" s="16"/>
      <c r="M1011" s="22"/>
      <c r="N1011" s="22"/>
      <c r="O1011" s="22"/>
      <c r="P1011" s="22"/>
      <c r="Q1011" s="1">
        <f t="shared" si="492"/>
        <v>0.60744618579017706</v>
      </c>
      <c r="R1011" s="12">
        <f t="shared" ca="1" si="479"/>
        <v>29432</v>
      </c>
      <c r="S1011" s="88">
        <f t="shared" si="488"/>
        <v>0</v>
      </c>
      <c r="T1011" s="19">
        <f t="shared" si="480"/>
        <v>0</v>
      </c>
      <c r="U1011" s="19">
        <f t="shared" si="481"/>
        <v>0</v>
      </c>
      <c r="V1011" s="19">
        <f t="shared" si="497"/>
        <v>0</v>
      </c>
      <c r="W1011" s="20">
        <f t="shared" ca="1" si="482"/>
        <v>0</v>
      </c>
      <c r="X1011" s="19">
        <f t="shared" ca="1" si="483"/>
        <v>0</v>
      </c>
      <c r="Y1011" s="19">
        <f t="shared" ca="1" si="484"/>
        <v>0</v>
      </c>
      <c r="Z1011" s="20">
        <f t="shared" ca="1" si="485"/>
        <v>0</v>
      </c>
      <c r="AA1011" s="1">
        <f t="shared" si="493"/>
        <v>5432.58</v>
      </c>
      <c r="AB1011" s="91"/>
      <c r="AC1011" s="92"/>
      <c r="AD1011" s="101">
        <f t="shared" si="494"/>
        <v>70554</v>
      </c>
      <c r="AE1011" s="103">
        <f t="shared" si="495"/>
        <v>0</v>
      </c>
      <c r="AG1011" s="1">
        <f t="shared" si="486"/>
        <v>0</v>
      </c>
      <c r="AH1011" s="1">
        <f t="shared" si="487"/>
        <v>0</v>
      </c>
      <c r="AI1011" s="1">
        <f t="shared" si="496"/>
        <v>5432.58</v>
      </c>
      <c r="AJ1011" s="20">
        <f t="shared" si="498"/>
        <v>0</v>
      </c>
      <c r="AK1011" s="100">
        <f t="shared" si="470"/>
        <v>0</v>
      </c>
      <c r="AL1011" s="100">
        <f t="shared" si="471"/>
        <v>0</v>
      </c>
      <c r="AN1011" s="100">
        <f t="shared" si="472"/>
        <v>3305.03304050306</v>
      </c>
      <c r="AO1011" s="20">
        <f t="shared" si="473"/>
        <v>0</v>
      </c>
      <c r="AQ1011" s="109">
        <f t="shared" si="474"/>
        <v>0</v>
      </c>
      <c r="AU1011" s="109">
        <f t="shared" si="489"/>
        <v>24.82636059105894</v>
      </c>
      <c r="AV1011" s="101">
        <f t="shared" si="475"/>
        <v>70584</v>
      </c>
      <c r="AW1011" s="99">
        <f t="shared" si="476"/>
        <v>0</v>
      </c>
      <c r="AX1011" s="1">
        <f t="shared" si="477"/>
        <v>0</v>
      </c>
      <c r="AY1011" s="29">
        <f t="shared" si="478"/>
        <v>0</v>
      </c>
      <c r="AZ1011" s="1">
        <f t="shared" si="490"/>
        <v>0</v>
      </c>
      <c r="CB1011" s="20">
        <f t="shared" si="499"/>
        <v>0</v>
      </c>
      <c r="CC1011" s="173">
        <f t="shared" si="491"/>
        <v>0</v>
      </c>
    </row>
    <row r="1012" spans="10:81" x14ac:dyDescent="0.25">
      <c r="J1012" s="9"/>
      <c r="K1012" s="10"/>
      <c r="L1012" s="17"/>
      <c r="M1012" s="23"/>
      <c r="N1012" s="23"/>
      <c r="O1012" s="23"/>
      <c r="P1012" s="23"/>
      <c r="Q1012" s="1">
        <f t="shared" si="492"/>
        <v>0.60744618579017706</v>
      </c>
      <c r="R1012" s="12">
        <f t="shared" ca="1" si="479"/>
        <v>29462</v>
      </c>
      <c r="S1012" s="88">
        <f t="shared" si="488"/>
        <v>0</v>
      </c>
      <c r="T1012" s="19">
        <f t="shared" si="480"/>
        <v>0</v>
      </c>
      <c r="U1012" s="19">
        <f t="shared" si="481"/>
        <v>0</v>
      </c>
      <c r="V1012" s="19">
        <f t="shared" si="497"/>
        <v>0</v>
      </c>
      <c r="W1012" s="20">
        <f t="shared" ca="1" si="482"/>
        <v>0</v>
      </c>
      <c r="X1012" s="19">
        <f t="shared" ca="1" si="483"/>
        <v>0</v>
      </c>
      <c r="Y1012" s="19">
        <f t="shared" ca="1" si="484"/>
        <v>0</v>
      </c>
      <c r="Z1012" s="20">
        <f t="shared" ca="1" si="485"/>
        <v>0</v>
      </c>
      <c r="AA1012" s="1">
        <f t="shared" si="493"/>
        <v>5432.58</v>
      </c>
      <c r="AB1012" s="93"/>
      <c r="AC1012" s="94"/>
      <c r="AD1012" s="101">
        <f t="shared" si="494"/>
        <v>70584</v>
      </c>
      <c r="AE1012" s="103">
        <f t="shared" si="495"/>
        <v>0</v>
      </c>
      <c r="AG1012" s="1">
        <f t="shared" si="486"/>
        <v>0</v>
      </c>
      <c r="AH1012" s="1">
        <f t="shared" si="487"/>
        <v>0</v>
      </c>
      <c r="AI1012" s="1">
        <f t="shared" si="496"/>
        <v>5432.58</v>
      </c>
      <c r="AJ1012" s="20">
        <f t="shared" si="498"/>
        <v>0</v>
      </c>
      <c r="AK1012" s="100">
        <f t="shared" si="470"/>
        <v>0</v>
      </c>
      <c r="AL1012" s="100">
        <f t="shared" si="471"/>
        <v>0</v>
      </c>
      <c r="AN1012" s="100">
        <f t="shared" si="472"/>
        <v>3303.360862206363</v>
      </c>
      <c r="AO1012" s="20">
        <f t="shared" si="473"/>
        <v>0</v>
      </c>
      <c r="AQ1012" s="109">
        <f t="shared" si="474"/>
        <v>0</v>
      </c>
      <c r="AU1012" s="109">
        <f t="shared" si="489"/>
        <v>24.824181579564733</v>
      </c>
      <c r="AV1012" s="101">
        <f t="shared" si="475"/>
        <v>70614</v>
      </c>
      <c r="AW1012" s="99">
        <f t="shared" si="476"/>
        <v>0</v>
      </c>
      <c r="AX1012" s="1">
        <f t="shared" si="477"/>
        <v>0</v>
      </c>
      <c r="AY1012" s="29">
        <f t="shared" si="478"/>
        <v>0</v>
      </c>
      <c r="AZ1012" s="1">
        <f t="shared" si="490"/>
        <v>0</v>
      </c>
      <c r="CB1012" s="20">
        <f t="shared" si="499"/>
        <v>0</v>
      </c>
      <c r="CC1012" s="173">
        <f t="shared" si="491"/>
        <v>0</v>
      </c>
    </row>
    <row r="1013" spans="10:81" x14ac:dyDescent="0.25">
      <c r="J1013" s="7"/>
      <c r="K1013" s="8"/>
      <c r="L1013" s="16"/>
      <c r="M1013" s="22"/>
      <c r="N1013" s="22"/>
      <c r="O1013" s="22"/>
      <c r="P1013" s="22"/>
      <c r="Q1013" s="1">
        <f t="shared" si="492"/>
        <v>0.60744618579017706</v>
      </c>
      <c r="R1013" s="12">
        <f t="shared" ca="1" si="479"/>
        <v>29492</v>
      </c>
      <c r="S1013" s="88">
        <f t="shared" si="488"/>
        <v>0</v>
      </c>
      <c r="T1013" s="19">
        <f t="shared" si="480"/>
        <v>0</v>
      </c>
      <c r="U1013" s="19">
        <f t="shared" si="481"/>
        <v>0</v>
      </c>
      <c r="V1013" s="19">
        <f t="shared" si="497"/>
        <v>0</v>
      </c>
      <c r="W1013" s="20">
        <f t="shared" ca="1" si="482"/>
        <v>0</v>
      </c>
      <c r="X1013" s="19">
        <f t="shared" ca="1" si="483"/>
        <v>0</v>
      </c>
      <c r="Y1013" s="19">
        <f t="shared" ca="1" si="484"/>
        <v>0</v>
      </c>
      <c r="Z1013" s="20">
        <f t="shared" ca="1" si="485"/>
        <v>0</v>
      </c>
      <c r="AA1013" s="1">
        <f t="shared" si="493"/>
        <v>5432.58</v>
      </c>
      <c r="AB1013" s="91"/>
      <c r="AC1013" s="92"/>
      <c r="AD1013" s="101">
        <f t="shared" si="494"/>
        <v>70614</v>
      </c>
      <c r="AE1013" s="103">
        <f t="shared" si="495"/>
        <v>0</v>
      </c>
      <c r="AG1013" s="1">
        <f t="shared" si="486"/>
        <v>0</v>
      </c>
      <c r="AH1013" s="1">
        <f t="shared" si="487"/>
        <v>0</v>
      </c>
      <c r="AI1013" s="1">
        <f t="shared" si="496"/>
        <v>5432.58</v>
      </c>
      <c r="AJ1013" s="20">
        <f t="shared" si="498"/>
        <v>0</v>
      </c>
      <c r="AK1013" s="100">
        <f t="shared" si="470"/>
        <v>0</v>
      </c>
      <c r="AL1013" s="100">
        <f t="shared" si="471"/>
        <v>0</v>
      </c>
      <c r="AN1013" s="100">
        <f t="shared" si="472"/>
        <v>3301.6895299466723</v>
      </c>
      <c r="AO1013" s="20">
        <f t="shared" si="473"/>
        <v>0</v>
      </c>
      <c r="AQ1013" s="109">
        <f t="shared" si="474"/>
        <v>0</v>
      </c>
      <c r="AU1013" s="109">
        <f t="shared" si="489"/>
        <v>24.822002759322526</v>
      </c>
      <c r="AV1013" s="101">
        <f t="shared" si="475"/>
        <v>70644</v>
      </c>
      <c r="AW1013" s="99">
        <f t="shared" si="476"/>
        <v>0</v>
      </c>
      <c r="AX1013" s="1">
        <f t="shared" si="477"/>
        <v>0</v>
      </c>
      <c r="AY1013" s="29">
        <f t="shared" si="478"/>
        <v>0</v>
      </c>
      <c r="AZ1013" s="1">
        <f t="shared" si="490"/>
        <v>0</v>
      </c>
      <c r="CB1013" s="20">
        <f t="shared" si="499"/>
        <v>0</v>
      </c>
      <c r="CC1013" s="173">
        <f t="shared" si="491"/>
        <v>0</v>
      </c>
    </row>
    <row r="1014" spans="10:81" x14ac:dyDescent="0.25">
      <c r="J1014" s="9"/>
      <c r="K1014" s="10"/>
      <c r="L1014" s="17"/>
      <c r="M1014" s="23"/>
      <c r="N1014" s="23"/>
      <c r="O1014" s="23"/>
      <c r="P1014" s="23"/>
      <c r="Q1014" s="1">
        <f t="shared" si="492"/>
        <v>0.60744618579017706</v>
      </c>
      <c r="R1014" s="12">
        <f t="shared" ca="1" si="479"/>
        <v>29522</v>
      </c>
      <c r="S1014" s="88">
        <f t="shared" si="488"/>
        <v>0</v>
      </c>
      <c r="T1014" s="19">
        <f t="shared" si="480"/>
        <v>0</v>
      </c>
      <c r="U1014" s="19">
        <f t="shared" si="481"/>
        <v>0</v>
      </c>
      <c r="V1014" s="19">
        <f t="shared" si="497"/>
        <v>0</v>
      </c>
      <c r="W1014" s="20">
        <f t="shared" ca="1" si="482"/>
        <v>0</v>
      </c>
      <c r="X1014" s="19">
        <f t="shared" ca="1" si="483"/>
        <v>0</v>
      </c>
      <c r="Y1014" s="19">
        <f t="shared" ca="1" si="484"/>
        <v>0</v>
      </c>
      <c r="Z1014" s="20">
        <f t="shared" ca="1" si="485"/>
        <v>0</v>
      </c>
      <c r="AA1014" s="1">
        <f t="shared" si="493"/>
        <v>5432.58</v>
      </c>
      <c r="AB1014" s="93"/>
      <c r="AC1014" s="94"/>
      <c r="AD1014" s="101">
        <f t="shared" si="494"/>
        <v>70644</v>
      </c>
      <c r="AE1014" s="103">
        <f t="shared" si="495"/>
        <v>0</v>
      </c>
      <c r="AG1014" s="1">
        <f t="shared" si="486"/>
        <v>0</v>
      </c>
      <c r="AH1014" s="1">
        <f t="shared" si="487"/>
        <v>0</v>
      </c>
      <c r="AI1014" s="1">
        <f t="shared" si="496"/>
        <v>5432.58</v>
      </c>
      <c r="AJ1014" s="20">
        <f t="shared" si="498"/>
        <v>0</v>
      </c>
      <c r="AK1014" s="100">
        <f t="shared" ref="AK1014:AK1077" si="500">IF(ISERROR(AJ1014/(1+(Q1014)/1200)^(ROW()-29)),0,AJ1014/(1+(Q1014)/1200)^(ROW()-29))</f>
        <v>0</v>
      </c>
      <c r="AL1014" s="100">
        <f t="shared" ref="AL1014:AL1077" si="501">IF(ISERROR((Q1014/1200)*O1014),0,(Q1014/1200)*O1014)</f>
        <v>0</v>
      </c>
      <c r="AN1014" s="100">
        <f t="shared" ref="AN1014:AN1077" si="502">IF(ISERROR(AA1014/(1+(Q1014)/1200)^(ROW()-29)),0,AA1014/(1+(Q1014)/1200)^(ROW()-29))</f>
        <v>3300.0190432959339</v>
      </c>
      <c r="AO1014" s="20">
        <f t="shared" ref="AO1014:AO1077" si="503">IF(ISERROR(V1013+U1014+T1014+(V1013*Q1014/1200)-AA1014-P1014),0,IF(V1013+U1014+T1014+(V1013*Q1014/1200)-AA1014-P1014&lt;0,V1013,-(U1014+T1014-AA1014+P1014-AH1014)))</f>
        <v>0</v>
      </c>
      <c r="AQ1014" s="109">
        <f t="shared" ref="AQ1014:AQ1077" si="504">AO1014/(1+((1+$AM$27)^((ROW()-29)*30)-1))</f>
        <v>0</v>
      </c>
      <c r="AU1014" s="109">
        <f t="shared" si="489"/>
        <v>24.819824130315538</v>
      </c>
      <c r="AV1014" s="101">
        <f t="shared" ref="AV1014:AV1077" si="505">AD1015</f>
        <v>70674</v>
      </c>
      <c r="AW1014" s="99">
        <f t="shared" ref="AW1014:AW1077" si="506">IF(AJ1015&lt;0,0,AJ1015)</f>
        <v>0</v>
      </c>
      <c r="AX1014" s="1">
        <f t="shared" ref="AX1014:AX1077" si="507">IF(AG1014&gt;0,AA1014,0)</f>
        <v>0</v>
      </c>
      <c r="AY1014" s="29">
        <f t="shared" ref="AY1014:AY1077" si="508">AE1014</f>
        <v>0</v>
      </c>
      <c r="AZ1014" s="1">
        <f t="shared" si="490"/>
        <v>0</v>
      </c>
      <c r="CB1014" s="20">
        <f t="shared" si="499"/>
        <v>0</v>
      </c>
      <c r="CC1014" s="173">
        <f t="shared" si="491"/>
        <v>0</v>
      </c>
    </row>
    <row r="1015" spans="10:81" x14ac:dyDescent="0.25">
      <c r="J1015" s="7"/>
      <c r="K1015" s="8"/>
      <c r="L1015" s="16"/>
      <c r="M1015" s="22"/>
      <c r="N1015" s="22"/>
      <c r="O1015" s="22"/>
      <c r="P1015" s="22"/>
      <c r="Q1015" s="1">
        <f t="shared" si="492"/>
        <v>0.60744618579017706</v>
      </c>
      <c r="R1015" s="12">
        <f t="shared" ref="R1015:R1078" ca="1" si="509">IF(ROW()&gt;$T$20,R1014+30,DAYS360(K1014,K1015)+R1014)</f>
        <v>29552</v>
      </c>
      <c r="S1015" s="88">
        <f t="shared" si="488"/>
        <v>0</v>
      </c>
      <c r="T1015" s="19">
        <f t="shared" ref="T1015:T1078" si="510">IF(ISERROR((previousBalance*Q1015/1200)*(IF(ROW()-30&lt;$G$22,$G$21,0))),0,(previousBalance*Q1015/1200)*(IF(ROW()-30&lt;$G$22,$G$21,0)))</f>
        <v>0</v>
      </c>
      <c r="U1015" s="19">
        <f t="shared" ref="U1015:U1078" si="511">AA1015*(IF(ROW()-30&lt;$H$22,$H$21,0))</f>
        <v>0</v>
      </c>
      <c r="V1015" s="19">
        <f t="shared" si="497"/>
        <v>0</v>
      </c>
      <c r="W1015" s="20">
        <f t="shared" ref="W1015:W1078" ca="1" si="512">(T1015)/(1+((1+$T$12)^$R1015-1))</f>
        <v>0</v>
      </c>
      <c r="X1015" s="19">
        <f t="shared" ref="X1015:X1078" ca="1" si="513">(U1015)/(1+((1+$T$12)^$R1015-1))</f>
        <v>0</v>
      </c>
      <c r="Y1015" s="19">
        <f t="shared" ref="Y1015:Y1078" ca="1" si="514">P1015/(1+((1+$T$12)^$R1015-1))</f>
        <v>0</v>
      </c>
      <c r="Z1015" s="20">
        <f t="shared" ref="Z1015:Z1078" ca="1" si="515">W1015+X1015</f>
        <v>0</v>
      </c>
      <c r="AA1015" s="1">
        <f t="shared" si="493"/>
        <v>5432.58</v>
      </c>
      <c r="AB1015" s="91"/>
      <c r="AC1015" s="92"/>
      <c r="AD1015" s="101">
        <f t="shared" si="494"/>
        <v>70674</v>
      </c>
      <c r="AE1015" s="103">
        <f t="shared" si="495"/>
        <v>0</v>
      </c>
      <c r="AG1015" s="1">
        <f t="shared" ref="AG1015:AG1078" si="516">AE1015/360</f>
        <v>0</v>
      </c>
      <c r="AH1015" s="1">
        <f t="shared" ref="AH1015:AH1078" si="517">IF(ISERROR(IF(V1014+U1015+T1015+(V1014*Q1015/1200)-AA1015-P1015&lt;0,0,(V1014*Q1015/1200))),0,IF(V1014+U1015+T1015+(V1014*Q1015/1200)-AA1015-P1015&lt;0,0,(V1014*Q1015/1200)))</f>
        <v>0</v>
      </c>
      <c r="AI1015" s="1">
        <f t="shared" si="496"/>
        <v>5432.58</v>
      </c>
      <c r="AJ1015" s="20">
        <f t="shared" si="498"/>
        <v>0</v>
      </c>
      <c r="AK1015" s="100">
        <f t="shared" si="500"/>
        <v>0</v>
      </c>
      <c r="AL1015" s="100">
        <f t="shared" si="501"/>
        <v>0</v>
      </c>
      <c r="AN1015" s="100">
        <f t="shared" si="502"/>
        <v>3298.3494018263141</v>
      </c>
      <c r="AO1015" s="20">
        <f t="shared" si="503"/>
        <v>0</v>
      </c>
      <c r="AQ1015" s="109">
        <f t="shared" si="504"/>
        <v>0</v>
      </c>
      <c r="AU1015" s="109">
        <f t="shared" si="489"/>
        <v>24.81764569252698</v>
      </c>
      <c r="AV1015" s="101">
        <f t="shared" si="505"/>
        <v>70704</v>
      </c>
      <c r="AW1015" s="99">
        <f t="shared" si="506"/>
        <v>0</v>
      </c>
      <c r="AX1015" s="1">
        <f t="shared" si="507"/>
        <v>0</v>
      </c>
      <c r="AY1015" s="29">
        <f t="shared" si="508"/>
        <v>0</v>
      </c>
      <c r="AZ1015" s="1">
        <f t="shared" si="490"/>
        <v>0</v>
      </c>
      <c r="CB1015" s="20">
        <f t="shared" si="499"/>
        <v>0</v>
      </c>
      <c r="CC1015" s="173">
        <f t="shared" si="491"/>
        <v>0</v>
      </c>
    </row>
    <row r="1016" spans="10:81" x14ac:dyDescent="0.25">
      <c r="J1016" s="9"/>
      <c r="K1016" s="10"/>
      <c r="L1016" s="17"/>
      <c r="M1016" s="23"/>
      <c r="N1016" s="23"/>
      <c r="O1016" s="23"/>
      <c r="P1016" s="23"/>
      <c r="Q1016" s="1">
        <f t="shared" si="492"/>
        <v>0.60744618579017706</v>
      </c>
      <c r="R1016" s="12">
        <f t="shared" ca="1" si="509"/>
        <v>29582</v>
      </c>
      <c r="S1016" s="88">
        <f t="shared" si="488"/>
        <v>0</v>
      </c>
      <c r="T1016" s="19">
        <f t="shared" si="510"/>
        <v>0</v>
      </c>
      <c r="U1016" s="19">
        <f t="shared" si="511"/>
        <v>0</v>
      </c>
      <c r="V1016" s="19">
        <f t="shared" si="497"/>
        <v>0</v>
      </c>
      <c r="W1016" s="20">
        <f t="shared" ca="1" si="512"/>
        <v>0</v>
      </c>
      <c r="X1016" s="19">
        <f t="shared" ca="1" si="513"/>
        <v>0</v>
      </c>
      <c r="Y1016" s="19">
        <f t="shared" ca="1" si="514"/>
        <v>0</v>
      </c>
      <c r="Z1016" s="20">
        <f t="shared" ca="1" si="515"/>
        <v>0</v>
      </c>
      <c r="AA1016" s="1">
        <f t="shared" si="493"/>
        <v>5432.58</v>
      </c>
      <c r="AB1016" s="93"/>
      <c r="AC1016" s="94"/>
      <c r="AD1016" s="101">
        <f t="shared" si="494"/>
        <v>70704</v>
      </c>
      <c r="AE1016" s="103">
        <f t="shared" si="495"/>
        <v>0</v>
      </c>
      <c r="AG1016" s="1">
        <f t="shared" si="516"/>
        <v>0</v>
      </c>
      <c r="AH1016" s="1">
        <f t="shared" si="517"/>
        <v>0</v>
      </c>
      <c r="AI1016" s="1">
        <f t="shared" si="496"/>
        <v>5432.58</v>
      </c>
      <c r="AJ1016" s="20">
        <f t="shared" si="498"/>
        <v>0</v>
      </c>
      <c r="AK1016" s="100">
        <f t="shared" si="500"/>
        <v>0</v>
      </c>
      <c r="AL1016" s="100">
        <f t="shared" si="501"/>
        <v>0</v>
      </c>
      <c r="AN1016" s="100">
        <f t="shared" si="502"/>
        <v>3296.6806051101958</v>
      </c>
      <c r="AO1016" s="20">
        <f t="shared" si="503"/>
        <v>0</v>
      </c>
      <c r="AQ1016" s="109">
        <f t="shared" si="504"/>
        <v>0</v>
      </c>
      <c r="AU1016" s="109">
        <f t="shared" si="489"/>
        <v>24.815467445940055</v>
      </c>
      <c r="AV1016" s="101">
        <f t="shared" si="505"/>
        <v>70734</v>
      </c>
      <c r="AW1016" s="99">
        <f t="shared" si="506"/>
        <v>0</v>
      </c>
      <c r="AX1016" s="1">
        <f t="shared" si="507"/>
        <v>0</v>
      </c>
      <c r="AY1016" s="29">
        <f t="shared" si="508"/>
        <v>0</v>
      </c>
      <c r="AZ1016" s="1">
        <f t="shared" si="490"/>
        <v>0</v>
      </c>
      <c r="CB1016" s="20">
        <f t="shared" si="499"/>
        <v>0</v>
      </c>
      <c r="CC1016" s="173">
        <f t="shared" si="491"/>
        <v>0</v>
      </c>
    </row>
    <row r="1017" spans="10:81" x14ac:dyDescent="0.25">
      <c r="J1017" s="7"/>
      <c r="K1017" s="8"/>
      <c r="L1017" s="16"/>
      <c r="M1017" s="22"/>
      <c r="N1017" s="22"/>
      <c r="O1017" s="22"/>
      <c r="P1017" s="22"/>
      <c r="Q1017" s="1">
        <f t="shared" si="492"/>
        <v>0.60744618579017706</v>
      </c>
      <c r="R1017" s="12">
        <f t="shared" ca="1" si="509"/>
        <v>29612</v>
      </c>
      <c r="S1017" s="88">
        <f t="shared" si="488"/>
        <v>0</v>
      </c>
      <c r="T1017" s="19">
        <f t="shared" si="510"/>
        <v>0</v>
      </c>
      <c r="U1017" s="19">
        <f t="shared" si="511"/>
        <v>0</v>
      </c>
      <c r="V1017" s="19">
        <f t="shared" si="497"/>
        <v>0</v>
      </c>
      <c r="W1017" s="20">
        <f t="shared" ca="1" si="512"/>
        <v>0</v>
      </c>
      <c r="X1017" s="19">
        <f t="shared" ca="1" si="513"/>
        <v>0</v>
      </c>
      <c r="Y1017" s="19">
        <f t="shared" ca="1" si="514"/>
        <v>0</v>
      </c>
      <c r="Z1017" s="20">
        <f t="shared" ca="1" si="515"/>
        <v>0</v>
      </c>
      <c r="AA1017" s="1">
        <f t="shared" si="493"/>
        <v>5432.58</v>
      </c>
      <c r="AB1017" s="91"/>
      <c r="AC1017" s="92"/>
      <c r="AD1017" s="101">
        <f t="shared" si="494"/>
        <v>70734</v>
      </c>
      <c r="AE1017" s="103">
        <f t="shared" si="495"/>
        <v>0</v>
      </c>
      <c r="AG1017" s="1">
        <f t="shared" si="516"/>
        <v>0</v>
      </c>
      <c r="AH1017" s="1">
        <f t="shared" si="517"/>
        <v>0</v>
      </c>
      <c r="AI1017" s="1">
        <f t="shared" si="496"/>
        <v>5432.58</v>
      </c>
      <c r="AJ1017" s="20">
        <f t="shared" si="498"/>
        <v>0</v>
      </c>
      <c r="AK1017" s="100">
        <f t="shared" si="500"/>
        <v>0</v>
      </c>
      <c r="AL1017" s="100">
        <f t="shared" si="501"/>
        <v>0</v>
      </c>
      <c r="AN1017" s="100">
        <f t="shared" si="502"/>
        <v>3295.0126527201742</v>
      </c>
      <c r="AO1017" s="20">
        <f t="shared" si="503"/>
        <v>0</v>
      </c>
      <c r="AQ1017" s="109">
        <f t="shared" si="504"/>
        <v>0</v>
      </c>
      <c r="AU1017" s="109">
        <f t="shared" si="489"/>
        <v>24.813289390538003</v>
      </c>
      <c r="AV1017" s="101">
        <f t="shared" si="505"/>
        <v>70764</v>
      </c>
      <c r="AW1017" s="99">
        <f t="shared" si="506"/>
        <v>0</v>
      </c>
      <c r="AX1017" s="1">
        <f t="shared" si="507"/>
        <v>0</v>
      </c>
      <c r="AY1017" s="29">
        <f t="shared" si="508"/>
        <v>0</v>
      </c>
      <c r="AZ1017" s="1">
        <f t="shared" si="490"/>
        <v>0</v>
      </c>
      <c r="CB1017" s="20">
        <f t="shared" si="499"/>
        <v>0</v>
      </c>
      <c r="CC1017" s="173">
        <f t="shared" si="491"/>
        <v>0</v>
      </c>
    </row>
    <row r="1018" spans="10:81" x14ac:dyDescent="0.25">
      <c r="J1018" s="9"/>
      <c r="K1018" s="10"/>
      <c r="L1018" s="17"/>
      <c r="M1018" s="23"/>
      <c r="N1018" s="23"/>
      <c r="O1018" s="23"/>
      <c r="P1018" s="23"/>
      <c r="Q1018" s="1">
        <f t="shared" si="492"/>
        <v>0.60744618579017706</v>
      </c>
      <c r="R1018" s="12">
        <f t="shared" ca="1" si="509"/>
        <v>29642</v>
      </c>
      <c r="S1018" s="88">
        <f t="shared" si="488"/>
        <v>0</v>
      </c>
      <c r="T1018" s="19">
        <f t="shared" si="510"/>
        <v>0</v>
      </c>
      <c r="U1018" s="19">
        <f t="shared" si="511"/>
        <v>0</v>
      </c>
      <c r="V1018" s="19">
        <f t="shared" si="497"/>
        <v>0</v>
      </c>
      <c r="W1018" s="20">
        <f t="shared" ca="1" si="512"/>
        <v>0</v>
      </c>
      <c r="X1018" s="19">
        <f t="shared" ca="1" si="513"/>
        <v>0</v>
      </c>
      <c r="Y1018" s="19">
        <f t="shared" ca="1" si="514"/>
        <v>0</v>
      </c>
      <c r="Z1018" s="20">
        <f t="shared" ca="1" si="515"/>
        <v>0</v>
      </c>
      <c r="AA1018" s="1">
        <f t="shared" si="493"/>
        <v>5432.58</v>
      </c>
      <c r="AB1018" s="93"/>
      <c r="AC1018" s="94"/>
      <c r="AD1018" s="101">
        <f t="shared" si="494"/>
        <v>70764</v>
      </c>
      <c r="AE1018" s="103">
        <f t="shared" si="495"/>
        <v>0</v>
      </c>
      <c r="AG1018" s="1">
        <f t="shared" si="516"/>
        <v>0</v>
      </c>
      <c r="AH1018" s="1">
        <f t="shared" si="517"/>
        <v>0</v>
      </c>
      <c r="AI1018" s="1">
        <f t="shared" si="496"/>
        <v>5432.58</v>
      </c>
      <c r="AJ1018" s="20">
        <f t="shared" si="498"/>
        <v>0</v>
      </c>
      <c r="AK1018" s="100">
        <f t="shared" si="500"/>
        <v>0</v>
      </c>
      <c r="AL1018" s="100">
        <f t="shared" si="501"/>
        <v>0</v>
      </c>
      <c r="AN1018" s="100">
        <f t="shared" si="502"/>
        <v>3293.3455442290642</v>
      </c>
      <c r="AO1018" s="20">
        <f t="shared" si="503"/>
        <v>0</v>
      </c>
      <c r="AQ1018" s="109">
        <f t="shared" si="504"/>
        <v>0</v>
      </c>
      <c r="AU1018" s="109">
        <f t="shared" si="489"/>
        <v>24.811111526304035</v>
      </c>
      <c r="AV1018" s="101">
        <f t="shared" si="505"/>
        <v>70794</v>
      </c>
      <c r="AW1018" s="99">
        <f t="shared" si="506"/>
        <v>0</v>
      </c>
      <c r="AX1018" s="1">
        <f t="shared" si="507"/>
        <v>0</v>
      </c>
      <c r="AY1018" s="29">
        <f t="shared" si="508"/>
        <v>0</v>
      </c>
      <c r="AZ1018" s="1">
        <f t="shared" si="490"/>
        <v>0</v>
      </c>
      <c r="CB1018" s="20">
        <f t="shared" si="499"/>
        <v>0</v>
      </c>
      <c r="CC1018" s="173">
        <f t="shared" si="491"/>
        <v>0</v>
      </c>
    </row>
    <row r="1019" spans="10:81" x14ac:dyDescent="0.25">
      <c r="J1019" s="7"/>
      <c r="K1019" s="8"/>
      <c r="L1019" s="16"/>
      <c r="M1019" s="22"/>
      <c r="N1019" s="22"/>
      <c r="O1019" s="22"/>
      <c r="P1019" s="22"/>
      <c r="Q1019" s="1">
        <f t="shared" si="492"/>
        <v>0.60744618579017706</v>
      </c>
      <c r="R1019" s="12">
        <f t="shared" ca="1" si="509"/>
        <v>29672</v>
      </c>
      <c r="S1019" s="88">
        <f t="shared" si="488"/>
        <v>0</v>
      </c>
      <c r="T1019" s="19">
        <f t="shared" si="510"/>
        <v>0</v>
      </c>
      <c r="U1019" s="19">
        <f t="shared" si="511"/>
        <v>0</v>
      </c>
      <c r="V1019" s="19">
        <f t="shared" si="497"/>
        <v>0</v>
      </c>
      <c r="W1019" s="20">
        <f t="shared" ca="1" si="512"/>
        <v>0</v>
      </c>
      <c r="X1019" s="19">
        <f t="shared" ca="1" si="513"/>
        <v>0</v>
      </c>
      <c r="Y1019" s="19">
        <f t="shared" ca="1" si="514"/>
        <v>0</v>
      </c>
      <c r="Z1019" s="20">
        <f t="shared" ca="1" si="515"/>
        <v>0</v>
      </c>
      <c r="AA1019" s="1">
        <f t="shared" si="493"/>
        <v>5432.58</v>
      </c>
      <c r="AB1019" s="91"/>
      <c r="AC1019" s="92"/>
      <c r="AD1019" s="101">
        <f t="shared" si="494"/>
        <v>70794</v>
      </c>
      <c r="AE1019" s="103">
        <f t="shared" si="495"/>
        <v>0</v>
      </c>
      <c r="AG1019" s="1">
        <f t="shared" si="516"/>
        <v>0</v>
      </c>
      <c r="AH1019" s="1">
        <f t="shared" si="517"/>
        <v>0</v>
      </c>
      <c r="AI1019" s="1">
        <f t="shared" si="496"/>
        <v>5432.58</v>
      </c>
      <c r="AJ1019" s="20">
        <f t="shared" si="498"/>
        <v>0</v>
      </c>
      <c r="AK1019" s="100">
        <f t="shared" si="500"/>
        <v>0</v>
      </c>
      <c r="AL1019" s="100">
        <f t="shared" si="501"/>
        <v>0</v>
      </c>
      <c r="AN1019" s="100">
        <f t="shared" si="502"/>
        <v>3291.6792792098963</v>
      </c>
      <c r="AO1019" s="20">
        <f t="shared" si="503"/>
        <v>0</v>
      </c>
      <c r="AQ1019" s="109">
        <f t="shared" si="504"/>
        <v>0</v>
      </c>
      <c r="AU1019" s="109">
        <f t="shared" si="489"/>
        <v>24.808933853221358</v>
      </c>
      <c r="AV1019" s="101">
        <f t="shared" si="505"/>
        <v>70824</v>
      </c>
      <c r="AW1019" s="99">
        <f t="shared" si="506"/>
        <v>0</v>
      </c>
      <c r="AX1019" s="1">
        <f t="shared" si="507"/>
        <v>0</v>
      </c>
      <c r="AY1019" s="29">
        <f t="shared" si="508"/>
        <v>0</v>
      </c>
      <c r="AZ1019" s="1">
        <f t="shared" si="490"/>
        <v>0</v>
      </c>
      <c r="CB1019" s="20">
        <f t="shared" si="499"/>
        <v>0</v>
      </c>
      <c r="CC1019" s="173">
        <f t="shared" si="491"/>
        <v>0</v>
      </c>
    </row>
    <row r="1020" spans="10:81" x14ac:dyDescent="0.25">
      <c r="J1020" s="9"/>
      <c r="K1020" s="10"/>
      <c r="L1020" s="17"/>
      <c r="M1020" s="23"/>
      <c r="N1020" s="23"/>
      <c r="O1020" s="23"/>
      <c r="P1020" s="23"/>
      <c r="Q1020" s="1">
        <f t="shared" si="492"/>
        <v>0.60744618579017706</v>
      </c>
      <c r="R1020" s="12">
        <f t="shared" ca="1" si="509"/>
        <v>29702</v>
      </c>
      <c r="S1020" s="88">
        <f t="shared" si="488"/>
        <v>0</v>
      </c>
      <c r="T1020" s="19">
        <f t="shared" si="510"/>
        <v>0</v>
      </c>
      <c r="U1020" s="19">
        <f t="shared" si="511"/>
        <v>0</v>
      </c>
      <c r="V1020" s="19">
        <f t="shared" si="497"/>
        <v>0</v>
      </c>
      <c r="W1020" s="20">
        <f t="shared" ca="1" si="512"/>
        <v>0</v>
      </c>
      <c r="X1020" s="19">
        <f t="shared" ca="1" si="513"/>
        <v>0</v>
      </c>
      <c r="Y1020" s="19">
        <f t="shared" ca="1" si="514"/>
        <v>0</v>
      </c>
      <c r="Z1020" s="20">
        <f t="shared" ca="1" si="515"/>
        <v>0</v>
      </c>
      <c r="AA1020" s="1">
        <f t="shared" si="493"/>
        <v>5432.58</v>
      </c>
      <c r="AB1020" s="93"/>
      <c r="AC1020" s="94"/>
      <c r="AD1020" s="101">
        <f t="shared" si="494"/>
        <v>70824</v>
      </c>
      <c r="AE1020" s="103">
        <f t="shared" si="495"/>
        <v>0</v>
      </c>
      <c r="AG1020" s="1">
        <f t="shared" si="516"/>
        <v>0</v>
      </c>
      <c r="AH1020" s="1">
        <f t="shared" si="517"/>
        <v>0</v>
      </c>
      <c r="AI1020" s="1">
        <f t="shared" si="496"/>
        <v>5432.58</v>
      </c>
      <c r="AJ1020" s="20">
        <f t="shared" si="498"/>
        <v>0</v>
      </c>
      <c r="AK1020" s="100">
        <f t="shared" si="500"/>
        <v>0</v>
      </c>
      <c r="AL1020" s="100">
        <f t="shared" si="501"/>
        <v>0</v>
      </c>
      <c r="AN1020" s="100">
        <f t="shared" si="502"/>
        <v>3290.0138572359174</v>
      </c>
      <c r="AO1020" s="20">
        <f t="shared" si="503"/>
        <v>0</v>
      </c>
      <c r="AQ1020" s="109">
        <f t="shared" si="504"/>
        <v>0</v>
      </c>
      <c r="AU1020" s="109">
        <f t="shared" si="489"/>
        <v>24.806756371273213</v>
      </c>
      <c r="AV1020" s="101">
        <f t="shared" si="505"/>
        <v>70854</v>
      </c>
      <c r="AW1020" s="99">
        <f t="shared" si="506"/>
        <v>0</v>
      </c>
      <c r="AX1020" s="1">
        <f t="shared" si="507"/>
        <v>0</v>
      </c>
      <c r="AY1020" s="29">
        <f t="shared" si="508"/>
        <v>0</v>
      </c>
      <c r="AZ1020" s="1">
        <f t="shared" si="490"/>
        <v>0</v>
      </c>
      <c r="CB1020" s="20">
        <f t="shared" si="499"/>
        <v>0</v>
      </c>
      <c r="CC1020" s="173">
        <f t="shared" si="491"/>
        <v>0</v>
      </c>
    </row>
    <row r="1021" spans="10:81" x14ac:dyDescent="0.25">
      <c r="J1021" s="7"/>
      <c r="K1021" s="8"/>
      <c r="L1021" s="16"/>
      <c r="M1021" s="22"/>
      <c r="N1021" s="22"/>
      <c r="O1021" s="22"/>
      <c r="P1021" s="22"/>
      <c r="Q1021" s="1">
        <f t="shared" si="492"/>
        <v>0.60744618579017706</v>
      </c>
      <c r="R1021" s="12">
        <f t="shared" ca="1" si="509"/>
        <v>29732</v>
      </c>
      <c r="S1021" s="88">
        <f t="shared" si="488"/>
        <v>0</v>
      </c>
      <c r="T1021" s="19">
        <f t="shared" si="510"/>
        <v>0</v>
      </c>
      <c r="U1021" s="19">
        <f t="shared" si="511"/>
        <v>0</v>
      </c>
      <c r="V1021" s="19">
        <f t="shared" si="497"/>
        <v>0</v>
      </c>
      <c r="W1021" s="20">
        <f t="shared" ca="1" si="512"/>
        <v>0</v>
      </c>
      <c r="X1021" s="19">
        <f t="shared" ca="1" si="513"/>
        <v>0</v>
      </c>
      <c r="Y1021" s="19">
        <f t="shared" ca="1" si="514"/>
        <v>0</v>
      </c>
      <c r="Z1021" s="20">
        <f t="shared" ca="1" si="515"/>
        <v>0</v>
      </c>
      <c r="AA1021" s="1">
        <f t="shared" si="493"/>
        <v>5432.58</v>
      </c>
      <c r="AB1021" s="91"/>
      <c r="AC1021" s="92"/>
      <c r="AD1021" s="101">
        <f t="shared" si="494"/>
        <v>70854</v>
      </c>
      <c r="AE1021" s="103">
        <f t="shared" si="495"/>
        <v>0</v>
      </c>
      <c r="AG1021" s="1">
        <f t="shared" si="516"/>
        <v>0</v>
      </c>
      <c r="AH1021" s="1">
        <f t="shared" si="517"/>
        <v>0</v>
      </c>
      <c r="AI1021" s="1">
        <f t="shared" si="496"/>
        <v>5432.58</v>
      </c>
      <c r="AJ1021" s="20">
        <f t="shared" si="498"/>
        <v>0</v>
      </c>
      <c r="AK1021" s="100">
        <f t="shared" si="500"/>
        <v>0</v>
      </c>
      <c r="AL1021" s="100">
        <f t="shared" si="501"/>
        <v>0</v>
      </c>
      <c r="AN1021" s="100">
        <f t="shared" si="502"/>
        <v>3288.3492778805885</v>
      </c>
      <c r="AO1021" s="20">
        <f t="shared" si="503"/>
        <v>0</v>
      </c>
      <c r="AQ1021" s="109">
        <f t="shared" si="504"/>
        <v>0</v>
      </c>
      <c r="AU1021" s="109">
        <f t="shared" si="489"/>
        <v>24.804579080442828</v>
      </c>
      <c r="AV1021" s="101">
        <f t="shared" si="505"/>
        <v>70884</v>
      </c>
      <c r="AW1021" s="99">
        <f t="shared" si="506"/>
        <v>0</v>
      </c>
      <c r="AX1021" s="1">
        <f t="shared" si="507"/>
        <v>0</v>
      </c>
      <c r="AY1021" s="29">
        <f t="shared" si="508"/>
        <v>0</v>
      </c>
      <c r="AZ1021" s="1">
        <f t="shared" si="490"/>
        <v>0</v>
      </c>
      <c r="CB1021" s="20">
        <f t="shared" si="499"/>
        <v>0</v>
      </c>
      <c r="CC1021" s="173">
        <f t="shared" si="491"/>
        <v>0</v>
      </c>
    </row>
    <row r="1022" spans="10:81" x14ac:dyDescent="0.25">
      <c r="J1022" s="9"/>
      <c r="K1022" s="10"/>
      <c r="L1022" s="17"/>
      <c r="M1022" s="23"/>
      <c r="N1022" s="23"/>
      <c r="O1022" s="23"/>
      <c r="P1022" s="23"/>
      <c r="Q1022" s="1">
        <f t="shared" si="492"/>
        <v>0.60744618579017706</v>
      </c>
      <c r="R1022" s="12">
        <f t="shared" ca="1" si="509"/>
        <v>29762</v>
      </c>
      <c r="S1022" s="88">
        <f t="shared" si="488"/>
        <v>0</v>
      </c>
      <c r="T1022" s="19">
        <f t="shared" si="510"/>
        <v>0</v>
      </c>
      <c r="U1022" s="19">
        <f t="shared" si="511"/>
        <v>0</v>
      </c>
      <c r="V1022" s="19">
        <f t="shared" si="497"/>
        <v>0</v>
      </c>
      <c r="W1022" s="20">
        <f t="shared" ca="1" si="512"/>
        <v>0</v>
      </c>
      <c r="X1022" s="19">
        <f t="shared" ca="1" si="513"/>
        <v>0</v>
      </c>
      <c r="Y1022" s="19">
        <f t="shared" ca="1" si="514"/>
        <v>0</v>
      </c>
      <c r="Z1022" s="20">
        <f t="shared" ca="1" si="515"/>
        <v>0</v>
      </c>
      <c r="AA1022" s="1">
        <f t="shared" si="493"/>
        <v>5432.58</v>
      </c>
      <c r="AB1022" s="93"/>
      <c r="AC1022" s="94"/>
      <c r="AD1022" s="101">
        <f t="shared" si="494"/>
        <v>70884</v>
      </c>
      <c r="AE1022" s="103">
        <f t="shared" si="495"/>
        <v>0</v>
      </c>
      <c r="AG1022" s="1">
        <f t="shared" si="516"/>
        <v>0</v>
      </c>
      <c r="AH1022" s="1">
        <f t="shared" si="517"/>
        <v>0</v>
      </c>
      <c r="AI1022" s="1">
        <f t="shared" si="496"/>
        <v>5432.58</v>
      </c>
      <c r="AJ1022" s="20">
        <f t="shared" si="498"/>
        <v>0</v>
      </c>
      <c r="AK1022" s="100">
        <f t="shared" si="500"/>
        <v>0</v>
      </c>
      <c r="AL1022" s="100">
        <f t="shared" si="501"/>
        <v>0</v>
      </c>
      <c r="AN1022" s="100">
        <f t="shared" si="502"/>
        <v>3286.6855407175876</v>
      </c>
      <c r="AO1022" s="20">
        <f t="shared" si="503"/>
        <v>0</v>
      </c>
      <c r="AQ1022" s="109">
        <f t="shared" si="504"/>
        <v>0</v>
      </c>
      <c r="AU1022" s="109">
        <f t="shared" si="489"/>
        <v>24.802401980713412</v>
      </c>
      <c r="AV1022" s="101">
        <f t="shared" si="505"/>
        <v>70914</v>
      </c>
      <c r="AW1022" s="99">
        <f t="shared" si="506"/>
        <v>0</v>
      </c>
      <c r="AX1022" s="1">
        <f t="shared" si="507"/>
        <v>0</v>
      </c>
      <c r="AY1022" s="29">
        <f t="shared" si="508"/>
        <v>0</v>
      </c>
      <c r="AZ1022" s="1">
        <f t="shared" si="490"/>
        <v>0</v>
      </c>
      <c r="CB1022" s="20">
        <f t="shared" si="499"/>
        <v>0</v>
      </c>
      <c r="CC1022" s="173">
        <f t="shared" si="491"/>
        <v>0</v>
      </c>
    </row>
    <row r="1023" spans="10:81" x14ac:dyDescent="0.25">
      <c r="J1023" s="7"/>
      <c r="K1023" s="8"/>
      <c r="L1023" s="16"/>
      <c r="M1023" s="22"/>
      <c r="N1023" s="22"/>
      <c r="O1023" s="22"/>
      <c r="P1023" s="22"/>
      <c r="Q1023" s="1">
        <f t="shared" si="492"/>
        <v>0.60744618579017706</v>
      </c>
      <c r="R1023" s="12">
        <f t="shared" ca="1" si="509"/>
        <v>29792</v>
      </c>
      <c r="S1023" s="88">
        <f t="shared" si="488"/>
        <v>0</v>
      </c>
      <c r="T1023" s="19">
        <f t="shared" si="510"/>
        <v>0</v>
      </c>
      <c r="U1023" s="19">
        <f t="shared" si="511"/>
        <v>0</v>
      </c>
      <c r="V1023" s="19">
        <f t="shared" si="497"/>
        <v>0</v>
      </c>
      <c r="W1023" s="20">
        <f t="shared" ca="1" si="512"/>
        <v>0</v>
      </c>
      <c r="X1023" s="19">
        <f t="shared" ca="1" si="513"/>
        <v>0</v>
      </c>
      <c r="Y1023" s="19">
        <f t="shared" ca="1" si="514"/>
        <v>0</v>
      </c>
      <c r="Z1023" s="20">
        <f t="shared" ca="1" si="515"/>
        <v>0</v>
      </c>
      <c r="AA1023" s="1">
        <f t="shared" si="493"/>
        <v>5432.58</v>
      </c>
      <c r="AB1023" s="91"/>
      <c r="AC1023" s="92"/>
      <c r="AD1023" s="101">
        <f t="shared" si="494"/>
        <v>70914</v>
      </c>
      <c r="AE1023" s="103">
        <f t="shared" si="495"/>
        <v>0</v>
      </c>
      <c r="AG1023" s="1">
        <f t="shared" si="516"/>
        <v>0</v>
      </c>
      <c r="AH1023" s="1">
        <f t="shared" si="517"/>
        <v>0</v>
      </c>
      <c r="AI1023" s="1">
        <f t="shared" si="496"/>
        <v>5432.58</v>
      </c>
      <c r="AJ1023" s="20">
        <f t="shared" si="498"/>
        <v>0</v>
      </c>
      <c r="AK1023" s="100">
        <f t="shared" si="500"/>
        <v>0</v>
      </c>
      <c r="AL1023" s="100">
        <f t="shared" si="501"/>
        <v>0</v>
      </c>
      <c r="AN1023" s="100">
        <f t="shared" si="502"/>
        <v>3285.0226453208093</v>
      </c>
      <c r="AO1023" s="20">
        <f t="shared" si="503"/>
        <v>0</v>
      </c>
      <c r="AQ1023" s="109">
        <f t="shared" si="504"/>
        <v>0</v>
      </c>
      <c r="AU1023" s="109">
        <f t="shared" si="489"/>
        <v>24.800225072068198</v>
      </c>
      <c r="AV1023" s="101">
        <f t="shared" si="505"/>
        <v>70944</v>
      </c>
      <c r="AW1023" s="99">
        <f t="shared" si="506"/>
        <v>0</v>
      </c>
      <c r="AX1023" s="1">
        <f t="shared" si="507"/>
        <v>0</v>
      </c>
      <c r="AY1023" s="29">
        <f t="shared" si="508"/>
        <v>0</v>
      </c>
      <c r="AZ1023" s="1">
        <f t="shared" si="490"/>
        <v>0</v>
      </c>
      <c r="CB1023" s="20">
        <f t="shared" si="499"/>
        <v>0</v>
      </c>
      <c r="CC1023" s="173">
        <f t="shared" si="491"/>
        <v>0</v>
      </c>
    </row>
    <row r="1024" spans="10:81" x14ac:dyDescent="0.25">
      <c r="J1024" s="9"/>
      <c r="K1024" s="10"/>
      <c r="L1024" s="17"/>
      <c r="M1024" s="23"/>
      <c r="N1024" s="23"/>
      <c r="O1024" s="23"/>
      <c r="P1024" s="23"/>
      <c r="Q1024" s="1">
        <f t="shared" si="492"/>
        <v>0.60744618579017706</v>
      </c>
      <c r="R1024" s="12">
        <f t="shared" ca="1" si="509"/>
        <v>29822</v>
      </c>
      <c r="S1024" s="88">
        <f t="shared" si="488"/>
        <v>0</v>
      </c>
      <c r="T1024" s="19">
        <f t="shared" si="510"/>
        <v>0</v>
      </c>
      <c r="U1024" s="19">
        <f t="shared" si="511"/>
        <v>0</v>
      </c>
      <c r="V1024" s="19">
        <f t="shared" si="497"/>
        <v>0</v>
      </c>
      <c r="W1024" s="20">
        <f t="shared" ca="1" si="512"/>
        <v>0</v>
      </c>
      <c r="X1024" s="19">
        <f t="shared" ca="1" si="513"/>
        <v>0</v>
      </c>
      <c r="Y1024" s="19">
        <f t="shared" ca="1" si="514"/>
        <v>0</v>
      </c>
      <c r="Z1024" s="20">
        <f t="shared" ca="1" si="515"/>
        <v>0</v>
      </c>
      <c r="AA1024" s="1">
        <f t="shared" si="493"/>
        <v>5432.58</v>
      </c>
      <c r="AB1024" s="93"/>
      <c r="AC1024" s="94"/>
      <c r="AD1024" s="101">
        <f t="shared" si="494"/>
        <v>70944</v>
      </c>
      <c r="AE1024" s="103">
        <f t="shared" si="495"/>
        <v>0</v>
      </c>
      <c r="AG1024" s="1">
        <f t="shared" si="516"/>
        <v>0</v>
      </c>
      <c r="AH1024" s="1">
        <f t="shared" si="517"/>
        <v>0</v>
      </c>
      <c r="AI1024" s="1">
        <f t="shared" si="496"/>
        <v>5432.58</v>
      </c>
      <c r="AJ1024" s="20">
        <f t="shared" si="498"/>
        <v>0</v>
      </c>
      <c r="AK1024" s="100">
        <f t="shared" si="500"/>
        <v>0</v>
      </c>
      <c r="AL1024" s="100">
        <f t="shared" si="501"/>
        <v>0</v>
      </c>
      <c r="AN1024" s="100">
        <f t="shared" si="502"/>
        <v>3283.3605912643611</v>
      </c>
      <c r="AO1024" s="20">
        <f t="shared" si="503"/>
        <v>0</v>
      </c>
      <c r="AQ1024" s="109">
        <f t="shared" si="504"/>
        <v>0</v>
      </c>
      <c r="AU1024" s="109">
        <f t="shared" si="489"/>
        <v>24.798048354490426</v>
      </c>
      <c r="AV1024" s="101">
        <f t="shared" si="505"/>
        <v>70974</v>
      </c>
      <c r="AW1024" s="99">
        <f t="shared" si="506"/>
        <v>0</v>
      </c>
      <c r="AX1024" s="1">
        <f t="shared" si="507"/>
        <v>0</v>
      </c>
      <c r="AY1024" s="29">
        <f t="shared" si="508"/>
        <v>0</v>
      </c>
      <c r="AZ1024" s="1">
        <f t="shared" si="490"/>
        <v>0</v>
      </c>
      <c r="CB1024" s="20">
        <f t="shared" si="499"/>
        <v>0</v>
      </c>
      <c r="CC1024" s="173">
        <f t="shared" si="491"/>
        <v>0</v>
      </c>
    </row>
    <row r="1025" spans="10:81" x14ac:dyDescent="0.25">
      <c r="J1025" s="7"/>
      <c r="K1025" s="8"/>
      <c r="L1025" s="16"/>
      <c r="M1025" s="22"/>
      <c r="N1025" s="22"/>
      <c r="O1025" s="22"/>
      <c r="P1025" s="22"/>
      <c r="Q1025" s="1">
        <f t="shared" si="492"/>
        <v>0.60744618579017706</v>
      </c>
      <c r="R1025" s="12">
        <f t="shared" ca="1" si="509"/>
        <v>29852</v>
      </c>
      <c r="S1025" s="88">
        <f t="shared" si="488"/>
        <v>0</v>
      </c>
      <c r="T1025" s="19">
        <f t="shared" si="510"/>
        <v>0</v>
      </c>
      <c r="U1025" s="19">
        <f t="shared" si="511"/>
        <v>0</v>
      </c>
      <c r="V1025" s="19">
        <f t="shared" si="497"/>
        <v>0</v>
      </c>
      <c r="W1025" s="20">
        <f t="shared" ca="1" si="512"/>
        <v>0</v>
      </c>
      <c r="X1025" s="19">
        <f t="shared" ca="1" si="513"/>
        <v>0</v>
      </c>
      <c r="Y1025" s="19">
        <f t="shared" ca="1" si="514"/>
        <v>0</v>
      </c>
      <c r="Z1025" s="20">
        <f t="shared" ca="1" si="515"/>
        <v>0</v>
      </c>
      <c r="AA1025" s="1">
        <f t="shared" si="493"/>
        <v>5432.58</v>
      </c>
      <c r="AB1025" s="91"/>
      <c r="AC1025" s="92"/>
      <c r="AD1025" s="101">
        <f t="shared" si="494"/>
        <v>70974</v>
      </c>
      <c r="AE1025" s="103">
        <f t="shared" si="495"/>
        <v>0</v>
      </c>
      <c r="AG1025" s="1">
        <f t="shared" si="516"/>
        <v>0</v>
      </c>
      <c r="AH1025" s="1">
        <f t="shared" si="517"/>
        <v>0</v>
      </c>
      <c r="AI1025" s="1">
        <f t="shared" si="496"/>
        <v>5432.58</v>
      </c>
      <c r="AJ1025" s="20">
        <f t="shared" si="498"/>
        <v>0</v>
      </c>
      <c r="AK1025" s="100">
        <f t="shared" si="500"/>
        <v>0</v>
      </c>
      <c r="AL1025" s="100">
        <f t="shared" si="501"/>
        <v>0</v>
      </c>
      <c r="AN1025" s="100">
        <f t="shared" si="502"/>
        <v>3281.6993781225679</v>
      </c>
      <c r="AO1025" s="20">
        <f t="shared" si="503"/>
        <v>0</v>
      </c>
      <c r="AQ1025" s="109">
        <f t="shared" si="504"/>
        <v>0</v>
      </c>
      <c r="AU1025" s="109">
        <f t="shared" si="489"/>
        <v>24.795871827963307</v>
      </c>
      <c r="AV1025" s="101">
        <f t="shared" si="505"/>
        <v>71004</v>
      </c>
      <c r="AW1025" s="99">
        <f t="shared" si="506"/>
        <v>0</v>
      </c>
      <c r="AX1025" s="1">
        <f t="shared" si="507"/>
        <v>0</v>
      </c>
      <c r="AY1025" s="29">
        <f t="shared" si="508"/>
        <v>0</v>
      </c>
      <c r="AZ1025" s="1">
        <f t="shared" si="490"/>
        <v>0</v>
      </c>
      <c r="CB1025" s="20">
        <f t="shared" si="499"/>
        <v>0</v>
      </c>
      <c r="CC1025" s="173">
        <f t="shared" si="491"/>
        <v>0</v>
      </c>
    </row>
    <row r="1026" spans="10:81" x14ac:dyDescent="0.25">
      <c r="J1026" s="9"/>
      <c r="K1026" s="10"/>
      <c r="L1026" s="17"/>
      <c r="M1026" s="23"/>
      <c r="N1026" s="23"/>
      <c r="O1026" s="23"/>
      <c r="P1026" s="23"/>
      <c r="Q1026" s="1">
        <f t="shared" si="492"/>
        <v>0.60744618579017706</v>
      </c>
      <c r="R1026" s="12">
        <f t="shared" ca="1" si="509"/>
        <v>29882</v>
      </c>
      <c r="S1026" s="88">
        <f t="shared" si="488"/>
        <v>0</v>
      </c>
      <c r="T1026" s="19">
        <f t="shared" si="510"/>
        <v>0</v>
      </c>
      <c r="U1026" s="19">
        <f t="shared" si="511"/>
        <v>0</v>
      </c>
      <c r="V1026" s="19">
        <f t="shared" si="497"/>
        <v>0</v>
      </c>
      <c r="W1026" s="20">
        <f t="shared" ca="1" si="512"/>
        <v>0</v>
      </c>
      <c r="X1026" s="19">
        <f t="shared" ca="1" si="513"/>
        <v>0</v>
      </c>
      <c r="Y1026" s="19">
        <f t="shared" ca="1" si="514"/>
        <v>0</v>
      </c>
      <c r="Z1026" s="20">
        <f t="shared" ca="1" si="515"/>
        <v>0</v>
      </c>
      <c r="AA1026" s="1">
        <f t="shared" si="493"/>
        <v>5432.58</v>
      </c>
      <c r="AB1026" s="93"/>
      <c r="AC1026" s="94"/>
      <c r="AD1026" s="101">
        <f t="shared" si="494"/>
        <v>71004</v>
      </c>
      <c r="AE1026" s="103">
        <f t="shared" si="495"/>
        <v>0</v>
      </c>
      <c r="AG1026" s="1">
        <f t="shared" si="516"/>
        <v>0</v>
      </c>
      <c r="AH1026" s="1">
        <f t="shared" si="517"/>
        <v>0</v>
      </c>
      <c r="AI1026" s="1">
        <f t="shared" si="496"/>
        <v>5432.58</v>
      </c>
      <c r="AJ1026" s="20">
        <f t="shared" si="498"/>
        <v>0</v>
      </c>
      <c r="AK1026" s="100">
        <f t="shared" si="500"/>
        <v>0</v>
      </c>
      <c r="AL1026" s="100">
        <f t="shared" si="501"/>
        <v>0</v>
      </c>
      <c r="AN1026" s="100">
        <f t="shared" si="502"/>
        <v>3280.039005469971</v>
      </c>
      <c r="AO1026" s="20">
        <f t="shared" si="503"/>
        <v>0</v>
      </c>
      <c r="AQ1026" s="109">
        <f t="shared" si="504"/>
        <v>0</v>
      </c>
      <c r="AU1026" s="109">
        <f t="shared" si="489"/>
        <v>24.793695492470071</v>
      </c>
      <c r="AV1026" s="101">
        <f t="shared" si="505"/>
        <v>71034</v>
      </c>
      <c r="AW1026" s="99">
        <f t="shared" si="506"/>
        <v>0</v>
      </c>
      <c r="AX1026" s="1">
        <f t="shared" si="507"/>
        <v>0</v>
      </c>
      <c r="AY1026" s="29">
        <f t="shared" si="508"/>
        <v>0</v>
      </c>
      <c r="AZ1026" s="1">
        <f t="shared" si="490"/>
        <v>0</v>
      </c>
      <c r="CB1026" s="20">
        <f t="shared" si="499"/>
        <v>0</v>
      </c>
      <c r="CC1026" s="173">
        <f t="shared" si="491"/>
        <v>0</v>
      </c>
    </row>
    <row r="1027" spans="10:81" x14ac:dyDescent="0.25">
      <c r="J1027" s="7"/>
      <c r="K1027" s="8"/>
      <c r="L1027" s="16"/>
      <c r="M1027" s="22"/>
      <c r="N1027" s="22"/>
      <c r="O1027" s="22"/>
      <c r="P1027" s="22"/>
      <c r="Q1027" s="1">
        <f t="shared" si="492"/>
        <v>0.60744618579017706</v>
      </c>
      <c r="R1027" s="12">
        <f t="shared" ca="1" si="509"/>
        <v>29912</v>
      </c>
      <c r="S1027" s="88">
        <f t="shared" ref="S1027:S1090" si="518">N1027+M1027</f>
        <v>0</v>
      </c>
      <c r="T1027" s="19">
        <f t="shared" si="510"/>
        <v>0</v>
      </c>
      <c r="U1027" s="19">
        <f t="shared" si="511"/>
        <v>0</v>
      </c>
      <c r="V1027" s="19">
        <f t="shared" si="497"/>
        <v>0</v>
      </c>
      <c r="W1027" s="20">
        <f t="shared" ca="1" si="512"/>
        <v>0</v>
      </c>
      <c r="X1027" s="19">
        <f t="shared" ca="1" si="513"/>
        <v>0</v>
      </c>
      <c r="Y1027" s="19">
        <f t="shared" ca="1" si="514"/>
        <v>0</v>
      </c>
      <c r="Z1027" s="20">
        <f t="shared" ca="1" si="515"/>
        <v>0</v>
      </c>
      <c r="AA1027" s="1">
        <f t="shared" si="493"/>
        <v>5432.58</v>
      </c>
      <c r="AB1027" s="91"/>
      <c r="AC1027" s="92"/>
      <c r="AD1027" s="101">
        <f t="shared" si="494"/>
        <v>71034</v>
      </c>
      <c r="AE1027" s="103">
        <f t="shared" si="495"/>
        <v>0</v>
      </c>
      <c r="AG1027" s="1">
        <f t="shared" si="516"/>
        <v>0</v>
      </c>
      <c r="AH1027" s="1">
        <f t="shared" si="517"/>
        <v>0</v>
      </c>
      <c r="AI1027" s="1">
        <f t="shared" si="496"/>
        <v>5432.58</v>
      </c>
      <c r="AJ1027" s="20">
        <f t="shared" si="498"/>
        <v>0</v>
      </c>
      <c r="AK1027" s="100">
        <f t="shared" si="500"/>
        <v>0</v>
      </c>
      <c r="AL1027" s="100">
        <f t="shared" si="501"/>
        <v>0</v>
      </c>
      <c r="AN1027" s="100">
        <f t="shared" si="502"/>
        <v>3278.3794728813245</v>
      </c>
      <c r="AO1027" s="20">
        <f t="shared" si="503"/>
        <v>0</v>
      </c>
      <c r="AQ1027" s="109">
        <f t="shared" si="504"/>
        <v>0</v>
      </c>
      <c r="AU1027" s="109">
        <f t="shared" si="489"/>
        <v>24.791519347993972</v>
      </c>
      <c r="AV1027" s="101">
        <f t="shared" si="505"/>
        <v>71064</v>
      </c>
      <c r="AW1027" s="99">
        <f t="shared" si="506"/>
        <v>0</v>
      </c>
      <c r="AX1027" s="1">
        <f t="shared" si="507"/>
        <v>0</v>
      </c>
      <c r="AY1027" s="29">
        <f t="shared" si="508"/>
        <v>0</v>
      </c>
      <c r="AZ1027" s="1">
        <f t="shared" si="490"/>
        <v>0</v>
      </c>
      <c r="CB1027" s="20">
        <f t="shared" si="499"/>
        <v>0</v>
      </c>
      <c r="CC1027" s="173">
        <f t="shared" si="491"/>
        <v>0</v>
      </c>
    </row>
    <row r="1028" spans="10:81" x14ac:dyDescent="0.25">
      <c r="J1028" s="9"/>
      <c r="K1028" s="10"/>
      <c r="L1028" s="17"/>
      <c r="M1028" s="23"/>
      <c r="N1028" s="23"/>
      <c r="O1028" s="23"/>
      <c r="P1028" s="23"/>
      <c r="Q1028" s="1">
        <f t="shared" si="492"/>
        <v>0.60744618579017706</v>
      </c>
      <c r="R1028" s="12">
        <f t="shared" ca="1" si="509"/>
        <v>29942</v>
      </c>
      <c r="S1028" s="88">
        <f t="shared" si="518"/>
        <v>0</v>
      </c>
      <c r="T1028" s="19">
        <f t="shared" si="510"/>
        <v>0</v>
      </c>
      <c r="U1028" s="19">
        <f t="shared" si="511"/>
        <v>0</v>
      </c>
      <c r="V1028" s="19">
        <f t="shared" si="497"/>
        <v>0</v>
      </c>
      <c r="W1028" s="20">
        <f t="shared" ca="1" si="512"/>
        <v>0</v>
      </c>
      <c r="X1028" s="19">
        <f t="shared" ca="1" si="513"/>
        <v>0</v>
      </c>
      <c r="Y1028" s="19">
        <f t="shared" ca="1" si="514"/>
        <v>0</v>
      </c>
      <c r="Z1028" s="20">
        <f t="shared" ca="1" si="515"/>
        <v>0</v>
      </c>
      <c r="AA1028" s="1">
        <f t="shared" si="493"/>
        <v>5432.58</v>
      </c>
      <c r="AB1028" s="93"/>
      <c r="AC1028" s="94"/>
      <c r="AD1028" s="101">
        <f t="shared" si="494"/>
        <v>71064</v>
      </c>
      <c r="AE1028" s="103">
        <f t="shared" si="495"/>
        <v>0</v>
      </c>
      <c r="AG1028" s="1">
        <f t="shared" si="516"/>
        <v>0</v>
      </c>
      <c r="AH1028" s="1">
        <f t="shared" si="517"/>
        <v>0</v>
      </c>
      <c r="AI1028" s="1">
        <f t="shared" si="496"/>
        <v>5432.58</v>
      </c>
      <c r="AJ1028" s="20">
        <f t="shared" si="498"/>
        <v>0</v>
      </c>
      <c r="AK1028" s="100">
        <f t="shared" si="500"/>
        <v>0</v>
      </c>
      <c r="AL1028" s="100">
        <f t="shared" si="501"/>
        <v>0</v>
      </c>
      <c r="AN1028" s="100">
        <f t="shared" si="502"/>
        <v>3276.7207799316011</v>
      </c>
      <c r="AO1028" s="20">
        <f t="shared" si="503"/>
        <v>0</v>
      </c>
      <c r="AQ1028" s="109">
        <f t="shared" si="504"/>
        <v>0</v>
      </c>
      <c r="AU1028" s="109">
        <f t="shared" si="489"/>
        <v>24.789343394518237</v>
      </c>
      <c r="AV1028" s="101">
        <f t="shared" si="505"/>
        <v>71094</v>
      </c>
      <c r="AW1028" s="99">
        <f t="shared" si="506"/>
        <v>0</v>
      </c>
      <c r="AX1028" s="1">
        <f t="shared" si="507"/>
        <v>0</v>
      </c>
      <c r="AY1028" s="29">
        <f t="shared" si="508"/>
        <v>0</v>
      </c>
      <c r="AZ1028" s="1">
        <f t="shared" si="490"/>
        <v>0</v>
      </c>
      <c r="CB1028" s="20">
        <f t="shared" si="499"/>
        <v>0</v>
      </c>
      <c r="CC1028" s="173">
        <f t="shared" si="491"/>
        <v>0</v>
      </c>
    </row>
    <row r="1029" spans="10:81" x14ac:dyDescent="0.25">
      <c r="J1029" s="7"/>
      <c r="K1029" s="8"/>
      <c r="L1029" s="16"/>
      <c r="M1029" s="22"/>
      <c r="N1029" s="22"/>
      <c r="O1029" s="22"/>
      <c r="P1029" s="22"/>
      <c r="Q1029" s="1">
        <f t="shared" si="492"/>
        <v>0.60744618579017706</v>
      </c>
      <c r="R1029" s="12">
        <f t="shared" ca="1" si="509"/>
        <v>29972</v>
      </c>
      <c r="S1029" s="88">
        <f t="shared" si="518"/>
        <v>0</v>
      </c>
      <c r="T1029" s="19">
        <f t="shared" si="510"/>
        <v>0</v>
      </c>
      <c r="U1029" s="19">
        <f t="shared" si="511"/>
        <v>0</v>
      </c>
      <c r="V1029" s="19">
        <f t="shared" si="497"/>
        <v>0</v>
      </c>
      <c r="W1029" s="20">
        <f t="shared" ca="1" si="512"/>
        <v>0</v>
      </c>
      <c r="X1029" s="19">
        <f t="shared" ca="1" si="513"/>
        <v>0</v>
      </c>
      <c r="Y1029" s="19">
        <f t="shared" ca="1" si="514"/>
        <v>0</v>
      </c>
      <c r="Z1029" s="20">
        <f t="shared" ca="1" si="515"/>
        <v>0</v>
      </c>
      <c r="AA1029" s="1">
        <f t="shared" si="493"/>
        <v>5432.58</v>
      </c>
      <c r="AB1029" s="91"/>
      <c r="AC1029" s="92"/>
      <c r="AD1029" s="101">
        <f t="shared" si="494"/>
        <v>71094</v>
      </c>
      <c r="AE1029" s="103">
        <f t="shared" si="495"/>
        <v>0</v>
      </c>
      <c r="AG1029" s="1">
        <f t="shared" si="516"/>
        <v>0</v>
      </c>
      <c r="AH1029" s="1">
        <f t="shared" si="517"/>
        <v>0</v>
      </c>
      <c r="AI1029" s="1">
        <f t="shared" si="496"/>
        <v>5432.58</v>
      </c>
      <c r="AJ1029" s="20">
        <f t="shared" si="498"/>
        <v>0</v>
      </c>
      <c r="AK1029" s="100">
        <f t="shared" si="500"/>
        <v>0</v>
      </c>
      <c r="AL1029" s="100">
        <f t="shared" si="501"/>
        <v>0</v>
      </c>
      <c r="AN1029" s="100">
        <f t="shared" si="502"/>
        <v>3275.0629261959834</v>
      </c>
      <c r="AO1029" s="20">
        <f t="shared" si="503"/>
        <v>0</v>
      </c>
      <c r="AQ1029" s="109">
        <f t="shared" si="504"/>
        <v>0</v>
      </c>
      <c r="AU1029" s="109">
        <f t="shared" si="489"/>
        <v>24.787167632026105</v>
      </c>
      <c r="AV1029" s="101">
        <f t="shared" si="505"/>
        <v>71124</v>
      </c>
      <c r="AW1029" s="99">
        <f t="shared" si="506"/>
        <v>0</v>
      </c>
      <c r="AX1029" s="1">
        <f t="shared" si="507"/>
        <v>0</v>
      </c>
      <c r="AY1029" s="29">
        <f t="shared" si="508"/>
        <v>0</v>
      </c>
      <c r="AZ1029" s="1">
        <f t="shared" si="490"/>
        <v>0</v>
      </c>
      <c r="CB1029" s="20">
        <f t="shared" si="499"/>
        <v>0</v>
      </c>
      <c r="CC1029" s="173">
        <f t="shared" si="491"/>
        <v>0</v>
      </c>
    </row>
    <row r="1030" spans="10:81" x14ac:dyDescent="0.25">
      <c r="J1030" s="9"/>
      <c r="K1030" s="10"/>
      <c r="L1030" s="17"/>
      <c r="M1030" s="23"/>
      <c r="N1030" s="23"/>
      <c r="O1030" s="23"/>
      <c r="P1030" s="23"/>
      <c r="Q1030" s="1">
        <f t="shared" si="492"/>
        <v>0.60744618579017706</v>
      </c>
      <c r="R1030" s="12">
        <f t="shared" ca="1" si="509"/>
        <v>30002</v>
      </c>
      <c r="S1030" s="88">
        <f t="shared" si="518"/>
        <v>0</v>
      </c>
      <c r="T1030" s="19">
        <f t="shared" si="510"/>
        <v>0</v>
      </c>
      <c r="U1030" s="19">
        <f t="shared" si="511"/>
        <v>0</v>
      </c>
      <c r="V1030" s="19">
        <f t="shared" si="497"/>
        <v>0</v>
      </c>
      <c r="W1030" s="20">
        <f t="shared" ca="1" si="512"/>
        <v>0</v>
      </c>
      <c r="X1030" s="19">
        <f t="shared" ca="1" si="513"/>
        <v>0</v>
      </c>
      <c r="Y1030" s="19">
        <f t="shared" ca="1" si="514"/>
        <v>0</v>
      </c>
      <c r="Z1030" s="20">
        <f t="shared" ca="1" si="515"/>
        <v>0</v>
      </c>
      <c r="AA1030" s="1">
        <f t="shared" si="493"/>
        <v>5432.58</v>
      </c>
      <c r="AB1030" s="93"/>
      <c r="AC1030" s="94"/>
      <c r="AD1030" s="101">
        <f t="shared" si="494"/>
        <v>71124</v>
      </c>
      <c r="AE1030" s="103">
        <f t="shared" si="495"/>
        <v>0</v>
      </c>
      <c r="AG1030" s="1">
        <f t="shared" si="516"/>
        <v>0</v>
      </c>
      <c r="AH1030" s="1">
        <f t="shared" si="517"/>
        <v>0</v>
      </c>
      <c r="AI1030" s="1">
        <f t="shared" si="496"/>
        <v>5432.58</v>
      </c>
      <c r="AJ1030" s="20">
        <f t="shared" si="498"/>
        <v>0</v>
      </c>
      <c r="AK1030" s="100">
        <f t="shared" si="500"/>
        <v>0</v>
      </c>
      <c r="AL1030" s="100">
        <f t="shared" si="501"/>
        <v>0</v>
      </c>
      <c r="AN1030" s="100">
        <f t="shared" si="502"/>
        <v>3273.4059112498735</v>
      </c>
      <c r="AO1030" s="20">
        <f t="shared" si="503"/>
        <v>0</v>
      </c>
      <c r="AQ1030" s="109">
        <f t="shared" si="504"/>
        <v>0</v>
      </c>
      <c r="AU1030" s="109">
        <f t="shared" si="489"/>
        <v>24.784992060500787</v>
      </c>
      <c r="AV1030" s="101">
        <f t="shared" si="505"/>
        <v>71154</v>
      </c>
      <c r="AW1030" s="99">
        <f t="shared" si="506"/>
        <v>0</v>
      </c>
      <c r="AX1030" s="1">
        <f t="shared" si="507"/>
        <v>0</v>
      </c>
      <c r="AY1030" s="29">
        <f t="shared" si="508"/>
        <v>0</v>
      </c>
      <c r="AZ1030" s="1">
        <f t="shared" si="490"/>
        <v>0</v>
      </c>
      <c r="CB1030" s="20">
        <f t="shared" si="499"/>
        <v>0</v>
      </c>
      <c r="CC1030" s="173">
        <f t="shared" si="491"/>
        <v>0</v>
      </c>
    </row>
    <row r="1031" spans="10:81" x14ac:dyDescent="0.25">
      <c r="J1031" s="7"/>
      <c r="K1031" s="8"/>
      <c r="L1031" s="16"/>
      <c r="M1031" s="22"/>
      <c r="N1031" s="22"/>
      <c r="O1031" s="22"/>
      <c r="P1031" s="22"/>
      <c r="Q1031" s="1">
        <f t="shared" si="492"/>
        <v>0.60744618579017706</v>
      </c>
      <c r="R1031" s="12">
        <f t="shared" ca="1" si="509"/>
        <v>30032</v>
      </c>
      <c r="S1031" s="88">
        <f t="shared" si="518"/>
        <v>0</v>
      </c>
      <c r="T1031" s="19">
        <f t="shared" si="510"/>
        <v>0</v>
      </c>
      <c r="U1031" s="19">
        <f t="shared" si="511"/>
        <v>0</v>
      </c>
      <c r="V1031" s="19">
        <f t="shared" si="497"/>
        <v>0</v>
      </c>
      <c r="W1031" s="20">
        <f t="shared" ca="1" si="512"/>
        <v>0</v>
      </c>
      <c r="X1031" s="19">
        <f t="shared" ca="1" si="513"/>
        <v>0</v>
      </c>
      <c r="Y1031" s="19">
        <f t="shared" ca="1" si="514"/>
        <v>0</v>
      </c>
      <c r="Z1031" s="20">
        <f t="shared" ca="1" si="515"/>
        <v>0</v>
      </c>
      <c r="AA1031" s="1">
        <f t="shared" si="493"/>
        <v>5432.58</v>
      </c>
      <c r="AB1031" s="91"/>
      <c r="AC1031" s="92"/>
      <c r="AD1031" s="101">
        <f t="shared" si="494"/>
        <v>71154</v>
      </c>
      <c r="AE1031" s="103">
        <f t="shared" si="495"/>
        <v>0</v>
      </c>
      <c r="AG1031" s="1">
        <f t="shared" si="516"/>
        <v>0</v>
      </c>
      <c r="AH1031" s="1">
        <f t="shared" si="517"/>
        <v>0</v>
      </c>
      <c r="AI1031" s="1">
        <f t="shared" si="496"/>
        <v>5432.58</v>
      </c>
      <c r="AJ1031" s="20">
        <f t="shared" si="498"/>
        <v>0</v>
      </c>
      <c r="AK1031" s="100">
        <f t="shared" si="500"/>
        <v>0</v>
      </c>
      <c r="AL1031" s="100">
        <f t="shared" si="501"/>
        <v>0</v>
      </c>
      <c r="AN1031" s="100">
        <f t="shared" si="502"/>
        <v>3271.7497346688851</v>
      </c>
      <c r="AO1031" s="20">
        <f t="shared" si="503"/>
        <v>0</v>
      </c>
      <c r="AQ1031" s="109">
        <f t="shared" si="504"/>
        <v>0</v>
      </c>
      <c r="AU1031" s="109">
        <f t="shared" si="489"/>
        <v>24.782816679925556</v>
      </c>
      <c r="AV1031" s="101">
        <f t="shared" si="505"/>
        <v>71184</v>
      </c>
      <c r="AW1031" s="99">
        <f t="shared" si="506"/>
        <v>0</v>
      </c>
      <c r="AX1031" s="1">
        <f t="shared" si="507"/>
        <v>0</v>
      </c>
      <c r="AY1031" s="29">
        <f t="shared" si="508"/>
        <v>0</v>
      </c>
      <c r="AZ1031" s="1">
        <f t="shared" si="490"/>
        <v>0</v>
      </c>
      <c r="CB1031" s="20">
        <f t="shared" si="499"/>
        <v>0</v>
      </c>
      <c r="CC1031" s="173">
        <f t="shared" si="491"/>
        <v>0</v>
      </c>
    </row>
    <row r="1032" spans="10:81" x14ac:dyDescent="0.25">
      <c r="J1032" s="9"/>
      <c r="K1032" s="10"/>
      <c r="L1032" s="17"/>
      <c r="M1032" s="23"/>
      <c r="N1032" s="23"/>
      <c r="O1032" s="23"/>
      <c r="P1032" s="23"/>
      <c r="Q1032" s="1">
        <f t="shared" si="492"/>
        <v>0.60744618579017706</v>
      </c>
      <c r="R1032" s="12">
        <f t="shared" ca="1" si="509"/>
        <v>30062</v>
      </c>
      <c r="S1032" s="88">
        <f t="shared" si="518"/>
        <v>0</v>
      </c>
      <c r="T1032" s="19">
        <f t="shared" si="510"/>
        <v>0</v>
      </c>
      <c r="U1032" s="19">
        <f t="shared" si="511"/>
        <v>0</v>
      </c>
      <c r="V1032" s="19">
        <f t="shared" si="497"/>
        <v>0</v>
      </c>
      <c r="W1032" s="20">
        <f t="shared" ca="1" si="512"/>
        <v>0</v>
      </c>
      <c r="X1032" s="19">
        <f t="shared" ca="1" si="513"/>
        <v>0</v>
      </c>
      <c r="Y1032" s="19">
        <f t="shared" ca="1" si="514"/>
        <v>0</v>
      </c>
      <c r="Z1032" s="20">
        <f t="shared" ca="1" si="515"/>
        <v>0</v>
      </c>
      <c r="AA1032" s="1">
        <f t="shared" si="493"/>
        <v>5432.58</v>
      </c>
      <c r="AB1032" s="93"/>
      <c r="AC1032" s="94"/>
      <c r="AD1032" s="101">
        <f t="shared" si="494"/>
        <v>71184</v>
      </c>
      <c r="AE1032" s="103">
        <f t="shared" si="495"/>
        <v>0</v>
      </c>
      <c r="AG1032" s="1">
        <f t="shared" si="516"/>
        <v>0</v>
      </c>
      <c r="AH1032" s="1">
        <f t="shared" si="517"/>
        <v>0</v>
      </c>
      <c r="AI1032" s="1">
        <f t="shared" si="496"/>
        <v>5432.58</v>
      </c>
      <c r="AJ1032" s="20">
        <f t="shared" si="498"/>
        <v>0</v>
      </c>
      <c r="AK1032" s="100">
        <f t="shared" si="500"/>
        <v>0</v>
      </c>
      <c r="AL1032" s="100">
        <f t="shared" si="501"/>
        <v>0</v>
      </c>
      <c r="AN1032" s="100">
        <f t="shared" si="502"/>
        <v>3270.0943960288514</v>
      </c>
      <c r="AO1032" s="20">
        <f t="shared" si="503"/>
        <v>0</v>
      </c>
      <c r="AQ1032" s="109">
        <f t="shared" si="504"/>
        <v>0</v>
      </c>
      <c r="AU1032" s="109">
        <f t="shared" si="489"/>
        <v>24.780641490283628</v>
      </c>
      <c r="AV1032" s="101">
        <f t="shared" si="505"/>
        <v>71214</v>
      </c>
      <c r="AW1032" s="99">
        <f t="shared" si="506"/>
        <v>0</v>
      </c>
      <c r="AX1032" s="1">
        <f t="shared" si="507"/>
        <v>0</v>
      </c>
      <c r="AY1032" s="29">
        <f t="shared" si="508"/>
        <v>0</v>
      </c>
      <c r="AZ1032" s="1">
        <f t="shared" si="490"/>
        <v>0</v>
      </c>
      <c r="CB1032" s="20">
        <f t="shared" si="499"/>
        <v>0</v>
      </c>
      <c r="CC1032" s="173">
        <f t="shared" si="491"/>
        <v>0</v>
      </c>
    </row>
    <row r="1033" spans="10:81" x14ac:dyDescent="0.25">
      <c r="J1033" s="7"/>
      <c r="K1033" s="8"/>
      <c r="L1033" s="16"/>
      <c r="M1033" s="22"/>
      <c r="N1033" s="22"/>
      <c r="O1033" s="22"/>
      <c r="P1033" s="22"/>
      <c r="Q1033" s="1">
        <f t="shared" si="492"/>
        <v>0.60744618579017706</v>
      </c>
      <c r="R1033" s="12">
        <f t="shared" ca="1" si="509"/>
        <v>30092</v>
      </c>
      <c r="S1033" s="88">
        <f t="shared" si="518"/>
        <v>0</v>
      </c>
      <c r="T1033" s="19">
        <f t="shared" si="510"/>
        <v>0</v>
      </c>
      <c r="U1033" s="19">
        <f t="shared" si="511"/>
        <v>0</v>
      </c>
      <c r="V1033" s="19">
        <f t="shared" si="497"/>
        <v>0</v>
      </c>
      <c r="W1033" s="20">
        <f t="shared" ca="1" si="512"/>
        <v>0</v>
      </c>
      <c r="X1033" s="19">
        <f t="shared" ca="1" si="513"/>
        <v>0</v>
      </c>
      <c r="Y1033" s="19">
        <f t="shared" ca="1" si="514"/>
        <v>0</v>
      </c>
      <c r="Z1033" s="20">
        <f t="shared" ca="1" si="515"/>
        <v>0</v>
      </c>
      <c r="AA1033" s="1">
        <f t="shared" si="493"/>
        <v>5432.58</v>
      </c>
      <c r="AB1033" s="91"/>
      <c r="AC1033" s="92"/>
      <c r="AD1033" s="101">
        <f t="shared" si="494"/>
        <v>71214</v>
      </c>
      <c r="AE1033" s="103">
        <f t="shared" si="495"/>
        <v>0</v>
      </c>
      <c r="AG1033" s="1">
        <f t="shared" si="516"/>
        <v>0</v>
      </c>
      <c r="AH1033" s="1">
        <f t="shared" si="517"/>
        <v>0</v>
      </c>
      <c r="AI1033" s="1">
        <f t="shared" si="496"/>
        <v>5432.58</v>
      </c>
      <c r="AJ1033" s="20">
        <f t="shared" si="498"/>
        <v>0</v>
      </c>
      <c r="AK1033" s="100">
        <f t="shared" si="500"/>
        <v>0</v>
      </c>
      <c r="AL1033" s="100">
        <f t="shared" si="501"/>
        <v>0</v>
      </c>
      <c r="AN1033" s="100">
        <f t="shared" si="502"/>
        <v>3268.4398949058127</v>
      </c>
      <c r="AO1033" s="20">
        <f t="shared" si="503"/>
        <v>0</v>
      </c>
      <c r="AQ1033" s="109">
        <f t="shared" si="504"/>
        <v>0</v>
      </c>
      <c r="AU1033" s="109">
        <f t="shared" si="489"/>
        <v>24.77846649155827</v>
      </c>
      <c r="AV1033" s="101">
        <f t="shared" si="505"/>
        <v>71244</v>
      </c>
      <c r="AW1033" s="99">
        <f t="shared" si="506"/>
        <v>0</v>
      </c>
      <c r="AX1033" s="1">
        <f t="shared" si="507"/>
        <v>0</v>
      </c>
      <c r="AY1033" s="29">
        <f t="shared" si="508"/>
        <v>0</v>
      </c>
      <c r="AZ1033" s="1">
        <f t="shared" si="490"/>
        <v>0</v>
      </c>
      <c r="CB1033" s="20">
        <f t="shared" si="499"/>
        <v>0</v>
      </c>
      <c r="CC1033" s="173">
        <f t="shared" si="491"/>
        <v>0</v>
      </c>
    </row>
    <row r="1034" spans="10:81" x14ac:dyDescent="0.25">
      <c r="J1034" s="9"/>
      <c r="K1034" s="10"/>
      <c r="L1034" s="17"/>
      <c r="M1034" s="23"/>
      <c r="N1034" s="23"/>
      <c r="O1034" s="23"/>
      <c r="P1034" s="23"/>
      <c r="Q1034" s="1">
        <f t="shared" si="492"/>
        <v>0.60744618579017706</v>
      </c>
      <c r="R1034" s="12">
        <f t="shared" ca="1" si="509"/>
        <v>30122</v>
      </c>
      <c r="S1034" s="88">
        <f t="shared" si="518"/>
        <v>0</v>
      </c>
      <c r="T1034" s="19">
        <f t="shared" si="510"/>
        <v>0</v>
      </c>
      <c r="U1034" s="19">
        <f t="shared" si="511"/>
        <v>0</v>
      </c>
      <c r="V1034" s="19">
        <f t="shared" si="497"/>
        <v>0</v>
      </c>
      <c r="W1034" s="20">
        <f t="shared" ca="1" si="512"/>
        <v>0</v>
      </c>
      <c r="X1034" s="19">
        <f t="shared" ca="1" si="513"/>
        <v>0</v>
      </c>
      <c r="Y1034" s="19">
        <f t="shared" ca="1" si="514"/>
        <v>0</v>
      </c>
      <c r="Z1034" s="20">
        <f t="shared" ca="1" si="515"/>
        <v>0</v>
      </c>
      <c r="AA1034" s="1">
        <f t="shared" si="493"/>
        <v>5432.58</v>
      </c>
      <c r="AB1034" s="93"/>
      <c r="AC1034" s="94"/>
      <c r="AD1034" s="101">
        <f t="shared" si="494"/>
        <v>71244</v>
      </c>
      <c r="AE1034" s="103">
        <f t="shared" si="495"/>
        <v>0</v>
      </c>
      <c r="AG1034" s="1">
        <f t="shared" si="516"/>
        <v>0</v>
      </c>
      <c r="AH1034" s="1">
        <f t="shared" si="517"/>
        <v>0</v>
      </c>
      <c r="AI1034" s="1">
        <f t="shared" si="496"/>
        <v>5432.58</v>
      </c>
      <c r="AJ1034" s="20">
        <f t="shared" si="498"/>
        <v>0</v>
      </c>
      <c r="AK1034" s="100">
        <f t="shared" si="500"/>
        <v>0</v>
      </c>
      <c r="AL1034" s="100">
        <f t="shared" si="501"/>
        <v>0</v>
      </c>
      <c r="AN1034" s="100">
        <f t="shared" si="502"/>
        <v>3266.7862308760309</v>
      </c>
      <c r="AO1034" s="20">
        <f t="shared" si="503"/>
        <v>0</v>
      </c>
      <c r="AQ1034" s="109">
        <f t="shared" si="504"/>
        <v>0</v>
      </c>
      <c r="AU1034" s="109">
        <f t="shared" si="489"/>
        <v>24.776291683732694</v>
      </c>
      <c r="AV1034" s="101">
        <f t="shared" si="505"/>
        <v>71274</v>
      </c>
      <c r="AW1034" s="99">
        <f t="shared" si="506"/>
        <v>0</v>
      </c>
      <c r="AX1034" s="1">
        <f t="shared" si="507"/>
        <v>0</v>
      </c>
      <c r="AY1034" s="29">
        <f t="shared" si="508"/>
        <v>0</v>
      </c>
      <c r="AZ1034" s="1">
        <f t="shared" si="490"/>
        <v>0</v>
      </c>
      <c r="CB1034" s="20">
        <f t="shared" si="499"/>
        <v>0</v>
      </c>
      <c r="CC1034" s="173">
        <f t="shared" si="491"/>
        <v>0</v>
      </c>
    </row>
    <row r="1035" spans="10:81" x14ac:dyDescent="0.25">
      <c r="J1035" s="7"/>
      <c r="K1035" s="8"/>
      <c r="L1035" s="16"/>
      <c r="M1035" s="22"/>
      <c r="N1035" s="22"/>
      <c r="O1035" s="22"/>
      <c r="P1035" s="22"/>
      <c r="Q1035" s="1">
        <f t="shared" si="492"/>
        <v>0.60744618579017706</v>
      </c>
      <c r="R1035" s="12">
        <f t="shared" ca="1" si="509"/>
        <v>30152</v>
      </c>
      <c r="S1035" s="88">
        <f t="shared" si="518"/>
        <v>0</v>
      </c>
      <c r="T1035" s="19">
        <f t="shared" si="510"/>
        <v>0</v>
      </c>
      <c r="U1035" s="19">
        <f t="shared" si="511"/>
        <v>0</v>
      </c>
      <c r="V1035" s="19">
        <f t="shared" si="497"/>
        <v>0</v>
      </c>
      <c r="W1035" s="20">
        <f t="shared" ca="1" si="512"/>
        <v>0</v>
      </c>
      <c r="X1035" s="19">
        <f t="shared" ca="1" si="513"/>
        <v>0</v>
      </c>
      <c r="Y1035" s="19">
        <f t="shared" ca="1" si="514"/>
        <v>0</v>
      </c>
      <c r="Z1035" s="20">
        <f t="shared" ca="1" si="515"/>
        <v>0</v>
      </c>
      <c r="AA1035" s="1">
        <f t="shared" si="493"/>
        <v>5432.58</v>
      </c>
      <c r="AB1035" s="91"/>
      <c r="AC1035" s="92"/>
      <c r="AD1035" s="101">
        <f t="shared" si="494"/>
        <v>71274</v>
      </c>
      <c r="AE1035" s="103">
        <f t="shared" si="495"/>
        <v>0</v>
      </c>
      <c r="AG1035" s="1">
        <f t="shared" si="516"/>
        <v>0</v>
      </c>
      <c r="AH1035" s="1">
        <f t="shared" si="517"/>
        <v>0</v>
      </c>
      <c r="AI1035" s="1">
        <f t="shared" si="496"/>
        <v>5432.58</v>
      </c>
      <c r="AJ1035" s="20">
        <f t="shared" si="498"/>
        <v>0</v>
      </c>
      <c r="AK1035" s="100">
        <f t="shared" si="500"/>
        <v>0</v>
      </c>
      <c r="AL1035" s="100">
        <f t="shared" si="501"/>
        <v>0</v>
      </c>
      <c r="AN1035" s="100">
        <f t="shared" si="502"/>
        <v>3265.1334035159794</v>
      </c>
      <c r="AO1035" s="20">
        <f t="shared" si="503"/>
        <v>0</v>
      </c>
      <c r="AQ1035" s="109">
        <f t="shared" si="504"/>
        <v>0</v>
      </c>
      <c r="AU1035" s="109">
        <f t="shared" si="489"/>
        <v>24.774117066790172</v>
      </c>
      <c r="AV1035" s="101">
        <f t="shared" si="505"/>
        <v>71304</v>
      </c>
      <c r="AW1035" s="99">
        <f t="shared" si="506"/>
        <v>0</v>
      </c>
      <c r="AX1035" s="1">
        <f t="shared" si="507"/>
        <v>0</v>
      </c>
      <c r="AY1035" s="29">
        <f t="shared" si="508"/>
        <v>0</v>
      </c>
      <c r="AZ1035" s="1">
        <f t="shared" si="490"/>
        <v>0</v>
      </c>
      <c r="CB1035" s="20">
        <f t="shared" si="499"/>
        <v>0</v>
      </c>
      <c r="CC1035" s="173">
        <f t="shared" si="491"/>
        <v>0</v>
      </c>
    </row>
    <row r="1036" spans="10:81" x14ac:dyDescent="0.25">
      <c r="J1036" s="9"/>
      <c r="K1036" s="10"/>
      <c r="L1036" s="17"/>
      <c r="M1036" s="23"/>
      <c r="N1036" s="23"/>
      <c r="O1036" s="23"/>
      <c r="P1036" s="23"/>
      <c r="Q1036" s="1">
        <f t="shared" si="492"/>
        <v>0.60744618579017706</v>
      </c>
      <c r="R1036" s="12">
        <f t="shared" ca="1" si="509"/>
        <v>30182</v>
      </c>
      <c r="S1036" s="88">
        <f t="shared" si="518"/>
        <v>0</v>
      </c>
      <c r="T1036" s="19">
        <f t="shared" si="510"/>
        <v>0</v>
      </c>
      <c r="U1036" s="19">
        <f t="shared" si="511"/>
        <v>0</v>
      </c>
      <c r="V1036" s="19">
        <f t="shared" si="497"/>
        <v>0</v>
      </c>
      <c r="W1036" s="20">
        <f t="shared" ca="1" si="512"/>
        <v>0</v>
      </c>
      <c r="X1036" s="19">
        <f t="shared" ca="1" si="513"/>
        <v>0</v>
      </c>
      <c r="Y1036" s="19">
        <f t="shared" ca="1" si="514"/>
        <v>0</v>
      </c>
      <c r="Z1036" s="20">
        <f t="shared" ca="1" si="515"/>
        <v>0</v>
      </c>
      <c r="AA1036" s="1">
        <f t="shared" si="493"/>
        <v>5432.58</v>
      </c>
      <c r="AB1036" s="93"/>
      <c r="AC1036" s="94"/>
      <c r="AD1036" s="101">
        <f t="shared" si="494"/>
        <v>71304</v>
      </c>
      <c r="AE1036" s="103">
        <f t="shared" si="495"/>
        <v>0</v>
      </c>
      <c r="AG1036" s="1">
        <f t="shared" si="516"/>
        <v>0</v>
      </c>
      <c r="AH1036" s="1">
        <f t="shared" si="517"/>
        <v>0</v>
      </c>
      <c r="AI1036" s="1">
        <f t="shared" si="496"/>
        <v>5432.58</v>
      </c>
      <c r="AJ1036" s="20">
        <f t="shared" si="498"/>
        <v>0</v>
      </c>
      <c r="AK1036" s="100">
        <f t="shared" si="500"/>
        <v>0</v>
      </c>
      <c r="AL1036" s="100">
        <f t="shared" si="501"/>
        <v>0</v>
      </c>
      <c r="AN1036" s="100">
        <f t="shared" si="502"/>
        <v>3263.4814124023455</v>
      </c>
      <c r="AO1036" s="20">
        <f t="shared" si="503"/>
        <v>0</v>
      </c>
      <c r="AQ1036" s="109">
        <f t="shared" si="504"/>
        <v>0</v>
      </c>
      <c r="AU1036" s="109">
        <f t="shared" si="489"/>
        <v>24.771942640713938</v>
      </c>
      <c r="AV1036" s="101">
        <f t="shared" si="505"/>
        <v>71334</v>
      </c>
      <c r="AW1036" s="99">
        <f t="shared" si="506"/>
        <v>0</v>
      </c>
      <c r="AX1036" s="1">
        <f t="shared" si="507"/>
        <v>0</v>
      </c>
      <c r="AY1036" s="29">
        <f t="shared" si="508"/>
        <v>0</v>
      </c>
      <c r="AZ1036" s="1">
        <f t="shared" si="490"/>
        <v>0</v>
      </c>
      <c r="CB1036" s="20">
        <f t="shared" si="499"/>
        <v>0</v>
      </c>
      <c r="CC1036" s="173">
        <f t="shared" si="491"/>
        <v>0</v>
      </c>
    </row>
    <row r="1037" spans="10:81" x14ac:dyDescent="0.25">
      <c r="J1037" s="7"/>
      <c r="K1037" s="8"/>
      <c r="L1037" s="16"/>
      <c r="M1037" s="22"/>
      <c r="N1037" s="22"/>
      <c r="O1037" s="22"/>
      <c r="P1037" s="22"/>
      <c r="Q1037" s="1">
        <f t="shared" si="492"/>
        <v>0.60744618579017706</v>
      </c>
      <c r="R1037" s="12">
        <f t="shared" ca="1" si="509"/>
        <v>30212</v>
      </c>
      <c r="S1037" s="88">
        <f t="shared" si="518"/>
        <v>0</v>
      </c>
      <c r="T1037" s="19">
        <f t="shared" si="510"/>
        <v>0</v>
      </c>
      <c r="U1037" s="19">
        <f t="shared" si="511"/>
        <v>0</v>
      </c>
      <c r="V1037" s="19">
        <f t="shared" si="497"/>
        <v>0</v>
      </c>
      <c r="W1037" s="20">
        <f t="shared" ca="1" si="512"/>
        <v>0</v>
      </c>
      <c r="X1037" s="19">
        <f t="shared" ca="1" si="513"/>
        <v>0</v>
      </c>
      <c r="Y1037" s="19">
        <f t="shared" ca="1" si="514"/>
        <v>0</v>
      </c>
      <c r="Z1037" s="20">
        <f t="shared" ca="1" si="515"/>
        <v>0</v>
      </c>
      <c r="AA1037" s="1">
        <f t="shared" si="493"/>
        <v>5432.58</v>
      </c>
      <c r="AB1037" s="91"/>
      <c r="AC1037" s="92"/>
      <c r="AD1037" s="101">
        <f t="shared" si="494"/>
        <v>71334</v>
      </c>
      <c r="AE1037" s="103">
        <f t="shared" si="495"/>
        <v>0</v>
      </c>
      <c r="AG1037" s="1">
        <f t="shared" si="516"/>
        <v>0</v>
      </c>
      <c r="AH1037" s="1">
        <f t="shared" si="517"/>
        <v>0</v>
      </c>
      <c r="AI1037" s="1">
        <f t="shared" si="496"/>
        <v>5432.58</v>
      </c>
      <c r="AJ1037" s="20">
        <f t="shared" si="498"/>
        <v>0</v>
      </c>
      <c r="AK1037" s="100">
        <f t="shared" si="500"/>
        <v>0</v>
      </c>
      <c r="AL1037" s="100">
        <f t="shared" si="501"/>
        <v>0</v>
      </c>
      <c r="AN1037" s="100">
        <f t="shared" si="502"/>
        <v>3261.8302571120303</v>
      </c>
      <c r="AO1037" s="20">
        <f t="shared" si="503"/>
        <v>0</v>
      </c>
      <c r="AQ1037" s="109">
        <f t="shared" si="504"/>
        <v>0</v>
      </c>
      <c r="AU1037" s="109">
        <f t="shared" si="489"/>
        <v>24.76976840548723</v>
      </c>
      <c r="AV1037" s="101">
        <f t="shared" si="505"/>
        <v>71364</v>
      </c>
      <c r="AW1037" s="99">
        <f t="shared" si="506"/>
        <v>0</v>
      </c>
      <c r="AX1037" s="1">
        <f t="shared" si="507"/>
        <v>0</v>
      </c>
      <c r="AY1037" s="29">
        <f t="shared" si="508"/>
        <v>0</v>
      </c>
      <c r="AZ1037" s="1">
        <f t="shared" si="490"/>
        <v>0</v>
      </c>
      <c r="CB1037" s="20">
        <f t="shared" si="499"/>
        <v>0</v>
      </c>
      <c r="CC1037" s="173">
        <f t="shared" si="491"/>
        <v>0</v>
      </c>
    </row>
    <row r="1038" spans="10:81" x14ac:dyDescent="0.25">
      <c r="J1038" s="9"/>
      <c r="K1038" s="10"/>
      <c r="L1038" s="17"/>
      <c r="M1038" s="23"/>
      <c r="N1038" s="23"/>
      <c r="O1038" s="23"/>
      <c r="P1038" s="23"/>
      <c r="Q1038" s="1">
        <f t="shared" si="492"/>
        <v>0.60744618579017706</v>
      </c>
      <c r="R1038" s="12">
        <f t="shared" ca="1" si="509"/>
        <v>30242</v>
      </c>
      <c r="S1038" s="88">
        <f t="shared" si="518"/>
        <v>0</v>
      </c>
      <c r="T1038" s="19">
        <f t="shared" si="510"/>
        <v>0</v>
      </c>
      <c r="U1038" s="19">
        <f t="shared" si="511"/>
        <v>0</v>
      </c>
      <c r="V1038" s="19">
        <f t="shared" si="497"/>
        <v>0</v>
      </c>
      <c r="W1038" s="20">
        <f t="shared" ca="1" si="512"/>
        <v>0</v>
      </c>
      <c r="X1038" s="19">
        <f t="shared" ca="1" si="513"/>
        <v>0</v>
      </c>
      <c r="Y1038" s="19">
        <f t="shared" ca="1" si="514"/>
        <v>0</v>
      </c>
      <c r="Z1038" s="20">
        <f t="shared" ca="1" si="515"/>
        <v>0</v>
      </c>
      <c r="AA1038" s="1">
        <f t="shared" si="493"/>
        <v>5432.58</v>
      </c>
      <c r="AB1038" s="93"/>
      <c r="AC1038" s="94"/>
      <c r="AD1038" s="101">
        <f t="shared" si="494"/>
        <v>71364</v>
      </c>
      <c r="AE1038" s="103">
        <f t="shared" si="495"/>
        <v>0</v>
      </c>
      <c r="AG1038" s="1">
        <f t="shared" si="516"/>
        <v>0</v>
      </c>
      <c r="AH1038" s="1">
        <f t="shared" si="517"/>
        <v>0</v>
      </c>
      <c r="AI1038" s="1">
        <f t="shared" si="496"/>
        <v>5432.58</v>
      </c>
      <c r="AJ1038" s="20">
        <f t="shared" si="498"/>
        <v>0</v>
      </c>
      <c r="AK1038" s="100">
        <f t="shared" si="500"/>
        <v>0</v>
      </c>
      <c r="AL1038" s="100">
        <f t="shared" si="501"/>
        <v>0</v>
      </c>
      <c r="AN1038" s="100">
        <f t="shared" si="502"/>
        <v>3260.1799372221494</v>
      </c>
      <c r="AO1038" s="20">
        <f t="shared" si="503"/>
        <v>0</v>
      </c>
      <c r="AQ1038" s="109">
        <f t="shared" si="504"/>
        <v>0</v>
      </c>
      <c r="AU1038" s="109">
        <f t="shared" si="489"/>
        <v>24.767594361093316</v>
      </c>
      <c r="AV1038" s="101">
        <f t="shared" si="505"/>
        <v>71394</v>
      </c>
      <c r="AW1038" s="99">
        <f t="shared" si="506"/>
        <v>0</v>
      </c>
      <c r="AX1038" s="1">
        <f t="shared" si="507"/>
        <v>0</v>
      </c>
      <c r="AY1038" s="29">
        <f t="shared" si="508"/>
        <v>0</v>
      </c>
      <c r="AZ1038" s="1">
        <f t="shared" si="490"/>
        <v>0</v>
      </c>
      <c r="CB1038" s="20">
        <f t="shared" si="499"/>
        <v>0</v>
      </c>
      <c r="CC1038" s="173">
        <f t="shared" si="491"/>
        <v>0</v>
      </c>
    </row>
    <row r="1039" spans="10:81" x14ac:dyDescent="0.25">
      <c r="J1039" s="7"/>
      <c r="K1039" s="8"/>
      <c r="L1039" s="16"/>
      <c r="M1039" s="22"/>
      <c r="N1039" s="22"/>
      <c r="O1039" s="22"/>
      <c r="P1039" s="22"/>
      <c r="Q1039" s="1">
        <f t="shared" si="492"/>
        <v>0.60744618579017706</v>
      </c>
      <c r="R1039" s="12">
        <f t="shared" ca="1" si="509"/>
        <v>30272</v>
      </c>
      <c r="S1039" s="88">
        <f t="shared" si="518"/>
        <v>0</v>
      </c>
      <c r="T1039" s="19">
        <f t="shared" si="510"/>
        <v>0</v>
      </c>
      <c r="U1039" s="19">
        <f t="shared" si="511"/>
        <v>0</v>
      </c>
      <c r="V1039" s="19">
        <f t="shared" si="497"/>
        <v>0</v>
      </c>
      <c r="W1039" s="20">
        <f t="shared" ca="1" si="512"/>
        <v>0</v>
      </c>
      <c r="X1039" s="19">
        <f t="shared" ca="1" si="513"/>
        <v>0</v>
      </c>
      <c r="Y1039" s="19">
        <f t="shared" ca="1" si="514"/>
        <v>0</v>
      </c>
      <c r="Z1039" s="20">
        <f t="shared" ca="1" si="515"/>
        <v>0</v>
      </c>
      <c r="AA1039" s="1">
        <f t="shared" si="493"/>
        <v>5432.58</v>
      </c>
      <c r="AB1039" s="91"/>
      <c r="AC1039" s="92"/>
      <c r="AD1039" s="101">
        <f t="shared" si="494"/>
        <v>71394</v>
      </c>
      <c r="AE1039" s="103">
        <f t="shared" si="495"/>
        <v>0</v>
      </c>
      <c r="AG1039" s="1">
        <f t="shared" si="516"/>
        <v>0</v>
      </c>
      <c r="AH1039" s="1">
        <f t="shared" si="517"/>
        <v>0</v>
      </c>
      <c r="AI1039" s="1">
        <f t="shared" si="496"/>
        <v>5432.58</v>
      </c>
      <c r="AJ1039" s="20">
        <f t="shared" si="498"/>
        <v>0</v>
      </c>
      <c r="AK1039" s="100">
        <f t="shared" si="500"/>
        <v>0</v>
      </c>
      <c r="AL1039" s="100">
        <f t="shared" si="501"/>
        <v>0</v>
      </c>
      <c r="AN1039" s="100">
        <f t="shared" si="502"/>
        <v>3258.5304523100358</v>
      </c>
      <c r="AO1039" s="20">
        <f t="shared" si="503"/>
        <v>0</v>
      </c>
      <c r="AQ1039" s="109">
        <f t="shared" si="504"/>
        <v>0</v>
      </c>
      <c r="AU1039" s="109">
        <f t="shared" si="489"/>
        <v>24.765420507515429</v>
      </c>
      <c r="AV1039" s="101">
        <f t="shared" si="505"/>
        <v>71424</v>
      </c>
      <c r="AW1039" s="99">
        <f t="shared" si="506"/>
        <v>0</v>
      </c>
      <c r="AX1039" s="1">
        <f t="shared" si="507"/>
        <v>0</v>
      </c>
      <c r="AY1039" s="29">
        <f t="shared" si="508"/>
        <v>0</v>
      </c>
      <c r="AZ1039" s="1">
        <f t="shared" si="490"/>
        <v>0</v>
      </c>
      <c r="CB1039" s="20">
        <f t="shared" si="499"/>
        <v>0</v>
      </c>
      <c r="CC1039" s="173">
        <f t="shared" si="491"/>
        <v>0</v>
      </c>
    </row>
    <row r="1040" spans="10:81" x14ac:dyDescent="0.25">
      <c r="J1040" s="9"/>
      <c r="K1040" s="10"/>
      <c r="L1040" s="17"/>
      <c r="M1040" s="23"/>
      <c r="N1040" s="23"/>
      <c r="O1040" s="23"/>
      <c r="P1040" s="23"/>
      <c r="Q1040" s="1">
        <f t="shared" si="492"/>
        <v>0.60744618579017706</v>
      </c>
      <c r="R1040" s="12">
        <f t="shared" ca="1" si="509"/>
        <v>30302</v>
      </c>
      <c r="S1040" s="88">
        <f t="shared" si="518"/>
        <v>0</v>
      </c>
      <c r="T1040" s="19">
        <f t="shared" si="510"/>
        <v>0</v>
      </c>
      <c r="U1040" s="19">
        <f t="shared" si="511"/>
        <v>0</v>
      </c>
      <c r="V1040" s="19">
        <f t="shared" si="497"/>
        <v>0</v>
      </c>
      <c r="W1040" s="20">
        <f t="shared" ca="1" si="512"/>
        <v>0</v>
      </c>
      <c r="X1040" s="19">
        <f t="shared" ca="1" si="513"/>
        <v>0</v>
      </c>
      <c r="Y1040" s="19">
        <f t="shared" ca="1" si="514"/>
        <v>0</v>
      </c>
      <c r="Z1040" s="20">
        <f t="shared" ca="1" si="515"/>
        <v>0</v>
      </c>
      <c r="AA1040" s="1">
        <f t="shared" si="493"/>
        <v>5432.58</v>
      </c>
      <c r="AB1040" s="93"/>
      <c r="AC1040" s="94"/>
      <c r="AD1040" s="101">
        <f t="shared" si="494"/>
        <v>71424</v>
      </c>
      <c r="AE1040" s="103">
        <f t="shared" si="495"/>
        <v>0</v>
      </c>
      <c r="AG1040" s="1">
        <f t="shared" si="516"/>
        <v>0</v>
      </c>
      <c r="AH1040" s="1">
        <f t="shared" si="517"/>
        <v>0</v>
      </c>
      <c r="AI1040" s="1">
        <f t="shared" si="496"/>
        <v>5432.58</v>
      </c>
      <c r="AJ1040" s="20">
        <f t="shared" si="498"/>
        <v>0</v>
      </c>
      <c r="AK1040" s="100">
        <f t="shared" si="500"/>
        <v>0</v>
      </c>
      <c r="AL1040" s="100">
        <f t="shared" si="501"/>
        <v>0</v>
      </c>
      <c r="AN1040" s="100">
        <f t="shared" si="502"/>
        <v>3256.8818019532305</v>
      </c>
      <c r="AO1040" s="20">
        <f t="shared" si="503"/>
        <v>0</v>
      </c>
      <c r="AQ1040" s="109">
        <f t="shared" si="504"/>
        <v>0</v>
      </c>
      <c r="AU1040" s="109">
        <f t="shared" si="489"/>
        <v>24.763246844736845</v>
      </c>
      <c r="AV1040" s="101">
        <f t="shared" si="505"/>
        <v>71454</v>
      </c>
      <c r="AW1040" s="99">
        <f t="shared" si="506"/>
        <v>0</v>
      </c>
      <c r="AX1040" s="1">
        <f t="shared" si="507"/>
        <v>0</v>
      </c>
      <c r="AY1040" s="29">
        <f t="shared" si="508"/>
        <v>0</v>
      </c>
      <c r="AZ1040" s="1">
        <f t="shared" si="490"/>
        <v>0</v>
      </c>
      <c r="CB1040" s="20">
        <f t="shared" si="499"/>
        <v>0</v>
      </c>
      <c r="CC1040" s="173">
        <f t="shared" si="491"/>
        <v>0</v>
      </c>
    </row>
    <row r="1041" spans="10:81" x14ac:dyDescent="0.25">
      <c r="J1041" s="7"/>
      <c r="K1041" s="8"/>
      <c r="L1041" s="16"/>
      <c r="M1041" s="22"/>
      <c r="N1041" s="22"/>
      <c r="O1041" s="22"/>
      <c r="P1041" s="22"/>
      <c r="Q1041" s="1">
        <f t="shared" si="492"/>
        <v>0.60744618579017706</v>
      </c>
      <c r="R1041" s="12">
        <f t="shared" ca="1" si="509"/>
        <v>30332</v>
      </c>
      <c r="S1041" s="88">
        <f t="shared" si="518"/>
        <v>0</v>
      </c>
      <c r="T1041" s="19">
        <f t="shared" si="510"/>
        <v>0</v>
      </c>
      <c r="U1041" s="19">
        <f t="shared" si="511"/>
        <v>0</v>
      </c>
      <c r="V1041" s="19">
        <f t="shared" si="497"/>
        <v>0</v>
      </c>
      <c r="W1041" s="20">
        <f t="shared" ca="1" si="512"/>
        <v>0</v>
      </c>
      <c r="X1041" s="19">
        <f t="shared" ca="1" si="513"/>
        <v>0</v>
      </c>
      <c r="Y1041" s="19">
        <f t="shared" ca="1" si="514"/>
        <v>0</v>
      </c>
      <c r="Z1041" s="20">
        <f t="shared" ca="1" si="515"/>
        <v>0</v>
      </c>
      <c r="AA1041" s="1">
        <f t="shared" si="493"/>
        <v>5432.58</v>
      </c>
      <c r="AB1041" s="91"/>
      <c r="AC1041" s="92"/>
      <c r="AD1041" s="101">
        <f t="shared" si="494"/>
        <v>71454</v>
      </c>
      <c r="AE1041" s="103">
        <f t="shared" si="495"/>
        <v>0</v>
      </c>
      <c r="AG1041" s="1">
        <f t="shared" si="516"/>
        <v>0</v>
      </c>
      <c r="AH1041" s="1">
        <f t="shared" si="517"/>
        <v>0</v>
      </c>
      <c r="AI1041" s="1">
        <f t="shared" si="496"/>
        <v>5432.58</v>
      </c>
      <c r="AJ1041" s="20">
        <f t="shared" si="498"/>
        <v>0</v>
      </c>
      <c r="AK1041" s="100">
        <f t="shared" si="500"/>
        <v>0</v>
      </c>
      <c r="AL1041" s="100">
        <f t="shared" si="501"/>
        <v>0</v>
      </c>
      <c r="AN1041" s="100">
        <f t="shared" si="502"/>
        <v>3255.233985729491</v>
      </c>
      <c r="AO1041" s="20">
        <f t="shared" si="503"/>
        <v>0</v>
      </c>
      <c r="AQ1041" s="109">
        <f t="shared" si="504"/>
        <v>0</v>
      </c>
      <c r="AU1041" s="109">
        <f t="shared" si="489"/>
        <v>24.761073372740803</v>
      </c>
      <c r="AV1041" s="101">
        <f t="shared" si="505"/>
        <v>71484</v>
      </c>
      <c r="AW1041" s="99">
        <f t="shared" si="506"/>
        <v>0</v>
      </c>
      <c r="AX1041" s="1">
        <f t="shared" si="507"/>
        <v>0</v>
      </c>
      <c r="AY1041" s="29">
        <f t="shared" si="508"/>
        <v>0</v>
      </c>
      <c r="AZ1041" s="1">
        <f t="shared" si="490"/>
        <v>0</v>
      </c>
      <c r="CB1041" s="20">
        <f t="shared" si="499"/>
        <v>0</v>
      </c>
      <c r="CC1041" s="173">
        <f t="shared" si="491"/>
        <v>0</v>
      </c>
    </row>
    <row r="1042" spans="10:81" x14ac:dyDescent="0.25">
      <c r="J1042" s="9"/>
      <c r="K1042" s="10"/>
      <c r="L1042" s="17"/>
      <c r="M1042" s="23"/>
      <c r="N1042" s="23"/>
      <c r="O1042" s="23"/>
      <c r="P1042" s="23"/>
      <c r="Q1042" s="1">
        <f t="shared" si="492"/>
        <v>0.60744618579017706</v>
      </c>
      <c r="R1042" s="12">
        <f t="shared" ca="1" si="509"/>
        <v>30362</v>
      </c>
      <c r="S1042" s="88">
        <f t="shared" si="518"/>
        <v>0</v>
      </c>
      <c r="T1042" s="19">
        <f t="shared" si="510"/>
        <v>0</v>
      </c>
      <c r="U1042" s="19">
        <f t="shared" si="511"/>
        <v>0</v>
      </c>
      <c r="V1042" s="19">
        <f t="shared" si="497"/>
        <v>0</v>
      </c>
      <c r="W1042" s="20">
        <f t="shared" ca="1" si="512"/>
        <v>0</v>
      </c>
      <c r="X1042" s="19">
        <f t="shared" ca="1" si="513"/>
        <v>0</v>
      </c>
      <c r="Y1042" s="19">
        <f t="shared" ca="1" si="514"/>
        <v>0</v>
      </c>
      <c r="Z1042" s="20">
        <f t="shared" ca="1" si="515"/>
        <v>0</v>
      </c>
      <c r="AA1042" s="1">
        <f t="shared" si="493"/>
        <v>5432.58</v>
      </c>
      <c r="AB1042" s="93"/>
      <c r="AC1042" s="94"/>
      <c r="AD1042" s="101">
        <f t="shared" si="494"/>
        <v>71484</v>
      </c>
      <c r="AE1042" s="103">
        <f t="shared" si="495"/>
        <v>0</v>
      </c>
      <c r="AG1042" s="1">
        <f t="shared" si="516"/>
        <v>0</v>
      </c>
      <c r="AH1042" s="1">
        <f t="shared" si="517"/>
        <v>0</v>
      </c>
      <c r="AI1042" s="1">
        <f t="shared" si="496"/>
        <v>5432.58</v>
      </c>
      <c r="AJ1042" s="20">
        <f t="shared" si="498"/>
        <v>0</v>
      </c>
      <c r="AK1042" s="100">
        <f t="shared" si="500"/>
        <v>0</v>
      </c>
      <c r="AL1042" s="100">
        <f t="shared" si="501"/>
        <v>0</v>
      </c>
      <c r="AN1042" s="100">
        <f t="shared" si="502"/>
        <v>3253.5870032167913</v>
      </c>
      <c r="AO1042" s="20">
        <f t="shared" si="503"/>
        <v>0</v>
      </c>
      <c r="AQ1042" s="109">
        <f t="shared" si="504"/>
        <v>0</v>
      </c>
      <c r="AU1042" s="109">
        <f t="shared" si="489"/>
        <v>24.75890009151054</v>
      </c>
      <c r="AV1042" s="101">
        <f t="shared" si="505"/>
        <v>71514</v>
      </c>
      <c r="AW1042" s="99">
        <f t="shared" si="506"/>
        <v>0</v>
      </c>
      <c r="AX1042" s="1">
        <f t="shared" si="507"/>
        <v>0</v>
      </c>
      <c r="AY1042" s="29">
        <f t="shared" si="508"/>
        <v>0</v>
      </c>
      <c r="AZ1042" s="1">
        <f t="shared" si="490"/>
        <v>0</v>
      </c>
      <c r="CB1042" s="20">
        <f t="shared" si="499"/>
        <v>0</v>
      </c>
      <c r="CC1042" s="173">
        <f t="shared" si="491"/>
        <v>0</v>
      </c>
    </row>
    <row r="1043" spans="10:81" x14ac:dyDescent="0.25">
      <c r="J1043" s="7"/>
      <c r="K1043" s="8"/>
      <c r="L1043" s="16"/>
      <c r="M1043" s="22"/>
      <c r="N1043" s="22"/>
      <c r="O1043" s="22"/>
      <c r="P1043" s="22"/>
      <c r="Q1043" s="1">
        <f t="shared" si="492"/>
        <v>0.60744618579017706</v>
      </c>
      <c r="R1043" s="12">
        <f t="shared" ca="1" si="509"/>
        <v>30392</v>
      </c>
      <c r="S1043" s="88">
        <f t="shared" si="518"/>
        <v>0</v>
      </c>
      <c r="T1043" s="19">
        <f t="shared" si="510"/>
        <v>0</v>
      </c>
      <c r="U1043" s="19">
        <f t="shared" si="511"/>
        <v>0</v>
      </c>
      <c r="V1043" s="19">
        <f t="shared" si="497"/>
        <v>0</v>
      </c>
      <c r="W1043" s="20">
        <f t="shared" ca="1" si="512"/>
        <v>0</v>
      </c>
      <c r="X1043" s="19">
        <f t="shared" ca="1" si="513"/>
        <v>0</v>
      </c>
      <c r="Y1043" s="19">
        <f t="shared" ca="1" si="514"/>
        <v>0</v>
      </c>
      <c r="Z1043" s="20">
        <f t="shared" ca="1" si="515"/>
        <v>0</v>
      </c>
      <c r="AA1043" s="1">
        <f t="shared" si="493"/>
        <v>5432.58</v>
      </c>
      <c r="AB1043" s="91"/>
      <c r="AC1043" s="92"/>
      <c r="AD1043" s="101">
        <f t="shared" si="494"/>
        <v>71514</v>
      </c>
      <c r="AE1043" s="103">
        <f t="shared" si="495"/>
        <v>0</v>
      </c>
      <c r="AG1043" s="1">
        <f t="shared" si="516"/>
        <v>0</v>
      </c>
      <c r="AH1043" s="1">
        <f t="shared" si="517"/>
        <v>0</v>
      </c>
      <c r="AI1043" s="1">
        <f t="shared" si="496"/>
        <v>5432.58</v>
      </c>
      <c r="AJ1043" s="20">
        <f t="shared" si="498"/>
        <v>0</v>
      </c>
      <c r="AK1043" s="100">
        <f t="shared" si="500"/>
        <v>0</v>
      </c>
      <c r="AL1043" s="100">
        <f t="shared" si="501"/>
        <v>0</v>
      </c>
      <c r="AN1043" s="100">
        <f t="shared" si="502"/>
        <v>3251.9408539933133</v>
      </c>
      <c r="AO1043" s="20">
        <f t="shared" si="503"/>
        <v>0</v>
      </c>
      <c r="AQ1043" s="109">
        <f t="shared" si="504"/>
        <v>0</v>
      </c>
      <c r="AU1043" s="109">
        <f t="shared" si="489"/>
        <v>24.75672700102934</v>
      </c>
      <c r="AV1043" s="101">
        <f t="shared" si="505"/>
        <v>71544</v>
      </c>
      <c r="AW1043" s="99">
        <f t="shared" si="506"/>
        <v>0</v>
      </c>
      <c r="AX1043" s="1">
        <f t="shared" si="507"/>
        <v>0</v>
      </c>
      <c r="AY1043" s="29">
        <f t="shared" si="508"/>
        <v>0</v>
      </c>
      <c r="AZ1043" s="1">
        <f t="shared" si="490"/>
        <v>0</v>
      </c>
      <c r="CB1043" s="20">
        <f t="shared" si="499"/>
        <v>0</v>
      </c>
      <c r="CC1043" s="173">
        <f t="shared" si="491"/>
        <v>0</v>
      </c>
    </row>
    <row r="1044" spans="10:81" x14ac:dyDescent="0.25">
      <c r="J1044" s="9"/>
      <c r="K1044" s="10"/>
      <c r="L1044" s="17"/>
      <c r="M1044" s="23"/>
      <c r="N1044" s="23"/>
      <c r="O1044" s="23"/>
      <c r="P1044" s="23"/>
      <c r="Q1044" s="1">
        <f t="shared" si="492"/>
        <v>0.60744618579017706</v>
      </c>
      <c r="R1044" s="12">
        <f t="shared" ca="1" si="509"/>
        <v>30422</v>
      </c>
      <c r="S1044" s="88">
        <f t="shared" si="518"/>
        <v>0</v>
      </c>
      <c r="T1044" s="19">
        <f t="shared" si="510"/>
        <v>0</v>
      </c>
      <c r="U1044" s="19">
        <f t="shared" si="511"/>
        <v>0</v>
      </c>
      <c r="V1044" s="19">
        <f t="shared" si="497"/>
        <v>0</v>
      </c>
      <c r="W1044" s="20">
        <f t="shared" ca="1" si="512"/>
        <v>0</v>
      </c>
      <c r="X1044" s="19">
        <f t="shared" ca="1" si="513"/>
        <v>0</v>
      </c>
      <c r="Y1044" s="19">
        <f t="shared" ca="1" si="514"/>
        <v>0</v>
      </c>
      <c r="Z1044" s="20">
        <f t="shared" ca="1" si="515"/>
        <v>0</v>
      </c>
      <c r="AA1044" s="1">
        <f t="shared" si="493"/>
        <v>5432.58</v>
      </c>
      <c r="AB1044" s="93"/>
      <c r="AC1044" s="94"/>
      <c r="AD1044" s="101">
        <f t="shared" si="494"/>
        <v>71544</v>
      </c>
      <c r="AE1044" s="103">
        <f t="shared" si="495"/>
        <v>0</v>
      </c>
      <c r="AG1044" s="1">
        <f t="shared" si="516"/>
        <v>0</v>
      </c>
      <c r="AH1044" s="1">
        <f t="shared" si="517"/>
        <v>0</v>
      </c>
      <c r="AI1044" s="1">
        <f t="shared" si="496"/>
        <v>5432.58</v>
      </c>
      <c r="AJ1044" s="20">
        <f t="shared" si="498"/>
        <v>0</v>
      </c>
      <c r="AK1044" s="100">
        <f t="shared" si="500"/>
        <v>0</v>
      </c>
      <c r="AL1044" s="100">
        <f t="shared" si="501"/>
        <v>0</v>
      </c>
      <c r="AN1044" s="100">
        <f t="shared" si="502"/>
        <v>3250.2955376374553</v>
      </c>
      <c r="AO1044" s="20">
        <f t="shared" si="503"/>
        <v>0</v>
      </c>
      <c r="AQ1044" s="109">
        <f t="shared" si="504"/>
        <v>0</v>
      </c>
      <c r="AU1044" s="109">
        <f t="shared" si="489"/>
        <v>24.754554101280455</v>
      </c>
      <c r="AV1044" s="101">
        <f t="shared" si="505"/>
        <v>71574</v>
      </c>
      <c r="AW1044" s="99">
        <f t="shared" si="506"/>
        <v>0</v>
      </c>
      <c r="AX1044" s="1">
        <f t="shared" si="507"/>
        <v>0</v>
      </c>
      <c r="AY1044" s="29">
        <f t="shared" si="508"/>
        <v>0</v>
      </c>
      <c r="AZ1044" s="1">
        <f t="shared" si="490"/>
        <v>0</v>
      </c>
      <c r="CB1044" s="20">
        <f t="shared" si="499"/>
        <v>0</v>
      </c>
      <c r="CC1044" s="173">
        <f t="shared" si="491"/>
        <v>0</v>
      </c>
    </row>
    <row r="1045" spans="10:81" x14ac:dyDescent="0.25">
      <c r="J1045" s="7"/>
      <c r="K1045" s="8"/>
      <c r="L1045" s="16"/>
      <c r="M1045" s="22"/>
      <c r="N1045" s="22"/>
      <c r="O1045" s="22"/>
      <c r="P1045" s="22"/>
      <c r="Q1045" s="1">
        <f t="shared" si="492"/>
        <v>0.60744618579017706</v>
      </c>
      <c r="R1045" s="12">
        <f t="shared" ca="1" si="509"/>
        <v>30452</v>
      </c>
      <c r="S1045" s="88">
        <f t="shared" si="518"/>
        <v>0</v>
      </c>
      <c r="T1045" s="19">
        <f t="shared" si="510"/>
        <v>0</v>
      </c>
      <c r="U1045" s="19">
        <f t="shared" si="511"/>
        <v>0</v>
      </c>
      <c r="V1045" s="19">
        <f t="shared" si="497"/>
        <v>0</v>
      </c>
      <c r="W1045" s="20">
        <f t="shared" ca="1" si="512"/>
        <v>0</v>
      </c>
      <c r="X1045" s="19">
        <f t="shared" ca="1" si="513"/>
        <v>0</v>
      </c>
      <c r="Y1045" s="19">
        <f t="shared" ca="1" si="514"/>
        <v>0</v>
      </c>
      <c r="Z1045" s="20">
        <f t="shared" ca="1" si="515"/>
        <v>0</v>
      </c>
      <c r="AA1045" s="1">
        <f t="shared" si="493"/>
        <v>5432.58</v>
      </c>
      <c r="AB1045" s="91"/>
      <c r="AC1045" s="92"/>
      <c r="AD1045" s="101">
        <f t="shared" si="494"/>
        <v>71574</v>
      </c>
      <c r="AE1045" s="103">
        <f t="shared" si="495"/>
        <v>0</v>
      </c>
      <c r="AG1045" s="1">
        <f t="shared" si="516"/>
        <v>0</v>
      </c>
      <c r="AH1045" s="1">
        <f t="shared" si="517"/>
        <v>0</v>
      </c>
      <c r="AI1045" s="1">
        <f t="shared" si="496"/>
        <v>5432.58</v>
      </c>
      <c r="AJ1045" s="20">
        <f t="shared" si="498"/>
        <v>0</v>
      </c>
      <c r="AK1045" s="100">
        <f t="shared" si="500"/>
        <v>0</v>
      </c>
      <c r="AL1045" s="100">
        <f t="shared" si="501"/>
        <v>0</v>
      </c>
      <c r="AN1045" s="100">
        <f t="shared" si="502"/>
        <v>3248.65105372783</v>
      </c>
      <c r="AO1045" s="20">
        <f t="shared" si="503"/>
        <v>0</v>
      </c>
      <c r="AQ1045" s="109">
        <f t="shared" si="504"/>
        <v>0</v>
      </c>
      <c r="AU1045" s="109">
        <f t="shared" si="489"/>
        <v>24.752381392247145</v>
      </c>
      <c r="AV1045" s="101">
        <f t="shared" si="505"/>
        <v>71604</v>
      </c>
      <c r="AW1045" s="99">
        <f t="shared" si="506"/>
        <v>0</v>
      </c>
      <c r="AX1045" s="1">
        <f t="shared" si="507"/>
        <v>0</v>
      </c>
      <c r="AY1045" s="29">
        <f t="shared" si="508"/>
        <v>0</v>
      </c>
      <c r="AZ1045" s="1">
        <f t="shared" si="490"/>
        <v>0</v>
      </c>
      <c r="CB1045" s="20">
        <f t="shared" si="499"/>
        <v>0</v>
      </c>
      <c r="CC1045" s="173">
        <f t="shared" si="491"/>
        <v>0</v>
      </c>
    </row>
    <row r="1046" spans="10:81" x14ac:dyDescent="0.25">
      <c r="J1046" s="9"/>
      <c r="K1046" s="10"/>
      <c r="L1046" s="17"/>
      <c r="M1046" s="23"/>
      <c r="N1046" s="23"/>
      <c r="O1046" s="23"/>
      <c r="P1046" s="23"/>
      <c r="Q1046" s="1">
        <f t="shared" si="492"/>
        <v>0.60744618579017706</v>
      </c>
      <c r="R1046" s="12">
        <f t="shared" ca="1" si="509"/>
        <v>30482</v>
      </c>
      <c r="S1046" s="88">
        <f t="shared" si="518"/>
        <v>0</v>
      </c>
      <c r="T1046" s="19">
        <f t="shared" si="510"/>
        <v>0</v>
      </c>
      <c r="U1046" s="19">
        <f t="shared" si="511"/>
        <v>0</v>
      </c>
      <c r="V1046" s="19">
        <f t="shared" si="497"/>
        <v>0</v>
      </c>
      <c r="W1046" s="20">
        <f t="shared" ca="1" si="512"/>
        <v>0</v>
      </c>
      <c r="X1046" s="19">
        <f t="shared" ca="1" si="513"/>
        <v>0</v>
      </c>
      <c r="Y1046" s="19">
        <f t="shared" ca="1" si="514"/>
        <v>0</v>
      </c>
      <c r="Z1046" s="20">
        <f t="shared" ca="1" si="515"/>
        <v>0</v>
      </c>
      <c r="AA1046" s="1">
        <f t="shared" si="493"/>
        <v>5432.58</v>
      </c>
      <c r="AB1046" s="93"/>
      <c r="AC1046" s="94"/>
      <c r="AD1046" s="101">
        <f t="shared" si="494"/>
        <v>71604</v>
      </c>
      <c r="AE1046" s="103">
        <f t="shared" si="495"/>
        <v>0</v>
      </c>
      <c r="AG1046" s="1">
        <f t="shared" si="516"/>
        <v>0</v>
      </c>
      <c r="AH1046" s="1">
        <f t="shared" si="517"/>
        <v>0</v>
      </c>
      <c r="AI1046" s="1">
        <f t="shared" si="496"/>
        <v>5432.58</v>
      </c>
      <c r="AJ1046" s="20">
        <f t="shared" si="498"/>
        <v>0</v>
      </c>
      <c r="AK1046" s="100">
        <f t="shared" si="500"/>
        <v>0</v>
      </c>
      <c r="AL1046" s="100">
        <f t="shared" si="501"/>
        <v>0</v>
      </c>
      <c r="AN1046" s="100">
        <f t="shared" si="502"/>
        <v>3247.0074018432606</v>
      </c>
      <c r="AO1046" s="20">
        <f t="shared" si="503"/>
        <v>0</v>
      </c>
      <c r="AQ1046" s="109">
        <f t="shared" si="504"/>
        <v>0</v>
      </c>
      <c r="AU1046" s="109">
        <f t="shared" si="489"/>
        <v>24.750208873912666</v>
      </c>
      <c r="AV1046" s="101">
        <f t="shared" si="505"/>
        <v>71634</v>
      </c>
      <c r="AW1046" s="99">
        <f t="shared" si="506"/>
        <v>0</v>
      </c>
      <c r="AX1046" s="1">
        <f t="shared" si="507"/>
        <v>0</v>
      </c>
      <c r="AY1046" s="29">
        <f t="shared" si="508"/>
        <v>0</v>
      </c>
      <c r="AZ1046" s="1">
        <f t="shared" si="490"/>
        <v>0</v>
      </c>
      <c r="CB1046" s="20">
        <f t="shared" si="499"/>
        <v>0</v>
      </c>
      <c r="CC1046" s="173">
        <f t="shared" si="491"/>
        <v>0</v>
      </c>
    </row>
    <row r="1047" spans="10:81" x14ac:dyDescent="0.25">
      <c r="J1047" s="7"/>
      <c r="K1047" s="8"/>
      <c r="L1047" s="16"/>
      <c r="M1047" s="22"/>
      <c r="N1047" s="22"/>
      <c r="O1047" s="22"/>
      <c r="P1047" s="22"/>
      <c r="Q1047" s="1">
        <f t="shared" si="492"/>
        <v>0.60744618579017706</v>
      </c>
      <c r="R1047" s="12">
        <f t="shared" ca="1" si="509"/>
        <v>30512</v>
      </c>
      <c r="S1047" s="88">
        <f t="shared" si="518"/>
        <v>0</v>
      </c>
      <c r="T1047" s="19">
        <f t="shared" si="510"/>
        <v>0</v>
      </c>
      <c r="U1047" s="19">
        <f t="shared" si="511"/>
        <v>0</v>
      </c>
      <c r="V1047" s="19">
        <f t="shared" si="497"/>
        <v>0</v>
      </c>
      <c r="W1047" s="20">
        <f t="shared" ca="1" si="512"/>
        <v>0</v>
      </c>
      <c r="X1047" s="19">
        <f t="shared" ca="1" si="513"/>
        <v>0</v>
      </c>
      <c r="Y1047" s="19">
        <f t="shared" ca="1" si="514"/>
        <v>0</v>
      </c>
      <c r="Z1047" s="20">
        <f t="shared" ca="1" si="515"/>
        <v>0</v>
      </c>
      <c r="AA1047" s="1">
        <f t="shared" si="493"/>
        <v>5432.58</v>
      </c>
      <c r="AB1047" s="91"/>
      <c r="AC1047" s="92"/>
      <c r="AD1047" s="101">
        <f t="shared" si="494"/>
        <v>71634</v>
      </c>
      <c r="AE1047" s="103">
        <f t="shared" si="495"/>
        <v>0</v>
      </c>
      <c r="AG1047" s="1">
        <f t="shared" si="516"/>
        <v>0</v>
      </c>
      <c r="AH1047" s="1">
        <f t="shared" si="517"/>
        <v>0</v>
      </c>
      <c r="AI1047" s="1">
        <f t="shared" si="496"/>
        <v>5432.58</v>
      </c>
      <c r="AJ1047" s="20">
        <f t="shared" si="498"/>
        <v>0</v>
      </c>
      <c r="AK1047" s="100">
        <f t="shared" si="500"/>
        <v>0</v>
      </c>
      <c r="AL1047" s="100">
        <f t="shared" si="501"/>
        <v>0</v>
      </c>
      <c r="AN1047" s="100">
        <f t="shared" si="502"/>
        <v>3245.3645815627865</v>
      </c>
      <c r="AO1047" s="20">
        <f t="shared" si="503"/>
        <v>0</v>
      </c>
      <c r="AQ1047" s="109">
        <f t="shared" si="504"/>
        <v>0</v>
      </c>
      <c r="AU1047" s="109">
        <f t="shared" si="489"/>
        <v>24.74803654626027</v>
      </c>
      <c r="AV1047" s="101">
        <f t="shared" si="505"/>
        <v>71664</v>
      </c>
      <c r="AW1047" s="99">
        <f t="shared" si="506"/>
        <v>0</v>
      </c>
      <c r="AX1047" s="1">
        <f t="shared" si="507"/>
        <v>0</v>
      </c>
      <c r="AY1047" s="29">
        <f t="shared" si="508"/>
        <v>0</v>
      </c>
      <c r="AZ1047" s="1">
        <f t="shared" si="490"/>
        <v>0</v>
      </c>
      <c r="CB1047" s="20">
        <f t="shared" si="499"/>
        <v>0</v>
      </c>
      <c r="CC1047" s="173">
        <f t="shared" si="491"/>
        <v>0</v>
      </c>
    </row>
    <row r="1048" spans="10:81" x14ac:dyDescent="0.25">
      <c r="J1048" s="9"/>
      <c r="K1048" s="10"/>
      <c r="L1048" s="17"/>
      <c r="M1048" s="23"/>
      <c r="N1048" s="23"/>
      <c r="O1048" s="23"/>
      <c r="P1048" s="23"/>
      <c r="Q1048" s="1">
        <f t="shared" si="492"/>
        <v>0.60744618579017706</v>
      </c>
      <c r="R1048" s="12">
        <f t="shared" ca="1" si="509"/>
        <v>30542</v>
      </c>
      <c r="S1048" s="88">
        <f t="shared" si="518"/>
        <v>0</v>
      </c>
      <c r="T1048" s="19">
        <f t="shared" si="510"/>
        <v>0</v>
      </c>
      <c r="U1048" s="19">
        <f t="shared" si="511"/>
        <v>0</v>
      </c>
      <c r="V1048" s="19">
        <f t="shared" si="497"/>
        <v>0</v>
      </c>
      <c r="W1048" s="20">
        <f t="shared" ca="1" si="512"/>
        <v>0</v>
      </c>
      <c r="X1048" s="19">
        <f t="shared" ca="1" si="513"/>
        <v>0</v>
      </c>
      <c r="Y1048" s="19">
        <f t="shared" ca="1" si="514"/>
        <v>0</v>
      </c>
      <c r="Z1048" s="20">
        <f t="shared" ca="1" si="515"/>
        <v>0</v>
      </c>
      <c r="AA1048" s="1">
        <f t="shared" si="493"/>
        <v>5432.58</v>
      </c>
      <c r="AB1048" s="93"/>
      <c r="AC1048" s="94"/>
      <c r="AD1048" s="101">
        <f t="shared" si="494"/>
        <v>71664</v>
      </c>
      <c r="AE1048" s="103">
        <f t="shared" si="495"/>
        <v>0</v>
      </c>
      <c r="AG1048" s="1">
        <f t="shared" si="516"/>
        <v>0</v>
      </c>
      <c r="AH1048" s="1">
        <f t="shared" si="517"/>
        <v>0</v>
      </c>
      <c r="AI1048" s="1">
        <f t="shared" si="496"/>
        <v>5432.58</v>
      </c>
      <c r="AJ1048" s="20">
        <f t="shared" si="498"/>
        <v>0</v>
      </c>
      <c r="AK1048" s="100">
        <f t="shared" si="500"/>
        <v>0</v>
      </c>
      <c r="AL1048" s="100">
        <f t="shared" si="501"/>
        <v>0</v>
      </c>
      <c r="AN1048" s="100">
        <f t="shared" si="502"/>
        <v>3243.7225924656582</v>
      </c>
      <c r="AO1048" s="20">
        <f t="shared" si="503"/>
        <v>0</v>
      </c>
      <c r="AQ1048" s="109">
        <f t="shared" si="504"/>
        <v>0</v>
      </c>
      <c r="AU1048" s="109">
        <f t="shared" si="489"/>
        <v>24.745864409273242</v>
      </c>
      <c r="AV1048" s="101">
        <f t="shared" si="505"/>
        <v>71694</v>
      </c>
      <c r="AW1048" s="99">
        <f t="shared" si="506"/>
        <v>0</v>
      </c>
      <c r="AX1048" s="1">
        <f t="shared" si="507"/>
        <v>0</v>
      </c>
      <c r="AY1048" s="29">
        <f t="shared" si="508"/>
        <v>0</v>
      </c>
      <c r="AZ1048" s="1">
        <f t="shared" si="490"/>
        <v>0</v>
      </c>
      <c r="CB1048" s="20">
        <f t="shared" si="499"/>
        <v>0</v>
      </c>
      <c r="CC1048" s="173">
        <f t="shared" si="491"/>
        <v>0</v>
      </c>
    </row>
    <row r="1049" spans="10:81" x14ac:dyDescent="0.25">
      <c r="J1049" s="7"/>
      <c r="K1049" s="8"/>
      <c r="L1049" s="16"/>
      <c r="M1049" s="22"/>
      <c r="N1049" s="22"/>
      <c r="O1049" s="22"/>
      <c r="P1049" s="22"/>
      <c r="Q1049" s="1">
        <f t="shared" si="492"/>
        <v>0.60744618579017706</v>
      </c>
      <c r="R1049" s="12">
        <f t="shared" ca="1" si="509"/>
        <v>30572</v>
      </c>
      <c r="S1049" s="88">
        <f t="shared" si="518"/>
        <v>0</v>
      </c>
      <c r="T1049" s="19">
        <f t="shared" si="510"/>
        <v>0</v>
      </c>
      <c r="U1049" s="19">
        <f t="shared" si="511"/>
        <v>0</v>
      </c>
      <c r="V1049" s="19">
        <f t="shared" si="497"/>
        <v>0</v>
      </c>
      <c r="W1049" s="20">
        <f t="shared" ca="1" si="512"/>
        <v>0</v>
      </c>
      <c r="X1049" s="19">
        <f t="shared" ca="1" si="513"/>
        <v>0</v>
      </c>
      <c r="Y1049" s="19">
        <f t="shared" ca="1" si="514"/>
        <v>0</v>
      </c>
      <c r="Z1049" s="20">
        <f t="shared" ca="1" si="515"/>
        <v>0</v>
      </c>
      <c r="AA1049" s="1">
        <f t="shared" si="493"/>
        <v>5432.58</v>
      </c>
      <c r="AB1049" s="91"/>
      <c r="AC1049" s="92"/>
      <c r="AD1049" s="101">
        <f t="shared" si="494"/>
        <v>71694</v>
      </c>
      <c r="AE1049" s="103">
        <f t="shared" si="495"/>
        <v>0</v>
      </c>
      <c r="AG1049" s="1">
        <f t="shared" si="516"/>
        <v>0</v>
      </c>
      <c r="AH1049" s="1">
        <f t="shared" si="517"/>
        <v>0</v>
      </c>
      <c r="AI1049" s="1">
        <f t="shared" si="496"/>
        <v>5432.58</v>
      </c>
      <c r="AJ1049" s="20">
        <f t="shared" si="498"/>
        <v>0</v>
      </c>
      <c r="AK1049" s="100">
        <f t="shared" si="500"/>
        <v>0</v>
      </c>
      <c r="AL1049" s="100">
        <f t="shared" si="501"/>
        <v>0</v>
      </c>
      <c r="AN1049" s="100">
        <f t="shared" si="502"/>
        <v>3242.0814341313367</v>
      </c>
      <c r="AO1049" s="20">
        <f t="shared" si="503"/>
        <v>0</v>
      </c>
      <c r="AQ1049" s="109">
        <f t="shared" si="504"/>
        <v>0</v>
      </c>
      <c r="AU1049" s="109">
        <f t="shared" si="489"/>
        <v>24.743692462934824</v>
      </c>
      <c r="AV1049" s="101">
        <f t="shared" si="505"/>
        <v>71724</v>
      </c>
      <c r="AW1049" s="99">
        <f t="shared" si="506"/>
        <v>0</v>
      </c>
      <c r="AX1049" s="1">
        <f t="shared" si="507"/>
        <v>0</v>
      </c>
      <c r="AY1049" s="29">
        <f t="shared" si="508"/>
        <v>0</v>
      </c>
      <c r="AZ1049" s="1">
        <f t="shared" si="490"/>
        <v>0</v>
      </c>
      <c r="CB1049" s="20">
        <f t="shared" si="499"/>
        <v>0</v>
      </c>
      <c r="CC1049" s="173">
        <f t="shared" si="491"/>
        <v>0</v>
      </c>
    </row>
    <row r="1050" spans="10:81" x14ac:dyDescent="0.25">
      <c r="J1050" s="9"/>
      <c r="K1050" s="10"/>
      <c r="L1050" s="17"/>
      <c r="M1050" s="23"/>
      <c r="N1050" s="23"/>
      <c r="O1050" s="23"/>
      <c r="P1050" s="23"/>
      <c r="Q1050" s="1">
        <f t="shared" si="492"/>
        <v>0.60744618579017706</v>
      </c>
      <c r="R1050" s="12">
        <f t="shared" ca="1" si="509"/>
        <v>30602</v>
      </c>
      <c r="S1050" s="88">
        <f t="shared" si="518"/>
        <v>0</v>
      </c>
      <c r="T1050" s="19">
        <f t="shared" si="510"/>
        <v>0</v>
      </c>
      <c r="U1050" s="19">
        <f t="shared" si="511"/>
        <v>0</v>
      </c>
      <c r="V1050" s="19">
        <f t="shared" si="497"/>
        <v>0</v>
      </c>
      <c r="W1050" s="20">
        <f t="shared" ca="1" si="512"/>
        <v>0</v>
      </c>
      <c r="X1050" s="19">
        <f t="shared" ca="1" si="513"/>
        <v>0</v>
      </c>
      <c r="Y1050" s="19">
        <f t="shared" ca="1" si="514"/>
        <v>0</v>
      </c>
      <c r="Z1050" s="20">
        <f t="shared" ca="1" si="515"/>
        <v>0</v>
      </c>
      <c r="AA1050" s="1">
        <f t="shared" si="493"/>
        <v>5432.58</v>
      </c>
      <c r="AB1050" s="93"/>
      <c r="AC1050" s="94"/>
      <c r="AD1050" s="101">
        <f t="shared" si="494"/>
        <v>71724</v>
      </c>
      <c r="AE1050" s="103">
        <f t="shared" si="495"/>
        <v>0</v>
      </c>
      <c r="AG1050" s="1">
        <f t="shared" si="516"/>
        <v>0</v>
      </c>
      <c r="AH1050" s="1">
        <f t="shared" si="517"/>
        <v>0</v>
      </c>
      <c r="AI1050" s="1">
        <f t="shared" si="496"/>
        <v>5432.58</v>
      </c>
      <c r="AJ1050" s="20">
        <f t="shared" si="498"/>
        <v>0</v>
      </c>
      <c r="AK1050" s="100">
        <f t="shared" si="500"/>
        <v>0</v>
      </c>
      <c r="AL1050" s="100">
        <f t="shared" si="501"/>
        <v>0</v>
      </c>
      <c r="AN1050" s="100">
        <f t="shared" si="502"/>
        <v>3240.4411061395008</v>
      </c>
      <c r="AO1050" s="20">
        <f t="shared" si="503"/>
        <v>0</v>
      </c>
      <c r="AQ1050" s="109">
        <f t="shared" si="504"/>
        <v>0</v>
      </c>
      <c r="AU1050" s="109">
        <f t="shared" si="489"/>
        <v>24.741520707228311</v>
      </c>
      <c r="AV1050" s="101">
        <f t="shared" si="505"/>
        <v>71754</v>
      </c>
      <c r="AW1050" s="99">
        <f t="shared" si="506"/>
        <v>0</v>
      </c>
      <c r="AX1050" s="1">
        <f t="shared" si="507"/>
        <v>0</v>
      </c>
      <c r="AY1050" s="29">
        <f t="shared" si="508"/>
        <v>0</v>
      </c>
      <c r="AZ1050" s="1">
        <f t="shared" si="490"/>
        <v>0</v>
      </c>
      <c r="CB1050" s="20">
        <f t="shared" si="499"/>
        <v>0</v>
      </c>
      <c r="CC1050" s="173">
        <f t="shared" si="491"/>
        <v>0</v>
      </c>
    </row>
    <row r="1051" spans="10:81" x14ac:dyDescent="0.25">
      <c r="J1051" s="7"/>
      <c r="K1051" s="8"/>
      <c r="L1051" s="16"/>
      <c r="M1051" s="22"/>
      <c r="N1051" s="22"/>
      <c r="O1051" s="22"/>
      <c r="P1051" s="22"/>
      <c r="Q1051" s="1">
        <f t="shared" si="492"/>
        <v>0.60744618579017706</v>
      </c>
      <c r="R1051" s="12">
        <f t="shared" ca="1" si="509"/>
        <v>30632</v>
      </c>
      <c r="S1051" s="88">
        <f t="shared" si="518"/>
        <v>0</v>
      </c>
      <c r="T1051" s="19">
        <f t="shared" si="510"/>
        <v>0</v>
      </c>
      <c r="U1051" s="19">
        <f t="shared" si="511"/>
        <v>0</v>
      </c>
      <c r="V1051" s="19">
        <f t="shared" si="497"/>
        <v>0</v>
      </c>
      <c r="W1051" s="20">
        <f t="shared" ca="1" si="512"/>
        <v>0</v>
      </c>
      <c r="X1051" s="19">
        <f t="shared" ca="1" si="513"/>
        <v>0</v>
      </c>
      <c r="Y1051" s="19">
        <f t="shared" ca="1" si="514"/>
        <v>0</v>
      </c>
      <c r="Z1051" s="20">
        <f t="shared" ca="1" si="515"/>
        <v>0</v>
      </c>
      <c r="AA1051" s="1">
        <f t="shared" si="493"/>
        <v>5432.58</v>
      </c>
      <c r="AB1051" s="91"/>
      <c r="AC1051" s="92"/>
      <c r="AD1051" s="101">
        <f t="shared" si="494"/>
        <v>71754</v>
      </c>
      <c r="AE1051" s="103">
        <f t="shared" si="495"/>
        <v>0</v>
      </c>
      <c r="AG1051" s="1">
        <f t="shared" si="516"/>
        <v>0</v>
      </c>
      <c r="AH1051" s="1">
        <f t="shared" si="517"/>
        <v>0</v>
      </c>
      <c r="AI1051" s="1">
        <f t="shared" si="496"/>
        <v>5432.58</v>
      </c>
      <c r="AJ1051" s="20">
        <f t="shared" si="498"/>
        <v>0</v>
      </c>
      <c r="AK1051" s="100">
        <f t="shared" si="500"/>
        <v>0</v>
      </c>
      <c r="AL1051" s="100">
        <f t="shared" si="501"/>
        <v>0</v>
      </c>
      <c r="AN1051" s="100">
        <f t="shared" si="502"/>
        <v>3238.8016080700399</v>
      </c>
      <c r="AO1051" s="20">
        <f t="shared" si="503"/>
        <v>0</v>
      </c>
      <c r="AQ1051" s="109">
        <f t="shared" si="504"/>
        <v>0</v>
      </c>
      <c r="AU1051" s="109">
        <f t="shared" si="489"/>
        <v>24.739349142136941</v>
      </c>
      <c r="AV1051" s="101">
        <f t="shared" si="505"/>
        <v>71784</v>
      </c>
      <c r="AW1051" s="99">
        <f t="shared" si="506"/>
        <v>0</v>
      </c>
      <c r="AX1051" s="1">
        <f t="shared" si="507"/>
        <v>0</v>
      </c>
      <c r="AY1051" s="29">
        <f t="shared" si="508"/>
        <v>0</v>
      </c>
      <c r="AZ1051" s="1">
        <f t="shared" si="490"/>
        <v>0</v>
      </c>
      <c r="CB1051" s="20">
        <f t="shared" si="499"/>
        <v>0</v>
      </c>
      <c r="CC1051" s="173">
        <f t="shared" si="491"/>
        <v>0</v>
      </c>
    </row>
    <row r="1052" spans="10:81" x14ac:dyDescent="0.25">
      <c r="J1052" s="9"/>
      <c r="K1052" s="10"/>
      <c r="L1052" s="17"/>
      <c r="M1052" s="23"/>
      <c r="N1052" s="23"/>
      <c r="O1052" s="23"/>
      <c r="P1052" s="23"/>
      <c r="Q1052" s="1">
        <f t="shared" si="492"/>
        <v>0.60744618579017706</v>
      </c>
      <c r="R1052" s="12">
        <f t="shared" ca="1" si="509"/>
        <v>30662</v>
      </c>
      <c r="S1052" s="88">
        <f t="shared" si="518"/>
        <v>0</v>
      </c>
      <c r="T1052" s="19">
        <f t="shared" si="510"/>
        <v>0</v>
      </c>
      <c r="U1052" s="19">
        <f t="shared" si="511"/>
        <v>0</v>
      </c>
      <c r="V1052" s="19">
        <f t="shared" si="497"/>
        <v>0</v>
      </c>
      <c r="W1052" s="20">
        <f t="shared" ca="1" si="512"/>
        <v>0</v>
      </c>
      <c r="X1052" s="19">
        <f t="shared" ca="1" si="513"/>
        <v>0</v>
      </c>
      <c r="Y1052" s="19">
        <f t="shared" ca="1" si="514"/>
        <v>0</v>
      </c>
      <c r="Z1052" s="20">
        <f t="shared" ca="1" si="515"/>
        <v>0</v>
      </c>
      <c r="AA1052" s="1">
        <f t="shared" si="493"/>
        <v>5432.58</v>
      </c>
      <c r="AB1052" s="93"/>
      <c r="AC1052" s="94"/>
      <c r="AD1052" s="101">
        <f t="shared" si="494"/>
        <v>71784</v>
      </c>
      <c r="AE1052" s="103">
        <f t="shared" si="495"/>
        <v>0</v>
      </c>
      <c r="AG1052" s="1">
        <f t="shared" si="516"/>
        <v>0</v>
      </c>
      <c r="AH1052" s="1">
        <f t="shared" si="517"/>
        <v>0</v>
      </c>
      <c r="AI1052" s="1">
        <f t="shared" si="496"/>
        <v>5432.58</v>
      </c>
      <c r="AJ1052" s="20">
        <f t="shared" si="498"/>
        <v>0</v>
      </c>
      <c r="AK1052" s="100">
        <f t="shared" si="500"/>
        <v>0</v>
      </c>
      <c r="AL1052" s="100">
        <f t="shared" si="501"/>
        <v>0</v>
      </c>
      <c r="AN1052" s="100">
        <f t="shared" si="502"/>
        <v>3237.1629395030532</v>
      </c>
      <c r="AO1052" s="20">
        <f t="shared" si="503"/>
        <v>0</v>
      </c>
      <c r="AQ1052" s="109">
        <f t="shared" si="504"/>
        <v>0</v>
      </c>
      <c r="AU1052" s="109">
        <f t="shared" si="489"/>
        <v>24.737177767644006</v>
      </c>
      <c r="AV1052" s="101">
        <f t="shared" si="505"/>
        <v>71814</v>
      </c>
      <c r="AW1052" s="99">
        <f t="shared" si="506"/>
        <v>0</v>
      </c>
      <c r="AX1052" s="1">
        <f t="shared" si="507"/>
        <v>0</v>
      </c>
      <c r="AY1052" s="29">
        <f t="shared" si="508"/>
        <v>0</v>
      </c>
      <c r="AZ1052" s="1">
        <f t="shared" si="490"/>
        <v>0</v>
      </c>
      <c r="CB1052" s="20">
        <f t="shared" si="499"/>
        <v>0</v>
      </c>
      <c r="CC1052" s="173">
        <f t="shared" si="491"/>
        <v>0</v>
      </c>
    </row>
    <row r="1053" spans="10:81" x14ac:dyDescent="0.25">
      <c r="J1053" s="7"/>
      <c r="K1053" s="8"/>
      <c r="L1053" s="16"/>
      <c r="M1053" s="22"/>
      <c r="N1053" s="22"/>
      <c r="O1053" s="22"/>
      <c r="P1053" s="22"/>
      <c r="Q1053" s="1">
        <f t="shared" si="492"/>
        <v>0.60744618579017706</v>
      </c>
      <c r="R1053" s="12">
        <f t="shared" ca="1" si="509"/>
        <v>30692</v>
      </c>
      <c r="S1053" s="88">
        <f t="shared" si="518"/>
        <v>0</v>
      </c>
      <c r="T1053" s="19">
        <f t="shared" si="510"/>
        <v>0</v>
      </c>
      <c r="U1053" s="19">
        <f t="shared" si="511"/>
        <v>0</v>
      </c>
      <c r="V1053" s="19">
        <f t="shared" si="497"/>
        <v>0</v>
      </c>
      <c r="W1053" s="20">
        <f t="shared" ca="1" si="512"/>
        <v>0</v>
      </c>
      <c r="X1053" s="19">
        <f t="shared" ca="1" si="513"/>
        <v>0</v>
      </c>
      <c r="Y1053" s="19">
        <f t="shared" ca="1" si="514"/>
        <v>0</v>
      </c>
      <c r="Z1053" s="20">
        <f t="shared" ca="1" si="515"/>
        <v>0</v>
      </c>
      <c r="AA1053" s="1">
        <f t="shared" si="493"/>
        <v>5432.58</v>
      </c>
      <c r="AB1053" s="91"/>
      <c r="AC1053" s="92"/>
      <c r="AD1053" s="101">
        <f t="shared" si="494"/>
        <v>71814</v>
      </c>
      <c r="AE1053" s="103">
        <f t="shared" si="495"/>
        <v>0</v>
      </c>
      <c r="AG1053" s="1">
        <f t="shared" si="516"/>
        <v>0</v>
      </c>
      <c r="AH1053" s="1">
        <f t="shared" si="517"/>
        <v>0</v>
      </c>
      <c r="AI1053" s="1">
        <f t="shared" si="496"/>
        <v>5432.58</v>
      </c>
      <c r="AJ1053" s="20">
        <f t="shared" si="498"/>
        <v>0</v>
      </c>
      <c r="AK1053" s="100">
        <f t="shared" si="500"/>
        <v>0</v>
      </c>
      <c r="AL1053" s="100">
        <f t="shared" si="501"/>
        <v>0</v>
      </c>
      <c r="AN1053" s="100">
        <f t="shared" si="502"/>
        <v>3235.5251000188582</v>
      </c>
      <c r="AO1053" s="20">
        <f t="shared" si="503"/>
        <v>0</v>
      </c>
      <c r="AQ1053" s="109">
        <f t="shared" si="504"/>
        <v>0</v>
      </c>
      <c r="AU1053" s="109">
        <f t="shared" si="489"/>
        <v>24.735006583732776</v>
      </c>
      <c r="AV1053" s="101">
        <f t="shared" si="505"/>
        <v>71844</v>
      </c>
      <c r="AW1053" s="99">
        <f t="shared" si="506"/>
        <v>0</v>
      </c>
      <c r="AX1053" s="1">
        <f t="shared" si="507"/>
        <v>0</v>
      </c>
      <c r="AY1053" s="29">
        <f t="shared" si="508"/>
        <v>0</v>
      </c>
      <c r="AZ1053" s="1">
        <f t="shared" si="490"/>
        <v>0</v>
      </c>
      <c r="CB1053" s="20">
        <f t="shared" si="499"/>
        <v>0</v>
      </c>
      <c r="CC1053" s="173">
        <f t="shared" si="491"/>
        <v>0</v>
      </c>
    </row>
    <row r="1054" spans="10:81" x14ac:dyDescent="0.25">
      <c r="J1054" s="9"/>
      <c r="K1054" s="10"/>
      <c r="L1054" s="17"/>
      <c r="M1054" s="23"/>
      <c r="N1054" s="23"/>
      <c r="O1054" s="23"/>
      <c r="P1054" s="23"/>
      <c r="Q1054" s="1">
        <f t="shared" si="492"/>
        <v>0.60744618579017706</v>
      </c>
      <c r="R1054" s="12">
        <f t="shared" ca="1" si="509"/>
        <v>30722</v>
      </c>
      <c r="S1054" s="88">
        <f t="shared" si="518"/>
        <v>0</v>
      </c>
      <c r="T1054" s="19">
        <f t="shared" si="510"/>
        <v>0</v>
      </c>
      <c r="U1054" s="19">
        <f t="shared" si="511"/>
        <v>0</v>
      </c>
      <c r="V1054" s="19">
        <f t="shared" si="497"/>
        <v>0</v>
      </c>
      <c r="W1054" s="20">
        <f t="shared" ca="1" si="512"/>
        <v>0</v>
      </c>
      <c r="X1054" s="19">
        <f t="shared" ca="1" si="513"/>
        <v>0</v>
      </c>
      <c r="Y1054" s="19">
        <f t="shared" ca="1" si="514"/>
        <v>0</v>
      </c>
      <c r="Z1054" s="20">
        <f t="shared" ca="1" si="515"/>
        <v>0</v>
      </c>
      <c r="AA1054" s="1">
        <f t="shared" si="493"/>
        <v>5432.58</v>
      </c>
      <c r="AB1054" s="93"/>
      <c r="AC1054" s="94"/>
      <c r="AD1054" s="101">
        <f t="shared" si="494"/>
        <v>71844</v>
      </c>
      <c r="AE1054" s="103">
        <f t="shared" si="495"/>
        <v>0</v>
      </c>
      <c r="AG1054" s="1">
        <f t="shared" si="516"/>
        <v>0</v>
      </c>
      <c r="AH1054" s="1">
        <f t="shared" si="517"/>
        <v>0</v>
      </c>
      <c r="AI1054" s="1">
        <f t="shared" si="496"/>
        <v>5432.58</v>
      </c>
      <c r="AJ1054" s="20">
        <f t="shared" si="498"/>
        <v>0</v>
      </c>
      <c r="AK1054" s="100">
        <f t="shared" si="500"/>
        <v>0</v>
      </c>
      <c r="AL1054" s="100">
        <f t="shared" si="501"/>
        <v>0</v>
      </c>
      <c r="AN1054" s="100">
        <f t="shared" si="502"/>
        <v>3233.8880891979784</v>
      </c>
      <c r="AO1054" s="20">
        <f t="shared" si="503"/>
        <v>0</v>
      </c>
      <c r="AQ1054" s="109">
        <f t="shared" si="504"/>
        <v>0</v>
      </c>
      <c r="AU1054" s="109">
        <f t="shared" si="489"/>
        <v>24.732835590386514</v>
      </c>
      <c r="AV1054" s="101">
        <f t="shared" si="505"/>
        <v>71874</v>
      </c>
      <c r="AW1054" s="99">
        <f t="shared" si="506"/>
        <v>0</v>
      </c>
      <c r="AX1054" s="1">
        <f t="shared" si="507"/>
        <v>0</v>
      </c>
      <c r="AY1054" s="29">
        <f t="shared" si="508"/>
        <v>0</v>
      </c>
      <c r="AZ1054" s="1">
        <f t="shared" si="490"/>
        <v>0</v>
      </c>
      <c r="CB1054" s="20">
        <f t="shared" si="499"/>
        <v>0</v>
      </c>
      <c r="CC1054" s="173">
        <f t="shared" si="491"/>
        <v>0</v>
      </c>
    </row>
    <row r="1055" spans="10:81" x14ac:dyDescent="0.25">
      <c r="J1055" s="7"/>
      <c r="K1055" s="8"/>
      <c r="L1055" s="16"/>
      <c r="M1055" s="22"/>
      <c r="N1055" s="22"/>
      <c r="O1055" s="22"/>
      <c r="P1055" s="22"/>
      <c r="Q1055" s="1">
        <f t="shared" si="492"/>
        <v>0.60744618579017706</v>
      </c>
      <c r="R1055" s="12">
        <f t="shared" ca="1" si="509"/>
        <v>30752</v>
      </c>
      <c r="S1055" s="88">
        <f t="shared" si="518"/>
        <v>0</v>
      </c>
      <c r="T1055" s="19">
        <f t="shared" si="510"/>
        <v>0</v>
      </c>
      <c r="U1055" s="19">
        <f t="shared" si="511"/>
        <v>0</v>
      </c>
      <c r="V1055" s="19">
        <f t="shared" si="497"/>
        <v>0</v>
      </c>
      <c r="W1055" s="20">
        <f t="shared" ca="1" si="512"/>
        <v>0</v>
      </c>
      <c r="X1055" s="19">
        <f t="shared" ca="1" si="513"/>
        <v>0</v>
      </c>
      <c r="Y1055" s="19">
        <f t="shared" ca="1" si="514"/>
        <v>0</v>
      </c>
      <c r="Z1055" s="20">
        <f t="shared" ca="1" si="515"/>
        <v>0</v>
      </c>
      <c r="AA1055" s="1">
        <f t="shared" si="493"/>
        <v>5432.58</v>
      </c>
      <c r="AB1055" s="91"/>
      <c r="AC1055" s="92"/>
      <c r="AD1055" s="101">
        <f t="shared" si="494"/>
        <v>71874</v>
      </c>
      <c r="AE1055" s="103">
        <f t="shared" si="495"/>
        <v>0</v>
      </c>
      <c r="AG1055" s="1">
        <f t="shared" si="516"/>
        <v>0</v>
      </c>
      <c r="AH1055" s="1">
        <f t="shared" si="517"/>
        <v>0</v>
      </c>
      <c r="AI1055" s="1">
        <f t="shared" si="496"/>
        <v>5432.58</v>
      </c>
      <c r="AJ1055" s="20">
        <f t="shared" si="498"/>
        <v>0</v>
      </c>
      <c r="AK1055" s="100">
        <f t="shared" si="500"/>
        <v>0</v>
      </c>
      <c r="AL1055" s="100">
        <f t="shared" si="501"/>
        <v>0</v>
      </c>
      <c r="AN1055" s="100">
        <f t="shared" si="502"/>
        <v>3232.251906621153</v>
      </c>
      <c r="AO1055" s="20">
        <f t="shared" si="503"/>
        <v>0</v>
      </c>
      <c r="AQ1055" s="109">
        <f t="shared" si="504"/>
        <v>0</v>
      </c>
      <c r="AU1055" s="109">
        <f t="shared" ref="AU1055:AU1118" si="519">(($AT$27/(1+((1+$AM$27)^(ROW()-29)*30)-1))/292)*0.32</f>
        <v>24.730664787588491</v>
      </c>
      <c r="AV1055" s="101">
        <f t="shared" si="505"/>
        <v>71904</v>
      </c>
      <c r="AW1055" s="99">
        <f t="shared" si="506"/>
        <v>0</v>
      </c>
      <c r="AX1055" s="1">
        <f t="shared" si="507"/>
        <v>0</v>
      </c>
      <c r="AY1055" s="29">
        <f t="shared" si="508"/>
        <v>0</v>
      </c>
      <c r="AZ1055" s="1">
        <f t="shared" ref="AZ1055:AZ1118" si="520">AY1055/360</f>
        <v>0</v>
      </c>
      <c r="CB1055" s="20">
        <f t="shared" si="499"/>
        <v>0</v>
      </c>
      <c r="CC1055" s="173">
        <f t="shared" ref="CC1055:CC1118" si="521">AJ1055+U1055+T1055</f>
        <v>0</v>
      </c>
    </row>
    <row r="1056" spans="10:81" x14ac:dyDescent="0.25">
      <c r="J1056" s="9"/>
      <c r="K1056" s="10"/>
      <c r="L1056" s="17"/>
      <c r="M1056" s="23"/>
      <c r="N1056" s="23"/>
      <c r="O1056" s="23"/>
      <c r="P1056" s="23"/>
      <c r="Q1056" s="1">
        <f t="shared" ref="Q1056:Q1119" si="522">IF(M1056=0,Q1055,(M1056*1200)/O1055)</f>
        <v>0.60744618579017706</v>
      </c>
      <c r="R1056" s="12">
        <f t="shared" ca="1" si="509"/>
        <v>30782</v>
      </c>
      <c r="S1056" s="88">
        <f t="shared" si="518"/>
        <v>0</v>
      </c>
      <c r="T1056" s="19">
        <f t="shared" si="510"/>
        <v>0</v>
      </c>
      <c r="U1056" s="19">
        <f t="shared" si="511"/>
        <v>0</v>
      </c>
      <c r="V1056" s="19">
        <f t="shared" si="497"/>
        <v>0</v>
      </c>
      <c r="W1056" s="20">
        <f t="shared" ca="1" si="512"/>
        <v>0</v>
      </c>
      <c r="X1056" s="19">
        <f t="shared" ca="1" si="513"/>
        <v>0</v>
      </c>
      <c r="Y1056" s="19">
        <f t="shared" ca="1" si="514"/>
        <v>0</v>
      </c>
      <c r="Z1056" s="20">
        <f t="shared" ca="1" si="515"/>
        <v>0</v>
      </c>
      <c r="AA1056" s="1">
        <f t="shared" ref="AA1056:AA1119" si="523">IF(S1056=0,AA1055,N1056)</f>
        <v>5432.58</v>
      </c>
      <c r="AB1056" s="93"/>
      <c r="AC1056" s="94"/>
      <c r="AD1056" s="101">
        <f t="shared" ref="AD1056:AD1119" si="524">IF(M1056=0,AD1055+30,K1056)</f>
        <v>71904</v>
      </c>
      <c r="AE1056" s="103">
        <f t="shared" ref="AE1056:AE1119" si="525">IF(V1056=0,0,R1056)</f>
        <v>0</v>
      </c>
      <c r="AG1056" s="1">
        <f t="shared" si="516"/>
        <v>0</v>
      </c>
      <c r="AH1056" s="1">
        <f t="shared" si="517"/>
        <v>0</v>
      </c>
      <c r="AI1056" s="1">
        <f t="shared" ref="AI1056:AI1119" si="526">IF(M1056-1=0,IF(M1056=0,IF(V1056=0,N1056,AI1055),AA1056),AA1056)</f>
        <v>5432.58</v>
      </c>
      <c r="AJ1056" s="20">
        <f t="shared" si="498"/>
        <v>0</v>
      </c>
      <c r="AK1056" s="100">
        <f t="shared" si="500"/>
        <v>0</v>
      </c>
      <c r="AL1056" s="100">
        <f t="shared" si="501"/>
        <v>0</v>
      </c>
      <c r="AN1056" s="100">
        <f t="shared" si="502"/>
        <v>3230.6165518693329</v>
      </c>
      <c r="AO1056" s="20">
        <f t="shared" si="503"/>
        <v>0</v>
      </c>
      <c r="AQ1056" s="109">
        <f t="shared" si="504"/>
        <v>0</v>
      </c>
      <c r="AU1056" s="109">
        <f t="shared" si="519"/>
        <v>24.728494175321995</v>
      </c>
      <c r="AV1056" s="101">
        <f t="shared" si="505"/>
        <v>71934</v>
      </c>
      <c r="AW1056" s="99">
        <f t="shared" si="506"/>
        <v>0</v>
      </c>
      <c r="AX1056" s="1">
        <f t="shared" si="507"/>
        <v>0</v>
      </c>
      <c r="AY1056" s="29">
        <f t="shared" si="508"/>
        <v>0</v>
      </c>
      <c r="AZ1056" s="1">
        <f t="shared" si="520"/>
        <v>0</v>
      </c>
      <c r="CB1056" s="20">
        <f t="shared" si="499"/>
        <v>0</v>
      </c>
      <c r="CC1056" s="173">
        <f t="shared" si="521"/>
        <v>0</v>
      </c>
    </row>
    <row r="1057" spans="10:81" x14ac:dyDescent="0.25">
      <c r="J1057" s="7"/>
      <c r="K1057" s="8"/>
      <c r="L1057" s="16"/>
      <c r="M1057" s="22"/>
      <c r="N1057" s="22"/>
      <c r="O1057" s="22"/>
      <c r="P1057" s="22"/>
      <c r="Q1057" s="1">
        <f t="shared" si="522"/>
        <v>0.60744618579017706</v>
      </c>
      <c r="R1057" s="12">
        <f t="shared" ca="1" si="509"/>
        <v>30812</v>
      </c>
      <c r="S1057" s="88">
        <f t="shared" si="518"/>
        <v>0</v>
      </c>
      <c r="T1057" s="19">
        <f t="shared" si="510"/>
        <v>0</v>
      </c>
      <c r="U1057" s="19">
        <f t="shared" si="511"/>
        <v>0</v>
      </c>
      <c r="V1057" s="19">
        <f t="shared" si="497"/>
        <v>0</v>
      </c>
      <c r="W1057" s="20">
        <f t="shared" ca="1" si="512"/>
        <v>0</v>
      </c>
      <c r="X1057" s="19">
        <f t="shared" ca="1" si="513"/>
        <v>0</v>
      </c>
      <c r="Y1057" s="19">
        <f t="shared" ca="1" si="514"/>
        <v>0</v>
      </c>
      <c r="Z1057" s="20">
        <f t="shared" ca="1" si="515"/>
        <v>0</v>
      </c>
      <c r="AA1057" s="1">
        <f t="shared" si="523"/>
        <v>5432.58</v>
      </c>
      <c r="AB1057" s="91"/>
      <c r="AC1057" s="92"/>
      <c r="AD1057" s="101">
        <f t="shared" si="524"/>
        <v>71934</v>
      </c>
      <c r="AE1057" s="103">
        <f t="shared" si="525"/>
        <v>0</v>
      </c>
      <c r="AG1057" s="1">
        <f t="shared" si="516"/>
        <v>0</v>
      </c>
      <c r="AH1057" s="1">
        <f t="shared" si="517"/>
        <v>0</v>
      </c>
      <c r="AI1057" s="1">
        <f t="shared" si="526"/>
        <v>5432.58</v>
      </c>
      <c r="AJ1057" s="20">
        <f t="shared" si="498"/>
        <v>0</v>
      </c>
      <c r="AK1057" s="100">
        <f t="shared" si="500"/>
        <v>0</v>
      </c>
      <c r="AL1057" s="100">
        <f t="shared" si="501"/>
        <v>0</v>
      </c>
      <c r="AN1057" s="100">
        <f t="shared" si="502"/>
        <v>3228.9820245236806</v>
      </c>
      <c r="AO1057" s="20">
        <f t="shared" si="503"/>
        <v>0</v>
      </c>
      <c r="AQ1057" s="109">
        <f t="shared" si="504"/>
        <v>0</v>
      </c>
      <c r="AU1057" s="109">
        <f t="shared" si="519"/>
        <v>24.726323753570302</v>
      </c>
      <c r="AV1057" s="101">
        <f t="shared" si="505"/>
        <v>71964</v>
      </c>
      <c r="AW1057" s="99">
        <f t="shared" si="506"/>
        <v>0</v>
      </c>
      <c r="AX1057" s="1">
        <f t="shared" si="507"/>
        <v>0</v>
      </c>
      <c r="AY1057" s="29">
        <f t="shared" si="508"/>
        <v>0</v>
      </c>
      <c r="AZ1057" s="1">
        <f t="shared" si="520"/>
        <v>0</v>
      </c>
      <c r="CB1057" s="20">
        <f t="shared" si="499"/>
        <v>0</v>
      </c>
      <c r="CC1057" s="173">
        <f t="shared" si="521"/>
        <v>0</v>
      </c>
    </row>
    <row r="1058" spans="10:81" x14ac:dyDescent="0.25">
      <c r="J1058" s="9"/>
      <c r="K1058" s="10"/>
      <c r="L1058" s="17"/>
      <c r="M1058" s="23"/>
      <c r="N1058" s="23"/>
      <c r="O1058" s="23"/>
      <c r="P1058" s="23"/>
      <c r="Q1058" s="1">
        <f t="shared" si="522"/>
        <v>0.60744618579017706</v>
      </c>
      <c r="R1058" s="12">
        <f t="shared" ca="1" si="509"/>
        <v>30842</v>
      </c>
      <c r="S1058" s="88">
        <f t="shared" si="518"/>
        <v>0</v>
      </c>
      <c r="T1058" s="19">
        <f t="shared" si="510"/>
        <v>0</v>
      </c>
      <c r="U1058" s="19">
        <f t="shared" si="511"/>
        <v>0</v>
      </c>
      <c r="V1058" s="19">
        <f t="shared" ref="V1058:V1121" si="527">IF(ISERROR(IF(V1057+U1058+T1058+(V1057*Q1058/1200)-AA1058-P1058&lt;0,0,V1057+U1058+T1058-AA1058-P1058)),0,IF(V1057+U1058+T1058+(V1057*Q1058/1200)-AA1058-CB1058&lt;0,0,V1057+U1058+T1058-AA1058-CB1058))</f>
        <v>0</v>
      </c>
      <c r="W1058" s="20">
        <f t="shared" ca="1" si="512"/>
        <v>0</v>
      </c>
      <c r="X1058" s="19">
        <f t="shared" ca="1" si="513"/>
        <v>0</v>
      </c>
      <c r="Y1058" s="19">
        <f t="shared" ca="1" si="514"/>
        <v>0</v>
      </c>
      <c r="Z1058" s="20">
        <f t="shared" ca="1" si="515"/>
        <v>0</v>
      </c>
      <c r="AA1058" s="1">
        <f t="shared" si="523"/>
        <v>5432.58</v>
      </c>
      <c r="AB1058" s="93"/>
      <c r="AC1058" s="94"/>
      <c r="AD1058" s="101">
        <f t="shared" si="524"/>
        <v>71964</v>
      </c>
      <c r="AE1058" s="103">
        <f t="shared" si="525"/>
        <v>0</v>
      </c>
      <c r="AG1058" s="1">
        <f t="shared" si="516"/>
        <v>0</v>
      </c>
      <c r="AH1058" s="1">
        <f t="shared" si="517"/>
        <v>0</v>
      </c>
      <c r="AI1058" s="1">
        <f t="shared" si="526"/>
        <v>5432.58</v>
      </c>
      <c r="AJ1058" s="20">
        <f t="shared" si="498"/>
        <v>0</v>
      </c>
      <c r="AK1058" s="100">
        <f t="shared" si="500"/>
        <v>0</v>
      </c>
      <c r="AL1058" s="100">
        <f t="shared" si="501"/>
        <v>0</v>
      </c>
      <c r="AN1058" s="100">
        <f t="shared" si="502"/>
        <v>3227.3483241655717</v>
      </c>
      <c r="AO1058" s="20">
        <f t="shared" si="503"/>
        <v>0</v>
      </c>
      <c r="AQ1058" s="109">
        <f t="shared" si="504"/>
        <v>0</v>
      </c>
      <c r="AU1058" s="109">
        <f t="shared" si="519"/>
        <v>24.724153522316673</v>
      </c>
      <c r="AV1058" s="101">
        <f t="shared" si="505"/>
        <v>71994</v>
      </c>
      <c r="AW1058" s="99">
        <f t="shared" si="506"/>
        <v>0</v>
      </c>
      <c r="AX1058" s="1">
        <f t="shared" si="507"/>
        <v>0</v>
      </c>
      <c r="AY1058" s="29">
        <f t="shared" si="508"/>
        <v>0</v>
      </c>
      <c r="AZ1058" s="1">
        <f t="shared" si="520"/>
        <v>0</v>
      </c>
      <c r="CB1058" s="20">
        <f t="shared" si="499"/>
        <v>0</v>
      </c>
      <c r="CC1058" s="173">
        <f t="shared" si="521"/>
        <v>0</v>
      </c>
    </row>
    <row r="1059" spans="10:81" x14ac:dyDescent="0.25">
      <c r="J1059" s="7"/>
      <c r="K1059" s="8"/>
      <c r="L1059" s="16"/>
      <c r="M1059" s="22"/>
      <c r="N1059" s="22"/>
      <c r="O1059" s="22"/>
      <c r="P1059" s="22"/>
      <c r="Q1059" s="1">
        <f t="shared" si="522"/>
        <v>0.60744618579017706</v>
      </c>
      <c r="R1059" s="12">
        <f t="shared" ca="1" si="509"/>
        <v>30872</v>
      </c>
      <c r="S1059" s="88">
        <f t="shared" si="518"/>
        <v>0</v>
      </c>
      <c r="T1059" s="19">
        <f t="shared" si="510"/>
        <v>0</v>
      </c>
      <c r="U1059" s="19">
        <f t="shared" si="511"/>
        <v>0</v>
      </c>
      <c r="V1059" s="19">
        <f t="shared" si="527"/>
        <v>0</v>
      </c>
      <c r="W1059" s="20">
        <f t="shared" ca="1" si="512"/>
        <v>0</v>
      </c>
      <c r="X1059" s="19">
        <f t="shared" ca="1" si="513"/>
        <v>0</v>
      </c>
      <c r="Y1059" s="19">
        <f t="shared" ca="1" si="514"/>
        <v>0</v>
      </c>
      <c r="Z1059" s="20">
        <f t="shared" ca="1" si="515"/>
        <v>0</v>
      </c>
      <c r="AA1059" s="1">
        <f t="shared" si="523"/>
        <v>5432.58</v>
      </c>
      <c r="AB1059" s="91"/>
      <c r="AC1059" s="92"/>
      <c r="AD1059" s="101">
        <f t="shared" si="524"/>
        <v>71994</v>
      </c>
      <c r="AE1059" s="103">
        <f t="shared" si="525"/>
        <v>0</v>
      </c>
      <c r="AG1059" s="1">
        <f t="shared" si="516"/>
        <v>0</v>
      </c>
      <c r="AH1059" s="1">
        <f t="shared" si="517"/>
        <v>0</v>
      </c>
      <c r="AI1059" s="1">
        <f t="shared" si="526"/>
        <v>5432.58</v>
      </c>
      <c r="AJ1059" s="20">
        <f t="shared" si="498"/>
        <v>0</v>
      </c>
      <c r="AK1059" s="100">
        <f t="shared" si="500"/>
        <v>0</v>
      </c>
      <c r="AL1059" s="100">
        <f t="shared" si="501"/>
        <v>0</v>
      </c>
      <c r="AN1059" s="100">
        <f t="shared" si="502"/>
        <v>3225.7154503765914</v>
      </c>
      <c r="AO1059" s="20">
        <f t="shared" si="503"/>
        <v>0</v>
      </c>
      <c r="AQ1059" s="109">
        <f t="shared" si="504"/>
        <v>0</v>
      </c>
      <c r="AU1059" s="109">
        <f t="shared" si="519"/>
        <v>24.721983481544413</v>
      </c>
      <c r="AV1059" s="101">
        <f t="shared" si="505"/>
        <v>72024</v>
      </c>
      <c r="AW1059" s="99">
        <f t="shared" si="506"/>
        <v>0</v>
      </c>
      <c r="AX1059" s="1">
        <f t="shared" si="507"/>
        <v>0</v>
      </c>
      <c r="AY1059" s="29">
        <f t="shared" si="508"/>
        <v>0</v>
      </c>
      <c r="AZ1059" s="1">
        <f t="shared" si="520"/>
        <v>0</v>
      </c>
      <c r="CB1059" s="20">
        <f t="shared" si="499"/>
        <v>0</v>
      </c>
      <c r="CC1059" s="173">
        <f t="shared" si="521"/>
        <v>0</v>
      </c>
    </row>
    <row r="1060" spans="10:81" x14ac:dyDescent="0.25">
      <c r="J1060" s="9"/>
      <c r="K1060" s="10"/>
      <c r="L1060" s="17"/>
      <c r="M1060" s="23"/>
      <c r="N1060" s="23"/>
      <c r="O1060" s="23"/>
      <c r="P1060" s="23"/>
      <c r="Q1060" s="1">
        <f t="shared" si="522"/>
        <v>0.60744618579017706</v>
      </c>
      <c r="R1060" s="12">
        <f t="shared" ca="1" si="509"/>
        <v>30902</v>
      </c>
      <c r="S1060" s="88">
        <f t="shared" si="518"/>
        <v>0</v>
      </c>
      <c r="T1060" s="19">
        <f t="shared" si="510"/>
        <v>0</v>
      </c>
      <c r="U1060" s="19">
        <f t="shared" si="511"/>
        <v>0</v>
      </c>
      <c r="V1060" s="19">
        <f t="shared" si="527"/>
        <v>0</v>
      </c>
      <c r="W1060" s="20">
        <f t="shared" ca="1" si="512"/>
        <v>0</v>
      </c>
      <c r="X1060" s="19">
        <f t="shared" ca="1" si="513"/>
        <v>0</v>
      </c>
      <c r="Y1060" s="19">
        <f t="shared" ca="1" si="514"/>
        <v>0</v>
      </c>
      <c r="Z1060" s="20">
        <f t="shared" ca="1" si="515"/>
        <v>0</v>
      </c>
      <c r="AA1060" s="1">
        <f t="shared" si="523"/>
        <v>5432.58</v>
      </c>
      <c r="AB1060" s="93"/>
      <c r="AC1060" s="94"/>
      <c r="AD1060" s="101">
        <f t="shared" si="524"/>
        <v>72024</v>
      </c>
      <c r="AE1060" s="103">
        <f t="shared" si="525"/>
        <v>0</v>
      </c>
      <c r="AG1060" s="1">
        <f t="shared" si="516"/>
        <v>0</v>
      </c>
      <c r="AH1060" s="1">
        <f t="shared" si="517"/>
        <v>0</v>
      </c>
      <c r="AI1060" s="1">
        <f t="shared" si="526"/>
        <v>5432.58</v>
      </c>
      <c r="AJ1060" s="20">
        <f t="shared" si="498"/>
        <v>0</v>
      </c>
      <c r="AK1060" s="100">
        <f t="shared" si="500"/>
        <v>0</v>
      </c>
      <c r="AL1060" s="100">
        <f t="shared" si="501"/>
        <v>0</v>
      </c>
      <c r="AN1060" s="100">
        <f t="shared" si="502"/>
        <v>3224.0834027385386</v>
      </c>
      <c r="AO1060" s="20">
        <f t="shared" si="503"/>
        <v>0</v>
      </c>
      <c r="AQ1060" s="109">
        <f t="shared" si="504"/>
        <v>0</v>
      </c>
      <c r="AU1060" s="109">
        <f t="shared" si="519"/>
        <v>24.719813631236779</v>
      </c>
      <c r="AV1060" s="101">
        <f t="shared" si="505"/>
        <v>72054</v>
      </c>
      <c r="AW1060" s="99">
        <f t="shared" si="506"/>
        <v>0</v>
      </c>
      <c r="AX1060" s="1">
        <f t="shared" si="507"/>
        <v>0</v>
      </c>
      <c r="AY1060" s="29">
        <f t="shared" si="508"/>
        <v>0</v>
      </c>
      <c r="AZ1060" s="1">
        <f t="shared" si="520"/>
        <v>0</v>
      </c>
      <c r="CB1060" s="20">
        <f t="shared" si="499"/>
        <v>0</v>
      </c>
      <c r="CC1060" s="173">
        <f t="shared" si="521"/>
        <v>0</v>
      </c>
    </row>
    <row r="1061" spans="10:81" x14ac:dyDescent="0.25">
      <c r="J1061" s="7"/>
      <c r="K1061" s="8"/>
      <c r="L1061" s="16"/>
      <c r="M1061" s="22"/>
      <c r="N1061" s="22"/>
      <c r="O1061" s="22"/>
      <c r="P1061" s="22"/>
      <c r="Q1061" s="1">
        <f t="shared" si="522"/>
        <v>0.60744618579017706</v>
      </c>
      <c r="R1061" s="12">
        <f t="shared" ca="1" si="509"/>
        <v>30932</v>
      </c>
      <c r="S1061" s="88">
        <f t="shared" si="518"/>
        <v>0</v>
      </c>
      <c r="T1061" s="19">
        <f t="shared" si="510"/>
        <v>0</v>
      </c>
      <c r="U1061" s="19">
        <f t="shared" si="511"/>
        <v>0</v>
      </c>
      <c r="V1061" s="19">
        <f t="shared" si="527"/>
        <v>0</v>
      </c>
      <c r="W1061" s="20">
        <f t="shared" ca="1" si="512"/>
        <v>0</v>
      </c>
      <c r="X1061" s="19">
        <f t="shared" ca="1" si="513"/>
        <v>0</v>
      </c>
      <c r="Y1061" s="19">
        <f t="shared" ca="1" si="514"/>
        <v>0</v>
      </c>
      <c r="Z1061" s="20">
        <f t="shared" ca="1" si="515"/>
        <v>0</v>
      </c>
      <c r="AA1061" s="1">
        <f t="shared" si="523"/>
        <v>5432.58</v>
      </c>
      <c r="AB1061" s="91"/>
      <c r="AC1061" s="92"/>
      <c r="AD1061" s="101">
        <f t="shared" si="524"/>
        <v>72054</v>
      </c>
      <c r="AE1061" s="103">
        <f t="shared" si="525"/>
        <v>0</v>
      </c>
      <c r="AG1061" s="1">
        <f t="shared" si="516"/>
        <v>0</v>
      </c>
      <c r="AH1061" s="1">
        <f t="shared" si="517"/>
        <v>0</v>
      </c>
      <c r="AI1061" s="1">
        <f t="shared" si="526"/>
        <v>5432.58</v>
      </c>
      <c r="AJ1061" s="20">
        <f t="shared" si="498"/>
        <v>0</v>
      </c>
      <c r="AK1061" s="100">
        <f t="shared" si="500"/>
        <v>0</v>
      </c>
      <c r="AL1061" s="100">
        <f t="shared" si="501"/>
        <v>0</v>
      </c>
      <c r="AN1061" s="100">
        <f t="shared" si="502"/>
        <v>3222.452180833423</v>
      </c>
      <c r="AO1061" s="20">
        <f t="shared" si="503"/>
        <v>0</v>
      </c>
      <c r="AQ1061" s="109">
        <f t="shared" si="504"/>
        <v>0</v>
      </c>
      <c r="AU1061" s="109">
        <f t="shared" si="519"/>
        <v>24.717643971377075</v>
      </c>
      <c r="AV1061" s="101">
        <f t="shared" si="505"/>
        <v>72084</v>
      </c>
      <c r="AW1061" s="99">
        <f t="shared" si="506"/>
        <v>0</v>
      </c>
      <c r="AX1061" s="1">
        <f t="shared" si="507"/>
        <v>0</v>
      </c>
      <c r="AY1061" s="29">
        <f t="shared" si="508"/>
        <v>0</v>
      </c>
      <c r="AZ1061" s="1">
        <f t="shared" si="520"/>
        <v>0</v>
      </c>
      <c r="CB1061" s="20">
        <f t="shared" si="499"/>
        <v>0</v>
      </c>
      <c r="CC1061" s="173">
        <f t="shared" si="521"/>
        <v>0</v>
      </c>
    </row>
    <row r="1062" spans="10:81" x14ac:dyDescent="0.25">
      <c r="J1062" s="9"/>
      <c r="K1062" s="10"/>
      <c r="L1062" s="17"/>
      <c r="M1062" s="23"/>
      <c r="N1062" s="23"/>
      <c r="O1062" s="23"/>
      <c r="P1062" s="23"/>
      <c r="Q1062" s="1">
        <f t="shared" si="522"/>
        <v>0.60744618579017706</v>
      </c>
      <c r="R1062" s="12">
        <f t="shared" ca="1" si="509"/>
        <v>30962</v>
      </c>
      <c r="S1062" s="88">
        <f t="shared" si="518"/>
        <v>0</v>
      </c>
      <c r="T1062" s="19">
        <f t="shared" si="510"/>
        <v>0</v>
      </c>
      <c r="U1062" s="19">
        <f t="shared" si="511"/>
        <v>0</v>
      </c>
      <c r="V1062" s="19">
        <f t="shared" si="527"/>
        <v>0</v>
      </c>
      <c r="W1062" s="20">
        <f t="shared" ca="1" si="512"/>
        <v>0</v>
      </c>
      <c r="X1062" s="19">
        <f t="shared" ca="1" si="513"/>
        <v>0</v>
      </c>
      <c r="Y1062" s="19">
        <f t="shared" ca="1" si="514"/>
        <v>0</v>
      </c>
      <c r="Z1062" s="20">
        <f t="shared" ca="1" si="515"/>
        <v>0</v>
      </c>
      <c r="AA1062" s="1">
        <f t="shared" si="523"/>
        <v>5432.58</v>
      </c>
      <c r="AB1062" s="93"/>
      <c r="AC1062" s="94"/>
      <c r="AD1062" s="101">
        <f t="shared" si="524"/>
        <v>72084</v>
      </c>
      <c r="AE1062" s="103">
        <f t="shared" si="525"/>
        <v>0</v>
      </c>
      <c r="AG1062" s="1">
        <f t="shared" si="516"/>
        <v>0</v>
      </c>
      <c r="AH1062" s="1">
        <f t="shared" si="517"/>
        <v>0</v>
      </c>
      <c r="AI1062" s="1">
        <f t="shared" si="526"/>
        <v>5432.58</v>
      </c>
      <c r="AJ1062" s="20">
        <f t="shared" si="498"/>
        <v>0</v>
      </c>
      <c r="AK1062" s="100">
        <f t="shared" si="500"/>
        <v>0</v>
      </c>
      <c r="AL1062" s="100">
        <f t="shared" si="501"/>
        <v>0</v>
      </c>
      <c r="AN1062" s="100">
        <f t="shared" si="502"/>
        <v>3220.8217842434651</v>
      </c>
      <c r="AO1062" s="20">
        <f t="shared" si="503"/>
        <v>0</v>
      </c>
      <c r="AQ1062" s="109">
        <f t="shared" si="504"/>
        <v>0</v>
      </c>
      <c r="AU1062" s="109">
        <f t="shared" si="519"/>
        <v>24.715474501948567</v>
      </c>
      <c r="AV1062" s="101">
        <f t="shared" si="505"/>
        <v>72114</v>
      </c>
      <c r="AW1062" s="99">
        <f t="shared" si="506"/>
        <v>0</v>
      </c>
      <c r="AX1062" s="1">
        <f t="shared" si="507"/>
        <v>0</v>
      </c>
      <c r="AY1062" s="29">
        <f t="shared" si="508"/>
        <v>0</v>
      </c>
      <c r="AZ1062" s="1">
        <f t="shared" si="520"/>
        <v>0</v>
      </c>
      <c r="CB1062" s="20">
        <f t="shared" si="499"/>
        <v>0</v>
      </c>
      <c r="CC1062" s="173">
        <f t="shared" si="521"/>
        <v>0</v>
      </c>
    </row>
    <row r="1063" spans="10:81" x14ac:dyDescent="0.25">
      <c r="J1063" s="7"/>
      <c r="K1063" s="8"/>
      <c r="L1063" s="16"/>
      <c r="M1063" s="22"/>
      <c r="N1063" s="22"/>
      <c r="O1063" s="22"/>
      <c r="P1063" s="22"/>
      <c r="Q1063" s="1">
        <f t="shared" si="522"/>
        <v>0.60744618579017706</v>
      </c>
      <c r="R1063" s="12">
        <f t="shared" ca="1" si="509"/>
        <v>30992</v>
      </c>
      <c r="S1063" s="88">
        <f t="shared" si="518"/>
        <v>0</v>
      </c>
      <c r="T1063" s="19">
        <f t="shared" si="510"/>
        <v>0</v>
      </c>
      <c r="U1063" s="19">
        <f t="shared" si="511"/>
        <v>0</v>
      </c>
      <c r="V1063" s="19">
        <f t="shared" si="527"/>
        <v>0</v>
      </c>
      <c r="W1063" s="20">
        <f t="shared" ca="1" si="512"/>
        <v>0</v>
      </c>
      <c r="X1063" s="19">
        <f t="shared" ca="1" si="513"/>
        <v>0</v>
      </c>
      <c r="Y1063" s="19">
        <f t="shared" ca="1" si="514"/>
        <v>0</v>
      </c>
      <c r="Z1063" s="20">
        <f t="shared" ca="1" si="515"/>
        <v>0</v>
      </c>
      <c r="AA1063" s="1">
        <f t="shared" si="523"/>
        <v>5432.58</v>
      </c>
      <c r="AB1063" s="91"/>
      <c r="AC1063" s="92"/>
      <c r="AD1063" s="101">
        <f t="shared" si="524"/>
        <v>72114</v>
      </c>
      <c r="AE1063" s="103">
        <f t="shared" si="525"/>
        <v>0</v>
      </c>
      <c r="AG1063" s="1">
        <f t="shared" si="516"/>
        <v>0</v>
      </c>
      <c r="AH1063" s="1">
        <f t="shared" si="517"/>
        <v>0</v>
      </c>
      <c r="AI1063" s="1">
        <f t="shared" si="526"/>
        <v>5432.58</v>
      </c>
      <c r="AJ1063" s="20">
        <f t="shared" si="498"/>
        <v>0</v>
      </c>
      <c r="AK1063" s="100">
        <f t="shared" si="500"/>
        <v>0</v>
      </c>
      <c r="AL1063" s="100">
        <f t="shared" si="501"/>
        <v>0</v>
      </c>
      <c r="AN1063" s="100">
        <f t="shared" si="502"/>
        <v>3219.1922125510987</v>
      </c>
      <c r="AO1063" s="20">
        <f t="shared" si="503"/>
        <v>0</v>
      </c>
      <c r="AQ1063" s="109">
        <f t="shared" si="504"/>
        <v>0</v>
      </c>
      <c r="AU1063" s="109">
        <f t="shared" si="519"/>
        <v>24.713305222934562</v>
      </c>
      <c r="AV1063" s="101">
        <f t="shared" si="505"/>
        <v>72144</v>
      </c>
      <c r="AW1063" s="99">
        <f t="shared" si="506"/>
        <v>0</v>
      </c>
      <c r="AX1063" s="1">
        <f t="shared" si="507"/>
        <v>0</v>
      </c>
      <c r="AY1063" s="29">
        <f t="shared" si="508"/>
        <v>0</v>
      </c>
      <c r="AZ1063" s="1">
        <f t="shared" si="520"/>
        <v>0</v>
      </c>
      <c r="CB1063" s="20">
        <f t="shared" si="499"/>
        <v>0</v>
      </c>
      <c r="CC1063" s="173">
        <f t="shared" si="521"/>
        <v>0</v>
      </c>
    </row>
    <row r="1064" spans="10:81" x14ac:dyDescent="0.25">
      <c r="J1064" s="9"/>
      <c r="K1064" s="10"/>
      <c r="L1064" s="17"/>
      <c r="M1064" s="23"/>
      <c r="N1064" s="23"/>
      <c r="O1064" s="23"/>
      <c r="P1064" s="23"/>
      <c r="Q1064" s="1">
        <f t="shared" si="522"/>
        <v>0.60744618579017706</v>
      </c>
      <c r="R1064" s="12">
        <f t="shared" ca="1" si="509"/>
        <v>31022</v>
      </c>
      <c r="S1064" s="88">
        <f t="shared" si="518"/>
        <v>0</v>
      </c>
      <c r="T1064" s="19">
        <f t="shared" si="510"/>
        <v>0</v>
      </c>
      <c r="U1064" s="19">
        <f t="shared" si="511"/>
        <v>0</v>
      </c>
      <c r="V1064" s="19">
        <f t="shared" si="527"/>
        <v>0</v>
      </c>
      <c r="W1064" s="20">
        <f t="shared" ca="1" si="512"/>
        <v>0</v>
      </c>
      <c r="X1064" s="19">
        <f t="shared" ca="1" si="513"/>
        <v>0</v>
      </c>
      <c r="Y1064" s="19">
        <f t="shared" ca="1" si="514"/>
        <v>0</v>
      </c>
      <c r="Z1064" s="20">
        <f t="shared" ca="1" si="515"/>
        <v>0</v>
      </c>
      <c r="AA1064" s="1">
        <f t="shared" si="523"/>
        <v>5432.58</v>
      </c>
      <c r="AB1064" s="93"/>
      <c r="AC1064" s="94"/>
      <c r="AD1064" s="101">
        <f t="shared" si="524"/>
        <v>72144</v>
      </c>
      <c r="AE1064" s="103">
        <f t="shared" si="525"/>
        <v>0</v>
      </c>
      <c r="AG1064" s="1">
        <f t="shared" si="516"/>
        <v>0</v>
      </c>
      <c r="AH1064" s="1">
        <f t="shared" si="517"/>
        <v>0</v>
      </c>
      <c r="AI1064" s="1">
        <f t="shared" si="526"/>
        <v>5432.58</v>
      </c>
      <c r="AJ1064" s="20">
        <f t="shared" ref="AJ1064:AJ1127" si="528">IF(ISERROR(IF(V1063+U1064+T1064+(V1063*Q1064/1200)-AA1064-P1064&lt;0,V1063,-(U1064+T1064-AA1064+P1064-AH1064))),0,IF(V1063+U1064+T1064+(V1063*Q1064/1200)-AA1064-P1064&lt;0,0,-(U1064+T1064-AA1064-AH1064)))</f>
        <v>0</v>
      </c>
      <c r="AK1064" s="100">
        <f t="shared" si="500"/>
        <v>0</v>
      </c>
      <c r="AL1064" s="100">
        <f t="shared" si="501"/>
        <v>0</v>
      </c>
      <c r="AN1064" s="100">
        <f t="shared" si="502"/>
        <v>3217.563465338967</v>
      </c>
      <c r="AO1064" s="20">
        <f t="shared" si="503"/>
        <v>0</v>
      </c>
      <c r="AQ1064" s="109">
        <f t="shared" si="504"/>
        <v>0</v>
      </c>
      <c r="AU1064" s="109">
        <f t="shared" si="519"/>
        <v>24.711136134318327</v>
      </c>
      <c r="AV1064" s="101">
        <f t="shared" si="505"/>
        <v>72174</v>
      </c>
      <c r="AW1064" s="99">
        <f t="shared" si="506"/>
        <v>0</v>
      </c>
      <c r="AX1064" s="1">
        <f t="shared" si="507"/>
        <v>0</v>
      </c>
      <c r="AY1064" s="29">
        <f t="shared" si="508"/>
        <v>0</v>
      </c>
      <c r="AZ1064" s="1">
        <f t="shared" si="520"/>
        <v>0</v>
      </c>
      <c r="CB1064" s="20">
        <f t="shared" si="499"/>
        <v>0</v>
      </c>
      <c r="CC1064" s="173">
        <f t="shared" si="521"/>
        <v>0</v>
      </c>
    </row>
    <row r="1065" spans="10:81" x14ac:dyDescent="0.25">
      <c r="J1065" s="7"/>
      <c r="K1065" s="8"/>
      <c r="L1065" s="16"/>
      <c r="M1065" s="22"/>
      <c r="N1065" s="22"/>
      <c r="O1065" s="22"/>
      <c r="P1065" s="22"/>
      <c r="Q1065" s="1">
        <f t="shared" si="522"/>
        <v>0.60744618579017706</v>
      </c>
      <c r="R1065" s="12">
        <f t="shared" ca="1" si="509"/>
        <v>31052</v>
      </c>
      <c r="S1065" s="88">
        <f t="shared" si="518"/>
        <v>0</v>
      </c>
      <c r="T1065" s="19">
        <f t="shared" si="510"/>
        <v>0</v>
      </c>
      <c r="U1065" s="19">
        <f t="shared" si="511"/>
        <v>0</v>
      </c>
      <c r="V1065" s="19">
        <f t="shared" si="527"/>
        <v>0</v>
      </c>
      <c r="W1065" s="20">
        <f t="shared" ca="1" si="512"/>
        <v>0</v>
      </c>
      <c r="X1065" s="19">
        <f t="shared" ca="1" si="513"/>
        <v>0</v>
      </c>
      <c r="Y1065" s="19">
        <f t="shared" ca="1" si="514"/>
        <v>0</v>
      </c>
      <c r="Z1065" s="20">
        <f t="shared" ca="1" si="515"/>
        <v>0</v>
      </c>
      <c r="AA1065" s="1">
        <f t="shared" si="523"/>
        <v>5432.58</v>
      </c>
      <c r="AB1065" s="91"/>
      <c r="AC1065" s="92"/>
      <c r="AD1065" s="101">
        <f t="shared" si="524"/>
        <v>72174</v>
      </c>
      <c r="AE1065" s="103">
        <f t="shared" si="525"/>
        <v>0</v>
      </c>
      <c r="AG1065" s="1">
        <f t="shared" si="516"/>
        <v>0</v>
      </c>
      <c r="AH1065" s="1">
        <f t="shared" si="517"/>
        <v>0</v>
      </c>
      <c r="AI1065" s="1">
        <f t="shared" si="526"/>
        <v>5432.58</v>
      </c>
      <c r="AJ1065" s="20">
        <f t="shared" si="528"/>
        <v>0</v>
      </c>
      <c r="AK1065" s="100">
        <f t="shared" si="500"/>
        <v>0</v>
      </c>
      <c r="AL1065" s="100">
        <f t="shared" si="501"/>
        <v>0</v>
      </c>
      <c r="AN1065" s="100">
        <f t="shared" si="502"/>
        <v>3215.935542189924</v>
      </c>
      <c r="AO1065" s="20">
        <f t="shared" si="503"/>
        <v>0</v>
      </c>
      <c r="AQ1065" s="109">
        <f t="shared" si="504"/>
        <v>0</v>
      </c>
      <c r="AU1065" s="109">
        <f t="shared" si="519"/>
        <v>24.708967236083165</v>
      </c>
      <c r="AV1065" s="101">
        <f t="shared" si="505"/>
        <v>72204</v>
      </c>
      <c r="AW1065" s="99">
        <f t="shared" si="506"/>
        <v>0</v>
      </c>
      <c r="AX1065" s="1">
        <f t="shared" si="507"/>
        <v>0</v>
      </c>
      <c r="AY1065" s="29">
        <f t="shared" si="508"/>
        <v>0</v>
      </c>
      <c r="AZ1065" s="1">
        <f t="shared" si="520"/>
        <v>0</v>
      </c>
      <c r="CB1065" s="20">
        <f t="shared" si="499"/>
        <v>0</v>
      </c>
      <c r="CC1065" s="173">
        <f t="shared" si="521"/>
        <v>0</v>
      </c>
    </row>
    <row r="1066" spans="10:81" x14ac:dyDescent="0.25">
      <c r="J1066" s="9"/>
      <c r="K1066" s="10"/>
      <c r="L1066" s="17"/>
      <c r="M1066" s="23"/>
      <c r="N1066" s="23"/>
      <c r="O1066" s="23"/>
      <c r="P1066" s="23"/>
      <c r="Q1066" s="1">
        <f t="shared" si="522"/>
        <v>0.60744618579017706</v>
      </c>
      <c r="R1066" s="12">
        <f t="shared" ca="1" si="509"/>
        <v>31082</v>
      </c>
      <c r="S1066" s="88">
        <f t="shared" si="518"/>
        <v>0</v>
      </c>
      <c r="T1066" s="19">
        <f t="shared" si="510"/>
        <v>0</v>
      </c>
      <c r="U1066" s="19">
        <f t="shared" si="511"/>
        <v>0</v>
      </c>
      <c r="V1066" s="19">
        <f t="shared" si="527"/>
        <v>0</v>
      </c>
      <c r="W1066" s="20">
        <f t="shared" ca="1" si="512"/>
        <v>0</v>
      </c>
      <c r="X1066" s="19">
        <f t="shared" ca="1" si="513"/>
        <v>0</v>
      </c>
      <c r="Y1066" s="19">
        <f t="shared" ca="1" si="514"/>
        <v>0</v>
      </c>
      <c r="Z1066" s="20">
        <f t="shared" ca="1" si="515"/>
        <v>0</v>
      </c>
      <c r="AA1066" s="1">
        <f t="shared" si="523"/>
        <v>5432.58</v>
      </c>
      <c r="AB1066" s="93"/>
      <c r="AC1066" s="94"/>
      <c r="AD1066" s="101">
        <f t="shared" si="524"/>
        <v>72204</v>
      </c>
      <c r="AE1066" s="103">
        <f t="shared" si="525"/>
        <v>0</v>
      </c>
      <c r="AG1066" s="1">
        <f t="shared" si="516"/>
        <v>0</v>
      </c>
      <c r="AH1066" s="1">
        <f t="shared" si="517"/>
        <v>0</v>
      </c>
      <c r="AI1066" s="1">
        <f t="shared" si="526"/>
        <v>5432.58</v>
      </c>
      <c r="AJ1066" s="20">
        <f t="shared" si="528"/>
        <v>0</v>
      </c>
      <c r="AK1066" s="100">
        <f t="shared" si="500"/>
        <v>0</v>
      </c>
      <c r="AL1066" s="100">
        <f t="shared" si="501"/>
        <v>0</v>
      </c>
      <c r="AN1066" s="100">
        <f t="shared" si="502"/>
        <v>3214.3084426870378</v>
      </c>
      <c r="AO1066" s="20">
        <f t="shared" si="503"/>
        <v>0</v>
      </c>
      <c r="AQ1066" s="109">
        <f t="shared" si="504"/>
        <v>0</v>
      </c>
      <c r="AU1066" s="109">
        <f t="shared" si="519"/>
        <v>24.706798528212357</v>
      </c>
      <c r="AV1066" s="101">
        <f t="shared" si="505"/>
        <v>72234</v>
      </c>
      <c r="AW1066" s="99">
        <f t="shared" si="506"/>
        <v>0</v>
      </c>
      <c r="AX1066" s="1">
        <f t="shared" si="507"/>
        <v>0</v>
      </c>
      <c r="AY1066" s="29">
        <f t="shared" si="508"/>
        <v>0</v>
      </c>
      <c r="AZ1066" s="1">
        <f t="shared" si="520"/>
        <v>0</v>
      </c>
      <c r="CB1066" s="20">
        <f t="shared" si="499"/>
        <v>0</v>
      </c>
      <c r="CC1066" s="173">
        <f t="shared" si="521"/>
        <v>0</v>
      </c>
    </row>
    <row r="1067" spans="10:81" x14ac:dyDescent="0.25">
      <c r="J1067" s="7"/>
      <c r="K1067" s="8"/>
      <c r="L1067" s="16"/>
      <c r="M1067" s="22"/>
      <c r="N1067" s="22"/>
      <c r="O1067" s="22"/>
      <c r="P1067" s="22"/>
      <c r="Q1067" s="1">
        <f t="shared" si="522"/>
        <v>0.60744618579017706</v>
      </c>
      <c r="R1067" s="12">
        <f t="shared" ca="1" si="509"/>
        <v>31112</v>
      </c>
      <c r="S1067" s="88">
        <f t="shared" si="518"/>
        <v>0</v>
      </c>
      <c r="T1067" s="19">
        <f t="shared" si="510"/>
        <v>0</v>
      </c>
      <c r="U1067" s="19">
        <f t="shared" si="511"/>
        <v>0</v>
      </c>
      <c r="V1067" s="19">
        <f t="shared" si="527"/>
        <v>0</v>
      </c>
      <c r="W1067" s="20">
        <f t="shared" ca="1" si="512"/>
        <v>0</v>
      </c>
      <c r="X1067" s="19">
        <f t="shared" ca="1" si="513"/>
        <v>0</v>
      </c>
      <c r="Y1067" s="19">
        <f t="shared" ca="1" si="514"/>
        <v>0</v>
      </c>
      <c r="Z1067" s="20">
        <f t="shared" ca="1" si="515"/>
        <v>0</v>
      </c>
      <c r="AA1067" s="1">
        <f t="shared" si="523"/>
        <v>5432.58</v>
      </c>
      <c r="AB1067" s="91"/>
      <c r="AC1067" s="92"/>
      <c r="AD1067" s="101">
        <f t="shared" si="524"/>
        <v>72234</v>
      </c>
      <c r="AE1067" s="103">
        <f t="shared" si="525"/>
        <v>0</v>
      </c>
      <c r="AG1067" s="1">
        <f t="shared" si="516"/>
        <v>0</v>
      </c>
      <c r="AH1067" s="1">
        <f t="shared" si="517"/>
        <v>0</v>
      </c>
      <c r="AI1067" s="1">
        <f t="shared" si="526"/>
        <v>5432.58</v>
      </c>
      <c r="AJ1067" s="20">
        <f t="shared" si="528"/>
        <v>0</v>
      </c>
      <c r="AK1067" s="100">
        <f t="shared" si="500"/>
        <v>0</v>
      </c>
      <c r="AL1067" s="100">
        <f t="shared" si="501"/>
        <v>0</v>
      </c>
      <c r="AN1067" s="100">
        <f t="shared" si="502"/>
        <v>3212.6821664135841</v>
      </c>
      <c r="AO1067" s="20">
        <f t="shared" si="503"/>
        <v>0</v>
      </c>
      <c r="AQ1067" s="109">
        <f t="shared" si="504"/>
        <v>0</v>
      </c>
      <c r="AU1067" s="109">
        <f t="shared" si="519"/>
        <v>24.704630010689197</v>
      </c>
      <c r="AV1067" s="101">
        <f t="shared" si="505"/>
        <v>72264</v>
      </c>
      <c r="AW1067" s="99">
        <f t="shared" si="506"/>
        <v>0</v>
      </c>
      <c r="AX1067" s="1">
        <f t="shared" si="507"/>
        <v>0</v>
      </c>
      <c r="AY1067" s="29">
        <f t="shared" si="508"/>
        <v>0</v>
      </c>
      <c r="AZ1067" s="1">
        <f t="shared" si="520"/>
        <v>0</v>
      </c>
      <c r="CB1067" s="20">
        <f t="shared" si="499"/>
        <v>0</v>
      </c>
      <c r="CC1067" s="173">
        <f t="shared" si="521"/>
        <v>0</v>
      </c>
    </row>
    <row r="1068" spans="10:81" x14ac:dyDescent="0.25">
      <c r="J1068" s="9"/>
      <c r="K1068" s="10"/>
      <c r="L1068" s="17"/>
      <c r="M1068" s="23"/>
      <c r="N1068" s="23"/>
      <c r="O1068" s="23"/>
      <c r="P1068" s="23"/>
      <c r="Q1068" s="1">
        <f t="shared" si="522"/>
        <v>0.60744618579017706</v>
      </c>
      <c r="R1068" s="12">
        <f t="shared" ca="1" si="509"/>
        <v>31142</v>
      </c>
      <c r="S1068" s="88">
        <f t="shared" si="518"/>
        <v>0</v>
      </c>
      <c r="T1068" s="19">
        <f t="shared" si="510"/>
        <v>0</v>
      </c>
      <c r="U1068" s="19">
        <f t="shared" si="511"/>
        <v>0</v>
      </c>
      <c r="V1068" s="19">
        <f t="shared" si="527"/>
        <v>0</v>
      </c>
      <c r="W1068" s="20">
        <f t="shared" ca="1" si="512"/>
        <v>0</v>
      </c>
      <c r="X1068" s="19">
        <f t="shared" ca="1" si="513"/>
        <v>0</v>
      </c>
      <c r="Y1068" s="19">
        <f t="shared" ca="1" si="514"/>
        <v>0</v>
      </c>
      <c r="Z1068" s="20">
        <f t="shared" ca="1" si="515"/>
        <v>0</v>
      </c>
      <c r="AA1068" s="1">
        <f t="shared" si="523"/>
        <v>5432.58</v>
      </c>
      <c r="AB1068" s="93"/>
      <c r="AC1068" s="94"/>
      <c r="AD1068" s="101">
        <f t="shared" si="524"/>
        <v>72264</v>
      </c>
      <c r="AE1068" s="103">
        <f t="shared" si="525"/>
        <v>0</v>
      </c>
      <c r="AG1068" s="1">
        <f t="shared" si="516"/>
        <v>0</v>
      </c>
      <c r="AH1068" s="1">
        <f t="shared" si="517"/>
        <v>0</v>
      </c>
      <c r="AI1068" s="1">
        <f t="shared" si="526"/>
        <v>5432.58</v>
      </c>
      <c r="AJ1068" s="20">
        <f t="shared" si="528"/>
        <v>0</v>
      </c>
      <c r="AK1068" s="100">
        <f t="shared" si="500"/>
        <v>0</v>
      </c>
      <c r="AL1068" s="100">
        <f t="shared" si="501"/>
        <v>0</v>
      </c>
      <c r="AN1068" s="100">
        <f t="shared" si="502"/>
        <v>3211.0567129530509</v>
      </c>
      <c r="AO1068" s="20">
        <f t="shared" si="503"/>
        <v>0</v>
      </c>
      <c r="AQ1068" s="109">
        <f t="shared" si="504"/>
        <v>0</v>
      </c>
      <c r="AU1068" s="109">
        <f t="shared" si="519"/>
        <v>24.702461683496992</v>
      </c>
      <c r="AV1068" s="101">
        <f t="shared" si="505"/>
        <v>72294</v>
      </c>
      <c r="AW1068" s="99">
        <f t="shared" si="506"/>
        <v>0</v>
      </c>
      <c r="AX1068" s="1">
        <f t="shared" si="507"/>
        <v>0</v>
      </c>
      <c r="AY1068" s="29">
        <f t="shared" si="508"/>
        <v>0</v>
      </c>
      <c r="AZ1068" s="1">
        <f t="shared" si="520"/>
        <v>0</v>
      </c>
      <c r="CB1068" s="20">
        <f t="shared" si="499"/>
        <v>0</v>
      </c>
      <c r="CC1068" s="173">
        <f t="shared" si="521"/>
        <v>0</v>
      </c>
    </row>
    <row r="1069" spans="10:81" x14ac:dyDescent="0.25">
      <c r="J1069" s="7"/>
      <c r="K1069" s="8"/>
      <c r="L1069" s="16"/>
      <c r="M1069" s="22"/>
      <c r="N1069" s="22"/>
      <c r="O1069" s="22"/>
      <c r="P1069" s="22"/>
      <c r="Q1069" s="1">
        <f t="shared" si="522"/>
        <v>0.60744618579017706</v>
      </c>
      <c r="R1069" s="12">
        <f t="shared" ca="1" si="509"/>
        <v>31172</v>
      </c>
      <c r="S1069" s="88">
        <f t="shared" si="518"/>
        <v>0</v>
      </c>
      <c r="T1069" s="19">
        <f t="shared" si="510"/>
        <v>0</v>
      </c>
      <c r="U1069" s="19">
        <f t="shared" si="511"/>
        <v>0</v>
      </c>
      <c r="V1069" s="19">
        <f t="shared" si="527"/>
        <v>0</v>
      </c>
      <c r="W1069" s="20">
        <f t="shared" ca="1" si="512"/>
        <v>0</v>
      </c>
      <c r="X1069" s="19">
        <f t="shared" ca="1" si="513"/>
        <v>0</v>
      </c>
      <c r="Y1069" s="19">
        <f t="shared" ca="1" si="514"/>
        <v>0</v>
      </c>
      <c r="Z1069" s="20">
        <f t="shared" ca="1" si="515"/>
        <v>0</v>
      </c>
      <c r="AA1069" s="1">
        <f t="shared" si="523"/>
        <v>5432.58</v>
      </c>
      <c r="AB1069" s="91"/>
      <c r="AC1069" s="92"/>
      <c r="AD1069" s="101">
        <f t="shared" si="524"/>
        <v>72294</v>
      </c>
      <c r="AE1069" s="103">
        <f t="shared" si="525"/>
        <v>0</v>
      </c>
      <c r="AG1069" s="1">
        <f t="shared" si="516"/>
        <v>0</v>
      </c>
      <c r="AH1069" s="1">
        <f t="shared" si="517"/>
        <v>0</v>
      </c>
      <c r="AI1069" s="1">
        <f t="shared" si="526"/>
        <v>5432.58</v>
      </c>
      <c r="AJ1069" s="20">
        <f t="shared" si="528"/>
        <v>0</v>
      </c>
      <c r="AK1069" s="100">
        <f t="shared" si="500"/>
        <v>0</v>
      </c>
      <c r="AL1069" s="100">
        <f t="shared" si="501"/>
        <v>0</v>
      </c>
      <c r="AN1069" s="100">
        <f t="shared" si="502"/>
        <v>3209.4320818891374</v>
      </c>
      <c r="AO1069" s="20">
        <f t="shared" si="503"/>
        <v>0</v>
      </c>
      <c r="AQ1069" s="109">
        <f t="shared" si="504"/>
        <v>0</v>
      </c>
      <c r="AU1069" s="109">
        <f t="shared" si="519"/>
        <v>24.700293546619015</v>
      </c>
      <c r="AV1069" s="101">
        <f t="shared" si="505"/>
        <v>72324</v>
      </c>
      <c r="AW1069" s="99">
        <f t="shared" si="506"/>
        <v>0</v>
      </c>
      <c r="AX1069" s="1">
        <f t="shared" si="507"/>
        <v>0</v>
      </c>
      <c r="AY1069" s="29">
        <f t="shared" si="508"/>
        <v>0</v>
      </c>
      <c r="AZ1069" s="1">
        <f t="shared" si="520"/>
        <v>0</v>
      </c>
      <c r="CB1069" s="20">
        <f t="shared" si="499"/>
        <v>0</v>
      </c>
      <c r="CC1069" s="173">
        <f t="shared" si="521"/>
        <v>0</v>
      </c>
    </row>
    <row r="1070" spans="10:81" x14ac:dyDescent="0.25">
      <c r="J1070" s="9"/>
      <c r="K1070" s="10"/>
      <c r="L1070" s="17"/>
      <c r="M1070" s="23"/>
      <c r="N1070" s="23"/>
      <c r="O1070" s="23"/>
      <c r="P1070" s="23"/>
      <c r="Q1070" s="1">
        <f t="shared" si="522"/>
        <v>0.60744618579017706</v>
      </c>
      <c r="R1070" s="12">
        <f t="shared" ca="1" si="509"/>
        <v>31202</v>
      </c>
      <c r="S1070" s="88">
        <f t="shared" si="518"/>
        <v>0</v>
      </c>
      <c r="T1070" s="19">
        <f t="shared" si="510"/>
        <v>0</v>
      </c>
      <c r="U1070" s="19">
        <f t="shared" si="511"/>
        <v>0</v>
      </c>
      <c r="V1070" s="19">
        <f t="shared" si="527"/>
        <v>0</v>
      </c>
      <c r="W1070" s="20">
        <f t="shared" ca="1" si="512"/>
        <v>0</v>
      </c>
      <c r="X1070" s="19">
        <f t="shared" ca="1" si="513"/>
        <v>0</v>
      </c>
      <c r="Y1070" s="19">
        <f t="shared" ca="1" si="514"/>
        <v>0</v>
      </c>
      <c r="Z1070" s="20">
        <f t="shared" ca="1" si="515"/>
        <v>0</v>
      </c>
      <c r="AA1070" s="1">
        <f t="shared" si="523"/>
        <v>5432.58</v>
      </c>
      <c r="AB1070" s="93"/>
      <c r="AC1070" s="94"/>
      <c r="AD1070" s="101">
        <f t="shared" si="524"/>
        <v>72324</v>
      </c>
      <c r="AE1070" s="103">
        <f t="shared" si="525"/>
        <v>0</v>
      </c>
      <c r="AG1070" s="1">
        <f t="shared" si="516"/>
        <v>0</v>
      </c>
      <c r="AH1070" s="1">
        <f t="shared" si="517"/>
        <v>0</v>
      </c>
      <c r="AI1070" s="1">
        <f t="shared" si="526"/>
        <v>5432.58</v>
      </c>
      <c r="AJ1070" s="20">
        <f t="shared" si="528"/>
        <v>0</v>
      </c>
      <c r="AK1070" s="100">
        <f t="shared" si="500"/>
        <v>0</v>
      </c>
      <c r="AL1070" s="100">
        <f t="shared" si="501"/>
        <v>0</v>
      </c>
      <c r="AN1070" s="100">
        <f t="shared" si="502"/>
        <v>3207.8082728057516</v>
      </c>
      <c r="AO1070" s="20">
        <f t="shared" si="503"/>
        <v>0</v>
      </c>
      <c r="AQ1070" s="109">
        <f t="shared" si="504"/>
        <v>0</v>
      </c>
      <c r="AU1070" s="109">
        <f t="shared" si="519"/>
        <v>24.698125600038559</v>
      </c>
      <c r="AV1070" s="101">
        <f t="shared" si="505"/>
        <v>72354</v>
      </c>
      <c r="AW1070" s="99">
        <f t="shared" si="506"/>
        <v>0</v>
      </c>
      <c r="AX1070" s="1">
        <f t="shared" si="507"/>
        <v>0</v>
      </c>
      <c r="AY1070" s="29">
        <f t="shared" si="508"/>
        <v>0</v>
      </c>
      <c r="AZ1070" s="1">
        <f t="shared" si="520"/>
        <v>0</v>
      </c>
      <c r="CB1070" s="20">
        <f t="shared" ref="CB1070:CB1133" si="529">IF(O1070=0,IF(P1070&gt;0,V1069,IF(O1069=0,0,P1070)),IF(O1069=0,0,P1070))</f>
        <v>0</v>
      </c>
      <c r="CC1070" s="173">
        <f t="shared" si="521"/>
        <v>0</v>
      </c>
    </row>
    <row r="1071" spans="10:81" x14ac:dyDescent="0.25">
      <c r="J1071" s="7"/>
      <c r="K1071" s="8"/>
      <c r="L1071" s="16"/>
      <c r="M1071" s="22"/>
      <c r="N1071" s="22"/>
      <c r="O1071" s="22"/>
      <c r="P1071" s="22"/>
      <c r="Q1071" s="1">
        <f t="shared" si="522"/>
        <v>0.60744618579017706</v>
      </c>
      <c r="R1071" s="12">
        <f t="shared" ca="1" si="509"/>
        <v>31232</v>
      </c>
      <c r="S1071" s="88">
        <f t="shared" si="518"/>
        <v>0</v>
      </c>
      <c r="T1071" s="19">
        <f t="shared" si="510"/>
        <v>0</v>
      </c>
      <c r="U1071" s="19">
        <f t="shared" si="511"/>
        <v>0</v>
      </c>
      <c r="V1071" s="19">
        <f t="shared" si="527"/>
        <v>0</v>
      </c>
      <c r="W1071" s="20">
        <f t="shared" ca="1" si="512"/>
        <v>0</v>
      </c>
      <c r="X1071" s="19">
        <f t="shared" ca="1" si="513"/>
        <v>0</v>
      </c>
      <c r="Y1071" s="19">
        <f t="shared" ca="1" si="514"/>
        <v>0</v>
      </c>
      <c r="Z1071" s="20">
        <f t="shared" ca="1" si="515"/>
        <v>0</v>
      </c>
      <c r="AA1071" s="1">
        <f t="shared" si="523"/>
        <v>5432.58</v>
      </c>
      <c r="AB1071" s="91"/>
      <c r="AC1071" s="92"/>
      <c r="AD1071" s="101">
        <f t="shared" si="524"/>
        <v>72354</v>
      </c>
      <c r="AE1071" s="103">
        <f t="shared" si="525"/>
        <v>0</v>
      </c>
      <c r="AG1071" s="1">
        <f t="shared" si="516"/>
        <v>0</v>
      </c>
      <c r="AH1071" s="1">
        <f t="shared" si="517"/>
        <v>0</v>
      </c>
      <c r="AI1071" s="1">
        <f t="shared" si="526"/>
        <v>5432.58</v>
      </c>
      <c r="AJ1071" s="20">
        <f t="shared" si="528"/>
        <v>0</v>
      </c>
      <c r="AK1071" s="100">
        <f t="shared" si="500"/>
        <v>0</v>
      </c>
      <c r="AL1071" s="100">
        <f t="shared" si="501"/>
        <v>0</v>
      </c>
      <c r="AN1071" s="100">
        <f t="shared" si="502"/>
        <v>3206.1852852870152</v>
      </c>
      <c r="AO1071" s="20">
        <f t="shared" si="503"/>
        <v>0</v>
      </c>
      <c r="AQ1071" s="109">
        <f t="shared" si="504"/>
        <v>0</v>
      </c>
      <c r="AU1071" s="109">
        <f t="shared" si="519"/>
        <v>24.695957843738949</v>
      </c>
      <c r="AV1071" s="101">
        <f t="shared" si="505"/>
        <v>72384</v>
      </c>
      <c r="AW1071" s="99">
        <f t="shared" si="506"/>
        <v>0</v>
      </c>
      <c r="AX1071" s="1">
        <f t="shared" si="507"/>
        <v>0</v>
      </c>
      <c r="AY1071" s="29">
        <f t="shared" si="508"/>
        <v>0</v>
      </c>
      <c r="AZ1071" s="1">
        <f t="shared" si="520"/>
        <v>0</v>
      </c>
      <c r="CB1071" s="20">
        <f t="shared" si="529"/>
        <v>0</v>
      </c>
      <c r="CC1071" s="173">
        <f t="shared" si="521"/>
        <v>0</v>
      </c>
    </row>
    <row r="1072" spans="10:81" x14ac:dyDescent="0.25">
      <c r="J1072" s="9"/>
      <c r="K1072" s="10"/>
      <c r="L1072" s="17"/>
      <c r="M1072" s="23"/>
      <c r="N1072" s="23"/>
      <c r="O1072" s="23"/>
      <c r="P1072" s="23"/>
      <c r="Q1072" s="1">
        <f t="shared" si="522"/>
        <v>0.60744618579017706</v>
      </c>
      <c r="R1072" s="12">
        <f t="shared" ca="1" si="509"/>
        <v>31262</v>
      </c>
      <c r="S1072" s="88">
        <f t="shared" si="518"/>
        <v>0</v>
      </c>
      <c r="T1072" s="19">
        <f t="shared" si="510"/>
        <v>0</v>
      </c>
      <c r="U1072" s="19">
        <f t="shared" si="511"/>
        <v>0</v>
      </c>
      <c r="V1072" s="19">
        <f t="shared" si="527"/>
        <v>0</v>
      </c>
      <c r="W1072" s="20">
        <f t="shared" ca="1" si="512"/>
        <v>0</v>
      </c>
      <c r="X1072" s="19">
        <f t="shared" ca="1" si="513"/>
        <v>0</v>
      </c>
      <c r="Y1072" s="19">
        <f t="shared" ca="1" si="514"/>
        <v>0</v>
      </c>
      <c r="Z1072" s="20">
        <f t="shared" ca="1" si="515"/>
        <v>0</v>
      </c>
      <c r="AA1072" s="1">
        <f t="shared" si="523"/>
        <v>5432.58</v>
      </c>
      <c r="AB1072" s="93"/>
      <c r="AC1072" s="94"/>
      <c r="AD1072" s="101">
        <f t="shared" si="524"/>
        <v>72384</v>
      </c>
      <c r="AE1072" s="103">
        <f t="shared" si="525"/>
        <v>0</v>
      </c>
      <c r="AG1072" s="1">
        <f t="shared" si="516"/>
        <v>0</v>
      </c>
      <c r="AH1072" s="1">
        <f t="shared" si="517"/>
        <v>0</v>
      </c>
      <c r="AI1072" s="1">
        <f t="shared" si="526"/>
        <v>5432.58</v>
      </c>
      <c r="AJ1072" s="20">
        <f t="shared" si="528"/>
        <v>0</v>
      </c>
      <c r="AK1072" s="100">
        <f t="shared" si="500"/>
        <v>0</v>
      </c>
      <c r="AL1072" s="100">
        <f t="shared" si="501"/>
        <v>0</v>
      </c>
      <c r="AN1072" s="100">
        <f t="shared" si="502"/>
        <v>3204.5631189172564</v>
      </c>
      <c r="AO1072" s="20">
        <f t="shared" si="503"/>
        <v>0</v>
      </c>
      <c r="AQ1072" s="109">
        <f t="shared" si="504"/>
        <v>0</v>
      </c>
      <c r="AU1072" s="109">
        <f t="shared" si="519"/>
        <v>24.693790277703467</v>
      </c>
      <c r="AV1072" s="101">
        <f t="shared" si="505"/>
        <v>72414</v>
      </c>
      <c r="AW1072" s="99">
        <f t="shared" si="506"/>
        <v>0</v>
      </c>
      <c r="AX1072" s="1">
        <f t="shared" si="507"/>
        <v>0</v>
      </c>
      <c r="AY1072" s="29">
        <f t="shared" si="508"/>
        <v>0</v>
      </c>
      <c r="AZ1072" s="1">
        <f t="shared" si="520"/>
        <v>0</v>
      </c>
      <c r="CB1072" s="20">
        <f t="shared" si="529"/>
        <v>0</v>
      </c>
      <c r="CC1072" s="173">
        <f t="shared" si="521"/>
        <v>0</v>
      </c>
    </row>
    <row r="1073" spans="10:81" x14ac:dyDescent="0.25">
      <c r="J1073" s="7"/>
      <c r="K1073" s="8"/>
      <c r="L1073" s="16"/>
      <c r="M1073" s="22"/>
      <c r="N1073" s="22"/>
      <c r="O1073" s="22"/>
      <c r="P1073" s="22"/>
      <c r="Q1073" s="1">
        <f t="shared" si="522"/>
        <v>0.60744618579017706</v>
      </c>
      <c r="R1073" s="12">
        <f t="shared" ca="1" si="509"/>
        <v>31292</v>
      </c>
      <c r="S1073" s="88">
        <f t="shared" si="518"/>
        <v>0</v>
      </c>
      <c r="T1073" s="19">
        <f t="shared" si="510"/>
        <v>0</v>
      </c>
      <c r="U1073" s="19">
        <f t="shared" si="511"/>
        <v>0</v>
      </c>
      <c r="V1073" s="19">
        <f t="shared" si="527"/>
        <v>0</v>
      </c>
      <c r="W1073" s="20">
        <f t="shared" ca="1" si="512"/>
        <v>0</v>
      </c>
      <c r="X1073" s="19">
        <f t="shared" ca="1" si="513"/>
        <v>0</v>
      </c>
      <c r="Y1073" s="19">
        <f t="shared" ca="1" si="514"/>
        <v>0</v>
      </c>
      <c r="Z1073" s="20">
        <f t="shared" ca="1" si="515"/>
        <v>0</v>
      </c>
      <c r="AA1073" s="1">
        <f t="shared" si="523"/>
        <v>5432.58</v>
      </c>
      <c r="AB1073" s="91"/>
      <c r="AC1073" s="92"/>
      <c r="AD1073" s="101">
        <f t="shared" si="524"/>
        <v>72414</v>
      </c>
      <c r="AE1073" s="103">
        <f t="shared" si="525"/>
        <v>0</v>
      </c>
      <c r="AG1073" s="1">
        <f t="shared" si="516"/>
        <v>0</v>
      </c>
      <c r="AH1073" s="1">
        <f t="shared" si="517"/>
        <v>0</v>
      </c>
      <c r="AI1073" s="1">
        <f t="shared" si="526"/>
        <v>5432.58</v>
      </c>
      <c r="AJ1073" s="20">
        <f t="shared" si="528"/>
        <v>0</v>
      </c>
      <c r="AK1073" s="100">
        <f t="shared" si="500"/>
        <v>0</v>
      </c>
      <c r="AL1073" s="100">
        <f t="shared" si="501"/>
        <v>0</v>
      </c>
      <c r="AN1073" s="100">
        <f t="shared" si="502"/>
        <v>3202.9417732810161</v>
      </c>
      <c r="AO1073" s="20">
        <f t="shared" si="503"/>
        <v>0</v>
      </c>
      <c r="AQ1073" s="109">
        <f t="shared" si="504"/>
        <v>0</v>
      </c>
      <c r="AU1073" s="109">
        <f t="shared" si="519"/>
        <v>24.691622901915409</v>
      </c>
      <c r="AV1073" s="101">
        <f t="shared" si="505"/>
        <v>72444</v>
      </c>
      <c r="AW1073" s="99">
        <f t="shared" si="506"/>
        <v>0</v>
      </c>
      <c r="AX1073" s="1">
        <f t="shared" si="507"/>
        <v>0</v>
      </c>
      <c r="AY1073" s="29">
        <f t="shared" si="508"/>
        <v>0</v>
      </c>
      <c r="AZ1073" s="1">
        <f t="shared" si="520"/>
        <v>0</v>
      </c>
      <c r="CB1073" s="20">
        <f t="shared" si="529"/>
        <v>0</v>
      </c>
      <c r="CC1073" s="173">
        <f t="shared" si="521"/>
        <v>0</v>
      </c>
    </row>
    <row r="1074" spans="10:81" x14ac:dyDescent="0.25">
      <c r="J1074" s="9"/>
      <c r="K1074" s="10"/>
      <c r="L1074" s="17"/>
      <c r="M1074" s="23"/>
      <c r="N1074" s="23"/>
      <c r="O1074" s="23"/>
      <c r="P1074" s="23"/>
      <c r="Q1074" s="1">
        <f t="shared" si="522"/>
        <v>0.60744618579017706</v>
      </c>
      <c r="R1074" s="12">
        <f t="shared" ca="1" si="509"/>
        <v>31322</v>
      </c>
      <c r="S1074" s="88">
        <f t="shared" si="518"/>
        <v>0</v>
      </c>
      <c r="T1074" s="19">
        <f t="shared" si="510"/>
        <v>0</v>
      </c>
      <c r="U1074" s="19">
        <f t="shared" si="511"/>
        <v>0</v>
      </c>
      <c r="V1074" s="19">
        <f t="shared" si="527"/>
        <v>0</v>
      </c>
      <c r="W1074" s="20">
        <f t="shared" ca="1" si="512"/>
        <v>0</v>
      </c>
      <c r="X1074" s="19">
        <f t="shared" ca="1" si="513"/>
        <v>0</v>
      </c>
      <c r="Y1074" s="19">
        <f t="shared" ca="1" si="514"/>
        <v>0</v>
      </c>
      <c r="Z1074" s="20">
        <f t="shared" ca="1" si="515"/>
        <v>0</v>
      </c>
      <c r="AA1074" s="1">
        <f t="shared" si="523"/>
        <v>5432.58</v>
      </c>
      <c r="AB1074" s="93"/>
      <c r="AC1074" s="94"/>
      <c r="AD1074" s="101">
        <f t="shared" si="524"/>
        <v>72444</v>
      </c>
      <c r="AE1074" s="103">
        <f t="shared" si="525"/>
        <v>0</v>
      </c>
      <c r="AG1074" s="1">
        <f t="shared" si="516"/>
        <v>0</v>
      </c>
      <c r="AH1074" s="1">
        <f t="shared" si="517"/>
        <v>0</v>
      </c>
      <c r="AI1074" s="1">
        <f t="shared" si="526"/>
        <v>5432.58</v>
      </c>
      <c r="AJ1074" s="20">
        <f t="shared" si="528"/>
        <v>0</v>
      </c>
      <c r="AK1074" s="100">
        <f t="shared" si="500"/>
        <v>0</v>
      </c>
      <c r="AL1074" s="100">
        <f t="shared" si="501"/>
        <v>0</v>
      </c>
      <c r="AN1074" s="100">
        <f t="shared" si="502"/>
        <v>3201.3212479630461</v>
      </c>
      <c r="AO1074" s="20">
        <f t="shared" si="503"/>
        <v>0</v>
      </c>
      <c r="AQ1074" s="109">
        <f t="shared" si="504"/>
        <v>0</v>
      </c>
      <c r="AU1074" s="109">
        <f t="shared" si="519"/>
        <v>24.689455716358083</v>
      </c>
      <c r="AV1074" s="101">
        <f t="shared" si="505"/>
        <v>72474</v>
      </c>
      <c r="AW1074" s="99">
        <f t="shared" si="506"/>
        <v>0</v>
      </c>
      <c r="AX1074" s="1">
        <f t="shared" si="507"/>
        <v>0</v>
      </c>
      <c r="AY1074" s="29">
        <f t="shared" si="508"/>
        <v>0</v>
      </c>
      <c r="AZ1074" s="1">
        <f t="shared" si="520"/>
        <v>0</v>
      </c>
      <c r="CB1074" s="20">
        <f t="shared" si="529"/>
        <v>0</v>
      </c>
      <c r="CC1074" s="173">
        <f t="shared" si="521"/>
        <v>0</v>
      </c>
    </row>
    <row r="1075" spans="10:81" x14ac:dyDescent="0.25">
      <c r="J1075" s="7"/>
      <c r="K1075" s="8"/>
      <c r="L1075" s="16"/>
      <c r="M1075" s="22"/>
      <c r="N1075" s="22"/>
      <c r="O1075" s="22"/>
      <c r="P1075" s="22"/>
      <c r="Q1075" s="1">
        <f t="shared" si="522"/>
        <v>0.60744618579017706</v>
      </c>
      <c r="R1075" s="12">
        <f t="shared" ca="1" si="509"/>
        <v>31352</v>
      </c>
      <c r="S1075" s="88">
        <f t="shared" si="518"/>
        <v>0</v>
      </c>
      <c r="T1075" s="19">
        <f t="shared" si="510"/>
        <v>0</v>
      </c>
      <c r="U1075" s="19">
        <f t="shared" si="511"/>
        <v>0</v>
      </c>
      <c r="V1075" s="19">
        <f t="shared" si="527"/>
        <v>0</v>
      </c>
      <c r="W1075" s="20">
        <f t="shared" ca="1" si="512"/>
        <v>0</v>
      </c>
      <c r="X1075" s="19">
        <f t="shared" ca="1" si="513"/>
        <v>0</v>
      </c>
      <c r="Y1075" s="19">
        <f t="shared" ca="1" si="514"/>
        <v>0</v>
      </c>
      <c r="Z1075" s="20">
        <f t="shared" ca="1" si="515"/>
        <v>0</v>
      </c>
      <c r="AA1075" s="1">
        <f t="shared" si="523"/>
        <v>5432.58</v>
      </c>
      <c r="AB1075" s="91"/>
      <c r="AC1075" s="92"/>
      <c r="AD1075" s="101">
        <f t="shared" si="524"/>
        <v>72474</v>
      </c>
      <c r="AE1075" s="103">
        <f t="shared" si="525"/>
        <v>0</v>
      </c>
      <c r="AG1075" s="1">
        <f t="shared" si="516"/>
        <v>0</v>
      </c>
      <c r="AH1075" s="1">
        <f t="shared" si="517"/>
        <v>0</v>
      </c>
      <c r="AI1075" s="1">
        <f t="shared" si="526"/>
        <v>5432.58</v>
      </c>
      <c r="AJ1075" s="20">
        <f t="shared" si="528"/>
        <v>0</v>
      </c>
      <c r="AK1075" s="100">
        <f t="shared" si="500"/>
        <v>0</v>
      </c>
      <c r="AL1075" s="100">
        <f t="shared" si="501"/>
        <v>0</v>
      </c>
      <c r="AN1075" s="100">
        <f t="shared" si="502"/>
        <v>3199.701542548305</v>
      </c>
      <c r="AO1075" s="20">
        <f t="shared" si="503"/>
        <v>0</v>
      </c>
      <c r="AQ1075" s="109">
        <f t="shared" si="504"/>
        <v>0</v>
      </c>
      <c r="AU1075" s="109">
        <f t="shared" si="519"/>
        <v>24.687288721014802</v>
      </c>
      <c r="AV1075" s="101">
        <f t="shared" si="505"/>
        <v>72504</v>
      </c>
      <c r="AW1075" s="99">
        <f t="shared" si="506"/>
        <v>0</v>
      </c>
      <c r="AX1075" s="1">
        <f t="shared" si="507"/>
        <v>0</v>
      </c>
      <c r="AY1075" s="29">
        <f t="shared" si="508"/>
        <v>0</v>
      </c>
      <c r="AZ1075" s="1">
        <f t="shared" si="520"/>
        <v>0</v>
      </c>
      <c r="CB1075" s="20">
        <f t="shared" si="529"/>
        <v>0</v>
      </c>
      <c r="CC1075" s="173">
        <f t="shared" si="521"/>
        <v>0</v>
      </c>
    </row>
    <row r="1076" spans="10:81" x14ac:dyDescent="0.25">
      <c r="J1076" s="9"/>
      <c r="K1076" s="10"/>
      <c r="L1076" s="17"/>
      <c r="M1076" s="23"/>
      <c r="N1076" s="23"/>
      <c r="O1076" s="23"/>
      <c r="P1076" s="23"/>
      <c r="Q1076" s="1">
        <f t="shared" si="522"/>
        <v>0.60744618579017706</v>
      </c>
      <c r="R1076" s="12">
        <f t="shared" ca="1" si="509"/>
        <v>31382</v>
      </c>
      <c r="S1076" s="88">
        <f t="shared" si="518"/>
        <v>0</v>
      </c>
      <c r="T1076" s="19">
        <f t="shared" si="510"/>
        <v>0</v>
      </c>
      <c r="U1076" s="19">
        <f t="shared" si="511"/>
        <v>0</v>
      </c>
      <c r="V1076" s="19">
        <f t="shared" si="527"/>
        <v>0</v>
      </c>
      <c r="W1076" s="20">
        <f t="shared" ca="1" si="512"/>
        <v>0</v>
      </c>
      <c r="X1076" s="19">
        <f t="shared" ca="1" si="513"/>
        <v>0</v>
      </c>
      <c r="Y1076" s="19">
        <f t="shared" ca="1" si="514"/>
        <v>0</v>
      </c>
      <c r="Z1076" s="20">
        <f t="shared" ca="1" si="515"/>
        <v>0</v>
      </c>
      <c r="AA1076" s="1">
        <f t="shared" si="523"/>
        <v>5432.58</v>
      </c>
      <c r="AB1076" s="93"/>
      <c r="AC1076" s="94"/>
      <c r="AD1076" s="101">
        <f t="shared" si="524"/>
        <v>72504</v>
      </c>
      <c r="AE1076" s="103">
        <f t="shared" si="525"/>
        <v>0</v>
      </c>
      <c r="AG1076" s="1">
        <f t="shared" si="516"/>
        <v>0</v>
      </c>
      <c r="AH1076" s="1">
        <f t="shared" si="517"/>
        <v>0</v>
      </c>
      <c r="AI1076" s="1">
        <f t="shared" si="526"/>
        <v>5432.58</v>
      </c>
      <c r="AJ1076" s="20">
        <f t="shared" si="528"/>
        <v>0</v>
      </c>
      <c r="AK1076" s="100">
        <f t="shared" si="500"/>
        <v>0</v>
      </c>
      <c r="AL1076" s="100">
        <f t="shared" si="501"/>
        <v>0</v>
      </c>
      <c r="AN1076" s="100">
        <f t="shared" si="502"/>
        <v>3198.0826566219662</v>
      </c>
      <c r="AO1076" s="20">
        <f t="shared" si="503"/>
        <v>0</v>
      </c>
      <c r="AQ1076" s="109">
        <f t="shared" si="504"/>
        <v>0</v>
      </c>
      <c r="AU1076" s="109">
        <f t="shared" si="519"/>
        <v>24.685121915868855</v>
      </c>
      <c r="AV1076" s="101">
        <f t="shared" si="505"/>
        <v>72534</v>
      </c>
      <c r="AW1076" s="99">
        <f t="shared" si="506"/>
        <v>0</v>
      </c>
      <c r="AX1076" s="1">
        <f t="shared" si="507"/>
        <v>0</v>
      </c>
      <c r="AY1076" s="29">
        <f t="shared" si="508"/>
        <v>0</v>
      </c>
      <c r="AZ1076" s="1">
        <f t="shared" si="520"/>
        <v>0</v>
      </c>
      <c r="CB1076" s="20">
        <f t="shared" si="529"/>
        <v>0</v>
      </c>
      <c r="CC1076" s="173">
        <f t="shared" si="521"/>
        <v>0</v>
      </c>
    </row>
    <row r="1077" spans="10:81" x14ac:dyDescent="0.25">
      <c r="J1077" s="7"/>
      <c r="K1077" s="8"/>
      <c r="L1077" s="16"/>
      <c r="M1077" s="22"/>
      <c r="N1077" s="22"/>
      <c r="O1077" s="22"/>
      <c r="P1077" s="22"/>
      <c r="Q1077" s="1">
        <f t="shared" si="522"/>
        <v>0.60744618579017706</v>
      </c>
      <c r="R1077" s="12">
        <f t="shared" ca="1" si="509"/>
        <v>31412</v>
      </c>
      <c r="S1077" s="88">
        <f t="shared" si="518"/>
        <v>0</v>
      </c>
      <c r="T1077" s="19">
        <f t="shared" si="510"/>
        <v>0</v>
      </c>
      <c r="U1077" s="19">
        <f t="shared" si="511"/>
        <v>0</v>
      </c>
      <c r="V1077" s="19">
        <f t="shared" si="527"/>
        <v>0</v>
      </c>
      <c r="W1077" s="20">
        <f t="shared" ca="1" si="512"/>
        <v>0</v>
      </c>
      <c r="X1077" s="19">
        <f t="shared" ca="1" si="513"/>
        <v>0</v>
      </c>
      <c r="Y1077" s="19">
        <f t="shared" ca="1" si="514"/>
        <v>0</v>
      </c>
      <c r="Z1077" s="20">
        <f t="shared" ca="1" si="515"/>
        <v>0</v>
      </c>
      <c r="AA1077" s="1">
        <f t="shared" si="523"/>
        <v>5432.58</v>
      </c>
      <c r="AB1077" s="91"/>
      <c r="AC1077" s="92"/>
      <c r="AD1077" s="101">
        <f t="shared" si="524"/>
        <v>72534</v>
      </c>
      <c r="AE1077" s="103">
        <f t="shared" si="525"/>
        <v>0</v>
      </c>
      <c r="AG1077" s="1">
        <f t="shared" si="516"/>
        <v>0</v>
      </c>
      <c r="AH1077" s="1">
        <f t="shared" si="517"/>
        <v>0</v>
      </c>
      <c r="AI1077" s="1">
        <f t="shared" si="526"/>
        <v>5432.58</v>
      </c>
      <c r="AJ1077" s="20">
        <f t="shared" si="528"/>
        <v>0</v>
      </c>
      <c r="AK1077" s="100">
        <f t="shared" si="500"/>
        <v>0</v>
      </c>
      <c r="AL1077" s="100">
        <f t="shared" si="501"/>
        <v>0</v>
      </c>
      <c r="AN1077" s="100">
        <f t="shared" si="502"/>
        <v>3196.4645897694086</v>
      </c>
      <c r="AO1077" s="20">
        <f t="shared" si="503"/>
        <v>0</v>
      </c>
      <c r="AQ1077" s="109">
        <f t="shared" si="504"/>
        <v>0</v>
      </c>
      <c r="AU1077" s="109">
        <f t="shared" si="519"/>
        <v>24.682955300903558</v>
      </c>
      <c r="AV1077" s="101">
        <f t="shared" si="505"/>
        <v>72564</v>
      </c>
      <c r="AW1077" s="99">
        <f t="shared" si="506"/>
        <v>0</v>
      </c>
      <c r="AX1077" s="1">
        <f t="shared" si="507"/>
        <v>0</v>
      </c>
      <c r="AY1077" s="29">
        <f t="shared" si="508"/>
        <v>0</v>
      </c>
      <c r="AZ1077" s="1">
        <f t="shared" si="520"/>
        <v>0</v>
      </c>
      <c r="CB1077" s="20">
        <f t="shared" si="529"/>
        <v>0</v>
      </c>
      <c r="CC1077" s="173">
        <f t="shared" si="521"/>
        <v>0</v>
      </c>
    </row>
    <row r="1078" spans="10:81" x14ac:dyDescent="0.25">
      <c r="J1078" s="9"/>
      <c r="K1078" s="10"/>
      <c r="L1078" s="17"/>
      <c r="M1078" s="23"/>
      <c r="N1078" s="23"/>
      <c r="O1078" s="23"/>
      <c r="P1078" s="23"/>
      <c r="Q1078" s="1">
        <f t="shared" si="522"/>
        <v>0.60744618579017706</v>
      </c>
      <c r="R1078" s="12">
        <f t="shared" ca="1" si="509"/>
        <v>31442</v>
      </c>
      <c r="S1078" s="88">
        <f t="shared" si="518"/>
        <v>0</v>
      </c>
      <c r="T1078" s="19">
        <f t="shared" si="510"/>
        <v>0</v>
      </c>
      <c r="U1078" s="19">
        <f t="shared" si="511"/>
        <v>0</v>
      </c>
      <c r="V1078" s="19">
        <f t="shared" si="527"/>
        <v>0</v>
      </c>
      <c r="W1078" s="20">
        <f t="shared" ca="1" si="512"/>
        <v>0</v>
      </c>
      <c r="X1078" s="19">
        <f t="shared" ca="1" si="513"/>
        <v>0</v>
      </c>
      <c r="Y1078" s="19">
        <f t="shared" ca="1" si="514"/>
        <v>0</v>
      </c>
      <c r="Z1078" s="20">
        <f t="shared" ca="1" si="515"/>
        <v>0</v>
      </c>
      <c r="AA1078" s="1">
        <f t="shared" si="523"/>
        <v>5432.58</v>
      </c>
      <c r="AB1078" s="93"/>
      <c r="AC1078" s="94"/>
      <c r="AD1078" s="101">
        <f t="shared" si="524"/>
        <v>72564</v>
      </c>
      <c r="AE1078" s="103">
        <f t="shared" si="525"/>
        <v>0</v>
      </c>
      <c r="AG1078" s="1">
        <f t="shared" si="516"/>
        <v>0</v>
      </c>
      <c r="AH1078" s="1">
        <f t="shared" si="517"/>
        <v>0</v>
      </c>
      <c r="AI1078" s="1">
        <f t="shared" si="526"/>
        <v>5432.58</v>
      </c>
      <c r="AJ1078" s="20">
        <f t="shared" si="528"/>
        <v>0</v>
      </c>
      <c r="AK1078" s="100">
        <f t="shared" ref="AK1078:AK1141" si="530">IF(ISERROR(AJ1078/(1+(Q1078)/1200)^(ROW()-29)),0,AJ1078/(1+(Q1078)/1200)^(ROW()-29))</f>
        <v>0</v>
      </c>
      <c r="AL1078" s="100">
        <f t="shared" ref="AL1078:AL1141" si="531">IF(ISERROR((Q1078/1200)*O1078),0,(Q1078/1200)*O1078)</f>
        <v>0</v>
      </c>
      <c r="AN1078" s="100">
        <f t="shared" ref="AN1078:AN1141" si="532">IF(ISERROR(AA1078/(1+(Q1078)/1200)^(ROW()-29)),0,AA1078/(1+(Q1078)/1200)^(ROW()-29))</f>
        <v>3194.8473415762228</v>
      </c>
      <c r="AO1078" s="20">
        <f t="shared" ref="AO1078:AO1141" si="533">IF(ISERROR(V1077+U1078+T1078+(V1077*Q1078/1200)-AA1078-P1078),0,IF(V1077+U1078+T1078+(V1077*Q1078/1200)-AA1078-P1078&lt;0,V1077,-(U1078+T1078-AA1078+P1078-AH1078)))</f>
        <v>0</v>
      </c>
      <c r="AQ1078" s="109">
        <f t="shared" ref="AQ1078:AQ1141" si="534">AO1078/(1+((1+$AM$27)^((ROW()-29)*30)-1))</f>
        <v>0</v>
      </c>
      <c r="AU1078" s="109">
        <f t="shared" si="519"/>
        <v>24.680788876102216</v>
      </c>
      <c r="AV1078" s="101">
        <f t="shared" ref="AV1078:AV1141" si="535">AD1079</f>
        <v>72594</v>
      </c>
      <c r="AW1078" s="99">
        <f t="shared" ref="AW1078:AW1141" si="536">IF(AJ1079&lt;0,0,AJ1079)</f>
        <v>0</v>
      </c>
      <c r="AX1078" s="1">
        <f t="shared" ref="AX1078:AX1141" si="537">IF(AG1078&gt;0,AA1078,0)</f>
        <v>0</v>
      </c>
      <c r="AY1078" s="29">
        <f t="shared" ref="AY1078:AY1141" si="538">AE1078</f>
        <v>0</v>
      </c>
      <c r="AZ1078" s="1">
        <f t="shared" si="520"/>
        <v>0</v>
      </c>
      <c r="CB1078" s="20">
        <f t="shared" si="529"/>
        <v>0</v>
      </c>
      <c r="CC1078" s="173">
        <f t="shared" si="521"/>
        <v>0</v>
      </c>
    </row>
    <row r="1079" spans="10:81" x14ac:dyDescent="0.25">
      <c r="J1079" s="7"/>
      <c r="K1079" s="8"/>
      <c r="L1079" s="16"/>
      <c r="M1079" s="22"/>
      <c r="N1079" s="22"/>
      <c r="O1079" s="22"/>
      <c r="P1079" s="22"/>
      <c r="Q1079" s="1">
        <f t="shared" si="522"/>
        <v>0.60744618579017706</v>
      </c>
      <c r="R1079" s="12">
        <f t="shared" ref="R1079:R1142" ca="1" si="539">IF(ROW()&gt;$T$20,R1078+30,DAYS360(K1078,K1079)+R1078)</f>
        <v>31472</v>
      </c>
      <c r="S1079" s="88">
        <f t="shared" si="518"/>
        <v>0</v>
      </c>
      <c r="T1079" s="19">
        <f t="shared" ref="T1079:T1142" si="540">IF(ISERROR((previousBalance*Q1079/1200)*(IF(ROW()-30&lt;$G$22,$G$21,0))),0,(previousBalance*Q1079/1200)*(IF(ROW()-30&lt;$G$22,$G$21,0)))</f>
        <v>0</v>
      </c>
      <c r="U1079" s="19">
        <f t="shared" ref="U1079:U1142" si="541">AA1079*(IF(ROW()-30&lt;$H$22,$H$21,0))</f>
        <v>0</v>
      </c>
      <c r="V1079" s="19">
        <f t="shared" si="527"/>
        <v>0</v>
      </c>
      <c r="W1079" s="20">
        <f t="shared" ref="W1079:W1142" ca="1" si="542">(T1079)/(1+((1+$T$12)^$R1079-1))</f>
        <v>0</v>
      </c>
      <c r="X1079" s="19">
        <f t="shared" ref="X1079:X1142" ca="1" si="543">(U1079)/(1+((1+$T$12)^$R1079-1))</f>
        <v>0</v>
      </c>
      <c r="Y1079" s="19">
        <f t="shared" ref="Y1079:Y1142" ca="1" si="544">P1079/(1+((1+$T$12)^$R1079-1))</f>
        <v>0</v>
      </c>
      <c r="Z1079" s="20">
        <f t="shared" ref="Z1079:Z1142" ca="1" si="545">W1079+X1079</f>
        <v>0</v>
      </c>
      <c r="AA1079" s="1">
        <f t="shared" si="523"/>
        <v>5432.58</v>
      </c>
      <c r="AB1079" s="91"/>
      <c r="AC1079" s="92"/>
      <c r="AD1079" s="101">
        <f t="shared" si="524"/>
        <v>72594</v>
      </c>
      <c r="AE1079" s="103">
        <f t="shared" si="525"/>
        <v>0</v>
      </c>
      <c r="AG1079" s="1">
        <f t="shared" ref="AG1079:AG1142" si="546">AE1079/360</f>
        <v>0</v>
      </c>
      <c r="AH1079" s="1">
        <f t="shared" ref="AH1079:AH1142" si="547">IF(ISERROR(IF(V1078+U1079+T1079+(V1078*Q1079/1200)-AA1079-P1079&lt;0,0,(V1078*Q1079/1200))),0,IF(V1078+U1079+T1079+(V1078*Q1079/1200)-AA1079-P1079&lt;0,0,(V1078*Q1079/1200)))</f>
        <v>0</v>
      </c>
      <c r="AI1079" s="1">
        <f t="shared" si="526"/>
        <v>5432.58</v>
      </c>
      <c r="AJ1079" s="20">
        <f t="shared" si="528"/>
        <v>0</v>
      </c>
      <c r="AK1079" s="100">
        <f t="shared" si="530"/>
        <v>0</v>
      </c>
      <c r="AL1079" s="100">
        <f t="shared" si="531"/>
        <v>0</v>
      </c>
      <c r="AN1079" s="100">
        <f t="shared" si="532"/>
        <v>3193.2309116282095</v>
      </c>
      <c r="AO1079" s="20">
        <f t="shared" si="533"/>
        <v>0</v>
      </c>
      <c r="AQ1079" s="109">
        <f t="shared" si="534"/>
        <v>0</v>
      </c>
      <c r="AU1079" s="109">
        <f t="shared" si="519"/>
        <v>24.678622641448133</v>
      </c>
      <c r="AV1079" s="101">
        <f t="shared" si="535"/>
        <v>72624</v>
      </c>
      <c r="AW1079" s="99">
        <f t="shared" si="536"/>
        <v>0</v>
      </c>
      <c r="AX1079" s="1">
        <f t="shared" si="537"/>
        <v>0</v>
      </c>
      <c r="AY1079" s="29">
        <f t="shared" si="538"/>
        <v>0</v>
      </c>
      <c r="AZ1079" s="1">
        <f t="shared" si="520"/>
        <v>0</v>
      </c>
      <c r="CB1079" s="20">
        <f t="shared" si="529"/>
        <v>0</v>
      </c>
      <c r="CC1079" s="173">
        <f t="shared" si="521"/>
        <v>0</v>
      </c>
    </row>
    <row r="1080" spans="10:81" x14ac:dyDescent="0.25">
      <c r="J1080" s="9"/>
      <c r="K1080" s="10"/>
      <c r="L1080" s="17"/>
      <c r="M1080" s="23"/>
      <c r="N1080" s="23"/>
      <c r="O1080" s="23"/>
      <c r="P1080" s="23"/>
      <c r="Q1080" s="1">
        <f t="shared" si="522"/>
        <v>0.60744618579017706</v>
      </c>
      <c r="R1080" s="12">
        <f t="shared" ca="1" si="539"/>
        <v>31502</v>
      </c>
      <c r="S1080" s="88">
        <f t="shared" si="518"/>
        <v>0</v>
      </c>
      <c r="T1080" s="19">
        <f t="shared" si="540"/>
        <v>0</v>
      </c>
      <c r="U1080" s="19">
        <f t="shared" si="541"/>
        <v>0</v>
      </c>
      <c r="V1080" s="19">
        <f t="shared" si="527"/>
        <v>0</v>
      </c>
      <c r="W1080" s="20">
        <f t="shared" ca="1" si="542"/>
        <v>0</v>
      </c>
      <c r="X1080" s="19">
        <f t="shared" ca="1" si="543"/>
        <v>0</v>
      </c>
      <c r="Y1080" s="19">
        <f t="shared" ca="1" si="544"/>
        <v>0</v>
      </c>
      <c r="Z1080" s="20">
        <f t="shared" ca="1" si="545"/>
        <v>0</v>
      </c>
      <c r="AA1080" s="1">
        <f t="shared" si="523"/>
        <v>5432.58</v>
      </c>
      <c r="AB1080" s="93"/>
      <c r="AC1080" s="94"/>
      <c r="AD1080" s="101">
        <f t="shared" si="524"/>
        <v>72624</v>
      </c>
      <c r="AE1080" s="103">
        <f t="shared" si="525"/>
        <v>0</v>
      </c>
      <c r="AG1080" s="1">
        <f t="shared" si="546"/>
        <v>0</v>
      </c>
      <c r="AH1080" s="1">
        <f t="shared" si="547"/>
        <v>0</v>
      </c>
      <c r="AI1080" s="1">
        <f t="shared" si="526"/>
        <v>5432.58</v>
      </c>
      <c r="AJ1080" s="20">
        <f t="shared" si="528"/>
        <v>0</v>
      </c>
      <c r="AK1080" s="100">
        <f t="shared" si="530"/>
        <v>0</v>
      </c>
      <c r="AL1080" s="100">
        <f t="shared" si="531"/>
        <v>0</v>
      </c>
      <c r="AN1080" s="100">
        <f t="shared" si="532"/>
        <v>3191.6152995113775</v>
      </c>
      <c r="AO1080" s="20">
        <f t="shared" si="533"/>
        <v>0</v>
      </c>
      <c r="AQ1080" s="109">
        <f t="shared" si="534"/>
        <v>0</v>
      </c>
      <c r="AU1080" s="109">
        <f t="shared" si="519"/>
        <v>24.676456596924627</v>
      </c>
      <c r="AV1080" s="101">
        <f t="shared" si="535"/>
        <v>72654</v>
      </c>
      <c r="AW1080" s="99">
        <f t="shared" si="536"/>
        <v>0</v>
      </c>
      <c r="AX1080" s="1">
        <f t="shared" si="537"/>
        <v>0</v>
      </c>
      <c r="AY1080" s="29">
        <f t="shared" si="538"/>
        <v>0</v>
      </c>
      <c r="AZ1080" s="1">
        <f t="shared" si="520"/>
        <v>0</v>
      </c>
      <c r="CB1080" s="20">
        <f t="shared" si="529"/>
        <v>0</v>
      </c>
      <c r="CC1080" s="173">
        <f t="shared" si="521"/>
        <v>0</v>
      </c>
    </row>
    <row r="1081" spans="10:81" x14ac:dyDescent="0.25">
      <c r="J1081" s="7"/>
      <c r="K1081" s="8"/>
      <c r="L1081" s="16"/>
      <c r="M1081" s="22"/>
      <c r="N1081" s="22"/>
      <c r="O1081" s="22"/>
      <c r="P1081" s="22"/>
      <c r="Q1081" s="1">
        <f t="shared" si="522"/>
        <v>0.60744618579017706</v>
      </c>
      <c r="R1081" s="12">
        <f t="shared" ca="1" si="539"/>
        <v>31532</v>
      </c>
      <c r="S1081" s="88">
        <f t="shared" si="518"/>
        <v>0</v>
      </c>
      <c r="T1081" s="19">
        <f t="shared" si="540"/>
        <v>0</v>
      </c>
      <c r="U1081" s="19">
        <f t="shared" si="541"/>
        <v>0</v>
      </c>
      <c r="V1081" s="19">
        <f t="shared" si="527"/>
        <v>0</v>
      </c>
      <c r="W1081" s="20">
        <f t="shared" ca="1" si="542"/>
        <v>0</v>
      </c>
      <c r="X1081" s="19">
        <f t="shared" ca="1" si="543"/>
        <v>0</v>
      </c>
      <c r="Y1081" s="19">
        <f t="shared" ca="1" si="544"/>
        <v>0</v>
      </c>
      <c r="Z1081" s="20">
        <f t="shared" ca="1" si="545"/>
        <v>0</v>
      </c>
      <c r="AA1081" s="1">
        <f t="shared" si="523"/>
        <v>5432.58</v>
      </c>
      <c r="AB1081" s="91"/>
      <c r="AC1081" s="92"/>
      <c r="AD1081" s="101">
        <f t="shared" si="524"/>
        <v>72654</v>
      </c>
      <c r="AE1081" s="103">
        <f t="shared" si="525"/>
        <v>0</v>
      </c>
      <c r="AG1081" s="1">
        <f t="shared" si="546"/>
        <v>0</v>
      </c>
      <c r="AH1081" s="1">
        <f t="shared" si="547"/>
        <v>0</v>
      </c>
      <c r="AI1081" s="1">
        <f t="shared" si="526"/>
        <v>5432.58</v>
      </c>
      <c r="AJ1081" s="20">
        <f t="shared" si="528"/>
        <v>0</v>
      </c>
      <c r="AK1081" s="100">
        <f t="shared" si="530"/>
        <v>0</v>
      </c>
      <c r="AL1081" s="100">
        <f t="shared" si="531"/>
        <v>0</v>
      </c>
      <c r="AN1081" s="100">
        <f t="shared" si="532"/>
        <v>3190.0005048119465</v>
      </c>
      <c r="AO1081" s="20">
        <f t="shared" si="533"/>
        <v>0</v>
      </c>
      <c r="AQ1081" s="109">
        <f t="shared" si="534"/>
        <v>0</v>
      </c>
      <c r="AU1081" s="109">
        <f t="shared" si="519"/>
        <v>24.674290742515019</v>
      </c>
      <c r="AV1081" s="101">
        <f t="shared" si="535"/>
        <v>72684</v>
      </c>
      <c r="AW1081" s="99">
        <f t="shared" si="536"/>
        <v>0</v>
      </c>
      <c r="AX1081" s="1">
        <f t="shared" si="537"/>
        <v>0</v>
      </c>
      <c r="AY1081" s="29">
        <f t="shared" si="538"/>
        <v>0</v>
      </c>
      <c r="AZ1081" s="1">
        <f t="shared" si="520"/>
        <v>0</v>
      </c>
      <c r="CB1081" s="20">
        <f t="shared" si="529"/>
        <v>0</v>
      </c>
      <c r="CC1081" s="173">
        <f t="shared" si="521"/>
        <v>0</v>
      </c>
    </row>
    <row r="1082" spans="10:81" x14ac:dyDescent="0.25">
      <c r="J1082" s="9"/>
      <c r="K1082" s="10"/>
      <c r="L1082" s="17"/>
      <c r="M1082" s="23"/>
      <c r="N1082" s="23"/>
      <c r="O1082" s="23"/>
      <c r="P1082" s="23"/>
      <c r="Q1082" s="1">
        <f t="shared" si="522"/>
        <v>0.60744618579017706</v>
      </c>
      <c r="R1082" s="12">
        <f t="shared" ca="1" si="539"/>
        <v>31562</v>
      </c>
      <c r="S1082" s="88">
        <f t="shared" si="518"/>
        <v>0</v>
      </c>
      <c r="T1082" s="19">
        <f t="shared" si="540"/>
        <v>0</v>
      </c>
      <c r="U1082" s="19">
        <f t="shared" si="541"/>
        <v>0</v>
      </c>
      <c r="V1082" s="19">
        <f t="shared" si="527"/>
        <v>0</v>
      </c>
      <c r="W1082" s="20">
        <f t="shared" ca="1" si="542"/>
        <v>0</v>
      </c>
      <c r="X1082" s="19">
        <f t="shared" ca="1" si="543"/>
        <v>0</v>
      </c>
      <c r="Y1082" s="19">
        <f t="shared" ca="1" si="544"/>
        <v>0</v>
      </c>
      <c r="Z1082" s="20">
        <f t="shared" ca="1" si="545"/>
        <v>0</v>
      </c>
      <c r="AA1082" s="1">
        <f t="shared" si="523"/>
        <v>5432.58</v>
      </c>
      <c r="AB1082" s="93"/>
      <c r="AC1082" s="94"/>
      <c r="AD1082" s="101">
        <f t="shared" si="524"/>
        <v>72684</v>
      </c>
      <c r="AE1082" s="103">
        <f t="shared" si="525"/>
        <v>0</v>
      </c>
      <c r="AG1082" s="1">
        <f t="shared" si="546"/>
        <v>0</v>
      </c>
      <c r="AH1082" s="1">
        <f t="shared" si="547"/>
        <v>0</v>
      </c>
      <c r="AI1082" s="1">
        <f t="shared" si="526"/>
        <v>5432.58</v>
      </c>
      <c r="AJ1082" s="20">
        <f t="shared" si="528"/>
        <v>0</v>
      </c>
      <c r="AK1082" s="100">
        <f t="shared" si="530"/>
        <v>0</v>
      </c>
      <c r="AL1082" s="100">
        <f t="shared" si="531"/>
        <v>0</v>
      </c>
      <c r="AN1082" s="100">
        <f t="shared" si="532"/>
        <v>3188.3865271163445</v>
      </c>
      <c r="AO1082" s="20">
        <f t="shared" si="533"/>
        <v>0</v>
      </c>
      <c r="AQ1082" s="109">
        <f t="shared" si="534"/>
        <v>0</v>
      </c>
      <c r="AU1082" s="109">
        <f t="shared" si="519"/>
        <v>24.672125078202598</v>
      </c>
      <c r="AV1082" s="101">
        <f t="shared" si="535"/>
        <v>72714</v>
      </c>
      <c r="AW1082" s="99">
        <f t="shared" si="536"/>
        <v>0</v>
      </c>
      <c r="AX1082" s="1">
        <f t="shared" si="537"/>
        <v>0</v>
      </c>
      <c r="AY1082" s="29">
        <f t="shared" si="538"/>
        <v>0</v>
      </c>
      <c r="AZ1082" s="1">
        <f t="shared" si="520"/>
        <v>0</v>
      </c>
      <c r="CB1082" s="20">
        <f t="shared" si="529"/>
        <v>0</v>
      </c>
      <c r="CC1082" s="173">
        <f t="shared" si="521"/>
        <v>0</v>
      </c>
    </row>
    <row r="1083" spans="10:81" x14ac:dyDescent="0.25">
      <c r="J1083" s="7"/>
      <c r="K1083" s="8"/>
      <c r="L1083" s="16"/>
      <c r="M1083" s="22"/>
      <c r="N1083" s="22"/>
      <c r="O1083" s="22"/>
      <c r="P1083" s="22"/>
      <c r="Q1083" s="1">
        <f t="shared" si="522"/>
        <v>0.60744618579017706</v>
      </c>
      <c r="R1083" s="12">
        <f t="shared" ca="1" si="539"/>
        <v>31592</v>
      </c>
      <c r="S1083" s="88">
        <f t="shared" si="518"/>
        <v>0</v>
      </c>
      <c r="T1083" s="19">
        <f t="shared" si="540"/>
        <v>0</v>
      </c>
      <c r="U1083" s="19">
        <f t="shared" si="541"/>
        <v>0</v>
      </c>
      <c r="V1083" s="19">
        <f t="shared" si="527"/>
        <v>0</v>
      </c>
      <c r="W1083" s="20">
        <f t="shared" ca="1" si="542"/>
        <v>0</v>
      </c>
      <c r="X1083" s="19">
        <f t="shared" ca="1" si="543"/>
        <v>0</v>
      </c>
      <c r="Y1083" s="19">
        <f t="shared" ca="1" si="544"/>
        <v>0</v>
      </c>
      <c r="Z1083" s="20">
        <f t="shared" ca="1" si="545"/>
        <v>0</v>
      </c>
      <c r="AA1083" s="1">
        <f t="shared" si="523"/>
        <v>5432.58</v>
      </c>
      <c r="AB1083" s="91"/>
      <c r="AC1083" s="92"/>
      <c r="AD1083" s="101">
        <f t="shared" si="524"/>
        <v>72714</v>
      </c>
      <c r="AE1083" s="103">
        <f t="shared" si="525"/>
        <v>0</v>
      </c>
      <c r="AG1083" s="1">
        <f t="shared" si="546"/>
        <v>0</v>
      </c>
      <c r="AH1083" s="1">
        <f t="shared" si="547"/>
        <v>0</v>
      </c>
      <c r="AI1083" s="1">
        <f t="shared" si="526"/>
        <v>5432.58</v>
      </c>
      <c r="AJ1083" s="20">
        <f t="shared" si="528"/>
        <v>0</v>
      </c>
      <c r="AK1083" s="100">
        <f t="shared" si="530"/>
        <v>0</v>
      </c>
      <c r="AL1083" s="100">
        <f t="shared" si="531"/>
        <v>0</v>
      </c>
      <c r="AN1083" s="100">
        <f t="shared" si="532"/>
        <v>3186.7733660112094</v>
      </c>
      <c r="AO1083" s="20">
        <f t="shared" si="533"/>
        <v>0</v>
      </c>
      <c r="AQ1083" s="109">
        <f t="shared" si="534"/>
        <v>0</v>
      </c>
      <c r="AU1083" s="109">
        <f t="shared" si="519"/>
        <v>24.669959603970693</v>
      </c>
      <c r="AV1083" s="101">
        <f t="shared" si="535"/>
        <v>72744</v>
      </c>
      <c r="AW1083" s="99">
        <f t="shared" si="536"/>
        <v>0</v>
      </c>
      <c r="AX1083" s="1">
        <f t="shared" si="537"/>
        <v>0</v>
      </c>
      <c r="AY1083" s="29">
        <f t="shared" si="538"/>
        <v>0</v>
      </c>
      <c r="AZ1083" s="1">
        <f t="shared" si="520"/>
        <v>0</v>
      </c>
      <c r="CB1083" s="20">
        <f t="shared" si="529"/>
        <v>0</v>
      </c>
      <c r="CC1083" s="173">
        <f t="shared" si="521"/>
        <v>0</v>
      </c>
    </row>
    <row r="1084" spans="10:81" x14ac:dyDescent="0.25">
      <c r="J1084" s="9"/>
      <c r="K1084" s="10"/>
      <c r="L1084" s="17"/>
      <c r="M1084" s="23"/>
      <c r="N1084" s="23"/>
      <c r="O1084" s="23"/>
      <c r="P1084" s="23"/>
      <c r="Q1084" s="1">
        <f t="shared" si="522"/>
        <v>0.60744618579017706</v>
      </c>
      <c r="R1084" s="12">
        <f t="shared" ca="1" si="539"/>
        <v>31622</v>
      </c>
      <c r="S1084" s="88">
        <f t="shared" si="518"/>
        <v>0</v>
      </c>
      <c r="T1084" s="19">
        <f t="shared" si="540"/>
        <v>0</v>
      </c>
      <c r="U1084" s="19">
        <f t="shared" si="541"/>
        <v>0</v>
      </c>
      <c r="V1084" s="19">
        <f t="shared" si="527"/>
        <v>0</v>
      </c>
      <c r="W1084" s="20">
        <f t="shared" ca="1" si="542"/>
        <v>0</v>
      </c>
      <c r="X1084" s="19">
        <f t="shared" ca="1" si="543"/>
        <v>0</v>
      </c>
      <c r="Y1084" s="19">
        <f t="shared" ca="1" si="544"/>
        <v>0</v>
      </c>
      <c r="Z1084" s="20">
        <f t="shared" ca="1" si="545"/>
        <v>0</v>
      </c>
      <c r="AA1084" s="1">
        <f t="shared" si="523"/>
        <v>5432.58</v>
      </c>
      <c r="AB1084" s="93"/>
      <c r="AC1084" s="94"/>
      <c r="AD1084" s="101">
        <f t="shared" si="524"/>
        <v>72744</v>
      </c>
      <c r="AE1084" s="103">
        <f t="shared" si="525"/>
        <v>0</v>
      </c>
      <c r="AG1084" s="1">
        <f t="shared" si="546"/>
        <v>0</v>
      </c>
      <c r="AH1084" s="1">
        <f t="shared" si="547"/>
        <v>0</v>
      </c>
      <c r="AI1084" s="1">
        <f t="shared" si="526"/>
        <v>5432.58</v>
      </c>
      <c r="AJ1084" s="20">
        <f t="shared" si="528"/>
        <v>0</v>
      </c>
      <c r="AK1084" s="100">
        <f t="shared" si="530"/>
        <v>0</v>
      </c>
      <c r="AL1084" s="100">
        <f t="shared" si="531"/>
        <v>0</v>
      </c>
      <c r="AN1084" s="100">
        <f t="shared" si="532"/>
        <v>3185.1610210833887</v>
      </c>
      <c r="AO1084" s="20">
        <f t="shared" si="533"/>
        <v>0</v>
      </c>
      <c r="AQ1084" s="109">
        <f t="shared" si="534"/>
        <v>0</v>
      </c>
      <c r="AU1084" s="109">
        <f t="shared" si="519"/>
        <v>24.667794319802624</v>
      </c>
      <c r="AV1084" s="101">
        <f t="shared" si="535"/>
        <v>72774</v>
      </c>
      <c r="AW1084" s="99">
        <f t="shared" si="536"/>
        <v>0</v>
      </c>
      <c r="AX1084" s="1">
        <f t="shared" si="537"/>
        <v>0</v>
      </c>
      <c r="AY1084" s="29">
        <f t="shared" si="538"/>
        <v>0</v>
      </c>
      <c r="AZ1084" s="1">
        <f t="shared" si="520"/>
        <v>0</v>
      </c>
      <c r="CB1084" s="20">
        <f t="shared" si="529"/>
        <v>0</v>
      </c>
      <c r="CC1084" s="173">
        <f t="shared" si="521"/>
        <v>0</v>
      </c>
    </row>
    <row r="1085" spans="10:81" x14ac:dyDescent="0.25">
      <c r="J1085" s="7"/>
      <c r="K1085" s="8"/>
      <c r="L1085" s="16"/>
      <c r="M1085" s="22"/>
      <c r="N1085" s="22"/>
      <c r="O1085" s="22"/>
      <c r="P1085" s="22"/>
      <c r="Q1085" s="1">
        <f t="shared" si="522"/>
        <v>0.60744618579017706</v>
      </c>
      <c r="R1085" s="12">
        <f t="shared" ca="1" si="539"/>
        <v>31652</v>
      </c>
      <c r="S1085" s="88">
        <f t="shared" si="518"/>
        <v>0</v>
      </c>
      <c r="T1085" s="19">
        <f t="shared" si="540"/>
        <v>0</v>
      </c>
      <c r="U1085" s="19">
        <f t="shared" si="541"/>
        <v>0</v>
      </c>
      <c r="V1085" s="19">
        <f t="shared" si="527"/>
        <v>0</v>
      </c>
      <c r="W1085" s="20">
        <f t="shared" ca="1" si="542"/>
        <v>0</v>
      </c>
      <c r="X1085" s="19">
        <f t="shared" ca="1" si="543"/>
        <v>0</v>
      </c>
      <c r="Y1085" s="19">
        <f t="shared" ca="1" si="544"/>
        <v>0</v>
      </c>
      <c r="Z1085" s="20">
        <f t="shared" ca="1" si="545"/>
        <v>0</v>
      </c>
      <c r="AA1085" s="1">
        <f t="shared" si="523"/>
        <v>5432.58</v>
      </c>
      <c r="AB1085" s="91"/>
      <c r="AC1085" s="92"/>
      <c r="AD1085" s="101">
        <f t="shared" si="524"/>
        <v>72774</v>
      </c>
      <c r="AE1085" s="103">
        <f t="shared" si="525"/>
        <v>0</v>
      </c>
      <c r="AG1085" s="1">
        <f t="shared" si="546"/>
        <v>0</v>
      </c>
      <c r="AH1085" s="1">
        <f t="shared" si="547"/>
        <v>0</v>
      </c>
      <c r="AI1085" s="1">
        <f t="shared" si="526"/>
        <v>5432.58</v>
      </c>
      <c r="AJ1085" s="20">
        <f t="shared" si="528"/>
        <v>0</v>
      </c>
      <c r="AK1085" s="100">
        <f t="shared" si="530"/>
        <v>0</v>
      </c>
      <c r="AL1085" s="100">
        <f t="shared" si="531"/>
        <v>0</v>
      </c>
      <c r="AN1085" s="100">
        <f t="shared" si="532"/>
        <v>3183.5494919199382</v>
      </c>
      <c r="AO1085" s="20">
        <f t="shared" si="533"/>
        <v>0</v>
      </c>
      <c r="AQ1085" s="109">
        <f t="shared" si="534"/>
        <v>0</v>
      </c>
      <c r="AU1085" s="109">
        <f t="shared" si="519"/>
        <v>24.665629225681709</v>
      </c>
      <c r="AV1085" s="101">
        <f t="shared" si="535"/>
        <v>72804</v>
      </c>
      <c r="AW1085" s="99">
        <f t="shared" si="536"/>
        <v>0</v>
      </c>
      <c r="AX1085" s="1">
        <f t="shared" si="537"/>
        <v>0</v>
      </c>
      <c r="AY1085" s="29">
        <f t="shared" si="538"/>
        <v>0</v>
      </c>
      <c r="AZ1085" s="1">
        <f t="shared" si="520"/>
        <v>0</v>
      </c>
      <c r="CB1085" s="20">
        <f t="shared" si="529"/>
        <v>0</v>
      </c>
      <c r="CC1085" s="173">
        <f t="shared" si="521"/>
        <v>0</v>
      </c>
    </row>
    <row r="1086" spans="10:81" x14ac:dyDescent="0.25">
      <c r="J1086" s="9"/>
      <c r="K1086" s="10"/>
      <c r="L1086" s="17"/>
      <c r="M1086" s="23"/>
      <c r="N1086" s="23"/>
      <c r="O1086" s="23"/>
      <c r="P1086" s="23"/>
      <c r="Q1086" s="1">
        <f t="shared" si="522"/>
        <v>0.60744618579017706</v>
      </c>
      <c r="R1086" s="12">
        <f t="shared" ca="1" si="539"/>
        <v>31682</v>
      </c>
      <c r="S1086" s="88">
        <f t="shared" si="518"/>
        <v>0</v>
      </c>
      <c r="T1086" s="19">
        <f t="shared" si="540"/>
        <v>0</v>
      </c>
      <c r="U1086" s="19">
        <f t="shared" si="541"/>
        <v>0</v>
      </c>
      <c r="V1086" s="19">
        <f t="shared" si="527"/>
        <v>0</v>
      </c>
      <c r="W1086" s="20">
        <f t="shared" ca="1" si="542"/>
        <v>0</v>
      </c>
      <c r="X1086" s="19">
        <f t="shared" ca="1" si="543"/>
        <v>0</v>
      </c>
      <c r="Y1086" s="19">
        <f t="shared" ca="1" si="544"/>
        <v>0</v>
      </c>
      <c r="Z1086" s="20">
        <f t="shared" ca="1" si="545"/>
        <v>0</v>
      </c>
      <c r="AA1086" s="1">
        <f t="shared" si="523"/>
        <v>5432.58</v>
      </c>
      <c r="AB1086" s="93"/>
      <c r="AC1086" s="94"/>
      <c r="AD1086" s="101">
        <f t="shared" si="524"/>
        <v>72804</v>
      </c>
      <c r="AE1086" s="103">
        <f t="shared" si="525"/>
        <v>0</v>
      </c>
      <c r="AG1086" s="1">
        <f t="shared" si="546"/>
        <v>0</v>
      </c>
      <c r="AH1086" s="1">
        <f t="shared" si="547"/>
        <v>0</v>
      </c>
      <c r="AI1086" s="1">
        <f t="shared" si="526"/>
        <v>5432.58</v>
      </c>
      <c r="AJ1086" s="20">
        <f t="shared" si="528"/>
        <v>0</v>
      </c>
      <c r="AK1086" s="100">
        <f t="shared" si="530"/>
        <v>0</v>
      </c>
      <c r="AL1086" s="100">
        <f t="shared" si="531"/>
        <v>0</v>
      </c>
      <c r="AN1086" s="100">
        <f t="shared" si="532"/>
        <v>3181.9387781081214</v>
      </c>
      <c r="AO1086" s="20">
        <f t="shared" si="533"/>
        <v>0</v>
      </c>
      <c r="AQ1086" s="109">
        <f t="shared" si="534"/>
        <v>0</v>
      </c>
      <c r="AU1086" s="109">
        <f t="shared" si="519"/>
        <v>24.66346432159126</v>
      </c>
      <c r="AV1086" s="101">
        <f t="shared" si="535"/>
        <v>72834</v>
      </c>
      <c r="AW1086" s="99">
        <f t="shared" si="536"/>
        <v>0</v>
      </c>
      <c r="AX1086" s="1">
        <f t="shared" si="537"/>
        <v>0</v>
      </c>
      <c r="AY1086" s="29">
        <f t="shared" si="538"/>
        <v>0</v>
      </c>
      <c r="AZ1086" s="1">
        <f t="shared" si="520"/>
        <v>0</v>
      </c>
      <c r="CB1086" s="20">
        <f t="shared" si="529"/>
        <v>0</v>
      </c>
      <c r="CC1086" s="173">
        <f t="shared" si="521"/>
        <v>0</v>
      </c>
    </row>
    <row r="1087" spans="10:81" x14ac:dyDescent="0.25">
      <c r="J1087" s="7"/>
      <c r="K1087" s="8"/>
      <c r="L1087" s="16"/>
      <c r="M1087" s="22"/>
      <c r="N1087" s="22"/>
      <c r="O1087" s="22"/>
      <c r="P1087" s="22"/>
      <c r="Q1087" s="1">
        <f t="shared" si="522"/>
        <v>0.60744618579017706</v>
      </c>
      <c r="R1087" s="12">
        <f t="shared" ca="1" si="539"/>
        <v>31712</v>
      </c>
      <c r="S1087" s="88">
        <f t="shared" si="518"/>
        <v>0</v>
      </c>
      <c r="T1087" s="19">
        <f t="shared" si="540"/>
        <v>0</v>
      </c>
      <c r="U1087" s="19">
        <f t="shared" si="541"/>
        <v>0</v>
      </c>
      <c r="V1087" s="19">
        <f t="shared" si="527"/>
        <v>0</v>
      </c>
      <c r="W1087" s="20">
        <f t="shared" ca="1" si="542"/>
        <v>0</v>
      </c>
      <c r="X1087" s="19">
        <f t="shared" ca="1" si="543"/>
        <v>0</v>
      </c>
      <c r="Y1087" s="19">
        <f t="shared" ca="1" si="544"/>
        <v>0</v>
      </c>
      <c r="Z1087" s="20">
        <f t="shared" ca="1" si="545"/>
        <v>0</v>
      </c>
      <c r="AA1087" s="1">
        <f t="shared" si="523"/>
        <v>5432.58</v>
      </c>
      <c r="AB1087" s="91"/>
      <c r="AC1087" s="92"/>
      <c r="AD1087" s="101">
        <f t="shared" si="524"/>
        <v>72834</v>
      </c>
      <c r="AE1087" s="103">
        <f t="shared" si="525"/>
        <v>0</v>
      </c>
      <c r="AG1087" s="1">
        <f t="shared" si="546"/>
        <v>0</v>
      </c>
      <c r="AH1087" s="1">
        <f t="shared" si="547"/>
        <v>0</v>
      </c>
      <c r="AI1087" s="1">
        <f t="shared" si="526"/>
        <v>5432.58</v>
      </c>
      <c r="AJ1087" s="20">
        <f t="shared" si="528"/>
        <v>0</v>
      </c>
      <c r="AK1087" s="100">
        <f t="shared" si="530"/>
        <v>0</v>
      </c>
      <c r="AL1087" s="100">
        <f t="shared" si="531"/>
        <v>0</v>
      </c>
      <c r="AN1087" s="100">
        <f t="shared" si="532"/>
        <v>3180.3288792354128</v>
      </c>
      <c r="AO1087" s="20">
        <f t="shared" si="533"/>
        <v>0</v>
      </c>
      <c r="AQ1087" s="109">
        <f t="shared" si="534"/>
        <v>0</v>
      </c>
      <c r="AU1087" s="109">
        <f t="shared" si="519"/>
        <v>24.661299607514604</v>
      </c>
      <c r="AV1087" s="101">
        <f t="shared" si="535"/>
        <v>72864</v>
      </c>
      <c r="AW1087" s="99">
        <f t="shared" si="536"/>
        <v>0</v>
      </c>
      <c r="AX1087" s="1">
        <f t="shared" si="537"/>
        <v>0</v>
      </c>
      <c r="AY1087" s="29">
        <f t="shared" si="538"/>
        <v>0</v>
      </c>
      <c r="AZ1087" s="1">
        <f t="shared" si="520"/>
        <v>0</v>
      </c>
      <c r="CB1087" s="20">
        <f t="shared" si="529"/>
        <v>0</v>
      </c>
      <c r="CC1087" s="173">
        <f t="shared" si="521"/>
        <v>0</v>
      </c>
    </row>
    <row r="1088" spans="10:81" x14ac:dyDescent="0.25">
      <c r="J1088" s="9"/>
      <c r="K1088" s="10"/>
      <c r="L1088" s="17"/>
      <c r="M1088" s="23"/>
      <c r="N1088" s="23"/>
      <c r="O1088" s="23"/>
      <c r="P1088" s="23"/>
      <c r="Q1088" s="1">
        <f t="shared" si="522"/>
        <v>0.60744618579017706</v>
      </c>
      <c r="R1088" s="12">
        <f t="shared" ca="1" si="539"/>
        <v>31742</v>
      </c>
      <c r="S1088" s="88">
        <f t="shared" si="518"/>
        <v>0</v>
      </c>
      <c r="T1088" s="19">
        <f t="shared" si="540"/>
        <v>0</v>
      </c>
      <c r="U1088" s="19">
        <f t="shared" si="541"/>
        <v>0</v>
      </c>
      <c r="V1088" s="19">
        <f t="shared" si="527"/>
        <v>0</v>
      </c>
      <c r="W1088" s="20">
        <f t="shared" ca="1" si="542"/>
        <v>0</v>
      </c>
      <c r="X1088" s="19">
        <f t="shared" ca="1" si="543"/>
        <v>0</v>
      </c>
      <c r="Y1088" s="19">
        <f t="shared" ca="1" si="544"/>
        <v>0</v>
      </c>
      <c r="Z1088" s="20">
        <f t="shared" ca="1" si="545"/>
        <v>0</v>
      </c>
      <c r="AA1088" s="1">
        <f t="shared" si="523"/>
        <v>5432.58</v>
      </c>
      <c r="AB1088" s="93"/>
      <c r="AC1088" s="94"/>
      <c r="AD1088" s="101">
        <f t="shared" si="524"/>
        <v>72864</v>
      </c>
      <c r="AE1088" s="103">
        <f t="shared" si="525"/>
        <v>0</v>
      </c>
      <c r="AG1088" s="1">
        <f t="shared" si="546"/>
        <v>0</v>
      </c>
      <c r="AH1088" s="1">
        <f t="shared" si="547"/>
        <v>0</v>
      </c>
      <c r="AI1088" s="1">
        <f t="shared" si="526"/>
        <v>5432.58</v>
      </c>
      <c r="AJ1088" s="20">
        <f t="shared" si="528"/>
        <v>0</v>
      </c>
      <c r="AK1088" s="100">
        <f t="shared" si="530"/>
        <v>0</v>
      </c>
      <c r="AL1088" s="100">
        <f t="shared" si="531"/>
        <v>0</v>
      </c>
      <c r="AN1088" s="100">
        <f t="shared" si="532"/>
        <v>3178.7197948894946</v>
      </c>
      <c r="AO1088" s="20">
        <f t="shared" si="533"/>
        <v>0</v>
      </c>
      <c r="AQ1088" s="109">
        <f t="shared" si="534"/>
        <v>0</v>
      </c>
      <c r="AU1088" s="109">
        <f t="shared" si="519"/>
        <v>24.659135083435057</v>
      </c>
      <c r="AV1088" s="101">
        <f t="shared" si="535"/>
        <v>72894</v>
      </c>
      <c r="AW1088" s="99">
        <f t="shared" si="536"/>
        <v>0</v>
      </c>
      <c r="AX1088" s="1">
        <f t="shared" si="537"/>
        <v>0</v>
      </c>
      <c r="AY1088" s="29">
        <f t="shared" si="538"/>
        <v>0</v>
      </c>
      <c r="AZ1088" s="1">
        <f t="shared" si="520"/>
        <v>0</v>
      </c>
      <c r="CB1088" s="20">
        <f t="shared" si="529"/>
        <v>0</v>
      </c>
      <c r="CC1088" s="173">
        <f t="shared" si="521"/>
        <v>0</v>
      </c>
    </row>
    <row r="1089" spans="10:81" x14ac:dyDescent="0.25">
      <c r="J1089" s="7"/>
      <c r="K1089" s="8"/>
      <c r="L1089" s="16"/>
      <c r="M1089" s="22"/>
      <c r="N1089" s="22"/>
      <c r="O1089" s="22"/>
      <c r="P1089" s="22"/>
      <c r="Q1089" s="1">
        <f t="shared" si="522"/>
        <v>0.60744618579017706</v>
      </c>
      <c r="R1089" s="12">
        <f t="shared" ca="1" si="539"/>
        <v>31772</v>
      </c>
      <c r="S1089" s="88">
        <f t="shared" si="518"/>
        <v>0</v>
      </c>
      <c r="T1089" s="19">
        <f t="shared" si="540"/>
        <v>0</v>
      </c>
      <c r="U1089" s="19">
        <f t="shared" si="541"/>
        <v>0</v>
      </c>
      <c r="V1089" s="19">
        <f t="shared" si="527"/>
        <v>0</v>
      </c>
      <c r="W1089" s="20">
        <f t="shared" ca="1" si="542"/>
        <v>0</v>
      </c>
      <c r="X1089" s="19">
        <f t="shared" ca="1" si="543"/>
        <v>0</v>
      </c>
      <c r="Y1089" s="19">
        <f t="shared" ca="1" si="544"/>
        <v>0</v>
      </c>
      <c r="Z1089" s="20">
        <f t="shared" ca="1" si="545"/>
        <v>0</v>
      </c>
      <c r="AA1089" s="1">
        <f t="shared" si="523"/>
        <v>5432.58</v>
      </c>
      <c r="AB1089" s="91"/>
      <c r="AC1089" s="92"/>
      <c r="AD1089" s="101">
        <f t="shared" si="524"/>
        <v>72894</v>
      </c>
      <c r="AE1089" s="103">
        <f t="shared" si="525"/>
        <v>0</v>
      </c>
      <c r="AG1089" s="1">
        <f t="shared" si="546"/>
        <v>0</v>
      </c>
      <c r="AH1089" s="1">
        <f t="shared" si="547"/>
        <v>0</v>
      </c>
      <c r="AI1089" s="1">
        <f t="shared" si="526"/>
        <v>5432.58</v>
      </c>
      <c r="AJ1089" s="20">
        <f t="shared" si="528"/>
        <v>0</v>
      </c>
      <c r="AK1089" s="100">
        <f t="shared" si="530"/>
        <v>0</v>
      </c>
      <c r="AL1089" s="100">
        <f t="shared" si="531"/>
        <v>0</v>
      </c>
      <c r="AN1089" s="100">
        <f t="shared" si="532"/>
        <v>3177.1115246582581</v>
      </c>
      <c r="AO1089" s="20">
        <f t="shared" si="533"/>
        <v>0</v>
      </c>
      <c r="AQ1089" s="109">
        <f t="shared" si="534"/>
        <v>0</v>
      </c>
      <c r="AU1089" s="109">
        <f t="shared" si="519"/>
        <v>24.656970749335954</v>
      </c>
      <c r="AV1089" s="101">
        <f t="shared" si="535"/>
        <v>72924</v>
      </c>
      <c r="AW1089" s="99">
        <f t="shared" si="536"/>
        <v>0</v>
      </c>
      <c r="AX1089" s="1">
        <f t="shared" si="537"/>
        <v>0</v>
      </c>
      <c r="AY1089" s="29">
        <f t="shared" si="538"/>
        <v>0</v>
      </c>
      <c r="AZ1089" s="1">
        <f t="shared" si="520"/>
        <v>0</v>
      </c>
      <c r="CB1089" s="20">
        <f t="shared" si="529"/>
        <v>0</v>
      </c>
      <c r="CC1089" s="173">
        <f t="shared" si="521"/>
        <v>0</v>
      </c>
    </row>
    <row r="1090" spans="10:81" x14ac:dyDescent="0.25">
      <c r="J1090" s="9"/>
      <c r="K1090" s="10"/>
      <c r="L1090" s="17"/>
      <c r="M1090" s="23"/>
      <c r="N1090" s="23"/>
      <c r="O1090" s="23"/>
      <c r="P1090" s="23"/>
      <c r="Q1090" s="1">
        <f t="shared" si="522"/>
        <v>0.60744618579017706</v>
      </c>
      <c r="R1090" s="12">
        <f t="shared" ca="1" si="539"/>
        <v>31802</v>
      </c>
      <c r="S1090" s="88">
        <f t="shared" si="518"/>
        <v>0</v>
      </c>
      <c r="T1090" s="19">
        <f t="shared" si="540"/>
        <v>0</v>
      </c>
      <c r="U1090" s="19">
        <f t="shared" si="541"/>
        <v>0</v>
      </c>
      <c r="V1090" s="19">
        <f t="shared" si="527"/>
        <v>0</v>
      </c>
      <c r="W1090" s="20">
        <f t="shared" ca="1" si="542"/>
        <v>0</v>
      </c>
      <c r="X1090" s="19">
        <f t="shared" ca="1" si="543"/>
        <v>0</v>
      </c>
      <c r="Y1090" s="19">
        <f t="shared" ca="1" si="544"/>
        <v>0</v>
      </c>
      <c r="Z1090" s="20">
        <f t="shared" ca="1" si="545"/>
        <v>0</v>
      </c>
      <c r="AA1090" s="1">
        <f t="shared" si="523"/>
        <v>5432.58</v>
      </c>
      <c r="AB1090" s="93"/>
      <c r="AC1090" s="94"/>
      <c r="AD1090" s="101">
        <f t="shared" si="524"/>
        <v>72924</v>
      </c>
      <c r="AE1090" s="103">
        <f t="shared" si="525"/>
        <v>0</v>
      </c>
      <c r="AG1090" s="1">
        <f t="shared" si="546"/>
        <v>0</v>
      </c>
      <c r="AH1090" s="1">
        <f t="shared" si="547"/>
        <v>0</v>
      </c>
      <c r="AI1090" s="1">
        <f t="shared" si="526"/>
        <v>5432.58</v>
      </c>
      <c r="AJ1090" s="20">
        <f t="shared" si="528"/>
        <v>0</v>
      </c>
      <c r="AK1090" s="100">
        <f t="shared" si="530"/>
        <v>0</v>
      </c>
      <c r="AL1090" s="100">
        <f t="shared" si="531"/>
        <v>0</v>
      </c>
      <c r="AN1090" s="100">
        <f t="shared" si="532"/>
        <v>3175.5040681298024</v>
      </c>
      <c r="AO1090" s="20">
        <f t="shared" si="533"/>
        <v>0</v>
      </c>
      <c r="AQ1090" s="109">
        <f t="shared" si="534"/>
        <v>0</v>
      </c>
      <c r="AU1090" s="109">
        <f t="shared" si="519"/>
        <v>24.654806605200616</v>
      </c>
      <c r="AV1090" s="101">
        <f t="shared" si="535"/>
        <v>72954</v>
      </c>
      <c r="AW1090" s="99">
        <f t="shared" si="536"/>
        <v>0</v>
      </c>
      <c r="AX1090" s="1">
        <f t="shared" si="537"/>
        <v>0</v>
      </c>
      <c r="AY1090" s="29">
        <f t="shared" si="538"/>
        <v>0</v>
      </c>
      <c r="AZ1090" s="1">
        <f t="shared" si="520"/>
        <v>0</v>
      </c>
      <c r="CB1090" s="20">
        <f t="shared" si="529"/>
        <v>0</v>
      </c>
      <c r="CC1090" s="173">
        <f t="shared" si="521"/>
        <v>0</v>
      </c>
    </row>
    <row r="1091" spans="10:81" x14ac:dyDescent="0.25">
      <c r="J1091" s="7"/>
      <c r="K1091" s="8"/>
      <c r="L1091" s="16"/>
      <c r="M1091" s="22"/>
      <c r="N1091" s="22"/>
      <c r="O1091" s="22"/>
      <c r="P1091" s="22"/>
      <c r="Q1091" s="1">
        <f t="shared" si="522"/>
        <v>0.60744618579017706</v>
      </c>
      <c r="R1091" s="12">
        <f t="shared" ca="1" si="539"/>
        <v>31832</v>
      </c>
      <c r="S1091" s="88">
        <f t="shared" ref="S1091:S1154" si="548">N1091+M1091</f>
        <v>0</v>
      </c>
      <c r="T1091" s="19">
        <f t="shared" si="540"/>
        <v>0</v>
      </c>
      <c r="U1091" s="19">
        <f t="shared" si="541"/>
        <v>0</v>
      </c>
      <c r="V1091" s="19">
        <f t="shared" si="527"/>
        <v>0</v>
      </c>
      <c r="W1091" s="20">
        <f t="shared" ca="1" si="542"/>
        <v>0</v>
      </c>
      <c r="X1091" s="19">
        <f t="shared" ca="1" si="543"/>
        <v>0</v>
      </c>
      <c r="Y1091" s="19">
        <f t="shared" ca="1" si="544"/>
        <v>0</v>
      </c>
      <c r="Z1091" s="20">
        <f t="shared" ca="1" si="545"/>
        <v>0</v>
      </c>
      <c r="AA1091" s="1">
        <f t="shared" si="523"/>
        <v>5432.58</v>
      </c>
      <c r="AB1091" s="91"/>
      <c r="AC1091" s="92"/>
      <c r="AD1091" s="101">
        <f t="shared" si="524"/>
        <v>72954</v>
      </c>
      <c r="AE1091" s="103">
        <f t="shared" si="525"/>
        <v>0</v>
      </c>
      <c r="AG1091" s="1">
        <f t="shared" si="546"/>
        <v>0</v>
      </c>
      <c r="AH1091" s="1">
        <f t="shared" si="547"/>
        <v>0</v>
      </c>
      <c r="AI1091" s="1">
        <f t="shared" si="526"/>
        <v>5432.58</v>
      </c>
      <c r="AJ1091" s="20">
        <f t="shared" si="528"/>
        <v>0</v>
      </c>
      <c r="AK1091" s="100">
        <f t="shared" si="530"/>
        <v>0</v>
      </c>
      <c r="AL1091" s="100">
        <f t="shared" si="531"/>
        <v>0</v>
      </c>
      <c r="AN1091" s="100">
        <f t="shared" si="532"/>
        <v>3173.8974248924351</v>
      </c>
      <c r="AO1091" s="20">
        <f t="shared" si="533"/>
        <v>0</v>
      </c>
      <c r="AQ1091" s="109">
        <f t="shared" si="534"/>
        <v>0</v>
      </c>
      <c r="AU1091" s="109">
        <f t="shared" si="519"/>
        <v>24.652642651012361</v>
      </c>
      <c r="AV1091" s="101">
        <f t="shared" si="535"/>
        <v>72984</v>
      </c>
      <c r="AW1091" s="99">
        <f t="shared" si="536"/>
        <v>0</v>
      </c>
      <c r="AX1091" s="1">
        <f t="shared" si="537"/>
        <v>0</v>
      </c>
      <c r="AY1091" s="29">
        <f t="shared" si="538"/>
        <v>0</v>
      </c>
      <c r="AZ1091" s="1">
        <f t="shared" si="520"/>
        <v>0</v>
      </c>
      <c r="CB1091" s="20">
        <f t="shared" si="529"/>
        <v>0</v>
      </c>
      <c r="CC1091" s="173">
        <f t="shared" si="521"/>
        <v>0</v>
      </c>
    </row>
    <row r="1092" spans="10:81" x14ac:dyDescent="0.25">
      <c r="J1092" s="9"/>
      <c r="K1092" s="10"/>
      <c r="L1092" s="17"/>
      <c r="M1092" s="23"/>
      <c r="N1092" s="23"/>
      <c r="O1092" s="23"/>
      <c r="P1092" s="23"/>
      <c r="Q1092" s="1">
        <f t="shared" si="522"/>
        <v>0.60744618579017706</v>
      </c>
      <c r="R1092" s="12">
        <f t="shared" ca="1" si="539"/>
        <v>31862</v>
      </c>
      <c r="S1092" s="88">
        <f t="shared" si="548"/>
        <v>0</v>
      </c>
      <c r="T1092" s="19">
        <f t="shared" si="540"/>
        <v>0</v>
      </c>
      <c r="U1092" s="19">
        <f t="shared" si="541"/>
        <v>0</v>
      </c>
      <c r="V1092" s="19">
        <f t="shared" si="527"/>
        <v>0</v>
      </c>
      <c r="W1092" s="20">
        <f t="shared" ca="1" si="542"/>
        <v>0</v>
      </c>
      <c r="X1092" s="19">
        <f t="shared" ca="1" si="543"/>
        <v>0</v>
      </c>
      <c r="Y1092" s="19">
        <f t="shared" ca="1" si="544"/>
        <v>0</v>
      </c>
      <c r="Z1092" s="20">
        <f t="shared" ca="1" si="545"/>
        <v>0</v>
      </c>
      <c r="AA1092" s="1">
        <f t="shared" si="523"/>
        <v>5432.58</v>
      </c>
      <c r="AB1092" s="93"/>
      <c r="AC1092" s="94"/>
      <c r="AD1092" s="101">
        <f t="shared" si="524"/>
        <v>72984</v>
      </c>
      <c r="AE1092" s="103">
        <f t="shared" si="525"/>
        <v>0</v>
      </c>
      <c r="AG1092" s="1">
        <f t="shared" si="546"/>
        <v>0</v>
      </c>
      <c r="AH1092" s="1">
        <f t="shared" si="547"/>
        <v>0</v>
      </c>
      <c r="AI1092" s="1">
        <f t="shared" si="526"/>
        <v>5432.58</v>
      </c>
      <c r="AJ1092" s="20">
        <f t="shared" si="528"/>
        <v>0</v>
      </c>
      <c r="AK1092" s="100">
        <f t="shared" si="530"/>
        <v>0</v>
      </c>
      <c r="AL1092" s="100">
        <f t="shared" si="531"/>
        <v>0</v>
      </c>
      <c r="AN1092" s="100">
        <f t="shared" si="532"/>
        <v>3172.2915945346726</v>
      </c>
      <c r="AO1092" s="20">
        <f t="shared" si="533"/>
        <v>0</v>
      </c>
      <c r="AQ1092" s="109">
        <f t="shared" si="534"/>
        <v>0</v>
      </c>
      <c r="AU1092" s="109">
        <f t="shared" si="519"/>
        <v>24.650478886754524</v>
      </c>
      <c r="AV1092" s="101">
        <f t="shared" si="535"/>
        <v>73014</v>
      </c>
      <c r="AW1092" s="99">
        <f t="shared" si="536"/>
        <v>0</v>
      </c>
      <c r="AX1092" s="1">
        <f t="shared" si="537"/>
        <v>0</v>
      </c>
      <c r="AY1092" s="29">
        <f t="shared" si="538"/>
        <v>0</v>
      </c>
      <c r="AZ1092" s="1">
        <f t="shared" si="520"/>
        <v>0</v>
      </c>
      <c r="CB1092" s="20">
        <f t="shared" si="529"/>
        <v>0</v>
      </c>
      <c r="CC1092" s="173">
        <f t="shared" si="521"/>
        <v>0</v>
      </c>
    </row>
    <row r="1093" spans="10:81" x14ac:dyDescent="0.25">
      <c r="J1093" s="7"/>
      <c r="K1093" s="8"/>
      <c r="L1093" s="16"/>
      <c r="M1093" s="22"/>
      <c r="N1093" s="22"/>
      <c r="O1093" s="22"/>
      <c r="P1093" s="22"/>
      <c r="Q1093" s="1">
        <f t="shared" si="522"/>
        <v>0.60744618579017706</v>
      </c>
      <c r="R1093" s="12">
        <f t="shared" ca="1" si="539"/>
        <v>31892</v>
      </c>
      <c r="S1093" s="88">
        <f t="shared" si="548"/>
        <v>0</v>
      </c>
      <c r="T1093" s="19">
        <f t="shared" si="540"/>
        <v>0</v>
      </c>
      <c r="U1093" s="19">
        <f t="shared" si="541"/>
        <v>0</v>
      </c>
      <c r="V1093" s="19">
        <f t="shared" si="527"/>
        <v>0</v>
      </c>
      <c r="W1093" s="20">
        <f t="shared" ca="1" si="542"/>
        <v>0</v>
      </c>
      <c r="X1093" s="19">
        <f t="shared" ca="1" si="543"/>
        <v>0</v>
      </c>
      <c r="Y1093" s="19">
        <f t="shared" ca="1" si="544"/>
        <v>0</v>
      </c>
      <c r="Z1093" s="20">
        <f t="shared" ca="1" si="545"/>
        <v>0</v>
      </c>
      <c r="AA1093" s="1">
        <f t="shared" si="523"/>
        <v>5432.58</v>
      </c>
      <c r="AB1093" s="91"/>
      <c r="AC1093" s="92"/>
      <c r="AD1093" s="101">
        <f t="shared" si="524"/>
        <v>73014</v>
      </c>
      <c r="AE1093" s="103">
        <f t="shared" si="525"/>
        <v>0</v>
      </c>
      <c r="AG1093" s="1">
        <f t="shared" si="546"/>
        <v>0</v>
      </c>
      <c r="AH1093" s="1">
        <f t="shared" si="547"/>
        <v>0</v>
      </c>
      <c r="AI1093" s="1">
        <f t="shared" si="526"/>
        <v>5432.58</v>
      </c>
      <c r="AJ1093" s="20">
        <f t="shared" si="528"/>
        <v>0</v>
      </c>
      <c r="AK1093" s="100">
        <f t="shared" si="530"/>
        <v>0</v>
      </c>
      <c r="AL1093" s="100">
        <f t="shared" si="531"/>
        <v>0</v>
      </c>
      <c r="AN1093" s="100">
        <f t="shared" si="532"/>
        <v>3170.6865766452393</v>
      </c>
      <c r="AO1093" s="20">
        <f t="shared" si="533"/>
        <v>0</v>
      </c>
      <c r="AQ1093" s="109">
        <f t="shared" si="534"/>
        <v>0</v>
      </c>
      <c r="AU1093" s="109">
        <f t="shared" si="519"/>
        <v>24.648315312410443</v>
      </c>
      <c r="AV1093" s="101">
        <f t="shared" si="535"/>
        <v>73044</v>
      </c>
      <c r="AW1093" s="99">
        <f t="shared" si="536"/>
        <v>0</v>
      </c>
      <c r="AX1093" s="1">
        <f t="shared" si="537"/>
        <v>0</v>
      </c>
      <c r="AY1093" s="29">
        <f t="shared" si="538"/>
        <v>0</v>
      </c>
      <c r="AZ1093" s="1">
        <f t="shared" si="520"/>
        <v>0</v>
      </c>
      <c r="CB1093" s="20">
        <f t="shared" si="529"/>
        <v>0</v>
      </c>
      <c r="CC1093" s="173">
        <f t="shared" si="521"/>
        <v>0</v>
      </c>
    </row>
    <row r="1094" spans="10:81" x14ac:dyDescent="0.25">
      <c r="J1094" s="9"/>
      <c r="K1094" s="10"/>
      <c r="L1094" s="17"/>
      <c r="M1094" s="23"/>
      <c r="N1094" s="23"/>
      <c r="O1094" s="23"/>
      <c r="P1094" s="23"/>
      <c r="Q1094" s="1">
        <f t="shared" si="522"/>
        <v>0.60744618579017706</v>
      </c>
      <c r="R1094" s="12">
        <f t="shared" ca="1" si="539"/>
        <v>31922</v>
      </c>
      <c r="S1094" s="88">
        <f t="shared" si="548"/>
        <v>0</v>
      </c>
      <c r="T1094" s="19">
        <f t="shared" si="540"/>
        <v>0</v>
      </c>
      <c r="U1094" s="19">
        <f t="shared" si="541"/>
        <v>0</v>
      </c>
      <c r="V1094" s="19">
        <f t="shared" si="527"/>
        <v>0</v>
      </c>
      <c r="W1094" s="20">
        <f t="shared" ca="1" si="542"/>
        <v>0</v>
      </c>
      <c r="X1094" s="19">
        <f t="shared" ca="1" si="543"/>
        <v>0</v>
      </c>
      <c r="Y1094" s="19">
        <f t="shared" ca="1" si="544"/>
        <v>0</v>
      </c>
      <c r="Z1094" s="20">
        <f t="shared" ca="1" si="545"/>
        <v>0</v>
      </c>
      <c r="AA1094" s="1">
        <f t="shared" si="523"/>
        <v>5432.58</v>
      </c>
      <c r="AB1094" s="93"/>
      <c r="AC1094" s="94"/>
      <c r="AD1094" s="101">
        <f t="shared" si="524"/>
        <v>73044</v>
      </c>
      <c r="AE1094" s="103">
        <f t="shared" si="525"/>
        <v>0</v>
      </c>
      <c r="AG1094" s="1">
        <f t="shared" si="546"/>
        <v>0</v>
      </c>
      <c r="AH1094" s="1">
        <f t="shared" si="547"/>
        <v>0</v>
      </c>
      <c r="AI1094" s="1">
        <f t="shared" si="526"/>
        <v>5432.58</v>
      </c>
      <c r="AJ1094" s="20">
        <f t="shared" si="528"/>
        <v>0</v>
      </c>
      <c r="AK1094" s="100">
        <f t="shared" si="530"/>
        <v>0</v>
      </c>
      <c r="AL1094" s="100">
        <f t="shared" si="531"/>
        <v>0</v>
      </c>
      <c r="AN1094" s="100">
        <f t="shared" si="532"/>
        <v>3169.0823708130679</v>
      </c>
      <c r="AO1094" s="20">
        <f t="shared" si="533"/>
        <v>0</v>
      </c>
      <c r="AQ1094" s="109">
        <f t="shared" si="534"/>
        <v>0</v>
      </c>
      <c r="AU1094" s="109">
        <f t="shared" si="519"/>
        <v>24.646151927963434</v>
      </c>
      <c r="AV1094" s="101">
        <f t="shared" si="535"/>
        <v>73074</v>
      </c>
      <c r="AW1094" s="99">
        <f t="shared" si="536"/>
        <v>0</v>
      </c>
      <c r="AX1094" s="1">
        <f t="shared" si="537"/>
        <v>0</v>
      </c>
      <c r="AY1094" s="29">
        <f t="shared" si="538"/>
        <v>0</v>
      </c>
      <c r="AZ1094" s="1">
        <f t="shared" si="520"/>
        <v>0</v>
      </c>
      <c r="CB1094" s="20">
        <f t="shared" si="529"/>
        <v>0</v>
      </c>
      <c r="CC1094" s="173">
        <f t="shared" si="521"/>
        <v>0</v>
      </c>
    </row>
    <row r="1095" spans="10:81" x14ac:dyDescent="0.25">
      <c r="J1095" s="7"/>
      <c r="K1095" s="8"/>
      <c r="L1095" s="16"/>
      <c r="M1095" s="22"/>
      <c r="N1095" s="22"/>
      <c r="O1095" s="22"/>
      <c r="P1095" s="22"/>
      <c r="Q1095" s="1">
        <f t="shared" si="522"/>
        <v>0.60744618579017706</v>
      </c>
      <c r="R1095" s="12">
        <f t="shared" ca="1" si="539"/>
        <v>31952</v>
      </c>
      <c r="S1095" s="88">
        <f t="shared" si="548"/>
        <v>0</v>
      </c>
      <c r="T1095" s="19">
        <f t="shared" si="540"/>
        <v>0</v>
      </c>
      <c r="U1095" s="19">
        <f t="shared" si="541"/>
        <v>0</v>
      </c>
      <c r="V1095" s="19">
        <f t="shared" si="527"/>
        <v>0</v>
      </c>
      <c r="W1095" s="20">
        <f t="shared" ca="1" si="542"/>
        <v>0</v>
      </c>
      <c r="X1095" s="19">
        <f t="shared" ca="1" si="543"/>
        <v>0</v>
      </c>
      <c r="Y1095" s="19">
        <f t="shared" ca="1" si="544"/>
        <v>0</v>
      </c>
      <c r="Z1095" s="20">
        <f t="shared" ca="1" si="545"/>
        <v>0</v>
      </c>
      <c r="AA1095" s="1">
        <f t="shared" si="523"/>
        <v>5432.58</v>
      </c>
      <c r="AB1095" s="91"/>
      <c r="AC1095" s="92"/>
      <c r="AD1095" s="101">
        <f t="shared" si="524"/>
        <v>73074</v>
      </c>
      <c r="AE1095" s="103">
        <f t="shared" si="525"/>
        <v>0</v>
      </c>
      <c r="AG1095" s="1">
        <f t="shared" si="546"/>
        <v>0</v>
      </c>
      <c r="AH1095" s="1">
        <f t="shared" si="547"/>
        <v>0</v>
      </c>
      <c r="AI1095" s="1">
        <f t="shared" si="526"/>
        <v>5432.58</v>
      </c>
      <c r="AJ1095" s="20">
        <f t="shared" si="528"/>
        <v>0</v>
      </c>
      <c r="AK1095" s="100">
        <f t="shared" si="530"/>
        <v>0</v>
      </c>
      <c r="AL1095" s="100">
        <f t="shared" si="531"/>
        <v>0</v>
      </c>
      <c r="AN1095" s="100">
        <f t="shared" si="532"/>
        <v>3167.4789766272988</v>
      </c>
      <c r="AO1095" s="20">
        <f t="shared" si="533"/>
        <v>0</v>
      </c>
      <c r="AQ1095" s="109">
        <f t="shared" si="534"/>
        <v>0</v>
      </c>
      <c r="AU1095" s="109">
        <f t="shared" si="519"/>
        <v>24.643988733396839</v>
      </c>
      <c r="AV1095" s="101">
        <f t="shared" si="535"/>
        <v>73104</v>
      </c>
      <c r="AW1095" s="99">
        <f t="shared" si="536"/>
        <v>0</v>
      </c>
      <c r="AX1095" s="1">
        <f t="shared" si="537"/>
        <v>0</v>
      </c>
      <c r="AY1095" s="29">
        <f t="shared" si="538"/>
        <v>0</v>
      </c>
      <c r="AZ1095" s="1">
        <f t="shared" si="520"/>
        <v>0</v>
      </c>
      <c r="CB1095" s="20">
        <f t="shared" si="529"/>
        <v>0</v>
      </c>
      <c r="CC1095" s="173">
        <f t="shared" si="521"/>
        <v>0</v>
      </c>
    </row>
    <row r="1096" spans="10:81" x14ac:dyDescent="0.25">
      <c r="J1096" s="9"/>
      <c r="K1096" s="10"/>
      <c r="L1096" s="17"/>
      <c r="M1096" s="23"/>
      <c r="N1096" s="23"/>
      <c r="O1096" s="23"/>
      <c r="P1096" s="23"/>
      <c r="Q1096" s="1">
        <f t="shared" si="522"/>
        <v>0.60744618579017706</v>
      </c>
      <c r="R1096" s="12">
        <f t="shared" ca="1" si="539"/>
        <v>31982</v>
      </c>
      <c r="S1096" s="88">
        <f t="shared" si="548"/>
        <v>0</v>
      </c>
      <c r="T1096" s="19">
        <f t="shared" si="540"/>
        <v>0</v>
      </c>
      <c r="U1096" s="19">
        <f t="shared" si="541"/>
        <v>0</v>
      </c>
      <c r="V1096" s="19">
        <f t="shared" si="527"/>
        <v>0</v>
      </c>
      <c r="W1096" s="20">
        <f t="shared" ca="1" si="542"/>
        <v>0</v>
      </c>
      <c r="X1096" s="19">
        <f t="shared" ca="1" si="543"/>
        <v>0</v>
      </c>
      <c r="Y1096" s="19">
        <f t="shared" ca="1" si="544"/>
        <v>0</v>
      </c>
      <c r="Z1096" s="20">
        <f t="shared" ca="1" si="545"/>
        <v>0</v>
      </c>
      <c r="AA1096" s="1">
        <f t="shared" si="523"/>
        <v>5432.58</v>
      </c>
      <c r="AB1096" s="93"/>
      <c r="AC1096" s="94"/>
      <c r="AD1096" s="101">
        <f t="shared" si="524"/>
        <v>73104</v>
      </c>
      <c r="AE1096" s="103">
        <f t="shared" si="525"/>
        <v>0</v>
      </c>
      <c r="AG1096" s="1">
        <f t="shared" si="546"/>
        <v>0</v>
      </c>
      <c r="AH1096" s="1">
        <f t="shared" si="547"/>
        <v>0</v>
      </c>
      <c r="AI1096" s="1">
        <f t="shared" si="526"/>
        <v>5432.58</v>
      </c>
      <c r="AJ1096" s="20">
        <f t="shared" si="528"/>
        <v>0</v>
      </c>
      <c r="AK1096" s="100">
        <f t="shared" si="530"/>
        <v>0</v>
      </c>
      <c r="AL1096" s="100">
        <f t="shared" si="531"/>
        <v>0</v>
      </c>
      <c r="AN1096" s="100">
        <f t="shared" si="532"/>
        <v>3165.8763936772802</v>
      </c>
      <c r="AO1096" s="20">
        <f t="shared" si="533"/>
        <v>0</v>
      </c>
      <c r="AQ1096" s="109">
        <f t="shared" si="534"/>
        <v>0</v>
      </c>
      <c r="AU1096" s="109">
        <f t="shared" si="519"/>
        <v>24.641825728693981</v>
      </c>
      <c r="AV1096" s="101">
        <f t="shared" si="535"/>
        <v>73134</v>
      </c>
      <c r="AW1096" s="99">
        <f t="shared" si="536"/>
        <v>0</v>
      </c>
      <c r="AX1096" s="1">
        <f t="shared" si="537"/>
        <v>0</v>
      </c>
      <c r="AY1096" s="29">
        <f t="shared" si="538"/>
        <v>0</v>
      </c>
      <c r="AZ1096" s="1">
        <f t="shared" si="520"/>
        <v>0</v>
      </c>
      <c r="CB1096" s="20">
        <f t="shared" si="529"/>
        <v>0</v>
      </c>
      <c r="CC1096" s="173">
        <f t="shared" si="521"/>
        <v>0</v>
      </c>
    </row>
    <row r="1097" spans="10:81" x14ac:dyDescent="0.25">
      <c r="J1097" s="7"/>
      <c r="K1097" s="8"/>
      <c r="L1097" s="16"/>
      <c r="M1097" s="22"/>
      <c r="N1097" s="22"/>
      <c r="O1097" s="22"/>
      <c r="P1097" s="22"/>
      <c r="Q1097" s="1">
        <f t="shared" si="522"/>
        <v>0.60744618579017706</v>
      </c>
      <c r="R1097" s="12">
        <f t="shared" ca="1" si="539"/>
        <v>32012</v>
      </c>
      <c r="S1097" s="88">
        <f t="shared" si="548"/>
        <v>0</v>
      </c>
      <c r="T1097" s="19">
        <f t="shared" si="540"/>
        <v>0</v>
      </c>
      <c r="U1097" s="19">
        <f t="shared" si="541"/>
        <v>0</v>
      </c>
      <c r="V1097" s="19">
        <f t="shared" si="527"/>
        <v>0</v>
      </c>
      <c r="W1097" s="20">
        <f t="shared" ca="1" si="542"/>
        <v>0</v>
      </c>
      <c r="X1097" s="19">
        <f t="shared" ca="1" si="543"/>
        <v>0</v>
      </c>
      <c r="Y1097" s="19">
        <f t="shared" ca="1" si="544"/>
        <v>0</v>
      </c>
      <c r="Z1097" s="20">
        <f t="shared" ca="1" si="545"/>
        <v>0</v>
      </c>
      <c r="AA1097" s="1">
        <f t="shared" si="523"/>
        <v>5432.58</v>
      </c>
      <c r="AB1097" s="91"/>
      <c r="AC1097" s="92"/>
      <c r="AD1097" s="101">
        <f t="shared" si="524"/>
        <v>73134</v>
      </c>
      <c r="AE1097" s="103">
        <f t="shared" si="525"/>
        <v>0</v>
      </c>
      <c r="AG1097" s="1">
        <f t="shared" si="546"/>
        <v>0</v>
      </c>
      <c r="AH1097" s="1">
        <f t="shared" si="547"/>
        <v>0</v>
      </c>
      <c r="AI1097" s="1">
        <f t="shared" si="526"/>
        <v>5432.58</v>
      </c>
      <c r="AJ1097" s="20">
        <f t="shared" si="528"/>
        <v>0</v>
      </c>
      <c r="AK1097" s="100">
        <f t="shared" si="530"/>
        <v>0</v>
      </c>
      <c r="AL1097" s="100">
        <f t="shared" si="531"/>
        <v>0</v>
      </c>
      <c r="AN1097" s="100">
        <f t="shared" si="532"/>
        <v>3164.2746215525672</v>
      </c>
      <c r="AO1097" s="20">
        <f t="shared" si="533"/>
        <v>0</v>
      </c>
      <c r="AQ1097" s="109">
        <f t="shared" si="534"/>
        <v>0</v>
      </c>
      <c r="AU1097" s="109">
        <f t="shared" si="519"/>
        <v>24.639662913838215</v>
      </c>
      <c r="AV1097" s="101">
        <f t="shared" si="535"/>
        <v>73164</v>
      </c>
      <c r="AW1097" s="99">
        <f t="shared" si="536"/>
        <v>0</v>
      </c>
      <c r="AX1097" s="1">
        <f t="shared" si="537"/>
        <v>0</v>
      </c>
      <c r="AY1097" s="29">
        <f t="shared" si="538"/>
        <v>0</v>
      </c>
      <c r="AZ1097" s="1">
        <f t="shared" si="520"/>
        <v>0</v>
      </c>
      <c r="CB1097" s="20">
        <f t="shared" si="529"/>
        <v>0</v>
      </c>
      <c r="CC1097" s="173">
        <f t="shared" si="521"/>
        <v>0</v>
      </c>
    </row>
    <row r="1098" spans="10:81" x14ac:dyDescent="0.25">
      <c r="J1098" s="9"/>
      <c r="K1098" s="10"/>
      <c r="L1098" s="17"/>
      <c r="M1098" s="23"/>
      <c r="N1098" s="23"/>
      <c r="O1098" s="23"/>
      <c r="P1098" s="23"/>
      <c r="Q1098" s="1">
        <f t="shared" si="522"/>
        <v>0.60744618579017706</v>
      </c>
      <c r="R1098" s="12">
        <f t="shared" ca="1" si="539"/>
        <v>32042</v>
      </c>
      <c r="S1098" s="88">
        <f t="shared" si="548"/>
        <v>0</v>
      </c>
      <c r="T1098" s="19">
        <f t="shared" si="540"/>
        <v>0</v>
      </c>
      <c r="U1098" s="19">
        <f t="shared" si="541"/>
        <v>0</v>
      </c>
      <c r="V1098" s="19">
        <f t="shared" si="527"/>
        <v>0</v>
      </c>
      <c r="W1098" s="20">
        <f t="shared" ca="1" si="542"/>
        <v>0</v>
      </c>
      <c r="X1098" s="19">
        <f t="shared" ca="1" si="543"/>
        <v>0</v>
      </c>
      <c r="Y1098" s="19">
        <f t="shared" ca="1" si="544"/>
        <v>0</v>
      </c>
      <c r="Z1098" s="20">
        <f t="shared" ca="1" si="545"/>
        <v>0</v>
      </c>
      <c r="AA1098" s="1">
        <f t="shared" si="523"/>
        <v>5432.58</v>
      </c>
      <c r="AB1098" s="93"/>
      <c r="AC1098" s="94"/>
      <c r="AD1098" s="101">
        <f t="shared" si="524"/>
        <v>73164</v>
      </c>
      <c r="AE1098" s="103">
        <f t="shared" si="525"/>
        <v>0</v>
      </c>
      <c r="AG1098" s="1">
        <f t="shared" si="546"/>
        <v>0</v>
      </c>
      <c r="AH1098" s="1">
        <f t="shared" si="547"/>
        <v>0</v>
      </c>
      <c r="AI1098" s="1">
        <f t="shared" si="526"/>
        <v>5432.58</v>
      </c>
      <c r="AJ1098" s="20">
        <f t="shared" si="528"/>
        <v>0</v>
      </c>
      <c r="AK1098" s="100">
        <f t="shared" si="530"/>
        <v>0</v>
      </c>
      <c r="AL1098" s="100">
        <f t="shared" si="531"/>
        <v>0</v>
      </c>
      <c r="AN1098" s="100">
        <f t="shared" si="532"/>
        <v>3162.6736598429238</v>
      </c>
      <c r="AO1098" s="20">
        <f t="shared" si="533"/>
        <v>0</v>
      </c>
      <c r="AQ1098" s="109">
        <f t="shared" si="534"/>
        <v>0</v>
      </c>
      <c r="AU1098" s="109">
        <f t="shared" si="519"/>
        <v>24.637500288812877</v>
      </c>
      <c r="AV1098" s="101">
        <f t="shared" si="535"/>
        <v>73194</v>
      </c>
      <c r="AW1098" s="99">
        <f t="shared" si="536"/>
        <v>0</v>
      </c>
      <c r="AX1098" s="1">
        <f t="shared" si="537"/>
        <v>0</v>
      </c>
      <c r="AY1098" s="29">
        <f t="shared" si="538"/>
        <v>0</v>
      </c>
      <c r="AZ1098" s="1">
        <f t="shared" si="520"/>
        <v>0</v>
      </c>
      <c r="CB1098" s="20">
        <f t="shared" si="529"/>
        <v>0</v>
      </c>
      <c r="CC1098" s="173">
        <f t="shared" si="521"/>
        <v>0</v>
      </c>
    </row>
    <row r="1099" spans="10:81" x14ac:dyDescent="0.25">
      <c r="J1099" s="7"/>
      <c r="K1099" s="8"/>
      <c r="L1099" s="16"/>
      <c r="M1099" s="22"/>
      <c r="N1099" s="22"/>
      <c r="O1099" s="22"/>
      <c r="P1099" s="22"/>
      <c r="Q1099" s="1">
        <f t="shared" si="522"/>
        <v>0.60744618579017706</v>
      </c>
      <c r="R1099" s="12">
        <f t="shared" ca="1" si="539"/>
        <v>32072</v>
      </c>
      <c r="S1099" s="88">
        <f t="shared" si="548"/>
        <v>0</v>
      </c>
      <c r="T1099" s="19">
        <f t="shared" si="540"/>
        <v>0</v>
      </c>
      <c r="U1099" s="19">
        <f t="shared" si="541"/>
        <v>0</v>
      </c>
      <c r="V1099" s="19">
        <f t="shared" si="527"/>
        <v>0</v>
      </c>
      <c r="W1099" s="20">
        <f t="shared" ca="1" si="542"/>
        <v>0</v>
      </c>
      <c r="X1099" s="19">
        <f t="shared" ca="1" si="543"/>
        <v>0</v>
      </c>
      <c r="Y1099" s="19">
        <f t="shared" ca="1" si="544"/>
        <v>0</v>
      </c>
      <c r="Z1099" s="20">
        <f t="shared" ca="1" si="545"/>
        <v>0</v>
      </c>
      <c r="AA1099" s="1">
        <f t="shared" si="523"/>
        <v>5432.58</v>
      </c>
      <c r="AB1099" s="91"/>
      <c r="AC1099" s="92"/>
      <c r="AD1099" s="101">
        <f t="shared" si="524"/>
        <v>73194</v>
      </c>
      <c r="AE1099" s="103">
        <f t="shared" si="525"/>
        <v>0</v>
      </c>
      <c r="AG1099" s="1">
        <f t="shared" si="546"/>
        <v>0</v>
      </c>
      <c r="AH1099" s="1">
        <f t="shared" si="547"/>
        <v>0</v>
      </c>
      <c r="AI1099" s="1">
        <f t="shared" si="526"/>
        <v>5432.58</v>
      </c>
      <c r="AJ1099" s="20">
        <f t="shared" si="528"/>
        <v>0</v>
      </c>
      <c r="AK1099" s="100">
        <f t="shared" si="530"/>
        <v>0</v>
      </c>
      <c r="AL1099" s="100">
        <f t="shared" si="531"/>
        <v>0</v>
      </c>
      <c r="AN1099" s="100">
        <f t="shared" si="532"/>
        <v>3161.0735081383232</v>
      </c>
      <c r="AO1099" s="20">
        <f t="shared" si="533"/>
        <v>0</v>
      </c>
      <c r="AQ1099" s="109">
        <f t="shared" si="534"/>
        <v>0</v>
      </c>
      <c r="AU1099" s="109">
        <f t="shared" si="519"/>
        <v>24.635337853601282</v>
      </c>
      <c r="AV1099" s="101">
        <f t="shared" si="535"/>
        <v>73224</v>
      </c>
      <c r="AW1099" s="99">
        <f t="shared" si="536"/>
        <v>0</v>
      </c>
      <c r="AX1099" s="1">
        <f t="shared" si="537"/>
        <v>0</v>
      </c>
      <c r="AY1099" s="29">
        <f t="shared" si="538"/>
        <v>0</v>
      </c>
      <c r="AZ1099" s="1">
        <f t="shared" si="520"/>
        <v>0</v>
      </c>
      <c r="CB1099" s="20">
        <f t="shared" si="529"/>
        <v>0</v>
      </c>
      <c r="CC1099" s="173">
        <f t="shared" si="521"/>
        <v>0</v>
      </c>
    </row>
    <row r="1100" spans="10:81" x14ac:dyDescent="0.25">
      <c r="J1100" s="9"/>
      <c r="K1100" s="10"/>
      <c r="L1100" s="17"/>
      <c r="M1100" s="23"/>
      <c r="N1100" s="23"/>
      <c r="O1100" s="23"/>
      <c r="P1100" s="23"/>
      <c r="Q1100" s="1">
        <f t="shared" si="522"/>
        <v>0.60744618579017706</v>
      </c>
      <c r="R1100" s="12">
        <f t="shared" ca="1" si="539"/>
        <v>32102</v>
      </c>
      <c r="S1100" s="88">
        <f t="shared" si="548"/>
        <v>0</v>
      </c>
      <c r="T1100" s="19">
        <f t="shared" si="540"/>
        <v>0</v>
      </c>
      <c r="U1100" s="19">
        <f t="shared" si="541"/>
        <v>0</v>
      </c>
      <c r="V1100" s="19">
        <f t="shared" si="527"/>
        <v>0</v>
      </c>
      <c r="W1100" s="20">
        <f t="shared" ca="1" si="542"/>
        <v>0</v>
      </c>
      <c r="X1100" s="19">
        <f t="shared" ca="1" si="543"/>
        <v>0</v>
      </c>
      <c r="Y1100" s="19">
        <f t="shared" ca="1" si="544"/>
        <v>0</v>
      </c>
      <c r="Z1100" s="20">
        <f t="shared" ca="1" si="545"/>
        <v>0</v>
      </c>
      <c r="AA1100" s="1">
        <f t="shared" si="523"/>
        <v>5432.58</v>
      </c>
      <c r="AB1100" s="93"/>
      <c r="AC1100" s="94"/>
      <c r="AD1100" s="101">
        <f t="shared" si="524"/>
        <v>73224</v>
      </c>
      <c r="AE1100" s="103">
        <f t="shared" si="525"/>
        <v>0</v>
      </c>
      <c r="AG1100" s="1">
        <f t="shared" si="546"/>
        <v>0</v>
      </c>
      <c r="AH1100" s="1">
        <f t="shared" si="547"/>
        <v>0</v>
      </c>
      <c r="AI1100" s="1">
        <f t="shared" si="526"/>
        <v>5432.58</v>
      </c>
      <c r="AJ1100" s="20">
        <f t="shared" si="528"/>
        <v>0</v>
      </c>
      <c r="AK1100" s="100">
        <f t="shared" si="530"/>
        <v>0</v>
      </c>
      <c r="AL1100" s="100">
        <f t="shared" si="531"/>
        <v>0</v>
      </c>
      <c r="AN1100" s="100">
        <f t="shared" si="532"/>
        <v>3159.4741660289424</v>
      </c>
      <c r="AO1100" s="20">
        <f t="shared" si="533"/>
        <v>0</v>
      </c>
      <c r="AQ1100" s="109">
        <f t="shared" si="534"/>
        <v>0</v>
      </c>
      <c r="AU1100" s="109">
        <f t="shared" si="519"/>
        <v>24.633175608186789</v>
      </c>
      <c r="AV1100" s="101">
        <f t="shared" si="535"/>
        <v>73254</v>
      </c>
      <c r="AW1100" s="99">
        <f t="shared" si="536"/>
        <v>0</v>
      </c>
      <c r="AX1100" s="1">
        <f t="shared" si="537"/>
        <v>0</v>
      </c>
      <c r="AY1100" s="29">
        <f t="shared" si="538"/>
        <v>0</v>
      </c>
      <c r="AZ1100" s="1">
        <f t="shared" si="520"/>
        <v>0</v>
      </c>
      <c r="CB1100" s="20">
        <f t="shared" si="529"/>
        <v>0</v>
      </c>
      <c r="CC1100" s="173">
        <f t="shared" si="521"/>
        <v>0</v>
      </c>
    </row>
    <row r="1101" spans="10:81" x14ac:dyDescent="0.25">
      <c r="J1101" s="7"/>
      <c r="K1101" s="8"/>
      <c r="L1101" s="16"/>
      <c r="M1101" s="22"/>
      <c r="N1101" s="22"/>
      <c r="O1101" s="22"/>
      <c r="P1101" s="22"/>
      <c r="Q1101" s="1">
        <f t="shared" si="522"/>
        <v>0.60744618579017706</v>
      </c>
      <c r="R1101" s="12">
        <f t="shared" ca="1" si="539"/>
        <v>32132</v>
      </c>
      <c r="S1101" s="88">
        <f t="shared" si="548"/>
        <v>0</v>
      </c>
      <c r="T1101" s="19">
        <f t="shared" si="540"/>
        <v>0</v>
      </c>
      <c r="U1101" s="19">
        <f t="shared" si="541"/>
        <v>0</v>
      </c>
      <c r="V1101" s="19">
        <f t="shared" si="527"/>
        <v>0</v>
      </c>
      <c r="W1101" s="20">
        <f t="shared" ca="1" si="542"/>
        <v>0</v>
      </c>
      <c r="X1101" s="19">
        <f t="shared" ca="1" si="543"/>
        <v>0</v>
      </c>
      <c r="Y1101" s="19">
        <f t="shared" ca="1" si="544"/>
        <v>0</v>
      </c>
      <c r="Z1101" s="20">
        <f t="shared" ca="1" si="545"/>
        <v>0</v>
      </c>
      <c r="AA1101" s="1">
        <f t="shared" si="523"/>
        <v>5432.58</v>
      </c>
      <c r="AB1101" s="91"/>
      <c r="AC1101" s="92"/>
      <c r="AD1101" s="101">
        <f t="shared" si="524"/>
        <v>73254</v>
      </c>
      <c r="AE1101" s="103">
        <f t="shared" si="525"/>
        <v>0</v>
      </c>
      <c r="AG1101" s="1">
        <f t="shared" si="546"/>
        <v>0</v>
      </c>
      <c r="AH1101" s="1">
        <f t="shared" si="547"/>
        <v>0</v>
      </c>
      <c r="AI1101" s="1">
        <f t="shared" si="526"/>
        <v>5432.58</v>
      </c>
      <c r="AJ1101" s="20">
        <f t="shared" si="528"/>
        <v>0</v>
      </c>
      <c r="AK1101" s="100">
        <f t="shared" si="530"/>
        <v>0</v>
      </c>
      <c r="AL1101" s="100">
        <f t="shared" si="531"/>
        <v>0</v>
      </c>
      <c r="AN1101" s="100">
        <f t="shared" si="532"/>
        <v>3157.8756331051673</v>
      </c>
      <c r="AO1101" s="20">
        <f t="shared" si="533"/>
        <v>0</v>
      </c>
      <c r="AQ1101" s="109">
        <f t="shared" si="534"/>
        <v>0</v>
      </c>
      <c r="AU1101" s="109">
        <f t="shared" si="519"/>
        <v>24.63101355255273</v>
      </c>
      <c r="AV1101" s="101">
        <f t="shared" si="535"/>
        <v>73284</v>
      </c>
      <c r="AW1101" s="99">
        <f t="shared" si="536"/>
        <v>0</v>
      </c>
      <c r="AX1101" s="1">
        <f t="shared" si="537"/>
        <v>0</v>
      </c>
      <c r="AY1101" s="29">
        <f t="shared" si="538"/>
        <v>0</v>
      </c>
      <c r="AZ1101" s="1">
        <f t="shared" si="520"/>
        <v>0</v>
      </c>
      <c r="CB1101" s="20">
        <f t="shared" si="529"/>
        <v>0</v>
      </c>
      <c r="CC1101" s="173">
        <f t="shared" si="521"/>
        <v>0</v>
      </c>
    </row>
    <row r="1102" spans="10:81" x14ac:dyDescent="0.25">
      <c r="J1102" s="9"/>
      <c r="K1102" s="10"/>
      <c r="L1102" s="17"/>
      <c r="M1102" s="23"/>
      <c r="N1102" s="23"/>
      <c r="O1102" s="23"/>
      <c r="P1102" s="23"/>
      <c r="Q1102" s="1">
        <f t="shared" si="522"/>
        <v>0.60744618579017706</v>
      </c>
      <c r="R1102" s="12">
        <f t="shared" ca="1" si="539"/>
        <v>32162</v>
      </c>
      <c r="S1102" s="88">
        <f t="shared" si="548"/>
        <v>0</v>
      </c>
      <c r="T1102" s="19">
        <f t="shared" si="540"/>
        <v>0</v>
      </c>
      <c r="U1102" s="19">
        <f t="shared" si="541"/>
        <v>0</v>
      </c>
      <c r="V1102" s="19">
        <f t="shared" si="527"/>
        <v>0</v>
      </c>
      <c r="W1102" s="20">
        <f t="shared" ca="1" si="542"/>
        <v>0</v>
      </c>
      <c r="X1102" s="19">
        <f t="shared" ca="1" si="543"/>
        <v>0</v>
      </c>
      <c r="Y1102" s="19">
        <f t="shared" ca="1" si="544"/>
        <v>0</v>
      </c>
      <c r="Z1102" s="20">
        <f t="shared" ca="1" si="545"/>
        <v>0</v>
      </c>
      <c r="AA1102" s="1">
        <f t="shared" si="523"/>
        <v>5432.58</v>
      </c>
      <c r="AB1102" s="93"/>
      <c r="AC1102" s="94"/>
      <c r="AD1102" s="101">
        <f t="shared" si="524"/>
        <v>73284</v>
      </c>
      <c r="AE1102" s="103">
        <f t="shared" si="525"/>
        <v>0</v>
      </c>
      <c r="AG1102" s="1">
        <f t="shared" si="546"/>
        <v>0</v>
      </c>
      <c r="AH1102" s="1">
        <f t="shared" si="547"/>
        <v>0</v>
      </c>
      <c r="AI1102" s="1">
        <f t="shared" si="526"/>
        <v>5432.58</v>
      </c>
      <c r="AJ1102" s="20">
        <f t="shared" si="528"/>
        <v>0</v>
      </c>
      <c r="AK1102" s="100">
        <f t="shared" si="530"/>
        <v>0</v>
      </c>
      <c r="AL1102" s="100">
        <f t="shared" si="531"/>
        <v>0</v>
      </c>
      <c r="AN1102" s="100">
        <f t="shared" si="532"/>
        <v>3156.2779089575915</v>
      </c>
      <c r="AO1102" s="20">
        <f t="shared" si="533"/>
        <v>0</v>
      </c>
      <c r="AQ1102" s="109">
        <f t="shared" si="534"/>
        <v>0</v>
      </c>
      <c r="AU1102" s="109">
        <f t="shared" si="519"/>
        <v>24.628851686682459</v>
      </c>
      <c r="AV1102" s="101">
        <f t="shared" si="535"/>
        <v>73314</v>
      </c>
      <c r="AW1102" s="99">
        <f t="shared" si="536"/>
        <v>0</v>
      </c>
      <c r="AX1102" s="1">
        <f t="shared" si="537"/>
        <v>0</v>
      </c>
      <c r="AY1102" s="29">
        <f t="shared" si="538"/>
        <v>0</v>
      </c>
      <c r="AZ1102" s="1">
        <f t="shared" si="520"/>
        <v>0</v>
      </c>
      <c r="CB1102" s="20">
        <f t="shared" si="529"/>
        <v>0</v>
      </c>
      <c r="CC1102" s="173">
        <f t="shared" si="521"/>
        <v>0</v>
      </c>
    </row>
    <row r="1103" spans="10:81" x14ac:dyDescent="0.25">
      <c r="J1103" s="7"/>
      <c r="K1103" s="8"/>
      <c r="L1103" s="16"/>
      <c r="M1103" s="22"/>
      <c r="N1103" s="22"/>
      <c r="O1103" s="22"/>
      <c r="P1103" s="22"/>
      <c r="Q1103" s="1">
        <f t="shared" si="522"/>
        <v>0.60744618579017706</v>
      </c>
      <c r="R1103" s="12">
        <f t="shared" ca="1" si="539"/>
        <v>32192</v>
      </c>
      <c r="S1103" s="88">
        <f t="shared" si="548"/>
        <v>0</v>
      </c>
      <c r="T1103" s="19">
        <f t="shared" si="540"/>
        <v>0</v>
      </c>
      <c r="U1103" s="19">
        <f t="shared" si="541"/>
        <v>0</v>
      </c>
      <c r="V1103" s="19">
        <f t="shared" si="527"/>
        <v>0</v>
      </c>
      <c r="W1103" s="20">
        <f t="shared" ca="1" si="542"/>
        <v>0</v>
      </c>
      <c r="X1103" s="19">
        <f t="shared" ca="1" si="543"/>
        <v>0</v>
      </c>
      <c r="Y1103" s="19">
        <f t="shared" ca="1" si="544"/>
        <v>0</v>
      </c>
      <c r="Z1103" s="20">
        <f t="shared" ca="1" si="545"/>
        <v>0</v>
      </c>
      <c r="AA1103" s="1">
        <f t="shared" si="523"/>
        <v>5432.58</v>
      </c>
      <c r="AB1103" s="91"/>
      <c r="AC1103" s="92"/>
      <c r="AD1103" s="101">
        <f t="shared" si="524"/>
        <v>73314</v>
      </c>
      <c r="AE1103" s="103">
        <f t="shared" si="525"/>
        <v>0</v>
      </c>
      <c r="AG1103" s="1">
        <f t="shared" si="546"/>
        <v>0</v>
      </c>
      <c r="AH1103" s="1">
        <f t="shared" si="547"/>
        <v>0</v>
      </c>
      <c r="AI1103" s="1">
        <f t="shared" si="526"/>
        <v>5432.58</v>
      </c>
      <c r="AJ1103" s="20">
        <f t="shared" si="528"/>
        <v>0</v>
      </c>
      <c r="AK1103" s="100">
        <f t="shared" si="530"/>
        <v>0</v>
      </c>
      <c r="AL1103" s="100">
        <f t="shared" si="531"/>
        <v>0</v>
      </c>
      <c r="AN1103" s="100">
        <f t="shared" si="532"/>
        <v>3154.6809931770167</v>
      </c>
      <c r="AO1103" s="20">
        <f t="shared" si="533"/>
        <v>0</v>
      </c>
      <c r="AQ1103" s="109">
        <f t="shared" si="534"/>
        <v>0</v>
      </c>
      <c r="AU1103" s="109">
        <f t="shared" si="519"/>
        <v>24.626690010559315</v>
      </c>
      <c r="AV1103" s="101">
        <f t="shared" si="535"/>
        <v>73344</v>
      </c>
      <c r="AW1103" s="99">
        <f t="shared" si="536"/>
        <v>0</v>
      </c>
      <c r="AX1103" s="1">
        <f t="shared" si="537"/>
        <v>0</v>
      </c>
      <c r="AY1103" s="29">
        <f t="shared" si="538"/>
        <v>0</v>
      </c>
      <c r="AZ1103" s="1">
        <f t="shared" si="520"/>
        <v>0</v>
      </c>
      <c r="CB1103" s="20">
        <f t="shared" si="529"/>
        <v>0</v>
      </c>
      <c r="CC1103" s="173">
        <f t="shared" si="521"/>
        <v>0</v>
      </c>
    </row>
    <row r="1104" spans="10:81" x14ac:dyDescent="0.25">
      <c r="J1104" s="9"/>
      <c r="K1104" s="10"/>
      <c r="L1104" s="17"/>
      <c r="M1104" s="23"/>
      <c r="N1104" s="23"/>
      <c r="O1104" s="23"/>
      <c r="P1104" s="23"/>
      <c r="Q1104" s="1">
        <f t="shared" si="522"/>
        <v>0.60744618579017706</v>
      </c>
      <c r="R1104" s="12">
        <f t="shared" ca="1" si="539"/>
        <v>32222</v>
      </c>
      <c r="S1104" s="88">
        <f t="shared" si="548"/>
        <v>0</v>
      </c>
      <c r="T1104" s="19">
        <f t="shared" si="540"/>
        <v>0</v>
      </c>
      <c r="U1104" s="19">
        <f t="shared" si="541"/>
        <v>0</v>
      </c>
      <c r="V1104" s="19">
        <f t="shared" si="527"/>
        <v>0</v>
      </c>
      <c r="W1104" s="20">
        <f t="shared" ca="1" si="542"/>
        <v>0</v>
      </c>
      <c r="X1104" s="19">
        <f t="shared" ca="1" si="543"/>
        <v>0</v>
      </c>
      <c r="Y1104" s="19">
        <f t="shared" ca="1" si="544"/>
        <v>0</v>
      </c>
      <c r="Z1104" s="20">
        <f t="shared" ca="1" si="545"/>
        <v>0</v>
      </c>
      <c r="AA1104" s="1">
        <f t="shared" si="523"/>
        <v>5432.58</v>
      </c>
      <c r="AB1104" s="93"/>
      <c r="AC1104" s="94"/>
      <c r="AD1104" s="101">
        <f t="shared" si="524"/>
        <v>73344</v>
      </c>
      <c r="AE1104" s="103">
        <f t="shared" si="525"/>
        <v>0</v>
      </c>
      <c r="AG1104" s="1">
        <f t="shared" si="546"/>
        <v>0</v>
      </c>
      <c r="AH1104" s="1">
        <f t="shared" si="547"/>
        <v>0</v>
      </c>
      <c r="AI1104" s="1">
        <f t="shared" si="526"/>
        <v>5432.58</v>
      </c>
      <c r="AJ1104" s="20">
        <f t="shared" si="528"/>
        <v>0</v>
      </c>
      <c r="AK1104" s="100">
        <f t="shared" si="530"/>
        <v>0</v>
      </c>
      <c r="AL1104" s="100">
        <f t="shared" si="531"/>
        <v>0</v>
      </c>
      <c r="AN1104" s="100">
        <f t="shared" si="532"/>
        <v>3153.0848853544489</v>
      </c>
      <c r="AO1104" s="20">
        <f t="shared" si="533"/>
        <v>0</v>
      </c>
      <c r="AQ1104" s="109">
        <f t="shared" si="534"/>
        <v>0</v>
      </c>
      <c r="AU1104" s="109">
        <f t="shared" si="519"/>
        <v>24.624528524166635</v>
      </c>
      <c r="AV1104" s="101">
        <f t="shared" si="535"/>
        <v>73374</v>
      </c>
      <c r="AW1104" s="99">
        <f t="shared" si="536"/>
        <v>0</v>
      </c>
      <c r="AX1104" s="1">
        <f t="shared" si="537"/>
        <v>0</v>
      </c>
      <c r="AY1104" s="29">
        <f t="shared" si="538"/>
        <v>0</v>
      </c>
      <c r="AZ1104" s="1">
        <f t="shared" si="520"/>
        <v>0</v>
      </c>
      <c r="CB1104" s="20">
        <f t="shared" si="529"/>
        <v>0</v>
      </c>
      <c r="CC1104" s="173">
        <f t="shared" si="521"/>
        <v>0</v>
      </c>
    </row>
    <row r="1105" spans="10:81" x14ac:dyDescent="0.25">
      <c r="J1105" s="7"/>
      <c r="K1105" s="8"/>
      <c r="L1105" s="16"/>
      <c r="M1105" s="22"/>
      <c r="N1105" s="22"/>
      <c r="O1105" s="22"/>
      <c r="P1105" s="22"/>
      <c r="Q1105" s="1">
        <f t="shared" si="522"/>
        <v>0.60744618579017706</v>
      </c>
      <c r="R1105" s="12">
        <f t="shared" ca="1" si="539"/>
        <v>32252</v>
      </c>
      <c r="S1105" s="88">
        <f t="shared" si="548"/>
        <v>0</v>
      </c>
      <c r="T1105" s="19">
        <f t="shared" si="540"/>
        <v>0</v>
      </c>
      <c r="U1105" s="19">
        <f t="shared" si="541"/>
        <v>0</v>
      </c>
      <c r="V1105" s="19">
        <f t="shared" si="527"/>
        <v>0</v>
      </c>
      <c r="W1105" s="20">
        <f t="shared" ca="1" si="542"/>
        <v>0</v>
      </c>
      <c r="X1105" s="19">
        <f t="shared" ca="1" si="543"/>
        <v>0</v>
      </c>
      <c r="Y1105" s="19">
        <f t="shared" ca="1" si="544"/>
        <v>0</v>
      </c>
      <c r="Z1105" s="20">
        <f t="shared" ca="1" si="545"/>
        <v>0</v>
      </c>
      <c r="AA1105" s="1">
        <f t="shared" si="523"/>
        <v>5432.58</v>
      </c>
      <c r="AB1105" s="91"/>
      <c r="AC1105" s="92"/>
      <c r="AD1105" s="101">
        <f t="shared" si="524"/>
        <v>73374</v>
      </c>
      <c r="AE1105" s="103">
        <f t="shared" si="525"/>
        <v>0</v>
      </c>
      <c r="AG1105" s="1">
        <f t="shared" si="546"/>
        <v>0</v>
      </c>
      <c r="AH1105" s="1">
        <f t="shared" si="547"/>
        <v>0</v>
      </c>
      <c r="AI1105" s="1">
        <f t="shared" si="526"/>
        <v>5432.58</v>
      </c>
      <c r="AJ1105" s="20">
        <f t="shared" si="528"/>
        <v>0</v>
      </c>
      <c r="AK1105" s="100">
        <f t="shared" si="530"/>
        <v>0</v>
      </c>
      <c r="AL1105" s="100">
        <f t="shared" si="531"/>
        <v>0</v>
      </c>
      <c r="AN1105" s="100">
        <f t="shared" si="532"/>
        <v>3151.4895850811022</v>
      </c>
      <c r="AO1105" s="20">
        <f t="shared" si="533"/>
        <v>0</v>
      </c>
      <c r="AQ1105" s="109">
        <f t="shared" si="534"/>
        <v>0</v>
      </c>
      <c r="AU1105" s="109">
        <f t="shared" si="519"/>
        <v>24.622367227487782</v>
      </c>
      <c r="AV1105" s="101">
        <f t="shared" si="535"/>
        <v>73404</v>
      </c>
      <c r="AW1105" s="99">
        <f t="shared" si="536"/>
        <v>0</v>
      </c>
      <c r="AX1105" s="1">
        <f t="shared" si="537"/>
        <v>0</v>
      </c>
      <c r="AY1105" s="29">
        <f t="shared" si="538"/>
        <v>0</v>
      </c>
      <c r="AZ1105" s="1">
        <f t="shared" si="520"/>
        <v>0</v>
      </c>
      <c r="CB1105" s="20">
        <f t="shared" si="529"/>
        <v>0</v>
      </c>
      <c r="CC1105" s="173">
        <f t="shared" si="521"/>
        <v>0</v>
      </c>
    </row>
    <row r="1106" spans="10:81" x14ac:dyDescent="0.25">
      <c r="J1106" s="9"/>
      <c r="K1106" s="10"/>
      <c r="L1106" s="17"/>
      <c r="M1106" s="23"/>
      <c r="N1106" s="23"/>
      <c r="O1106" s="23"/>
      <c r="P1106" s="23"/>
      <c r="Q1106" s="1">
        <f t="shared" si="522"/>
        <v>0.60744618579017706</v>
      </c>
      <c r="R1106" s="12">
        <f t="shared" ca="1" si="539"/>
        <v>32282</v>
      </c>
      <c r="S1106" s="88">
        <f t="shared" si="548"/>
        <v>0</v>
      </c>
      <c r="T1106" s="19">
        <f t="shared" si="540"/>
        <v>0</v>
      </c>
      <c r="U1106" s="19">
        <f t="shared" si="541"/>
        <v>0</v>
      </c>
      <c r="V1106" s="19">
        <f t="shared" si="527"/>
        <v>0</v>
      </c>
      <c r="W1106" s="20">
        <f t="shared" ca="1" si="542"/>
        <v>0</v>
      </c>
      <c r="X1106" s="19">
        <f t="shared" ca="1" si="543"/>
        <v>0</v>
      </c>
      <c r="Y1106" s="19">
        <f t="shared" ca="1" si="544"/>
        <v>0</v>
      </c>
      <c r="Z1106" s="20">
        <f t="shared" ca="1" si="545"/>
        <v>0</v>
      </c>
      <c r="AA1106" s="1">
        <f t="shared" si="523"/>
        <v>5432.58</v>
      </c>
      <c r="AB1106" s="93"/>
      <c r="AC1106" s="94"/>
      <c r="AD1106" s="101">
        <f t="shared" si="524"/>
        <v>73404</v>
      </c>
      <c r="AE1106" s="103">
        <f t="shared" si="525"/>
        <v>0</v>
      </c>
      <c r="AG1106" s="1">
        <f t="shared" si="546"/>
        <v>0</v>
      </c>
      <c r="AH1106" s="1">
        <f t="shared" si="547"/>
        <v>0</v>
      </c>
      <c r="AI1106" s="1">
        <f t="shared" si="526"/>
        <v>5432.58</v>
      </c>
      <c r="AJ1106" s="20">
        <f t="shared" si="528"/>
        <v>0</v>
      </c>
      <c r="AK1106" s="100">
        <f t="shared" si="530"/>
        <v>0</v>
      </c>
      <c r="AL1106" s="100">
        <f t="shared" si="531"/>
        <v>0</v>
      </c>
      <c r="AN1106" s="100">
        <f t="shared" si="532"/>
        <v>3149.8950919483996</v>
      </c>
      <c r="AO1106" s="20">
        <f t="shared" si="533"/>
        <v>0</v>
      </c>
      <c r="AQ1106" s="109">
        <f t="shared" si="534"/>
        <v>0</v>
      </c>
      <c r="AU1106" s="109">
        <f t="shared" si="519"/>
        <v>24.62020612050609</v>
      </c>
      <c r="AV1106" s="101">
        <f t="shared" si="535"/>
        <v>73434</v>
      </c>
      <c r="AW1106" s="99">
        <f t="shared" si="536"/>
        <v>0</v>
      </c>
      <c r="AX1106" s="1">
        <f t="shared" si="537"/>
        <v>0</v>
      </c>
      <c r="AY1106" s="29">
        <f t="shared" si="538"/>
        <v>0</v>
      </c>
      <c r="AZ1106" s="1">
        <f t="shared" si="520"/>
        <v>0</v>
      </c>
      <c r="CB1106" s="20">
        <f t="shared" si="529"/>
        <v>0</v>
      </c>
      <c r="CC1106" s="173">
        <f t="shared" si="521"/>
        <v>0</v>
      </c>
    </row>
    <row r="1107" spans="10:81" x14ac:dyDescent="0.25">
      <c r="J1107" s="7"/>
      <c r="K1107" s="8"/>
      <c r="L1107" s="16"/>
      <c r="M1107" s="22"/>
      <c r="N1107" s="22"/>
      <c r="O1107" s="22"/>
      <c r="P1107" s="22"/>
      <c r="Q1107" s="1">
        <f t="shared" si="522"/>
        <v>0.60744618579017706</v>
      </c>
      <c r="R1107" s="12">
        <f t="shared" ca="1" si="539"/>
        <v>32312</v>
      </c>
      <c r="S1107" s="88">
        <f t="shared" si="548"/>
        <v>0</v>
      </c>
      <c r="T1107" s="19">
        <f t="shared" si="540"/>
        <v>0</v>
      </c>
      <c r="U1107" s="19">
        <f t="shared" si="541"/>
        <v>0</v>
      </c>
      <c r="V1107" s="19">
        <f t="shared" si="527"/>
        <v>0</v>
      </c>
      <c r="W1107" s="20">
        <f t="shared" ca="1" si="542"/>
        <v>0</v>
      </c>
      <c r="X1107" s="19">
        <f t="shared" ca="1" si="543"/>
        <v>0</v>
      </c>
      <c r="Y1107" s="19">
        <f t="shared" ca="1" si="544"/>
        <v>0</v>
      </c>
      <c r="Z1107" s="20">
        <f t="shared" ca="1" si="545"/>
        <v>0</v>
      </c>
      <c r="AA1107" s="1">
        <f t="shared" si="523"/>
        <v>5432.58</v>
      </c>
      <c r="AB1107" s="91"/>
      <c r="AC1107" s="92"/>
      <c r="AD1107" s="101">
        <f t="shared" si="524"/>
        <v>73434</v>
      </c>
      <c r="AE1107" s="103">
        <f t="shared" si="525"/>
        <v>0</v>
      </c>
      <c r="AG1107" s="1">
        <f t="shared" si="546"/>
        <v>0</v>
      </c>
      <c r="AH1107" s="1">
        <f t="shared" si="547"/>
        <v>0</v>
      </c>
      <c r="AI1107" s="1">
        <f t="shared" si="526"/>
        <v>5432.58</v>
      </c>
      <c r="AJ1107" s="20">
        <f t="shared" si="528"/>
        <v>0</v>
      </c>
      <c r="AK1107" s="100">
        <f t="shared" si="530"/>
        <v>0</v>
      </c>
      <c r="AL1107" s="100">
        <f t="shared" si="531"/>
        <v>0</v>
      </c>
      <c r="AN1107" s="100">
        <f t="shared" si="532"/>
        <v>3148.3014055479675</v>
      </c>
      <c r="AO1107" s="20">
        <f t="shared" si="533"/>
        <v>0</v>
      </c>
      <c r="AQ1107" s="109">
        <f t="shared" si="534"/>
        <v>0</v>
      </c>
      <c r="AU1107" s="109">
        <f t="shared" si="519"/>
        <v>24.618045203204929</v>
      </c>
      <c r="AV1107" s="101">
        <f t="shared" si="535"/>
        <v>73464</v>
      </c>
      <c r="AW1107" s="99">
        <f t="shared" si="536"/>
        <v>0</v>
      </c>
      <c r="AX1107" s="1">
        <f t="shared" si="537"/>
        <v>0</v>
      </c>
      <c r="AY1107" s="29">
        <f t="shared" si="538"/>
        <v>0</v>
      </c>
      <c r="AZ1107" s="1">
        <f t="shared" si="520"/>
        <v>0</v>
      </c>
      <c r="CB1107" s="20">
        <f t="shared" si="529"/>
        <v>0</v>
      </c>
      <c r="CC1107" s="173">
        <f t="shared" si="521"/>
        <v>0</v>
      </c>
    </row>
    <row r="1108" spans="10:81" x14ac:dyDescent="0.25">
      <c r="J1108" s="9"/>
      <c r="K1108" s="10"/>
      <c r="L1108" s="17"/>
      <c r="M1108" s="23"/>
      <c r="N1108" s="23"/>
      <c r="O1108" s="23"/>
      <c r="P1108" s="23"/>
      <c r="Q1108" s="1">
        <f t="shared" si="522"/>
        <v>0.60744618579017706</v>
      </c>
      <c r="R1108" s="12">
        <f t="shared" ca="1" si="539"/>
        <v>32342</v>
      </c>
      <c r="S1108" s="88">
        <f t="shared" si="548"/>
        <v>0</v>
      </c>
      <c r="T1108" s="19">
        <f t="shared" si="540"/>
        <v>0</v>
      </c>
      <c r="U1108" s="19">
        <f t="shared" si="541"/>
        <v>0</v>
      </c>
      <c r="V1108" s="19">
        <f t="shared" si="527"/>
        <v>0</v>
      </c>
      <c r="W1108" s="20">
        <f t="shared" ca="1" si="542"/>
        <v>0</v>
      </c>
      <c r="X1108" s="19">
        <f t="shared" ca="1" si="543"/>
        <v>0</v>
      </c>
      <c r="Y1108" s="19">
        <f t="shared" ca="1" si="544"/>
        <v>0</v>
      </c>
      <c r="Z1108" s="20">
        <f t="shared" ca="1" si="545"/>
        <v>0</v>
      </c>
      <c r="AA1108" s="1">
        <f t="shared" si="523"/>
        <v>5432.58</v>
      </c>
      <c r="AB1108" s="93"/>
      <c r="AC1108" s="94"/>
      <c r="AD1108" s="101">
        <f t="shared" si="524"/>
        <v>73464</v>
      </c>
      <c r="AE1108" s="103">
        <f t="shared" si="525"/>
        <v>0</v>
      </c>
      <c r="AG1108" s="1">
        <f t="shared" si="546"/>
        <v>0</v>
      </c>
      <c r="AH1108" s="1">
        <f t="shared" si="547"/>
        <v>0</v>
      </c>
      <c r="AI1108" s="1">
        <f t="shared" si="526"/>
        <v>5432.58</v>
      </c>
      <c r="AJ1108" s="20">
        <f t="shared" si="528"/>
        <v>0</v>
      </c>
      <c r="AK1108" s="100">
        <f t="shared" si="530"/>
        <v>0</v>
      </c>
      <c r="AL1108" s="100">
        <f t="shared" si="531"/>
        <v>0</v>
      </c>
      <c r="AN1108" s="100">
        <f t="shared" si="532"/>
        <v>3146.7085254716412</v>
      </c>
      <c r="AO1108" s="20">
        <f t="shared" si="533"/>
        <v>0</v>
      </c>
      <c r="AQ1108" s="109">
        <f t="shared" si="534"/>
        <v>0</v>
      </c>
      <c r="AU1108" s="109">
        <f t="shared" si="519"/>
        <v>24.615884475567629</v>
      </c>
      <c r="AV1108" s="101">
        <f t="shared" si="535"/>
        <v>73494</v>
      </c>
      <c r="AW1108" s="99">
        <f t="shared" si="536"/>
        <v>0</v>
      </c>
      <c r="AX1108" s="1">
        <f t="shared" si="537"/>
        <v>0</v>
      </c>
      <c r="AY1108" s="29">
        <f t="shared" si="538"/>
        <v>0</v>
      </c>
      <c r="AZ1108" s="1">
        <f t="shared" si="520"/>
        <v>0</v>
      </c>
      <c r="CB1108" s="20">
        <f t="shared" si="529"/>
        <v>0</v>
      </c>
      <c r="CC1108" s="173">
        <f t="shared" si="521"/>
        <v>0</v>
      </c>
    </row>
    <row r="1109" spans="10:81" x14ac:dyDescent="0.25">
      <c r="J1109" s="7"/>
      <c r="K1109" s="8"/>
      <c r="L1109" s="16"/>
      <c r="M1109" s="22"/>
      <c r="N1109" s="22"/>
      <c r="O1109" s="22"/>
      <c r="P1109" s="22"/>
      <c r="Q1109" s="1">
        <f t="shared" si="522"/>
        <v>0.60744618579017706</v>
      </c>
      <c r="R1109" s="12">
        <f t="shared" ca="1" si="539"/>
        <v>32372</v>
      </c>
      <c r="S1109" s="88">
        <f t="shared" si="548"/>
        <v>0</v>
      </c>
      <c r="T1109" s="19">
        <f t="shared" si="540"/>
        <v>0</v>
      </c>
      <c r="U1109" s="19">
        <f t="shared" si="541"/>
        <v>0</v>
      </c>
      <c r="V1109" s="19">
        <f t="shared" si="527"/>
        <v>0</v>
      </c>
      <c r="W1109" s="20">
        <f t="shared" ca="1" si="542"/>
        <v>0</v>
      </c>
      <c r="X1109" s="19">
        <f t="shared" ca="1" si="543"/>
        <v>0</v>
      </c>
      <c r="Y1109" s="19">
        <f t="shared" ca="1" si="544"/>
        <v>0</v>
      </c>
      <c r="Z1109" s="20">
        <f t="shared" ca="1" si="545"/>
        <v>0</v>
      </c>
      <c r="AA1109" s="1">
        <f t="shared" si="523"/>
        <v>5432.58</v>
      </c>
      <c r="AB1109" s="91"/>
      <c r="AC1109" s="92"/>
      <c r="AD1109" s="101">
        <f t="shared" si="524"/>
        <v>73494</v>
      </c>
      <c r="AE1109" s="103">
        <f t="shared" si="525"/>
        <v>0</v>
      </c>
      <c r="AG1109" s="1">
        <f t="shared" si="546"/>
        <v>0</v>
      </c>
      <c r="AH1109" s="1">
        <f t="shared" si="547"/>
        <v>0</v>
      </c>
      <c r="AI1109" s="1">
        <f t="shared" si="526"/>
        <v>5432.58</v>
      </c>
      <c r="AJ1109" s="20">
        <f t="shared" si="528"/>
        <v>0</v>
      </c>
      <c r="AK1109" s="100">
        <f t="shared" si="530"/>
        <v>0</v>
      </c>
      <c r="AL1109" s="100">
        <f t="shared" si="531"/>
        <v>0</v>
      </c>
      <c r="AN1109" s="100">
        <f t="shared" si="532"/>
        <v>3145.1164513114618</v>
      </c>
      <c r="AO1109" s="20">
        <f t="shared" si="533"/>
        <v>0</v>
      </c>
      <c r="AQ1109" s="109">
        <f t="shared" si="534"/>
        <v>0</v>
      </c>
      <c r="AU1109" s="109">
        <f t="shared" si="519"/>
        <v>24.613723937577564</v>
      </c>
      <c r="AV1109" s="101">
        <f t="shared" si="535"/>
        <v>73524</v>
      </c>
      <c r="AW1109" s="99">
        <f t="shared" si="536"/>
        <v>0</v>
      </c>
      <c r="AX1109" s="1">
        <f t="shared" si="537"/>
        <v>0</v>
      </c>
      <c r="AY1109" s="29">
        <f t="shared" si="538"/>
        <v>0</v>
      </c>
      <c r="AZ1109" s="1">
        <f t="shared" si="520"/>
        <v>0</v>
      </c>
      <c r="CB1109" s="20">
        <f t="shared" si="529"/>
        <v>0</v>
      </c>
      <c r="CC1109" s="173">
        <f t="shared" si="521"/>
        <v>0</v>
      </c>
    </row>
    <row r="1110" spans="10:81" x14ac:dyDescent="0.25">
      <c r="J1110" s="9"/>
      <c r="K1110" s="10"/>
      <c r="L1110" s="17"/>
      <c r="M1110" s="23"/>
      <c r="N1110" s="23"/>
      <c r="O1110" s="23"/>
      <c r="P1110" s="23"/>
      <c r="Q1110" s="1">
        <f t="shared" si="522"/>
        <v>0.60744618579017706</v>
      </c>
      <c r="R1110" s="12">
        <f t="shared" ca="1" si="539"/>
        <v>32402</v>
      </c>
      <c r="S1110" s="88">
        <f t="shared" si="548"/>
        <v>0</v>
      </c>
      <c r="T1110" s="19">
        <f t="shared" si="540"/>
        <v>0</v>
      </c>
      <c r="U1110" s="19">
        <f t="shared" si="541"/>
        <v>0</v>
      </c>
      <c r="V1110" s="19">
        <f t="shared" si="527"/>
        <v>0</v>
      </c>
      <c r="W1110" s="20">
        <f t="shared" ca="1" si="542"/>
        <v>0</v>
      </c>
      <c r="X1110" s="19">
        <f t="shared" ca="1" si="543"/>
        <v>0</v>
      </c>
      <c r="Y1110" s="19">
        <f t="shared" ca="1" si="544"/>
        <v>0</v>
      </c>
      <c r="Z1110" s="20">
        <f t="shared" ca="1" si="545"/>
        <v>0</v>
      </c>
      <c r="AA1110" s="1">
        <f t="shared" si="523"/>
        <v>5432.58</v>
      </c>
      <c r="AB1110" s="93"/>
      <c r="AC1110" s="94"/>
      <c r="AD1110" s="101">
        <f t="shared" si="524"/>
        <v>73524</v>
      </c>
      <c r="AE1110" s="103">
        <f t="shared" si="525"/>
        <v>0</v>
      </c>
      <c r="AG1110" s="1">
        <f t="shared" si="546"/>
        <v>0</v>
      </c>
      <c r="AH1110" s="1">
        <f t="shared" si="547"/>
        <v>0</v>
      </c>
      <c r="AI1110" s="1">
        <f t="shared" si="526"/>
        <v>5432.58</v>
      </c>
      <c r="AJ1110" s="20">
        <f t="shared" si="528"/>
        <v>0</v>
      </c>
      <c r="AK1110" s="100">
        <f t="shared" si="530"/>
        <v>0</v>
      </c>
      <c r="AL1110" s="100">
        <f t="shared" si="531"/>
        <v>0</v>
      </c>
      <c r="AN1110" s="100">
        <f t="shared" si="532"/>
        <v>3143.5251826596759</v>
      </c>
      <c r="AO1110" s="20">
        <f t="shared" si="533"/>
        <v>0</v>
      </c>
      <c r="AQ1110" s="109">
        <f t="shared" si="534"/>
        <v>0</v>
      </c>
      <c r="AU1110" s="109">
        <f t="shared" si="519"/>
        <v>24.611563589218065</v>
      </c>
      <c r="AV1110" s="101">
        <f t="shared" si="535"/>
        <v>73554</v>
      </c>
      <c r="AW1110" s="99">
        <f t="shared" si="536"/>
        <v>0</v>
      </c>
      <c r="AX1110" s="1">
        <f t="shared" si="537"/>
        <v>0</v>
      </c>
      <c r="AY1110" s="29">
        <f t="shared" si="538"/>
        <v>0</v>
      </c>
      <c r="AZ1110" s="1">
        <f t="shared" si="520"/>
        <v>0</v>
      </c>
      <c r="CB1110" s="20">
        <f t="shared" si="529"/>
        <v>0</v>
      </c>
      <c r="CC1110" s="173">
        <f t="shared" si="521"/>
        <v>0</v>
      </c>
    </row>
    <row r="1111" spans="10:81" x14ac:dyDescent="0.25">
      <c r="J1111" s="7"/>
      <c r="K1111" s="8"/>
      <c r="L1111" s="16"/>
      <c r="M1111" s="22"/>
      <c r="N1111" s="22"/>
      <c r="O1111" s="22"/>
      <c r="P1111" s="22"/>
      <c r="Q1111" s="1">
        <f t="shared" si="522"/>
        <v>0.60744618579017706</v>
      </c>
      <c r="R1111" s="12">
        <f t="shared" ca="1" si="539"/>
        <v>32432</v>
      </c>
      <c r="S1111" s="88">
        <f t="shared" si="548"/>
        <v>0</v>
      </c>
      <c r="T1111" s="19">
        <f t="shared" si="540"/>
        <v>0</v>
      </c>
      <c r="U1111" s="19">
        <f t="shared" si="541"/>
        <v>0</v>
      </c>
      <c r="V1111" s="19">
        <f t="shared" si="527"/>
        <v>0</v>
      </c>
      <c r="W1111" s="20">
        <f t="shared" ca="1" si="542"/>
        <v>0</v>
      </c>
      <c r="X1111" s="19">
        <f t="shared" ca="1" si="543"/>
        <v>0</v>
      </c>
      <c r="Y1111" s="19">
        <f t="shared" ca="1" si="544"/>
        <v>0</v>
      </c>
      <c r="Z1111" s="20">
        <f t="shared" ca="1" si="545"/>
        <v>0</v>
      </c>
      <c r="AA1111" s="1">
        <f t="shared" si="523"/>
        <v>5432.58</v>
      </c>
      <c r="AB1111" s="91"/>
      <c r="AC1111" s="92"/>
      <c r="AD1111" s="101">
        <f t="shared" si="524"/>
        <v>73554</v>
      </c>
      <c r="AE1111" s="103">
        <f t="shared" si="525"/>
        <v>0</v>
      </c>
      <c r="AG1111" s="1">
        <f t="shared" si="546"/>
        <v>0</v>
      </c>
      <c r="AH1111" s="1">
        <f t="shared" si="547"/>
        <v>0</v>
      </c>
      <c r="AI1111" s="1">
        <f t="shared" si="526"/>
        <v>5432.58</v>
      </c>
      <c r="AJ1111" s="20">
        <f t="shared" si="528"/>
        <v>0</v>
      </c>
      <c r="AK1111" s="100">
        <f t="shared" si="530"/>
        <v>0</v>
      </c>
      <c r="AL1111" s="100">
        <f t="shared" si="531"/>
        <v>0</v>
      </c>
      <c r="AN1111" s="100">
        <f t="shared" si="532"/>
        <v>3141.934719108739</v>
      </c>
      <c r="AO1111" s="20">
        <f t="shared" si="533"/>
        <v>0</v>
      </c>
      <c r="AQ1111" s="109">
        <f t="shared" si="534"/>
        <v>0</v>
      </c>
      <c r="AU1111" s="109">
        <f t="shared" si="519"/>
        <v>24.609403430472508</v>
      </c>
      <c r="AV1111" s="101">
        <f t="shared" si="535"/>
        <v>73584</v>
      </c>
      <c r="AW1111" s="99">
        <f t="shared" si="536"/>
        <v>0</v>
      </c>
      <c r="AX1111" s="1">
        <f t="shared" si="537"/>
        <v>0</v>
      </c>
      <c r="AY1111" s="29">
        <f t="shared" si="538"/>
        <v>0</v>
      </c>
      <c r="AZ1111" s="1">
        <f t="shared" si="520"/>
        <v>0</v>
      </c>
      <c r="CB1111" s="20">
        <f t="shared" si="529"/>
        <v>0</v>
      </c>
      <c r="CC1111" s="173">
        <f t="shared" si="521"/>
        <v>0</v>
      </c>
    </row>
    <row r="1112" spans="10:81" x14ac:dyDescent="0.25">
      <c r="J1112" s="9"/>
      <c r="K1112" s="10"/>
      <c r="L1112" s="17"/>
      <c r="M1112" s="23"/>
      <c r="N1112" s="23"/>
      <c r="O1112" s="23"/>
      <c r="P1112" s="23"/>
      <c r="Q1112" s="1">
        <f t="shared" si="522"/>
        <v>0.60744618579017706</v>
      </c>
      <c r="R1112" s="12">
        <f t="shared" ca="1" si="539"/>
        <v>32462</v>
      </c>
      <c r="S1112" s="88">
        <f t="shared" si="548"/>
        <v>0</v>
      </c>
      <c r="T1112" s="19">
        <f t="shared" si="540"/>
        <v>0</v>
      </c>
      <c r="U1112" s="19">
        <f t="shared" si="541"/>
        <v>0</v>
      </c>
      <c r="V1112" s="19">
        <f t="shared" si="527"/>
        <v>0</v>
      </c>
      <c r="W1112" s="20">
        <f t="shared" ca="1" si="542"/>
        <v>0</v>
      </c>
      <c r="X1112" s="19">
        <f t="shared" ca="1" si="543"/>
        <v>0</v>
      </c>
      <c r="Y1112" s="19">
        <f t="shared" ca="1" si="544"/>
        <v>0</v>
      </c>
      <c r="Z1112" s="20">
        <f t="shared" ca="1" si="545"/>
        <v>0</v>
      </c>
      <c r="AA1112" s="1">
        <f t="shared" si="523"/>
        <v>5432.58</v>
      </c>
      <c r="AB1112" s="93"/>
      <c r="AC1112" s="94"/>
      <c r="AD1112" s="101">
        <f t="shared" si="524"/>
        <v>73584</v>
      </c>
      <c r="AE1112" s="103">
        <f t="shared" si="525"/>
        <v>0</v>
      </c>
      <c r="AG1112" s="1">
        <f t="shared" si="546"/>
        <v>0</v>
      </c>
      <c r="AH1112" s="1">
        <f t="shared" si="547"/>
        <v>0</v>
      </c>
      <c r="AI1112" s="1">
        <f t="shared" si="526"/>
        <v>5432.58</v>
      </c>
      <c r="AJ1112" s="20">
        <f t="shared" si="528"/>
        <v>0</v>
      </c>
      <c r="AK1112" s="100">
        <f t="shared" si="530"/>
        <v>0</v>
      </c>
      <c r="AL1112" s="100">
        <f t="shared" si="531"/>
        <v>0</v>
      </c>
      <c r="AN1112" s="100">
        <f t="shared" si="532"/>
        <v>3140.3450602513103</v>
      </c>
      <c r="AO1112" s="20">
        <f t="shared" si="533"/>
        <v>0</v>
      </c>
      <c r="AQ1112" s="109">
        <f t="shared" si="534"/>
        <v>0</v>
      </c>
      <c r="AU1112" s="109">
        <f t="shared" si="519"/>
        <v>24.607243461324234</v>
      </c>
      <c r="AV1112" s="101">
        <f t="shared" si="535"/>
        <v>73614</v>
      </c>
      <c r="AW1112" s="99">
        <f t="shared" si="536"/>
        <v>0</v>
      </c>
      <c r="AX1112" s="1">
        <f t="shared" si="537"/>
        <v>0</v>
      </c>
      <c r="AY1112" s="29">
        <f t="shared" si="538"/>
        <v>0</v>
      </c>
      <c r="AZ1112" s="1">
        <f t="shared" si="520"/>
        <v>0</v>
      </c>
      <c r="CB1112" s="20">
        <f t="shared" si="529"/>
        <v>0</v>
      </c>
      <c r="CC1112" s="173">
        <f t="shared" si="521"/>
        <v>0</v>
      </c>
    </row>
    <row r="1113" spans="10:81" x14ac:dyDescent="0.25">
      <c r="J1113" s="7"/>
      <c r="K1113" s="8"/>
      <c r="L1113" s="16"/>
      <c r="M1113" s="22"/>
      <c r="N1113" s="22"/>
      <c r="O1113" s="22"/>
      <c r="P1113" s="22"/>
      <c r="Q1113" s="1">
        <f t="shared" si="522"/>
        <v>0.60744618579017706</v>
      </c>
      <c r="R1113" s="12">
        <f t="shared" ca="1" si="539"/>
        <v>32492</v>
      </c>
      <c r="S1113" s="88">
        <f t="shared" si="548"/>
        <v>0</v>
      </c>
      <c r="T1113" s="19">
        <f t="shared" si="540"/>
        <v>0</v>
      </c>
      <c r="U1113" s="19">
        <f t="shared" si="541"/>
        <v>0</v>
      </c>
      <c r="V1113" s="19">
        <f t="shared" si="527"/>
        <v>0</v>
      </c>
      <c r="W1113" s="20">
        <f t="shared" ca="1" si="542"/>
        <v>0</v>
      </c>
      <c r="X1113" s="19">
        <f t="shared" ca="1" si="543"/>
        <v>0</v>
      </c>
      <c r="Y1113" s="19">
        <f t="shared" ca="1" si="544"/>
        <v>0</v>
      </c>
      <c r="Z1113" s="20">
        <f t="shared" ca="1" si="545"/>
        <v>0</v>
      </c>
      <c r="AA1113" s="1">
        <f t="shared" si="523"/>
        <v>5432.58</v>
      </c>
      <c r="AB1113" s="91"/>
      <c r="AC1113" s="92"/>
      <c r="AD1113" s="101">
        <f t="shared" si="524"/>
        <v>73614</v>
      </c>
      <c r="AE1113" s="103">
        <f t="shared" si="525"/>
        <v>0</v>
      </c>
      <c r="AG1113" s="1">
        <f t="shared" si="546"/>
        <v>0</v>
      </c>
      <c r="AH1113" s="1">
        <f t="shared" si="547"/>
        <v>0</v>
      </c>
      <c r="AI1113" s="1">
        <f t="shared" si="526"/>
        <v>5432.58</v>
      </c>
      <c r="AJ1113" s="20">
        <f t="shared" si="528"/>
        <v>0</v>
      </c>
      <c r="AK1113" s="100">
        <f t="shared" si="530"/>
        <v>0</v>
      </c>
      <c r="AL1113" s="100">
        <f t="shared" si="531"/>
        <v>0</v>
      </c>
      <c r="AN1113" s="100">
        <f t="shared" si="532"/>
        <v>3138.756205680254</v>
      </c>
      <c r="AO1113" s="20">
        <f t="shared" si="533"/>
        <v>0</v>
      </c>
      <c r="AQ1113" s="109">
        <f t="shared" si="534"/>
        <v>0</v>
      </c>
      <c r="AU1113" s="109">
        <f t="shared" si="519"/>
        <v>24.605083681756618</v>
      </c>
      <c r="AV1113" s="101">
        <f t="shared" si="535"/>
        <v>73644</v>
      </c>
      <c r="AW1113" s="99">
        <f t="shared" si="536"/>
        <v>0</v>
      </c>
      <c r="AX1113" s="1">
        <f t="shared" si="537"/>
        <v>0</v>
      </c>
      <c r="AY1113" s="29">
        <f t="shared" si="538"/>
        <v>0</v>
      </c>
      <c r="AZ1113" s="1">
        <f t="shared" si="520"/>
        <v>0</v>
      </c>
      <c r="CB1113" s="20">
        <f t="shared" si="529"/>
        <v>0</v>
      </c>
      <c r="CC1113" s="173">
        <f t="shared" si="521"/>
        <v>0</v>
      </c>
    </row>
    <row r="1114" spans="10:81" x14ac:dyDescent="0.25">
      <c r="J1114" s="9"/>
      <c r="K1114" s="10"/>
      <c r="L1114" s="17"/>
      <c r="M1114" s="23"/>
      <c r="N1114" s="23"/>
      <c r="O1114" s="23"/>
      <c r="P1114" s="23"/>
      <c r="Q1114" s="1">
        <f t="shared" si="522"/>
        <v>0.60744618579017706</v>
      </c>
      <c r="R1114" s="12">
        <f t="shared" ca="1" si="539"/>
        <v>32522</v>
      </c>
      <c r="S1114" s="88">
        <f t="shared" si="548"/>
        <v>0</v>
      </c>
      <c r="T1114" s="19">
        <f t="shared" si="540"/>
        <v>0</v>
      </c>
      <c r="U1114" s="19">
        <f t="shared" si="541"/>
        <v>0</v>
      </c>
      <c r="V1114" s="19">
        <f t="shared" si="527"/>
        <v>0</v>
      </c>
      <c r="W1114" s="20">
        <f t="shared" ca="1" si="542"/>
        <v>0</v>
      </c>
      <c r="X1114" s="19">
        <f t="shared" ca="1" si="543"/>
        <v>0</v>
      </c>
      <c r="Y1114" s="19">
        <f t="shared" ca="1" si="544"/>
        <v>0</v>
      </c>
      <c r="Z1114" s="20">
        <f t="shared" ca="1" si="545"/>
        <v>0</v>
      </c>
      <c r="AA1114" s="1">
        <f t="shared" si="523"/>
        <v>5432.58</v>
      </c>
      <c r="AB1114" s="93"/>
      <c r="AC1114" s="94"/>
      <c r="AD1114" s="101">
        <f t="shared" si="524"/>
        <v>73644</v>
      </c>
      <c r="AE1114" s="103">
        <f t="shared" si="525"/>
        <v>0</v>
      </c>
      <c r="AG1114" s="1">
        <f t="shared" si="546"/>
        <v>0</v>
      </c>
      <c r="AH1114" s="1">
        <f t="shared" si="547"/>
        <v>0</v>
      </c>
      <c r="AI1114" s="1">
        <f t="shared" si="526"/>
        <v>5432.58</v>
      </c>
      <c r="AJ1114" s="20">
        <f t="shared" si="528"/>
        <v>0</v>
      </c>
      <c r="AK1114" s="100">
        <f t="shared" si="530"/>
        <v>0</v>
      </c>
      <c r="AL1114" s="100">
        <f t="shared" si="531"/>
        <v>0</v>
      </c>
      <c r="AN1114" s="100">
        <f t="shared" si="532"/>
        <v>3137.1681549886453</v>
      </c>
      <c r="AO1114" s="20">
        <f t="shared" si="533"/>
        <v>0</v>
      </c>
      <c r="AQ1114" s="109">
        <f t="shared" si="534"/>
        <v>0</v>
      </c>
      <c r="AU1114" s="109">
        <f t="shared" si="519"/>
        <v>24.60292409175301</v>
      </c>
      <c r="AV1114" s="101">
        <f t="shared" si="535"/>
        <v>73674</v>
      </c>
      <c r="AW1114" s="99">
        <f t="shared" si="536"/>
        <v>0</v>
      </c>
      <c r="AX1114" s="1">
        <f t="shared" si="537"/>
        <v>0</v>
      </c>
      <c r="AY1114" s="29">
        <f t="shared" si="538"/>
        <v>0</v>
      </c>
      <c r="AZ1114" s="1">
        <f t="shared" si="520"/>
        <v>0</v>
      </c>
      <c r="CB1114" s="20">
        <f t="shared" si="529"/>
        <v>0</v>
      </c>
      <c r="CC1114" s="173">
        <f t="shared" si="521"/>
        <v>0</v>
      </c>
    </row>
    <row r="1115" spans="10:81" x14ac:dyDescent="0.25">
      <c r="J1115" s="7"/>
      <c r="K1115" s="8"/>
      <c r="L1115" s="16"/>
      <c r="M1115" s="22"/>
      <c r="N1115" s="22"/>
      <c r="O1115" s="22"/>
      <c r="P1115" s="22"/>
      <c r="Q1115" s="1">
        <f t="shared" si="522"/>
        <v>0.60744618579017706</v>
      </c>
      <c r="R1115" s="12">
        <f t="shared" ca="1" si="539"/>
        <v>32552</v>
      </c>
      <c r="S1115" s="88">
        <f t="shared" si="548"/>
        <v>0</v>
      </c>
      <c r="T1115" s="19">
        <f t="shared" si="540"/>
        <v>0</v>
      </c>
      <c r="U1115" s="19">
        <f t="shared" si="541"/>
        <v>0</v>
      </c>
      <c r="V1115" s="19">
        <f t="shared" si="527"/>
        <v>0</v>
      </c>
      <c r="W1115" s="20">
        <f t="shared" ca="1" si="542"/>
        <v>0</v>
      </c>
      <c r="X1115" s="19">
        <f t="shared" ca="1" si="543"/>
        <v>0</v>
      </c>
      <c r="Y1115" s="19">
        <f t="shared" ca="1" si="544"/>
        <v>0</v>
      </c>
      <c r="Z1115" s="20">
        <f t="shared" ca="1" si="545"/>
        <v>0</v>
      </c>
      <c r="AA1115" s="1">
        <f t="shared" si="523"/>
        <v>5432.58</v>
      </c>
      <c r="AB1115" s="91"/>
      <c r="AC1115" s="92"/>
      <c r="AD1115" s="101">
        <f t="shared" si="524"/>
        <v>73674</v>
      </c>
      <c r="AE1115" s="103">
        <f t="shared" si="525"/>
        <v>0</v>
      </c>
      <c r="AG1115" s="1">
        <f t="shared" si="546"/>
        <v>0</v>
      </c>
      <c r="AH1115" s="1">
        <f t="shared" si="547"/>
        <v>0</v>
      </c>
      <c r="AI1115" s="1">
        <f t="shared" si="526"/>
        <v>5432.58</v>
      </c>
      <c r="AJ1115" s="20">
        <f t="shared" si="528"/>
        <v>0</v>
      </c>
      <c r="AK1115" s="100">
        <f t="shared" si="530"/>
        <v>0</v>
      </c>
      <c r="AL1115" s="100">
        <f t="shared" si="531"/>
        <v>0</v>
      </c>
      <c r="AN1115" s="100">
        <f t="shared" si="532"/>
        <v>3135.5809077697609</v>
      </c>
      <c r="AO1115" s="20">
        <f t="shared" si="533"/>
        <v>0</v>
      </c>
      <c r="AQ1115" s="109">
        <f t="shared" si="534"/>
        <v>0</v>
      </c>
      <c r="AU1115" s="109">
        <f t="shared" si="519"/>
        <v>24.600764691296774</v>
      </c>
      <c r="AV1115" s="101">
        <f t="shared" si="535"/>
        <v>73704</v>
      </c>
      <c r="AW1115" s="99">
        <f t="shared" si="536"/>
        <v>0</v>
      </c>
      <c r="AX1115" s="1">
        <f t="shared" si="537"/>
        <v>0</v>
      </c>
      <c r="AY1115" s="29">
        <f t="shared" si="538"/>
        <v>0</v>
      </c>
      <c r="AZ1115" s="1">
        <f t="shared" si="520"/>
        <v>0</v>
      </c>
      <c r="CB1115" s="20">
        <f t="shared" si="529"/>
        <v>0</v>
      </c>
      <c r="CC1115" s="173">
        <f t="shared" si="521"/>
        <v>0</v>
      </c>
    </row>
    <row r="1116" spans="10:81" x14ac:dyDescent="0.25">
      <c r="J1116" s="9"/>
      <c r="K1116" s="10"/>
      <c r="L1116" s="17"/>
      <c r="M1116" s="23"/>
      <c r="N1116" s="23"/>
      <c r="O1116" s="23"/>
      <c r="P1116" s="23"/>
      <c r="Q1116" s="1">
        <f t="shared" si="522"/>
        <v>0.60744618579017706</v>
      </c>
      <c r="R1116" s="12">
        <f t="shared" ca="1" si="539"/>
        <v>32582</v>
      </c>
      <c r="S1116" s="88">
        <f t="shared" si="548"/>
        <v>0</v>
      </c>
      <c r="T1116" s="19">
        <f t="shared" si="540"/>
        <v>0</v>
      </c>
      <c r="U1116" s="19">
        <f t="shared" si="541"/>
        <v>0</v>
      </c>
      <c r="V1116" s="19">
        <f t="shared" si="527"/>
        <v>0</v>
      </c>
      <c r="W1116" s="20">
        <f t="shared" ca="1" si="542"/>
        <v>0</v>
      </c>
      <c r="X1116" s="19">
        <f t="shared" ca="1" si="543"/>
        <v>0</v>
      </c>
      <c r="Y1116" s="19">
        <f t="shared" ca="1" si="544"/>
        <v>0</v>
      </c>
      <c r="Z1116" s="20">
        <f t="shared" ca="1" si="545"/>
        <v>0</v>
      </c>
      <c r="AA1116" s="1">
        <f t="shared" si="523"/>
        <v>5432.58</v>
      </c>
      <c r="AB1116" s="93"/>
      <c r="AC1116" s="94"/>
      <c r="AD1116" s="101">
        <f t="shared" si="524"/>
        <v>73704</v>
      </c>
      <c r="AE1116" s="103">
        <f t="shared" si="525"/>
        <v>0</v>
      </c>
      <c r="AG1116" s="1">
        <f t="shared" si="546"/>
        <v>0</v>
      </c>
      <c r="AH1116" s="1">
        <f t="shared" si="547"/>
        <v>0</v>
      </c>
      <c r="AI1116" s="1">
        <f t="shared" si="526"/>
        <v>5432.58</v>
      </c>
      <c r="AJ1116" s="20">
        <f t="shared" si="528"/>
        <v>0</v>
      </c>
      <c r="AK1116" s="100">
        <f t="shared" si="530"/>
        <v>0</v>
      </c>
      <c r="AL1116" s="100">
        <f t="shared" si="531"/>
        <v>0</v>
      </c>
      <c r="AN1116" s="100">
        <f t="shared" si="532"/>
        <v>3133.994463617084</v>
      </c>
      <c r="AO1116" s="20">
        <f t="shared" si="533"/>
        <v>0</v>
      </c>
      <c r="AQ1116" s="109">
        <f t="shared" si="534"/>
        <v>0</v>
      </c>
      <c r="AU1116" s="109">
        <f t="shared" si="519"/>
        <v>24.598605480371283</v>
      </c>
      <c r="AV1116" s="101">
        <f t="shared" si="535"/>
        <v>73734</v>
      </c>
      <c r="AW1116" s="99">
        <f t="shared" si="536"/>
        <v>0</v>
      </c>
      <c r="AX1116" s="1">
        <f t="shared" si="537"/>
        <v>0</v>
      </c>
      <c r="AY1116" s="29">
        <f t="shared" si="538"/>
        <v>0</v>
      </c>
      <c r="AZ1116" s="1">
        <f t="shared" si="520"/>
        <v>0</v>
      </c>
      <c r="CB1116" s="20">
        <f t="shared" si="529"/>
        <v>0</v>
      </c>
      <c r="CC1116" s="173">
        <f t="shared" si="521"/>
        <v>0</v>
      </c>
    </row>
    <row r="1117" spans="10:81" x14ac:dyDescent="0.25">
      <c r="J1117" s="7"/>
      <c r="K1117" s="8"/>
      <c r="L1117" s="16"/>
      <c r="M1117" s="22"/>
      <c r="N1117" s="22"/>
      <c r="O1117" s="22"/>
      <c r="P1117" s="22"/>
      <c r="Q1117" s="1">
        <f t="shared" si="522"/>
        <v>0.60744618579017706</v>
      </c>
      <c r="R1117" s="12">
        <f t="shared" ca="1" si="539"/>
        <v>32612</v>
      </c>
      <c r="S1117" s="88">
        <f t="shared" si="548"/>
        <v>0</v>
      </c>
      <c r="T1117" s="19">
        <f t="shared" si="540"/>
        <v>0</v>
      </c>
      <c r="U1117" s="19">
        <f t="shared" si="541"/>
        <v>0</v>
      </c>
      <c r="V1117" s="19">
        <f t="shared" si="527"/>
        <v>0</v>
      </c>
      <c r="W1117" s="20">
        <f t="shared" ca="1" si="542"/>
        <v>0</v>
      </c>
      <c r="X1117" s="19">
        <f t="shared" ca="1" si="543"/>
        <v>0</v>
      </c>
      <c r="Y1117" s="19">
        <f t="shared" ca="1" si="544"/>
        <v>0</v>
      </c>
      <c r="Z1117" s="20">
        <f t="shared" ca="1" si="545"/>
        <v>0</v>
      </c>
      <c r="AA1117" s="1">
        <f t="shared" si="523"/>
        <v>5432.58</v>
      </c>
      <c r="AB1117" s="91"/>
      <c r="AC1117" s="92"/>
      <c r="AD1117" s="101">
        <f t="shared" si="524"/>
        <v>73734</v>
      </c>
      <c r="AE1117" s="103">
        <f t="shared" si="525"/>
        <v>0</v>
      </c>
      <c r="AG1117" s="1">
        <f t="shared" si="546"/>
        <v>0</v>
      </c>
      <c r="AH1117" s="1">
        <f t="shared" si="547"/>
        <v>0</v>
      </c>
      <c r="AI1117" s="1">
        <f t="shared" si="526"/>
        <v>5432.58</v>
      </c>
      <c r="AJ1117" s="20">
        <f t="shared" si="528"/>
        <v>0</v>
      </c>
      <c r="AK1117" s="100">
        <f t="shared" si="530"/>
        <v>0</v>
      </c>
      <c r="AL1117" s="100">
        <f t="shared" si="531"/>
        <v>0</v>
      </c>
      <c r="AN1117" s="100">
        <f t="shared" si="532"/>
        <v>3132.4088221243046</v>
      </c>
      <c r="AO1117" s="20">
        <f t="shared" si="533"/>
        <v>0</v>
      </c>
      <c r="AQ1117" s="109">
        <f t="shared" si="534"/>
        <v>0</v>
      </c>
      <c r="AU1117" s="109">
        <f t="shared" si="519"/>
        <v>24.596446458959889</v>
      </c>
      <c r="AV1117" s="101">
        <f t="shared" si="535"/>
        <v>73764</v>
      </c>
      <c r="AW1117" s="99">
        <f t="shared" si="536"/>
        <v>0</v>
      </c>
      <c r="AX1117" s="1">
        <f t="shared" si="537"/>
        <v>0</v>
      </c>
      <c r="AY1117" s="29">
        <f t="shared" si="538"/>
        <v>0</v>
      </c>
      <c r="AZ1117" s="1">
        <f t="shared" si="520"/>
        <v>0</v>
      </c>
      <c r="CB1117" s="20">
        <f t="shared" si="529"/>
        <v>0</v>
      </c>
      <c r="CC1117" s="173">
        <f t="shared" si="521"/>
        <v>0</v>
      </c>
    </row>
    <row r="1118" spans="10:81" x14ac:dyDescent="0.25">
      <c r="J1118" s="9"/>
      <c r="K1118" s="10"/>
      <c r="L1118" s="17"/>
      <c r="M1118" s="23"/>
      <c r="N1118" s="23"/>
      <c r="O1118" s="23"/>
      <c r="P1118" s="23"/>
      <c r="Q1118" s="1">
        <f t="shared" si="522"/>
        <v>0.60744618579017706</v>
      </c>
      <c r="R1118" s="12">
        <f t="shared" ca="1" si="539"/>
        <v>32642</v>
      </c>
      <c r="S1118" s="88">
        <f t="shared" si="548"/>
        <v>0</v>
      </c>
      <c r="T1118" s="19">
        <f t="shared" si="540"/>
        <v>0</v>
      </c>
      <c r="U1118" s="19">
        <f t="shared" si="541"/>
        <v>0</v>
      </c>
      <c r="V1118" s="19">
        <f t="shared" si="527"/>
        <v>0</v>
      </c>
      <c r="W1118" s="20">
        <f t="shared" ca="1" si="542"/>
        <v>0</v>
      </c>
      <c r="X1118" s="19">
        <f t="shared" ca="1" si="543"/>
        <v>0</v>
      </c>
      <c r="Y1118" s="19">
        <f t="shared" ca="1" si="544"/>
        <v>0</v>
      </c>
      <c r="Z1118" s="20">
        <f t="shared" ca="1" si="545"/>
        <v>0</v>
      </c>
      <c r="AA1118" s="1">
        <f t="shared" si="523"/>
        <v>5432.58</v>
      </c>
      <c r="AB1118" s="93"/>
      <c r="AC1118" s="94"/>
      <c r="AD1118" s="101">
        <f t="shared" si="524"/>
        <v>73764</v>
      </c>
      <c r="AE1118" s="103">
        <f t="shared" si="525"/>
        <v>0</v>
      </c>
      <c r="AG1118" s="1">
        <f t="shared" si="546"/>
        <v>0</v>
      </c>
      <c r="AH1118" s="1">
        <f t="shared" si="547"/>
        <v>0</v>
      </c>
      <c r="AI1118" s="1">
        <f t="shared" si="526"/>
        <v>5432.58</v>
      </c>
      <c r="AJ1118" s="20">
        <f t="shared" si="528"/>
        <v>0</v>
      </c>
      <c r="AK1118" s="100">
        <f t="shared" si="530"/>
        <v>0</v>
      </c>
      <c r="AL1118" s="100">
        <f t="shared" si="531"/>
        <v>0</v>
      </c>
      <c r="AN1118" s="100">
        <f t="shared" si="532"/>
        <v>3130.8239828853179</v>
      </c>
      <c r="AO1118" s="20">
        <f t="shared" si="533"/>
        <v>0</v>
      </c>
      <c r="AQ1118" s="109">
        <f t="shared" si="534"/>
        <v>0</v>
      </c>
      <c r="AU1118" s="109">
        <f t="shared" si="519"/>
        <v>24.594287627045965</v>
      </c>
      <c r="AV1118" s="101">
        <f t="shared" si="535"/>
        <v>73794</v>
      </c>
      <c r="AW1118" s="99">
        <f t="shared" si="536"/>
        <v>0</v>
      </c>
      <c r="AX1118" s="1">
        <f t="shared" si="537"/>
        <v>0</v>
      </c>
      <c r="AY1118" s="29">
        <f t="shared" si="538"/>
        <v>0</v>
      </c>
      <c r="AZ1118" s="1">
        <f t="shared" si="520"/>
        <v>0</v>
      </c>
      <c r="CB1118" s="20">
        <f t="shared" si="529"/>
        <v>0</v>
      </c>
      <c r="CC1118" s="173">
        <f t="shared" si="521"/>
        <v>0</v>
      </c>
    </row>
    <row r="1119" spans="10:81" x14ac:dyDescent="0.25">
      <c r="J1119" s="7"/>
      <c r="K1119" s="8"/>
      <c r="L1119" s="16"/>
      <c r="M1119" s="22"/>
      <c r="N1119" s="22"/>
      <c r="O1119" s="22"/>
      <c r="P1119" s="22"/>
      <c r="Q1119" s="1">
        <f t="shared" si="522"/>
        <v>0.60744618579017706</v>
      </c>
      <c r="R1119" s="12">
        <f t="shared" ca="1" si="539"/>
        <v>32672</v>
      </c>
      <c r="S1119" s="88">
        <f t="shared" si="548"/>
        <v>0</v>
      </c>
      <c r="T1119" s="19">
        <f t="shared" si="540"/>
        <v>0</v>
      </c>
      <c r="U1119" s="19">
        <f t="shared" si="541"/>
        <v>0</v>
      </c>
      <c r="V1119" s="19">
        <f t="shared" si="527"/>
        <v>0</v>
      </c>
      <c r="W1119" s="20">
        <f t="shared" ca="1" si="542"/>
        <v>0</v>
      </c>
      <c r="X1119" s="19">
        <f t="shared" ca="1" si="543"/>
        <v>0</v>
      </c>
      <c r="Y1119" s="19">
        <f t="shared" ca="1" si="544"/>
        <v>0</v>
      </c>
      <c r="Z1119" s="20">
        <f t="shared" ca="1" si="545"/>
        <v>0</v>
      </c>
      <c r="AA1119" s="1">
        <f t="shared" si="523"/>
        <v>5432.58</v>
      </c>
      <c r="AB1119" s="91"/>
      <c r="AC1119" s="92"/>
      <c r="AD1119" s="101">
        <f t="shared" si="524"/>
        <v>73794</v>
      </c>
      <c r="AE1119" s="103">
        <f t="shared" si="525"/>
        <v>0</v>
      </c>
      <c r="AG1119" s="1">
        <f t="shared" si="546"/>
        <v>0</v>
      </c>
      <c r="AH1119" s="1">
        <f t="shared" si="547"/>
        <v>0</v>
      </c>
      <c r="AI1119" s="1">
        <f t="shared" si="526"/>
        <v>5432.58</v>
      </c>
      <c r="AJ1119" s="20">
        <f t="shared" si="528"/>
        <v>0</v>
      </c>
      <c r="AK1119" s="100">
        <f t="shared" si="530"/>
        <v>0</v>
      </c>
      <c r="AL1119" s="100">
        <f t="shared" si="531"/>
        <v>0</v>
      </c>
      <c r="AN1119" s="100">
        <f t="shared" si="532"/>
        <v>3129.2399454942238</v>
      </c>
      <c r="AO1119" s="20">
        <f t="shared" si="533"/>
        <v>0</v>
      </c>
      <c r="AQ1119" s="109">
        <f t="shared" si="534"/>
        <v>0</v>
      </c>
      <c r="AU1119" s="109">
        <f t="shared" ref="AU1119:AU1182" si="549">(($AT$27/(1+((1+$AM$27)^(ROW()-29)*30)-1))/292)*0.32</f>
        <v>24.592128984612874</v>
      </c>
      <c r="AV1119" s="101">
        <f t="shared" si="535"/>
        <v>73824</v>
      </c>
      <c r="AW1119" s="99">
        <f t="shared" si="536"/>
        <v>0</v>
      </c>
      <c r="AX1119" s="1">
        <f t="shared" si="537"/>
        <v>0</v>
      </c>
      <c r="AY1119" s="29">
        <f t="shared" si="538"/>
        <v>0</v>
      </c>
      <c r="AZ1119" s="1">
        <f t="shared" ref="AZ1119:AZ1182" si="550">AY1119/360</f>
        <v>0</v>
      </c>
      <c r="CB1119" s="20">
        <f t="shared" si="529"/>
        <v>0</v>
      </c>
      <c r="CC1119" s="173">
        <f t="shared" ref="CC1119:CC1182" si="551">AJ1119+U1119+T1119</f>
        <v>0</v>
      </c>
    </row>
    <row r="1120" spans="10:81" x14ac:dyDescent="0.25">
      <c r="J1120" s="9"/>
      <c r="K1120" s="10"/>
      <c r="L1120" s="17"/>
      <c r="M1120" s="23"/>
      <c r="N1120" s="23"/>
      <c r="O1120" s="23"/>
      <c r="P1120" s="23"/>
      <c r="Q1120" s="1">
        <f t="shared" ref="Q1120:Q1183" si="552">IF(M1120=0,Q1119,(M1120*1200)/O1119)</f>
        <v>0.60744618579017706</v>
      </c>
      <c r="R1120" s="12">
        <f t="shared" ca="1" si="539"/>
        <v>32702</v>
      </c>
      <c r="S1120" s="88">
        <f t="shared" si="548"/>
        <v>0</v>
      </c>
      <c r="T1120" s="19">
        <f t="shared" si="540"/>
        <v>0</v>
      </c>
      <c r="U1120" s="19">
        <f t="shared" si="541"/>
        <v>0</v>
      </c>
      <c r="V1120" s="19">
        <f t="shared" si="527"/>
        <v>0</v>
      </c>
      <c r="W1120" s="20">
        <f t="shared" ca="1" si="542"/>
        <v>0</v>
      </c>
      <c r="X1120" s="19">
        <f t="shared" ca="1" si="543"/>
        <v>0</v>
      </c>
      <c r="Y1120" s="19">
        <f t="shared" ca="1" si="544"/>
        <v>0</v>
      </c>
      <c r="Z1120" s="20">
        <f t="shared" ca="1" si="545"/>
        <v>0</v>
      </c>
      <c r="AA1120" s="1">
        <f t="shared" ref="AA1120:AA1183" si="553">IF(S1120=0,AA1119,N1120)</f>
        <v>5432.58</v>
      </c>
      <c r="AB1120" s="93"/>
      <c r="AC1120" s="94"/>
      <c r="AD1120" s="101">
        <f t="shared" ref="AD1120:AD1183" si="554">IF(M1120=0,AD1119+30,K1120)</f>
        <v>73824</v>
      </c>
      <c r="AE1120" s="103">
        <f t="shared" ref="AE1120:AE1183" si="555">IF(V1120=0,0,R1120)</f>
        <v>0</v>
      </c>
      <c r="AG1120" s="1">
        <f t="shared" si="546"/>
        <v>0</v>
      </c>
      <c r="AH1120" s="1">
        <f t="shared" si="547"/>
        <v>0</v>
      </c>
      <c r="AI1120" s="1">
        <f t="shared" ref="AI1120:AI1183" si="556">IF(M1120-1=0,IF(M1120=0,IF(V1120=0,N1120,AI1119),AA1120),AA1120)</f>
        <v>5432.58</v>
      </c>
      <c r="AJ1120" s="20">
        <f t="shared" si="528"/>
        <v>0</v>
      </c>
      <c r="AK1120" s="100">
        <f t="shared" si="530"/>
        <v>0</v>
      </c>
      <c r="AL1120" s="100">
        <f t="shared" si="531"/>
        <v>0</v>
      </c>
      <c r="AN1120" s="100">
        <f t="shared" si="532"/>
        <v>3127.6567095453274</v>
      </c>
      <c r="AO1120" s="20">
        <f t="shared" si="533"/>
        <v>0</v>
      </c>
      <c r="AQ1120" s="109">
        <f t="shared" si="534"/>
        <v>0</v>
      </c>
      <c r="AU1120" s="109">
        <f t="shared" si="549"/>
        <v>24.589970531643985</v>
      </c>
      <c r="AV1120" s="101">
        <f t="shared" si="535"/>
        <v>73854</v>
      </c>
      <c r="AW1120" s="99">
        <f t="shared" si="536"/>
        <v>0</v>
      </c>
      <c r="AX1120" s="1">
        <f t="shared" si="537"/>
        <v>0</v>
      </c>
      <c r="AY1120" s="29">
        <f t="shared" si="538"/>
        <v>0</v>
      </c>
      <c r="AZ1120" s="1">
        <f t="shared" si="550"/>
        <v>0</v>
      </c>
      <c r="CB1120" s="20">
        <f t="shared" si="529"/>
        <v>0</v>
      </c>
      <c r="CC1120" s="173">
        <f t="shared" si="551"/>
        <v>0</v>
      </c>
    </row>
    <row r="1121" spans="10:81" x14ac:dyDescent="0.25">
      <c r="J1121" s="7"/>
      <c r="K1121" s="8"/>
      <c r="L1121" s="16"/>
      <c r="M1121" s="22"/>
      <c r="N1121" s="22"/>
      <c r="O1121" s="22"/>
      <c r="P1121" s="22"/>
      <c r="Q1121" s="1">
        <f t="shared" si="552"/>
        <v>0.60744618579017706</v>
      </c>
      <c r="R1121" s="12">
        <f t="shared" ca="1" si="539"/>
        <v>32732</v>
      </c>
      <c r="S1121" s="88">
        <f t="shared" si="548"/>
        <v>0</v>
      </c>
      <c r="T1121" s="19">
        <f t="shared" si="540"/>
        <v>0</v>
      </c>
      <c r="U1121" s="19">
        <f t="shared" si="541"/>
        <v>0</v>
      </c>
      <c r="V1121" s="19">
        <f t="shared" si="527"/>
        <v>0</v>
      </c>
      <c r="W1121" s="20">
        <f t="shared" ca="1" si="542"/>
        <v>0</v>
      </c>
      <c r="X1121" s="19">
        <f t="shared" ca="1" si="543"/>
        <v>0</v>
      </c>
      <c r="Y1121" s="19">
        <f t="shared" ca="1" si="544"/>
        <v>0</v>
      </c>
      <c r="Z1121" s="20">
        <f t="shared" ca="1" si="545"/>
        <v>0</v>
      </c>
      <c r="AA1121" s="1">
        <f t="shared" si="553"/>
        <v>5432.58</v>
      </c>
      <c r="AB1121" s="91"/>
      <c r="AC1121" s="92"/>
      <c r="AD1121" s="101">
        <f t="shared" si="554"/>
        <v>73854</v>
      </c>
      <c r="AE1121" s="103">
        <f t="shared" si="555"/>
        <v>0</v>
      </c>
      <c r="AG1121" s="1">
        <f t="shared" si="546"/>
        <v>0</v>
      </c>
      <c r="AH1121" s="1">
        <f t="shared" si="547"/>
        <v>0</v>
      </c>
      <c r="AI1121" s="1">
        <f t="shared" si="556"/>
        <v>5432.58</v>
      </c>
      <c r="AJ1121" s="20">
        <f t="shared" si="528"/>
        <v>0</v>
      </c>
      <c r="AK1121" s="100">
        <f t="shared" si="530"/>
        <v>0</v>
      </c>
      <c r="AL1121" s="100">
        <f t="shared" si="531"/>
        <v>0</v>
      </c>
      <c r="AN1121" s="100">
        <f t="shared" si="532"/>
        <v>3126.0742746331416</v>
      </c>
      <c r="AO1121" s="20">
        <f t="shared" si="533"/>
        <v>0</v>
      </c>
      <c r="AQ1121" s="109">
        <f t="shared" si="534"/>
        <v>0</v>
      </c>
      <c r="AU1121" s="109">
        <f t="shared" si="549"/>
        <v>24.587812268122676</v>
      </c>
      <c r="AV1121" s="101">
        <f t="shared" si="535"/>
        <v>73884</v>
      </c>
      <c r="AW1121" s="99">
        <f t="shared" si="536"/>
        <v>0</v>
      </c>
      <c r="AX1121" s="1">
        <f t="shared" si="537"/>
        <v>0</v>
      </c>
      <c r="AY1121" s="29">
        <f t="shared" si="538"/>
        <v>0</v>
      </c>
      <c r="AZ1121" s="1">
        <f t="shared" si="550"/>
        <v>0</v>
      </c>
      <c r="CB1121" s="20">
        <f t="shared" si="529"/>
        <v>0</v>
      </c>
      <c r="CC1121" s="173">
        <f t="shared" si="551"/>
        <v>0</v>
      </c>
    </row>
    <row r="1122" spans="10:81" x14ac:dyDescent="0.25">
      <c r="J1122" s="9"/>
      <c r="K1122" s="10"/>
      <c r="L1122" s="17"/>
      <c r="M1122" s="23"/>
      <c r="N1122" s="23"/>
      <c r="O1122" s="23"/>
      <c r="P1122" s="23"/>
      <c r="Q1122" s="1">
        <f t="shared" si="552"/>
        <v>0.60744618579017706</v>
      </c>
      <c r="R1122" s="12">
        <f t="shared" ca="1" si="539"/>
        <v>32762</v>
      </c>
      <c r="S1122" s="88">
        <f t="shared" si="548"/>
        <v>0</v>
      </c>
      <c r="T1122" s="19">
        <f t="shared" si="540"/>
        <v>0</v>
      </c>
      <c r="U1122" s="19">
        <f t="shared" si="541"/>
        <v>0</v>
      </c>
      <c r="V1122" s="19">
        <f t="shared" ref="V1122:V1185" si="557">IF(ISERROR(IF(V1121+U1122+T1122+(V1121*Q1122/1200)-AA1122-P1122&lt;0,0,V1121+U1122+T1122-AA1122-P1122)),0,IF(V1121+U1122+T1122+(V1121*Q1122/1200)-AA1122-CB1122&lt;0,0,V1121+U1122+T1122-AA1122-CB1122))</f>
        <v>0</v>
      </c>
      <c r="W1122" s="20">
        <f t="shared" ca="1" si="542"/>
        <v>0</v>
      </c>
      <c r="X1122" s="19">
        <f t="shared" ca="1" si="543"/>
        <v>0</v>
      </c>
      <c r="Y1122" s="19">
        <f t="shared" ca="1" si="544"/>
        <v>0</v>
      </c>
      <c r="Z1122" s="20">
        <f t="shared" ca="1" si="545"/>
        <v>0</v>
      </c>
      <c r="AA1122" s="1">
        <f t="shared" si="553"/>
        <v>5432.58</v>
      </c>
      <c r="AB1122" s="93"/>
      <c r="AC1122" s="94"/>
      <c r="AD1122" s="101">
        <f t="shared" si="554"/>
        <v>73884</v>
      </c>
      <c r="AE1122" s="103">
        <f t="shared" si="555"/>
        <v>0</v>
      </c>
      <c r="AG1122" s="1">
        <f t="shared" si="546"/>
        <v>0</v>
      </c>
      <c r="AH1122" s="1">
        <f t="shared" si="547"/>
        <v>0</v>
      </c>
      <c r="AI1122" s="1">
        <f t="shared" si="556"/>
        <v>5432.58</v>
      </c>
      <c r="AJ1122" s="20">
        <f t="shared" si="528"/>
        <v>0</v>
      </c>
      <c r="AK1122" s="100">
        <f t="shared" si="530"/>
        <v>0</v>
      </c>
      <c r="AL1122" s="100">
        <f t="shared" si="531"/>
        <v>0</v>
      </c>
      <c r="AN1122" s="100">
        <f t="shared" si="532"/>
        <v>3124.4926403523823</v>
      </c>
      <c r="AO1122" s="20">
        <f t="shared" si="533"/>
        <v>0</v>
      </c>
      <c r="AQ1122" s="109">
        <f t="shared" si="534"/>
        <v>0</v>
      </c>
      <c r="AU1122" s="109">
        <f t="shared" si="549"/>
        <v>24.585654194032319</v>
      </c>
      <c r="AV1122" s="101">
        <f t="shared" si="535"/>
        <v>73914</v>
      </c>
      <c r="AW1122" s="99">
        <f t="shared" si="536"/>
        <v>0</v>
      </c>
      <c r="AX1122" s="1">
        <f t="shared" si="537"/>
        <v>0</v>
      </c>
      <c r="AY1122" s="29">
        <f t="shared" si="538"/>
        <v>0</v>
      </c>
      <c r="AZ1122" s="1">
        <f t="shared" si="550"/>
        <v>0</v>
      </c>
      <c r="CB1122" s="20">
        <f t="shared" si="529"/>
        <v>0</v>
      </c>
      <c r="CC1122" s="173">
        <f t="shared" si="551"/>
        <v>0</v>
      </c>
    </row>
    <row r="1123" spans="10:81" x14ac:dyDescent="0.25">
      <c r="J1123" s="7"/>
      <c r="K1123" s="8"/>
      <c r="L1123" s="16"/>
      <c r="M1123" s="22"/>
      <c r="N1123" s="22"/>
      <c r="O1123" s="22"/>
      <c r="P1123" s="22"/>
      <c r="Q1123" s="1">
        <f t="shared" si="552"/>
        <v>0.60744618579017706</v>
      </c>
      <c r="R1123" s="12">
        <f t="shared" ca="1" si="539"/>
        <v>32792</v>
      </c>
      <c r="S1123" s="88">
        <f t="shared" si="548"/>
        <v>0</v>
      </c>
      <c r="T1123" s="19">
        <f t="shared" si="540"/>
        <v>0</v>
      </c>
      <c r="U1123" s="19">
        <f t="shared" si="541"/>
        <v>0</v>
      </c>
      <c r="V1123" s="19">
        <f t="shared" si="557"/>
        <v>0</v>
      </c>
      <c r="W1123" s="20">
        <f t="shared" ca="1" si="542"/>
        <v>0</v>
      </c>
      <c r="X1123" s="19">
        <f t="shared" ca="1" si="543"/>
        <v>0</v>
      </c>
      <c r="Y1123" s="19">
        <f t="shared" ca="1" si="544"/>
        <v>0</v>
      </c>
      <c r="Z1123" s="20">
        <f t="shared" ca="1" si="545"/>
        <v>0</v>
      </c>
      <c r="AA1123" s="1">
        <f t="shared" si="553"/>
        <v>5432.58</v>
      </c>
      <c r="AB1123" s="91"/>
      <c r="AC1123" s="92"/>
      <c r="AD1123" s="101">
        <f t="shared" si="554"/>
        <v>73914</v>
      </c>
      <c r="AE1123" s="103">
        <f t="shared" si="555"/>
        <v>0</v>
      </c>
      <c r="AG1123" s="1">
        <f t="shared" si="546"/>
        <v>0</v>
      </c>
      <c r="AH1123" s="1">
        <f t="shared" si="547"/>
        <v>0</v>
      </c>
      <c r="AI1123" s="1">
        <f t="shared" si="556"/>
        <v>5432.58</v>
      </c>
      <c r="AJ1123" s="20">
        <f t="shared" si="528"/>
        <v>0</v>
      </c>
      <c r="AK1123" s="100">
        <f t="shared" si="530"/>
        <v>0</v>
      </c>
      <c r="AL1123" s="100">
        <f t="shared" si="531"/>
        <v>0</v>
      </c>
      <c r="AN1123" s="100">
        <f t="shared" si="532"/>
        <v>3122.9118062979692</v>
      </c>
      <c r="AO1123" s="20">
        <f t="shared" si="533"/>
        <v>0</v>
      </c>
      <c r="AQ1123" s="109">
        <f t="shared" si="534"/>
        <v>0</v>
      </c>
      <c r="AU1123" s="109">
        <f t="shared" si="549"/>
        <v>24.583496309356274</v>
      </c>
      <c r="AV1123" s="101">
        <f t="shared" si="535"/>
        <v>73944</v>
      </c>
      <c r="AW1123" s="99">
        <f t="shared" si="536"/>
        <v>0</v>
      </c>
      <c r="AX1123" s="1">
        <f t="shared" si="537"/>
        <v>0</v>
      </c>
      <c r="AY1123" s="29">
        <f t="shared" si="538"/>
        <v>0</v>
      </c>
      <c r="AZ1123" s="1">
        <f t="shared" si="550"/>
        <v>0</v>
      </c>
      <c r="CB1123" s="20">
        <f t="shared" si="529"/>
        <v>0</v>
      </c>
      <c r="CC1123" s="173">
        <f t="shared" si="551"/>
        <v>0</v>
      </c>
    </row>
    <row r="1124" spans="10:81" x14ac:dyDescent="0.25">
      <c r="J1124" s="9"/>
      <c r="K1124" s="10"/>
      <c r="L1124" s="17"/>
      <c r="M1124" s="23"/>
      <c r="N1124" s="23"/>
      <c r="O1124" s="23"/>
      <c r="P1124" s="23"/>
      <c r="Q1124" s="1">
        <f t="shared" si="552"/>
        <v>0.60744618579017706</v>
      </c>
      <c r="R1124" s="12">
        <f t="shared" ca="1" si="539"/>
        <v>32822</v>
      </c>
      <c r="S1124" s="88">
        <f t="shared" si="548"/>
        <v>0</v>
      </c>
      <c r="T1124" s="19">
        <f t="shared" si="540"/>
        <v>0</v>
      </c>
      <c r="U1124" s="19">
        <f t="shared" si="541"/>
        <v>0</v>
      </c>
      <c r="V1124" s="19">
        <f t="shared" si="557"/>
        <v>0</v>
      </c>
      <c r="W1124" s="20">
        <f t="shared" ca="1" si="542"/>
        <v>0</v>
      </c>
      <c r="X1124" s="19">
        <f t="shared" ca="1" si="543"/>
        <v>0</v>
      </c>
      <c r="Y1124" s="19">
        <f t="shared" ca="1" si="544"/>
        <v>0</v>
      </c>
      <c r="Z1124" s="20">
        <f t="shared" ca="1" si="545"/>
        <v>0</v>
      </c>
      <c r="AA1124" s="1">
        <f t="shared" si="553"/>
        <v>5432.58</v>
      </c>
      <c r="AB1124" s="93"/>
      <c r="AC1124" s="94"/>
      <c r="AD1124" s="101">
        <f t="shared" si="554"/>
        <v>73944</v>
      </c>
      <c r="AE1124" s="103">
        <f t="shared" si="555"/>
        <v>0</v>
      </c>
      <c r="AG1124" s="1">
        <f t="shared" si="546"/>
        <v>0</v>
      </c>
      <c r="AH1124" s="1">
        <f t="shared" si="547"/>
        <v>0</v>
      </c>
      <c r="AI1124" s="1">
        <f t="shared" si="556"/>
        <v>5432.58</v>
      </c>
      <c r="AJ1124" s="20">
        <f t="shared" si="528"/>
        <v>0</v>
      </c>
      <c r="AK1124" s="100">
        <f t="shared" si="530"/>
        <v>0</v>
      </c>
      <c r="AL1124" s="100">
        <f t="shared" si="531"/>
        <v>0</v>
      </c>
      <c r="AN1124" s="100">
        <f t="shared" si="532"/>
        <v>3121.3317720650298</v>
      </c>
      <c r="AO1124" s="20">
        <f t="shared" si="533"/>
        <v>0</v>
      </c>
      <c r="AQ1124" s="109">
        <f t="shared" si="534"/>
        <v>0</v>
      </c>
      <c r="AU1124" s="109">
        <f t="shared" si="549"/>
        <v>24.581338614077932</v>
      </c>
      <c r="AV1124" s="101">
        <f t="shared" si="535"/>
        <v>73974</v>
      </c>
      <c r="AW1124" s="99">
        <f t="shared" si="536"/>
        <v>0</v>
      </c>
      <c r="AX1124" s="1">
        <f t="shared" si="537"/>
        <v>0</v>
      </c>
      <c r="AY1124" s="29">
        <f t="shared" si="538"/>
        <v>0</v>
      </c>
      <c r="AZ1124" s="1">
        <f t="shared" si="550"/>
        <v>0</v>
      </c>
      <c r="CB1124" s="20">
        <f t="shared" si="529"/>
        <v>0</v>
      </c>
      <c r="CC1124" s="173">
        <f t="shared" si="551"/>
        <v>0</v>
      </c>
    </row>
    <row r="1125" spans="10:81" x14ac:dyDescent="0.25">
      <c r="J1125" s="7"/>
      <c r="K1125" s="8"/>
      <c r="L1125" s="16"/>
      <c r="M1125" s="22"/>
      <c r="N1125" s="22"/>
      <c r="O1125" s="22"/>
      <c r="P1125" s="22"/>
      <c r="Q1125" s="1">
        <f t="shared" si="552"/>
        <v>0.60744618579017706</v>
      </c>
      <c r="R1125" s="12">
        <f t="shared" ca="1" si="539"/>
        <v>32852</v>
      </c>
      <c r="S1125" s="88">
        <f t="shared" si="548"/>
        <v>0</v>
      </c>
      <c r="T1125" s="19">
        <f t="shared" si="540"/>
        <v>0</v>
      </c>
      <c r="U1125" s="19">
        <f t="shared" si="541"/>
        <v>0</v>
      </c>
      <c r="V1125" s="19">
        <f t="shared" si="557"/>
        <v>0</v>
      </c>
      <c r="W1125" s="20">
        <f t="shared" ca="1" si="542"/>
        <v>0</v>
      </c>
      <c r="X1125" s="19">
        <f t="shared" ca="1" si="543"/>
        <v>0</v>
      </c>
      <c r="Y1125" s="19">
        <f t="shared" ca="1" si="544"/>
        <v>0</v>
      </c>
      <c r="Z1125" s="20">
        <f t="shared" ca="1" si="545"/>
        <v>0</v>
      </c>
      <c r="AA1125" s="1">
        <f t="shared" si="553"/>
        <v>5432.58</v>
      </c>
      <c r="AB1125" s="91"/>
      <c r="AC1125" s="92"/>
      <c r="AD1125" s="101">
        <f t="shared" si="554"/>
        <v>73974</v>
      </c>
      <c r="AE1125" s="103">
        <f t="shared" si="555"/>
        <v>0</v>
      </c>
      <c r="AG1125" s="1">
        <f t="shared" si="546"/>
        <v>0</v>
      </c>
      <c r="AH1125" s="1">
        <f t="shared" si="547"/>
        <v>0</v>
      </c>
      <c r="AI1125" s="1">
        <f t="shared" si="556"/>
        <v>5432.58</v>
      </c>
      <c r="AJ1125" s="20">
        <f t="shared" si="528"/>
        <v>0</v>
      </c>
      <c r="AK1125" s="100">
        <f t="shared" si="530"/>
        <v>0</v>
      </c>
      <c r="AL1125" s="100">
        <f t="shared" si="531"/>
        <v>0</v>
      </c>
      <c r="AN1125" s="100">
        <f t="shared" si="532"/>
        <v>3119.7525372488954</v>
      </c>
      <c r="AO1125" s="20">
        <f t="shared" si="533"/>
        <v>0</v>
      </c>
      <c r="AQ1125" s="109">
        <f t="shared" si="534"/>
        <v>0</v>
      </c>
      <c r="AU1125" s="109">
        <f t="shared" si="549"/>
        <v>24.579181108180656</v>
      </c>
      <c r="AV1125" s="101">
        <f t="shared" si="535"/>
        <v>74004</v>
      </c>
      <c r="AW1125" s="99">
        <f t="shared" si="536"/>
        <v>0</v>
      </c>
      <c r="AX1125" s="1">
        <f t="shared" si="537"/>
        <v>0</v>
      </c>
      <c r="AY1125" s="29">
        <f t="shared" si="538"/>
        <v>0</v>
      </c>
      <c r="AZ1125" s="1">
        <f t="shared" si="550"/>
        <v>0</v>
      </c>
      <c r="CB1125" s="20">
        <f t="shared" si="529"/>
        <v>0</v>
      </c>
      <c r="CC1125" s="173">
        <f t="shared" si="551"/>
        <v>0</v>
      </c>
    </row>
    <row r="1126" spans="10:81" x14ac:dyDescent="0.25">
      <c r="J1126" s="9"/>
      <c r="K1126" s="10"/>
      <c r="L1126" s="17"/>
      <c r="M1126" s="23"/>
      <c r="N1126" s="23"/>
      <c r="O1126" s="23"/>
      <c r="P1126" s="23"/>
      <c r="Q1126" s="1">
        <f t="shared" si="552"/>
        <v>0.60744618579017706</v>
      </c>
      <c r="R1126" s="12">
        <f t="shared" ca="1" si="539"/>
        <v>32882</v>
      </c>
      <c r="S1126" s="88">
        <f t="shared" si="548"/>
        <v>0</v>
      </c>
      <c r="T1126" s="19">
        <f t="shared" si="540"/>
        <v>0</v>
      </c>
      <c r="U1126" s="19">
        <f t="shared" si="541"/>
        <v>0</v>
      </c>
      <c r="V1126" s="19">
        <f t="shared" si="557"/>
        <v>0</v>
      </c>
      <c r="W1126" s="20">
        <f t="shared" ca="1" si="542"/>
        <v>0</v>
      </c>
      <c r="X1126" s="19">
        <f t="shared" ca="1" si="543"/>
        <v>0</v>
      </c>
      <c r="Y1126" s="19">
        <f t="shared" ca="1" si="544"/>
        <v>0</v>
      </c>
      <c r="Z1126" s="20">
        <f t="shared" ca="1" si="545"/>
        <v>0</v>
      </c>
      <c r="AA1126" s="1">
        <f t="shared" si="553"/>
        <v>5432.58</v>
      </c>
      <c r="AB1126" s="93"/>
      <c r="AC1126" s="94"/>
      <c r="AD1126" s="101">
        <f t="shared" si="554"/>
        <v>74004</v>
      </c>
      <c r="AE1126" s="103">
        <f t="shared" si="555"/>
        <v>0</v>
      </c>
      <c r="AG1126" s="1">
        <f t="shared" si="546"/>
        <v>0</v>
      </c>
      <c r="AH1126" s="1">
        <f t="shared" si="547"/>
        <v>0</v>
      </c>
      <c r="AI1126" s="1">
        <f t="shared" si="556"/>
        <v>5432.58</v>
      </c>
      <c r="AJ1126" s="20">
        <f t="shared" si="528"/>
        <v>0</v>
      </c>
      <c r="AK1126" s="100">
        <f t="shared" si="530"/>
        <v>0</v>
      </c>
      <c r="AL1126" s="100">
        <f t="shared" si="531"/>
        <v>0</v>
      </c>
      <c r="AN1126" s="100">
        <f t="shared" si="532"/>
        <v>3118.1741014451013</v>
      </c>
      <c r="AO1126" s="20">
        <f t="shared" si="533"/>
        <v>0</v>
      </c>
      <c r="AQ1126" s="109">
        <f t="shared" si="534"/>
        <v>0</v>
      </c>
      <c r="AU1126" s="109">
        <f t="shared" si="549"/>
        <v>24.577023791647839</v>
      </c>
      <c r="AV1126" s="101">
        <f t="shared" si="535"/>
        <v>74034</v>
      </c>
      <c r="AW1126" s="99">
        <f t="shared" si="536"/>
        <v>0</v>
      </c>
      <c r="AX1126" s="1">
        <f t="shared" si="537"/>
        <v>0</v>
      </c>
      <c r="AY1126" s="29">
        <f t="shared" si="538"/>
        <v>0</v>
      </c>
      <c r="AZ1126" s="1">
        <f t="shared" si="550"/>
        <v>0</v>
      </c>
      <c r="CB1126" s="20">
        <f t="shared" si="529"/>
        <v>0</v>
      </c>
      <c r="CC1126" s="173">
        <f t="shared" si="551"/>
        <v>0</v>
      </c>
    </row>
    <row r="1127" spans="10:81" x14ac:dyDescent="0.25">
      <c r="J1127" s="7"/>
      <c r="K1127" s="8"/>
      <c r="L1127" s="16"/>
      <c r="M1127" s="22"/>
      <c r="N1127" s="22"/>
      <c r="O1127" s="22"/>
      <c r="P1127" s="22"/>
      <c r="Q1127" s="1">
        <f t="shared" si="552"/>
        <v>0.60744618579017706</v>
      </c>
      <c r="R1127" s="12">
        <f t="shared" ca="1" si="539"/>
        <v>32912</v>
      </c>
      <c r="S1127" s="88">
        <f t="shared" si="548"/>
        <v>0</v>
      </c>
      <c r="T1127" s="19">
        <f t="shared" si="540"/>
        <v>0</v>
      </c>
      <c r="U1127" s="19">
        <f t="shared" si="541"/>
        <v>0</v>
      </c>
      <c r="V1127" s="19">
        <f t="shared" si="557"/>
        <v>0</v>
      </c>
      <c r="W1127" s="20">
        <f t="shared" ca="1" si="542"/>
        <v>0</v>
      </c>
      <c r="X1127" s="19">
        <f t="shared" ca="1" si="543"/>
        <v>0</v>
      </c>
      <c r="Y1127" s="19">
        <f t="shared" ca="1" si="544"/>
        <v>0</v>
      </c>
      <c r="Z1127" s="20">
        <f t="shared" ca="1" si="545"/>
        <v>0</v>
      </c>
      <c r="AA1127" s="1">
        <f t="shared" si="553"/>
        <v>5432.58</v>
      </c>
      <c r="AB1127" s="91"/>
      <c r="AC1127" s="92"/>
      <c r="AD1127" s="101">
        <f t="shared" si="554"/>
        <v>74034</v>
      </c>
      <c r="AE1127" s="103">
        <f t="shared" si="555"/>
        <v>0</v>
      </c>
      <c r="AG1127" s="1">
        <f t="shared" si="546"/>
        <v>0</v>
      </c>
      <c r="AH1127" s="1">
        <f t="shared" si="547"/>
        <v>0</v>
      </c>
      <c r="AI1127" s="1">
        <f t="shared" si="556"/>
        <v>5432.58</v>
      </c>
      <c r="AJ1127" s="20">
        <f t="shared" si="528"/>
        <v>0</v>
      </c>
      <c r="AK1127" s="100">
        <f t="shared" si="530"/>
        <v>0</v>
      </c>
      <c r="AL1127" s="100">
        <f t="shared" si="531"/>
        <v>0</v>
      </c>
      <c r="AN1127" s="100">
        <f t="shared" si="532"/>
        <v>3116.5964642493882</v>
      </c>
      <c r="AO1127" s="20">
        <f t="shared" si="533"/>
        <v>0</v>
      </c>
      <c r="AQ1127" s="109">
        <f t="shared" si="534"/>
        <v>0</v>
      </c>
      <c r="AU1127" s="109">
        <f t="shared" si="549"/>
        <v>24.574866664462849</v>
      </c>
      <c r="AV1127" s="101">
        <f t="shared" si="535"/>
        <v>74064</v>
      </c>
      <c r="AW1127" s="99">
        <f t="shared" si="536"/>
        <v>0</v>
      </c>
      <c r="AX1127" s="1">
        <f t="shared" si="537"/>
        <v>0</v>
      </c>
      <c r="AY1127" s="29">
        <f t="shared" si="538"/>
        <v>0</v>
      </c>
      <c r="AZ1127" s="1">
        <f t="shared" si="550"/>
        <v>0</v>
      </c>
      <c r="CB1127" s="20">
        <f t="shared" si="529"/>
        <v>0</v>
      </c>
      <c r="CC1127" s="173">
        <f t="shared" si="551"/>
        <v>0</v>
      </c>
    </row>
    <row r="1128" spans="10:81" x14ac:dyDescent="0.25">
      <c r="J1128" s="9"/>
      <c r="K1128" s="10"/>
      <c r="L1128" s="17"/>
      <c r="M1128" s="23"/>
      <c r="N1128" s="23"/>
      <c r="O1128" s="23"/>
      <c r="P1128" s="23"/>
      <c r="Q1128" s="1">
        <f t="shared" si="552"/>
        <v>0.60744618579017706</v>
      </c>
      <c r="R1128" s="12">
        <f t="shared" ca="1" si="539"/>
        <v>32942</v>
      </c>
      <c r="S1128" s="88">
        <f t="shared" si="548"/>
        <v>0</v>
      </c>
      <c r="T1128" s="19">
        <f t="shared" si="540"/>
        <v>0</v>
      </c>
      <c r="U1128" s="19">
        <f t="shared" si="541"/>
        <v>0</v>
      </c>
      <c r="V1128" s="19">
        <f t="shared" si="557"/>
        <v>0</v>
      </c>
      <c r="W1128" s="20">
        <f t="shared" ca="1" si="542"/>
        <v>0</v>
      </c>
      <c r="X1128" s="19">
        <f t="shared" ca="1" si="543"/>
        <v>0</v>
      </c>
      <c r="Y1128" s="19">
        <f t="shared" ca="1" si="544"/>
        <v>0</v>
      </c>
      <c r="Z1128" s="20">
        <f t="shared" ca="1" si="545"/>
        <v>0</v>
      </c>
      <c r="AA1128" s="1">
        <f t="shared" si="553"/>
        <v>5432.58</v>
      </c>
      <c r="AB1128" s="93"/>
      <c r="AC1128" s="94"/>
      <c r="AD1128" s="101">
        <f t="shared" si="554"/>
        <v>74064</v>
      </c>
      <c r="AE1128" s="103">
        <f t="shared" si="555"/>
        <v>0</v>
      </c>
      <c r="AG1128" s="1">
        <f t="shared" si="546"/>
        <v>0</v>
      </c>
      <c r="AH1128" s="1">
        <f t="shared" si="547"/>
        <v>0</v>
      </c>
      <c r="AI1128" s="1">
        <f t="shared" si="556"/>
        <v>5432.58</v>
      </c>
      <c r="AJ1128" s="20">
        <f t="shared" ref="AJ1128:AJ1191" si="558">IF(ISERROR(IF(V1127+U1128+T1128+(V1127*Q1128/1200)-AA1128-P1128&lt;0,V1127,-(U1128+T1128-AA1128+P1128-AH1128))),0,IF(V1127+U1128+T1128+(V1127*Q1128/1200)-AA1128-P1128&lt;0,0,-(U1128+T1128-AA1128-AH1128)))</f>
        <v>0</v>
      </c>
      <c r="AK1128" s="100">
        <f t="shared" si="530"/>
        <v>0</v>
      </c>
      <c r="AL1128" s="100">
        <f t="shared" si="531"/>
        <v>0</v>
      </c>
      <c r="AN1128" s="100">
        <f t="shared" si="532"/>
        <v>3115.0196252577007</v>
      </c>
      <c r="AO1128" s="20">
        <f t="shared" si="533"/>
        <v>0</v>
      </c>
      <c r="AQ1128" s="109">
        <f t="shared" si="534"/>
        <v>0</v>
      </c>
      <c r="AU1128" s="109">
        <f t="shared" si="549"/>
        <v>24.572709726609073</v>
      </c>
      <c r="AV1128" s="101">
        <f t="shared" si="535"/>
        <v>74094</v>
      </c>
      <c r="AW1128" s="99">
        <f t="shared" si="536"/>
        <v>0</v>
      </c>
      <c r="AX1128" s="1">
        <f t="shared" si="537"/>
        <v>0</v>
      </c>
      <c r="AY1128" s="29">
        <f t="shared" si="538"/>
        <v>0</v>
      </c>
      <c r="AZ1128" s="1">
        <f t="shared" si="550"/>
        <v>0</v>
      </c>
      <c r="CB1128" s="20">
        <f t="shared" si="529"/>
        <v>0</v>
      </c>
      <c r="CC1128" s="173">
        <f t="shared" si="551"/>
        <v>0</v>
      </c>
    </row>
    <row r="1129" spans="10:81" x14ac:dyDescent="0.25">
      <c r="J1129" s="7"/>
      <c r="K1129" s="8"/>
      <c r="L1129" s="16"/>
      <c r="M1129" s="22"/>
      <c r="N1129" s="22"/>
      <c r="O1129" s="22"/>
      <c r="P1129" s="22"/>
      <c r="Q1129" s="1">
        <f t="shared" si="552"/>
        <v>0.60744618579017706</v>
      </c>
      <c r="R1129" s="12">
        <f t="shared" ca="1" si="539"/>
        <v>32972</v>
      </c>
      <c r="S1129" s="88">
        <f t="shared" si="548"/>
        <v>0</v>
      </c>
      <c r="T1129" s="19">
        <f t="shared" si="540"/>
        <v>0</v>
      </c>
      <c r="U1129" s="19">
        <f t="shared" si="541"/>
        <v>0</v>
      </c>
      <c r="V1129" s="19">
        <f t="shared" si="557"/>
        <v>0</v>
      </c>
      <c r="W1129" s="20">
        <f t="shared" ca="1" si="542"/>
        <v>0</v>
      </c>
      <c r="X1129" s="19">
        <f t="shared" ca="1" si="543"/>
        <v>0</v>
      </c>
      <c r="Y1129" s="19">
        <f t="shared" ca="1" si="544"/>
        <v>0</v>
      </c>
      <c r="Z1129" s="20">
        <f t="shared" ca="1" si="545"/>
        <v>0</v>
      </c>
      <c r="AA1129" s="1">
        <f t="shared" si="553"/>
        <v>5432.58</v>
      </c>
      <c r="AB1129" s="91"/>
      <c r="AC1129" s="92"/>
      <c r="AD1129" s="101">
        <f t="shared" si="554"/>
        <v>74094</v>
      </c>
      <c r="AE1129" s="103">
        <f t="shared" si="555"/>
        <v>0</v>
      </c>
      <c r="AG1129" s="1">
        <f t="shared" si="546"/>
        <v>0</v>
      </c>
      <c r="AH1129" s="1">
        <f t="shared" si="547"/>
        <v>0</v>
      </c>
      <c r="AI1129" s="1">
        <f t="shared" si="556"/>
        <v>5432.58</v>
      </c>
      <c r="AJ1129" s="20">
        <f t="shared" si="558"/>
        <v>0</v>
      </c>
      <c r="AK1129" s="100">
        <f t="shared" si="530"/>
        <v>0</v>
      </c>
      <c r="AL1129" s="100">
        <f t="shared" si="531"/>
        <v>0</v>
      </c>
      <c r="AN1129" s="100">
        <f t="shared" si="532"/>
        <v>3113.4435840661886</v>
      </c>
      <c r="AO1129" s="20">
        <f t="shared" si="533"/>
        <v>0</v>
      </c>
      <c r="AQ1129" s="109">
        <f t="shared" si="534"/>
        <v>0</v>
      </c>
      <c r="AU1129" s="109">
        <f t="shared" si="549"/>
        <v>24.570552978069891</v>
      </c>
      <c r="AV1129" s="101">
        <f t="shared" si="535"/>
        <v>74124</v>
      </c>
      <c r="AW1129" s="99">
        <f t="shared" si="536"/>
        <v>0</v>
      </c>
      <c r="AX1129" s="1">
        <f t="shared" si="537"/>
        <v>0</v>
      </c>
      <c r="AY1129" s="29">
        <f t="shared" si="538"/>
        <v>0</v>
      </c>
      <c r="AZ1129" s="1">
        <f t="shared" si="550"/>
        <v>0</v>
      </c>
      <c r="CB1129" s="20">
        <f t="shared" si="529"/>
        <v>0</v>
      </c>
      <c r="CC1129" s="173">
        <f t="shared" si="551"/>
        <v>0</v>
      </c>
    </row>
    <row r="1130" spans="10:81" x14ac:dyDescent="0.25">
      <c r="J1130" s="9"/>
      <c r="K1130" s="10"/>
      <c r="L1130" s="17"/>
      <c r="M1130" s="23"/>
      <c r="N1130" s="23"/>
      <c r="O1130" s="23"/>
      <c r="P1130" s="23"/>
      <c r="Q1130" s="1">
        <f t="shared" si="552"/>
        <v>0.60744618579017706</v>
      </c>
      <c r="R1130" s="12">
        <f t="shared" ca="1" si="539"/>
        <v>33002</v>
      </c>
      <c r="S1130" s="88">
        <f t="shared" si="548"/>
        <v>0</v>
      </c>
      <c r="T1130" s="19">
        <f t="shared" si="540"/>
        <v>0</v>
      </c>
      <c r="U1130" s="19">
        <f t="shared" si="541"/>
        <v>0</v>
      </c>
      <c r="V1130" s="19">
        <f t="shared" si="557"/>
        <v>0</v>
      </c>
      <c r="W1130" s="20">
        <f t="shared" ca="1" si="542"/>
        <v>0</v>
      </c>
      <c r="X1130" s="19">
        <f t="shared" ca="1" si="543"/>
        <v>0</v>
      </c>
      <c r="Y1130" s="19">
        <f t="shared" ca="1" si="544"/>
        <v>0</v>
      </c>
      <c r="Z1130" s="20">
        <f t="shared" ca="1" si="545"/>
        <v>0</v>
      </c>
      <c r="AA1130" s="1">
        <f t="shared" si="553"/>
        <v>5432.58</v>
      </c>
      <c r="AB1130" s="93"/>
      <c r="AC1130" s="94"/>
      <c r="AD1130" s="101">
        <f t="shared" si="554"/>
        <v>74124</v>
      </c>
      <c r="AE1130" s="103">
        <f t="shared" si="555"/>
        <v>0</v>
      </c>
      <c r="AG1130" s="1">
        <f t="shared" si="546"/>
        <v>0</v>
      </c>
      <c r="AH1130" s="1">
        <f t="shared" si="547"/>
        <v>0</v>
      </c>
      <c r="AI1130" s="1">
        <f t="shared" si="556"/>
        <v>5432.58</v>
      </c>
      <c r="AJ1130" s="20">
        <f t="shared" si="558"/>
        <v>0</v>
      </c>
      <c r="AK1130" s="100">
        <f t="shared" si="530"/>
        <v>0</v>
      </c>
      <c r="AL1130" s="100">
        <f t="shared" si="531"/>
        <v>0</v>
      </c>
      <c r="AN1130" s="100">
        <f t="shared" si="532"/>
        <v>3111.8683402712059</v>
      </c>
      <c r="AO1130" s="20">
        <f t="shared" si="533"/>
        <v>0</v>
      </c>
      <c r="AQ1130" s="109">
        <f t="shared" si="534"/>
        <v>0</v>
      </c>
      <c r="AU1130" s="109">
        <f t="shared" si="549"/>
        <v>24.568396418828684</v>
      </c>
      <c r="AV1130" s="101">
        <f t="shared" si="535"/>
        <v>74154</v>
      </c>
      <c r="AW1130" s="99">
        <f t="shared" si="536"/>
        <v>0</v>
      </c>
      <c r="AX1130" s="1">
        <f t="shared" si="537"/>
        <v>0</v>
      </c>
      <c r="AY1130" s="29">
        <f t="shared" si="538"/>
        <v>0</v>
      </c>
      <c r="AZ1130" s="1">
        <f t="shared" si="550"/>
        <v>0</v>
      </c>
      <c r="CB1130" s="20">
        <f t="shared" si="529"/>
        <v>0</v>
      </c>
      <c r="CC1130" s="173">
        <f t="shared" si="551"/>
        <v>0</v>
      </c>
    </row>
    <row r="1131" spans="10:81" x14ac:dyDescent="0.25">
      <c r="J1131" s="7"/>
      <c r="K1131" s="8"/>
      <c r="L1131" s="16"/>
      <c r="M1131" s="22"/>
      <c r="N1131" s="22"/>
      <c r="O1131" s="22"/>
      <c r="P1131" s="22"/>
      <c r="Q1131" s="1">
        <f t="shared" si="552"/>
        <v>0.60744618579017706</v>
      </c>
      <c r="R1131" s="12">
        <f t="shared" ca="1" si="539"/>
        <v>33032</v>
      </c>
      <c r="S1131" s="88">
        <f t="shared" si="548"/>
        <v>0</v>
      </c>
      <c r="T1131" s="19">
        <f t="shared" si="540"/>
        <v>0</v>
      </c>
      <c r="U1131" s="19">
        <f t="shared" si="541"/>
        <v>0</v>
      </c>
      <c r="V1131" s="19">
        <f t="shared" si="557"/>
        <v>0</v>
      </c>
      <c r="W1131" s="20">
        <f t="shared" ca="1" si="542"/>
        <v>0</v>
      </c>
      <c r="X1131" s="19">
        <f t="shared" ca="1" si="543"/>
        <v>0</v>
      </c>
      <c r="Y1131" s="19">
        <f t="shared" ca="1" si="544"/>
        <v>0</v>
      </c>
      <c r="Z1131" s="20">
        <f t="shared" ca="1" si="545"/>
        <v>0</v>
      </c>
      <c r="AA1131" s="1">
        <f t="shared" si="553"/>
        <v>5432.58</v>
      </c>
      <c r="AB1131" s="91"/>
      <c r="AC1131" s="92"/>
      <c r="AD1131" s="101">
        <f t="shared" si="554"/>
        <v>74154</v>
      </c>
      <c r="AE1131" s="103">
        <f t="shared" si="555"/>
        <v>0</v>
      </c>
      <c r="AG1131" s="1">
        <f t="shared" si="546"/>
        <v>0</v>
      </c>
      <c r="AH1131" s="1">
        <f t="shared" si="547"/>
        <v>0</v>
      </c>
      <c r="AI1131" s="1">
        <f t="shared" si="556"/>
        <v>5432.58</v>
      </c>
      <c r="AJ1131" s="20">
        <f t="shared" si="558"/>
        <v>0</v>
      </c>
      <c r="AK1131" s="100">
        <f t="shared" si="530"/>
        <v>0</v>
      </c>
      <c r="AL1131" s="100">
        <f t="shared" si="531"/>
        <v>0</v>
      </c>
      <c r="AN1131" s="100">
        <f t="shared" si="532"/>
        <v>3110.2938934693102</v>
      </c>
      <c r="AO1131" s="20">
        <f t="shared" si="533"/>
        <v>0</v>
      </c>
      <c r="AQ1131" s="109">
        <f t="shared" si="534"/>
        <v>0</v>
      </c>
      <c r="AU1131" s="109">
        <f t="shared" si="549"/>
        <v>24.566240048868845</v>
      </c>
      <c r="AV1131" s="101">
        <f t="shared" si="535"/>
        <v>74184</v>
      </c>
      <c r="AW1131" s="99">
        <f t="shared" si="536"/>
        <v>0</v>
      </c>
      <c r="AX1131" s="1">
        <f t="shared" si="537"/>
        <v>0</v>
      </c>
      <c r="AY1131" s="29">
        <f t="shared" si="538"/>
        <v>0</v>
      </c>
      <c r="AZ1131" s="1">
        <f t="shared" si="550"/>
        <v>0</v>
      </c>
      <c r="CB1131" s="20">
        <f t="shared" si="529"/>
        <v>0</v>
      </c>
      <c r="CC1131" s="173">
        <f t="shared" si="551"/>
        <v>0</v>
      </c>
    </row>
    <row r="1132" spans="10:81" x14ac:dyDescent="0.25">
      <c r="J1132" s="9"/>
      <c r="K1132" s="10"/>
      <c r="L1132" s="17"/>
      <c r="M1132" s="23"/>
      <c r="N1132" s="23"/>
      <c r="O1132" s="23"/>
      <c r="P1132" s="23"/>
      <c r="Q1132" s="1">
        <f t="shared" si="552"/>
        <v>0.60744618579017706</v>
      </c>
      <c r="R1132" s="12">
        <f t="shared" ca="1" si="539"/>
        <v>33062</v>
      </c>
      <c r="S1132" s="88">
        <f t="shared" si="548"/>
        <v>0</v>
      </c>
      <c r="T1132" s="19">
        <f t="shared" si="540"/>
        <v>0</v>
      </c>
      <c r="U1132" s="19">
        <f t="shared" si="541"/>
        <v>0</v>
      </c>
      <c r="V1132" s="19">
        <f t="shared" si="557"/>
        <v>0</v>
      </c>
      <c r="W1132" s="20">
        <f t="shared" ca="1" si="542"/>
        <v>0</v>
      </c>
      <c r="X1132" s="19">
        <f t="shared" ca="1" si="543"/>
        <v>0</v>
      </c>
      <c r="Y1132" s="19">
        <f t="shared" ca="1" si="544"/>
        <v>0</v>
      </c>
      <c r="Z1132" s="20">
        <f t="shared" ca="1" si="545"/>
        <v>0</v>
      </c>
      <c r="AA1132" s="1">
        <f t="shared" si="553"/>
        <v>5432.58</v>
      </c>
      <c r="AB1132" s="93"/>
      <c r="AC1132" s="94"/>
      <c r="AD1132" s="101">
        <f t="shared" si="554"/>
        <v>74184</v>
      </c>
      <c r="AE1132" s="103">
        <f t="shared" si="555"/>
        <v>0</v>
      </c>
      <c r="AG1132" s="1">
        <f t="shared" si="546"/>
        <v>0</v>
      </c>
      <c r="AH1132" s="1">
        <f t="shared" si="547"/>
        <v>0</v>
      </c>
      <c r="AI1132" s="1">
        <f t="shared" si="556"/>
        <v>5432.58</v>
      </c>
      <c r="AJ1132" s="20">
        <f t="shared" si="558"/>
        <v>0</v>
      </c>
      <c r="AK1132" s="100">
        <f t="shared" si="530"/>
        <v>0</v>
      </c>
      <c r="AL1132" s="100">
        <f t="shared" si="531"/>
        <v>0</v>
      </c>
      <c r="AN1132" s="100">
        <f t="shared" si="532"/>
        <v>3108.7202432572635</v>
      </c>
      <c r="AO1132" s="20">
        <f t="shared" si="533"/>
        <v>0</v>
      </c>
      <c r="AQ1132" s="109">
        <f t="shared" si="534"/>
        <v>0</v>
      </c>
      <c r="AU1132" s="109">
        <f t="shared" si="549"/>
        <v>24.56408386817375</v>
      </c>
      <c r="AV1132" s="101">
        <f t="shared" si="535"/>
        <v>74214</v>
      </c>
      <c r="AW1132" s="99">
        <f t="shared" si="536"/>
        <v>0</v>
      </c>
      <c r="AX1132" s="1">
        <f t="shared" si="537"/>
        <v>0</v>
      </c>
      <c r="AY1132" s="29">
        <f t="shared" si="538"/>
        <v>0</v>
      </c>
      <c r="AZ1132" s="1">
        <f t="shared" si="550"/>
        <v>0</v>
      </c>
      <c r="CB1132" s="20">
        <f t="shared" si="529"/>
        <v>0</v>
      </c>
      <c r="CC1132" s="173">
        <f t="shared" si="551"/>
        <v>0</v>
      </c>
    </row>
    <row r="1133" spans="10:81" x14ac:dyDescent="0.25">
      <c r="J1133" s="7"/>
      <c r="K1133" s="8"/>
      <c r="L1133" s="16"/>
      <c r="M1133" s="22"/>
      <c r="N1133" s="22"/>
      <c r="O1133" s="22"/>
      <c r="P1133" s="22"/>
      <c r="Q1133" s="1">
        <f t="shared" si="552"/>
        <v>0.60744618579017706</v>
      </c>
      <c r="R1133" s="12">
        <f t="shared" ca="1" si="539"/>
        <v>33092</v>
      </c>
      <c r="S1133" s="88">
        <f t="shared" si="548"/>
        <v>0</v>
      </c>
      <c r="T1133" s="19">
        <f t="shared" si="540"/>
        <v>0</v>
      </c>
      <c r="U1133" s="19">
        <f t="shared" si="541"/>
        <v>0</v>
      </c>
      <c r="V1133" s="19">
        <f t="shared" si="557"/>
        <v>0</v>
      </c>
      <c r="W1133" s="20">
        <f t="shared" ca="1" si="542"/>
        <v>0</v>
      </c>
      <c r="X1133" s="19">
        <f t="shared" ca="1" si="543"/>
        <v>0</v>
      </c>
      <c r="Y1133" s="19">
        <f t="shared" ca="1" si="544"/>
        <v>0</v>
      </c>
      <c r="Z1133" s="20">
        <f t="shared" ca="1" si="545"/>
        <v>0</v>
      </c>
      <c r="AA1133" s="1">
        <f t="shared" si="553"/>
        <v>5432.58</v>
      </c>
      <c r="AB1133" s="91"/>
      <c r="AC1133" s="92"/>
      <c r="AD1133" s="101">
        <f t="shared" si="554"/>
        <v>74214</v>
      </c>
      <c r="AE1133" s="103">
        <f t="shared" si="555"/>
        <v>0</v>
      </c>
      <c r="AG1133" s="1">
        <f t="shared" si="546"/>
        <v>0</v>
      </c>
      <c r="AH1133" s="1">
        <f t="shared" si="547"/>
        <v>0</v>
      </c>
      <c r="AI1133" s="1">
        <f t="shared" si="556"/>
        <v>5432.58</v>
      </c>
      <c r="AJ1133" s="20">
        <f t="shared" si="558"/>
        <v>0</v>
      </c>
      <c r="AK1133" s="100">
        <f t="shared" si="530"/>
        <v>0</v>
      </c>
      <c r="AL1133" s="100">
        <f t="shared" si="531"/>
        <v>0</v>
      </c>
      <c r="AN1133" s="100">
        <f t="shared" si="532"/>
        <v>3107.1473892320328</v>
      </c>
      <c r="AO1133" s="20">
        <f t="shared" si="533"/>
        <v>0</v>
      </c>
      <c r="AQ1133" s="109">
        <f t="shared" si="534"/>
        <v>0</v>
      </c>
      <c r="AU1133" s="109">
        <f t="shared" si="549"/>
        <v>24.561927876726795</v>
      </c>
      <c r="AV1133" s="101">
        <f t="shared" si="535"/>
        <v>74244</v>
      </c>
      <c r="AW1133" s="99">
        <f t="shared" si="536"/>
        <v>0</v>
      </c>
      <c r="AX1133" s="1">
        <f t="shared" si="537"/>
        <v>0</v>
      </c>
      <c r="AY1133" s="29">
        <f t="shared" si="538"/>
        <v>0</v>
      </c>
      <c r="AZ1133" s="1">
        <f t="shared" si="550"/>
        <v>0</v>
      </c>
      <c r="CB1133" s="20">
        <f t="shared" si="529"/>
        <v>0</v>
      </c>
      <c r="CC1133" s="173">
        <f t="shared" si="551"/>
        <v>0</v>
      </c>
    </row>
    <row r="1134" spans="10:81" x14ac:dyDescent="0.25">
      <c r="J1134" s="9"/>
      <c r="K1134" s="10"/>
      <c r="L1134" s="17"/>
      <c r="M1134" s="23"/>
      <c r="N1134" s="23"/>
      <c r="O1134" s="23"/>
      <c r="P1134" s="23"/>
      <c r="Q1134" s="1">
        <f t="shared" si="552"/>
        <v>0.60744618579017706</v>
      </c>
      <c r="R1134" s="12">
        <f t="shared" ca="1" si="539"/>
        <v>33122</v>
      </c>
      <c r="S1134" s="88">
        <f t="shared" si="548"/>
        <v>0</v>
      </c>
      <c r="T1134" s="19">
        <f t="shared" si="540"/>
        <v>0</v>
      </c>
      <c r="U1134" s="19">
        <f t="shared" si="541"/>
        <v>0</v>
      </c>
      <c r="V1134" s="19">
        <f t="shared" si="557"/>
        <v>0</v>
      </c>
      <c r="W1134" s="20">
        <f t="shared" ca="1" si="542"/>
        <v>0</v>
      </c>
      <c r="X1134" s="19">
        <f t="shared" ca="1" si="543"/>
        <v>0</v>
      </c>
      <c r="Y1134" s="19">
        <f t="shared" ca="1" si="544"/>
        <v>0</v>
      </c>
      <c r="Z1134" s="20">
        <f t="shared" ca="1" si="545"/>
        <v>0</v>
      </c>
      <c r="AA1134" s="1">
        <f t="shared" si="553"/>
        <v>5432.58</v>
      </c>
      <c r="AB1134" s="93"/>
      <c r="AC1134" s="94"/>
      <c r="AD1134" s="101">
        <f t="shared" si="554"/>
        <v>74244</v>
      </c>
      <c r="AE1134" s="103">
        <f t="shared" si="555"/>
        <v>0</v>
      </c>
      <c r="AG1134" s="1">
        <f t="shared" si="546"/>
        <v>0</v>
      </c>
      <c r="AH1134" s="1">
        <f t="shared" si="547"/>
        <v>0</v>
      </c>
      <c r="AI1134" s="1">
        <f t="shared" si="556"/>
        <v>5432.58</v>
      </c>
      <c r="AJ1134" s="20">
        <f t="shared" si="558"/>
        <v>0</v>
      </c>
      <c r="AK1134" s="100">
        <f t="shared" si="530"/>
        <v>0</v>
      </c>
      <c r="AL1134" s="100">
        <f t="shared" si="531"/>
        <v>0</v>
      </c>
      <c r="AN1134" s="100">
        <f t="shared" si="532"/>
        <v>3105.5753309907873</v>
      </c>
      <c r="AO1134" s="20">
        <f t="shared" si="533"/>
        <v>0</v>
      </c>
      <c r="AQ1134" s="109">
        <f t="shared" si="534"/>
        <v>0</v>
      </c>
      <c r="AU1134" s="109">
        <f t="shared" si="549"/>
        <v>24.559772074511372</v>
      </c>
      <c r="AV1134" s="101">
        <f t="shared" si="535"/>
        <v>74274</v>
      </c>
      <c r="AW1134" s="99">
        <f t="shared" si="536"/>
        <v>0</v>
      </c>
      <c r="AX1134" s="1">
        <f t="shared" si="537"/>
        <v>0</v>
      </c>
      <c r="AY1134" s="29">
        <f t="shared" si="538"/>
        <v>0</v>
      </c>
      <c r="AZ1134" s="1">
        <f t="shared" si="550"/>
        <v>0</v>
      </c>
      <c r="CB1134" s="20">
        <f t="shared" ref="CB1134:CB1197" si="559">IF(O1134=0,IF(P1134&gt;0,V1133,IF(O1133=0,0,P1134)),IF(O1133=0,0,P1134))</f>
        <v>0</v>
      </c>
      <c r="CC1134" s="173">
        <f t="shared" si="551"/>
        <v>0</v>
      </c>
    </row>
    <row r="1135" spans="10:81" x14ac:dyDescent="0.25">
      <c r="J1135" s="7"/>
      <c r="K1135" s="8"/>
      <c r="L1135" s="16"/>
      <c r="M1135" s="22"/>
      <c r="N1135" s="22"/>
      <c r="O1135" s="22"/>
      <c r="P1135" s="22"/>
      <c r="Q1135" s="1">
        <f t="shared" si="552"/>
        <v>0.60744618579017706</v>
      </c>
      <c r="R1135" s="12">
        <f t="shared" ca="1" si="539"/>
        <v>33152</v>
      </c>
      <c r="S1135" s="88">
        <f t="shared" si="548"/>
        <v>0</v>
      </c>
      <c r="T1135" s="19">
        <f t="shared" si="540"/>
        <v>0</v>
      </c>
      <c r="U1135" s="19">
        <f t="shared" si="541"/>
        <v>0</v>
      </c>
      <c r="V1135" s="19">
        <f t="shared" si="557"/>
        <v>0</v>
      </c>
      <c r="W1135" s="20">
        <f t="shared" ca="1" si="542"/>
        <v>0</v>
      </c>
      <c r="X1135" s="19">
        <f t="shared" ca="1" si="543"/>
        <v>0</v>
      </c>
      <c r="Y1135" s="19">
        <f t="shared" ca="1" si="544"/>
        <v>0</v>
      </c>
      <c r="Z1135" s="20">
        <f t="shared" ca="1" si="545"/>
        <v>0</v>
      </c>
      <c r="AA1135" s="1">
        <f t="shared" si="553"/>
        <v>5432.58</v>
      </c>
      <c r="AB1135" s="91"/>
      <c r="AC1135" s="92"/>
      <c r="AD1135" s="101">
        <f t="shared" si="554"/>
        <v>74274</v>
      </c>
      <c r="AE1135" s="103">
        <f t="shared" si="555"/>
        <v>0</v>
      </c>
      <c r="AG1135" s="1">
        <f t="shared" si="546"/>
        <v>0</v>
      </c>
      <c r="AH1135" s="1">
        <f t="shared" si="547"/>
        <v>0</v>
      </c>
      <c r="AI1135" s="1">
        <f t="shared" si="556"/>
        <v>5432.58</v>
      </c>
      <c r="AJ1135" s="20">
        <f t="shared" si="558"/>
        <v>0</v>
      </c>
      <c r="AK1135" s="100">
        <f t="shared" si="530"/>
        <v>0</v>
      </c>
      <c r="AL1135" s="100">
        <f t="shared" si="531"/>
        <v>0</v>
      </c>
      <c r="AN1135" s="100">
        <f t="shared" si="532"/>
        <v>3104.0040681309015</v>
      </c>
      <c r="AO1135" s="20">
        <f t="shared" si="533"/>
        <v>0</v>
      </c>
      <c r="AQ1135" s="109">
        <f t="shared" si="534"/>
        <v>0</v>
      </c>
      <c r="AU1135" s="109">
        <f t="shared" si="549"/>
        <v>24.557616461510865</v>
      </c>
      <c r="AV1135" s="101">
        <f t="shared" si="535"/>
        <v>74304</v>
      </c>
      <c r="AW1135" s="99">
        <f t="shared" si="536"/>
        <v>0</v>
      </c>
      <c r="AX1135" s="1">
        <f t="shared" si="537"/>
        <v>0</v>
      </c>
      <c r="AY1135" s="29">
        <f t="shared" si="538"/>
        <v>0</v>
      </c>
      <c r="AZ1135" s="1">
        <f t="shared" si="550"/>
        <v>0</v>
      </c>
      <c r="CB1135" s="20">
        <f t="shared" si="559"/>
        <v>0</v>
      </c>
      <c r="CC1135" s="173">
        <f t="shared" si="551"/>
        <v>0</v>
      </c>
    </row>
    <row r="1136" spans="10:81" x14ac:dyDescent="0.25">
      <c r="J1136" s="9"/>
      <c r="K1136" s="10"/>
      <c r="L1136" s="17"/>
      <c r="M1136" s="23"/>
      <c r="N1136" s="23"/>
      <c r="O1136" s="23"/>
      <c r="P1136" s="23"/>
      <c r="Q1136" s="1">
        <f t="shared" si="552"/>
        <v>0.60744618579017706</v>
      </c>
      <c r="R1136" s="12">
        <f t="shared" ca="1" si="539"/>
        <v>33182</v>
      </c>
      <c r="S1136" s="88">
        <f t="shared" si="548"/>
        <v>0</v>
      </c>
      <c r="T1136" s="19">
        <f t="shared" si="540"/>
        <v>0</v>
      </c>
      <c r="U1136" s="19">
        <f t="shared" si="541"/>
        <v>0</v>
      </c>
      <c r="V1136" s="19">
        <f t="shared" si="557"/>
        <v>0</v>
      </c>
      <c r="W1136" s="20">
        <f t="shared" ca="1" si="542"/>
        <v>0</v>
      </c>
      <c r="X1136" s="19">
        <f t="shared" ca="1" si="543"/>
        <v>0</v>
      </c>
      <c r="Y1136" s="19">
        <f t="shared" ca="1" si="544"/>
        <v>0</v>
      </c>
      <c r="Z1136" s="20">
        <f t="shared" ca="1" si="545"/>
        <v>0</v>
      </c>
      <c r="AA1136" s="1">
        <f t="shared" si="553"/>
        <v>5432.58</v>
      </c>
      <c r="AB1136" s="93"/>
      <c r="AC1136" s="94"/>
      <c r="AD1136" s="101">
        <f t="shared" si="554"/>
        <v>74304</v>
      </c>
      <c r="AE1136" s="103">
        <f t="shared" si="555"/>
        <v>0</v>
      </c>
      <c r="AG1136" s="1">
        <f t="shared" si="546"/>
        <v>0</v>
      </c>
      <c r="AH1136" s="1">
        <f t="shared" si="547"/>
        <v>0</v>
      </c>
      <c r="AI1136" s="1">
        <f t="shared" si="556"/>
        <v>5432.58</v>
      </c>
      <c r="AJ1136" s="20">
        <f t="shared" si="558"/>
        <v>0</v>
      </c>
      <c r="AK1136" s="100">
        <f t="shared" si="530"/>
        <v>0</v>
      </c>
      <c r="AL1136" s="100">
        <f t="shared" si="531"/>
        <v>0</v>
      </c>
      <c r="AN1136" s="100">
        <f t="shared" si="532"/>
        <v>3102.4336002499517</v>
      </c>
      <c r="AO1136" s="20">
        <f t="shared" si="533"/>
        <v>0</v>
      </c>
      <c r="AQ1136" s="109">
        <f t="shared" si="534"/>
        <v>0</v>
      </c>
      <c r="AU1136" s="109">
        <f t="shared" si="549"/>
        <v>24.555461037708664</v>
      </c>
      <c r="AV1136" s="101">
        <f t="shared" si="535"/>
        <v>74334</v>
      </c>
      <c r="AW1136" s="99">
        <f t="shared" si="536"/>
        <v>0</v>
      </c>
      <c r="AX1136" s="1">
        <f t="shared" si="537"/>
        <v>0</v>
      </c>
      <c r="AY1136" s="29">
        <f t="shared" si="538"/>
        <v>0</v>
      </c>
      <c r="AZ1136" s="1">
        <f t="shared" si="550"/>
        <v>0</v>
      </c>
      <c r="CB1136" s="20">
        <f t="shared" si="559"/>
        <v>0</v>
      </c>
      <c r="CC1136" s="173">
        <f t="shared" si="551"/>
        <v>0</v>
      </c>
    </row>
    <row r="1137" spans="10:81" x14ac:dyDescent="0.25">
      <c r="J1137" s="7"/>
      <c r="K1137" s="8"/>
      <c r="L1137" s="16"/>
      <c r="M1137" s="22"/>
      <c r="N1137" s="22"/>
      <c r="O1137" s="22"/>
      <c r="P1137" s="22"/>
      <c r="Q1137" s="1">
        <f t="shared" si="552"/>
        <v>0.60744618579017706</v>
      </c>
      <c r="R1137" s="12">
        <f t="shared" ca="1" si="539"/>
        <v>33212</v>
      </c>
      <c r="S1137" s="88">
        <f t="shared" si="548"/>
        <v>0</v>
      </c>
      <c r="T1137" s="19">
        <f t="shared" si="540"/>
        <v>0</v>
      </c>
      <c r="U1137" s="19">
        <f t="shared" si="541"/>
        <v>0</v>
      </c>
      <c r="V1137" s="19">
        <f t="shared" si="557"/>
        <v>0</v>
      </c>
      <c r="W1137" s="20">
        <f t="shared" ca="1" si="542"/>
        <v>0</v>
      </c>
      <c r="X1137" s="19">
        <f t="shared" ca="1" si="543"/>
        <v>0</v>
      </c>
      <c r="Y1137" s="19">
        <f t="shared" ca="1" si="544"/>
        <v>0</v>
      </c>
      <c r="Z1137" s="20">
        <f t="shared" ca="1" si="545"/>
        <v>0</v>
      </c>
      <c r="AA1137" s="1">
        <f t="shared" si="553"/>
        <v>5432.58</v>
      </c>
      <c r="AB1137" s="91"/>
      <c r="AC1137" s="92"/>
      <c r="AD1137" s="101">
        <f t="shared" si="554"/>
        <v>74334</v>
      </c>
      <c r="AE1137" s="103">
        <f t="shared" si="555"/>
        <v>0</v>
      </c>
      <c r="AG1137" s="1">
        <f t="shared" si="546"/>
        <v>0</v>
      </c>
      <c r="AH1137" s="1">
        <f t="shared" si="547"/>
        <v>0</v>
      </c>
      <c r="AI1137" s="1">
        <f t="shared" si="556"/>
        <v>5432.58</v>
      </c>
      <c r="AJ1137" s="20">
        <f t="shared" si="558"/>
        <v>0</v>
      </c>
      <c r="AK1137" s="100">
        <f t="shared" si="530"/>
        <v>0</v>
      </c>
      <c r="AL1137" s="100">
        <f t="shared" si="531"/>
        <v>0</v>
      </c>
      <c r="AN1137" s="100">
        <f t="shared" si="532"/>
        <v>3100.8639269457194</v>
      </c>
      <c r="AO1137" s="20">
        <f t="shared" si="533"/>
        <v>0</v>
      </c>
      <c r="AQ1137" s="109">
        <f t="shared" si="534"/>
        <v>0</v>
      </c>
      <c r="AU1137" s="109">
        <f t="shared" si="549"/>
        <v>24.553305803088175</v>
      </c>
      <c r="AV1137" s="101">
        <f t="shared" si="535"/>
        <v>74364</v>
      </c>
      <c r="AW1137" s="99">
        <f t="shared" si="536"/>
        <v>0</v>
      </c>
      <c r="AX1137" s="1">
        <f t="shared" si="537"/>
        <v>0</v>
      </c>
      <c r="AY1137" s="29">
        <f t="shared" si="538"/>
        <v>0</v>
      </c>
      <c r="AZ1137" s="1">
        <f t="shared" si="550"/>
        <v>0</v>
      </c>
      <c r="CB1137" s="20">
        <f t="shared" si="559"/>
        <v>0</v>
      </c>
      <c r="CC1137" s="173">
        <f t="shared" si="551"/>
        <v>0</v>
      </c>
    </row>
    <row r="1138" spans="10:81" x14ac:dyDescent="0.25">
      <c r="J1138" s="9"/>
      <c r="K1138" s="10"/>
      <c r="L1138" s="17"/>
      <c r="M1138" s="23"/>
      <c r="N1138" s="23"/>
      <c r="O1138" s="23"/>
      <c r="P1138" s="23"/>
      <c r="Q1138" s="1">
        <f t="shared" si="552"/>
        <v>0.60744618579017706</v>
      </c>
      <c r="R1138" s="12">
        <f t="shared" ca="1" si="539"/>
        <v>33242</v>
      </c>
      <c r="S1138" s="88">
        <f t="shared" si="548"/>
        <v>0</v>
      </c>
      <c r="T1138" s="19">
        <f t="shared" si="540"/>
        <v>0</v>
      </c>
      <c r="U1138" s="19">
        <f t="shared" si="541"/>
        <v>0</v>
      </c>
      <c r="V1138" s="19">
        <f t="shared" si="557"/>
        <v>0</v>
      </c>
      <c r="W1138" s="20">
        <f t="shared" ca="1" si="542"/>
        <v>0</v>
      </c>
      <c r="X1138" s="19">
        <f t="shared" ca="1" si="543"/>
        <v>0</v>
      </c>
      <c r="Y1138" s="19">
        <f t="shared" ca="1" si="544"/>
        <v>0</v>
      </c>
      <c r="Z1138" s="20">
        <f t="shared" ca="1" si="545"/>
        <v>0</v>
      </c>
      <c r="AA1138" s="1">
        <f t="shared" si="553"/>
        <v>5432.58</v>
      </c>
      <c r="AB1138" s="93"/>
      <c r="AC1138" s="94"/>
      <c r="AD1138" s="101">
        <f t="shared" si="554"/>
        <v>74364</v>
      </c>
      <c r="AE1138" s="103">
        <f t="shared" si="555"/>
        <v>0</v>
      </c>
      <c r="AG1138" s="1">
        <f t="shared" si="546"/>
        <v>0</v>
      </c>
      <c r="AH1138" s="1">
        <f t="shared" si="547"/>
        <v>0</v>
      </c>
      <c r="AI1138" s="1">
        <f t="shared" si="556"/>
        <v>5432.58</v>
      </c>
      <c r="AJ1138" s="20">
        <f t="shared" si="558"/>
        <v>0</v>
      </c>
      <c r="AK1138" s="100">
        <f t="shared" si="530"/>
        <v>0</v>
      </c>
      <c r="AL1138" s="100">
        <f t="shared" si="531"/>
        <v>0</v>
      </c>
      <c r="AN1138" s="100">
        <f t="shared" si="532"/>
        <v>3099.2950478161915</v>
      </c>
      <c r="AO1138" s="20">
        <f t="shared" si="533"/>
        <v>0</v>
      </c>
      <c r="AQ1138" s="109">
        <f t="shared" si="534"/>
        <v>0</v>
      </c>
      <c r="AU1138" s="109">
        <f t="shared" si="549"/>
        <v>24.551150757632776</v>
      </c>
      <c r="AV1138" s="101">
        <f t="shared" si="535"/>
        <v>74394</v>
      </c>
      <c r="AW1138" s="99">
        <f t="shared" si="536"/>
        <v>0</v>
      </c>
      <c r="AX1138" s="1">
        <f t="shared" si="537"/>
        <v>0</v>
      </c>
      <c r="AY1138" s="29">
        <f t="shared" si="538"/>
        <v>0</v>
      </c>
      <c r="AZ1138" s="1">
        <f t="shared" si="550"/>
        <v>0</v>
      </c>
      <c r="CB1138" s="20">
        <f t="shared" si="559"/>
        <v>0</v>
      </c>
      <c r="CC1138" s="173">
        <f t="shared" si="551"/>
        <v>0</v>
      </c>
    </row>
    <row r="1139" spans="10:81" x14ac:dyDescent="0.25">
      <c r="J1139" s="7"/>
      <c r="K1139" s="8"/>
      <c r="L1139" s="16"/>
      <c r="M1139" s="22"/>
      <c r="N1139" s="22"/>
      <c r="O1139" s="22"/>
      <c r="P1139" s="22"/>
      <c r="Q1139" s="1">
        <f t="shared" si="552"/>
        <v>0.60744618579017706</v>
      </c>
      <c r="R1139" s="12">
        <f t="shared" ca="1" si="539"/>
        <v>33272</v>
      </c>
      <c r="S1139" s="88">
        <f t="shared" si="548"/>
        <v>0</v>
      </c>
      <c r="T1139" s="19">
        <f t="shared" si="540"/>
        <v>0</v>
      </c>
      <c r="U1139" s="19">
        <f t="shared" si="541"/>
        <v>0</v>
      </c>
      <c r="V1139" s="19">
        <f t="shared" si="557"/>
        <v>0</v>
      </c>
      <c r="W1139" s="20">
        <f t="shared" ca="1" si="542"/>
        <v>0</v>
      </c>
      <c r="X1139" s="19">
        <f t="shared" ca="1" si="543"/>
        <v>0</v>
      </c>
      <c r="Y1139" s="19">
        <f t="shared" ca="1" si="544"/>
        <v>0</v>
      </c>
      <c r="Z1139" s="20">
        <f t="shared" ca="1" si="545"/>
        <v>0</v>
      </c>
      <c r="AA1139" s="1">
        <f t="shared" si="553"/>
        <v>5432.58</v>
      </c>
      <c r="AB1139" s="91"/>
      <c r="AC1139" s="92"/>
      <c r="AD1139" s="101">
        <f t="shared" si="554"/>
        <v>74394</v>
      </c>
      <c r="AE1139" s="103">
        <f t="shared" si="555"/>
        <v>0</v>
      </c>
      <c r="AG1139" s="1">
        <f t="shared" si="546"/>
        <v>0</v>
      </c>
      <c r="AH1139" s="1">
        <f t="shared" si="547"/>
        <v>0</v>
      </c>
      <c r="AI1139" s="1">
        <f t="shared" si="556"/>
        <v>5432.58</v>
      </c>
      <c r="AJ1139" s="20">
        <f t="shared" si="558"/>
        <v>0</v>
      </c>
      <c r="AK1139" s="100">
        <f t="shared" si="530"/>
        <v>0</v>
      </c>
      <c r="AL1139" s="100">
        <f t="shared" si="531"/>
        <v>0</v>
      </c>
      <c r="AN1139" s="100">
        <f t="shared" si="532"/>
        <v>3097.7269624595524</v>
      </c>
      <c r="AO1139" s="20">
        <f t="shared" si="533"/>
        <v>0</v>
      </c>
      <c r="AQ1139" s="109">
        <f t="shared" si="534"/>
        <v>0</v>
      </c>
      <c r="AU1139" s="109">
        <f t="shared" si="549"/>
        <v>24.548995901325888</v>
      </c>
      <c r="AV1139" s="101">
        <f t="shared" si="535"/>
        <v>74424</v>
      </c>
      <c r="AW1139" s="99">
        <f t="shared" si="536"/>
        <v>0</v>
      </c>
      <c r="AX1139" s="1">
        <f t="shared" si="537"/>
        <v>0</v>
      </c>
      <c r="AY1139" s="29">
        <f t="shared" si="538"/>
        <v>0</v>
      </c>
      <c r="AZ1139" s="1">
        <f t="shared" si="550"/>
        <v>0</v>
      </c>
      <c r="CB1139" s="20">
        <f t="shared" si="559"/>
        <v>0</v>
      </c>
      <c r="CC1139" s="173">
        <f t="shared" si="551"/>
        <v>0</v>
      </c>
    </row>
    <row r="1140" spans="10:81" x14ac:dyDescent="0.25">
      <c r="J1140" s="9"/>
      <c r="K1140" s="10"/>
      <c r="L1140" s="17"/>
      <c r="M1140" s="23"/>
      <c r="N1140" s="23"/>
      <c r="O1140" s="23"/>
      <c r="P1140" s="23"/>
      <c r="Q1140" s="1">
        <f t="shared" si="552"/>
        <v>0.60744618579017706</v>
      </c>
      <c r="R1140" s="12">
        <f t="shared" ca="1" si="539"/>
        <v>33302</v>
      </c>
      <c r="S1140" s="88">
        <f t="shared" si="548"/>
        <v>0</v>
      </c>
      <c r="T1140" s="19">
        <f t="shared" si="540"/>
        <v>0</v>
      </c>
      <c r="U1140" s="19">
        <f t="shared" si="541"/>
        <v>0</v>
      </c>
      <c r="V1140" s="19">
        <f t="shared" si="557"/>
        <v>0</v>
      </c>
      <c r="W1140" s="20">
        <f t="shared" ca="1" si="542"/>
        <v>0</v>
      </c>
      <c r="X1140" s="19">
        <f t="shared" ca="1" si="543"/>
        <v>0</v>
      </c>
      <c r="Y1140" s="19">
        <f t="shared" ca="1" si="544"/>
        <v>0</v>
      </c>
      <c r="Z1140" s="20">
        <f t="shared" ca="1" si="545"/>
        <v>0</v>
      </c>
      <c r="AA1140" s="1">
        <f t="shared" si="553"/>
        <v>5432.58</v>
      </c>
      <c r="AB1140" s="93"/>
      <c r="AC1140" s="94"/>
      <c r="AD1140" s="101">
        <f t="shared" si="554"/>
        <v>74424</v>
      </c>
      <c r="AE1140" s="103">
        <f t="shared" si="555"/>
        <v>0</v>
      </c>
      <c r="AG1140" s="1">
        <f t="shared" si="546"/>
        <v>0</v>
      </c>
      <c r="AH1140" s="1">
        <f t="shared" si="547"/>
        <v>0</v>
      </c>
      <c r="AI1140" s="1">
        <f t="shared" si="556"/>
        <v>5432.58</v>
      </c>
      <c r="AJ1140" s="20">
        <f t="shared" si="558"/>
        <v>0</v>
      </c>
      <c r="AK1140" s="100">
        <f t="shared" si="530"/>
        <v>0</v>
      </c>
      <c r="AL1140" s="100">
        <f t="shared" si="531"/>
        <v>0</v>
      </c>
      <c r="AN1140" s="100">
        <f t="shared" si="532"/>
        <v>3096.1596704741964</v>
      </c>
      <c r="AO1140" s="20">
        <f t="shared" si="533"/>
        <v>0</v>
      </c>
      <c r="AQ1140" s="109">
        <f t="shared" si="534"/>
        <v>0</v>
      </c>
      <c r="AU1140" s="109">
        <f t="shared" si="549"/>
        <v>24.546841234150893</v>
      </c>
      <c r="AV1140" s="101">
        <f t="shared" si="535"/>
        <v>74454</v>
      </c>
      <c r="AW1140" s="99">
        <f t="shared" si="536"/>
        <v>0</v>
      </c>
      <c r="AX1140" s="1">
        <f t="shared" si="537"/>
        <v>0</v>
      </c>
      <c r="AY1140" s="29">
        <f t="shared" si="538"/>
        <v>0</v>
      </c>
      <c r="AZ1140" s="1">
        <f t="shared" si="550"/>
        <v>0</v>
      </c>
      <c r="CB1140" s="20">
        <f t="shared" si="559"/>
        <v>0</v>
      </c>
      <c r="CC1140" s="173">
        <f t="shared" si="551"/>
        <v>0</v>
      </c>
    </row>
    <row r="1141" spans="10:81" x14ac:dyDescent="0.25">
      <c r="J1141" s="7"/>
      <c r="K1141" s="8"/>
      <c r="L1141" s="16"/>
      <c r="M1141" s="22"/>
      <c r="N1141" s="22"/>
      <c r="O1141" s="22"/>
      <c r="P1141" s="22"/>
      <c r="Q1141" s="1">
        <f t="shared" si="552"/>
        <v>0.60744618579017706</v>
      </c>
      <c r="R1141" s="12">
        <f t="shared" ca="1" si="539"/>
        <v>33332</v>
      </c>
      <c r="S1141" s="88">
        <f t="shared" si="548"/>
        <v>0</v>
      </c>
      <c r="T1141" s="19">
        <f t="shared" si="540"/>
        <v>0</v>
      </c>
      <c r="U1141" s="19">
        <f t="shared" si="541"/>
        <v>0</v>
      </c>
      <c r="V1141" s="19">
        <f t="shared" si="557"/>
        <v>0</v>
      </c>
      <c r="W1141" s="20">
        <f t="shared" ca="1" si="542"/>
        <v>0</v>
      </c>
      <c r="X1141" s="19">
        <f t="shared" ca="1" si="543"/>
        <v>0</v>
      </c>
      <c r="Y1141" s="19">
        <f t="shared" ca="1" si="544"/>
        <v>0</v>
      </c>
      <c r="Z1141" s="20">
        <f t="shared" ca="1" si="545"/>
        <v>0</v>
      </c>
      <c r="AA1141" s="1">
        <f t="shared" si="553"/>
        <v>5432.58</v>
      </c>
      <c r="AB1141" s="91"/>
      <c r="AC1141" s="92"/>
      <c r="AD1141" s="101">
        <f t="shared" si="554"/>
        <v>74454</v>
      </c>
      <c r="AE1141" s="103">
        <f t="shared" si="555"/>
        <v>0</v>
      </c>
      <c r="AG1141" s="1">
        <f t="shared" si="546"/>
        <v>0</v>
      </c>
      <c r="AH1141" s="1">
        <f t="shared" si="547"/>
        <v>0</v>
      </c>
      <c r="AI1141" s="1">
        <f t="shared" si="556"/>
        <v>5432.58</v>
      </c>
      <c r="AJ1141" s="20">
        <f t="shared" si="558"/>
        <v>0</v>
      </c>
      <c r="AK1141" s="100">
        <f t="shared" si="530"/>
        <v>0</v>
      </c>
      <c r="AL1141" s="100">
        <f t="shared" si="531"/>
        <v>0</v>
      </c>
      <c r="AN1141" s="100">
        <f t="shared" si="532"/>
        <v>3094.5931714587177</v>
      </c>
      <c r="AO1141" s="20">
        <f t="shared" si="533"/>
        <v>0</v>
      </c>
      <c r="AQ1141" s="109">
        <f t="shared" si="534"/>
        <v>0</v>
      </c>
      <c r="AU1141" s="109">
        <f t="shared" si="549"/>
        <v>24.544686756091203</v>
      </c>
      <c r="AV1141" s="101">
        <f t="shared" si="535"/>
        <v>74484</v>
      </c>
      <c r="AW1141" s="99">
        <f t="shared" si="536"/>
        <v>0</v>
      </c>
      <c r="AX1141" s="1">
        <f t="shared" si="537"/>
        <v>0</v>
      </c>
      <c r="AY1141" s="29">
        <f t="shared" si="538"/>
        <v>0</v>
      </c>
      <c r="AZ1141" s="1">
        <f t="shared" si="550"/>
        <v>0</v>
      </c>
      <c r="CB1141" s="20">
        <f t="shared" si="559"/>
        <v>0</v>
      </c>
      <c r="CC1141" s="173">
        <f t="shared" si="551"/>
        <v>0</v>
      </c>
    </row>
    <row r="1142" spans="10:81" x14ac:dyDescent="0.25">
      <c r="J1142" s="9"/>
      <c r="K1142" s="10"/>
      <c r="L1142" s="17"/>
      <c r="M1142" s="23"/>
      <c r="N1142" s="23"/>
      <c r="O1142" s="23"/>
      <c r="P1142" s="23"/>
      <c r="Q1142" s="1">
        <f t="shared" si="552"/>
        <v>0.60744618579017706</v>
      </c>
      <c r="R1142" s="12">
        <f t="shared" ca="1" si="539"/>
        <v>33362</v>
      </c>
      <c r="S1142" s="88">
        <f t="shared" si="548"/>
        <v>0</v>
      </c>
      <c r="T1142" s="19">
        <f t="shared" si="540"/>
        <v>0</v>
      </c>
      <c r="U1142" s="19">
        <f t="shared" si="541"/>
        <v>0</v>
      </c>
      <c r="V1142" s="19">
        <f t="shared" si="557"/>
        <v>0</v>
      </c>
      <c r="W1142" s="20">
        <f t="shared" ca="1" si="542"/>
        <v>0</v>
      </c>
      <c r="X1142" s="19">
        <f t="shared" ca="1" si="543"/>
        <v>0</v>
      </c>
      <c r="Y1142" s="19">
        <f t="shared" ca="1" si="544"/>
        <v>0</v>
      </c>
      <c r="Z1142" s="20">
        <f t="shared" ca="1" si="545"/>
        <v>0</v>
      </c>
      <c r="AA1142" s="1">
        <f t="shared" si="553"/>
        <v>5432.58</v>
      </c>
      <c r="AB1142" s="93"/>
      <c r="AC1142" s="94"/>
      <c r="AD1142" s="101">
        <f t="shared" si="554"/>
        <v>74484</v>
      </c>
      <c r="AE1142" s="103">
        <f t="shared" si="555"/>
        <v>0</v>
      </c>
      <c r="AG1142" s="1">
        <f t="shared" si="546"/>
        <v>0</v>
      </c>
      <c r="AH1142" s="1">
        <f t="shared" si="547"/>
        <v>0</v>
      </c>
      <c r="AI1142" s="1">
        <f t="shared" si="556"/>
        <v>5432.58</v>
      </c>
      <c r="AJ1142" s="20">
        <f t="shared" si="558"/>
        <v>0</v>
      </c>
      <c r="AK1142" s="100">
        <f t="shared" ref="AK1142:AK1205" si="560">IF(ISERROR(AJ1142/(1+(Q1142)/1200)^(ROW()-29)),0,AJ1142/(1+(Q1142)/1200)^(ROW()-29))</f>
        <v>0</v>
      </c>
      <c r="AL1142" s="100">
        <f t="shared" ref="AL1142:AL1205" si="561">IF(ISERROR((Q1142/1200)*O1142),0,(Q1142/1200)*O1142)</f>
        <v>0</v>
      </c>
      <c r="AN1142" s="100">
        <f t="shared" ref="AN1142:AN1205" si="562">IF(ISERROR(AA1142/(1+(Q1142)/1200)^(ROW()-29)),0,AA1142/(1+(Q1142)/1200)^(ROW()-29))</f>
        <v>3093.0274650119118</v>
      </c>
      <c r="AO1142" s="20">
        <f t="shared" ref="AO1142:AO1205" si="563">IF(ISERROR(V1141+U1142+T1142+(V1141*Q1142/1200)-AA1142-P1142),0,IF(V1141+U1142+T1142+(V1141*Q1142/1200)-AA1142-P1142&lt;0,V1141,-(U1142+T1142-AA1142+P1142-AH1142)))</f>
        <v>0</v>
      </c>
      <c r="AQ1142" s="109">
        <f t="shared" ref="AQ1142:AQ1205" si="564">AO1142/(1+((1+$AM$27)^((ROW()-29)*30)-1))</f>
        <v>0</v>
      </c>
      <c r="AU1142" s="109">
        <f t="shared" si="549"/>
        <v>24.542532467130201</v>
      </c>
      <c r="AV1142" s="101">
        <f t="shared" ref="AV1142:AV1205" si="565">AD1143</f>
        <v>74514</v>
      </c>
      <c r="AW1142" s="99">
        <f t="shared" ref="AW1142:AW1205" si="566">IF(AJ1143&lt;0,0,AJ1143)</f>
        <v>0</v>
      </c>
      <c r="AX1142" s="1">
        <f t="shared" ref="AX1142:AX1205" si="567">IF(AG1142&gt;0,AA1142,0)</f>
        <v>0</v>
      </c>
      <c r="AY1142" s="29">
        <f t="shared" ref="AY1142:AY1205" si="568">AE1142</f>
        <v>0</v>
      </c>
      <c r="AZ1142" s="1">
        <f t="shared" si="550"/>
        <v>0</v>
      </c>
      <c r="CB1142" s="20">
        <f t="shared" si="559"/>
        <v>0</v>
      </c>
      <c r="CC1142" s="173">
        <f t="shared" si="551"/>
        <v>0</v>
      </c>
    </row>
    <row r="1143" spans="10:81" x14ac:dyDescent="0.25">
      <c r="J1143" s="7"/>
      <c r="K1143" s="8"/>
      <c r="L1143" s="16"/>
      <c r="M1143" s="22"/>
      <c r="N1143" s="22"/>
      <c r="O1143" s="22"/>
      <c r="P1143" s="22"/>
      <c r="Q1143" s="1">
        <f t="shared" si="552"/>
        <v>0.60744618579017706</v>
      </c>
      <c r="R1143" s="12">
        <f t="shared" ref="R1143:R1206" ca="1" si="569">IF(ROW()&gt;$T$20,R1142+30,DAYS360(K1142,K1143)+R1142)</f>
        <v>33392</v>
      </c>
      <c r="S1143" s="88">
        <f t="shared" si="548"/>
        <v>0</v>
      </c>
      <c r="T1143" s="19">
        <f t="shared" ref="T1143:T1206" si="570">IF(ISERROR((previousBalance*Q1143/1200)*(IF(ROW()-30&lt;$G$22,$G$21,0))),0,(previousBalance*Q1143/1200)*(IF(ROW()-30&lt;$G$22,$G$21,0)))</f>
        <v>0</v>
      </c>
      <c r="U1143" s="19">
        <f t="shared" ref="U1143:U1206" si="571">AA1143*(IF(ROW()-30&lt;$H$22,$H$21,0))</f>
        <v>0</v>
      </c>
      <c r="V1143" s="19">
        <f t="shared" si="557"/>
        <v>0</v>
      </c>
      <c r="W1143" s="20">
        <f t="shared" ref="W1143:W1206" ca="1" si="572">(T1143)/(1+((1+$T$12)^$R1143-1))</f>
        <v>0</v>
      </c>
      <c r="X1143" s="19">
        <f t="shared" ref="X1143:X1206" ca="1" si="573">(U1143)/(1+((1+$T$12)^$R1143-1))</f>
        <v>0</v>
      </c>
      <c r="Y1143" s="19">
        <f t="shared" ref="Y1143:Y1206" ca="1" si="574">P1143/(1+((1+$T$12)^$R1143-1))</f>
        <v>0</v>
      </c>
      <c r="Z1143" s="20">
        <f t="shared" ref="Z1143:Z1206" ca="1" si="575">W1143+X1143</f>
        <v>0</v>
      </c>
      <c r="AA1143" s="1">
        <f t="shared" si="553"/>
        <v>5432.58</v>
      </c>
      <c r="AB1143" s="91"/>
      <c r="AC1143" s="92"/>
      <c r="AD1143" s="101">
        <f t="shared" si="554"/>
        <v>74514</v>
      </c>
      <c r="AE1143" s="103">
        <f t="shared" si="555"/>
        <v>0</v>
      </c>
      <c r="AG1143" s="1">
        <f t="shared" ref="AG1143:AG1206" si="576">AE1143/360</f>
        <v>0</v>
      </c>
      <c r="AH1143" s="1">
        <f t="shared" ref="AH1143:AH1206" si="577">IF(ISERROR(IF(V1142+U1143+T1143+(V1142*Q1143/1200)-AA1143-P1143&lt;0,0,(V1142*Q1143/1200))),0,IF(V1142+U1143+T1143+(V1142*Q1143/1200)-AA1143-P1143&lt;0,0,(V1142*Q1143/1200)))</f>
        <v>0</v>
      </c>
      <c r="AI1143" s="1">
        <f t="shared" si="556"/>
        <v>5432.58</v>
      </c>
      <c r="AJ1143" s="20">
        <f t="shared" si="558"/>
        <v>0</v>
      </c>
      <c r="AK1143" s="100">
        <f t="shared" si="560"/>
        <v>0</v>
      </c>
      <c r="AL1143" s="100">
        <f t="shared" si="561"/>
        <v>0</v>
      </c>
      <c r="AN1143" s="100">
        <f t="shared" si="562"/>
        <v>3091.4625507327819</v>
      </c>
      <c r="AO1143" s="20">
        <f t="shared" si="563"/>
        <v>0</v>
      </c>
      <c r="AQ1143" s="109">
        <f t="shared" si="564"/>
        <v>0</v>
      </c>
      <c r="AU1143" s="109">
        <f t="shared" si="549"/>
        <v>24.5403783672513</v>
      </c>
      <c r="AV1143" s="101">
        <f t="shared" si="565"/>
        <v>74544</v>
      </c>
      <c r="AW1143" s="99">
        <f t="shared" si="566"/>
        <v>0</v>
      </c>
      <c r="AX1143" s="1">
        <f t="shared" si="567"/>
        <v>0</v>
      </c>
      <c r="AY1143" s="29">
        <f t="shared" si="568"/>
        <v>0</v>
      </c>
      <c r="AZ1143" s="1">
        <f t="shared" si="550"/>
        <v>0</v>
      </c>
      <c r="CB1143" s="20">
        <f t="shared" si="559"/>
        <v>0</v>
      </c>
      <c r="CC1143" s="173">
        <f t="shared" si="551"/>
        <v>0</v>
      </c>
    </row>
    <row r="1144" spans="10:81" x14ac:dyDescent="0.25">
      <c r="J1144" s="9"/>
      <c r="K1144" s="10"/>
      <c r="L1144" s="17"/>
      <c r="M1144" s="23"/>
      <c r="N1144" s="23"/>
      <c r="O1144" s="23"/>
      <c r="P1144" s="23"/>
      <c r="Q1144" s="1">
        <f t="shared" si="552"/>
        <v>0.60744618579017706</v>
      </c>
      <c r="R1144" s="12">
        <f t="shared" ca="1" si="569"/>
        <v>33422</v>
      </c>
      <c r="S1144" s="88">
        <f t="shared" si="548"/>
        <v>0</v>
      </c>
      <c r="T1144" s="19">
        <f t="shared" si="570"/>
        <v>0</v>
      </c>
      <c r="U1144" s="19">
        <f t="shared" si="571"/>
        <v>0</v>
      </c>
      <c r="V1144" s="19">
        <f t="shared" si="557"/>
        <v>0</v>
      </c>
      <c r="W1144" s="20">
        <f t="shared" ca="1" si="572"/>
        <v>0</v>
      </c>
      <c r="X1144" s="19">
        <f t="shared" ca="1" si="573"/>
        <v>0</v>
      </c>
      <c r="Y1144" s="19">
        <f t="shared" ca="1" si="574"/>
        <v>0</v>
      </c>
      <c r="Z1144" s="20">
        <f t="shared" ca="1" si="575"/>
        <v>0</v>
      </c>
      <c r="AA1144" s="1">
        <f t="shared" si="553"/>
        <v>5432.58</v>
      </c>
      <c r="AB1144" s="93"/>
      <c r="AC1144" s="94"/>
      <c r="AD1144" s="101">
        <f t="shared" si="554"/>
        <v>74544</v>
      </c>
      <c r="AE1144" s="103">
        <f t="shared" si="555"/>
        <v>0</v>
      </c>
      <c r="AG1144" s="1">
        <f t="shared" si="576"/>
        <v>0</v>
      </c>
      <c r="AH1144" s="1">
        <f t="shared" si="577"/>
        <v>0</v>
      </c>
      <c r="AI1144" s="1">
        <f t="shared" si="556"/>
        <v>5432.58</v>
      </c>
      <c r="AJ1144" s="20">
        <f t="shared" si="558"/>
        <v>0</v>
      </c>
      <c r="AK1144" s="100">
        <f t="shared" si="560"/>
        <v>0</v>
      </c>
      <c r="AL1144" s="100">
        <f t="shared" si="561"/>
        <v>0</v>
      </c>
      <c r="AN1144" s="100">
        <f t="shared" si="562"/>
        <v>3089.8984282205301</v>
      </c>
      <c r="AO1144" s="20">
        <f t="shared" si="563"/>
        <v>0</v>
      </c>
      <c r="AQ1144" s="109">
        <f t="shared" si="564"/>
        <v>0</v>
      </c>
      <c r="AU1144" s="109">
        <f t="shared" si="549"/>
        <v>24.538224456437902</v>
      </c>
      <c r="AV1144" s="101">
        <f t="shared" si="565"/>
        <v>74574</v>
      </c>
      <c r="AW1144" s="99">
        <f t="shared" si="566"/>
        <v>0</v>
      </c>
      <c r="AX1144" s="1">
        <f t="shared" si="567"/>
        <v>0</v>
      </c>
      <c r="AY1144" s="29">
        <f t="shared" si="568"/>
        <v>0</v>
      </c>
      <c r="AZ1144" s="1">
        <f t="shared" si="550"/>
        <v>0</v>
      </c>
      <c r="CB1144" s="20">
        <f t="shared" si="559"/>
        <v>0</v>
      </c>
      <c r="CC1144" s="173">
        <f t="shared" si="551"/>
        <v>0</v>
      </c>
    </row>
    <row r="1145" spans="10:81" x14ac:dyDescent="0.25">
      <c r="J1145" s="7"/>
      <c r="K1145" s="8"/>
      <c r="L1145" s="16"/>
      <c r="M1145" s="22"/>
      <c r="N1145" s="22"/>
      <c r="O1145" s="22"/>
      <c r="P1145" s="22"/>
      <c r="Q1145" s="1">
        <f t="shared" si="552"/>
        <v>0.60744618579017706</v>
      </c>
      <c r="R1145" s="12">
        <f t="shared" ca="1" si="569"/>
        <v>33452</v>
      </c>
      <c r="S1145" s="88">
        <f t="shared" si="548"/>
        <v>0</v>
      </c>
      <c r="T1145" s="19">
        <f t="shared" si="570"/>
        <v>0</v>
      </c>
      <c r="U1145" s="19">
        <f t="shared" si="571"/>
        <v>0</v>
      </c>
      <c r="V1145" s="19">
        <f t="shared" si="557"/>
        <v>0</v>
      </c>
      <c r="W1145" s="20">
        <f t="shared" ca="1" si="572"/>
        <v>0</v>
      </c>
      <c r="X1145" s="19">
        <f t="shared" ca="1" si="573"/>
        <v>0</v>
      </c>
      <c r="Y1145" s="19">
        <f t="shared" ca="1" si="574"/>
        <v>0</v>
      </c>
      <c r="Z1145" s="20">
        <f t="shared" ca="1" si="575"/>
        <v>0</v>
      </c>
      <c r="AA1145" s="1">
        <f t="shared" si="553"/>
        <v>5432.58</v>
      </c>
      <c r="AB1145" s="91"/>
      <c r="AC1145" s="92"/>
      <c r="AD1145" s="101">
        <f t="shared" si="554"/>
        <v>74574</v>
      </c>
      <c r="AE1145" s="103">
        <f t="shared" si="555"/>
        <v>0</v>
      </c>
      <c r="AG1145" s="1">
        <f t="shared" si="576"/>
        <v>0</v>
      </c>
      <c r="AH1145" s="1">
        <f t="shared" si="577"/>
        <v>0</v>
      </c>
      <c r="AI1145" s="1">
        <f t="shared" si="556"/>
        <v>5432.58</v>
      </c>
      <c r="AJ1145" s="20">
        <f t="shared" si="558"/>
        <v>0</v>
      </c>
      <c r="AK1145" s="100">
        <f t="shared" si="560"/>
        <v>0</v>
      </c>
      <c r="AL1145" s="100">
        <f t="shared" si="561"/>
        <v>0</v>
      </c>
      <c r="AN1145" s="100">
        <f t="shared" si="562"/>
        <v>3088.3350970745632</v>
      </c>
      <c r="AO1145" s="20">
        <f t="shared" si="563"/>
        <v>0</v>
      </c>
      <c r="AQ1145" s="109">
        <f t="shared" si="564"/>
        <v>0</v>
      </c>
      <c r="AU1145" s="109">
        <f t="shared" si="549"/>
        <v>24.536070734673423</v>
      </c>
      <c r="AV1145" s="101">
        <f t="shared" si="565"/>
        <v>74604</v>
      </c>
      <c r="AW1145" s="99">
        <f t="shared" si="566"/>
        <v>0</v>
      </c>
      <c r="AX1145" s="1">
        <f t="shared" si="567"/>
        <v>0</v>
      </c>
      <c r="AY1145" s="29">
        <f t="shared" si="568"/>
        <v>0</v>
      </c>
      <c r="AZ1145" s="1">
        <f t="shared" si="550"/>
        <v>0</v>
      </c>
      <c r="CB1145" s="20">
        <f t="shared" si="559"/>
        <v>0</v>
      </c>
      <c r="CC1145" s="173">
        <f t="shared" si="551"/>
        <v>0</v>
      </c>
    </row>
    <row r="1146" spans="10:81" x14ac:dyDescent="0.25">
      <c r="J1146" s="9"/>
      <c r="K1146" s="10"/>
      <c r="L1146" s="17"/>
      <c r="M1146" s="23"/>
      <c r="N1146" s="23"/>
      <c r="O1146" s="23"/>
      <c r="P1146" s="23"/>
      <c r="Q1146" s="1">
        <f t="shared" si="552"/>
        <v>0.60744618579017706</v>
      </c>
      <c r="R1146" s="12">
        <f t="shared" ca="1" si="569"/>
        <v>33482</v>
      </c>
      <c r="S1146" s="88">
        <f t="shared" si="548"/>
        <v>0</v>
      </c>
      <c r="T1146" s="19">
        <f t="shared" si="570"/>
        <v>0</v>
      </c>
      <c r="U1146" s="19">
        <f t="shared" si="571"/>
        <v>0</v>
      </c>
      <c r="V1146" s="19">
        <f t="shared" si="557"/>
        <v>0</v>
      </c>
      <c r="W1146" s="20">
        <f t="shared" ca="1" si="572"/>
        <v>0</v>
      </c>
      <c r="X1146" s="19">
        <f t="shared" ca="1" si="573"/>
        <v>0</v>
      </c>
      <c r="Y1146" s="19">
        <f t="shared" ca="1" si="574"/>
        <v>0</v>
      </c>
      <c r="Z1146" s="20">
        <f t="shared" ca="1" si="575"/>
        <v>0</v>
      </c>
      <c r="AA1146" s="1">
        <f t="shared" si="553"/>
        <v>5432.58</v>
      </c>
      <c r="AB1146" s="93"/>
      <c r="AC1146" s="94"/>
      <c r="AD1146" s="101">
        <f t="shared" si="554"/>
        <v>74604</v>
      </c>
      <c r="AE1146" s="103">
        <f t="shared" si="555"/>
        <v>0</v>
      </c>
      <c r="AG1146" s="1">
        <f t="shared" si="576"/>
        <v>0</v>
      </c>
      <c r="AH1146" s="1">
        <f t="shared" si="577"/>
        <v>0</v>
      </c>
      <c r="AI1146" s="1">
        <f t="shared" si="556"/>
        <v>5432.58</v>
      </c>
      <c r="AJ1146" s="20">
        <f t="shared" si="558"/>
        <v>0</v>
      </c>
      <c r="AK1146" s="100">
        <f t="shared" si="560"/>
        <v>0</v>
      </c>
      <c r="AL1146" s="100">
        <f t="shared" si="561"/>
        <v>0</v>
      </c>
      <c r="AN1146" s="100">
        <f t="shared" si="562"/>
        <v>3086.7725568944898</v>
      </c>
      <c r="AO1146" s="20">
        <f t="shared" si="563"/>
        <v>0</v>
      </c>
      <c r="AQ1146" s="109">
        <f t="shared" si="564"/>
        <v>0</v>
      </c>
      <c r="AU1146" s="109">
        <f t="shared" si="549"/>
        <v>24.533917201941254</v>
      </c>
      <c r="AV1146" s="101">
        <f t="shared" si="565"/>
        <v>74634</v>
      </c>
      <c r="AW1146" s="99">
        <f t="shared" si="566"/>
        <v>0</v>
      </c>
      <c r="AX1146" s="1">
        <f t="shared" si="567"/>
        <v>0</v>
      </c>
      <c r="AY1146" s="29">
        <f t="shared" si="568"/>
        <v>0</v>
      </c>
      <c r="AZ1146" s="1">
        <f t="shared" si="550"/>
        <v>0</v>
      </c>
      <c r="CB1146" s="20">
        <f t="shared" si="559"/>
        <v>0</v>
      </c>
      <c r="CC1146" s="173">
        <f t="shared" si="551"/>
        <v>0</v>
      </c>
    </row>
    <row r="1147" spans="10:81" x14ac:dyDescent="0.25">
      <c r="J1147" s="7"/>
      <c r="K1147" s="8"/>
      <c r="L1147" s="16"/>
      <c r="M1147" s="22"/>
      <c r="N1147" s="22"/>
      <c r="O1147" s="22"/>
      <c r="P1147" s="22"/>
      <c r="Q1147" s="1">
        <f t="shared" si="552"/>
        <v>0.60744618579017706</v>
      </c>
      <c r="R1147" s="12">
        <f t="shared" ca="1" si="569"/>
        <v>33512</v>
      </c>
      <c r="S1147" s="88">
        <f t="shared" si="548"/>
        <v>0</v>
      </c>
      <c r="T1147" s="19">
        <f t="shared" si="570"/>
        <v>0</v>
      </c>
      <c r="U1147" s="19">
        <f t="shared" si="571"/>
        <v>0</v>
      </c>
      <c r="V1147" s="19">
        <f t="shared" si="557"/>
        <v>0</v>
      </c>
      <c r="W1147" s="20">
        <f t="shared" ca="1" si="572"/>
        <v>0</v>
      </c>
      <c r="X1147" s="19">
        <f t="shared" ca="1" si="573"/>
        <v>0</v>
      </c>
      <c r="Y1147" s="19">
        <f t="shared" ca="1" si="574"/>
        <v>0</v>
      </c>
      <c r="Z1147" s="20">
        <f t="shared" ca="1" si="575"/>
        <v>0</v>
      </c>
      <c r="AA1147" s="1">
        <f t="shared" si="553"/>
        <v>5432.58</v>
      </c>
      <c r="AB1147" s="91"/>
      <c r="AC1147" s="92"/>
      <c r="AD1147" s="101">
        <f t="shared" si="554"/>
        <v>74634</v>
      </c>
      <c r="AE1147" s="103">
        <f t="shared" si="555"/>
        <v>0</v>
      </c>
      <c r="AG1147" s="1">
        <f t="shared" si="576"/>
        <v>0</v>
      </c>
      <c r="AH1147" s="1">
        <f t="shared" si="577"/>
        <v>0</v>
      </c>
      <c r="AI1147" s="1">
        <f t="shared" si="556"/>
        <v>5432.58</v>
      </c>
      <c r="AJ1147" s="20">
        <f t="shared" si="558"/>
        <v>0</v>
      </c>
      <c r="AK1147" s="100">
        <f t="shared" si="560"/>
        <v>0</v>
      </c>
      <c r="AL1147" s="100">
        <f t="shared" si="561"/>
        <v>0</v>
      </c>
      <c r="AN1147" s="100">
        <f t="shared" si="562"/>
        <v>3085.2108072801216</v>
      </c>
      <c r="AO1147" s="20">
        <f t="shared" si="563"/>
        <v>0</v>
      </c>
      <c r="AQ1147" s="109">
        <f t="shared" si="564"/>
        <v>0</v>
      </c>
      <c r="AU1147" s="109">
        <f t="shared" si="549"/>
        <v>24.53176385822481</v>
      </c>
      <c r="AV1147" s="101">
        <f t="shared" si="565"/>
        <v>74664</v>
      </c>
      <c r="AW1147" s="99">
        <f t="shared" si="566"/>
        <v>0</v>
      </c>
      <c r="AX1147" s="1">
        <f t="shared" si="567"/>
        <v>0</v>
      </c>
      <c r="AY1147" s="29">
        <f t="shared" si="568"/>
        <v>0</v>
      </c>
      <c r="AZ1147" s="1">
        <f t="shared" si="550"/>
        <v>0</v>
      </c>
      <c r="CB1147" s="20">
        <f t="shared" si="559"/>
        <v>0</v>
      </c>
      <c r="CC1147" s="173">
        <f t="shared" si="551"/>
        <v>0</v>
      </c>
    </row>
    <row r="1148" spans="10:81" x14ac:dyDescent="0.25">
      <c r="J1148" s="9"/>
      <c r="K1148" s="10"/>
      <c r="L1148" s="17"/>
      <c r="M1148" s="23"/>
      <c r="N1148" s="23"/>
      <c r="O1148" s="23"/>
      <c r="P1148" s="23"/>
      <c r="Q1148" s="1">
        <f t="shared" si="552"/>
        <v>0.60744618579017706</v>
      </c>
      <c r="R1148" s="12">
        <f t="shared" ca="1" si="569"/>
        <v>33542</v>
      </c>
      <c r="S1148" s="88">
        <f t="shared" si="548"/>
        <v>0</v>
      </c>
      <c r="T1148" s="19">
        <f t="shared" si="570"/>
        <v>0</v>
      </c>
      <c r="U1148" s="19">
        <f t="shared" si="571"/>
        <v>0</v>
      </c>
      <c r="V1148" s="19">
        <f t="shared" si="557"/>
        <v>0</v>
      </c>
      <c r="W1148" s="20">
        <f t="shared" ca="1" si="572"/>
        <v>0</v>
      </c>
      <c r="X1148" s="19">
        <f t="shared" ca="1" si="573"/>
        <v>0</v>
      </c>
      <c r="Y1148" s="19">
        <f t="shared" ca="1" si="574"/>
        <v>0</v>
      </c>
      <c r="Z1148" s="20">
        <f t="shared" ca="1" si="575"/>
        <v>0</v>
      </c>
      <c r="AA1148" s="1">
        <f t="shared" si="553"/>
        <v>5432.58</v>
      </c>
      <c r="AB1148" s="93"/>
      <c r="AC1148" s="94"/>
      <c r="AD1148" s="101">
        <f t="shared" si="554"/>
        <v>74664</v>
      </c>
      <c r="AE1148" s="103">
        <f t="shared" si="555"/>
        <v>0</v>
      </c>
      <c r="AG1148" s="1">
        <f t="shared" si="576"/>
        <v>0</v>
      </c>
      <c r="AH1148" s="1">
        <f t="shared" si="577"/>
        <v>0</v>
      </c>
      <c r="AI1148" s="1">
        <f t="shared" si="556"/>
        <v>5432.58</v>
      </c>
      <c r="AJ1148" s="20">
        <f t="shared" si="558"/>
        <v>0</v>
      </c>
      <c r="AK1148" s="100">
        <f t="shared" si="560"/>
        <v>0</v>
      </c>
      <c r="AL1148" s="100">
        <f t="shared" si="561"/>
        <v>0</v>
      </c>
      <c r="AN1148" s="100">
        <f t="shared" si="562"/>
        <v>3083.6498478314738</v>
      </c>
      <c r="AO1148" s="20">
        <f t="shared" si="563"/>
        <v>0</v>
      </c>
      <c r="AQ1148" s="109">
        <f t="shared" si="564"/>
        <v>0</v>
      </c>
      <c r="AU1148" s="109">
        <f t="shared" si="549"/>
        <v>24.529610703507512</v>
      </c>
      <c r="AV1148" s="101">
        <f t="shared" si="565"/>
        <v>74694</v>
      </c>
      <c r="AW1148" s="99">
        <f t="shared" si="566"/>
        <v>0</v>
      </c>
      <c r="AX1148" s="1">
        <f t="shared" si="567"/>
        <v>0</v>
      </c>
      <c r="AY1148" s="29">
        <f t="shared" si="568"/>
        <v>0</v>
      </c>
      <c r="AZ1148" s="1">
        <f t="shared" si="550"/>
        <v>0</v>
      </c>
      <c r="CB1148" s="20">
        <f t="shared" si="559"/>
        <v>0</v>
      </c>
      <c r="CC1148" s="173">
        <f t="shared" si="551"/>
        <v>0</v>
      </c>
    </row>
    <row r="1149" spans="10:81" x14ac:dyDescent="0.25">
      <c r="J1149" s="7"/>
      <c r="K1149" s="8"/>
      <c r="L1149" s="16"/>
      <c r="M1149" s="22"/>
      <c r="N1149" s="22"/>
      <c r="O1149" s="22"/>
      <c r="P1149" s="22"/>
      <c r="Q1149" s="1">
        <f t="shared" si="552"/>
        <v>0.60744618579017706</v>
      </c>
      <c r="R1149" s="12">
        <f t="shared" ca="1" si="569"/>
        <v>33572</v>
      </c>
      <c r="S1149" s="88">
        <f t="shared" si="548"/>
        <v>0</v>
      </c>
      <c r="T1149" s="19">
        <f t="shared" si="570"/>
        <v>0</v>
      </c>
      <c r="U1149" s="19">
        <f t="shared" si="571"/>
        <v>0</v>
      </c>
      <c r="V1149" s="19">
        <f t="shared" si="557"/>
        <v>0</v>
      </c>
      <c r="W1149" s="20">
        <f t="shared" ca="1" si="572"/>
        <v>0</v>
      </c>
      <c r="X1149" s="19">
        <f t="shared" ca="1" si="573"/>
        <v>0</v>
      </c>
      <c r="Y1149" s="19">
        <f t="shared" ca="1" si="574"/>
        <v>0</v>
      </c>
      <c r="Z1149" s="20">
        <f t="shared" ca="1" si="575"/>
        <v>0</v>
      </c>
      <c r="AA1149" s="1">
        <f t="shared" si="553"/>
        <v>5432.58</v>
      </c>
      <c r="AB1149" s="91"/>
      <c r="AC1149" s="92"/>
      <c r="AD1149" s="101">
        <f t="shared" si="554"/>
        <v>74694</v>
      </c>
      <c r="AE1149" s="103">
        <f t="shared" si="555"/>
        <v>0</v>
      </c>
      <c r="AG1149" s="1">
        <f t="shared" si="576"/>
        <v>0</v>
      </c>
      <c r="AH1149" s="1">
        <f t="shared" si="577"/>
        <v>0</v>
      </c>
      <c r="AI1149" s="1">
        <f t="shared" si="556"/>
        <v>5432.58</v>
      </c>
      <c r="AJ1149" s="20">
        <f t="shared" si="558"/>
        <v>0</v>
      </c>
      <c r="AK1149" s="100">
        <f t="shared" si="560"/>
        <v>0</v>
      </c>
      <c r="AL1149" s="100">
        <f t="shared" si="561"/>
        <v>0</v>
      </c>
      <c r="AN1149" s="100">
        <f t="shared" si="562"/>
        <v>3082.0896781487613</v>
      </c>
      <c r="AO1149" s="20">
        <f t="shared" si="563"/>
        <v>0</v>
      </c>
      <c r="AQ1149" s="109">
        <f t="shared" si="564"/>
        <v>0</v>
      </c>
      <c r="AU1149" s="109">
        <f t="shared" si="549"/>
        <v>24.527457737772753</v>
      </c>
      <c r="AV1149" s="101">
        <f t="shared" si="565"/>
        <v>74724</v>
      </c>
      <c r="AW1149" s="99">
        <f t="shared" si="566"/>
        <v>0</v>
      </c>
      <c r="AX1149" s="1">
        <f t="shared" si="567"/>
        <v>0</v>
      </c>
      <c r="AY1149" s="29">
        <f t="shared" si="568"/>
        <v>0</v>
      </c>
      <c r="AZ1149" s="1">
        <f t="shared" si="550"/>
        <v>0</v>
      </c>
      <c r="CB1149" s="20">
        <f t="shared" si="559"/>
        <v>0</v>
      </c>
      <c r="CC1149" s="173">
        <f t="shared" si="551"/>
        <v>0</v>
      </c>
    </row>
    <row r="1150" spans="10:81" x14ac:dyDescent="0.25">
      <c r="J1150" s="9"/>
      <c r="K1150" s="10"/>
      <c r="L1150" s="17"/>
      <c r="M1150" s="23"/>
      <c r="N1150" s="23"/>
      <c r="O1150" s="23"/>
      <c r="P1150" s="23"/>
      <c r="Q1150" s="1">
        <f t="shared" si="552"/>
        <v>0.60744618579017706</v>
      </c>
      <c r="R1150" s="12">
        <f t="shared" ca="1" si="569"/>
        <v>33602</v>
      </c>
      <c r="S1150" s="88">
        <f t="shared" si="548"/>
        <v>0</v>
      </c>
      <c r="T1150" s="19">
        <f t="shared" si="570"/>
        <v>0</v>
      </c>
      <c r="U1150" s="19">
        <f t="shared" si="571"/>
        <v>0</v>
      </c>
      <c r="V1150" s="19">
        <f t="shared" si="557"/>
        <v>0</v>
      </c>
      <c r="W1150" s="20">
        <f t="shared" ca="1" si="572"/>
        <v>0</v>
      </c>
      <c r="X1150" s="19">
        <f t="shared" ca="1" si="573"/>
        <v>0</v>
      </c>
      <c r="Y1150" s="19">
        <f t="shared" ca="1" si="574"/>
        <v>0</v>
      </c>
      <c r="Z1150" s="20">
        <f t="shared" ca="1" si="575"/>
        <v>0</v>
      </c>
      <c r="AA1150" s="1">
        <f t="shared" si="553"/>
        <v>5432.58</v>
      </c>
      <c r="AB1150" s="93"/>
      <c r="AC1150" s="94"/>
      <c r="AD1150" s="101">
        <f t="shared" si="554"/>
        <v>74724</v>
      </c>
      <c r="AE1150" s="103">
        <f t="shared" si="555"/>
        <v>0</v>
      </c>
      <c r="AG1150" s="1">
        <f t="shared" si="576"/>
        <v>0</v>
      </c>
      <c r="AH1150" s="1">
        <f t="shared" si="577"/>
        <v>0</v>
      </c>
      <c r="AI1150" s="1">
        <f t="shared" si="556"/>
        <v>5432.58</v>
      </c>
      <c r="AJ1150" s="20">
        <f t="shared" si="558"/>
        <v>0</v>
      </c>
      <c r="AK1150" s="100">
        <f t="shared" si="560"/>
        <v>0</v>
      </c>
      <c r="AL1150" s="100">
        <f t="shared" si="561"/>
        <v>0</v>
      </c>
      <c r="AN1150" s="100">
        <f t="shared" si="562"/>
        <v>3080.5302978324034</v>
      </c>
      <c r="AO1150" s="20">
        <f t="shared" si="563"/>
        <v>0</v>
      </c>
      <c r="AQ1150" s="109">
        <f t="shared" si="564"/>
        <v>0</v>
      </c>
      <c r="AU1150" s="109">
        <f t="shared" si="549"/>
        <v>24.525304961003954</v>
      </c>
      <c r="AV1150" s="101">
        <f t="shared" si="565"/>
        <v>74754</v>
      </c>
      <c r="AW1150" s="99">
        <f t="shared" si="566"/>
        <v>0</v>
      </c>
      <c r="AX1150" s="1">
        <f t="shared" si="567"/>
        <v>0</v>
      </c>
      <c r="AY1150" s="29">
        <f t="shared" si="568"/>
        <v>0</v>
      </c>
      <c r="AZ1150" s="1">
        <f t="shared" si="550"/>
        <v>0</v>
      </c>
      <c r="CB1150" s="20">
        <f t="shared" si="559"/>
        <v>0</v>
      </c>
      <c r="CC1150" s="173">
        <f t="shared" si="551"/>
        <v>0</v>
      </c>
    </row>
    <row r="1151" spans="10:81" x14ac:dyDescent="0.25">
      <c r="J1151" s="7"/>
      <c r="K1151" s="8"/>
      <c r="L1151" s="16"/>
      <c r="M1151" s="22"/>
      <c r="N1151" s="22"/>
      <c r="O1151" s="22"/>
      <c r="P1151" s="22"/>
      <c r="Q1151" s="1">
        <f t="shared" si="552"/>
        <v>0.60744618579017706</v>
      </c>
      <c r="R1151" s="12">
        <f t="shared" ca="1" si="569"/>
        <v>33632</v>
      </c>
      <c r="S1151" s="88">
        <f t="shared" si="548"/>
        <v>0</v>
      </c>
      <c r="T1151" s="19">
        <f t="shared" si="570"/>
        <v>0</v>
      </c>
      <c r="U1151" s="19">
        <f t="shared" si="571"/>
        <v>0</v>
      </c>
      <c r="V1151" s="19">
        <f t="shared" si="557"/>
        <v>0</v>
      </c>
      <c r="W1151" s="20">
        <f t="shared" ca="1" si="572"/>
        <v>0</v>
      </c>
      <c r="X1151" s="19">
        <f t="shared" ca="1" si="573"/>
        <v>0</v>
      </c>
      <c r="Y1151" s="19">
        <f t="shared" ca="1" si="574"/>
        <v>0</v>
      </c>
      <c r="Z1151" s="20">
        <f t="shared" ca="1" si="575"/>
        <v>0</v>
      </c>
      <c r="AA1151" s="1">
        <f t="shared" si="553"/>
        <v>5432.58</v>
      </c>
      <c r="AB1151" s="91"/>
      <c r="AC1151" s="92"/>
      <c r="AD1151" s="101">
        <f t="shared" si="554"/>
        <v>74754</v>
      </c>
      <c r="AE1151" s="103">
        <f t="shared" si="555"/>
        <v>0</v>
      </c>
      <c r="AG1151" s="1">
        <f t="shared" si="576"/>
        <v>0</v>
      </c>
      <c r="AH1151" s="1">
        <f t="shared" si="577"/>
        <v>0</v>
      </c>
      <c r="AI1151" s="1">
        <f t="shared" si="556"/>
        <v>5432.58</v>
      </c>
      <c r="AJ1151" s="20">
        <f t="shared" si="558"/>
        <v>0</v>
      </c>
      <c r="AK1151" s="100">
        <f t="shared" si="560"/>
        <v>0</v>
      </c>
      <c r="AL1151" s="100">
        <f t="shared" si="561"/>
        <v>0</v>
      </c>
      <c r="AN1151" s="100">
        <f t="shared" si="562"/>
        <v>3078.9717064830206</v>
      </c>
      <c r="AO1151" s="20">
        <f t="shared" si="563"/>
        <v>0</v>
      </c>
      <c r="AQ1151" s="109">
        <f t="shared" si="564"/>
        <v>0</v>
      </c>
      <c r="AU1151" s="109">
        <f t="shared" si="549"/>
        <v>24.523152373184534</v>
      </c>
      <c r="AV1151" s="101">
        <f t="shared" si="565"/>
        <v>74784</v>
      </c>
      <c r="AW1151" s="99">
        <f t="shared" si="566"/>
        <v>0</v>
      </c>
      <c r="AX1151" s="1">
        <f t="shared" si="567"/>
        <v>0</v>
      </c>
      <c r="AY1151" s="29">
        <f t="shared" si="568"/>
        <v>0</v>
      </c>
      <c r="AZ1151" s="1">
        <f t="shared" si="550"/>
        <v>0</v>
      </c>
      <c r="CB1151" s="20">
        <f t="shared" si="559"/>
        <v>0</v>
      </c>
      <c r="CC1151" s="173">
        <f t="shared" si="551"/>
        <v>0</v>
      </c>
    </row>
    <row r="1152" spans="10:81" x14ac:dyDescent="0.25">
      <c r="J1152" s="9"/>
      <c r="K1152" s="10"/>
      <c r="L1152" s="17"/>
      <c r="M1152" s="23"/>
      <c r="N1152" s="23"/>
      <c r="O1152" s="23"/>
      <c r="P1152" s="23"/>
      <c r="Q1152" s="1">
        <f t="shared" si="552"/>
        <v>0.60744618579017706</v>
      </c>
      <c r="R1152" s="12">
        <f t="shared" ca="1" si="569"/>
        <v>33662</v>
      </c>
      <c r="S1152" s="88">
        <f t="shared" si="548"/>
        <v>0</v>
      </c>
      <c r="T1152" s="19">
        <f t="shared" si="570"/>
        <v>0</v>
      </c>
      <c r="U1152" s="19">
        <f t="shared" si="571"/>
        <v>0</v>
      </c>
      <c r="V1152" s="19">
        <f t="shared" si="557"/>
        <v>0</v>
      </c>
      <c r="W1152" s="20">
        <f t="shared" ca="1" si="572"/>
        <v>0</v>
      </c>
      <c r="X1152" s="19">
        <f t="shared" ca="1" si="573"/>
        <v>0</v>
      </c>
      <c r="Y1152" s="19">
        <f t="shared" ca="1" si="574"/>
        <v>0</v>
      </c>
      <c r="Z1152" s="20">
        <f t="shared" ca="1" si="575"/>
        <v>0</v>
      </c>
      <c r="AA1152" s="1">
        <f t="shared" si="553"/>
        <v>5432.58</v>
      </c>
      <c r="AB1152" s="93"/>
      <c r="AC1152" s="94"/>
      <c r="AD1152" s="101">
        <f t="shared" si="554"/>
        <v>74784</v>
      </c>
      <c r="AE1152" s="103">
        <f t="shared" si="555"/>
        <v>0</v>
      </c>
      <c r="AG1152" s="1">
        <f t="shared" si="576"/>
        <v>0</v>
      </c>
      <c r="AH1152" s="1">
        <f t="shared" si="577"/>
        <v>0</v>
      </c>
      <c r="AI1152" s="1">
        <f t="shared" si="556"/>
        <v>5432.58</v>
      </c>
      <c r="AJ1152" s="20">
        <f t="shared" si="558"/>
        <v>0</v>
      </c>
      <c r="AK1152" s="100">
        <f t="shared" si="560"/>
        <v>0</v>
      </c>
      <c r="AL1152" s="100">
        <f t="shared" si="561"/>
        <v>0</v>
      </c>
      <c r="AN1152" s="100">
        <f t="shared" si="562"/>
        <v>3077.4139037014361</v>
      </c>
      <c r="AO1152" s="20">
        <f t="shared" si="563"/>
        <v>0</v>
      </c>
      <c r="AQ1152" s="109">
        <f t="shared" si="564"/>
        <v>0</v>
      </c>
      <c r="AU1152" s="109">
        <f t="shared" si="549"/>
        <v>24.520999974297908</v>
      </c>
      <c r="AV1152" s="101">
        <f t="shared" si="565"/>
        <v>74814</v>
      </c>
      <c r="AW1152" s="99">
        <f t="shared" si="566"/>
        <v>0</v>
      </c>
      <c r="AX1152" s="1">
        <f t="shared" si="567"/>
        <v>0</v>
      </c>
      <c r="AY1152" s="29">
        <f t="shared" si="568"/>
        <v>0</v>
      </c>
      <c r="AZ1152" s="1">
        <f t="shared" si="550"/>
        <v>0</v>
      </c>
      <c r="CB1152" s="20">
        <f t="shared" si="559"/>
        <v>0</v>
      </c>
      <c r="CC1152" s="173">
        <f t="shared" si="551"/>
        <v>0</v>
      </c>
    </row>
    <row r="1153" spans="10:81" x14ac:dyDescent="0.25">
      <c r="J1153" s="7"/>
      <c r="K1153" s="8"/>
      <c r="L1153" s="16"/>
      <c r="M1153" s="22"/>
      <c r="N1153" s="22"/>
      <c r="O1153" s="22"/>
      <c r="P1153" s="22"/>
      <c r="Q1153" s="1">
        <f t="shared" si="552"/>
        <v>0.60744618579017706</v>
      </c>
      <c r="R1153" s="12">
        <f t="shared" ca="1" si="569"/>
        <v>33692</v>
      </c>
      <c r="S1153" s="88">
        <f t="shared" si="548"/>
        <v>0</v>
      </c>
      <c r="T1153" s="19">
        <f t="shared" si="570"/>
        <v>0</v>
      </c>
      <c r="U1153" s="19">
        <f t="shared" si="571"/>
        <v>0</v>
      </c>
      <c r="V1153" s="19">
        <f t="shared" si="557"/>
        <v>0</v>
      </c>
      <c r="W1153" s="20">
        <f t="shared" ca="1" si="572"/>
        <v>0</v>
      </c>
      <c r="X1153" s="19">
        <f t="shared" ca="1" si="573"/>
        <v>0</v>
      </c>
      <c r="Y1153" s="19">
        <f t="shared" ca="1" si="574"/>
        <v>0</v>
      </c>
      <c r="Z1153" s="20">
        <f t="shared" ca="1" si="575"/>
        <v>0</v>
      </c>
      <c r="AA1153" s="1">
        <f t="shared" si="553"/>
        <v>5432.58</v>
      </c>
      <c r="AB1153" s="91"/>
      <c r="AC1153" s="92"/>
      <c r="AD1153" s="101">
        <f t="shared" si="554"/>
        <v>74814</v>
      </c>
      <c r="AE1153" s="103">
        <f t="shared" si="555"/>
        <v>0</v>
      </c>
      <c r="AG1153" s="1">
        <f t="shared" si="576"/>
        <v>0</v>
      </c>
      <c r="AH1153" s="1">
        <f t="shared" si="577"/>
        <v>0</v>
      </c>
      <c r="AI1153" s="1">
        <f t="shared" si="556"/>
        <v>5432.58</v>
      </c>
      <c r="AJ1153" s="20">
        <f t="shared" si="558"/>
        <v>0</v>
      </c>
      <c r="AK1153" s="100">
        <f t="shared" si="560"/>
        <v>0</v>
      </c>
      <c r="AL1153" s="100">
        <f t="shared" si="561"/>
        <v>0</v>
      </c>
      <c r="AN1153" s="100">
        <f t="shared" si="562"/>
        <v>3075.856889088675</v>
      </c>
      <c r="AO1153" s="20">
        <f t="shared" si="563"/>
        <v>0</v>
      </c>
      <c r="AQ1153" s="109">
        <f t="shared" si="564"/>
        <v>0</v>
      </c>
      <c r="AU1153" s="109">
        <f t="shared" si="549"/>
        <v>24.518847764327486</v>
      </c>
      <c r="AV1153" s="101">
        <f t="shared" si="565"/>
        <v>74844</v>
      </c>
      <c r="AW1153" s="99">
        <f t="shared" si="566"/>
        <v>0</v>
      </c>
      <c r="AX1153" s="1">
        <f t="shared" si="567"/>
        <v>0</v>
      </c>
      <c r="AY1153" s="29">
        <f t="shared" si="568"/>
        <v>0</v>
      </c>
      <c r="AZ1153" s="1">
        <f t="shared" si="550"/>
        <v>0</v>
      </c>
      <c r="CB1153" s="20">
        <f t="shared" si="559"/>
        <v>0</v>
      </c>
      <c r="CC1153" s="173">
        <f t="shared" si="551"/>
        <v>0</v>
      </c>
    </row>
    <row r="1154" spans="10:81" x14ac:dyDescent="0.25">
      <c r="J1154" s="9"/>
      <c r="K1154" s="10"/>
      <c r="L1154" s="17"/>
      <c r="M1154" s="23"/>
      <c r="N1154" s="23"/>
      <c r="O1154" s="23"/>
      <c r="P1154" s="23"/>
      <c r="Q1154" s="1">
        <f t="shared" si="552"/>
        <v>0.60744618579017706</v>
      </c>
      <c r="R1154" s="12">
        <f t="shared" ca="1" si="569"/>
        <v>33722</v>
      </c>
      <c r="S1154" s="88">
        <f t="shared" si="548"/>
        <v>0</v>
      </c>
      <c r="T1154" s="19">
        <f t="shared" si="570"/>
        <v>0</v>
      </c>
      <c r="U1154" s="19">
        <f t="shared" si="571"/>
        <v>0</v>
      </c>
      <c r="V1154" s="19">
        <f t="shared" si="557"/>
        <v>0</v>
      </c>
      <c r="W1154" s="20">
        <f t="shared" ca="1" si="572"/>
        <v>0</v>
      </c>
      <c r="X1154" s="19">
        <f t="shared" ca="1" si="573"/>
        <v>0</v>
      </c>
      <c r="Y1154" s="19">
        <f t="shared" ca="1" si="574"/>
        <v>0</v>
      </c>
      <c r="Z1154" s="20">
        <f t="shared" ca="1" si="575"/>
        <v>0</v>
      </c>
      <c r="AA1154" s="1">
        <f t="shared" si="553"/>
        <v>5432.58</v>
      </c>
      <c r="AB1154" s="93"/>
      <c r="AC1154" s="94"/>
      <c r="AD1154" s="101">
        <f t="shared" si="554"/>
        <v>74844</v>
      </c>
      <c r="AE1154" s="103">
        <f t="shared" si="555"/>
        <v>0</v>
      </c>
      <c r="AG1154" s="1">
        <f t="shared" si="576"/>
        <v>0</v>
      </c>
      <c r="AH1154" s="1">
        <f t="shared" si="577"/>
        <v>0</v>
      </c>
      <c r="AI1154" s="1">
        <f t="shared" si="556"/>
        <v>5432.58</v>
      </c>
      <c r="AJ1154" s="20">
        <f t="shared" si="558"/>
        <v>0</v>
      </c>
      <c r="AK1154" s="100">
        <f t="shared" si="560"/>
        <v>0</v>
      </c>
      <c r="AL1154" s="100">
        <f t="shared" si="561"/>
        <v>0</v>
      </c>
      <c r="AN1154" s="100">
        <f t="shared" si="562"/>
        <v>3074.3006622459629</v>
      </c>
      <c r="AO1154" s="20">
        <f t="shared" si="563"/>
        <v>0</v>
      </c>
      <c r="AQ1154" s="109">
        <f t="shared" si="564"/>
        <v>0</v>
      </c>
      <c r="AU1154" s="109">
        <f t="shared" si="549"/>
        <v>24.516695743256687</v>
      </c>
      <c r="AV1154" s="101">
        <f t="shared" si="565"/>
        <v>74874</v>
      </c>
      <c r="AW1154" s="99">
        <f t="shared" si="566"/>
        <v>0</v>
      </c>
      <c r="AX1154" s="1">
        <f t="shared" si="567"/>
        <v>0</v>
      </c>
      <c r="AY1154" s="29">
        <f t="shared" si="568"/>
        <v>0</v>
      </c>
      <c r="AZ1154" s="1">
        <f t="shared" si="550"/>
        <v>0</v>
      </c>
      <c r="CB1154" s="20">
        <f t="shared" si="559"/>
        <v>0</v>
      </c>
      <c r="CC1154" s="173">
        <f t="shared" si="551"/>
        <v>0</v>
      </c>
    </row>
    <row r="1155" spans="10:81" x14ac:dyDescent="0.25">
      <c r="J1155" s="7"/>
      <c r="K1155" s="8"/>
      <c r="L1155" s="16"/>
      <c r="M1155" s="22"/>
      <c r="N1155" s="22"/>
      <c r="O1155" s="22"/>
      <c r="P1155" s="22"/>
      <c r="Q1155" s="1">
        <f t="shared" si="552"/>
        <v>0.60744618579017706</v>
      </c>
      <c r="R1155" s="12">
        <f t="shared" ca="1" si="569"/>
        <v>33752</v>
      </c>
      <c r="S1155" s="88">
        <f t="shared" ref="S1155:S1218" si="578">N1155+M1155</f>
        <v>0</v>
      </c>
      <c r="T1155" s="19">
        <f t="shared" si="570"/>
        <v>0</v>
      </c>
      <c r="U1155" s="19">
        <f t="shared" si="571"/>
        <v>0</v>
      </c>
      <c r="V1155" s="19">
        <f t="shared" si="557"/>
        <v>0</v>
      </c>
      <c r="W1155" s="20">
        <f t="shared" ca="1" si="572"/>
        <v>0</v>
      </c>
      <c r="X1155" s="19">
        <f t="shared" ca="1" si="573"/>
        <v>0</v>
      </c>
      <c r="Y1155" s="19">
        <f t="shared" ca="1" si="574"/>
        <v>0</v>
      </c>
      <c r="Z1155" s="20">
        <f t="shared" ca="1" si="575"/>
        <v>0</v>
      </c>
      <c r="AA1155" s="1">
        <f t="shared" si="553"/>
        <v>5432.58</v>
      </c>
      <c r="AB1155" s="91"/>
      <c r="AC1155" s="92"/>
      <c r="AD1155" s="101">
        <f t="shared" si="554"/>
        <v>74874</v>
      </c>
      <c r="AE1155" s="103">
        <f t="shared" si="555"/>
        <v>0</v>
      </c>
      <c r="AG1155" s="1">
        <f t="shared" si="576"/>
        <v>0</v>
      </c>
      <c r="AH1155" s="1">
        <f t="shared" si="577"/>
        <v>0</v>
      </c>
      <c r="AI1155" s="1">
        <f t="shared" si="556"/>
        <v>5432.58</v>
      </c>
      <c r="AJ1155" s="20">
        <f t="shared" si="558"/>
        <v>0</v>
      </c>
      <c r="AK1155" s="100">
        <f t="shared" si="560"/>
        <v>0</v>
      </c>
      <c r="AL1155" s="100">
        <f t="shared" si="561"/>
        <v>0</v>
      </c>
      <c r="AN1155" s="100">
        <f t="shared" si="562"/>
        <v>3072.7452227747294</v>
      </c>
      <c r="AO1155" s="20">
        <f t="shared" si="563"/>
        <v>0</v>
      </c>
      <c r="AQ1155" s="109">
        <f t="shared" si="564"/>
        <v>0</v>
      </c>
      <c r="AU1155" s="109">
        <f t="shared" si="549"/>
        <v>24.514543911068937</v>
      </c>
      <c r="AV1155" s="101">
        <f t="shared" si="565"/>
        <v>74904</v>
      </c>
      <c r="AW1155" s="99">
        <f t="shared" si="566"/>
        <v>0</v>
      </c>
      <c r="AX1155" s="1">
        <f t="shared" si="567"/>
        <v>0</v>
      </c>
      <c r="AY1155" s="29">
        <f t="shared" si="568"/>
        <v>0</v>
      </c>
      <c r="AZ1155" s="1">
        <f t="shared" si="550"/>
        <v>0</v>
      </c>
      <c r="CB1155" s="20">
        <f t="shared" si="559"/>
        <v>0</v>
      </c>
      <c r="CC1155" s="173">
        <f t="shared" si="551"/>
        <v>0</v>
      </c>
    </row>
    <row r="1156" spans="10:81" x14ac:dyDescent="0.25">
      <c r="J1156" s="9"/>
      <c r="K1156" s="10"/>
      <c r="L1156" s="17"/>
      <c r="M1156" s="23"/>
      <c r="N1156" s="23"/>
      <c r="O1156" s="23"/>
      <c r="P1156" s="23"/>
      <c r="Q1156" s="1">
        <f t="shared" si="552"/>
        <v>0.60744618579017706</v>
      </c>
      <c r="R1156" s="12">
        <f t="shared" ca="1" si="569"/>
        <v>33782</v>
      </c>
      <c r="S1156" s="88">
        <f t="shared" si="578"/>
        <v>0</v>
      </c>
      <c r="T1156" s="19">
        <f t="shared" si="570"/>
        <v>0</v>
      </c>
      <c r="U1156" s="19">
        <f t="shared" si="571"/>
        <v>0</v>
      </c>
      <c r="V1156" s="19">
        <f t="shared" si="557"/>
        <v>0</v>
      </c>
      <c r="W1156" s="20">
        <f t="shared" ca="1" si="572"/>
        <v>0</v>
      </c>
      <c r="X1156" s="19">
        <f t="shared" ca="1" si="573"/>
        <v>0</v>
      </c>
      <c r="Y1156" s="19">
        <f t="shared" ca="1" si="574"/>
        <v>0</v>
      </c>
      <c r="Z1156" s="20">
        <f t="shared" ca="1" si="575"/>
        <v>0</v>
      </c>
      <c r="AA1156" s="1">
        <f t="shared" si="553"/>
        <v>5432.58</v>
      </c>
      <c r="AB1156" s="93"/>
      <c r="AC1156" s="94"/>
      <c r="AD1156" s="101">
        <f t="shared" si="554"/>
        <v>74904</v>
      </c>
      <c r="AE1156" s="103">
        <f t="shared" si="555"/>
        <v>0</v>
      </c>
      <c r="AG1156" s="1">
        <f t="shared" si="576"/>
        <v>0</v>
      </c>
      <c r="AH1156" s="1">
        <f t="shared" si="577"/>
        <v>0</v>
      </c>
      <c r="AI1156" s="1">
        <f t="shared" si="556"/>
        <v>5432.58</v>
      </c>
      <c r="AJ1156" s="20">
        <f t="shared" si="558"/>
        <v>0</v>
      </c>
      <c r="AK1156" s="100">
        <f t="shared" si="560"/>
        <v>0</v>
      </c>
      <c r="AL1156" s="100">
        <f t="shared" si="561"/>
        <v>0</v>
      </c>
      <c r="AN1156" s="100">
        <f t="shared" si="562"/>
        <v>3071.1905702766048</v>
      </c>
      <c r="AO1156" s="20">
        <f t="shared" si="563"/>
        <v>0</v>
      </c>
      <c r="AQ1156" s="109">
        <f t="shared" si="564"/>
        <v>0</v>
      </c>
      <c r="AU1156" s="109">
        <f t="shared" si="549"/>
        <v>24.512392267747664</v>
      </c>
      <c r="AV1156" s="101">
        <f t="shared" si="565"/>
        <v>74934</v>
      </c>
      <c r="AW1156" s="99">
        <f t="shared" si="566"/>
        <v>0</v>
      </c>
      <c r="AX1156" s="1">
        <f t="shared" si="567"/>
        <v>0</v>
      </c>
      <c r="AY1156" s="29">
        <f t="shared" si="568"/>
        <v>0</v>
      </c>
      <c r="AZ1156" s="1">
        <f t="shared" si="550"/>
        <v>0</v>
      </c>
      <c r="CB1156" s="20">
        <f t="shared" si="559"/>
        <v>0</v>
      </c>
      <c r="CC1156" s="173">
        <f t="shared" si="551"/>
        <v>0</v>
      </c>
    </row>
    <row r="1157" spans="10:81" x14ac:dyDescent="0.25">
      <c r="J1157" s="7"/>
      <c r="K1157" s="8"/>
      <c r="L1157" s="16"/>
      <c r="M1157" s="22"/>
      <c r="N1157" s="22"/>
      <c r="O1157" s="22"/>
      <c r="P1157" s="22"/>
      <c r="Q1157" s="1">
        <f t="shared" si="552"/>
        <v>0.60744618579017706</v>
      </c>
      <c r="R1157" s="12">
        <f t="shared" ca="1" si="569"/>
        <v>33812</v>
      </c>
      <c r="S1157" s="88">
        <f t="shared" si="578"/>
        <v>0</v>
      </c>
      <c r="T1157" s="19">
        <f t="shared" si="570"/>
        <v>0</v>
      </c>
      <c r="U1157" s="19">
        <f t="shared" si="571"/>
        <v>0</v>
      </c>
      <c r="V1157" s="19">
        <f t="shared" si="557"/>
        <v>0</v>
      </c>
      <c r="W1157" s="20">
        <f t="shared" ca="1" si="572"/>
        <v>0</v>
      </c>
      <c r="X1157" s="19">
        <f t="shared" ca="1" si="573"/>
        <v>0</v>
      </c>
      <c r="Y1157" s="19">
        <f t="shared" ca="1" si="574"/>
        <v>0</v>
      </c>
      <c r="Z1157" s="20">
        <f t="shared" ca="1" si="575"/>
        <v>0</v>
      </c>
      <c r="AA1157" s="1">
        <f t="shared" si="553"/>
        <v>5432.58</v>
      </c>
      <c r="AB1157" s="91"/>
      <c r="AC1157" s="92"/>
      <c r="AD1157" s="101">
        <f t="shared" si="554"/>
        <v>74934</v>
      </c>
      <c r="AE1157" s="103">
        <f t="shared" si="555"/>
        <v>0</v>
      </c>
      <c r="AG1157" s="1">
        <f t="shared" si="576"/>
        <v>0</v>
      </c>
      <c r="AH1157" s="1">
        <f t="shared" si="577"/>
        <v>0</v>
      </c>
      <c r="AI1157" s="1">
        <f t="shared" si="556"/>
        <v>5432.58</v>
      </c>
      <c r="AJ1157" s="20">
        <f t="shared" si="558"/>
        <v>0</v>
      </c>
      <c r="AK1157" s="100">
        <f t="shared" si="560"/>
        <v>0</v>
      </c>
      <c r="AL1157" s="100">
        <f t="shared" si="561"/>
        <v>0</v>
      </c>
      <c r="AN1157" s="100">
        <f t="shared" si="562"/>
        <v>3069.6367043534201</v>
      </c>
      <c r="AO1157" s="20">
        <f t="shared" si="563"/>
        <v>0</v>
      </c>
      <c r="AQ1157" s="109">
        <f t="shared" si="564"/>
        <v>0</v>
      </c>
      <c r="AU1157" s="109">
        <f t="shared" si="549"/>
        <v>24.51024081327628</v>
      </c>
      <c r="AV1157" s="101">
        <f t="shared" si="565"/>
        <v>74964</v>
      </c>
      <c r="AW1157" s="99">
        <f t="shared" si="566"/>
        <v>0</v>
      </c>
      <c r="AX1157" s="1">
        <f t="shared" si="567"/>
        <v>0</v>
      </c>
      <c r="AY1157" s="29">
        <f t="shared" si="568"/>
        <v>0</v>
      </c>
      <c r="AZ1157" s="1">
        <f t="shared" si="550"/>
        <v>0</v>
      </c>
      <c r="CB1157" s="20">
        <f t="shared" si="559"/>
        <v>0</v>
      </c>
      <c r="CC1157" s="173">
        <f t="shared" si="551"/>
        <v>0</v>
      </c>
    </row>
    <row r="1158" spans="10:81" x14ac:dyDescent="0.25">
      <c r="J1158" s="9"/>
      <c r="K1158" s="10"/>
      <c r="L1158" s="17"/>
      <c r="M1158" s="23"/>
      <c r="N1158" s="23"/>
      <c r="O1158" s="23"/>
      <c r="P1158" s="23"/>
      <c r="Q1158" s="1">
        <f t="shared" si="552"/>
        <v>0.60744618579017706</v>
      </c>
      <c r="R1158" s="12">
        <f t="shared" ca="1" si="569"/>
        <v>33842</v>
      </c>
      <c r="S1158" s="88">
        <f t="shared" si="578"/>
        <v>0</v>
      </c>
      <c r="T1158" s="19">
        <f t="shared" si="570"/>
        <v>0</v>
      </c>
      <c r="U1158" s="19">
        <f t="shared" si="571"/>
        <v>0</v>
      </c>
      <c r="V1158" s="19">
        <f t="shared" si="557"/>
        <v>0</v>
      </c>
      <c r="W1158" s="20">
        <f t="shared" ca="1" si="572"/>
        <v>0</v>
      </c>
      <c r="X1158" s="19">
        <f t="shared" ca="1" si="573"/>
        <v>0</v>
      </c>
      <c r="Y1158" s="19">
        <f t="shared" ca="1" si="574"/>
        <v>0</v>
      </c>
      <c r="Z1158" s="20">
        <f t="shared" ca="1" si="575"/>
        <v>0</v>
      </c>
      <c r="AA1158" s="1">
        <f t="shared" si="553"/>
        <v>5432.58</v>
      </c>
      <c r="AB1158" s="93"/>
      <c r="AC1158" s="94"/>
      <c r="AD1158" s="101">
        <f t="shared" si="554"/>
        <v>74964</v>
      </c>
      <c r="AE1158" s="103">
        <f t="shared" si="555"/>
        <v>0</v>
      </c>
      <c r="AG1158" s="1">
        <f t="shared" si="576"/>
        <v>0</v>
      </c>
      <c r="AH1158" s="1">
        <f t="shared" si="577"/>
        <v>0</v>
      </c>
      <c r="AI1158" s="1">
        <f t="shared" si="556"/>
        <v>5432.58</v>
      </c>
      <c r="AJ1158" s="20">
        <f t="shared" si="558"/>
        <v>0</v>
      </c>
      <c r="AK1158" s="100">
        <f t="shared" si="560"/>
        <v>0</v>
      </c>
      <c r="AL1158" s="100">
        <f t="shared" si="561"/>
        <v>0</v>
      </c>
      <c r="AN1158" s="100">
        <f t="shared" si="562"/>
        <v>3068.0836246072095</v>
      </c>
      <c r="AO1158" s="20">
        <f t="shared" si="563"/>
        <v>0</v>
      </c>
      <c r="AQ1158" s="109">
        <f t="shared" si="564"/>
        <v>0</v>
      </c>
      <c r="AU1158" s="109">
        <f t="shared" si="549"/>
        <v>24.508089547638214</v>
      </c>
      <c r="AV1158" s="101">
        <f t="shared" si="565"/>
        <v>74994</v>
      </c>
      <c r="AW1158" s="99">
        <f t="shared" si="566"/>
        <v>0</v>
      </c>
      <c r="AX1158" s="1">
        <f t="shared" si="567"/>
        <v>0</v>
      </c>
      <c r="AY1158" s="29">
        <f t="shared" si="568"/>
        <v>0</v>
      </c>
      <c r="AZ1158" s="1">
        <f t="shared" si="550"/>
        <v>0</v>
      </c>
      <c r="CB1158" s="20">
        <f t="shared" si="559"/>
        <v>0</v>
      </c>
      <c r="CC1158" s="173">
        <f t="shared" si="551"/>
        <v>0</v>
      </c>
    </row>
    <row r="1159" spans="10:81" x14ac:dyDescent="0.25">
      <c r="J1159" s="7"/>
      <c r="K1159" s="8"/>
      <c r="L1159" s="16"/>
      <c r="M1159" s="22"/>
      <c r="N1159" s="22"/>
      <c r="O1159" s="22"/>
      <c r="P1159" s="22"/>
      <c r="Q1159" s="1">
        <f t="shared" si="552"/>
        <v>0.60744618579017706</v>
      </c>
      <c r="R1159" s="12">
        <f t="shared" ca="1" si="569"/>
        <v>33872</v>
      </c>
      <c r="S1159" s="88">
        <f t="shared" si="578"/>
        <v>0</v>
      </c>
      <c r="T1159" s="19">
        <f t="shared" si="570"/>
        <v>0</v>
      </c>
      <c r="U1159" s="19">
        <f t="shared" si="571"/>
        <v>0</v>
      </c>
      <c r="V1159" s="19">
        <f t="shared" si="557"/>
        <v>0</v>
      </c>
      <c r="W1159" s="20">
        <f t="shared" ca="1" si="572"/>
        <v>0</v>
      </c>
      <c r="X1159" s="19">
        <f t="shared" ca="1" si="573"/>
        <v>0</v>
      </c>
      <c r="Y1159" s="19">
        <f t="shared" ca="1" si="574"/>
        <v>0</v>
      </c>
      <c r="Z1159" s="20">
        <f t="shared" ca="1" si="575"/>
        <v>0</v>
      </c>
      <c r="AA1159" s="1">
        <f t="shared" si="553"/>
        <v>5432.58</v>
      </c>
      <c r="AB1159" s="91"/>
      <c r="AC1159" s="92"/>
      <c r="AD1159" s="101">
        <f t="shared" si="554"/>
        <v>74994</v>
      </c>
      <c r="AE1159" s="103">
        <f t="shared" si="555"/>
        <v>0</v>
      </c>
      <c r="AG1159" s="1">
        <f t="shared" si="576"/>
        <v>0</v>
      </c>
      <c r="AH1159" s="1">
        <f t="shared" si="577"/>
        <v>0</v>
      </c>
      <c r="AI1159" s="1">
        <f t="shared" si="556"/>
        <v>5432.58</v>
      </c>
      <c r="AJ1159" s="20">
        <f t="shared" si="558"/>
        <v>0</v>
      </c>
      <c r="AK1159" s="100">
        <f t="shared" si="560"/>
        <v>0</v>
      </c>
      <c r="AL1159" s="100">
        <f t="shared" si="561"/>
        <v>0</v>
      </c>
      <c r="AN1159" s="100">
        <f t="shared" si="562"/>
        <v>3066.5313306402059</v>
      </c>
      <c r="AO1159" s="20">
        <f t="shared" si="563"/>
        <v>0</v>
      </c>
      <c r="AQ1159" s="109">
        <f t="shared" si="564"/>
        <v>0</v>
      </c>
      <c r="AU1159" s="109">
        <f t="shared" si="549"/>
        <v>24.505938470816883</v>
      </c>
      <c r="AV1159" s="101">
        <f t="shared" si="565"/>
        <v>75024</v>
      </c>
      <c r="AW1159" s="99">
        <f t="shared" si="566"/>
        <v>0</v>
      </c>
      <c r="AX1159" s="1">
        <f t="shared" si="567"/>
        <v>0</v>
      </c>
      <c r="AY1159" s="29">
        <f t="shared" si="568"/>
        <v>0</v>
      </c>
      <c r="AZ1159" s="1">
        <f t="shared" si="550"/>
        <v>0</v>
      </c>
      <c r="CB1159" s="20">
        <f t="shared" si="559"/>
        <v>0</v>
      </c>
      <c r="CC1159" s="173">
        <f t="shared" si="551"/>
        <v>0</v>
      </c>
    </row>
    <row r="1160" spans="10:81" x14ac:dyDescent="0.25">
      <c r="J1160" s="9"/>
      <c r="K1160" s="10"/>
      <c r="L1160" s="17"/>
      <c r="M1160" s="23"/>
      <c r="N1160" s="23"/>
      <c r="O1160" s="23"/>
      <c r="P1160" s="23"/>
      <c r="Q1160" s="1">
        <f t="shared" si="552"/>
        <v>0.60744618579017706</v>
      </c>
      <c r="R1160" s="12">
        <f t="shared" ca="1" si="569"/>
        <v>33902</v>
      </c>
      <c r="S1160" s="88">
        <f t="shared" si="578"/>
        <v>0</v>
      </c>
      <c r="T1160" s="19">
        <f t="shared" si="570"/>
        <v>0</v>
      </c>
      <c r="U1160" s="19">
        <f t="shared" si="571"/>
        <v>0</v>
      </c>
      <c r="V1160" s="19">
        <f t="shared" si="557"/>
        <v>0</v>
      </c>
      <c r="W1160" s="20">
        <f t="shared" ca="1" si="572"/>
        <v>0</v>
      </c>
      <c r="X1160" s="19">
        <f t="shared" ca="1" si="573"/>
        <v>0</v>
      </c>
      <c r="Y1160" s="19">
        <f t="shared" ca="1" si="574"/>
        <v>0</v>
      </c>
      <c r="Z1160" s="20">
        <f t="shared" ca="1" si="575"/>
        <v>0</v>
      </c>
      <c r="AA1160" s="1">
        <f t="shared" si="553"/>
        <v>5432.58</v>
      </c>
      <c r="AB1160" s="93"/>
      <c r="AC1160" s="94"/>
      <c r="AD1160" s="101">
        <f t="shared" si="554"/>
        <v>75024</v>
      </c>
      <c r="AE1160" s="103">
        <f t="shared" si="555"/>
        <v>0</v>
      </c>
      <c r="AG1160" s="1">
        <f t="shared" si="576"/>
        <v>0</v>
      </c>
      <c r="AH1160" s="1">
        <f t="shared" si="577"/>
        <v>0</v>
      </c>
      <c r="AI1160" s="1">
        <f t="shared" si="556"/>
        <v>5432.58</v>
      </c>
      <c r="AJ1160" s="20">
        <f t="shared" si="558"/>
        <v>0</v>
      </c>
      <c r="AK1160" s="100">
        <f t="shared" si="560"/>
        <v>0</v>
      </c>
      <c r="AL1160" s="100">
        <f t="shared" si="561"/>
        <v>0</v>
      </c>
      <c r="AN1160" s="100">
        <f t="shared" si="562"/>
        <v>3064.9798220548473</v>
      </c>
      <c r="AO1160" s="20">
        <f t="shared" si="563"/>
        <v>0</v>
      </c>
      <c r="AQ1160" s="109">
        <f t="shared" si="564"/>
        <v>0</v>
      </c>
      <c r="AU1160" s="109">
        <f t="shared" si="549"/>
        <v>24.503787582795727</v>
      </c>
      <c r="AV1160" s="101">
        <f t="shared" si="565"/>
        <v>75054</v>
      </c>
      <c r="AW1160" s="99">
        <f t="shared" si="566"/>
        <v>0</v>
      </c>
      <c r="AX1160" s="1">
        <f t="shared" si="567"/>
        <v>0</v>
      </c>
      <c r="AY1160" s="29">
        <f t="shared" si="568"/>
        <v>0</v>
      </c>
      <c r="AZ1160" s="1">
        <f t="shared" si="550"/>
        <v>0</v>
      </c>
      <c r="CB1160" s="20">
        <f t="shared" si="559"/>
        <v>0</v>
      </c>
      <c r="CC1160" s="173">
        <f t="shared" si="551"/>
        <v>0</v>
      </c>
    </row>
    <row r="1161" spans="10:81" x14ac:dyDescent="0.25">
      <c r="J1161" s="7"/>
      <c r="K1161" s="8"/>
      <c r="L1161" s="16"/>
      <c r="M1161" s="22"/>
      <c r="N1161" s="22"/>
      <c r="O1161" s="22"/>
      <c r="P1161" s="22"/>
      <c r="Q1161" s="1">
        <f t="shared" si="552"/>
        <v>0.60744618579017706</v>
      </c>
      <c r="R1161" s="12">
        <f t="shared" ca="1" si="569"/>
        <v>33932</v>
      </c>
      <c r="S1161" s="88">
        <f t="shared" si="578"/>
        <v>0</v>
      </c>
      <c r="T1161" s="19">
        <f t="shared" si="570"/>
        <v>0</v>
      </c>
      <c r="U1161" s="19">
        <f t="shared" si="571"/>
        <v>0</v>
      </c>
      <c r="V1161" s="19">
        <f t="shared" si="557"/>
        <v>0</v>
      </c>
      <c r="W1161" s="20">
        <f t="shared" ca="1" si="572"/>
        <v>0</v>
      </c>
      <c r="X1161" s="19">
        <f t="shared" ca="1" si="573"/>
        <v>0</v>
      </c>
      <c r="Y1161" s="19">
        <f t="shared" ca="1" si="574"/>
        <v>0</v>
      </c>
      <c r="Z1161" s="20">
        <f t="shared" ca="1" si="575"/>
        <v>0</v>
      </c>
      <c r="AA1161" s="1">
        <f t="shared" si="553"/>
        <v>5432.58</v>
      </c>
      <c r="AB1161" s="91"/>
      <c r="AC1161" s="92"/>
      <c r="AD1161" s="101">
        <f t="shared" si="554"/>
        <v>75054</v>
      </c>
      <c r="AE1161" s="103">
        <f t="shared" si="555"/>
        <v>0</v>
      </c>
      <c r="AG1161" s="1">
        <f t="shared" si="576"/>
        <v>0</v>
      </c>
      <c r="AH1161" s="1">
        <f t="shared" si="577"/>
        <v>0</v>
      </c>
      <c r="AI1161" s="1">
        <f t="shared" si="556"/>
        <v>5432.58</v>
      </c>
      <c r="AJ1161" s="20">
        <f t="shared" si="558"/>
        <v>0</v>
      </c>
      <c r="AK1161" s="100">
        <f t="shared" si="560"/>
        <v>0</v>
      </c>
      <c r="AL1161" s="100">
        <f t="shared" si="561"/>
        <v>0</v>
      </c>
      <c r="AN1161" s="100">
        <f t="shared" si="562"/>
        <v>3063.429098453767</v>
      </c>
      <c r="AO1161" s="20">
        <f t="shared" si="563"/>
        <v>0</v>
      </c>
      <c r="AQ1161" s="109">
        <f t="shared" si="564"/>
        <v>0</v>
      </c>
      <c r="AU1161" s="109">
        <f t="shared" si="549"/>
        <v>24.501636883558181</v>
      </c>
      <c r="AV1161" s="101">
        <f t="shared" si="565"/>
        <v>75084</v>
      </c>
      <c r="AW1161" s="99">
        <f t="shared" si="566"/>
        <v>0</v>
      </c>
      <c r="AX1161" s="1">
        <f t="shared" si="567"/>
        <v>0</v>
      </c>
      <c r="AY1161" s="29">
        <f t="shared" si="568"/>
        <v>0</v>
      </c>
      <c r="AZ1161" s="1">
        <f t="shared" si="550"/>
        <v>0</v>
      </c>
      <c r="CB1161" s="20">
        <f t="shared" si="559"/>
        <v>0</v>
      </c>
      <c r="CC1161" s="173">
        <f t="shared" si="551"/>
        <v>0</v>
      </c>
    </row>
    <row r="1162" spans="10:81" x14ac:dyDescent="0.25">
      <c r="J1162" s="9"/>
      <c r="K1162" s="10"/>
      <c r="L1162" s="17"/>
      <c r="M1162" s="23"/>
      <c r="N1162" s="23"/>
      <c r="O1162" s="23"/>
      <c r="P1162" s="23"/>
      <c r="Q1162" s="1">
        <f t="shared" si="552"/>
        <v>0.60744618579017706</v>
      </c>
      <c r="R1162" s="12">
        <f t="shared" ca="1" si="569"/>
        <v>33962</v>
      </c>
      <c r="S1162" s="88">
        <f t="shared" si="578"/>
        <v>0</v>
      </c>
      <c r="T1162" s="19">
        <f t="shared" si="570"/>
        <v>0</v>
      </c>
      <c r="U1162" s="19">
        <f t="shared" si="571"/>
        <v>0</v>
      </c>
      <c r="V1162" s="19">
        <f t="shared" si="557"/>
        <v>0</v>
      </c>
      <c r="W1162" s="20">
        <f t="shared" ca="1" si="572"/>
        <v>0</v>
      </c>
      <c r="X1162" s="19">
        <f t="shared" ca="1" si="573"/>
        <v>0</v>
      </c>
      <c r="Y1162" s="19">
        <f t="shared" ca="1" si="574"/>
        <v>0</v>
      </c>
      <c r="Z1162" s="20">
        <f t="shared" ca="1" si="575"/>
        <v>0</v>
      </c>
      <c r="AA1162" s="1">
        <f t="shared" si="553"/>
        <v>5432.58</v>
      </c>
      <c r="AB1162" s="93"/>
      <c r="AC1162" s="94"/>
      <c r="AD1162" s="101">
        <f t="shared" si="554"/>
        <v>75084</v>
      </c>
      <c r="AE1162" s="103">
        <f t="shared" si="555"/>
        <v>0</v>
      </c>
      <c r="AG1162" s="1">
        <f t="shared" si="576"/>
        <v>0</v>
      </c>
      <c r="AH1162" s="1">
        <f t="shared" si="577"/>
        <v>0</v>
      </c>
      <c r="AI1162" s="1">
        <f t="shared" si="556"/>
        <v>5432.58</v>
      </c>
      <c r="AJ1162" s="20">
        <f t="shared" si="558"/>
        <v>0</v>
      </c>
      <c r="AK1162" s="100">
        <f t="shared" si="560"/>
        <v>0</v>
      </c>
      <c r="AL1162" s="100">
        <f t="shared" si="561"/>
        <v>0</v>
      </c>
      <c r="AN1162" s="100">
        <f t="shared" si="562"/>
        <v>3061.8791594398062</v>
      </c>
      <c r="AO1162" s="20">
        <f t="shared" si="563"/>
        <v>0</v>
      </c>
      <c r="AQ1162" s="109">
        <f t="shared" si="564"/>
        <v>0</v>
      </c>
      <c r="AU1162" s="109">
        <f t="shared" si="549"/>
        <v>24.499486373087649</v>
      </c>
      <c r="AV1162" s="101">
        <f t="shared" si="565"/>
        <v>75114</v>
      </c>
      <c r="AW1162" s="99">
        <f t="shared" si="566"/>
        <v>0</v>
      </c>
      <c r="AX1162" s="1">
        <f t="shared" si="567"/>
        <v>0</v>
      </c>
      <c r="AY1162" s="29">
        <f t="shared" si="568"/>
        <v>0</v>
      </c>
      <c r="AZ1162" s="1">
        <f t="shared" si="550"/>
        <v>0</v>
      </c>
      <c r="CB1162" s="20">
        <f t="shared" si="559"/>
        <v>0</v>
      </c>
      <c r="CC1162" s="173">
        <f t="shared" si="551"/>
        <v>0</v>
      </c>
    </row>
    <row r="1163" spans="10:81" x14ac:dyDescent="0.25">
      <c r="J1163" s="7"/>
      <c r="K1163" s="8"/>
      <c r="L1163" s="16"/>
      <c r="M1163" s="22"/>
      <c r="N1163" s="22"/>
      <c r="O1163" s="22"/>
      <c r="P1163" s="22"/>
      <c r="Q1163" s="1">
        <f t="shared" si="552"/>
        <v>0.60744618579017706</v>
      </c>
      <c r="R1163" s="12">
        <f t="shared" ca="1" si="569"/>
        <v>33992</v>
      </c>
      <c r="S1163" s="88">
        <f t="shared" si="578"/>
        <v>0</v>
      </c>
      <c r="T1163" s="19">
        <f t="shared" si="570"/>
        <v>0</v>
      </c>
      <c r="U1163" s="19">
        <f t="shared" si="571"/>
        <v>0</v>
      </c>
      <c r="V1163" s="19">
        <f t="shared" si="557"/>
        <v>0</v>
      </c>
      <c r="W1163" s="20">
        <f t="shared" ca="1" si="572"/>
        <v>0</v>
      </c>
      <c r="X1163" s="19">
        <f t="shared" ca="1" si="573"/>
        <v>0</v>
      </c>
      <c r="Y1163" s="19">
        <f t="shared" ca="1" si="574"/>
        <v>0</v>
      </c>
      <c r="Z1163" s="20">
        <f t="shared" ca="1" si="575"/>
        <v>0</v>
      </c>
      <c r="AA1163" s="1">
        <f t="shared" si="553"/>
        <v>5432.58</v>
      </c>
      <c r="AB1163" s="91"/>
      <c r="AC1163" s="92"/>
      <c r="AD1163" s="101">
        <f t="shared" si="554"/>
        <v>75114</v>
      </c>
      <c r="AE1163" s="103">
        <f t="shared" si="555"/>
        <v>0</v>
      </c>
      <c r="AG1163" s="1">
        <f t="shared" si="576"/>
        <v>0</v>
      </c>
      <c r="AH1163" s="1">
        <f t="shared" si="577"/>
        <v>0</v>
      </c>
      <c r="AI1163" s="1">
        <f t="shared" si="556"/>
        <v>5432.58</v>
      </c>
      <c r="AJ1163" s="20">
        <f t="shared" si="558"/>
        <v>0</v>
      </c>
      <c r="AK1163" s="100">
        <f t="shared" si="560"/>
        <v>0</v>
      </c>
      <c r="AL1163" s="100">
        <f t="shared" si="561"/>
        <v>0</v>
      </c>
      <c r="AN1163" s="100">
        <f t="shared" si="562"/>
        <v>3060.3300046160039</v>
      </c>
      <c r="AO1163" s="20">
        <f t="shared" si="563"/>
        <v>0</v>
      </c>
      <c r="AQ1163" s="109">
        <f t="shared" si="564"/>
        <v>0</v>
      </c>
      <c r="AU1163" s="109">
        <f t="shared" si="549"/>
        <v>24.497336051367597</v>
      </c>
      <c r="AV1163" s="101">
        <f t="shared" si="565"/>
        <v>75144</v>
      </c>
      <c r="AW1163" s="99">
        <f t="shared" si="566"/>
        <v>0</v>
      </c>
      <c r="AX1163" s="1">
        <f t="shared" si="567"/>
        <v>0</v>
      </c>
      <c r="AY1163" s="29">
        <f t="shared" si="568"/>
        <v>0</v>
      </c>
      <c r="AZ1163" s="1">
        <f t="shared" si="550"/>
        <v>0</v>
      </c>
      <c r="CB1163" s="20">
        <f t="shared" si="559"/>
        <v>0</v>
      </c>
      <c r="CC1163" s="173">
        <f t="shared" si="551"/>
        <v>0</v>
      </c>
    </row>
    <row r="1164" spans="10:81" x14ac:dyDescent="0.25">
      <c r="J1164" s="9"/>
      <c r="K1164" s="10"/>
      <c r="L1164" s="17"/>
      <c r="M1164" s="23"/>
      <c r="N1164" s="23"/>
      <c r="O1164" s="23"/>
      <c r="P1164" s="23"/>
      <c r="Q1164" s="1">
        <f t="shared" si="552"/>
        <v>0.60744618579017706</v>
      </c>
      <c r="R1164" s="12">
        <f t="shared" ca="1" si="569"/>
        <v>34022</v>
      </c>
      <c r="S1164" s="88">
        <f t="shared" si="578"/>
        <v>0</v>
      </c>
      <c r="T1164" s="19">
        <f t="shared" si="570"/>
        <v>0</v>
      </c>
      <c r="U1164" s="19">
        <f t="shared" si="571"/>
        <v>0</v>
      </c>
      <c r="V1164" s="19">
        <f t="shared" si="557"/>
        <v>0</v>
      </c>
      <c r="W1164" s="20">
        <f t="shared" ca="1" si="572"/>
        <v>0</v>
      </c>
      <c r="X1164" s="19">
        <f t="shared" ca="1" si="573"/>
        <v>0</v>
      </c>
      <c r="Y1164" s="19">
        <f t="shared" ca="1" si="574"/>
        <v>0</v>
      </c>
      <c r="Z1164" s="20">
        <f t="shared" ca="1" si="575"/>
        <v>0</v>
      </c>
      <c r="AA1164" s="1">
        <f t="shared" si="553"/>
        <v>5432.58</v>
      </c>
      <c r="AB1164" s="93"/>
      <c r="AC1164" s="94"/>
      <c r="AD1164" s="101">
        <f t="shared" si="554"/>
        <v>75144</v>
      </c>
      <c r="AE1164" s="103">
        <f t="shared" si="555"/>
        <v>0</v>
      </c>
      <c r="AG1164" s="1">
        <f t="shared" si="576"/>
        <v>0</v>
      </c>
      <c r="AH1164" s="1">
        <f t="shared" si="577"/>
        <v>0</v>
      </c>
      <c r="AI1164" s="1">
        <f t="shared" si="556"/>
        <v>5432.58</v>
      </c>
      <c r="AJ1164" s="20">
        <f t="shared" si="558"/>
        <v>0</v>
      </c>
      <c r="AK1164" s="100">
        <f t="shared" si="560"/>
        <v>0</v>
      </c>
      <c r="AL1164" s="100">
        <f t="shared" si="561"/>
        <v>0</v>
      </c>
      <c r="AN1164" s="100">
        <f t="shared" si="562"/>
        <v>3058.7816335855982</v>
      </c>
      <c r="AO1164" s="20">
        <f t="shared" si="563"/>
        <v>0</v>
      </c>
      <c r="AQ1164" s="109">
        <f t="shared" si="564"/>
        <v>0</v>
      </c>
      <c r="AU1164" s="109">
        <f t="shared" si="549"/>
        <v>24.495185918381427</v>
      </c>
      <c r="AV1164" s="101">
        <f t="shared" si="565"/>
        <v>75174</v>
      </c>
      <c r="AW1164" s="99">
        <f t="shared" si="566"/>
        <v>0</v>
      </c>
      <c r="AX1164" s="1">
        <f t="shared" si="567"/>
        <v>0</v>
      </c>
      <c r="AY1164" s="29">
        <f t="shared" si="568"/>
        <v>0</v>
      </c>
      <c r="AZ1164" s="1">
        <f t="shared" si="550"/>
        <v>0</v>
      </c>
      <c r="CB1164" s="20">
        <f t="shared" si="559"/>
        <v>0</v>
      </c>
      <c r="CC1164" s="173">
        <f t="shared" si="551"/>
        <v>0</v>
      </c>
    </row>
    <row r="1165" spans="10:81" x14ac:dyDescent="0.25">
      <c r="J1165" s="7"/>
      <c r="K1165" s="8"/>
      <c r="L1165" s="16"/>
      <c r="M1165" s="22"/>
      <c r="N1165" s="22"/>
      <c r="O1165" s="22"/>
      <c r="P1165" s="22"/>
      <c r="Q1165" s="1">
        <f t="shared" si="552"/>
        <v>0.60744618579017706</v>
      </c>
      <c r="R1165" s="12">
        <f t="shared" ca="1" si="569"/>
        <v>34052</v>
      </c>
      <c r="S1165" s="88">
        <f t="shared" si="578"/>
        <v>0</v>
      </c>
      <c r="T1165" s="19">
        <f t="shared" si="570"/>
        <v>0</v>
      </c>
      <c r="U1165" s="19">
        <f t="shared" si="571"/>
        <v>0</v>
      </c>
      <c r="V1165" s="19">
        <f t="shared" si="557"/>
        <v>0</v>
      </c>
      <c r="W1165" s="20">
        <f t="shared" ca="1" si="572"/>
        <v>0</v>
      </c>
      <c r="X1165" s="19">
        <f t="shared" ca="1" si="573"/>
        <v>0</v>
      </c>
      <c r="Y1165" s="19">
        <f t="shared" ca="1" si="574"/>
        <v>0</v>
      </c>
      <c r="Z1165" s="20">
        <f t="shared" ca="1" si="575"/>
        <v>0</v>
      </c>
      <c r="AA1165" s="1">
        <f t="shared" si="553"/>
        <v>5432.58</v>
      </c>
      <c r="AB1165" s="91"/>
      <c r="AC1165" s="92"/>
      <c r="AD1165" s="101">
        <f t="shared" si="554"/>
        <v>75174</v>
      </c>
      <c r="AE1165" s="103">
        <f t="shared" si="555"/>
        <v>0</v>
      </c>
      <c r="AG1165" s="1">
        <f t="shared" si="576"/>
        <v>0</v>
      </c>
      <c r="AH1165" s="1">
        <f t="shared" si="577"/>
        <v>0</v>
      </c>
      <c r="AI1165" s="1">
        <f t="shared" si="556"/>
        <v>5432.58</v>
      </c>
      <c r="AJ1165" s="20">
        <f t="shared" si="558"/>
        <v>0</v>
      </c>
      <c r="AK1165" s="100">
        <f t="shared" si="560"/>
        <v>0</v>
      </c>
      <c r="AL1165" s="100">
        <f t="shared" si="561"/>
        <v>0</v>
      </c>
      <c r="AN1165" s="100">
        <f t="shared" si="562"/>
        <v>3057.2340459520296</v>
      </c>
      <c r="AO1165" s="20">
        <f t="shared" si="563"/>
        <v>0</v>
      </c>
      <c r="AQ1165" s="109">
        <f t="shared" si="564"/>
        <v>0</v>
      </c>
      <c r="AU1165" s="109">
        <f t="shared" si="549"/>
        <v>24.493035974112594</v>
      </c>
      <c r="AV1165" s="101">
        <f t="shared" si="565"/>
        <v>75204</v>
      </c>
      <c r="AW1165" s="99">
        <f t="shared" si="566"/>
        <v>0</v>
      </c>
      <c r="AX1165" s="1">
        <f t="shared" si="567"/>
        <v>0</v>
      </c>
      <c r="AY1165" s="29">
        <f t="shared" si="568"/>
        <v>0</v>
      </c>
      <c r="AZ1165" s="1">
        <f t="shared" si="550"/>
        <v>0</v>
      </c>
      <c r="CB1165" s="20">
        <f t="shared" si="559"/>
        <v>0</v>
      </c>
      <c r="CC1165" s="173">
        <f t="shared" si="551"/>
        <v>0</v>
      </c>
    </row>
    <row r="1166" spans="10:81" x14ac:dyDescent="0.25">
      <c r="J1166" s="9"/>
      <c r="K1166" s="10"/>
      <c r="L1166" s="17"/>
      <c r="M1166" s="23"/>
      <c r="N1166" s="23"/>
      <c r="O1166" s="23"/>
      <c r="P1166" s="23"/>
      <c r="Q1166" s="1">
        <f t="shared" si="552"/>
        <v>0.60744618579017706</v>
      </c>
      <c r="R1166" s="12">
        <f t="shared" ca="1" si="569"/>
        <v>34082</v>
      </c>
      <c r="S1166" s="88">
        <f t="shared" si="578"/>
        <v>0</v>
      </c>
      <c r="T1166" s="19">
        <f t="shared" si="570"/>
        <v>0</v>
      </c>
      <c r="U1166" s="19">
        <f t="shared" si="571"/>
        <v>0</v>
      </c>
      <c r="V1166" s="19">
        <f t="shared" si="557"/>
        <v>0</v>
      </c>
      <c r="W1166" s="20">
        <f t="shared" ca="1" si="572"/>
        <v>0</v>
      </c>
      <c r="X1166" s="19">
        <f t="shared" ca="1" si="573"/>
        <v>0</v>
      </c>
      <c r="Y1166" s="19">
        <f t="shared" ca="1" si="574"/>
        <v>0</v>
      </c>
      <c r="Z1166" s="20">
        <f t="shared" ca="1" si="575"/>
        <v>0</v>
      </c>
      <c r="AA1166" s="1">
        <f t="shared" si="553"/>
        <v>5432.58</v>
      </c>
      <c r="AB1166" s="93"/>
      <c r="AC1166" s="94"/>
      <c r="AD1166" s="101">
        <f t="shared" si="554"/>
        <v>75204</v>
      </c>
      <c r="AE1166" s="103">
        <f t="shared" si="555"/>
        <v>0</v>
      </c>
      <c r="AG1166" s="1">
        <f t="shared" si="576"/>
        <v>0</v>
      </c>
      <c r="AH1166" s="1">
        <f t="shared" si="577"/>
        <v>0</v>
      </c>
      <c r="AI1166" s="1">
        <f t="shared" si="556"/>
        <v>5432.58</v>
      </c>
      <c r="AJ1166" s="20">
        <f t="shared" si="558"/>
        <v>0</v>
      </c>
      <c r="AK1166" s="100">
        <f t="shared" si="560"/>
        <v>0</v>
      </c>
      <c r="AL1166" s="100">
        <f t="shared" si="561"/>
        <v>0</v>
      </c>
      <c r="AN1166" s="100">
        <f t="shared" si="562"/>
        <v>3055.6872413189399</v>
      </c>
      <c r="AO1166" s="20">
        <f t="shared" si="563"/>
        <v>0</v>
      </c>
      <c r="AQ1166" s="109">
        <f t="shared" si="564"/>
        <v>0</v>
      </c>
      <c r="AU1166" s="109">
        <f t="shared" si="549"/>
        <v>24.490886218544524</v>
      </c>
      <c r="AV1166" s="101">
        <f t="shared" si="565"/>
        <v>75234</v>
      </c>
      <c r="AW1166" s="99">
        <f t="shared" si="566"/>
        <v>0</v>
      </c>
      <c r="AX1166" s="1">
        <f t="shared" si="567"/>
        <v>0</v>
      </c>
      <c r="AY1166" s="29">
        <f t="shared" si="568"/>
        <v>0</v>
      </c>
      <c r="AZ1166" s="1">
        <f t="shared" si="550"/>
        <v>0</v>
      </c>
      <c r="CB1166" s="20">
        <f t="shared" si="559"/>
        <v>0</v>
      </c>
      <c r="CC1166" s="173">
        <f t="shared" si="551"/>
        <v>0</v>
      </c>
    </row>
    <row r="1167" spans="10:81" x14ac:dyDescent="0.25">
      <c r="J1167" s="7"/>
      <c r="K1167" s="8"/>
      <c r="L1167" s="16"/>
      <c r="M1167" s="22"/>
      <c r="N1167" s="22"/>
      <c r="O1167" s="22"/>
      <c r="P1167" s="22"/>
      <c r="Q1167" s="1">
        <f t="shared" si="552"/>
        <v>0.60744618579017706</v>
      </c>
      <c r="R1167" s="12">
        <f t="shared" ca="1" si="569"/>
        <v>34112</v>
      </c>
      <c r="S1167" s="88">
        <f t="shared" si="578"/>
        <v>0</v>
      </c>
      <c r="T1167" s="19">
        <f t="shared" si="570"/>
        <v>0</v>
      </c>
      <c r="U1167" s="19">
        <f t="shared" si="571"/>
        <v>0</v>
      </c>
      <c r="V1167" s="19">
        <f t="shared" si="557"/>
        <v>0</v>
      </c>
      <c r="W1167" s="20">
        <f t="shared" ca="1" si="572"/>
        <v>0</v>
      </c>
      <c r="X1167" s="19">
        <f t="shared" ca="1" si="573"/>
        <v>0</v>
      </c>
      <c r="Y1167" s="19">
        <f t="shared" ca="1" si="574"/>
        <v>0</v>
      </c>
      <c r="Z1167" s="20">
        <f t="shared" ca="1" si="575"/>
        <v>0</v>
      </c>
      <c r="AA1167" s="1">
        <f t="shared" si="553"/>
        <v>5432.58</v>
      </c>
      <c r="AB1167" s="91"/>
      <c r="AC1167" s="92"/>
      <c r="AD1167" s="101">
        <f t="shared" si="554"/>
        <v>75234</v>
      </c>
      <c r="AE1167" s="103">
        <f t="shared" si="555"/>
        <v>0</v>
      </c>
      <c r="AG1167" s="1">
        <f t="shared" si="576"/>
        <v>0</v>
      </c>
      <c r="AH1167" s="1">
        <f t="shared" si="577"/>
        <v>0</v>
      </c>
      <c r="AI1167" s="1">
        <f t="shared" si="556"/>
        <v>5432.58</v>
      </c>
      <c r="AJ1167" s="20">
        <f t="shared" si="558"/>
        <v>0</v>
      </c>
      <c r="AK1167" s="100">
        <f t="shared" si="560"/>
        <v>0</v>
      </c>
      <c r="AL1167" s="100">
        <f t="shared" si="561"/>
        <v>0</v>
      </c>
      <c r="AN1167" s="100">
        <f t="shared" si="562"/>
        <v>3054.1412192901716</v>
      </c>
      <c r="AO1167" s="20">
        <f t="shared" si="563"/>
        <v>0</v>
      </c>
      <c r="AQ1167" s="109">
        <f t="shared" si="564"/>
        <v>0</v>
      </c>
      <c r="AU1167" s="109">
        <f t="shared" si="549"/>
        <v>24.488736651660655</v>
      </c>
      <c r="AV1167" s="101">
        <f t="shared" si="565"/>
        <v>75264</v>
      </c>
      <c r="AW1167" s="99">
        <f t="shared" si="566"/>
        <v>0</v>
      </c>
      <c r="AX1167" s="1">
        <f t="shared" si="567"/>
        <v>0</v>
      </c>
      <c r="AY1167" s="29">
        <f t="shared" si="568"/>
        <v>0</v>
      </c>
      <c r="AZ1167" s="1">
        <f t="shared" si="550"/>
        <v>0</v>
      </c>
      <c r="CB1167" s="20">
        <f t="shared" si="559"/>
        <v>0</v>
      </c>
      <c r="CC1167" s="173">
        <f t="shared" si="551"/>
        <v>0</v>
      </c>
    </row>
    <row r="1168" spans="10:81" x14ac:dyDescent="0.25">
      <c r="J1168" s="9"/>
      <c r="K1168" s="10"/>
      <c r="L1168" s="17"/>
      <c r="M1168" s="23"/>
      <c r="N1168" s="23"/>
      <c r="O1168" s="23"/>
      <c r="P1168" s="23"/>
      <c r="Q1168" s="1">
        <f t="shared" si="552"/>
        <v>0.60744618579017706</v>
      </c>
      <c r="R1168" s="12">
        <f t="shared" ca="1" si="569"/>
        <v>34142</v>
      </c>
      <c r="S1168" s="88">
        <f t="shared" si="578"/>
        <v>0</v>
      </c>
      <c r="T1168" s="19">
        <f t="shared" si="570"/>
        <v>0</v>
      </c>
      <c r="U1168" s="19">
        <f t="shared" si="571"/>
        <v>0</v>
      </c>
      <c r="V1168" s="19">
        <f t="shared" si="557"/>
        <v>0</v>
      </c>
      <c r="W1168" s="20">
        <f t="shared" ca="1" si="572"/>
        <v>0</v>
      </c>
      <c r="X1168" s="19">
        <f t="shared" ca="1" si="573"/>
        <v>0</v>
      </c>
      <c r="Y1168" s="19">
        <f t="shared" ca="1" si="574"/>
        <v>0</v>
      </c>
      <c r="Z1168" s="20">
        <f t="shared" ca="1" si="575"/>
        <v>0</v>
      </c>
      <c r="AA1168" s="1">
        <f t="shared" si="553"/>
        <v>5432.58</v>
      </c>
      <c r="AB1168" s="93"/>
      <c r="AC1168" s="94"/>
      <c r="AD1168" s="101">
        <f t="shared" si="554"/>
        <v>75264</v>
      </c>
      <c r="AE1168" s="103">
        <f t="shared" si="555"/>
        <v>0</v>
      </c>
      <c r="AG1168" s="1">
        <f t="shared" si="576"/>
        <v>0</v>
      </c>
      <c r="AH1168" s="1">
        <f t="shared" si="577"/>
        <v>0</v>
      </c>
      <c r="AI1168" s="1">
        <f t="shared" si="556"/>
        <v>5432.58</v>
      </c>
      <c r="AJ1168" s="20">
        <f t="shared" si="558"/>
        <v>0</v>
      </c>
      <c r="AK1168" s="100">
        <f t="shared" si="560"/>
        <v>0</v>
      </c>
      <c r="AL1168" s="100">
        <f t="shared" si="561"/>
        <v>0</v>
      </c>
      <c r="AN1168" s="100">
        <f t="shared" si="562"/>
        <v>3052.5959794697656</v>
      </c>
      <c r="AO1168" s="20">
        <f t="shared" si="563"/>
        <v>0</v>
      </c>
      <c r="AQ1168" s="109">
        <f t="shared" si="564"/>
        <v>0</v>
      </c>
      <c r="AU1168" s="109">
        <f t="shared" si="549"/>
        <v>24.486587273444435</v>
      </c>
      <c r="AV1168" s="101">
        <f t="shared" si="565"/>
        <v>75294</v>
      </c>
      <c r="AW1168" s="99">
        <f t="shared" si="566"/>
        <v>0</v>
      </c>
      <c r="AX1168" s="1">
        <f t="shared" si="567"/>
        <v>0</v>
      </c>
      <c r="AY1168" s="29">
        <f t="shared" si="568"/>
        <v>0</v>
      </c>
      <c r="AZ1168" s="1">
        <f t="shared" si="550"/>
        <v>0</v>
      </c>
      <c r="CB1168" s="20">
        <f t="shared" si="559"/>
        <v>0</v>
      </c>
      <c r="CC1168" s="173">
        <f t="shared" si="551"/>
        <v>0</v>
      </c>
    </row>
    <row r="1169" spans="10:81" x14ac:dyDescent="0.25">
      <c r="J1169" s="7"/>
      <c r="K1169" s="8"/>
      <c r="L1169" s="16"/>
      <c r="M1169" s="22"/>
      <c r="N1169" s="22"/>
      <c r="O1169" s="22"/>
      <c r="P1169" s="22"/>
      <c r="Q1169" s="1">
        <f t="shared" si="552"/>
        <v>0.60744618579017706</v>
      </c>
      <c r="R1169" s="12">
        <f t="shared" ca="1" si="569"/>
        <v>34172</v>
      </c>
      <c r="S1169" s="88">
        <f t="shared" si="578"/>
        <v>0</v>
      </c>
      <c r="T1169" s="19">
        <f t="shared" si="570"/>
        <v>0</v>
      </c>
      <c r="U1169" s="19">
        <f t="shared" si="571"/>
        <v>0</v>
      </c>
      <c r="V1169" s="19">
        <f t="shared" si="557"/>
        <v>0</v>
      </c>
      <c r="W1169" s="20">
        <f t="shared" ca="1" si="572"/>
        <v>0</v>
      </c>
      <c r="X1169" s="19">
        <f t="shared" ca="1" si="573"/>
        <v>0</v>
      </c>
      <c r="Y1169" s="19">
        <f t="shared" ca="1" si="574"/>
        <v>0</v>
      </c>
      <c r="Z1169" s="20">
        <f t="shared" ca="1" si="575"/>
        <v>0</v>
      </c>
      <c r="AA1169" s="1">
        <f t="shared" si="553"/>
        <v>5432.58</v>
      </c>
      <c r="AB1169" s="91"/>
      <c r="AC1169" s="92"/>
      <c r="AD1169" s="101">
        <f t="shared" si="554"/>
        <v>75294</v>
      </c>
      <c r="AE1169" s="103">
        <f t="shared" si="555"/>
        <v>0</v>
      </c>
      <c r="AG1169" s="1">
        <f t="shared" si="576"/>
        <v>0</v>
      </c>
      <c r="AH1169" s="1">
        <f t="shared" si="577"/>
        <v>0</v>
      </c>
      <c r="AI1169" s="1">
        <f t="shared" si="556"/>
        <v>5432.58</v>
      </c>
      <c r="AJ1169" s="20">
        <f t="shared" si="558"/>
        <v>0</v>
      </c>
      <c r="AK1169" s="100">
        <f t="shared" si="560"/>
        <v>0</v>
      </c>
      <c r="AL1169" s="100">
        <f t="shared" si="561"/>
        <v>0</v>
      </c>
      <c r="AN1169" s="100">
        <f t="shared" si="562"/>
        <v>3051.0515214619631</v>
      </c>
      <c r="AO1169" s="20">
        <f t="shared" si="563"/>
        <v>0</v>
      </c>
      <c r="AQ1169" s="109">
        <f t="shared" si="564"/>
        <v>0</v>
      </c>
      <c r="AU1169" s="109">
        <f t="shared" si="549"/>
        <v>24.484438083879297</v>
      </c>
      <c r="AV1169" s="101">
        <f t="shared" si="565"/>
        <v>75324</v>
      </c>
      <c r="AW1169" s="99">
        <f t="shared" si="566"/>
        <v>0</v>
      </c>
      <c r="AX1169" s="1">
        <f t="shared" si="567"/>
        <v>0</v>
      </c>
      <c r="AY1169" s="29">
        <f t="shared" si="568"/>
        <v>0</v>
      </c>
      <c r="AZ1169" s="1">
        <f t="shared" si="550"/>
        <v>0</v>
      </c>
      <c r="CB1169" s="20">
        <f t="shared" si="559"/>
        <v>0</v>
      </c>
      <c r="CC1169" s="173">
        <f t="shared" si="551"/>
        <v>0</v>
      </c>
    </row>
    <row r="1170" spans="10:81" x14ac:dyDescent="0.25">
      <c r="J1170" s="9"/>
      <c r="K1170" s="10"/>
      <c r="L1170" s="17"/>
      <c r="M1170" s="23"/>
      <c r="N1170" s="23"/>
      <c r="O1170" s="23"/>
      <c r="P1170" s="23"/>
      <c r="Q1170" s="1">
        <f t="shared" si="552"/>
        <v>0.60744618579017706</v>
      </c>
      <c r="R1170" s="12">
        <f t="shared" ca="1" si="569"/>
        <v>34202</v>
      </c>
      <c r="S1170" s="88">
        <f t="shared" si="578"/>
        <v>0</v>
      </c>
      <c r="T1170" s="19">
        <f t="shared" si="570"/>
        <v>0</v>
      </c>
      <c r="U1170" s="19">
        <f t="shared" si="571"/>
        <v>0</v>
      </c>
      <c r="V1170" s="19">
        <f t="shared" si="557"/>
        <v>0</v>
      </c>
      <c r="W1170" s="20">
        <f t="shared" ca="1" si="572"/>
        <v>0</v>
      </c>
      <c r="X1170" s="19">
        <f t="shared" ca="1" si="573"/>
        <v>0</v>
      </c>
      <c r="Y1170" s="19">
        <f t="shared" ca="1" si="574"/>
        <v>0</v>
      </c>
      <c r="Z1170" s="20">
        <f t="shared" ca="1" si="575"/>
        <v>0</v>
      </c>
      <c r="AA1170" s="1">
        <f t="shared" si="553"/>
        <v>5432.58</v>
      </c>
      <c r="AB1170" s="93"/>
      <c r="AC1170" s="94"/>
      <c r="AD1170" s="101">
        <f t="shared" si="554"/>
        <v>75324</v>
      </c>
      <c r="AE1170" s="103">
        <f t="shared" si="555"/>
        <v>0</v>
      </c>
      <c r="AG1170" s="1">
        <f t="shared" si="576"/>
        <v>0</v>
      </c>
      <c r="AH1170" s="1">
        <f t="shared" si="577"/>
        <v>0</v>
      </c>
      <c r="AI1170" s="1">
        <f t="shared" si="556"/>
        <v>5432.58</v>
      </c>
      <c r="AJ1170" s="20">
        <f t="shared" si="558"/>
        <v>0</v>
      </c>
      <c r="AK1170" s="100">
        <f t="shared" si="560"/>
        <v>0</v>
      </c>
      <c r="AL1170" s="100">
        <f t="shared" si="561"/>
        <v>0</v>
      </c>
      <c r="AN1170" s="100">
        <f t="shared" si="562"/>
        <v>3049.5078448712102</v>
      </c>
      <c r="AO1170" s="20">
        <f t="shared" si="563"/>
        <v>0</v>
      </c>
      <c r="AQ1170" s="109">
        <f t="shared" si="564"/>
        <v>0</v>
      </c>
      <c r="AU1170" s="109">
        <f t="shared" si="549"/>
        <v>24.482289082948682</v>
      </c>
      <c r="AV1170" s="101">
        <f t="shared" si="565"/>
        <v>75354</v>
      </c>
      <c r="AW1170" s="99">
        <f t="shared" si="566"/>
        <v>0</v>
      </c>
      <c r="AX1170" s="1">
        <f t="shared" si="567"/>
        <v>0</v>
      </c>
      <c r="AY1170" s="29">
        <f t="shared" si="568"/>
        <v>0</v>
      </c>
      <c r="AZ1170" s="1">
        <f t="shared" si="550"/>
        <v>0</v>
      </c>
      <c r="CB1170" s="20">
        <f t="shared" si="559"/>
        <v>0</v>
      </c>
      <c r="CC1170" s="173">
        <f t="shared" si="551"/>
        <v>0</v>
      </c>
    </row>
    <row r="1171" spans="10:81" x14ac:dyDescent="0.25">
      <c r="J1171" s="7"/>
      <c r="K1171" s="8"/>
      <c r="L1171" s="16"/>
      <c r="M1171" s="22"/>
      <c r="N1171" s="22"/>
      <c r="O1171" s="22"/>
      <c r="P1171" s="22"/>
      <c r="Q1171" s="1">
        <f t="shared" si="552"/>
        <v>0.60744618579017706</v>
      </c>
      <c r="R1171" s="12">
        <f t="shared" ca="1" si="569"/>
        <v>34232</v>
      </c>
      <c r="S1171" s="88">
        <f t="shared" si="578"/>
        <v>0</v>
      </c>
      <c r="T1171" s="19">
        <f t="shared" si="570"/>
        <v>0</v>
      </c>
      <c r="U1171" s="19">
        <f t="shared" si="571"/>
        <v>0</v>
      </c>
      <c r="V1171" s="19">
        <f t="shared" si="557"/>
        <v>0</v>
      </c>
      <c r="W1171" s="20">
        <f t="shared" ca="1" si="572"/>
        <v>0</v>
      </c>
      <c r="X1171" s="19">
        <f t="shared" ca="1" si="573"/>
        <v>0</v>
      </c>
      <c r="Y1171" s="19">
        <f t="shared" ca="1" si="574"/>
        <v>0</v>
      </c>
      <c r="Z1171" s="20">
        <f t="shared" ca="1" si="575"/>
        <v>0</v>
      </c>
      <c r="AA1171" s="1">
        <f t="shared" si="553"/>
        <v>5432.58</v>
      </c>
      <c r="AB1171" s="91"/>
      <c r="AC1171" s="92"/>
      <c r="AD1171" s="101">
        <f t="shared" si="554"/>
        <v>75354</v>
      </c>
      <c r="AE1171" s="103">
        <f t="shared" si="555"/>
        <v>0</v>
      </c>
      <c r="AG1171" s="1">
        <f t="shared" si="576"/>
        <v>0</v>
      </c>
      <c r="AH1171" s="1">
        <f t="shared" si="577"/>
        <v>0</v>
      </c>
      <c r="AI1171" s="1">
        <f t="shared" si="556"/>
        <v>5432.58</v>
      </c>
      <c r="AJ1171" s="20">
        <f t="shared" si="558"/>
        <v>0</v>
      </c>
      <c r="AK1171" s="100">
        <f t="shared" si="560"/>
        <v>0</v>
      </c>
      <c r="AL1171" s="100">
        <f t="shared" si="561"/>
        <v>0</v>
      </c>
      <c r="AN1171" s="100">
        <f t="shared" si="562"/>
        <v>3047.964949302147</v>
      </c>
      <c r="AO1171" s="20">
        <f t="shared" si="563"/>
        <v>0</v>
      </c>
      <c r="AQ1171" s="109">
        <f t="shared" si="564"/>
        <v>0</v>
      </c>
      <c r="AU1171" s="109">
        <f t="shared" si="549"/>
        <v>24.480140270636042</v>
      </c>
      <c r="AV1171" s="101">
        <f t="shared" si="565"/>
        <v>75384</v>
      </c>
      <c r="AW1171" s="99">
        <f t="shared" si="566"/>
        <v>0</v>
      </c>
      <c r="AX1171" s="1">
        <f t="shared" si="567"/>
        <v>0</v>
      </c>
      <c r="AY1171" s="29">
        <f t="shared" si="568"/>
        <v>0</v>
      </c>
      <c r="AZ1171" s="1">
        <f t="shared" si="550"/>
        <v>0</v>
      </c>
      <c r="CB1171" s="20">
        <f t="shared" si="559"/>
        <v>0</v>
      </c>
      <c r="CC1171" s="173">
        <f t="shared" si="551"/>
        <v>0</v>
      </c>
    </row>
    <row r="1172" spans="10:81" x14ac:dyDescent="0.25">
      <c r="J1172" s="9"/>
      <c r="K1172" s="10"/>
      <c r="L1172" s="17"/>
      <c r="M1172" s="23"/>
      <c r="N1172" s="23"/>
      <c r="O1172" s="23"/>
      <c r="P1172" s="23"/>
      <c r="Q1172" s="1">
        <f t="shared" si="552"/>
        <v>0.60744618579017706</v>
      </c>
      <c r="R1172" s="12">
        <f t="shared" ca="1" si="569"/>
        <v>34262</v>
      </c>
      <c r="S1172" s="88">
        <f t="shared" si="578"/>
        <v>0</v>
      </c>
      <c r="T1172" s="19">
        <f t="shared" si="570"/>
        <v>0</v>
      </c>
      <c r="U1172" s="19">
        <f t="shared" si="571"/>
        <v>0</v>
      </c>
      <c r="V1172" s="19">
        <f t="shared" si="557"/>
        <v>0</v>
      </c>
      <c r="W1172" s="20">
        <f t="shared" ca="1" si="572"/>
        <v>0</v>
      </c>
      <c r="X1172" s="19">
        <f t="shared" ca="1" si="573"/>
        <v>0</v>
      </c>
      <c r="Y1172" s="19">
        <f t="shared" ca="1" si="574"/>
        <v>0</v>
      </c>
      <c r="Z1172" s="20">
        <f t="shared" ca="1" si="575"/>
        <v>0</v>
      </c>
      <c r="AA1172" s="1">
        <f t="shared" si="553"/>
        <v>5432.58</v>
      </c>
      <c r="AB1172" s="93"/>
      <c r="AC1172" s="94"/>
      <c r="AD1172" s="101">
        <f t="shared" si="554"/>
        <v>75384</v>
      </c>
      <c r="AE1172" s="103">
        <f t="shared" si="555"/>
        <v>0</v>
      </c>
      <c r="AG1172" s="1">
        <f t="shared" si="576"/>
        <v>0</v>
      </c>
      <c r="AH1172" s="1">
        <f t="shared" si="577"/>
        <v>0</v>
      </c>
      <c r="AI1172" s="1">
        <f t="shared" si="556"/>
        <v>5432.58</v>
      </c>
      <c r="AJ1172" s="20">
        <f t="shared" si="558"/>
        <v>0</v>
      </c>
      <c r="AK1172" s="100">
        <f t="shared" si="560"/>
        <v>0</v>
      </c>
      <c r="AL1172" s="100">
        <f t="shared" si="561"/>
        <v>0</v>
      </c>
      <c r="AN1172" s="100">
        <f t="shared" si="562"/>
        <v>3046.4228343596164</v>
      </c>
      <c r="AO1172" s="20">
        <f t="shared" si="563"/>
        <v>0</v>
      </c>
      <c r="AQ1172" s="109">
        <f t="shared" si="564"/>
        <v>0</v>
      </c>
      <c r="AU1172" s="109">
        <f t="shared" si="549"/>
        <v>24.477991646924817</v>
      </c>
      <c r="AV1172" s="101">
        <f t="shared" si="565"/>
        <v>75414</v>
      </c>
      <c r="AW1172" s="99">
        <f t="shared" si="566"/>
        <v>0</v>
      </c>
      <c r="AX1172" s="1">
        <f t="shared" si="567"/>
        <v>0</v>
      </c>
      <c r="AY1172" s="29">
        <f t="shared" si="568"/>
        <v>0</v>
      </c>
      <c r="AZ1172" s="1">
        <f t="shared" si="550"/>
        <v>0</v>
      </c>
      <c r="CB1172" s="20">
        <f t="shared" si="559"/>
        <v>0</v>
      </c>
      <c r="CC1172" s="173">
        <f t="shared" si="551"/>
        <v>0</v>
      </c>
    </row>
    <row r="1173" spans="10:81" x14ac:dyDescent="0.25">
      <c r="J1173" s="7"/>
      <c r="K1173" s="8"/>
      <c r="L1173" s="16"/>
      <c r="M1173" s="22"/>
      <c r="N1173" s="22"/>
      <c r="O1173" s="22"/>
      <c r="P1173" s="22"/>
      <c r="Q1173" s="1">
        <f t="shared" si="552"/>
        <v>0.60744618579017706</v>
      </c>
      <c r="R1173" s="12">
        <f t="shared" ca="1" si="569"/>
        <v>34292</v>
      </c>
      <c r="S1173" s="88">
        <f t="shared" si="578"/>
        <v>0</v>
      </c>
      <c r="T1173" s="19">
        <f t="shared" si="570"/>
        <v>0</v>
      </c>
      <c r="U1173" s="19">
        <f t="shared" si="571"/>
        <v>0</v>
      </c>
      <c r="V1173" s="19">
        <f t="shared" si="557"/>
        <v>0</v>
      </c>
      <c r="W1173" s="20">
        <f t="shared" ca="1" si="572"/>
        <v>0</v>
      </c>
      <c r="X1173" s="19">
        <f t="shared" ca="1" si="573"/>
        <v>0</v>
      </c>
      <c r="Y1173" s="19">
        <f t="shared" ca="1" si="574"/>
        <v>0</v>
      </c>
      <c r="Z1173" s="20">
        <f t="shared" ca="1" si="575"/>
        <v>0</v>
      </c>
      <c r="AA1173" s="1">
        <f t="shared" si="553"/>
        <v>5432.58</v>
      </c>
      <c r="AB1173" s="91"/>
      <c r="AC1173" s="92"/>
      <c r="AD1173" s="101">
        <f t="shared" si="554"/>
        <v>75414</v>
      </c>
      <c r="AE1173" s="103">
        <f t="shared" si="555"/>
        <v>0</v>
      </c>
      <c r="AG1173" s="1">
        <f t="shared" si="576"/>
        <v>0</v>
      </c>
      <c r="AH1173" s="1">
        <f t="shared" si="577"/>
        <v>0</v>
      </c>
      <c r="AI1173" s="1">
        <f t="shared" si="556"/>
        <v>5432.58</v>
      </c>
      <c r="AJ1173" s="20">
        <f t="shared" si="558"/>
        <v>0</v>
      </c>
      <c r="AK1173" s="100">
        <f t="shared" si="560"/>
        <v>0</v>
      </c>
      <c r="AL1173" s="100">
        <f t="shared" si="561"/>
        <v>0</v>
      </c>
      <c r="AN1173" s="100">
        <f t="shared" si="562"/>
        <v>3044.8814996486622</v>
      </c>
      <c r="AO1173" s="20">
        <f t="shared" si="563"/>
        <v>0</v>
      </c>
      <c r="AQ1173" s="109">
        <f t="shared" si="564"/>
        <v>0</v>
      </c>
      <c r="AU1173" s="109">
        <f t="shared" si="549"/>
        <v>24.475843211798452</v>
      </c>
      <c r="AV1173" s="101">
        <f t="shared" si="565"/>
        <v>75444</v>
      </c>
      <c r="AW1173" s="99">
        <f t="shared" si="566"/>
        <v>0</v>
      </c>
      <c r="AX1173" s="1">
        <f t="shared" si="567"/>
        <v>0</v>
      </c>
      <c r="AY1173" s="29">
        <f t="shared" si="568"/>
        <v>0</v>
      </c>
      <c r="AZ1173" s="1">
        <f t="shared" si="550"/>
        <v>0</v>
      </c>
      <c r="CB1173" s="20">
        <f t="shared" si="559"/>
        <v>0</v>
      </c>
      <c r="CC1173" s="173">
        <f t="shared" si="551"/>
        <v>0</v>
      </c>
    </row>
    <row r="1174" spans="10:81" x14ac:dyDescent="0.25">
      <c r="J1174" s="9"/>
      <c r="K1174" s="10"/>
      <c r="L1174" s="17"/>
      <c r="M1174" s="23"/>
      <c r="N1174" s="23"/>
      <c r="O1174" s="23"/>
      <c r="P1174" s="23"/>
      <c r="Q1174" s="1">
        <f t="shared" si="552"/>
        <v>0.60744618579017706</v>
      </c>
      <c r="R1174" s="12">
        <f t="shared" ca="1" si="569"/>
        <v>34322</v>
      </c>
      <c r="S1174" s="88">
        <f t="shared" si="578"/>
        <v>0</v>
      </c>
      <c r="T1174" s="19">
        <f t="shared" si="570"/>
        <v>0</v>
      </c>
      <c r="U1174" s="19">
        <f t="shared" si="571"/>
        <v>0</v>
      </c>
      <c r="V1174" s="19">
        <f t="shared" si="557"/>
        <v>0</v>
      </c>
      <c r="W1174" s="20">
        <f t="shared" ca="1" si="572"/>
        <v>0</v>
      </c>
      <c r="X1174" s="19">
        <f t="shared" ca="1" si="573"/>
        <v>0</v>
      </c>
      <c r="Y1174" s="19">
        <f t="shared" ca="1" si="574"/>
        <v>0</v>
      </c>
      <c r="Z1174" s="20">
        <f t="shared" ca="1" si="575"/>
        <v>0</v>
      </c>
      <c r="AA1174" s="1">
        <f t="shared" si="553"/>
        <v>5432.58</v>
      </c>
      <c r="AB1174" s="93"/>
      <c r="AC1174" s="94"/>
      <c r="AD1174" s="101">
        <f t="shared" si="554"/>
        <v>75444</v>
      </c>
      <c r="AE1174" s="103">
        <f t="shared" si="555"/>
        <v>0</v>
      </c>
      <c r="AG1174" s="1">
        <f t="shared" si="576"/>
        <v>0</v>
      </c>
      <c r="AH1174" s="1">
        <f t="shared" si="577"/>
        <v>0</v>
      </c>
      <c r="AI1174" s="1">
        <f t="shared" si="556"/>
        <v>5432.58</v>
      </c>
      <c r="AJ1174" s="20">
        <f t="shared" si="558"/>
        <v>0</v>
      </c>
      <c r="AK1174" s="100">
        <f t="shared" si="560"/>
        <v>0</v>
      </c>
      <c r="AL1174" s="100">
        <f t="shared" si="561"/>
        <v>0</v>
      </c>
      <c r="AN1174" s="100">
        <f t="shared" si="562"/>
        <v>3043.3409447745262</v>
      </c>
      <c r="AO1174" s="20">
        <f t="shared" si="563"/>
        <v>0</v>
      </c>
      <c r="AQ1174" s="109">
        <f t="shared" si="564"/>
        <v>0</v>
      </c>
      <c r="AU1174" s="109">
        <f t="shared" si="549"/>
        <v>24.473694965240394</v>
      </c>
      <c r="AV1174" s="101">
        <f t="shared" si="565"/>
        <v>75474</v>
      </c>
      <c r="AW1174" s="99">
        <f t="shared" si="566"/>
        <v>0</v>
      </c>
      <c r="AX1174" s="1">
        <f t="shared" si="567"/>
        <v>0</v>
      </c>
      <c r="AY1174" s="29">
        <f t="shared" si="568"/>
        <v>0</v>
      </c>
      <c r="AZ1174" s="1">
        <f t="shared" si="550"/>
        <v>0</v>
      </c>
      <c r="CB1174" s="20">
        <f t="shared" si="559"/>
        <v>0</v>
      </c>
      <c r="CC1174" s="173">
        <f t="shared" si="551"/>
        <v>0</v>
      </c>
    </row>
    <row r="1175" spans="10:81" x14ac:dyDescent="0.25">
      <c r="J1175" s="7"/>
      <c r="K1175" s="8"/>
      <c r="L1175" s="16"/>
      <c r="M1175" s="22"/>
      <c r="N1175" s="22"/>
      <c r="O1175" s="22"/>
      <c r="P1175" s="22"/>
      <c r="Q1175" s="1">
        <f t="shared" si="552"/>
        <v>0.60744618579017706</v>
      </c>
      <c r="R1175" s="12">
        <f t="shared" ca="1" si="569"/>
        <v>34352</v>
      </c>
      <c r="S1175" s="88">
        <f t="shared" si="578"/>
        <v>0</v>
      </c>
      <c r="T1175" s="19">
        <f t="shared" si="570"/>
        <v>0</v>
      </c>
      <c r="U1175" s="19">
        <f t="shared" si="571"/>
        <v>0</v>
      </c>
      <c r="V1175" s="19">
        <f t="shared" si="557"/>
        <v>0</v>
      </c>
      <c r="W1175" s="20">
        <f t="shared" ca="1" si="572"/>
        <v>0</v>
      </c>
      <c r="X1175" s="19">
        <f t="shared" ca="1" si="573"/>
        <v>0</v>
      </c>
      <c r="Y1175" s="19">
        <f t="shared" ca="1" si="574"/>
        <v>0</v>
      </c>
      <c r="Z1175" s="20">
        <f t="shared" ca="1" si="575"/>
        <v>0</v>
      </c>
      <c r="AA1175" s="1">
        <f t="shared" si="553"/>
        <v>5432.58</v>
      </c>
      <c r="AB1175" s="91"/>
      <c r="AC1175" s="92"/>
      <c r="AD1175" s="101">
        <f t="shared" si="554"/>
        <v>75474</v>
      </c>
      <c r="AE1175" s="103">
        <f t="shared" si="555"/>
        <v>0</v>
      </c>
      <c r="AG1175" s="1">
        <f t="shared" si="576"/>
        <v>0</v>
      </c>
      <c r="AH1175" s="1">
        <f t="shared" si="577"/>
        <v>0</v>
      </c>
      <c r="AI1175" s="1">
        <f t="shared" si="556"/>
        <v>5432.58</v>
      </c>
      <c r="AJ1175" s="20">
        <f t="shared" si="558"/>
        <v>0</v>
      </c>
      <c r="AK1175" s="100">
        <f t="shared" si="560"/>
        <v>0</v>
      </c>
      <c r="AL1175" s="100">
        <f t="shared" si="561"/>
        <v>0</v>
      </c>
      <c r="AN1175" s="100">
        <f t="shared" si="562"/>
        <v>3041.801169342652</v>
      </c>
      <c r="AO1175" s="20">
        <f t="shared" si="563"/>
        <v>0</v>
      </c>
      <c r="AQ1175" s="109">
        <f t="shared" si="564"/>
        <v>0</v>
      </c>
      <c r="AU1175" s="109">
        <f t="shared" si="549"/>
        <v>24.471546907234096</v>
      </c>
      <c r="AV1175" s="101">
        <f t="shared" si="565"/>
        <v>75504</v>
      </c>
      <c r="AW1175" s="99">
        <f t="shared" si="566"/>
        <v>0</v>
      </c>
      <c r="AX1175" s="1">
        <f t="shared" si="567"/>
        <v>0</v>
      </c>
      <c r="AY1175" s="29">
        <f t="shared" si="568"/>
        <v>0</v>
      </c>
      <c r="AZ1175" s="1">
        <f t="shared" si="550"/>
        <v>0</v>
      </c>
      <c r="CB1175" s="20">
        <f t="shared" si="559"/>
        <v>0</v>
      </c>
      <c r="CC1175" s="173">
        <f t="shared" si="551"/>
        <v>0</v>
      </c>
    </row>
    <row r="1176" spans="10:81" x14ac:dyDescent="0.25">
      <c r="J1176" s="9"/>
      <c r="K1176" s="10"/>
      <c r="L1176" s="17"/>
      <c r="M1176" s="23"/>
      <c r="N1176" s="23"/>
      <c r="O1176" s="23"/>
      <c r="P1176" s="23"/>
      <c r="Q1176" s="1">
        <f t="shared" si="552"/>
        <v>0.60744618579017706</v>
      </c>
      <c r="R1176" s="12">
        <f t="shared" ca="1" si="569"/>
        <v>34382</v>
      </c>
      <c r="S1176" s="88">
        <f t="shared" si="578"/>
        <v>0</v>
      </c>
      <c r="T1176" s="19">
        <f t="shared" si="570"/>
        <v>0</v>
      </c>
      <c r="U1176" s="19">
        <f t="shared" si="571"/>
        <v>0</v>
      </c>
      <c r="V1176" s="19">
        <f t="shared" si="557"/>
        <v>0</v>
      </c>
      <c r="W1176" s="20">
        <f t="shared" ca="1" si="572"/>
        <v>0</v>
      </c>
      <c r="X1176" s="19">
        <f t="shared" ca="1" si="573"/>
        <v>0</v>
      </c>
      <c r="Y1176" s="19">
        <f t="shared" ca="1" si="574"/>
        <v>0</v>
      </c>
      <c r="Z1176" s="20">
        <f t="shared" ca="1" si="575"/>
        <v>0</v>
      </c>
      <c r="AA1176" s="1">
        <f t="shared" si="553"/>
        <v>5432.58</v>
      </c>
      <c r="AB1176" s="93"/>
      <c r="AC1176" s="94"/>
      <c r="AD1176" s="101">
        <f t="shared" si="554"/>
        <v>75504</v>
      </c>
      <c r="AE1176" s="103">
        <f t="shared" si="555"/>
        <v>0</v>
      </c>
      <c r="AG1176" s="1">
        <f t="shared" si="576"/>
        <v>0</v>
      </c>
      <c r="AH1176" s="1">
        <f t="shared" si="577"/>
        <v>0</v>
      </c>
      <c r="AI1176" s="1">
        <f t="shared" si="556"/>
        <v>5432.58</v>
      </c>
      <c r="AJ1176" s="20">
        <f t="shared" si="558"/>
        <v>0</v>
      </c>
      <c r="AK1176" s="100">
        <f t="shared" si="560"/>
        <v>0</v>
      </c>
      <c r="AL1176" s="100">
        <f t="shared" si="561"/>
        <v>0</v>
      </c>
      <c r="AN1176" s="100">
        <f t="shared" si="562"/>
        <v>3040.2621729586804</v>
      </c>
      <c r="AO1176" s="20">
        <f t="shared" si="563"/>
        <v>0</v>
      </c>
      <c r="AQ1176" s="109">
        <f t="shared" si="564"/>
        <v>0</v>
      </c>
      <c r="AU1176" s="109">
        <f t="shared" si="549"/>
        <v>24.469399037763004</v>
      </c>
      <c r="AV1176" s="101">
        <f t="shared" si="565"/>
        <v>75534</v>
      </c>
      <c r="AW1176" s="99">
        <f t="shared" si="566"/>
        <v>0</v>
      </c>
      <c r="AX1176" s="1">
        <f t="shared" si="567"/>
        <v>0</v>
      </c>
      <c r="AY1176" s="29">
        <f t="shared" si="568"/>
        <v>0</v>
      </c>
      <c r="AZ1176" s="1">
        <f t="shared" si="550"/>
        <v>0</v>
      </c>
      <c r="CB1176" s="20">
        <f t="shared" si="559"/>
        <v>0</v>
      </c>
      <c r="CC1176" s="173">
        <f t="shared" si="551"/>
        <v>0</v>
      </c>
    </row>
    <row r="1177" spans="10:81" x14ac:dyDescent="0.25">
      <c r="J1177" s="7"/>
      <c r="K1177" s="8"/>
      <c r="L1177" s="16"/>
      <c r="M1177" s="22"/>
      <c r="N1177" s="22"/>
      <c r="O1177" s="22"/>
      <c r="P1177" s="22"/>
      <c r="Q1177" s="1">
        <f t="shared" si="552"/>
        <v>0.60744618579017706</v>
      </c>
      <c r="R1177" s="12">
        <f t="shared" ca="1" si="569"/>
        <v>34412</v>
      </c>
      <c r="S1177" s="88">
        <f t="shared" si="578"/>
        <v>0</v>
      </c>
      <c r="T1177" s="19">
        <f t="shared" si="570"/>
        <v>0</v>
      </c>
      <c r="U1177" s="19">
        <f t="shared" si="571"/>
        <v>0</v>
      </c>
      <c r="V1177" s="19">
        <f t="shared" si="557"/>
        <v>0</v>
      </c>
      <c r="W1177" s="20">
        <f t="shared" ca="1" si="572"/>
        <v>0</v>
      </c>
      <c r="X1177" s="19">
        <f t="shared" ca="1" si="573"/>
        <v>0</v>
      </c>
      <c r="Y1177" s="19">
        <f t="shared" ca="1" si="574"/>
        <v>0</v>
      </c>
      <c r="Z1177" s="20">
        <f t="shared" ca="1" si="575"/>
        <v>0</v>
      </c>
      <c r="AA1177" s="1">
        <f t="shared" si="553"/>
        <v>5432.58</v>
      </c>
      <c r="AB1177" s="91"/>
      <c r="AC1177" s="92"/>
      <c r="AD1177" s="101">
        <f t="shared" si="554"/>
        <v>75534</v>
      </c>
      <c r="AE1177" s="103">
        <f t="shared" si="555"/>
        <v>0</v>
      </c>
      <c r="AG1177" s="1">
        <f t="shared" si="576"/>
        <v>0</v>
      </c>
      <c r="AH1177" s="1">
        <f t="shared" si="577"/>
        <v>0</v>
      </c>
      <c r="AI1177" s="1">
        <f t="shared" si="556"/>
        <v>5432.58</v>
      </c>
      <c r="AJ1177" s="20">
        <f t="shared" si="558"/>
        <v>0</v>
      </c>
      <c r="AK1177" s="100">
        <f t="shared" si="560"/>
        <v>0</v>
      </c>
      <c r="AL1177" s="100">
        <f t="shared" si="561"/>
        <v>0</v>
      </c>
      <c r="AN1177" s="100">
        <f t="shared" si="562"/>
        <v>3038.7239552284518</v>
      </c>
      <c r="AO1177" s="20">
        <f t="shared" si="563"/>
        <v>0</v>
      </c>
      <c r="AQ1177" s="109">
        <f t="shared" si="564"/>
        <v>0</v>
      </c>
      <c r="AU1177" s="109">
        <f t="shared" si="549"/>
        <v>24.467251356810578</v>
      </c>
      <c r="AV1177" s="101">
        <f t="shared" si="565"/>
        <v>75564</v>
      </c>
      <c r="AW1177" s="99">
        <f t="shared" si="566"/>
        <v>0</v>
      </c>
      <c r="AX1177" s="1">
        <f t="shared" si="567"/>
        <v>0</v>
      </c>
      <c r="AY1177" s="29">
        <f t="shared" si="568"/>
        <v>0</v>
      </c>
      <c r="AZ1177" s="1">
        <f t="shared" si="550"/>
        <v>0</v>
      </c>
      <c r="CB1177" s="20">
        <f t="shared" si="559"/>
        <v>0</v>
      </c>
      <c r="CC1177" s="173">
        <f t="shared" si="551"/>
        <v>0</v>
      </c>
    </row>
    <row r="1178" spans="10:81" x14ac:dyDescent="0.25">
      <c r="J1178" s="9"/>
      <c r="K1178" s="10"/>
      <c r="L1178" s="17"/>
      <c r="M1178" s="23"/>
      <c r="N1178" s="23"/>
      <c r="O1178" s="23"/>
      <c r="P1178" s="23"/>
      <c r="Q1178" s="1">
        <f t="shared" si="552"/>
        <v>0.60744618579017706</v>
      </c>
      <c r="R1178" s="12">
        <f t="shared" ca="1" si="569"/>
        <v>34442</v>
      </c>
      <c r="S1178" s="88">
        <f t="shared" si="578"/>
        <v>0</v>
      </c>
      <c r="T1178" s="19">
        <f t="shared" si="570"/>
        <v>0</v>
      </c>
      <c r="U1178" s="19">
        <f t="shared" si="571"/>
        <v>0</v>
      </c>
      <c r="V1178" s="19">
        <f t="shared" si="557"/>
        <v>0</v>
      </c>
      <c r="W1178" s="20">
        <f t="shared" ca="1" si="572"/>
        <v>0</v>
      </c>
      <c r="X1178" s="19">
        <f t="shared" ca="1" si="573"/>
        <v>0</v>
      </c>
      <c r="Y1178" s="19">
        <f t="shared" ca="1" si="574"/>
        <v>0</v>
      </c>
      <c r="Z1178" s="20">
        <f t="shared" ca="1" si="575"/>
        <v>0</v>
      </c>
      <c r="AA1178" s="1">
        <f t="shared" si="553"/>
        <v>5432.58</v>
      </c>
      <c r="AB1178" s="93"/>
      <c r="AC1178" s="94"/>
      <c r="AD1178" s="101">
        <f t="shared" si="554"/>
        <v>75564</v>
      </c>
      <c r="AE1178" s="103">
        <f t="shared" si="555"/>
        <v>0</v>
      </c>
      <c r="AG1178" s="1">
        <f t="shared" si="576"/>
        <v>0</v>
      </c>
      <c r="AH1178" s="1">
        <f t="shared" si="577"/>
        <v>0</v>
      </c>
      <c r="AI1178" s="1">
        <f t="shared" si="556"/>
        <v>5432.58</v>
      </c>
      <c r="AJ1178" s="20">
        <f t="shared" si="558"/>
        <v>0</v>
      </c>
      <c r="AK1178" s="100">
        <f t="shared" si="560"/>
        <v>0</v>
      </c>
      <c r="AL1178" s="100">
        <f t="shared" si="561"/>
        <v>0</v>
      </c>
      <c r="AN1178" s="100">
        <f t="shared" si="562"/>
        <v>3037.1865157580096</v>
      </c>
      <c r="AO1178" s="20">
        <f t="shared" si="563"/>
        <v>0</v>
      </c>
      <c r="AQ1178" s="109">
        <f t="shared" si="564"/>
        <v>0</v>
      </c>
      <c r="AU1178" s="109">
        <f t="shared" si="549"/>
        <v>24.465103864360273</v>
      </c>
      <c r="AV1178" s="101">
        <f t="shared" si="565"/>
        <v>75594</v>
      </c>
      <c r="AW1178" s="99">
        <f t="shared" si="566"/>
        <v>0</v>
      </c>
      <c r="AX1178" s="1">
        <f t="shared" si="567"/>
        <v>0</v>
      </c>
      <c r="AY1178" s="29">
        <f t="shared" si="568"/>
        <v>0</v>
      </c>
      <c r="AZ1178" s="1">
        <f t="shared" si="550"/>
        <v>0</v>
      </c>
      <c r="CB1178" s="20">
        <f t="shared" si="559"/>
        <v>0</v>
      </c>
      <c r="CC1178" s="173">
        <f t="shared" si="551"/>
        <v>0</v>
      </c>
    </row>
    <row r="1179" spans="10:81" x14ac:dyDescent="0.25">
      <c r="J1179" s="7"/>
      <c r="K1179" s="8"/>
      <c r="L1179" s="16"/>
      <c r="M1179" s="22"/>
      <c r="N1179" s="22"/>
      <c r="O1179" s="22"/>
      <c r="P1179" s="22"/>
      <c r="Q1179" s="1">
        <f t="shared" si="552"/>
        <v>0.60744618579017706</v>
      </c>
      <c r="R1179" s="12">
        <f t="shared" ca="1" si="569"/>
        <v>34472</v>
      </c>
      <c r="S1179" s="88">
        <f t="shared" si="578"/>
        <v>0</v>
      </c>
      <c r="T1179" s="19">
        <f t="shared" si="570"/>
        <v>0</v>
      </c>
      <c r="U1179" s="19">
        <f t="shared" si="571"/>
        <v>0</v>
      </c>
      <c r="V1179" s="19">
        <f t="shared" si="557"/>
        <v>0</v>
      </c>
      <c r="W1179" s="20">
        <f t="shared" ca="1" si="572"/>
        <v>0</v>
      </c>
      <c r="X1179" s="19">
        <f t="shared" ca="1" si="573"/>
        <v>0</v>
      </c>
      <c r="Y1179" s="19">
        <f t="shared" ca="1" si="574"/>
        <v>0</v>
      </c>
      <c r="Z1179" s="20">
        <f t="shared" ca="1" si="575"/>
        <v>0</v>
      </c>
      <c r="AA1179" s="1">
        <f t="shared" si="553"/>
        <v>5432.58</v>
      </c>
      <c r="AB1179" s="91"/>
      <c r="AC1179" s="92"/>
      <c r="AD1179" s="101">
        <f t="shared" si="554"/>
        <v>75594</v>
      </c>
      <c r="AE1179" s="103">
        <f t="shared" si="555"/>
        <v>0</v>
      </c>
      <c r="AG1179" s="1">
        <f t="shared" si="576"/>
        <v>0</v>
      </c>
      <c r="AH1179" s="1">
        <f t="shared" si="577"/>
        <v>0</v>
      </c>
      <c r="AI1179" s="1">
        <f t="shared" si="556"/>
        <v>5432.58</v>
      </c>
      <c r="AJ1179" s="20">
        <f t="shared" si="558"/>
        <v>0</v>
      </c>
      <c r="AK1179" s="100">
        <f t="shared" si="560"/>
        <v>0</v>
      </c>
      <c r="AL1179" s="100">
        <f t="shared" si="561"/>
        <v>0</v>
      </c>
      <c r="AN1179" s="100">
        <f t="shared" si="562"/>
        <v>3035.6498541535921</v>
      </c>
      <c r="AO1179" s="20">
        <f t="shared" si="563"/>
        <v>0</v>
      </c>
      <c r="AQ1179" s="109">
        <f t="shared" si="564"/>
        <v>0</v>
      </c>
      <c r="AU1179" s="109">
        <f t="shared" si="549"/>
        <v>24.462956560395515</v>
      </c>
      <c r="AV1179" s="101">
        <f t="shared" si="565"/>
        <v>75624</v>
      </c>
      <c r="AW1179" s="99">
        <f t="shared" si="566"/>
        <v>0</v>
      </c>
      <c r="AX1179" s="1">
        <f t="shared" si="567"/>
        <v>0</v>
      </c>
      <c r="AY1179" s="29">
        <f t="shared" si="568"/>
        <v>0</v>
      </c>
      <c r="AZ1179" s="1">
        <f t="shared" si="550"/>
        <v>0</v>
      </c>
      <c r="CB1179" s="20">
        <f t="shared" si="559"/>
        <v>0</v>
      </c>
      <c r="CC1179" s="173">
        <f t="shared" si="551"/>
        <v>0</v>
      </c>
    </row>
    <row r="1180" spans="10:81" x14ac:dyDescent="0.25">
      <c r="J1180" s="9"/>
      <c r="K1180" s="10"/>
      <c r="L1180" s="17"/>
      <c r="M1180" s="23"/>
      <c r="N1180" s="23"/>
      <c r="O1180" s="23"/>
      <c r="P1180" s="23"/>
      <c r="Q1180" s="1">
        <f t="shared" si="552"/>
        <v>0.60744618579017706</v>
      </c>
      <c r="R1180" s="12">
        <f t="shared" ca="1" si="569"/>
        <v>34502</v>
      </c>
      <c r="S1180" s="88">
        <f t="shared" si="578"/>
        <v>0</v>
      </c>
      <c r="T1180" s="19">
        <f t="shared" si="570"/>
        <v>0</v>
      </c>
      <c r="U1180" s="19">
        <f t="shared" si="571"/>
        <v>0</v>
      </c>
      <c r="V1180" s="19">
        <f t="shared" si="557"/>
        <v>0</v>
      </c>
      <c r="W1180" s="20">
        <f t="shared" ca="1" si="572"/>
        <v>0</v>
      </c>
      <c r="X1180" s="19">
        <f t="shared" ca="1" si="573"/>
        <v>0</v>
      </c>
      <c r="Y1180" s="19">
        <f t="shared" ca="1" si="574"/>
        <v>0</v>
      </c>
      <c r="Z1180" s="20">
        <f t="shared" ca="1" si="575"/>
        <v>0</v>
      </c>
      <c r="AA1180" s="1">
        <f t="shared" si="553"/>
        <v>5432.58</v>
      </c>
      <c r="AB1180" s="93"/>
      <c r="AC1180" s="94"/>
      <c r="AD1180" s="101">
        <f t="shared" si="554"/>
        <v>75624</v>
      </c>
      <c r="AE1180" s="103">
        <f t="shared" si="555"/>
        <v>0</v>
      </c>
      <c r="AG1180" s="1">
        <f t="shared" si="576"/>
        <v>0</v>
      </c>
      <c r="AH1180" s="1">
        <f t="shared" si="577"/>
        <v>0</v>
      </c>
      <c r="AI1180" s="1">
        <f t="shared" si="556"/>
        <v>5432.58</v>
      </c>
      <c r="AJ1180" s="20">
        <f t="shared" si="558"/>
        <v>0</v>
      </c>
      <c r="AK1180" s="100">
        <f t="shared" si="560"/>
        <v>0</v>
      </c>
      <c r="AL1180" s="100">
        <f t="shared" si="561"/>
        <v>0</v>
      </c>
      <c r="AN1180" s="100">
        <f t="shared" si="562"/>
        <v>3034.1139700216399</v>
      </c>
      <c r="AO1180" s="20">
        <f t="shared" si="563"/>
        <v>0</v>
      </c>
      <c r="AQ1180" s="109">
        <f t="shared" si="564"/>
        <v>0</v>
      </c>
      <c r="AU1180" s="109">
        <f t="shared" si="549"/>
        <v>24.460809444899809</v>
      </c>
      <c r="AV1180" s="101">
        <f t="shared" si="565"/>
        <v>75654</v>
      </c>
      <c r="AW1180" s="99">
        <f t="shared" si="566"/>
        <v>0</v>
      </c>
      <c r="AX1180" s="1">
        <f t="shared" si="567"/>
        <v>0</v>
      </c>
      <c r="AY1180" s="29">
        <f t="shared" si="568"/>
        <v>0</v>
      </c>
      <c r="AZ1180" s="1">
        <f t="shared" si="550"/>
        <v>0</v>
      </c>
      <c r="CB1180" s="20">
        <f t="shared" si="559"/>
        <v>0</v>
      </c>
      <c r="CC1180" s="173">
        <f t="shared" si="551"/>
        <v>0</v>
      </c>
    </row>
    <row r="1181" spans="10:81" x14ac:dyDescent="0.25">
      <c r="J1181" s="7"/>
      <c r="K1181" s="8"/>
      <c r="L1181" s="16"/>
      <c r="M1181" s="22"/>
      <c r="N1181" s="22"/>
      <c r="O1181" s="22"/>
      <c r="P1181" s="22"/>
      <c r="Q1181" s="1">
        <f t="shared" si="552"/>
        <v>0.60744618579017706</v>
      </c>
      <c r="R1181" s="12">
        <f t="shared" ca="1" si="569"/>
        <v>34532</v>
      </c>
      <c r="S1181" s="88">
        <f t="shared" si="578"/>
        <v>0</v>
      </c>
      <c r="T1181" s="19">
        <f t="shared" si="570"/>
        <v>0</v>
      </c>
      <c r="U1181" s="19">
        <f t="shared" si="571"/>
        <v>0</v>
      </c>
      <c r="V1181" s="19">
        <f t="shared" si="557"/>
        <v>0</v>
      </c>
      <c r="W1181" s="20">
        <f t="shared" ca="1" si="572"/>
        <v>0</v>
      </c>
      <c r="X1181" s="19">
        <f t="shared" ca="1" si="573"/>
        <v>0</v>
      </c>
      <c r="Y1181" s="19">
        <f t="shared" ca="1" si="574"/>
        <v>0</v>
      </c>
      <c r="Z1181" s="20">
        <f t="shared" ca="1" si="575"/>
        <v>0</v>
      </c>
      <c r="AA1181" s="1">
        <f t="shared" si="553"/>
        <v>5432.58</v>
      </c>
      <c r="AB1181" s="91"/>
      <c r="AC1181" s="92"/>
      <c r="AD1181" s="101">
        <f t="shared" si="554"/>
        <v>75654</v>
      </c>
      <c r="AE1181" s="103">
        <f t="shared" si="555"/>
        <v>0</v>
      </c>
      <c r="AG1181" s="1">
        <f t="shared" si="576"/>
        <v>0</v>
      </c>
      <c r="AH1181" s="1">
        <f t="shared" si="577"/>
        <v>0</v>
      </c>
      <c r="AI1181" s="1">
        <f t="shared" si="556"/>
        <v>5432.58</v>
      </c>
      <c r="AJ1181" s="20">
        <f t="shared" si="558"/>
        <v>0</v>
      </c>
      <c r="AK1181" s="100">
        <f t="shared" si="560"/>
        <v>0</v>
      </c>
      <c r="AL1181" s="100">
        <f t="shared" si="561"/>
        <v>0</v>
      </c>
      <c r="AN1181" s="100">
        <f t="shared" si="562"/>
        <v>3032.5788629687913</v>
      </c>
      <c r="AO1181" s="20">
        <f t="shared" si="563"/>
        <v>0</v>
      </c>
      <c r="AQ1181" s="109">
        <f t="shared" si="564"/>
        <v>0</v>
      </c>
      <c r="AU1181" s="109">
        <f t="shared" si="549"/>
        <v>24.458662517856585</v>
      </c>
      <c r="AV1181" s="101">
        <f t="shared" si="565"/>
        <v>75684</v>
      </c>
      <c r="AW1181" s="99">
        <f t="shared" si="566"/>
        <v>0</v>
      </c>
      <c r="AX1181" s="1">
        <f t="shared" si="567"/>
        <v>0</v>
      </c>
      <c r="AY1181" s="29">
        <f t="shared" si="568"/>
        <v>0</v>
      </c>
      <c r="AZ1181" s="1">
        <f t="shared" si="550"/>
        <v>0</v>
      </c>
      <c r="CB1181" s="20">
        <f t="shared" si="559"/>
        <v>0</v>
      </c>
      <c r="CC1181" s="173">
        <f t="shared" si="551"/>
        <v>0</v>
      </c>
    </row>
    <row r="1182" spans="10:81" x14ac:dyDescent="0.25">
      <c r="J1182" s="9"/>
      <c r="K1182" s="10"/>
      <c r="L1182" s="17"/>
      <c r="M1182" s="23"/>
      <c r="N1182" s="23"/>
      <c r="O1182" s="23"/>
      <c r="P1182" s="23"/>
      <c r="Q1182" s="1">
        <f t="shared" si="552"/>
        <v>0.60744618579017706</v>
      </c>
      <c r="R1182" s="12">
        <f t="shared" ca="1" si="569"/>
        <v>34562</v>
      </c>
      <c r="S1182" s="88">
        <f t="shared" si="578"/>
        <v>0</v>
      </c>
      <c r="T1182" s="19">
        <f t="shared" si="570"/>
        <v>0</v>
      </c>
      <c r="U1182" s="19">
        <f t="shared" si="571"/>
        <v>0</v>
      </c>
      <c r="V1182" s="19">
        <f t="shared" si="557"/>
        <v>0</v>
      </c>
      <c r="W1182" s="20">
        <f t="shared" ca="1" si="572"/>
        <v>0</v>
      </c>
      <c r="X1182" s="19">
        <f t="shared" ca="1" si="573"/>
        <v>0</v>
      </c>
      <c r="Y1182" s="19">
        <f t="shared" ca="1" si="574"/>
        <v>0</v>
      </c>
      <c r="Z1182" s="20">
        <f t="shared" ca="1" si="575"/>
        <v>0</v>
      </c>
      <c r="AA1182" s="1">
        <f t="shared" si="553"/>
        <v>5432.58</v>
      </c>
      <c r="AB1182" s="93"/>
      <c r="AC1182" s="94"/>
      <c r="AD1182" s="101">
        <f t="shared" si="554"/>
        <v>75684</v>
      </c>
      <c r="AE1182" s="103">
        <f t="shared" si="555"/>
        <v>0</v>
      </c>
      <c r="AG1182" s="1">
        <f t="shared" si="576"/>
        <v>0</v>
      </c>
      <c r="AH1182" s="1">
        <f t="shared" si="577"/>
        <v>0</v>
      </c>
      <c r="AI1182" s="1">
        <f t="shared" si="556"/>
        <v>5432.58</v>
      </c>
      <c r="AJ1182" s="20">
        <f t="shared" si="558"/>
        <v>0</v>
      </c>
      <c r="AK1182" s="100">
        <f t="shared" si="560"/>
        <v>0</v>
      </c>
      <c r="AL1182" s="100">
        <f t="shared" si="561"/>
        <v>0</v>
      </c>
      <c r="AN1182" s="100">
        <f t="shared" si="562"/>
        <v>3031.0445326018835</v>
      </c>
      <c r="AO1182" s="20">
        <f t="shared" si="563"/>
        <v>0</v>
      </c>
      <c r="AQ1182" s="109">
        <f t="shared" si="564"/>
        <v>0</v>
      </c>
      <c r="AU1182" s="109">
        <f t="shared" si="549"/>
        <v>24.456515779249298</v>
      </c>
      <c r="AV1182" s="101">
        <f t="shared" si="565"/>
        <v>75714</v>
      </c>
      <c r="AW1182" s="99">
        <f t="shared" si="566"/>
        <v>0</v>
      </c>
      <c r="AX1182" s="1">
        <f t="shared" si="567"/>
        <v>0</v>
      </c>
      <c r="AY1182" s="29">
        <f t="shared" si="568"/>
        <v>0</v>
      </c>
      <c r="AZ1182" s="1">
        <f t="shared" si="550"/>
        <v>0</v>
      </c>
      <c r="CB1182" s="20">
        <f t="shared" si="559"/>
        <v>0</v>
      </c>
      <c r="CC1182" s="173">
        <f t="shared" si="551"/>
        <v>0</v>
      </c>
    </row>
    <row r="1183" spans="10:81" x14ac:dyDescent="0.25">
      <c r="J1183" s="7"/>
      <c r="K1183" s="8"/>
      <c r="L1183" s="16"/>
      <c r="M1183" s="22"/>
      <c r="N1183" s="22"/>
      <c r="O1183" s="22"/>
      <c r="P1183" s="22"/>
      <c r="Q1183" s="1">
        <f t="shared" si="552"/>
        <v>0.60744618579017706</v>
      </c>
      <c r="R1183" s="12">
        <f t="shared" ca="1" si="569"/>
        <v>34592</v>
      </c>
      <c r="S1183" s="88">
        <f t="shared" si="578"/>
        <v>0</v>
      </c>
      <c r="T1183" s="19">
        <f t="shared" si="570"/>
        <v>0</v>
      </c>
      <c r="U1183" s="19">
        <f t="shared" si="571"/>
        <v>0</v>
      </c>
      <c r="V1183" s="19">
        <f t="shared" si="557"/>
        <v>0</v>
      </c>
      <c r="W1183" s="20">
        <f t="shared" ca="1" si="572"/>
        <v>0</v>
      </c>
      <c r="X1183" s="19">
        <f t="shared" ca="1" si="573"/>
        <v>0</v>
      </c>
      <c r="Y1183" s="19">
        <f t="shared" ca="1" si="574"/>
        <v>0</v>
      </c>
      <c r="Z1183" s="20">
        <f t="shared" ca="1" si="575"/>
        <v>0</v>
      </c>
      <c r="AA1183" s="1">
        <f t="shared" si="553"/>
        <v>5432.58</v>
      </c>
      <c r="AB1183" s="91"/>
      <c r="AC1183" s="92"/>
      <c r="AD1183" s="101">
        <f t="shared" si="554"/>
        <v>75714</v>
      </c>
      <c r="AE1183" s="103">
        <f t="shared" si="555"/>
        <v>0</v>
      </c>
      <c r="AG1183" s="1">
        <f t="shared" si="576"/>
        <v>0</v>
      </c>
      <c r="AH1183" s="1">
        <f t="shared" si="577"/>
        <v>0</v>
      </c>
      <c r="AI1183" s="1">
        <f t="shared" si="556"/>
        <v>5432.58</v>
      </c>
      <c r="AJ1183" s="20">
        <f t="shared" si="558"/>
        <v>0</v>
      </c>
      <c r="AK1183" s="100">
        <f t="shared" si="560"/>
        <v>0</v>
      </c>
      <c r="AL1183" s="100">
        <f t="shared" si="561"/>
        <v>0</v>
      </c>
      <c r="AN1183" s="100">
        <f t="shared" si="562"/>
        <v>3029.5109785279528</v>
      </c>
      <c r="AO1183" s="20">
        <f t="shared" si="563"/>
        <v>0</v>
      </c>
      <c r="AQ1183" s="109">
        <f t="shared" si="564"/>
        <v>0</v>
      </c>
      <c r="AU1183" s="109">
        <f t="shared" ref="AU1183:AU1246" si="579">(($AT$27/(1+((1+$AM$27)^(ROW()-29)*30)-1))/292)*0.32</f>
        <v>24.454369229061413</v>
      </c>
      <c r="AV1183" s="101">
        <f t="shared" si="565"/>
        <v>75744</v>
      </c>
      <c r="AW1183" s="99">
        <f t="shared" si="566"/>
        <v>0</v>
      </c>
      <c r="AX1183" s="1">
        <f t="shared" si="567"/>
        <v>0</v>
      </c>
      <c r="AY1183" s="29">
        <f t="shared" si="568"/>
        <v>0</v>
      </c>
      <c r="AZ1183" s="1">
        <f t="shared" ref="AZ1183:AZ1246" si="580">AY1183/360</f>
        <v>0</v>
      </c>
      <c r="CB1183" s="20">
        <f t="shared" si="559"/>
        <v>0</v>
      </c>
      <c r="CC1183" s="173">
        <f t="shared" ref="CC1183:CC1246" si="581">AJ1183+U1183+T1183</f>
        <v>0</v>
      </c>
    </row>
    <row r="1184" spans="10:81" x14ac:dyDescent="0.25">
      <c r="J1184" s="9"/>
      <c r="K1184" s="10"/>
      <c r="L1184" s="17"/>
      <c r="M1184" s="23"/>
      <c r="N1184" s="23"/>
      <c r="O1184" s="23"/>
      <c r="P1184" s="23"/>
      <c r="Q1184" s="1">
        <f t="shared" ref="Q1184:Q1247" si="582">IF(M1184=0,Q1183,(M1184*1200)/O1183)</f>
        <v>0.60744618579017706</v>
      </c>
      <c r="R1184" s="12">
        <f t="shared" ca="1" si="569"/>
        <v>34622</v>
      </c>
      <c r="S1184" s="88">
        <f t="shared" si="578"/>
        <v>0</v>
      </c>
      <c r="T1184" s="19">
        <f t="shared" si="570"/>
        <v>0</v>
      </c>
      <c r="U1184" s="19">
        <f t="shared" si="571"/>
        <v>0</v>
      </c>
      <c r="V1184" s="19">
        <f t="shared" si="557"/>
        <v>0</v>
      </c>
      <c r="W1184" s="20">
        <f t="shared" ca="1" si="572"/>
        <v>0</v>
      </c>
      <c r="X1184" s="19">
        <f t="shared" ca="1" si="573"/>
        <v>0</v>
      </c>
      <c r="Y1184" s="19">
        <f t="shared" ca="1" si="574"/>
        <v>0</v>
      </c>
      <c r="Z1184" s="20">
        <f t="shared" ca="1" si="575"/>
        <v>0</v>
      </c>
      <c r="AA1184" s="1">
        <f t="shared" ref="AA1184:AA1247" si="583">IF(S1184=0,AA1183,N1184)</f>
        <v>5432.58</v>
      </c>
      <c r="AB1184" s="93"/>
      <c r="AC1184" s="94"/>
      <c r="AD1184" s="101">
        <f t="shared" ref="AD1184:AD1247" si="584">IF(M1184=0,AD1183+30,K1184)</f>
        <v>75744</v>
      </c>
      <c r="AE1184" s="103">
        <f t="shared" ref="AE1184:AE1247" si="585">IF(V1184=0,0,R1184)</f>
        <v>0</v>
      </c>
      <c r="AG1184" s="1">
        <f t="shared" si="576"/>
        <v>0</v>
      </c>
      <c r="AH1184" s="1">
        <f t="shared" si="577"/>
        <v>0</v>
      </c>
      <c r="AI1184" s="1">
        <f t="shared" ref="AI1184:AI1247" si="586">IF(M1184-1=0,IF(M1184=0,IF(V1184=0,N1184,AI1183),AA1184),AA1184)</f>
        <v>5432.58</v>
      </c>
      <c r="AJ1184" s="20">
        <f t="shared" si="558"/>
        <v>0</v>
      </c>
      <c r="AK1184" s="100">
        <f t="shared" si="560"/>
        <v>0</v>
      </c>
      <c r="AL1184" s="100">
        <f t="shared" si="561"/>
        <v>0</v>
      </c>
      <c r="AN1184" s="100">
        <f t="shared" si="562"/>
        <v>3027.978200354235</v>
      </c>
      <c r="AO1184" s="20">
        <f t="shared" si="563"/>
        <v>0</v>
      </c>
      <c r="AQ1184" s="109">
        <f t="shared" si="564"/>
        <v>0</v>
      </c>
      <c r="AU1184" s="109">
        <f t="shared" si="579"/>
        <v>24.452222867276397</v>
      </c>
      <c r="AV1184" s="101">
        <f t="shared" si="565"/>
        <v>75774</v>
      </c>
      <c r="AW1184" s="99">
        <f t="shared" si="566"/>
        <v>0</v>
      </c>
      <c r="AX1184" s="1">
        <f t="shared" si="567"/>
        <v>0</v>
      </c>
      <c r="AY1184" s="29">
        <f t="shared" si="568"/>
        <v>0</v>
      </c>
      <c r="AZ1184" s="1">
        <f t="shared" si="580"/>
        <v>0</v>
      </c>
      <c r="CB1184" s="20">
        <f t="shared" si="559"/>
        <v>0</v>
      </c>
      <c r="CC1184" s="173">
        <f t="shared" si="581"/>
        <v>0</v>
      </c>
    </row>
    <row r="1185" spans="10:81" x14ac:dyDescent="0.25">
      <c r="J1185" s="7"/>
      <c r="K1185" s="8"/>
      <c r="L1185" s="16"/>
      <c r="M1185" s="22"/>
      <c r="N1185" s="22"/>
      <c r="O1185" s="22"/>
      <c r="P1185" s="22"/>
      <c r="Q1185" s="1">
        <f t="shared" si="582"/>
        <v>0.60744618579017706</v>
      </c>
      <c r="R1185" s="12">
        <f t="shared" ca="1" si="569"/>
        <v>34652</v>
      </c>
      <c r="S1185" s="88">
        <f t="shared" si="578"/>
        <v>0</v>
      </c>
      <c r="T1185" s="19">
        <f t="shared" si="570"/>
        <v>0</v>
      </c>
      <c r="U1185" s="19">
        <f t="shared" si="571"/>
        <v>0</v>
      </c>
      <c r="V1185" s="19">
        <f t="shared" si="557"/>
        <v>0</v>
      </c>
      <c r="W1185" s="20">
        <f t="shared" ca="1" si="572"/>
        <v>0</v>
      </c>
      <c r="X1185" s="19">
        <f t="shared" ca="1" si="573"/>
        <v>0</v>
      </c>
      <c r="Y1185" s="19">
        <f t="shared" ca="1" si="574"/>
        <v>0</v>
      </c>
      <c r="Z1185" s="20">
        <f t="shared" ca="1" si="575"/>
        <v>0</v>
      </c>
      <c r="AA1185" s="1">
        <f t="shared" si="583"/>
        <v>5432.58</v>
      </c>
      <c r="AB1185" s="91"/>
      <c r="AC1185" s="92"/>
      <c r="AD1185" s="101">
        <f t="shared" si="584"/>
        <v>75774</v>
      </c>
      <c r="AE1185" s="103">
        <f t="shared" si="585"/>
        <v>0</v>
      </c>
      <c r="AG1185" s="1">
        <f t="shared" si="576"/>
        <v>0</v>
      </c>
      <c r="AH1185" s="1">
        <f t="shared" si="577"/>
        <v>0</v>
      </c>
      <c r="AI1185" s="1">
        <f t="shared" si="586"/>
        <v>5432.58</v>
      </c>
      <c r="AJ1185" s="20">
        <f t="shared" si="558"/>
        <v>0</v>
      </c>
      <c r="AK1185" s="100">
        <f t="shared" si="560"/>
        <v>0</v>
      </c>
      <c r="AL1185" s="100">
        <f t="shared" si="561"/>
        <v>0</v>
      </c>
      <c r="AN1185" s="100">
        <f t="shared" si="562"/>
        <v>3026.4461976881639</v>
      </c>
      <c r="AO1185" s="20">
        <f t="shared" si="563"/>
        <v>0</v>
      </c>
      <c r="AQ1185" s="109">
        <f t="shared" si="564"/>
        <v>0</v>
      </c>
      <c r="AU1185" s="109">
        <f t="shared" si="579"/>
        <v>24.450076693877715</v>
      </c>
      <c r="AV1185" s="101">
        <f t="shared" si="565"/>
        <v>75804</v>
      </c>
      <c r="AW1185" s="99">
        <f t="shared" si="566"/>
        <v>0</v>
      </c>
      <c r="AX1185" s="1">
        <f t="shared" si="567"/>
        <v>0</v>
      </c>
      <c r="AY1185" s="29">
        <f t="shared" si="568"/>
        <v>0</v>
      </c>
      <c r="AZ1185" s="1">
        <f t="shared" si="580"/>
        <v>0</v>
      </c>
      <c r="CB1185" s="20">
        <f t="shared" si="559"/>
        <v>0</v>
      </c>
      <c r="CC1185" s="173">
        <f t="shared" si="581"/>
        <v>0</v>
      </c>
    </row>
    <row r="1186" spans="10:81" x14ac:dyDescent="0.25">
      <c r="J1186" s="9"/>
      <c r="K1186" s="10"/>
      <c r="L1186" s="17"/>
      <c r="M1186" s="23"/>
      <c r="N1186" s="23"/>
      <c r="O1186" s="23"/>
      <c r="P1186" s="23"/>
      <c r="Q1186" s="1">
        <f t="shared" si="582"/>
        <v>0.60744618579017706</v>
      </c>
      <c r="R1186" s="12">
        <f t="shared" ca="1" si="569"/>
        <v>34682</v>
      </c>
      <c r="S1186" s="88">
        <f t="shared" si="578"/>
        <v>0</v>
      </c>
      <c r="T1186" s="19">
        <f t="shared" si="570"/>
        <v>0</v>
      </c>
      <c r="U1186" s="19">
        <f t="shared" si="571"/>
        <v>0</v>
      </c>
      <c r="V1186" s="19">
        <f t="shared" ref="V1186:V1249" si="587">IF(ISERROR(IF(V1185+U1186+T1186+(V1185*Q1186/1200)-AA1186-P1186&lt;0,0,V1185+U1186+T1186-AA1186-P1186)),0,IF(V1185+U1186+T1186+(V1185*Q1186/1200)-AA1186-CB1186&lt;0,0,V1185+U1186+T1186-AA1186-CB1186))</f>
        <v>0</v>
      </c>
      <c r="W1186" s="20">
        <f t="shared" ca="1" si="572"/>
        <v>0</v>
      </c>
      <c r="X1186" s="19">
        <f t="shared" ca="1" si="573"/>
        <v>0</v>
      </c>
      <c r="Y1186" s="19">
        <f t="shared" ca="1" si="574"/>
        <v>0</v>
      </c>
      <c r="Z1186" s="20">
        <f t="shared" ca="1" si="575"/>
        <v>0</v>
      </c>
      <c r="AA1186" s="1">
        <f t="shared" si="583"/>
        <v>5432.58</v>
      </c>
      <c r="AB1186" s="93"/>
      <c r="AC1186" s="94"/>
      <c r="AD1186" s="101">
        <f t="shared" si="584"/>
        <v>75804</v>
      </c>
      <c r="AE1186" s="103">
        <f t="shared" si="585"/>
        <v>0</v>
      </c>
      <c r="AG1186" s="1">
        <f t="shared" si="576"/>
        <v>0</v>
      </c>
      <c r="AH1186" s="1">
        <f t="shared" si="577"/>
        <v>0</v>
      </c>
      <c r="AI1186" s="1">
        <f t="shared" si="586"/>
        <v>5432.58</v>
      </c>
      <c r="AJ1186" s="20">
        <f t="shared" si="558"/>
        <v>0</v>
      </c>
      <c r="AK1186" s="100">
        <f t="shared" si="560"/>
        <v>0</v>
      </c>
      <c r="AL1186" s="100">
        <f t="shared" si="561"/>
        <v>0</v>
      </c>
      <c r="AN1186" s="100">
        <f t="shared" si="562"/>
        <v>3024.9149701373726</v>
      </c>
      <c r="AO1186" s="20">
        <f t="shared" si="563"/>
        <v>0</v>
      </c>
      <c r="AQ1186" s="109">
        <f t="shared" si="564"/>
        <v>0</v>
      </c>
      <c r="AU1186" s="109">
        <f t="shared" si="579"/>
        <v>24.44793070884883</v>
      </c>
      <c r="AV1186" s="101">
        <f t="shared" si="565"/>
        <v>75834</v>
      </c>
      <c r="AW1186" s="99">
        <f t="shared" si="566"/>
        <v>0</v>
      </c>
      <c r="AX1186" s="1">
        <f t="shared" si="567"/>
        <v>0</v>
      </c>
      <c r="AY1186" s="29">
        <f t="shared" si="568"/>
        <v>0</v>
      </c>
      <c r="AZ1186" s="1">
        <f t="shared" si="580"/>
        <v>0</v>
      </c>
      <c r="CB1186" s="20">
        <f t="shared" si="559"/>
        <v>0</v>
      </c>
      <c r="CC1186" s="173">
        <f t="shared" si="581"/>
        <v>0</v>
      </c>
    </row>
    <row r="1187" spans="10:81" x14ac:dyDescent="0.25">
      <c r="J1187" s="7"/>
      <c r="K1187" s="8"/>
      <c r="L1187" s="16"/>
      <c r="M1187" s="22"/>
      <c r="N1187" s="22"/>
      <c r="O1187" s="22"/>
      <c r="P1187" s="22"/>
      <c r="Q1187" s="1">
        <f t="shared" si="582"/>
        <v>0.60744618579017706</v>
      </c>
      <c r="R1187" s="12">
        <f t="shared" ca="1" si="569"/>
        <v>34712</v>
      </c>
      <c r="S1187" s="88">
        <f t="shared" si="578"/>
        <v>0</v>
      </c>
      <c r="T1187" s="19">
        <f t="shared" si="570"/>
        <v>0</v>
      </c>
      <c r="U1187" s="19">
        <f t="shared" si="571"/>
        <v>0</v>
      </c>
      <c r="V1187" s="19">
        <f t="shared" si="587"/>
        <v>0</v>
      </c>
      <c r="W1187" s="20">
        <f t="shared" ca="1" si="572"/>
        <v>0</v>
      </c>
      <c r="X1187" s="19">
        <f t="shared" ca="1" si="573"/>
        <v>0</v>
      </c>
      <c r="Y1187" s="19">
        <f t="shared" ca="1" si="574"/>
        <v>0</v>
      </c>
      <c r="Z1187" s="20">
        <f t="shared" ca="1" si="575"/>
        <v>0</v>
      </c>
      <c r="AA1187" s="1">
        <f t="shared" si="583"/>
        <v>5432.58</v>
      </c>
      <c r="AB1187" s="91"/>
      <c r="AC1187" s="92"/>
      <c r="AD1187" s="101">
        <f t="shared" si="584"/>
        <v>75834</v>
      </c>
      <c r="AE1187" s="103">
        <f t="shared" si="585"/>
        <v>0</v>
      </c>
      <c r="AG1187" s="1">
        <f t="shared" si="576"/>
        <v>0</v>
      </c>
      <c r="AH1187" s="1">
        <f t="shared" si="577"/>
        <v>0</v>
      </c>
      <c r="AI1187" s="1">
        <f t="shared" si="586"/>
        <v>5432.58</v>
      </c>
      <c r="AJ1187" s="20">
        <f t="shared" si="558"/>
        <v>0</v>
      </c>
      <c r="AK1187" s="100">
        <f t="shared" si="560"/>
        <v>0</v>
      </c>
      <c r="AL1187" s="100">
        <f t="shared" si="561"/>
        <v>0</v>
      </c>
      <c r="AN1187" s="100">
        <f t="shared" si="562"/>
        <v>3023.3845173096911</v>
      </c>
      <c r="AO1187" s="20">
        <f t="shared" si="563"/>
        <v>0</v>
      </c>
      <c r="AQ1187" s="109">
        <f t="shared" si="564"/>
        <v>0</v>
      </c>
      <c r="AU1187" s="109">
        <f t="shared" si="579"/>
        <v>24.445784912173213</v>
      </c>
      <c r="AV1187" s="101">
        <f t="shared" si="565"/>
        <v>75864</v>
      </c>
      <c r="AW1187" s="99">
        <f t="shared" si="566"/>
        <v>0</v>
      </c>
      <c r="AX1187" s="1">
        <f t="shared" si="567"/>
        <v>0</v>
      </c>
      <c r="AY1187" s="29">
        <f t="shared" si="568"/>
        <v>0</v>
      </c>
      <c r="AZ1187" s="1">
        <f t="shared" si="580"/>
        <v>0</v>
      </c>
      <c r="CB1187" s="20">
        <f t="shared" si="559"/>
        <v>0</v>
      </c>
      <c r="CC1187" s="173">
        <f t="shared" si="581"/>
        <v>0</v>
      </c>
    </row>
    <row r="1188" spans="10:81" x14ac:dyDescent="0.25">
      <c r="J1188" s="9"/>
      <c r="K1188" s="10"/>
      <c r="L1188" s="17"/>
      <c r="M1188" s="23"/>
      <c r="N1188" s="23"/>
      <c r="O1188" s="23"/>
      <c r="P1188" s="23"/>
      <c r="Q1188" s="1">
        <f t="shared" si="582"/>
        <v>0.60744618579017706</v>
      </c>
      <c r="R1188" s="12">
        <f t="shared" ca="1" si="569"/>
        <v>34742</v>
      </c>
      <c r="S1188" s="88">
        <f t="shared" si="578"/>
        <v>0</v>
      </c>
      <c r="T1188" s="19">
        <f t="shared" si="570"/>
        <v>0</v>
      </c>
      <c r="U1188" s="19">
        <f t="shared" si="571"/>
        <v>0</v>
      </c>
      <c r="V1188" s="19">
        <f t="shared" si="587"/>
        <v>0</v>
      </c>
      <c r="W1188" s="20">
        <f t="shared" ca="1" si="572"/>
        <v>0</v>
      </c>
      <c r="X1188" s="19">
        <f t="shared" ca="1" si="573"/>
        <v>0</v>
      </c>
      <c r="Y1188" s="19">
        <f t="shared" ca="1" si="574"/>
        <v>0</v>
      </c>
      <c r="Z1188" s="20">
        <f t="shared" ca="1" si="575"/>
        <v>0</v>
      </c>
      <c r="AA1188" s="1">
        <f t="shared" si="583"/>
        <v>5432.58</v>
      </c>
      <c r="AB1188" s="93"/>
      <c r="AC1188" s="94"/>
      <c r="AD1188" s="101">
        <f t="shared" si="584"/>
        <v>75864</v>
      </c>
      <c r="AE1188" s="103">
        <f t="shared" si="585"/>
        <v>0</v>
      </c>
      <c r="AG1188" s="1">
        <f t="shared" si="576"/>
        <v>0</v>
      </c>
      <c r="AH1188" s="1">
        <f t="shared" si="577"/>
        <v>0</v>
      </c>
      <c r="AI1188" s="1">
        <f t="shared" si="586"/>
        <v>5432.58</v>
      </c>
      <c r="AJ1188" s="20">
        <f t="shared" si="558"/>
        <v>0</v>
      </c>
      <c r="AK1188" s="100">
        <f t="shared" si="560"/>
        <v>0</v>
      </c>
      <c r="AL1188" s="100">
        <f t="shared" si="561"/>
        <v>0</v>
      </c>
      <c r="AN1188" s="100">
        <f t="shared" si="562"/>
        <v>3021.8548388131503</v>
      </c>
      <c r="AO1188" s="20">
        <f t="shared" si="563"/>
        <v>0</v>
      </c>
      <c r="AQ1188" s="109">
        <f t="shared" si="564"/>
        <v>0</v>
      </c>
      <c r="AU1188" s="109">
        <f t="shared" si="579"/>
        <v>24.443639303834324</v>
      </c>
      <c r="AV1188" s="101">
        <f t="shared" si="565"/>
        <v>75894</v>
      </c>
      <c r="AW1188" s="99">
        <f t="shared" si="566"/>
        <v>0</v>
      </c>
      <c r="AX1188" s="1">
        <f t="shared" si="567"/>
        <v>0</v>
      </c>
      <c r="AY1188" s="29">
        <f t="shared" si="568"/>
        <v>0</v>
      </c>
      <c r="AZ1188" s="1">
        <f t="shared" si="580"/>
        <v>0</v>
      </c>
      <c r="CB1188" s="20">
        <f t="shared" si="559"/>
        <v>0</v>
      </c>
      <c r="CC1188" s="173">
        <f t="shared" si="581"/>
        <v>0</v>
      </c>
    </row>
    <row r="1189" spans="10:81" x14ac:dyDescent="0.25">
      <c r="J1189" s="7"/>
      <c r="K1189" s="8"/>
      <c r="L1189" s="16"/>
      <c r="M1189" s="22"/>
      <c r="N1189" s="22"/>
      <c r="O1189" s="22"/>
      <c r="P1189" s="22"/>
      <c r="Q1189" s="1">
        <f t="shared" si="582"/>
        <v>0.60744618579017706</v>
      </c>
      <c r="R1189" s="12">
        <f t="shared" ca="1" si="569"/>
        <v>34772</v>
      </c>
      <c r="S1189" s="88">
        <f t="shared" si="578"/>
        <v>0</v>
      </c>
      <c r="T1189" s="19">
        <f t="shared" si="570"/>
        <v>0</v>
      </c>
      <c r="U1189" s="19">
        <f t="shared" si="571"/>
        <v>0</v>
      </c>
      <c r="V1189" s="19">
        <f t="shared" si="587"/>
        <v>0</v>
      </c>
      <c r="W1189" s="20">
        <f t="shared" ca="1" si="572"/>
        <v>0</v>
      </c>
      <c r="X1189" s="19">
        <f t="shared" ca="1" si="573"/>
        <v>0</v>
      </c>
      <c r="Y1189" s="19">
        <f t="shared" ca="1" si="574"/>
        <v>0</v>
      </c>
      <c r="Z1189" s="20">
        <f t="shared" ca="1" si="575"/>
        <v>0</v>
      </c>
      <c r="AA1189" s="1">
        <f t="shared" si="583"/>
        <v>5432.58</v>
      </c>
      <c r="AB1189" s="91"/>
      <c r="AC1189" s="92"/>
      <c r="AD1189" s="101">
        <f t="shared" si="584"/>
        <v>75894</v>
      </c>
      <c r="AE1189" s="103">
        <f t="shared" si="585"/>
        <v>0</v>
      </c>
      <c r="AG1189" s="1">
        <f t="shared" si="576"/>
        <v>0</v>
      </c>
      <c r="AH1189" s="1">
        <f t="shared" si="577"/>
        <v>0</v>
      </c>
      <c r="AI1189" s="1">
        <f t="shared" si="586"/>
        <v>5432.58</v>
      </c>
      <c r="AJ1189" s="20">
        <f t="shared" si="558"/>
        <v>0</v>
      </c>
      <c r="AK1189" s="100">
        <f t="shared" si="560"/>
        <v>0</v>
      </c>
      <c r="AL1189" s="100">
        <f t="shared" si="561"/>
        <v>0</v>
      </c>
      <c r="AN1189" s="100">
        <f t="shared" si="562"/>
        <v>3020.3259342559777</v>
      </c>
      <c r="AO1189" s="20">
        <f t="shared" si="563"/>
        <v>0</v>
      </c>
      <c r="AQ1189" s="109">
        <f t="shared" si="564"/>
        <v>0</v>
      </c>
      <c r="AU1189" s="109">
        <f t="shared" si="579"/>
        <v>24.441493883815635</v>
      </c>
      <c r="AV1189" s="101">
        <f t="shared" si="565"/>
        <v>75924</v>
      </c>
      <c r="AW1189" s="99">
        <f t="shared" si="566"/>
        <v>0</v>
      </c>
      <c r="AX1189" s="1">
        <f t="shared" si="567"/>
        <v>0</v>
      </c>
      <c r="AY1189" s="29">
        <f t="shared" si="568"/>
        <v>0</v>
      </c>
      <c r="AZ1189" s="1">
        <f t="shared" si="580"/>
        <v>0</v>
      </c>
      <c r="CB1189" s="20">
        <f t="shared" si="559"/>
        <v>0</v>
      </c>
      <c r="CC1189" s="173">
        <f t="shared" si="581"/>
        <v>0</v>
      </c>
    </row>
    <row r="1190" spans="10:81" x14ac:dyDescent="0.25">
      <c r="J1190" s="9"/>
      <c r="K1190" s="10"/>
      <c r="L1190" s="17"/>
      <c r="M1190" s="23"/>
      <c r="N1190" s="23"/>
      <c r="O1190" s="23"/>
      <c r="P1190" s="23"/>
      <c r="Q1190" s="1">
        <f t="shared" si="582"/>
        <v>0.60744618579017706</v>
      </c>
      <c r="R1190" s="12">
        <f t="shared" ca="1" si="569"/>
        <v>34802</v>
      </c>
      <c r="S1190" s="88">
        <f t="shared" si="578"/>
        <v>0</v>
      </c>
      <c r="T1190" s="19">
        <f t="shared" si="570"/>
        <v>0</v>
      </c>
      <c r="U1190" s="19">
        <f t="shared" si="571"/>
        <v>0</v>
      </c>
      <c r="V1190" s="19">
        <f t="shared" si="587"/>
        <v>0</v>
      </c>
      <c r="W1190" s="20">
        <f t="shared" ca="1" si="572"/>
        <v>0</v>
      </c>
      <c r="X1190" s="19">
        <f t="shared" ca="1" si="573"/>
        <v>0</v>
      </c>
      <c r="Y1190" s="19">
        <f t="shared" ca="1" si="574"/>
        <v>0</v>
      </c>
      <c r="Z1190" s="20">
        <f t="shared" ca="1" si="575"/>
        <v>0</v>
      </c>
      <c r="AA1190" s="1">
        <f t="shared" si="583"/>
        <v>5432.58</v>
      </c>
      <c r="AB1190" s="93"/>
      <c r="AC1190" s="94"/>
      <c r="AD1190" s="101">
        <f t="shared" si="584"/>
        <v>75924</v>
      </c>
      <c r="AE1190" s="103">
        <f t="shared" si="585"/>
        <v>0</v>
      </c>
      <c r="AG1190" s="1">
        <f t="shared" si="576"/>
        <v>0</v>
      </c>
      <c r="AH1190" s="1">
        <f t="shared" si="577"/>
        <v>0</v>
      </c>
      <c r="AI1190" s="1">
        <f t="shared" si="586"/>
        <v>5432.58</v>
      </c>
      <c r="AJ1190" s="20">
        <f t="shared" si="558"/>
        <v>0</v>
      </c>
      <c r="AK1190" s="100">
        <f t="shared" si="560"/>
        <v>0</v>
      </c>
      <c r="AL1190" s="100">
        <f t="shared" si="561"/>
        <v>0</v>
      </c>
      <c r="AN1190" s="100">
        <f t="shared" si="562"/>
        <v>3018.7978032465985</v>
      </c>
      <c r="AO1190" s="20">
        <f t="shared" si="563"/>
        <v>0</v>
      </c>
      <c r="AQ1190" s="109">
        <f t="shared" si="564"/>
        <v>0</v>
      </c>
      <c r="AU1190" s="109">
        <f t="shared" si="579"/>
        <v>24.439348652100616</v>
      </c>
      <c r="AV1190" s="101">
        <f t="shared" si="565"/>
        <v>75954</v>
      </c>
      <c r="AW1190" s="99">
        <f t="shared" si="566"/>
        <v>0</v>
      </c>
      <c r="AX1190" s="1">
        <f t="shared" si="567"/>
        <v>0</v>
      </c>
      <c r="AY1190" s="29">
        <f t="shared" si="568"/>
        <v>0</v>
      </c>
      <c r="AZ1190" s="1">
        <f t="shared" si="580"/>
        <v>0</v>
      </c>
      <c r="CB1190" s="20">
        <f t="shared" si="559"/>
        <v>0</v>
      </c>
      <c r="CC1190" s="173">
        <f t="shared" si="581"/>
        <v>0</v>
      </c>
    </row>
    <row r="1191" spans="10:81" x14ac:dyDescent="0.25">
      <c r="J1191" s="7"/>
      <c r="K1191" s="8"/>
      <c r="L1191" s="16"/>
      <c r="M1191" s="22"/>
      <c r="N1191" s="22"/>
      <c r="O1191" s="22"/>
      <c r="P1191" s="22"/>
      <c r="Q1191" s="1">
        <f t="shared" si="582"/>
        <v>0.60744618579017706</v>
      </c>
      <c r="R1191" s="12">
        <f t="shared" ca="1" si="569"/>
        <v>34832</v>
      </c>
      <c r="S1191" s="88">
        <f t="shared" si="578"/>
        <v>0</v>
      </c>
      <c r="T1191" s="19">
        <f t="shared" si="570"/>
        <v>0</v>
      </c>
      <c r="U1191" s="19">
        <f t="shared" si="571"/>
        <v>0</v>
      </c>
      <c r="V1191" s="19">
        <f t="shared" si="587"/>
        <v>0</v>
      </c>
      <c r="W1191" s="20">
        <f t="shared" ca="1" si="572"/>
        <v>0</v>
      </c>
      <c r="X1191" s="19">
        <f t="shared" ca="1" si="573"/>
        <v>0</v>
      </c>
      <c r="Y1191" s="19">
        <f t="shared" ca="1" si="574"/>
        <v>0</v>
      </c>
      <c r="Z1191" s="20">
        <f t="shared" ca="1" si="575"/>
        <v>0</v>
      </c>
      <c r="AA1191" s="1">
        <f t="shared" si="583"/>
        <v>5432.58</v>
      </c>
      <c r="AB1191" s="91"/>
      <c r="AC1191" s="92"/>
      <c r="AD1191" s="101">
        <f t="shared" si="584"/>
        <v>75954</v>
      </c>
      <c r="AE1191" s="103">
        <f t="shared" si="585"/>
        <v>0</v>
      </c>
      <c r="AG1191" s="1">
        <f t="shared" si="576"/>
        <v>0</v>
      </c>
      <c r="AH1191" s="1">
        <f t="shared" si="577"/>
        <v>0</v>
      </c>
      <c r="AI1191" s="1">
        <f t="shared" si="586"/>
        <v>5432.58</v>
      </c>
      <c r="AJ1191" s="20">
        <f t="shared" si="558"/>
        <v>0</v>
      </c>
      <c r="AK1191" s="100">
        <f t="shared" si="560"/>
        <v>0</v>
      </c>
      <c r="AL1191" s="100">
        <f t="shared" si="561"/>
        <v>0</v>
      </c>
      <c r="AN1191" s="100">
        <f t="shared" si="562"/>
        <v>3017.270445393639</v>
      </c>
      <c r="AO1191" s="20">
        <f t="shared" si="563"/>
        <v>0</v>
      </c>
      <c r="AQ1191" s="109">
        <f t="shared" si="564"/>
        <v>0</v>
      </c>
      <c r="AU1191" s="109">
        <f t="shared" si="579"/>
        <v>24.437203608672753</v>
      </c>
      <c r="AV1191" s="101">
        <f t="shared" si="565"/>
        <v>75984</v>
      </c>
      <c r="AW1191" s="99">
        <f t="shared" si="566"/>
        <v>0</v>
      </c>
      <c r="AX1191" s="1">
        <f t="shared" si="567"/>
        <v>0</v>
      </c>
      <c r="AY1191" s="29">
        <f t="shared" si="568"/>
        <v>0</v>
      </c>
      <c r="AZ1191" s="1">
        <f t="shared" si="580"/>
        <v>0</v>
      </c>
      <c r="CB1191" s="20">
        <f t="shared" si="559"/>
        <v>0</v>
      </c>
      <c r="CC1191" s="173">
        <f t="shared" si="581"/>
        <v>0</v>
      </c>
    </row>
    <row r="1192" spans="10:81" x14ac:dyDescent="0.25">
      <c r="J1192" s="9"/>
      <c r="K1192" s="10"/>
      <c r="L1192" s="17"/>
      <c r="M1192" s="23"/>
      <c r="N1192" s="23"/>
      <c r="O1192" s="23"/>
      <c r="P1192" s="23"/>
      <c r="Q1192" s="1">
        <f t="shared" si="582"/>
        <v>0.60744618579017706</v>
      </c>
      <c r="R1192" s="12">
        <f t="shared" ca="1" si="569"/>
        <v>34862</v>
      </c>
      <c r="S1192" s="88">
        <f t="shared" si="578"/>
        <v>0</v>
      </c>
      <c r="T1192" s="19">
        <f t="shared" si="570"/>
        <v>0</v>
      </c>
      <c r="U1192" s="19">
        <f t="shared" si="571"/>
        <v>0</v>
      </c>
      <c r="V1192" s="19">
        <f t="shared" si="587"/>
        <v>0</v>
      </c>
      <c r="W1192" s="20">
        <f t="shared" ca="1" si="572"/>
        <v>0</v>
      </c>
      <c r="X1192" s="19">
        <f t="shared" ca="1" si="573"/>
        <v>0</v>
      </c>
      <c r="Y1192" s="19">
        <f t="shared" ca="1" si="574"/>
        <v>0</v>
      </c>
      <c r="Z1192" s="20">
        <f t="shared" ca="1" si="575"/>
        <v>0</v>
      </c>
      <c r="AA1192" s="1">
        <f t="shared" si="583"/>
        <v>5432.58</v>
      </c>
      <c r="AB1192" s="93"/>
      <c r="AC1192" s="94"/>
      <c r="AD1192" s="101">
        <f t="shared" si="584"/>
        <v>75984</v>
      </c>
      <c r="AE1192" s="103">
        <f t="shared" si="585"/>
        <v>0</v>
      </c>
      <c r="AG1192" s="1">
        <f t="shared" si="576"/>
        <v>0</v>
      </c>
      <c r="AH1192" s="1">
        <f t="shared" si="577"/>
        <v>0</v>
      </c>
      <c r="AI1192" s="1">
        <f t="shared" si="586"/>
        <v>5432.58</v>
      </c>
      <c r="AJ1192" s="20">
        <f t="shared" ref="AJ1192:AJ1255" si="588">IF(ISERROR(IF(V1191+U1192+T1192+(V1191*Q1192/1200)-AA1192-P1192&lt;0,V1191,-(U1192+T1192-AA1192+P1192-AH1192))),0,IF(V1191+U1192+T1192+(V1191*Q1192/1200)-AA1192-P1192&lt;0,0,-(U1192+T1192-AA1192-AH1192)))</f>
        <v>0</v>
      </c>
      <c r="AK1192" s="100">
        <f t="shared" si="560"/>
        <v>0</v>
      </c>
      <c r="AL1192" s="100">
        <f t="shared" si="561"/>
        <v>0</v>
      </c>
      <c r="AN1192" s="100">
        <f t="shared" si="562"/>
        <v>3015.74386030592</v>
      </c>
      <c r="AO1192" s="20">
        <f t="shared" si="563"/>
        <v>0</v>
      </c>
      <c r="AQ1192" s="109">
        <f t="shared" si="564"/>
        <v>0</v>
      </c>
      <c r="AU1192" s="109">
        <f t="shared" si="579"/>
        <v>24.435058753515502</v>
      </c>
      <c r="AV1192" s="101">
        <f t="shared" si="565"/>
        <v>76014</v>
      </c>
      <c r="AW1192" s="99">
        <f t="shared" si="566"/>
        <v>0</v>
      </c>
      <c r="AX1192" s="1">
        <f t="shared" si="567"/>
        <v>0</v>
      </c>
      <c r="AY1192" s="29">
        <f t="shared" si="568"/>
        <v>0</v>
      </c>
      <c r="AZ1192" s="1">
        <f t="shared" si="580"/>
        <v>0</v>
      </c>
      <c r="CB1192" s="20">
        <f t="shared" si="559"/>
        <v>0</v>
      </c>
      <c r="CC1192" s="173">
        <f t="shared" si="581"/>
        <v>0</v>
      </c>
    </row>
    <row r="1193" spans="10:81" x14ac:dyDescent="0.25">
      <c r="J1193" s="7"/>
      <c r="K1193" s="8"/>
      <c r="L1193" s="16"/>
      <c r="M1193" s="22"/>
      <c r="N1193" s="22"/>
      <c r="O1193" s="22"/>
      <c r="P1193" s="22"/>
      <c r="Q1193" s="1">
        <f t="shared" si="582"/>
        <v>0.60744618579017706</v>
      </c>
      <c r="R1193" s="12">
        <f t="shared" ca="1" si="569"/>
        <v>34892</v>
      </c>
      <c r="S1193" s="88">
        <f t="shared" si="578"/>
        <v>0</v>
      </c>
      <c r="T1193" s="19">
        <f t="shared" si="570"/>
        <v>0</v>
      </c>
      <c r="U1193" s="19">
        <f t="shared" si="571"/>
        <v>0</v>
      </c>
      <c r="V1193" s="19">
        <f t="shared" si="587"/>
        <v>0</v>
      </c>
      <c r="W1193" s="20">
        <f t="shared" ca="1" si="572"/>
        <v>0</v>
      </c>
      <c r="X1193" s="19">
        <f t="shared" ca="1" si="573"/>
        <v>0</v>
      </c>
      <c r="Y1193" s="19">
        <f t="shared" ca="1" si="574"/>
        <v>0</v>
      </c>
      <c r="Z1193" s="20">
        <f t="shared" ca="1" si="575"/>
        <v>0</v>
      </c>
      <c r="AA1193" s="1">
        <f t="shared" si="583"/>
        <v>5432.58</v>
      </c>
      <c r="AB1193" s="91"/>
      <c r="AC1193" s="92"/>
      <c r="AD1193" s="101">
        <f t="shared" si="584"/>
        <v>76014</v>
      </c>
      <c r="AE1193" s="103">
        <f t="shared" si="585"/>
        <v>0</v>
      </c>
      <c r="AG1193" s="1">
        <f t="shared" si="576"/>
        <v>0</v>
      </c>
      <c r="AH1193" s="1">
        <f t="shared" si="577"/>
        <v>0</v>
      </c>
      <c r="AI1193" s="1">
        <f t="shared" si="586"/>
        <v>5432.58</v>
      </c>
      <c r="AJ1193" s="20">
        <f t="shared" si="588"/>
        <v>0</v>
      </c>
      <c r="AK1193" s="100">
        <f t="shared" si="560"/>
        <v>0</v>
      </c>
      <c r="AL1193" s="100">
        <f t="shared" si="561"/>
        <v>0</v>
      </c>
      <c r="AN1193" s="100">
        <f t="shared" si="562"/>
        <v>3014.2180475924606</v>
      </c>
      <c r="AO1193" s="20">
        <f t="shared" si="563"/>
        <v>0</v>
      </c>
      <c r="AQ1193" s="109">
        <f t="shared" si="564"/>
        <v>0</v>
      </c>
      <c r="AU1193" s="109">
        <f t="shared" si="579"/>
        <v>24.432914086612342</v>
      </c>
      <c r="AV1193" s="101">
        <f t="shared" si="565"/>
        <v>76044</v>
      </c>
      <c r="AW1193" s="99">
        <f t="shared" si="566"/>
        <v>0</v>
      </c>
      <c r="AX1193" s="1">
        <f t="shared" si="567"/>
        <v>0</v>
      </c>
      <c r="AY1193" s="29">
        <f t="shared" si="568"/>
        <v>0</v>
      </c>
      <c r="AZ1193" s="1">
        <f t="shared" si="580"/>
        <v>0</v>
      </c>
      <c r="CB1193" s="20">
        <f t="shared" si="559"/>
        <v>0</v>
      </c>
      <c r="CC1193" s="173">
        <f t="shared" si="581"/>
        <v>0</v>
      </c>
    </row>
    <row r="1194" spans="10:81" x14ac:dyDescent="0.25">
      <c r="J1194" s="9"/>
      <c r="K1194" s="10"/>
      <c r="L1194" s="17"/>
      <c r="M1194" s="23"/>
      <c r="N1194" s="23"/>
      <c r="O1194" s="23"/>
      <c r="P1194" s="23"/>
      <c r="Q1194" s="1">
        <f t="shared" si="582"/>
        <v>0.60744618579017706</v>
      </c>
      <c r="R1194" s="12">
        <f t="shared" ca="1" si="569"/>
        <v>34922</v>
      </c>
      <c r="S1194" s="88">
        <f t="shared" si="578"/>
        <v>0</v>
      </c>
      <c r="T1194" s="19">
        <f t="shared" si="570"/>
        <v>0</v>
      </c>
      <c r="U1194" s="19">
        <f t="shared" si="571"/>
        <v>0</v>
      </c>
      <c r="V1194" s="19">
        <f t="shared" si="587"/>
        <v>0</v>
      </c>
      <c r="W1194" s="20">
        <f t="shared" ca="1" si="572"/>
        <v>0</v>
      </c>
      <c r="X1194" s="19">
        <f t="shared" ca="1" si="573"/>
        <v>0</v>
      </c>
      <c r="Y1194" s="19">
        <f t="shared" ca="1" si="574"/>
        <v>0</v>
      </c>
      <c r="Z1194" s="20">
        <f t="shared" ca="1" si="575"/>
        <v>0</v>
      </c>
      <c r="AA1194" s="1">
        <f t="shared" si="583"/>
        <v>5432.58</v>
      </c>
      <c r="AB1194" s="93"/>
      <c r="AC1194" s="94"/>
      <c r="AD1194" s="101">
        <f t="shared" si="584"/>
        <v>76044</v>
      </c>
      <c r="AE1194" s="103">
        <f t="shared" si="585"/>
        <v>0</v>
      </c>
      <c r="AG1194" s="1">
        <f t="shared" si="576"/>
        <v>0</v>
      </c>
      <c r="AH1194" s="1">
        <f t="shared" si="577"/>
        <v>0</v>
      </c>
      <c r="AI1194" s="1">
        <f t="shared" si="586"/>
        <v>5432.58</v>
      </c>
      <c r="AJ1194" s="20">
        <f t="shared" si="588"/>
        <v>0</v>
      </c>
      <c r="AK1194" s="100">
        <f t="shared" si="560"/>
        <v>0</v>
      </c>
      <c r="AL1194" s="100">
        <f t="shared" si="561"/>
        <v>0</v>
      </c>
      <c r="AN1194" s="100">
        <f t="shared" si="562"/>
        <v>3012.6930068624811</v>
      </c>
      <c r="AO1194" s="20">
        <f t="shared" si="563"/>
        <v>0</v>
      </c>
      <c r="AQ1194" s="109">
        <f t="shared" si="564"/>
        <v>0</v>
      </c>
      <c r="AU1194" s="109">
        <f t="shared" si="579"/>
        <v>24.430769607946758</v>
      </c>
      <c r="AV1194" s="101">
        <f t="shared" si="565"/>
        <v>76074</v>
      </c>
      <c r="AW1194" s="99">
        <f t="shared" si="566"/>
        <v>0</v>
      </c>
      <c r="AX1194" s="1">
        <f t="shared" si="567"/>
        <v>0</v>
      </c>
      <c r="AY1194" s="29">
        <f t="shared" si="568"/>
        <v>0</v>
      </c>
      <c r="AZ1194" s="1">
        <f t="shared" si="580"/>
        <v>0</v>
      </c>
      <c r="CB1194" s="20">
        <f t="shared" si="559"/>
        <v>0</v>
      </c>
      <c r="CC1194" s="173">
        <f t="shared" si="581"/>
        <v>0</v>
      </c>
    </row>
    <row r="1195" spans="10:81" x14ac:dyDescent="0.25">
      <c r="J1195" s="7"/>
      <c r="K1195" s="8"/>
      <c r="L1195" s="16"/>
      <c r="M1195" s="22"/>
      <c r="N1195" s="22"/>
      <c r="O1195" s="22"/>
      <c r="P1195" s="22"/>
      <c r="Q1195" s="1">
        <f t="shared" si="582"/>
        <v>0.60744618579017706</v>
      </c>
      <c r="R1195" s="12">
        <f t="shared" ca="1" si="569"/>
        <v>34952</v>
      </c>
      <c r="S1195" s="88">
        <f t="shared" si="578"/>
        <v>0</v>
      </c>
      <c r="T1195" s="19">
        <f t="shared" si="570"/>
        <v>0</v>
      </c>
      <c r="U1195" s="19">
        <f t="shared" si="571"/>
        <v>0</v>
      </c>
      <c r="V1195" s="19">
        <f t="shared" si="587"/>
        <v>0</v>
      </c>
      <c r="W1195" s="20">
        <f t="shared" ca="1" si="572"/>
        <v>0</v>
      </c>
      <c r="X1195" s="19">
        <f t="shared" ca="1" si="573"/>
        <v>0</v>
      </c>
      <c r="Y1195" s="19">
        <f t="shared" ca="1" si="574"/>
        <v>0</v>
      </c>
      <c r="Z1195" s="20">
        <f t="shared" ca="1" si="575"/>
        <v>0</v>
      </c>
      <c r="AA1195" s="1">
        <f t="shared" si="583"/>
        <v>5432.58</v>
      </c>
      <c r="AB1195" s="91"/>
      <c r="AC1195" s="92"/>
      <c r="AD1195" s="101">
        <f t="shared" si="584"/>
        <v>76074</v>
      </c>
      <c r="AE1195" s="103">
        <f t="shared" si="585"/>
        <v>0</v>
      </c>
      <c r="AG1195" s="1">
        <f t="shared" si="576"/>
        <v>0</v>
      </c>
      <c r="AH1195" s="1">
        <f t="shared" si="577"/>
        <v>0</v>
      </c>
      <c r="AI1195" s="1">
        <f t="shared" si="586"/>
        <v>5432.58</v>
      </c>
      <c r="AJ1195" s="20">
        <f t="shared" si="588"/>
        <v>0</v>
      </c>
      <c r="AK1195" s="100">
        <f t="shared" si="560"/>
        <v>0</v>
      </c>
      <c r="AL1195" s="100">
        <f t="shared" si="561"/>
        <v>0</v>
      </c>
      <c r="AN1195" s="100">
        <f t="shared" si="562"/>
        <v>3011.1687377253957</v>
      </c>
      <c r="AO1195" s="20">
        <f t="shared" si="563"/>
        <v>0</v>
      </c>
      <c r="AQ1195" s="109">
        <f t="shared" si="564"/>
        <v>0</v>
      </c>
      <c r="AU1195" s="109">
        <f t="shared" si="579"/>
        <v>24.428625317502224</v>
      </c>
      <c r="AV1195" s="101">
        <f t="shared" si="565"/>
        <v>76104</v>
      </c>
      <c r="AW1195" s="99">
        <f t="shared" si="566"/>
        <v>0</v>
      </c>
      <c r="AX1195" s="1">
        <f t="shared" si="567"/>
        <v>0</v>
      </c>
      <c r="AY1195" s="29">
        <f t="shared" si="568"/>
        <v>0</v>
      </c>
      <c r="AZ1195" s="1">
        <f t="shared" si="580"/>
        <v>0</v>
      </c>
      <c r="CB1195" s="20">
        <f t="shared" si="559"/>
        <v>0</v>
      </c>
      <c r="CC1195" s="173">
        <f t="shared" si="581"/>
        <v>0</v>
      </c>
    </row>
    <row r="1196" spans="10:81" x14ac:dyDescent="0.25">
      <c r="J1196" s="9"/>
      <c r="K1196" s="10"/>
      <c r="L1196" s="17"/>
      <c r="M1196" s="23"/>
      <c r="N1196" s="23"/>
      <c r="O1196" s="23"/>
      <c r="P1196" s="23"/>
      <c r="Q1196" s="1">
        <f t="shared" si="582"/>
        <v>0.60744618579017706</v>
      </c>
      <c r="R1196" s="12">
        <f t="shared" ca="1" si="569"/>
        <v>34982</v>
      </c>
      <c r="S1196" s="88">
        <f t="shared" si="578"/>
        <v>0</v>
      </c>
      <c r="T1196" s="19">
        <f t="shared" si="570"/>
        <v>0</v>
      </c>
      <c r="U1196" s="19">
        <f t="shared" si="571"/>
        <v>0</v>
      </c>
      <c r="V1196" s="19">
        <f t="shared" si="587"/>
        <v>0</v>
      </c>
      <c r="W1196" s="20">
        <f t="shared" ca="1" si="572"/>
        <v>0</v>
      </c>
      <c r="X1196" s="19">
        <f t="shared" ca="1" si="573"/>
        <v>0</v>
      </c>
      <c r="Y1196" s="19">
        <f t="shared" ca="1" si="574"/>
        <v>0</v>
      </c>
      <c r="Z1196" s="20">
        <f t="shared" ca="1" si="575"/>
        <v>0</v>
      </c>
      <c r="AA1196" s="1">
        <f t="shared" si="583"/>
        <v>5432.58</v>
      </c>
      <c r="AB1196" s="93"/>
      <c r="AC1196" s="94"/>
      <c r="AD1196" s="101">
        <f t="shared" si="584"/>
        <v>76104</v>
      </c>
      <c r="AE1196" s="103">
        <f t="shared" si="585"/>
        <v>0</v>
      </c>
      <c r="AG1196" s="1">
        <f t="shared" si="576"/>
        <v>0</v>
      </c>
      <c r="AH1196" s="1">
        <f t="shared" si="577"/>
        <v>0</v>
      </c>
      <c r="AI1196" s="1">
        <f t="shared" si="586"/>
        <v>5432.58</v>
      </c>
      <c r="AJ1196" s="20">
        <f t="shared" si="588"/>
        <v>0</v>
      </c>
      <c r="AK1196" s="100">
        <f t="shared" si="560"/>
        <v>0</v>
      </c>
      <c r="AL1196" s="100">
        <f t="shared" si="561"/>
        <v>0</v>
      </c>
      <c r="AN1196" s="100">
        <f t="shared" si="562"/>
        <v>3009.6452397908183</v>
      </c>
      <c r="AO1196" s="20">
        <f t="shared" si="563"/>
        <v>0</v>
      </c>
      <c r="AQ1196" s="109">
        <f t="shared" si="564"/>
        <v>0</v>
      </c>
      <c r="AU1196" s="109">
        <f t="shared" si="579"/>
        <v>24.426481215262225</v>
      </c>
      <c r="AV1196" s="101">
        <f t="shared" si="565"/>
        <v>76134</v>
      </c>
      <c r="AW1196" s="99">
        <f t="shared" si="566"/>
        <v>0</v>
      </c>
      <c r="AX1196" s="1">
        <f t="shared" si="567"/>
        <v>0</v>
      </c>
      <c r="AY1196" s="29">
        <f t="shared" si="568"/>
        <v>0</v>
      </c>
      <c r="AZ1196" s="1">
        <f t="shared" si="580"/>
        <v>0</v>
      </c>
      <c r="CB1196" s="20">
        <f t="shared" si="559"/>
        <v>0</v>
      </c>
      <c r="CC1196" s="173">
        <f t="shared" si="581"/>
        <v>0</v>
      </c>
    </row>
    <row r="1197" spans="10:81" x14ac:dyDescent="0.25">
      <c r="J1197" s="7"/>
      <c r="K1197" s="8"/>
      <c r="L1197" s="16"/>
      <c r="M1197" s="22"/>
      <c r="N1197" s="22"/>
      <c r="O1197" s="22"/>
      <c r="P1197" s="22"/>
      <c r="Q1197" s="1">
        <f t="shared" si="582"/>
        <v>0.60744618579017706</v>
      </c>
      <c r="R1197" s="12">
        <f t="shared" ca="1" si="569"/>
        <v>35012</v>
      </c>
      <c r="S1197" s="88">
        <f t="shared" si="578"/>
        <v>0</v>
      </c>
      <c r="T1197" s="19">
        <f t="shared" si="570"/>
        <v>0</v>
      </c>
      <c r="U1197" s="19">
        <f t="shared" si="571"/>
        <v>0</v>
      </c>
      <c r="V1197" s="19">
        <f t="shared" si="587"/>
        <v>0</v>
      </c>
      <c r="W1197" s="20">
        <f t="shared" ca="1" si="572"/>
        <v>0</v>
      </c>
      <c r="X1197" s="19">
        <f t="shared" ca="1" si="573"/>
        <v>0</v>
      </c>
      <c r="Y1197" s="19">
        <f t="shared" ca="1" si="574"/>
        <v>0</v>
      </c>
      <c r="Z1197" s="20">
        <f t="shared" ca="1" si="575"/>
        <v>0</v>
      </c>
      <c r="AA1197" s="1">
        <f t="shared" si="583"/>
        <v>5432.58</v>
      </c>
      <c r="AB1197" s="91"/>
      <c r="AC1197" s="92"/>
      <c r="AD1197" s="101">
        <f t="shared" si="584"/>
        <v>76134</v>
      </c>
      <c r="AE1197" s="103">
        <f t="shared" si="585"/>
        <v>0</v>
      </c>
      <c r="AG1197" s="1">
        <f t="shared" si="576"/>
        <v>0</v>
      </c>
      <c r="AH1197" s="1">
        <f t="shared" si="577"/>
        <v>0</v>
      </c>
      <c r="AI1197" s="1">
        <f t="shared" si="586"/>
        <v>5432.58</v>
      </c>
      <c r="AJ1197" s="20">
        <f t="shared" si="588"/>
        <v>0</v>
      </c>
      <c r="AK1197" s="100">
        <f t="shared" si="560"/>
        <v>0</v>
      </c>
      <c r="AL1197" s="100">
        <f t="shared" si="561"/>
        <v>0</v>
      </c>
      <c r="AN1197" s="100">
        <f t="shared" si="562"/>
        <v>3008.1225126685599</v>
      </c>
      <c r="AO1197" s="20">
        <f t="shared" si="563"/>
        <v>0</v>
      </c>
      <c r="AQ1197" s="109">
        <f t="shared" si="564"/>
        <v>0</v>
      </c>
      <c r="AU1197" s="109">
        <f t="shared" si="579"/>
        <v>24.424337301210237</v>
      </c>
      <c r="AV1197" s="101">
        <f t="shared" si="565"/>
        <v>76164</v>
      </c>
      <c r="AW1197" s="99">
        <f t="shared" si="566"/>
        <v>0</v>
      </c>
      <c r="AX1197" s="1">
        <f t="shared" si="567"/>
        <v>0</v>
      </c>
      <c r="AY1197" s="29">
        <f t="shared" si="568"/>
        <v>0</v>
      </c>
      <c r="AZ1197" s="1">
        <f t="shared" si="580"/>
        <v>0</v>
      </c>
      <c r="CB1197" s="20">
        <f t="shared" si="559"/>
        <v>0</v>
      </c>
      <c r="CC1197" s="173">
        <f t="shared" si="581"/>
        <v>0</v>
      </c>
    </row>
    <row r="1198" spans="10:81" x14ac:dyDescent="0.25">
      <c r="J1198" s="9"/>
      <c r="K1198" s="10"/>
      <c r="L1198" s="17"/>
      <c r="M1198" s="23"/>
      <c r="N1198" s="23"/>
      <c r="O1198" s="23"/>
      <c r="P1198" s="23"/>
      <c r="Q1198" s="1">
        <f t="shared" si="582"/>
        <v>0.60744618579017706</v>
      </c>
      <c r="R1198" s="12">
        <f t="shared" ca="1" si="569"/>
        <v>35042</v>
      </c>
      <c r="S1198" s="88">
        <f t="shared" si="578"/>
        <v>0</v>
      </c>
      <c r="T1198" s="19">
        <f t="shared" si="570"/>
        <v>0</v>
      </c>
      <c r="U1198" s="19">
        <f t="shared" si="571"/>
        <v>0</v>
      </c>
      <c r="V1198" s="19">
        <f t="shared" si="587"/>
        <v>0</v>
      </c>
      <c r="W1198" s="20">
        <f t="shared" ca="1" si="572"/>
        <v>0</v>
      </c>
      <c r="X1198" s="19">
        <f t="shared" ca="1" si="573"/>
        <v>0</v>
      </c>
      <c r="Y1198" s="19">
        <f t="shared" ca="1" si="574"/>
        <v>0</v>
      </c>
      <c r="Z1198" s="20">
        <f t="shared" ca="1" si="575"/>
        <v>0</v>
      </c>
      <c r="AA1198" s="1">
        <f t="shared" si="583"/>
        <v>5432.58</v>
      </c>
      <c r="AB1198" s="93"/>
      <c r="AC1198" s="94"/>
      <c r="AD1198" s="101">
        <f t="shared" si="584"/>
        <v>76164</v>
      </c>
      <c r="AE1198" s="103">
        <f t="shared" si="585"/>
        <v>0</v>
      </c>
      <c r="AG1198" s="1">
        <f t="shared" si="576"/>
        <v>0</v>
      </c>
      <c r="AH1198" s="1">
        <f t="shared" si="577"/>
        <v>0</v>
      </c>
      <c r="AI1198" s="1">
        <f t="shared" si="586"/>
        <v>5432.58</v>
      </c>
      <c r="AJ1198" s="20">
        <f t="shared" si="588"/>
        <v>0</v>
      </c>
      <c r="AK1198" s="100">
        <f t="shared" si="560"/>
        <v>0</v>
      </c>
      <c r="AL1198" s="100">
        <f t="shared" si="561"/>
        <v>0</v>
      </c>
      <c r="AN1198" s="100">
        <f t="shared" si="562"/>
        <v>3006.6005559686278</v>
      </c>
      <c r="AO1198" s="20">
        <f t="shared" si="563"/>
        <v>0</v>
      </c>
      <c r="AQ1198" s="109">
        <f t="shared" si="564"/>
        <v>0</v>
      </c>
      <c r="AU1198" s="109">
        <f t="shared" si="579"/>
        <v>24.422193575329729</v>
      </c>
      <c r="AV1198" s="101">
        <f t="shared" si="565"/>
        <v>76194</v>
      </c>
      <c r="AW1198" s="99">
        <f t="shared" si="566"/>
        <v>0</v>
      </c>
      <c r="AX1198" s="1">
        <f t="shared" si="567"/>
        <v>0</v>
      </c>
      <c r="AY1198" s="29">
        <f t="shared" si="568"/>
        <v>0</v>
      </c>
      <c r="AZ1198" s="1">
        <f t="shared" si="580"/>
        <v>0</v>
      </c>
      <c r="CB1198" s="20">
        <f t="shared" ref="CB1198:CB1261" si="589">IF(O1198=0,IF(P1198&gt;0,V1197,IF(O1197=0,0,P1198)),IF(O1197=0,0,P1198))</f>
        <v>0</v>
      </c>
      <c r="CC1198" s="173">
        <f t="shared" si="581"/>
        <v>0</v>
      </c>
    </row>
    <row r="1199" spans="10:81" x14ac:dyDescent="0.25">
      <c r="J1199" s="7"/>
      <c r="K1199" s="8"/>
      <c r="L1199" s="16"/>
      <c r="M1199" s="22"/>
      <c r="N1199" s="22"/>
      <c r="O1199" s="22"/>
      <c r="P1199" s="22"/>
      <c r="Q1199" s="1">
        <f t="shared" si="582"/>
        <v>0.60744618579017706</v>
      </c>
      <c r="R1199" s="12">
        <f t="shared" ca="1" si="569"/>
        <v>35072</v>
      </c>
      <c r="S1199" s="88">
        <f t="shared" si="578"/>
        <v>0</v>
      </c>
      <c r="T1199" s="19">
        <f t="shared" si="570"/>
        <v>0</v>
      </c>
      <c r="U1199" s="19">
        <f t="shared" si="571"/>
        <v>0</v>
      </c>
      <c r="V1199" s="19">
        <f t="shared" si="587"/>
        <v>0</v>
      </c>
      <c r="W1199" s="20">
        <f t="shared" ca="1" si="572"/>
        <v>0</v>
      </c>
      <c r="X1199" s="19">
        <f t="shared" ca="1" si="573"/>
        <v>0</v>
      </c>
      <c r="Y1199" s="19">
        <f t="shared" ca="1" si="574"/>
        <v>0</v>
      </c>
      <c r="Z1199" s="20">
        <f t="shared" ca="1" si="575"/>
        <v>0</v>
      </c>
      <c r="AA1199" s="1">
        <f t="shared" si="583"/>
        <v>5432.58</v>
      </c>
      <c r="AB1199" s="91"/>
      <c r="AC1199" s="92"/>
      <c r="AD1199" s="101">
        <f t="shared" si="584"/>
        <v>76194</v>
      </c>
      <c r="AE1199" s="103">
        <f t="shared" si="585"/>
        <v>0</v>
      </c>
      <c r="AG1199" s="1">
        <f t="shared" si="576"/>
        <v>0</v>
      </c>
      <c r="AH1199" s="1">
        <f t="shared" si="577"/>
        <v>0</v>
      </c>
      <c r="AI1199" s="1">
        <f t="shared" si="586"/>
        <v>5432.58</v>
      </c>
      <c r="AJ1199" s="20">
        <f t="shared" si="588"/>
        <v>0</v>
      </c>
      <c r="AK1199" s="100">
        <f t="shared" si="560"/>
        <v>0</v>
      </c>
      <c r="AL1199" s="100">
        <f t="shared" si="561"/>
        <v>0</v>
      </c>
      <c r="AN1199" s="100">
        <f t="shared" si="562"/>
        <v>3005.0793693012288</v>
      </c>
      <c r="AO1199" s="20">
        <f t="shared" si="563"/>
        <v>0</v>
      </c>
      <c r="AQ1199" s="109">
        <f t="shared" si="564"/>
        <v>0</v>
      </c>
      <c r="AU1199" s="109">
        <f t="shared" si="579"/>
        <v>24.420050037604216</v>
      </c>
      <c r="AV1199" s="101">
        <f t="shared" si="565"/>
        <v>76224</v>
      </c>
      <c r="AW1199" s="99">
        <f t="shared" si="566"/>
        <v>0</v>
      </c>
      <c r="AX1199" s="1">
        <f t="shared" si="567"/>
        <v>0</v>
      </c>
      <c r="AY1199" s="29">
        <f t="shared" si="568"/>
        <v>0</v>
      </c>
      <c r="AZ1199" s="1">
        <f t="shared" si="580"/>
        <v>0</v>
      </c>
      <c r="CB1199" s="20">
        <f t="shared" si="589"/>
        <v>0</v>
      </c>
      <c r="CC1199" s="173">
        <f t="shared" si="581"/>
        <v>0</v>
      </c>
    </row>
    <row r="1200" spans="10:81" x14ac:dyDescent="0.25">
      <c r="J1200" s="9"/>
      <c r="K1200" s="10"/>
      <c r="L1200" s="17"/>
      <c r="M1200" s="23"/>
      <c r="N1200" s="23"/>
      <c r="O1200" s="23"/>
      <c r="P1200" s="23"/>
      <c r="Q1200" s="1">
        <f t="shared" si="582"/>
        <v>0.60744618579017706</v>
      </c>
      <c r="R1200" s="12">
        <f t="shared" ca="1" si="569"/>
        <v>35102</v>
      </c>
      <c r="S1200" s="88">
        <f t="shared" si="578"/>
        <v>0</v>
      </c>
      <c r="T1200" s="19">
        <f t="shared" si="570"/>
        <v>0</v>
      </c>
      <c r="U1200" s="19">
        <f t="shared" si="571"/>
        <v>0</v>
      </c>
      <c r="V1200" s="19">
        <f t="shared" si="587"/>
        <v>0</v>
      </c>
      <c r="W1200" s="20">
        <f t="shared" ca="1" si="572"/>
        <v>0</v>
      </c>
      <c r="X1200" s="19">
        <f t="shared" ca="1" si="573"/>
        <v>0</v>
      </c>
      <c r="Y1200" s="19">
        <f t="shared" ca="1" si="574"/>
        <v>0</v>
      </c>
      <c r="Z1200" s="20">
        <f t="shared" ca="1" si="575"/>
        <v>0</v>
      </c>
      <c r="AA1200" s="1">
        <f t="shared" si="583"/>
        <v>5432.58</v>
      </c>
      <c r="AB1200" s="93"/>
      <c r="AC1200" s="94"/>
      <c r="AD1200" s="101">
        <f t="shared" si="584"/>
        <v>76224</v>
      </c>
      <c r="AE1200" s="103">
        <f t="shared" si="585"/>
        <v>0</v>
      </c>
      <c r="AG1200" s="1">
        <f t="shared" si="576"/>
        <v>0</v>
      </c>
      <c r="AH1200" s="1">
        <f t="shared" si="577"/>
        <v>0</v>
      </c>
      <c r="AI1200" s="1">
        <f t="shared" si="586"/>
        <v>5432.58</v>
      </c>
      <c r="AJ1200" s="20">
        <f t="shared" si="588"/>
        <v>0</v>
      </c>
      <c r="AK1200" s="100">
        <f t="shared" si="560"/>
        <v>0</v>
      </c>
      <c r="AL1200" s="100">
        <f t="shared" si="561"/>
        <v>0</v>
      </c>
      <c r="AN1200" s="100">
        <f t="shared" si="562"/>
        <v>3003.558952276765</v>
      </c>
      <c r="AO1200" s="20">
        <f t="shared" si="563"/>
        <v>0</v>
      </c>
      <c r="AQ1200" s="109">
        <f t="shared" si="564"/>
        <v>0</v>
      </c>
      <c r="AU1200" s="109">
        <f t="shared" si="579"/>
        <v>24.417906688017155</v>
      </c>
      <c r="AV1200" s="101">
        <f t="shared" si="565"/>
        <v>76254</v>
      </c>
      <c r="AW1200" s="99">
        <f t="shared" si="566"/>
        <v>0</v>
      </c>
      <c r="AX1200" s="1">
        <f t="shared" si="567"/>
        <v>0</v>
      </c>
      <c r="AY1200" s="29">
        <f t="shared" si="568"/>
        <v>0</v>
      </c>
      <c r="AZ1200" s="1">
        <f t="shared" si="580"/>
        <v>0</v>
      </c>
      <c r="CB1200" s="20">
        <f t="shared" si="589"/>
        <v>0</v>
      </c>
      <c r="CC1200" s="173">
        <f t="shared" si="581"/>
        <v>0</v>
      </c>
    </row>
    <row r="1201" spans="10:81" x14ac:dyDescent="0.25">
      <c r="J1201" s="7"/>
      <c r="K1201" s="8"/>
      <c r="L1201" s="16"/>
      <c r="M1201" s="22"/>
      <c r="N1201" s="22"/>
      <c r="O1201" s="22"/>
      <c r="P1201" s="22"/>
      <c r="Q1201" s="1">
        <f t="shared" si="582"/>
        <v>0.60744618579017706</v>
      </c>
      <c r="R1201" s="12">
        <f t="shared" ca="1" si="569"/>
        <v>35132</v>
      </c>
      <c r="S1201" s="88">
        <f t="shared" si="578"/>
        <v>0</v>
      </c>
      <c r="T1201" s="19">
        <f t="shared" si="570"/>
        <v>0</v>
      </c>
      <c r="U1201" s="19">
        <f t="shared" si="571"/>
        <v>0</v>
      </c>
      <c r="V1201" s="19">
        <f t="shared" si="587"/>
        <v>0</v>
      </c>
      <c r="W1201" s="20">
        <f t="shared" ca="1" si="572"/>
        <v>0</v>
      </c>
      <c r="X1201" s="19">
        <f t="shared" ca="1" si="573"/>
        <v>0</v>
      </c>
      <c r="Y1201" s="19">
        <f t="shared" ca="1" si="574"/>
        <v>0</v>
      </c>
      <c r="Z1201" s="20">
        <f t="shared" ca="1" si="575"/>
        <v>0</v>
      </c>
      <c r="AA1201" s="1">
        <f t="shared" si="583"/>
        <v>5432.58</v>
      </c>
      <c r="AB1201" s="91"/>
      <c r="AC1201" s="92"/>
      <c r="AD1201" s="101">
        <f t="shared" si="584"/>
        <v>76254</v>
      </c>
      <c r="AE1201" s="103">
        <f t="shared" si="585"/>
        <v>0</v>
      </c>
      <c r="AG1201" s="1">
        <f t="shared" si="576"/>
        <v>0</v>
      </c>
      <c r="AH1201" s="1">
        <f t="shared" si="577"/>
        <v>0</v>
      </c>
      <c r="AI1201" s="1">
        <f t="shared" si="586"/>
        <v>5432.58</v>
      </c>
      <c r="AJ1201" s="20">
        <f t="shared" si="588"/>
        <v>0</v>
      </c>
      <c r="AK1201" s="100">
        <f t="shared" si="560"/>
        <v>0</v>
      </c>
      <c r="AL1201" s="100">
        <f t="shared" si="561"/>
        <v>0</v>
      </c>
      <c r="AN1201" s="100">
        <f t="shared" si="562"/>
        <v>3002.0393045058358</v>
      </c>
      <c r="AO1201" s="20">
        <f t="shared" si="563"/>
        <v>0</v>
      </c>
      <c r="AQ1201" s="109">
        <f t="shared" si="564"/>
        <v>0</v>
      </c>
      <c r="AU1201" s="109">
        <f t="shared" si="579"/>
        <v>24.415763526552041</v>
      </c>
      <c r="AV1201" s="101">
        <f t="shared" si="565"/>
        <v>76284</v>
      </c>
      <c r="AW1201" s="99">
        <f t="shared" si="566"/>
        <v>0</v>
      </c>
      <c r="AX1201" s="1">
        <f t="shared" si="567"/>
        <v>0</v>
      </c>
      <c r="AY1201" s="29">
        <f t="shared" si="568"/>
        <v>0</v>
      </c>
      <c r="AZ1201" s="1">
        <f t="shared" si="580"/>
        <v>0</v>
      </c>
      <c r="CB1201" s="20">
        <f t="shared" si="589"/>
        <v>0</v>
      </c>
      <c r="CC1201" s="173">
        <f t="shared" si="581"/>
        <v>0</v>
      </c>
    </row>
    <row r="1202" spans="10:81" x14ac:dyDescent="0.25">
      <c r="J1202" s="9"/>
      <c r="K1202" s="10"/>
      <c r="L1202" s="17"/>
      <c r="M1202" s="23"/>
      <c r="N1202" s="23"/>
      <c r="O1202" s="23"/>
      <c r="P1202" s="23"/>
      <c r="Q1202" s="1">
        <f t="shared" si="582"/>
        <v>0.60744618579017706</v>
      </c>
      <c r="R1202" s="12">
        <f t="shared" ca="1" si="569"/>
        <v>35162</v>
      </c>
      <c r="S1202" s="88">
        <f t="shared" si="578"/>
        <v>0</v>
      </c>
      <c r="T1202" s="19">
        <f t="shared" si="570"/>
        <v>0</v>
      </c>
      <c r="U1202" s="19">
        <f t="shared" si="571"/>
        <v>0</v>
      </c>
      <c r="V1202" s="19">
        <f t="shared" si="587"/>
        <v>0</v>
      </c>
      <c r="W1202" s="20">
        <f t="shared" ca="1" si="572"/>
        <v>0</v>
      </c>
      <c r="X1202" s="19">
        <f t="shared" ca="1" si="573"/>
        <v>0</v>
      </c>
      <c r="Y1202" s="19">
        <f t="shared" ca="1" si="574"/>
        <v>0</v>
      </c>
      <c r="Z1202" s="20">
        <f t="shared" ca="1" si="575"/>
        <v>0</v>
      </c>
      <c r="AA1202" s="1">
        <f t="shared" si="583"/>
        <v>5432.58</v>
      </c>
      <c r="AB1202" s="93"/>
      <c r="AC1202" s="94"/>
      <c r="AD1202" s="101">
        <f t="shared" si="584"/>
        <v>76284</v>
      </c>
      <c r="AE1202" s="103">
        <f t="shared" si="585"/>
        <v>0</v>
      </c>
      <c r="AG1202" s="1">
        <f t="shared" si="576"/>
        <v>0</v>
      </c>
      <c r="AH1202" s="1">
        <f t="shared" si="577"/>
        <v>0</v>
      </c>
      <c r="AI1202" s="1">
        <f t="shared" si="586"/>
        <v>5432.58</v>
      </c>
      <c r="AJ1202" s="20">
        <f t="shared" si="588"/>
        <v>0</v>
      </c>
      <c r="AK1202" s="100">
        <f t="shared" si="560"/>
        <v>0</v>
      </c>
      <c r="AL1202" s="100">
        <f t="shared" si="561"/>
        <v>0</v>
      </c>
      <c r="AN1202" s="100">
        <f t="shared" si="562"/>
        <v>3000.5204255992394</v>
      </c>
      <c r="AO1202" s="20">
        <f t="shared" si="563"/>
        <v>0</v>
      </c>
      <c r="AQ1202" s="109">
        <f t="shared" si="564"/>
        <v>0</v>
      </c>
      <c r="AU1202" s="109">
        <f t="shared" si="579"/>
        <v>24.413620553192377</v>
      </c>
      <c r="AV1202" s="101">
        <f t="shared" si="565"/>
        <v>76314</v>
      </c>
      <c r="AW1202" s="99">
        <f t="shared" si="566"/>
        <v>0</v>
      </c>
      <c r="AX1202" s="1">
        <f t="shared" si="567"/>
        <v>0</v>
      </c>
      <c r="AY1202" s="29">
        <f t="shared" si="568"/>
        <v>0</v>
      </c>
      <c r="AZ1202" s="1">
        <f t="shared" si="580"/>
        <v>0</v>
      </c>
      <c r="CB1202" s="20">
        <f t="shared" si="589"/>
        <v>0</v>
      </c>
      <c r="CC1202" s="173">
        <f t="shared" si="581"/>
        <v>0</v>
      </c>
    </row>
    <row r="1203" spans="10:81" x14ac:dyDescent="0.25">
      <c r="J1203" s="7"/>
      <c r="K1203" s="8"/>
      <c r="L1203" s="16"/>
      <c r="M1203" s="22"/>
      <c r="N1203" s="22"/>
      <c r="O1203" s="22"/>
      <c r="P1203" s="22"/>
      <c r="Q1203" s="1">
        <f t="shared" si="582"/>
        <v>0.60744618579017706</v>
      </c>
      <c r="R1203" s="12">
        <f t="shared" ca="1" si="569"/>
        <v>35192</v>
      </c>
      <c r="S1203" s="88">
        <f t="shared" si="578"/>
        <v>0</v>
      </c>
      <c r="T1203" s="19">
        <f t="shared" si="570"/>
        <v>0</v>
      </c>
      <c r="U1203" s="19">
        <f t="shared" si="571"/>
        <v>0</v>
      </c>
      <c r="V1203" s="19">
        <f t="shared" si="587"/>
        <v>0</v>
      </c>
      <c r="W1203" s="20">
        <f t="shared" ca="1" si="572"/>
        <v>0</v>
      </c>
      <c r="X1203" s="19">
        <f t="shared" ca="1" si="573"/>
        <v>0</v>
      </c>
      <c r="Y1203" s="19">
        <f t="shared" ca="1" si="574"/>
        <v>0</v>
      </c>
      <c r="Z1203" s="20">
        <f t="shared" ca="1" si="575"/>
        <v>0</v>
      </c>
      <c r="AA1203" s="1">
        <f t="shared" si="583"/>
        <v>5432.58</v>
      </c>
      <c r="AB1203" s="91"/>
      <c r="AC1203" s="92"/>
      <c r="AD1203" s="101">
        <f t="shared" si="584"/>
        <v>76314</v>
      </c>
      <c r="AE1203" s="103">
        <f t="shared" si="585"/>
        <v>0</v>
      </c>
      <c r="AG1203" s="1">
        <f t="shared" si="576"/>
        <v>0</v>
      </c>
      <c r="AH1203" s="1">
        <f t="shared" si="577"/>
        <v>0</v>
      </c>
      <c r="AI1203" s="1">
        <f t="shared" si="586"/>
        <v>5432.58</v>
      </c>
      <c r="AJ1203" s="20">
        <f t="shared" si="588"/>
        <v>0</v>
      </c>
      <c r="AK1203" s="100">
        <f t="shared" si="560"/>
        <v>0</v>
      </c>
      <c r="AL1203" s="100">
        <f t="shared" si="561"/>
        <v>0</v>
      </c>
      <c r="AN1203" s="100">
        <f t="shared" si="562"/>
        <v>2999.0023151679675</v>
      </c>
      <c r="AO1203" s="20">
        <f t="shared" si="563"/>
        <v>0</v>
      </c>
      <c r="AQ1203" s="109">
        <f t="shared" si="564"/>
        <v>0</v>
      </c>
      <c r="AU1203" s="109">
        <f t="shared" si="579"/>
        <v>24.411477767921646</v>
      </c>
      <c r="AV1203" s="101">
        <f t="shared" si="565"/>
        <v>76344</v>
      </c>
      <c r="AW1203" s="99">
        <f t="shared" si="566"/>
        <v>0</v>
      </c>
      <c r="AX1203" s="1">
        <f t="shared" si="567"/>
        <v>0</v>
      </c>
      <c r="AY1203" s="29">
        <f t="shared" si="568"/>
        <v>0</v>
      </c>
      <c r="AZ1203" s="1">
        <f t="shared" si="580"/>
        <v>0</v>
      </c>
      <c r="CB1203" s="20">
        <f t="shared" si="589"/>
        <v>0</v>
      </c>
      <c r="CC1203" s="173">
        <f t="shared" si="581"/>
        <v>0</v>
      </c>
    </row>
    <row r="1204" spans="10:81" x14ac:dyDescent="0.25">
      <c r="J1204" s="9"/>
      <c r="K1204" s="10"/>
      <c r="L1204" s="17"/>
      <c r="M1204" s="23"/>
      <c r="N1204" s="23"/>
      <c r="O1204" s="23"/>
      <c r="P1204" s="23"/>
      <c r="Q1204" s="1">
        <f t="shared" si="582"/>
        <v>0.60744618579017706</v>
      </c>
      <c r="R1204" s="12">
        <f t="shared" ca="1" si="569"/>
        <v>35222</v>
      </c>
      <c r="S1204" s="88">
        <f t="shared" si="578"/>
        <v>0</v>
      </c>
      <c r="T1204" s="19">
        <f t="shared" si="570"/>
        <v>0</v>
      </c>
      <c r="U1204" s="19">
        <f t="shared" si="571"/>
        <v>0</v>
      </c>
      <c r="V1204" s="19">
        <f t="shared" si="587"/>
        <v>0</v>
      </c>
      <c r="W1204" s="20">
        <f t="shared" ca="1" si="572"/>
        <v>0</v>
      </c>
      <c r="X1204" s="19">
        <f t="shared" ca="1" si="573"/>
        <v>0</v>
      </c>
      <c r="Y1204" s="19">
        <f t="shared" ca="1" si="574"/>
        <v>0</v>
      </c>
      <c r="Z1204" s="20">
        <f t="shared" ca="1" si="575"/>
        <v>0</v>
      </c>
      <c r="AA1204" s="1">
        <f t="shared" si="583"/>
        <v>5432.58</v>
      </c>
      <c r="AB1204" s="93"/>
      <c r="AC1204" s="94"/>
      <c r="AD1204" s="101">
        <f t="shared" si="584"/>
        <v>76344</v>
      </c>
      <c r="AE1204" s="103">
        <f t="shared" si="585"/>
        <v>0</v>
      </c>
      <c r="AG1204" s="1">
        <f t="shared" si="576"/>
        <v>0</v>
      </c>
      <c r="AH1204" s="1">
        <f t="shared" si="577"/>
        <v>0</v>
      </c>
      <c r="AI1204" s="1">
        <f t="shared" si="586"/>
        <v>5432.58</v>
      </c>
      <c r="AJ1204" s="20">
        <f t="shared" si="588"/>
        <v>0</v>
      </c>
      <c r="AK1204" s="100">
        <f t="shared" si="560"/>
        <v>0</v>
      </c>
      <c r="AL1204" s="100">
        <f t="shared" si="561"/>
        <v>0</v>
      </c>
      <c r="AN1204" s="100">
        <f t="shared" si="562"/>
        <v>2997.4849728232139</v>
      </c>
      <c r="AO1204" s="20">
        <f t="shared" si="563"/>
        <v>0</v>
      </c>
      <c r="AQ1204" s="109">
        <f t="shared" si="564"/>
        <v>0</v>
      </c>
      <c r="AU1204" s="109">
        <f t="shared" si="579"/>
        <v>24.409335170723335</v>
      </c>
      <c r="AV1204" s="101">
        <f t="shared" si="565"/>
        <v>76374</v>
      </c>
      <c r="AW1204" s="99">
        <f t="shared" si="566"/>
        <v>0</v>
      </c>
      <c r="AX1204" s="1">
        <f t="shared" si="567"/>
        <v>0</v>
      </c>
      <c r="AY1204" s="29">
        <f t="shared" si="568"/>
        <v>0</v>
      </c>
      <c r="AZ1204" s="1">
        <f t="shared" si="580"/>
        <v>0</v>
      </c>
      <c r="CB1204" s="20">
        <f t="shared" si="589"/>
        <v>0</v>
      </c>
      <c r="CC1204" s="173">
        <f t="shared" si="581"/>
        <v>0</v>
      </c>
    </row>
    <row r="1205" spans="10:81" x14ac:dyDescent="0.25">
      <c r="J1205" s="7"/>
      <c r="K1205" s="8"/>
      <c r="L1205" s="16"/>
      <c r="M1205" s="22"/>
      <c r="N1205" s="22"/>
      <c r="O1205" s="22"/>
      <c r="P1205" s="22"/>
      <c r="Q1205" s="1">
        <f t="shared" si="582"/>
        <v>0.60744618579017706</v>
      </c>
      <c r="R1205" s="12">
        <f t="shared" ca="1" si="569"/>
        <v>35252</v>
      </c>
      <c r="S1205" s="88">
        <f t="shared" si="578"/>
        <v>0</v>
      </c>
      <c r="T1205" s="19">
        <f t="shared" si="570"/>
        <v>0</v>
      </c>
      <c r="U1205" s="19">
        <f t="shared" si="571"/>
        <v>0</v>
      </c>
      <c r="V1205" s="19">
        <f t="shared" si="587"/>
        <v>0</v>
      </c>
      <c r="W1205" s="20">
        <f t="shared" ca="1" si="572"/>
        <v>0</v>
      </c>
      <c r="X1205" s="19">
        <f t="shared" ca="1" si="573"/>
        <v>0</v>
      </c>
      <c r="Y1205" s="19">
        <f t="shared" ca="1" si="574"/>
        <v>0</v>
      </c>
      <c r="Z1205" s="20">
        <f t="shared" ca="1" si="575"/>
        <v>0</v>
      </c>
      <c r="AA1205" s="1">
        <f t="shared" si="583"/>
        <v>5432.58</v>
      </c>
      <c r="AB1205" s="91"/>
      <c r="AC1205" s="92"/>
      <c r="AD1205" s="101">
        <f t="shared" si="584"/>
        <v>76374</v>
      </c>
      <c r="AE1205" s="103">
        <f t="shared" si="585"/>
        <v>0</v>
      </c>
      <c r="AG1205" s="1">
        <f t="shared" si="576"/>
        <v>0</v>
      </c>
      <c r="AH1205" s="1">
        <f t="shared" si="577"/>
        <v>0</v>
      </c>
      <c r="AI1205" s="1">
        <f t="shared" si="586"/>
        <v>5432.58</v>
      </c>
      <c r="AJ1205" s="20">
        <f t="shared" si="588"/>
        <v>0</v>
      </c>
      <c r="AK1205" s="100">
        <f t="shared" si="560"/>
        <v>0</v>
      </c>
      <c r="AL1205" s="100">
        <f t="shared" si="561"/>
        <v>0</v>
      </c>
      <c r="AN1205" s="100">
        <f t="shared" si="562"/>
        <v>2995.9683981763642</v>
      </c>
      <c r="AO1205" s="20">
        <f t="shared" si="563"/>
        <v>0</v>
      </c>
      <c r="AQ1205" s="109">
        <f t="shared" si="564"/>
        <v>0</v>
      </c>
      <c r="AU1205" s="109">
        <f t="shared" si="579"/>
        <v>24.407192761580923</v>
      </c>
      <c r="AV1205" s="101">
        <f t="shared" si="565"/>
        <v>76404</v>
      </c>
      <c r="AW1205" s="99">
        <f t="shared" si="566"/>
        <v>0</v>
      </c>
      <c r="AX1205" s="1">
        <f t="shared" si="567"/>
        <v>0</v>
      </c>
      <c r="AY1205" s="29">
        <f t="shared" si="568"/>
        <v>0</v>
      </c>
      <c r="AZ1205" s="1">
        <f t="shared" si="580"/>
        <v>0</v>
      </c>
      <c r="CB1205" s="20">
        <f t="shared" si="589"/>
        <v>0</v>
      </c>
      <c r="CC1205" s="173">
        <f t="shared" si="581"/>
        <v>0</v>
      </c>
    </row>
    <row r="1206" spans="10:81" x14ac:dyDescent="0.25">
      <c r="J1206" s="9"/>
      <c r="K1206" s="10"/>
      <c r="L1206" s="17"/>
      <c r="M1206" s="23"/>
      <c r="N1206" s="23"/>
      <c r="O1206" s="23"/>
      <c r="P1206" s="23"/>
      <c r="Q1206" s="1">
        <f t="shared" si="582"/>
        <v>0.60744618579017706</v>
      </c>
      <c r="R1206" s="12">
        <f t="shared" ca="1" si="569"/>
        <v>35282</v>
      </c>
      <c r="S1206" s="88">
        <f t="shared" si="578"/>
        <v>0</v>
      </c>
      <c r="T1206" s="19">
        <f t="shared" si="570"/>
        <v>0</v>
      </c>
      <c r="U1206" s="19">
        <f t="shared" si="571"/>
        <v>0</v>
      </c>
      <c r="V1206" s="19">
        <f t="shared" si="587"/>
        <v>0</v>
      </c>
      <c r="W1206" s="20">
        <f t="shared" ca="1" si="572"/>
        <v>0</v>
      </c>
      <c r="X1206" s="19">
        <f t="shared" ca="1" si="573"/>
        <v>0</v>
      </c>
      <c r="Y1206" s="19">
        <f t="shared" ca="1" si="574"/>
        <v>0</v>
      </c>
      <c r="Z1206" s="20">
        <f t="shared" ca="1" si="575"/>
        <v>0</v>
      </c>
      <c r="AA1206" s="1">
        <f t="shared" si="583"/>
        <v>5432.58</v>
      </c>
      <c r="AB1206" s="93"/>
      <c r="AC1206" s="94"/>
      <c r="AD1206" s="101">
        <f t="shared" si="584"/>
        <v>76404</v>
      </c>
      <c r="AE1206" s="103">
        <f t="shared" si="585"/>
        <v>0</v>
      </c>
      <c r="AG1206" s="1">
        <f t="shared" si="576"/>
        <v>0</v>
      </c>
      <c r="AH1206" s="1">
        <f t="shared" si="577"/>
        <v>0</v>
      </c>
      <c r="AI1206" s="1">
        <f t="shared" si="586"/>
        <v>5432.58</v>
      </c>
      <c r="AJ1206" s="20">
        <f t="shared" si="588"/>
        <v>0</v>
      </c>
      <c r="AK1206" s="100">
        <f t="shared" ref="AK1206:AK1269" si="590">IF(ISERROR(AJ1206/(1+(Q1206)/1200)^(ROW()-29)),0,AJ1206/(1+(Q1206)/1200)^(ROW()-29))</f>
        <v>0</v>
      </c>
      <c r="AL1206" s="100">
        <f t="shared" ref="AL1206:AL1269" si="591">IF(ISERROR((Q1206/1200)*O1206),0,(Q1206/1200)*O1206)</f>
        <v>0</v>
      </c>
      <c r="AN1206" s="100">
        <f t="shared" ref="AN1206:AN1269" si="592">IF(ISERROR(AA1206/(1+(Q1206)/1200)^(ROW()-29)),0,AA1206/(1+(Q1206)/1200)^(ROW()-29))</f>
        <v>2994.4525908390005</v>
      </c>
      <c r="AO1206" s="20">
        <f t="shared" ref="AO1206:AO1269" si="593">IF(ISERROR(V1205+U1206+T1206+(V1205*Q1206/1200)-AA1206-P1206),0,IF(V1205+U1206+T1206+(V1205*Q1206/1200)-AA1206-P1206&lt;0,V1205,-(U1206+T1206-AA1206+P1206-AH1206)))</f>
        <v>0</v>
      </c>
      <c r="AQ1206" s="109">
        <f t="shared" ref="AQ1206:AQ1269" si="594">AO1206/(1+((1+$AM$27)^((ROW()-29)*30)-1))</f>
        <v>0</v>
      </c>
      <c r="AU1206" s="109">
        <f t="shared" si="579"/>
        <v>24.405050540477934</v>
      </c>
      <c r="AV1206" s="101">
        <f t="shared" ref="AV1206:AV1269" si="595">AD1207</f>
        <v>76434</v>
      </c>
      <c r="AW1206" s="99">
        <f t="shared" ref="AW1206:AW1269" si="596">IF(AJ1207&lt;0,0,AJ1207)</f>
        <v>0</v>
      </c>
      <c r="AX1206" s="1">
        <f t="shared" ref="AX1206:AX1269" si="597">IF(AG1206&gt;0,AA1206,0)</f>
        <v>0</v>
      </c>
      <c r="AY1206" s="29">
        <f t="shared" ref="AY1206:AY1269" si="598">AE1206</f>
        <v>0</v>
      </c>
      <c r="AZ1206" s="1">
        <f t="shared" si="580"/>
        <v>0</v>
      </c>
      <c r="CB1206" s="20">
        <f t="shared" si="589"/>
        <v>0</v>
      </c>
      <c r="CC1206" s="173">
        <f t="shared" si="581"/>
        <v>0</v>
      </c>
    </row>
    <row r="1207" spans="10:81" x14ac:dyDescent="0.25">
      <c r="J1207" s="7"/>
      <c r="K1207" s="8"/>
      <c r="L1207" s="16"/>
      <c r="M1207" s="22"/>
      <c r="N1207" s="22"/>
      <c r="O1207" s="22"/>
      <c r="P1207" s="22"/>
      <c r="Q1207" s="1">
        <f t="shared" si="582"/>
        <v>0.60744618579017706</v>
      </c>
      <c r="R1207" s="12">
        <f t="shared" ref="R1207:R1270" ca="1" si="599">IF(ROW()&gt;$T$20,R1206+30,DAYS360(K1206,K1207)+R1206)</f>
        <v>35312</v>
      </c>
      <c r="S1207" s="88">
        <f t="shared" si="578"/>
        <v>0</v>
      </c>
      <c r="T1207" s="19">
        <f t="shared" ref="T1207:T1270" si="600">IF(ISERROR((previousBalance*Q1207/1200)*(IF(ROW()-30&lt;$G$22,$G$21,0))),0,(previousBalance*Q1207/1200)*(IF(ROW()-30&lt;$G$22,$G$21,0)))</f>
        <v>0</v>
      </c>
      <c r="U1207" s="19">
        <f t="shared" ref="U1207:U1270" si="601">AA1207*(IF(ROW()-30&lt;$H$22,$H$21,0))</f>
        <v>0</v>
      </c>
      <c r="V1207" s="19">
        <f t="shared" si="587"/>
        <v>0</v>
      </c>
      <c r="W1207" s="20">
        <f t="shared" ref="W1207:W1270" ca="1" si="602">(T1207)/(1+((1+$T$12)^$R1207-1))</f>
        <v>0</v>
      </c>
      <c r="X1207" s="19">
        <f t="shared" ref="X1207:X1270" ca="1" si="603">(U1207)/(1+((1+$T$12)^$R1207-1))</f>
        <v>0</v>
      </c>
      <c r="Y1207" s="19">
        <f t="shared" ref="Y1207:Y1270" ca="1" si="604">P1207/(1+((1+$T$12)^$R1207-1))</f>
        <v>0</v>
      </c>
      <c r="Z1207" s="20">
        <f t="shared" ref="Z1207:Z1270" ca="1" si="605">W1207+X1207</f>
        <v>0</v>
      </c>
      <c r="AA1207" s="1">
        <f t="shared" si="583"/>
        <v>5432.58</v>
      </c>
      <c r="AB1207" s="91"/>
      <c r="AC1207" s="92"/>
      <c r="AD1207" s="101">
        <f t="shared" si="584"/>
        <v>76434</v>
      </c>
      <c r="AE1207" s="103">
        <f t="shared" si="585"/>
        <v>0</v>
      </c>
      <c r="AG1207" s="1">
        <f t="shared" ref="AG1207:AG1270" si="606">AE1207/360</f>
        <v>0</v>
      </c>
      <c r="AH1207" s="1">
        <f t="shared" ref="AH1207:AH1270" si="607">IF(ISERROR(IF(V1206+U1207+T1207+(V1206*Q1207/1200)-AA1207-P1207&lt;0,0,(V1206*Q1207/1200))),0,IF(V1206+U1207+T1207+(V1206*Q1207/1200)-AA1207-P1207&lt;0,0,(V1206*Q1207/1200)))</f>
        <v>0</v>
      </c>
      <c r="AI1207" s="1">
        <f t="shared" si="586"/>
        <v>5432.58</v>
      </c>
      <c r="AJ1207" s="20">
        <f t="shared" si="588"/>
        <v>0</v>
      </c>
      <c r="AK1207" s="100">
        <f t="shared" si="590"/>
        <v>0</v>
      </c>
      <c r="AL1207" s="100">
        <f t="shared" si="591"/>
        <v>0</v>
      </c>
      <c r="AN1207" s="100">
        <f t="shared" si="592"/>
        <v>2992.9375504229065</v>
      </c>
      <c r="AO1207" s="20">
        <f t="shared" si="593"/>
        <v>0</v>
      </c>
      <c r="AQ1207" s="109">
        <f t="shared" si="594"/>
        <v>0</v>
      </c>
      <c r="AU1207" s="109">
        <f t="shared" si="579"/>
        <v>24.402908507397843</v>
      </c>
      <c r="AV1207" s="101">
        <f t="shared" si="595"/>
        <v>76464</v>
      </c>
      <c r="AW1207" s="99">
        <f t="shared" si="596"/>
        <v>0</v>
      </c>
      <c r="AX1207" s="1">
        <f t="shared" si="597"/>
        <v>0</v>
      </c>
      <c r="AY1207" s="29">
        <f t="shared" si="598"/>
        <v>0</v>
      </c>
      <c r="AZ1207" s="1">
        <f t="shared" si="580"/>
        <v>0</v>
      </c>
      <c r="CB1207" s="20">
        <f t="shared" si="589"/>
        <v>0</v>
      </c>
      <c r="CC1207" s="173">
        <f t="shared" si="581"/>
        <v>0</v>
      </c>
    </row>
    <row r="1208" spans="10:81" x14ac:dyDescent="0.25">
      <c r="J1208" s="9"/>
      <c r="K1208" s="10"/>
      <c r="L1208" s="17"/>
      <c r="M1208" s="23"/>
      <c r="N1208" s="23"/>
      <c r="O1208" s="23"/>
      <c r="P1208" s="23"/>
      <c r="Q1208" s="1">
        <f t="shared" si="582"/>
        <v>0.60744618579017706</v>
      </c>
      <c r="R1208" s="12">
        <f t="shared" ca="1" si="599"/>
        <v>35342</v>
      </c>
      <c r="S1208" s="88">
        <f t="shared" si="578"/>
        <v>0</v>
      </c>
      <c r="T1208" s="19">
        <f t="shared" si="600"/>
        <v>0</v>
      </c>
      <c r="U1208" s="19">
        <f t="shared" si="601"/>
        <v>0</v>
      </c>
      <c r="V1208" s="19">
        <f t="shared" si="587"/>
        <v>0</v>
      </c>
      <c r="W1208" s="20">
        <f t="shared" ca="1" si="602"/>
        <v>0</v>
      </c>
      <c r="X1208" s="19">
        <f t="shared" ca="1" si="603"/>
        <v>0</v>
      </c>
      <c r="Y1208" s="19">
        <f t="shared" ca="1" si="604"/>
        <v>0</v>
      </c>
      <c r="Z1208" s="20">
        <f t="shared" ca="1" si="605"/>
        <v>0</v>
      </c>
      <c r="AA1208" s="1">
        <f t="shared" si="583"/>
        <v>5432.58</v>
      </c>
      <c r="AB1208" s="93"/>
      <c r="AC1208" s="94"/>
      <c r="AD1208" s="101">
        <f t="shared" si="584"/>
        <v>76464</v>
      </c>
      <c r="AE1208" s="103">
        <f t="shared" si="585"/>
        <v>0</v>
      </c>
      <c r="AG1208" s="1">
        <f t="shared" si="606"/>
        <v>0</v>
      </c>
      <c r="AH1208" s="1">
        <f t="shared" si="607"/>
        <v>0</v>
      </c>
      <c r="AI1208" s="1">
        <f t="shared" si="586"/>
        <v>5432.58</v>
      </c>
      <c r="AJ1208" s="20">
        <f t="shared" si="588"/>
        <v>0</v>
      </c>
      <c r="AK1208" s="100">
        <f t="shared" si="590"/>
        <v>0</v>
      </c>
      <c r="AL1208" s="100">
        <f t="shared" si="591"/>
        <v>0</v>
      </c>
      <c r="AN1208" s="100">
        <f t="shared" si="592"/>
        <v>2991.4232765400579</v>
      </c>
      <c r="AO1208" s="20">
        <f t="shared" si="593"/>
        <v>0</v>
      </c>
      <c r="AQ1208" s="109">
        <f t="shared" si="594"/>
        <v>0</v>
      </c>
      <c r="AU1208" s="109">
        <f t="shared" si="579"/>
        <v>24.400766662324155</v>
      </c>
      <c r="AV1208" s="101">
        <f t="shared" si="595"/>
        <v>76494</v>
      </c>
      <c r="AW1208" s="99">
        <f t="shared" si="596"/>
        <v>0</v>
      </c>
      <c r="AX1208" s="1">
        <f t="shared" si="597"/>
        <v>0</v>
      </c>
      <c r="AY1208" s="29">
        <f t="shared" si="598"/>
        <v>0</v>
      </c>
      <c r="AZ1208" s="1">
        <f t="shared" si="580"/>
        <v>0</v>
      </c>
      <c r="CB1208" s="20">
        <f t="shared" si="589"/>
        <v>0</v>
      </c>
      <c r="CC1208" s="173">
        <f t="shared" si="581"/>
        <v>0</v>
      </c>
    </row>
    <row r="1209" spans="10:81" x14ac:dyDescent="0.25">
      <c r="J1209" s="7"/>
      <c r="K1209" s="8"/>
      <c r="L1209" s="16"/>
      <c r="M1209" s="22"/>
      <c r="N1209" s="22"/>
      <c r="O1209" s="22"/>
      <c r="P1209" s="22"/>
      <c r="Q1209" s="1">
        <f t="shared" si="582"/>
        <v>0.60744618579017706</v>
      </c>
      <c r="R1209" s="12">
        <f t="shared" ca="1" si="599"/>
        <v>35372</v>
      </c>
      <c r="S1209" s="88">
        <f t="shared" si="578"/>
        <v>0</v>
      </c>
      <c r="T1209" s="19">
        <f t="shared" si="600"/>
        <v>0</v>
      </c>
      <c r="U1209" s="19">
        <f t="shared" si="601"/>
        <v>0</v>
      </c>
      <c r="V1209" s="19">
        <f t="shared" si="587"/>
        <v>0</v>
      </c>
      <c r="W1209" s="20">
        <f t="shared" ca="1" si="602"/>
        <v>0</v>
      </c>
      <c r="X1209" s="19">
        <f t="shared" ca="1" si="603"/>
        <v>0</v>
      </c>
      <c r="Y1209" s="19">
        <f t="shared" ca="1" si="604"/>
        <v>0</v>
      </c>
      <c r="Z1209" s="20">
        <f t="shared" ca="1" si="605"/>
        <v>0</v>
      </c>
      <c r="AA1209" s="1">
        <f t="shared" si="583"/>
        <v>5432.58</v>
      </c>
      <c r="AB1209" s="91"/>
      <c r="AC1209" s="92"/>
      <c r="AD1209" s="101">
        <f t="shared" si="584"/>
        <v>76494</v>
      </c>
      <c r="AE1209" s="103">
        <f t="shared" si="585"/>
        <v>0</v>
      </c>
      <c r="AG1209" s="1">
        <f t="shared" si="606"/>
        <v>0</v>
      </c>
      <c r="AH1209" s="1">
        <f t="shared" si="607"/>
        <v>0</v>
      </c>
      <c r="AI1209" s="1">
        <f t="shared" si="586"/>
        <v>5432.58</v>
      </c>
      <c r="AJ1209" s="20">
        <f t="shared" si="588"/>
        <v>0</v>
      </c>
      <c r="AK1209" s="100">
        <f t="shared" si="590"/>
        <v>0</v>
      </c>
      <c r="AL1209" s="100">
        <f t="shared" si="591"/>
        <v>0</v>
      </c>
      <c r="AN1209" s="100">
        <f t="shared" si="592"/>
        <v>2989.9097688026272</v>
      </c>
      <c r="AO1209" s="20">
        <f t="shared" si="593"/>
        <v>0</v>
      </c>
      <c r="AQ1209" s="109">
        <f t="shared" si="594"/>
        <v>0</v>
      </c>
      <c r="AU1209" s="109">
        <f t="shared" si="579"/>
        <v>24.398625005240365</v>
      </c>
      <c r="AV1209" s="101">
        <f t="shared" si="595"/>
        <v>76524</v>
      </c>
      <c r="AW1209" s="99">
        <f t="shared" si="596"/>
        <v>0</v>
      </c>
      <c r="AX1209" s="1">
        <f t="shared" si="597"/>
        <v>0</v>
      </c>
      <c r="AY1209" s="29">
        <f t="shared" si="598"/>
        <v>0</v>
      </c>
      <c r="AZ1209" s="1">
        <f t="shared" si="580"/>
        <v>0</v>
      </c>
      <c r="CB1209" s="20">
        <f t="shared" si="589"/>
        <v>0</v>
      </c>
      <c r="CC1209" s="173">
        <f t="shared" si="581"/>
        <v>0</v>
      </c>
    </row>
    <row r="1210" spans="10:81" x14ac:dyDescent="0.25">
      <c r="J1210" s="9"/>
      <c r="K1210" s="10"/>
      <c r="L1210" s="17"/>
      <c r="M1210" s="23"/>
      <c r="N1210" s="23"/>
      <c r="O1210" s="23"/>
      <c r="P1210" s="23"/>
      <c r="Q1210" s="1">
        <f t="shared" si="582"/>
        <v>0.60744618579017706</v>
      </c>
      <c r="R1210" s="12">
        <f t="shared" ca="1" si="599"/>
        <v>35402</v>
      </c>
      <c r="S1210" s="88">
        <f t="shared" si="578"/>
        <v>0</v>
      </c>
      <c r="T1210" s="19">
        <f t="shared" si="600"/>
        <v>0</v>
      </c>
      <c r="U1210" s="19">
        <f t="shared" si="601"/>
        <v>0</v>
      </c>
      <c r="V1210" s="19">
        <f t="shared" si="587"/>
        <v>0</v>
      </c>
      <c r="W1210" s="20">
        <f t="shared" ca="1" si="602"/>
        <v>0</v>
      </c>
      <c r="X1210" s="19">
        <f t="shared" ca="1" si="603"/>
        <v>0</v>
      </c>
      <c r="Y1210" s="19">
        <f t="shared" ca="1" si="604"/>
        <v>0</v>
      </c>
      <c r="Z1210" s="20">
        <f t="shared" ca="1" si="605"/>
        <v>0</v>
      </c>
      <c r="AA1210" s="1">
        <f t="shared" si="583"/>
        <v>5432.58</v>
      </c>
      <c r="AB1210" s="93"/>
      <c r="AC1210" s="94"/>
      <c r="AD1210" s="101">
        <f t="shared" si="584"/>
        <v>76524</v>
      </c>
      <c r="AE1210" s="103">
        <f t="shared" si="585"/>
        <v>0</v>
      </c>
      <c r="AG1210" s="1">
        <f t="shared" si="606"/>
        <v>0</v>
      </c>
      <c r="AH1210" s="1">
        <f t="shared" si="607"/>
        <v>0</v>
      </c>
      <c r="AI1210" s="1">
        <f t="shared" si="586"/>
        <v>5432.58</v>
      </c>
      <c r="AJ1210" s="20">
        <f t="shared" si="588"/>
        <v>0</v>
      </c>
      <c r="AK1210" s="100">
        <f t="shared" si="590"/>
        <v>0</v>
      </c>
      <c r="AL1210" s="100">
        <f t="shared" si="591"/>
        <v>0</v>
      </c>
      <c r="AN1210" s="100">
        <f t="shared" si="592"/>
        <v>2988.397026822985</v>
      </c>
      <c r="AO1210" s="20">
        <f t="shared" si="593"/>
        <v>0</v>
      </c>
      <c r="AQ1210" s="109">
        <f t="shared" si="594"/>
        <v>0</v>
      </c>
      <c r="AU1210" s="109">
        <f t="shared" si="579"/>
        <v>24.396483536129967</v>
      </c>
      <c r="AV1210" s="101">
        <f t="shared" si="595"/>
        <v>76554</v>
      </c>
      <c r="AW1210" s="99">
        <f t="shared" si="596"/>
        <v>0</v>
      </c>
      <c r="AX1210" s="1">
        <f t="shared" si="597"/>
        <v>0</v>
      </c>
      <c r="AY1210" s="29">
        <f t="shared" si="598"/>
        <v>0</v>
      </c>
      <c r="AZ1210" s="1">
        <f t="shared" si="580"/>
        <v>0</v>
      </c>
      <c r="CB1210" s="20">
        <f t="shared" si="589"/>
        <v>0</v>
      </c>
      <c r="CC1210" s="173">
        <f t="shared" si="581"/>
        <v>0</v>
      </c>
    </row>
    <row r="1211" spans="10:81" x14ac:dyDescent="0.25">
      <c r="J1211" s="7"/>
      <c r="K1211" s="8"/>
      <c r="L1211" s="16"/>
      <c r="M1211" s="22"/>
      <c r="N1211" s="22"/>
      <c r="O1211" s="22"/>
      <c r="P1211" s="22"/>
      <c r="Q1211" s="1">
        <f t="shared" si="582"/>
        <v>0.60744618579017706</v>
      </c>
      <c r="R1211" s="12">
        <f t="shared" ca="1" si="599"/>
        <v>35432</v>
      </c>
      <c r="S1211" s="88">
        <f t="shared" si="578"/>
        <v>0</v>
      </c>
      <c r="T1211" s="19">
        <f t="shared" si="600"/>
        <v>0</v>
      </c>
      <c r="U1211" s="19">
        <f t="shared" si="601"/>
        <v>0</v>
      </c>
      <c r="V1211" s="19">
        <f t="shared" si="587"/>
        <v>0</v>
      </c>
      <c r="W1211" s="20">
        <f t="shared" ca="1" si="602"/>
        <v>0</v>
      </c>
      <c r="X1211" s="19">
        <f t="shared" ca="1" si="603"/>
        <v>0</v>
      </c>
      <c r="Y1211" s="19">
        <f t="shared" ca="1" si="604"/>
        <v>0</v>
      </c>
      <c r="Z1211" s="20">
        <f t="shared" ca="1" si="605"/>
        <v>0</v>
      </c>
      <c r="AA1211" s="1">
        <f t="shared" si="583"/>
        <v>5432.58</v>
      </c>
      <c r="AB1211" s="91"/>
      <c r="AC1211" s="92"/>
      <c r="AD1211" s="101">
        <f t="shared" si="584"/>
        <v>76554</v>
      </c>
      <c r="AE1211" s="103">
        <f t="shared" si="585"/>
        <v>0</v>
      </c>
      <c r="AG1211" s="1">
        <f t="shared" si="606"/>
        <v>0</v>
      </c>
      <c r="AH1211" s="1">
        <f t="shared" si="607"/>
        <v>0</v>
      </c>
      <c r="AI1211" s="1">
        <f t="shared" si="586"/>
        <v>5432.58</v>
      </c>
      <c r="AJ1211" s="20">
        <f t="shared" si="588"/>
        <v>0</v>
      </c>
      <c r="AK1211" s="100">
        <f t="shared" si="590"/>
        <v>0</v>
      </c>
      <c r="AL1211" s="100">
        <f t="shared" si="591"/>
        <v>0</v>
      </c>
      <c r="AN1211" s="100">
        <f t="shared" si="592"/>
        <v>2986.8850502136966</v>
      </c>
      <c r="AO1211" s="20">
        <f t="shared" si="593"/>
        <v>0</v>
      </c>
      <c r="AQ1211" s="109">
        <f t="shared" si="594"/>
        <v>0</v>
      </c>
      <c r="AU1211" s="109">
        <f t="shared" si="579"/>
        <v>24.394342254976479</v>
      </c>
      <c r="AV1211" s="101">
        <f t="shared" si="595"/>
        <v>76584</v>
      </c>
      <c r="AW1211" s="99">
        <f t="shared" si="596"/>
        <v>0</v>
      </c>
      <c r="AX1211" s="1">
        <f t="shared" si="597"/>
        <v>0</v>
      </c>
      <c r="AY1211" s="29">
        <f t="shared" si="598"/>
        <v>0</v>
      </c>
      <c r="AZ1211" s="1">
        <f t="shared" si="580"/>
        <v>0</v>
      </c>
      <c r="CB1211" s="20">
        <f t="shared" si="589"/>
        <v>0</v>
      </c>
      <c r="CC1211" s="173">
        <f t="shared" si="581"/>
        <v>0</v>
      </c>
    </row>
    <row r="1212" spans="10:81" x14ac:dyDescent="0.25">
      <c r="J1212" s="9"/>
      <c r="K1212" s="10"/>
      <c r="L1212" s="17"/>
      <c r="M1212" s="23"/>
      <c r="N1212" s="23"/>
      <c r="O1212" s="23"/>
      <c r="P1212" s="23"/>
      <c r="Q1212" s="1">
        <f t="shared" si="582"/>
        <v>0.60744618579017706</v>
      </c>
      <c r="R1212" s="12">
        <f t="shared" ca="1" si="599"/>
        <v>35462</v>
      </c>
      <c r="S1212" s="88">
        <f t="shared" si="578"/>
        <v>0</v>
      </c>
      <c r="T1212" s="19">
        <f t="shared" si="600"/>
        <v>0</v>
      </c>
      <c r="U1212" s="19">
        <f t="shared" si="601"/>
        <v>0</v>
      </c>
      <c r="V1212" s="19">
        <f t="shared" si="587"/>
        <v>0</v>
      </c>
      <c r="W1212" s="20">
        <f t="shared" ca="1" si="602"/>
        <v>0</v>
      </c>
      <c r="X1212" s="19">
        <f t="shared" ca="1" si="603"/>
        <v>0</v>
      </c>
      <c r="Y1212" s="19">
        <f t="shared" ca="1" si="604"/>
        <v>0</v>
      </c>
      <c r="Z1212" s="20">
        <f t="shared" ca="1" si="605"/>
        <v>0</v>
      </c>
      <c r="AA1212" s="1">
        <f t="shared" si="583"/>
        <v>5432.58</v>
      </c>
      <c r="AB1212" s="93"/>
      <c r="AC1212" s="94"/>
      <c r="AD1212" s="101">
        <f t="shared" si="584"/>
        <v>76584</v>
      </c>
      <c r="AE1212" s="103">
        <f t="shared" si="585"/>
        <v>0</v>
      </c>
      <c r="AG1212" s="1">
        <f t="shared" si="606"/>
        <v>0</v>
      </c>
      <c r="AH1212" s="1">
        <f t="shared" si="607"/>
        <v>0</v>
      </c>
      <c r="AI1212" s="1">
        <f t="shared" si="586"/>
        <v>5432.58</v>
      </c>
      <c r="AJ1212" s="20">
        <f t="shared" si="588"/>
        <v>0</v>
      </c>
      <c r="AK1212" s="100">
        <f t="shared" si="590"/>
        <v>0</v>
      </c>
      <c r="AL1212" s="100">
        <f t="shared" si="591"/>
        <v>0</v>
      </c>
      <c r="AN1212" s="100">
        <f t="shared" si="592"/>
        <v>2985.3738385875231</v>
      </c>
      <c r="AO1212" s="20">
        <f t="shared" si="593"/>
        <v>0</v>
      </c>
      <c r="AQ1212" s="109">
        <f t="shared" si="594"/>
        <v>0</v>
      </c>
      <c r="AU1212" s="109">
        <f t="shared" si="579"/>
        <v>24.392201161763396</v>
      </c>
      <c r="AV1212" s="101">
        <f t="shared" si="595"/>
        <v>76614</v>
      </c>
      <c r="AW1212" s="99">
        <f t="shared" si="596"/>
        <v>0</v>
      </c>
      <c r="AX1212" s="1">
        <f t="shared" si="597"/>
        <v>0</v>
      </c>
      <c r="AY1212" s="29">
        <f t="shared" si="598"/>
        <v>0</v>
      </c>
      <c r="AZ1212" s="1">
        <f t="shared" si="580"/>
        <v>0</v>
      </c>
      <c r="CB1212" s="20">
        <f t="shared" si="589"/>
        <v>0</v>
      </c>
      <c r="CC1212" s="173">
        <f t="shared" si="581"/>
        <v>0</v>
      </c>
    </row>
    <row r="1213" spans="10:81" x14ac:dyDescent="0.25">
      <c r="J1213" s="7"/>
      <c r="K1213" s="8"/>
      <c r="L1213" s="16"/>
      <c r="M1213" s="22"/>
      <c r="N1213" s="22"/>
      <c r="O1213" s="22"/>
      <c r="P1213" s="22"/>
      <c r="Q1213" s="1">
        <f t="shared" si="582"/>
        <v>0.60744618579017706</v>
      </c>
      <c r="R1213" s="12">
        <f t="shared" ca="1" si="599"/>
        <v>35492</v>
      </c>
      <c r="S1213" s="88">
        <f t="shared" si="578"/>
        <v>0</v>
      </c>
      <c r="T1213" s="19">
        <f t="shared" si="600"/>
        <v>0</v>
      </c>
      <c r="U1213" s="19">
        <f t="shared" si="601"/>
        <v>0</v>
      </c>
      <c r="V1213" s="19">
        <f t="shared" si="587"/>
        <v>0</v>
      </c>
      <c r="W1213" s="20">
        <f t="shared" ca="1" si="602"/>
        <v>0</v>
      </c>
      <c r="X1213" s="19">
        <f t="shared" ca="1" si="603"/>
        <v>0</v>
      </c>
      <c r="Y1213" s="19">
        <f t="shared" ca="1" si="604"/>
        <v>0</v>
      </c>
      <c r="Z1213" s="20">
        <f t="shared" ca="1" si="605"/>
        <v>0</v>
      </c>
      <c r="AA1213" s="1">
        <f t="shared" si="583"/>
        <v>5432.58</v>
      </c>
      <c r="AB1213" s="91"/>
      <c r="AC1213" s="92"/>
      <c r="AD1213" s="101">
        <f t="shared" si="584"/>
        <v>76614</v>
      </c>
      <c r="AE1213" s="103">
        <f t="shared" si="585"/>
        <v>0</v>
      </c>
      <c r="AG1213" s="1">
        <f t="shared" si="606"/>
        <v>0</v>
      </c>
      <c r="AH1213" s="1">
        <f t="shared" si="607"/>
        <v>0</v>
      </c>
      <c r="AI1213" s="1">
        <f t="shared" si="586"/>
        <v>5432.58</v>
      </c>
      <c r="AJ1213" s="20">
        <f t="shared" si="588"/>
        <v>0</v>
      </c>
      <c r="AK1213" s="100">
        <f t="shared" si="590"/>
        <v>0</v>
      </c>
      <c r="AL1213" s="100">
        <f t="shared" si="591"/>
        <v>0</v>
      </c>
      <c r="AN1213" s="100">
        <f t="shared" si="592"/>
        <v>2983.8633915574223</v>
      </c>
      <c r="AO1213" s="20">
        <f t="shared" si="593"/>
        <v>0</v>
      </c>
      <c r="AQ1213" s="109">
        <f t="shared" si="594"/>
        <v>0</v>
      </c>
      <c r="AU1213" s="109">
        <f t="shared" si="579"/>
        <v>24.390060256474225</v>
      </c>
      <c r="AV1213" s="101">
        <f t="shared" si="595"/>
        <v>76644</v>
      </c>
      <c r="AW1213" s="99">
        <f t="shared" si="596"/>
        <v>0</v>
      </c>
      <c r="AX1213" s="1">
        <f t="shared" si="597"/>
        <v>0</v>
      </c>
      <c r="AY1213" s="29">
        <f t="shared" si="598"/>
        <v>0</v>
      </c>
      <c r="AZ1213" s="1">
        <f t="shared" si="580"/>
        <v>0</v>
      </c>
      <c r="CB1213" s="20">
        <f t="shared" si="589"/>
        <v>0</v>
      </c>
      <c r="CC1213" s="173">
        <f t="shared" si="581"/>
        <v>0</v>
      </c>
    </row>
    <row r="1214" spans="10:81" x14ac:dyDescent="0.25">
      <c r="J1214" s="9"/>
      <c r="K1214" s="10"/>
      <c r="L1214" s="17"/>
      <c r="M1214" s="23"/>
      <c r="N1214" s="23"/>
      <c r="O1214" s="23"/>
      <c r="P1214" s="23"/>
      <c r="Q1214" s="1">
        <f t="shared" si="582"/>
        <v>0.60744618579017706</v>
      </c>
      <c r="R1214" s="12">
        <f t="shared" ca="1" si="599"/>
        <v>35522</v>
      </c>
      <c r="S1214" s="88">
        <f t="shared" si="578"/>
        <v>0</v>
      </c>
      <c r="T1214" s="19">
        <f t="shared" si="600"/>
        <v>0</v>
      </c>
      <c r="U1214" s="19">
        <f t="shared" si="601"/>
        <v>0</v>
      </c>
      <c r="V1214" s="19">
        <f t="shared" si="587"/>
        <v>0</v>
      </c>
      <c r="W1214" s="20">
        <f t="shared" ca="1" si="602"/>
        <v>0</v>
      </c>
      <c r="X1214" s="19">
        <f t="shared" ca="1" si="603"/>
        <v>0</v>
      </c>
      <c r="Y1214" s="19">
        <f t="shared" ca="1" si="604"/>
        <v>0</v>
      </c>
      <c r="Z1214" s="20">
        <f t="shared" ca="1" si="605"/>
        <v>0</v>
      </c>
      <c r="AA1214" s="1">
        <f t="shared" si="583"/>
        <v>5432.58</v>
      </c>
      <c r="AB1214" s="93"/>
      <c r="AC1214" s="94"/>
      <c r="AD1214" s="101">
        <f t="shared" si="584"/>
        <v>76644</v>
      </c>
      <c r="AE1214" s="103">
        <f t="shared" si="585"/>
        <v>0</v>
      </c>
      <c r="AG1214" s="1">
        <f t="shared" si="606"/>
        <v>0</v>
      </c>
      <c r="AH1214" s="1">
        <f t="shared" si="607"/>
        <v>0</v>
      </c>
      <c r="AI1214" s="1">
        <f t="shared" si="586"/>
        <v>5432.58</v>
      </c>
      <c r="AJ1214" s="20">
        <f t="shared" si="588"/>
        <v>0</v>
      </c>
      <c r="AK1214" s="100">
        <f t="shared" si="590"/>
        <v>0</v>
      </c>
      <c r="AL1214" s="100">
        <f t="shared" si="591"/>
        <v>0</v>
      </c>
      <c r="AN1214" s="100">
        <f t="shared" si="592"/>
        <v>2982.3537087365476</v>
      </c>
      <c r="AO1214" s="20">
        <f t="shared" si="593"/>
        <v>0</v>
      </c>
      <c r="AQ1214" s="109">
        <f t="shared" si="594"/>
        <v>0</v>
      </c>
      <c r="AU1214" s="109">
        <f t="shared" si="579"/>
        <v>24.387919539092465</v>
      </c>
      <c r="AV1214" s="101">
        <f t="shared" si="595"/>
        <v>76674</v>
      </c>
      <c r="AW1214" s="99">
        <f t="shared" si="596"/>
        <v>0</v>
      </c>
      <c r="AX1214" s="1">
        <f t="shared" si="597"/>
        <v>0</v>
      </c>
      <c r="AY1214" s="29">
        <f t="shared" si="598"/>
        <v>0</v>
      </c>
      <c r="AZ1214" s="1">
        <f t="shared" si="580"/>
        <v>0</v>
      </c>
      <c r="CB1214" s="20">
        <f t="shared" si="589"/>
        <v>0</v>
      </c>
      <c r="CC1214" s="173">
        <f t="shared" si="581"/>
        <v>0</v>
      </c>
    </row>
    <row r="1215" spans="10:81" x14ac:dyDescent="0.25">
      <c r="J1215" s="7"/>
      <c r="K1215" s="8"/>
      <c r="L1215" s="16"/>
      <c r="M1215" s="22"/>
      <c r="N1215" s="22"/>
      <c r="O1215" s="22"/>
      <c r="P1215" s="22"/>
      <c r="Q1215" s="1">
        <f t="shared" si="582"/>
        <v>0.60744618579017706</v>
      </c>
      <c r="R1215" s="12">
        <f t="shared" ca="1" si="599"/>
        <v>35552</v>
      </c>
      <c r="S1215" s="88">
        <f t="shared" si="578"/>
        <v>0</v>
      </c>
      <c r="T1215" s="19">
        <f t="shared" si="600"/>
        <v>0</v>
      </c>
      <c r="U1215" s="19">
        <f t="shared" si="601"/>
        <v>0</v>
      </c>
      <c r="V1215" s="19">
        <f t="shared" si="587"/>
        <v>0</v>
      </c>
      <c r="W1215" s="20">
        <f t="shared" ca="1" si="602"/>
        <v>0</v>
      </c>
      <c r="X1215" s="19">
        <f t="shared" ca="1" si="603"/>
        <v>0</v>
      </c>
      <c r="Y1215" s="19">
        <f t="shared" ca="1" si="604"/>
        <v>0</v>
      </c>
      <c r="Z1215" s="20">
        <f t="shared" ca="1" si="605"/>
        <v>0</v>
      </c>
      <c r="AA1215" s="1">
        <f t="shared" si="583"/>
        <v>5432.58</v>
      </c>
      <c r="AB1215" s="91"/>
      <c r="AC1215" s="92"/>
      <c r="AD1215" s="101">
        <f t="shared" si="584"/>
        <v>76674</v>
      </c>
      <c r="AE1215" s="103">
        <f t="shared" si="585"/>
        <v>0</v>
      </c>
      <c r="AG1215" s="1">
        <f t="shared" si="606"/>
        <v>0</v>
      </c>
      <c r="AH1215" s="1">
        <f t="shared" si="607"/>
        <v>0</v>
      </c>
      <c r="AI1215" s="1">
        <f t="shared" si="586"/>
        <v>5432.58</v>
      </c>
      <c r="AJ1215" s="20">
        <f t="shared" si="588"/>
        <v>0</v>
      </c>
      <c r="AK1215" s="100">
        <f t="shared" si="590"/>
        <v>0</v>
      </c>
      <c r="AL1215" s="100">
        <f t="shared" si="591"/>
        <v>0</v>
      </c>
      <c r="AN1215" s="100">
        <f t="shared" si="592"/>
        <v>2980.844789738248</v>
      </c>
      <c r="AO1215" s="20">
        <f t="shared" si="593"/>
        <v>0</v>
      </c>
      <c r="AQ1215" s="109">
        <f t="shared" si="594"/>
        <v>0</v>
      </c>
      <c r="AU1215" s="109">
        <f t="shared" si="579"/>
        <v>24.38577900960162</v>
      </c>
      <c r="AV1215" s="101">
        <f t="shared" si="595"/>
        <v>76704</v>
      </c>
      <c r="AW1215" s="99">
        <f t="shared" si="596"/>
        <v>0</v>
      </c>
      <c r="AX1215" s="1">
        <f t="shared" si="597"/>
        <v>0</v>
      </c>
      <c r="AY1215" s="29">
        <f t="shared" si="598"/>
        <v>0</v>
      </c>
      <c r="AZ1215" s="1">
        <f t="shared" si="580"/>
        <v>0</v>
      </c>
      <c r="CB1215" s="20">
        <f t="shared" si="589"/>
        <v>0</v>
      </c>
      <c r="CC1215" s="173">
        <f t="shared" si="581"/>
        <v>0</v>
      </c>
    </row>
    <row r="1216" spans="10:81" x14ac:dyDescent="0.25">
      <c r="J1216" s="9"/>
      <c r="K1216" s="10"/>
      <c r="L1216" s="17"/>
      <c r="M1216" s="23"/>
      <c r="N1216" s="23"/>
      <c r="O1216" s="23"/>
      <c r="P1216" s="23"/>
      <c r="Q1216" s="1">
        <f t="shared" si="582"/>
        <v>0.60744618579017706</v>
      </c>
      <c r="R1216" s="12">
        <f t="shared" ca="1" si="599"/>
        <v>35582</v>
      </c>
      <c r="S1216" s="88">
        <f t="shared" si="578"/>
        <v>0</v>
      </c>
      <c r="T1216" s="19">
        <f t="shared" si="600"/>
        <v>0</v>
      </c>
      <c r="U1216" s="19">
        <f t="shared" si="601"/>
        <v>0</v>
      </c>
      <c r="V1216" s="19">
        <f t="shared" si="587"/>
        <v>0</v>
      </c>
      <c r="W1216" s="20">
        <f t="shared" ca="1" si="602"/>
        <v>0</v>
      </c>
      <c r="X1216" s="19">
        <f t="shared" ca="1" si="603"/>
        <v>0</v>
      </c>
      <c r="Y1216" s="19">
        <f t="shared" ca="1" si="604"/>
        <v>0</v>
      </c>
      <c r="Z1216" s="20">
        <f t="shared" ca="1" si="605"/>
        <v>0</v>
      </c>
      <c r="AA1216" s="1">
        <f t="shared" si="583"/>
        <v>5432.58</v>
      </c>
      <c r="AB1216" s="93"/>
      <c r="AC1216" s="94"/>
      <c r="AD1216" s="101">
        <f t="shared" si="584"/>
        <v>76704</v>
      </c>
      <c r="AE1216" s="103">
        <f t="shared" si="585"/>
        <v>0</v>
      </c>
      <c r="AG1216" s="1">
        <f t="shared" si="606"/>
        <v>0</v>
      </c>
      <c r="AH1216" s="1">
        <f t="shared" si="607"/>
        <v>0</v>
      </c>
      <c r="AI1216" s="1">
        <f t="shared" si="586"/>
        <v>5432.58</v>
      </c>
      <c r="AJ1216" s="20">
        <f t="shared" si="588"/>
        <v>0</v>
      </c>
      <c r="AK1216" s="100">
        <f t="shared" si="590"/>
        <v>0</v>
      </c>
      <c r="AL1216" s="100">
        <f t="shared" si="591"/>
        <v>0</v>
      </c>
      <c r="AN1216" s="100">
        <f t="shared" si="592"/>
        <v>2979.3366341760689</v>
      </c>
      <c r="AO1216" s="20">
        <f t="shared" si="593"/>
        <v>0</v>
      </c>
      <c r="AQ1216" s="109">
        <f t="shared" si="594"/>
        <v>0</v>
      </c>
      <c r="AU1216" s="109">
        <f t="shared" si="579"/>
        <v>24.38363866798521</v>
      </c>
      <c r="AV1216" s="101">
        <f t="shared" si="595"/>
        <v>76734</v>
      </c>
      <c r="AW1216" s="99">
        <f t="shared" si="596"/>
        <v>0</v>
      </c>
      <c r="AX1216" s="1">
        <f t="shared" si="597"/>
        <v>0</v>
      </c>
      <c r="AY1216" s="29">
        <f t="shared" si="598"/>
        <v>0</v>
      </c>
      <c r="AZ1216" s="1">
        <f t="shared" si="580"/>
        <v>0</v>
      </c>
      <c r="CB1216" s="20">
        <f t="shared" si="589"/>
        <v>0</v>
      </c>
      <c r="CC1216" s="173">
        <f t="shared" si="581"/>
        <v>0</v>
      </c>
    </row>
    <row r="1217" spans="10:81" x14ac:dyDescent="0.25">
      <c r="J1217" s="7"/>
      <c r="K1217" s="8"/>
      <c r="L1217" s="16"/>
      <c r="M1217" s="22"/>
      <c r="N1217" s="22"/>
      <c r="O1217" s="22"/>
      <c r="P1217" s="22"/>
      <c r="Q1217" s="1">
        <f t="shared" si="582"/>
        <v>0.60744618579017706</v>
      </c>
      <c r="R1217" s="12">
        <f t="shared" ca="1" si="599"/>
        <v>35612</v>
      </c>
      <c r="S1217" s="88">
        <f t="shared" si="578"/>
        <v>0</v>
      </c>
      <c r="T1217" s="19">
        <f t="shared" si="600"/>
        <v>0</v>
      </c>
      <c r="U1217" s="19">
        <f t="shared" si="601"/>
        <v>0</v>
      </c>
      <c r="V1217" s="19">
        <f t="shared" si="587"/>
        <v>0</v>
      </c>
      <c r="W1217" s="20">
        <f t="shared" ca="1" si="602"/>
        <v>0</v>
      </c>
      <c r="X1217" s="19">
        <f t="shared" ca="1" si="603"/>
        <v>0</v>
      </c>
      <c r="Y1217" s="19">
        <f t="shared" ca="1" si="604"/>
        <v>0</v>
      </c>
      <c r="Z1217" s="20">
        <f t="shared" ca="1" si="605"/>
        <v>0</v>
      </c>
      <c r="AA1217" s="1">
        <f t="shared" si="583"/>
        <v>5432.58</v>
      </c>
      <c r="AB1217" s="91"/>
      <c r="AC1217" s="92"/>
      <c r="AD1217" s="101">
        <f t="shared" si="584"/>
        <v>76734</v>
      </c>
      <c r="AE1217" s="103">
        <f t="shared" si="585"/>
        <v>0</v>
      </c>
      <c r="AG1217" s="1">
        <f t="shared" si="606"/>
        <v>0</v>
      </c>
      <c r="AH1217" s="1">
        <f t="shared" si="607"/>
        <v>0</v>
      </c>
      <c r="AI1217" s="1">
        <f t="shared" si="586"/>
        <v>5432.58</v>
      </c>
      <c r="AJ1217" s="20">
        <f t="shared" si="588"/>
        <v>0</v>
      </c>
      <c r="AK1217" s="100">
        <f t="shared" si="590"/>
        <v>0</v>
      </c>
      <c r="AL1217" s="100">
        <f t="shared" si="591"/>
        <v>0</v>
      </c>
      <c r="AN1217" s="100">
        <f t="shared" si="592"/>
        <v>2977.8292416637491</v>
      </c>
      <c r="AO1217" s="20">
        <f t="shared" si="593"/>
        <v>0</v>
      </c>
      <c r="AQ1217" s="109">
        <f t="shared" si="594"/>
        <v>0</v>
      </c>
      <c r="AU1217" s="109">
        <f t="shared" si="579"/>
        <v>24.381498514226745</v>
      </c>
      <c r="AV1217" s="101">
        <f t="shared" si="595"/>
        <v>76764</v>
      </c>
      <c r="AW1217" s="99">
        <f t="shared" si="596"/>
        <v>0</v>
      </c>
      <c r="AX1217" s="1">
        <f t="shared" si="597"/>
        <v>0</v>
      </c>
      <c r="AY1217" s="29">
        <f t="shared" si="598"/>
        <v>0</v>
      </c>
      <c r="AZ1217" s="1">
        <f t="shared" si="580"/>
        <v>0</v>
      </c>
      <c r="CB1217" s="20">
        <f t="shared" si="589"/>
        <v>0</v>
      </c>
      <c r="CC1217" s="173">
        <f t="shared" si="581"/>
        <v>0</v>
      </c>
    </row>
    <row r="1218" spans="10:81" x14ac:dyDescent="0.25">
      <c r="J1218" s="9"/>
      <c r="K1218" s="10"/>
      <c r="L1218" s="17"/>
      <c r="M1218" s="23"/>
      <c r="N1218" s="23"/>
      <c r="O1218" s="23"/>
      <c r="P1218" s="23"/>
      <c r="Q1218" s="1">
        <f t="shared" si="582"/>
        <v>0.60744618579017706</v>
      </c>
      <c r="R1218" s="12">
        <f t="shared" ca="1" si="599"/>
        <v>35642</v>
      </c>
      <c r="S1218" s="88">
        <f t="shared" si="578"/>
        <v>0</v>
      </c>
      <c r="T1218" s="19">
        <f t="shared" si="600"/>
        <v>0</v>
      </c>
      <c r="U1218" s="19">
        <f t="shared" si="601"/>
        <v>0</v>
      </c>
      <c r="V1218" s="19">
        <f t="shared" si="587"/>
        <v>0</v>
      </c>
      <c r="W1218" s="20">
        <f t="shared" ca="1" si="602"/>
        <v>0</v>
      </c>
      <c r="X1218" s="19">
        <f t="shared" ca="1" si="603"/>
        <v>0</v>
      </c>
      <c r="Y1218" s="19">
        <f t="shared" ca="1" si="604"/>
        <v>0</v>
      </c>
      <c r="Z1218" s="20">
        <f t="shared" ca="1" si="605"/>
        <v>0</v>
      </c>
      <c r="AA1218" s="1">
        <f t="shared" si="583"/>
        <v>5432.58</v>
      </c>
      <c r="AB1218" s="93"/>
      <c r="AC1218" s="94"/>
      <c r="AD1218" s="101">
        <f t="shared" si="584"/>
        <v>76764</v>
      </c>
      <c r="AE1218" s="103">
        <f t="shared" si="585"/>
        <v>0</v>
      </c>
      <c r="AG1218" s="1">
        <f t="shared" si="606"/>
        <v>0</v>
      </c>
      <c r="AH1218" s="1">
        <f t="shared" si="607"/>
        <v>0</v>
      </c>
      <c r="AI1218" s="1">
        <f t="shared" si="586"/>
        <v>5432.58</v>
      </c>
      <c r="AJ1218" s="20">
        <f t="shared" si="588"/>
        <v>0</v>
      </c>
      <c r="AK1218" s="100">
        <f t="shared" si="590"/>
        <v>0</v>
      </c>
      <c r="AL1218" s="100">
        <f t="shared" si="591"/>
        <v>0</v>
      </c>
      <c r="AN1218" s="100">
        <f t="shared" si="592"/>
        <v>2976.3226118152256</v>
      </c>
      <c r="AO1218" s="20">
        <f t="shared" si="593"/>
        <v>0</v>
      </c>
      <c r="AQ1218" s="109">
        <f t="shared" si="594"/>
        <v>0</v>
      </c>
      <c r="AU1218" s="109">
        <f t="shared" si="579"/>
        <v>24.379358548309728</v>
      </c>
      <c r="AV1218" s="101">
        <f t="shared" si="595"/>
        <v>76794</v>
      </c>
      <c r="AW1218" s="99">
        <f t="shared" si="596"/>
        <v>0</v>
      </c>
      <c r="AX1218" s="1">
        <f t="shared" si="597"/>
        <v>0</v>
      </c>
      <c r="AY1218" s="29">
        <f t="shared" si="598"/>
        <v>0</v>
      </c>
      <c r="AZ1218" s="1">
        <f t="shared" si="580"/>
        <v>0</v>
      </c>
      <c r="CB1218" s="20">
        <f t="shared" si="589"/>
        <v>0</v>
      </c>
      <c r="CC1218" s="173">
        <f t="shared" si="581"/>
        <v>0</v>
      </c>
    </row>
    <row r="1219" spans="10:81" x14ac:dyDescent="0.25">
      <c r="J1219" s="7"/>
      <c r="K1219" s="8"/>
      <c r="L1219" s="16"/>
      <c r="M1219" s="22"/>
      <c r="N1219" s="22"/>
      <c r="O1219" s="22"/>
      <c r="P1219" s="22"/>
      <c r="Q1219" s="1">
        <f t="shared" si="582"/>
        <v>0.60744618579017706</v>
      </c>
      <c r="R1219" s="12">
        <f t="shared" ca="1" si="599"/>
        <v>35672</v>
      </c>
      <c r="S1219" s="88">
        <f t="shared" ref="S1219:S1282" si="608">N1219+M1219</f>
        <v>0</v>
      </c>
      <c r="T1219" s="19">
        <f t="shared" si="600"/>
        <v>0</v>
      </c>
      <c r="U1219" s="19">
        <f t="shared" si="601"/>
        <v>0</v>
      </c>
      <c r="V1219" s="19">
        <f t="shared" si="587"/>
        <v>0</v>
      </c>
      <c r="W1219" s="20">
        <f t="shared" ca="1" si="602"/>
        <v>0</v>
      </c>
      <c r="X1219" s="19">
        <f t="shared" ca="1" si="603"/>
        <v>0</v>
      </c>
      <c r="Y1219" s="19">
        <f t="shared" ca="1" si="604"/>
        <v>0</v>
      </c>
      <c r="Z1219" s="20">
        <f t="shared" ca="1" si="605"/>
        <v>0</v>
      </c>
      <c r="AA1219" s="1">
        <f t="shared" si="583"/>
        <v>5432.58</v>
      </c>
      <c r="AB1219" s="91"/>
      <c r="AC1219" s="92"/>
      <c r="AD1219" s="101">
        <f t="shared" si="584"/>
        <v>76794</v>
      </c>
      <c r="AE1219" s="103">
        <f t="shared" si="585"/>
        <v>0</v>
      </c>
      <c r="AG1219" s="1">
        <f t="shared" si="606"/>
        <v>0</v>
      </c>
      <c r="AH1219" s="1">
        <f t="shared" si="607"/>
        <v>0</v>
      </c>
      <c r="AI1219" s="1">
        <f t="shared" si="586"/>
        <v>5432.58</v>
      </c>
      <c r="AJ1219" s="20">
        <f t="shared" si="588"/>
        <v>0</v>
      </c>
      <c r="AK1219" s="100">
        <f t="shared" si="590"/>
        <v>0</v>
      </c>
      <c r="AL1219" s="100">
        <f t="shared" si="591"/>
        <v>0</v>
      </c>
      <c r="AN1219" s="100">
        <f t="shared" si="592"/>
        <v>2974.8167442446284</v>
      </c>
      <c r="AO1219" s="20">
        <f t="shared" si="593"/>
        <v>0</v>
      </c>
      <c r="AQ1219" s="109">
        <f t="shared" si="594"/>
        <v>0</v>
      </c>
      <c r="AU1219" s="109">
        <f t="shared" si="579"/>
        <v>24.377218770217677</v>
      </c>
      <c r="AV1219" s="101">
        <f t="shared" si="595"/>
        <v>76824</v>
      </c>
      <c r="AW1219" s="99">
        <f t="shared" si="596"/>
        <v>0</v>
      </c>
      <c r="AX1219" s="1">
        <f t="shared" si="597"/>
        <v>0</v>
      </c>
      <c r="AY1219" s="29">
        <f t="shared" si="598"/>
        <v>0</v>
      </c>
      <c r="AZ1219" s="1">
        <f t="shared" si="580"/>
        <v>0</v>
      </c>
      <c r="CB1219" s="20">
        <f t="shared" si="589"/>
        <v>0</v>
      </c>
      <c r="CC1219" s="173">
        <f t="shared" si="581"/>
        <v>0</v>
      </c>
    </row>
    <row r="1220" spans="10:81" x14ac:dyDescent="0.25">
      <c r="J1220" s="9"/>
      <c r="K1220" s="10"/>
      <c r="L1220" s="17"/>
      <c r="M1220" s="23"/>
      <c r="N1220" s="23"/>
      <c r="O1220" s="23"/>
      <c r="P1220" s="23"/>
      <c r="Q1220" s="1">
        <f t="shared" si="582"/>
        <v>0.60744618579017706</v>
      </c>
      <c r="R1220" s="12">
        <f t="shared" ca="1" si="599"/>
        <v>35702</v>
      </c>
      <c r="S1220" s="88">
        <f t="shared" si="608"/>
        <v>0</v>
      </c>
      <c r="T1220" s="19">
        <f t="shared" si="600"/>
        <v>0</v>
      </c>
      <c r="U1220" s="19">
        <f t="shared" si="601"/>
        <v>0</v>
      </c>
      <c r="V1220" s="19">
        <f t="shared" si="587"/>
        <v>0</v>
      </c>
      <c r="W1220" s="20">
        <f t="shared" ca="1" si="602"/>
        <v>0</v>
      </c>
      <c r="X1220" s="19">
        <f t="shared" ca="1" si="603"/>
        <v>0</v>
      </c>
      <c r="Y1220" s="19">
        <f t="shared" ca="1" si="604"/>
        <v>0</v>
      </c>
      <c r="Z1220" s="20">
        <f t="shared" ca="1" si="605"/>
        <v>0</v>
      </c>
      <c r="AA1220" s="1">
        <f t="shared" si="583"/>
        <v>5432.58</v>
      </c>
      <c r="AB1220" s="93"/>
      <c r="AC1220" s="94"/>
      <c r="AD1220" s="101">
        <f t="shared" si="584"/>
        <v>76824</v>
      </c>
      <c r="AE1220" s="103">
        <f t="shared" si="585"/>
        <v>0</v>
      </c>
      <c r="AG1220" s="1">
        <f t="shared" si="606"/>
        <v>0</v>
      </c>
      <c r="AH1220" s="1">
        <f t="shared" si="607"/>
        <v>0</v>
      </c>
      <c r="AI1220" s="1">
        <f t="shared" si="586"/>
        <v>5432.58</v>
      </c>
      <c r="AJ1220" s="20">
        <f t="shared" si="588"/>
        <v>0</v>
      </c>
      <c r="AK1220" s="100">
        <f t="shared" si="590"/>
        <v>0</v>
      </c>
      <c r="AL1220" s="100">
        <f t="shared" si="591"/>
        <v>0</v>
      </c>
      <c r="AN1220" s="100">
        <f t="shared" si="592"/>
        <v>2973.3116385662838</v>
      </c>
      <c r="AO1220" s="20">
        <f t="shared" si="593"/>
        <v>0</v>
      </c>
      <c r="AQ1220" s="109">
        <f t="shared" si="594"/>
        <v>0</v>
      </c>
      <c r="AU1220" s="109">
        <f t="shared" si="579"/>
        <v>24.375079179934115</v>
      </c>
      <c r="AV1220" s="101">
        <f t="shared" si="595"/>
        <v>76854</v>
      </c>
      <c r="AW1220" s="99">
        <f t="shared" si="596"/>
        <v>0</v>
      </c>
      <c r="AX1220" s="1">
        <f t="shared" si="597"/>
        <v>0</v>
      </c>
      <c r="AY1220" s="29">
        <f t="shared" si="598"/>
        <v>0</v>
      </c>
      <c r="AZ1220" s="1">
        <f t="shared" si="580"/>
        <v>0</v>
      </c>
      <c r="CB1220" s="20">
        <f t="shared" si="589"/>
        <v>0</v>
      </c>
      <c r="CC1220" s="173">
        <f t="shared" si="581"/>
        <v>0</v>
      </c>
    </row>
    <row r="1221" spans="10:81" x14ac:dyDescent="0.25">
      <c r="J1221" s="7"/>
      <c r="K1221" s="8"/>
      <c r="L1221" s="16"/>
      <c r="M1221" s="22"/>
      <c r="N1221" s="22"/>
      <c r="O1221" s="22"/>
      <c r="P1221" s="22"/>
      <c r="Q1221" s="1">
        <f t="shared" si="582"/>
        <v>0.60744618579017706</v>
      </c>
      <c r="R1221" s="12">
        <f t="shared" ca="1" si="599"/>
        <v>35732</v>
      </c>
      <c r="S1221" s="88">
        <f t="shared" si="608"/>
        <v>0</v>
      </c>
      <c r="T1221" s="19">
        <f t="shared" si="600"/>
        <v>0</v>
      </c>
      <c r="U1221" s="19">
        <f t="shared" si="601"/>
        <v>0</v>
      </c>
      <c r="V1221" s="19">
        <f t="shared" si="587"/>
        <v>0</v>
      </c>
      <c r="W1221" s="20">
        <f t="shared" ca="1" si="602"/>
        <v>0</v>
      </c>
      <c r="X1221" s="19">
        <f t="shared" ca="1" si="603"/>
        <v>0</v>
      </c>
      <c r="Y1221" s="19">
        <f t="shared" ca="1" si="604"/>
        <v>0</v>
      </c>
      <c r="Z1221" s="20">
        <f t="shared" ca="1" si="605"/>
        <v>0</v>
      </c>
      <c r="AA1221" s="1">
        <f t="shared" si="583"/>
        <v>5432.58</v>
      </c>
      <c r="AB1221" s="91"/>
      <c r="AC1221" s="92"/>
      <c r="AD1221" s="101">
        <f t="shared" si="584"/>
        <v>76854</v>
      </c>
      <c r="AE1221" s="103">
        <f t="shared" si="585"/>
        <v>0</v>
      </c>
      <c r="AG1221" s="1">
        <f t="shared" si="606"/>
        <v>0</v>
      </c>
      <c r="AH1221" s="1">
        <f t="shared" si="607"/>
        <v>0</v>
      </c>
      <c r="AI1221" s="1">
        <f t="shared" si="586"/>
        <v>5432.58</v>
      </c>
      <c r="AJ1221" s="20">
        <f t="shared" si="588"/>
        <v>0</v>
      </c>
      <c r="AK1221" s="100">
        <f t="shared" si="590"/>
        <v>0</v>
      </c>
      <c r="AL1221" s="100">
        <f t="shared" si="591"/>
        <v>0</v>
      </c>
      <c r="AN1221" s="100">
        <f t="shared" si="592"/>
        <v>2971.8072943947141</v>
      </c>
      <c r="AO1221" s="20">
        <f t="shared" si="593"/>
        <v>0</v>
      </c>
      <c r="AQ1221" s="109">
        <f t="shared" si="594"/>
        <v>0</v>
      </c>
      <c r="AU1221" s="109">
        <f t="shared" si="579"/>
        <v>24.372939777442529</v>
      </c>
      <c r="AV1221" s="101">
        <f t="shared" si="595"/>
        <v>76884</v>
      </c>
      <c r="AW1221" s="99">
        <f t="shared" si="596"/>
        <v>0</v>
      </c>
      <c r="AX1221" s="1">
        <f t="shared" si="597"/>
        <v>0</v>
      </c>
      <c r="AY1221" s="29">
        <f t="shared" si="598"/>
        <v>0</v>
      </c>
      <c r="AZ1221" s="1">
        <f t="shared" si="580"/>
        <v>0</v>
      </c>
      <c r="CB1221" s="20">
        <f t="shared" si="589"/>
        <v>0</v>
      </c>
      <c r="CC1221" s="173">
        <f t="shared" si="581"/>
        <v>0</v>
      </c>
    </row>
    <row r="1222" spans="10:81" x14ac:dyDescent="0.25">
      <c r="J1222" s="9"/>
      <c r="K1222" s="10"/>
      <c r="L1222" s="17"/>
      <c r="M1222" s="23"/>
      <c r="N1222" s="23"/>
      <c r="O1222" s="23"/>
      <c r="P1222" s="23"/>
      <c r="Q1222" s="1">
        <f t="shared" si="582"/>
        <v>0.60744618579017706</v>
      </c>
      <c r="R1222" s="12">
        <f t="shared" ca="1" si="599"/>
        <v>35762</v>
      </c>
      <c r="S1222" s="88">
        <f t="shared" si="608"/>
        <v>0</v>
      </c>
      <c r="T1222" s="19">
        <f t="shared" si="600"/>
        <v>0</v>
      </c>
      <c r="U1222" s="19">
        <f t="shared" si="601"/>
        <v>0</v>
      </c>
      <c r="V1222" s="19">
        <f t="shared" si="587"/>
        <v>0</v>
      </c>
      <c r="W1222" s="20">
        <f t="shared" ca="1" si="602"/>
        <v>0</v>
      </c>
      <c r="X1222" s="19">
        <f t="shared" ca="1" si="603"/>
        <v>0</v>
      </c>
      <c r="Y1222" s="19">
        <f t="shared" ca="1" si="604"/>
        <v>0</v>
      </c>
      <c r="Z1222" s="20">
        <f t="shared" ca="1" si="605"/>
        <v>0</v>
      </c>
      <c r="AA1222" s="1">
        <f t="shared" si="583"/>
        <v>5432.58</v>
      </c>
      <c r="AB1222" s="93"/>
      <c r="AC1222" s="94"/>
      <c r="AD1222" s="101">
        <f t="shared" si="584"/>
        <v>76884</v>
      </c>
      <c r="AE1222" s="103">
        <f t="shared" si="585"/>
        <v>0</v>
      </c>
      <c r="AG1222" s="1">
        <f t="shared" si="606"/>
        <v>0</v>
      </c>
      <c r="AH1222" s="1">
        <f t="shared" si="607"/>
        <v>0</v>
      </c>
      <c r="AI1222" s="1">
        <f t="shared" si="586"/>
        <v>5432.58</v>
      </c>
      <c r="AJ1222" s="20">
        <f t="shared" si="588"/>
        <v>0</v>
      </c>
      <c r="AK1222" s="100">
        <f t="shared" si="590"/>
        <v>0</v>
      </c>
      <c r="AL1222" s="100">
        <f t="shared" si="591"/>
        <v>0</v>
      </c>
      <c r="AN1222" s="100">
        <f t="shared" si="592"/>
        <v>2970.3037113446348</v>
      </c>
      <c r="AO1222" s="20">
        <f t="shared" si="593"/>
        <v>0</v>
      </c>
      <c r="AQ1222" s="109">
        <f t="shared" si="594"/>
        <v>0</v>
      </c>
      <c r="AU1222" s="109">
        <f t="shared" si="579"/>
        <v>24.370800562726476</v>
      </c>
      <c r="AV1222" s="101">
        <f t="shared" si="595"/>
        <v>76914</v>
      </c>
      <c r="AW1222" s="99">
        <f t="shared" si="596"/>
        <v>0</v>
      </c>
      <c r="AX1222" s="1">
        <f t="shared" si="597"/>
        <v>0</v>
      </c>
      <c r="AY1222" s="29">
        <f t="shared" si="598"/>
        <v>0</v>
      </c>
      <c r="AZ1222" s="1">
        <f t="shared" si="580"/>
        <v>0</v>
      </c>
      <c r="CB1222" s="20">
        <f t="shared" si="589"/>
        <v>0</v>
      </c>
      <c r="CC1222" s="173">
        <f t="shared" si="581"/>
        <v>0</v>
      </c>
    </row>
    <row r="1223" spans="10:81" x14ac:dyDescent="0.25">
      <c r="J1223" s="7"/>
      <c r="K1223" s="8"/>
      <c r="L1223" s="16"/>
      <c r="M1223" s="22"/>
      <c r="N1223" s="22"/>
      <c r="O1223" s="22"/>
      <c r="P1223" s="22"/>
      <c r="Q1223" s="1">
        <f t="shared" si="582"/>
        <v>0.60744618579017706</v>
      </c>
      <c r="R1223" s="12">
        <f t="shared" ca="1" si="599"/>
        <v>35792</v>
      </c>
      <c r="S1223" s="88">
        <f t="shared" si="608"/>
        <v>0</v>
      </c>
      <c r="T1223" s="19">
        <f t="shared" si="600"/>
        <v>0</v>
      </c>
      <c r="U1223" s="19">
        <f t="shared" si="601"/>
        <v>0</v>
      </c>
      <c r="V1223" s="19">
        <f t="shared" si="587"/>
        <v>0</v>
      </c>
      <c r="W1223" s="20">
        <f t="shared" ca="1" si="602"/>
        <v>0</v>
      </c>
      <c r="X1223" s="19">
        <f t="shared" ca="1" si="603"/>
        <v>0</v>
      </c>
      <c r="Y1223" s="19">
        <f t="shared" ca="1" si="604"/>
        <v>0</v>
      </c>
      <c r="Z1223" s="20">
        <f t="shared" ca="1" si="605"/>
        <v>0</v>
      </c>
      <c r="AA1223" s="1">
        <f t="shared" si="583"/>
        <v>5432.58</v>
      </c>
      <c r="AB1223" s="91"/>
      <c r="AC1223" s="92"/>
      <c r="AD1223" s="101">
        <f t="shared" si="584"/>
        <v>76914</v>
      </c>
      <c r="AE1223" s="103">
        <f t="shared" si="585"/>
        <v>0</v>
      </c>
      <c r="AG1223" s="1">
        <f t="shared" si="606"/>
        <v>0</v>
      </c>
      <c r="AH1223" s="1">
        <f t="shared" si="607"/>
        <v>0</v>
      </c>
      <c r="AI1223" s="1">
        <f t="shared" si="586"/>
        <v>5432.58</v>
      </c>
      <c r="AJ1223" s="20">
        <f t="shared" si="588"/>
        <v>0</v>
      </c>
      <c r="AK1223" s="100">
        <f t="shared" si="590"/>
        <v>0</v>
      </c>
      <c r="AL1223" s="100">
        <f t="shared" si="591"/>
        <v>0</v>
      </c>
      <c r="AN1223" s="100">
        <f t="shared" si="592"/>
        <v>2968.8008890309579</v>
      </c>
      <c r="AO1223" s="20">
        <f t="shared" si="593"/>
        <v>0</v>
      </c>
      <c r="AQ1223" s="109">
        <f t="shared" si="594"/>
        <v>0</v>
      </c>
      <c r="AU1223" s="109">
        <f t="shared" si="579"/>
        <v>24.368661535769448</v>
      </c>
      <c r="AV1223" s="101">
        <f t="shared" si="595"/>
        <v>76944</v>
      </c>
      <c r="AW1223" s="99">
        <f t="shared" si="596"/>
        <v>0</v>
      </c>
      <c r="AX1223" s="1">
        <f t="shared" si="597"/>
        <v>0</v>
      </c>
      <c r="AY1223" s="29">
        <f t="shared" si="598"/>
        <v>0</v>
      </c>
      <c r="AZ1223" s="1">
        <f t="shared" si="580"/>
        <v>0</v>
      </c>
      <c r="CB1223" s="20">
        <f t="shared" si="589"/>
        <v>0</v>
      </c>
      <c r="CC1223" s="173">
        <f t="shared" si="581"/>
        <v>0</v>
      </c>
    </row>
    <row r="1224" spans="10:81" x14ac:dyDescent="0.25">
      <c r="J1224" s="9"/>
      <c r="K1224" s="10"/>
      <c r="L1224" s="17"/>
      <c r="M1224" s="23"/>
      <c r="N1224" s="23"/>
      <c r="O1224" s="23"/>
      <c r="P1224" s="23"/>
      <c r="Q1224" s="1">
        <f t="shared" si="582"/>
        <v>0.60744618579017706</v>
      </c>
      <c r="R1224" s="12">
        <f t="shared" ca="1" si="599"/>
        <v>35822</v>
      </c>
      <c r="S1224" s="88">
        <f t="shared" si="608"/>
        <v>0</v>
      </c>
      <c r="T1224" s="19">
        <f t="shared" si="600"/>
        <v>0</v>
      </c>
      <c r="U1224" s="19">
        <f t="shared" si="601"/>
        <v>0</v>
      </c>
      <c r="V1224" s="19">
        <f t="shared" si="587"/>
        <v>0</v>
      </c>
      <c r="W1224" s="20">
        <f t="shared" ca="1" si="602"/>
        <v>0</v>
      </c>
      <c r="X1224" s="19">
        <f t="shared" ca="1" si="603"/>
        <v>0</v>
      </c>
      <c r="Y1224" s="19">
        <f t="shared" ca="1" si="604"/>
        <v>0</v>
      </c>
      <c r="Z1224" s="20">
        <f t="shared" ca="1" si="605"/>
        <v>0</v>
      </c>
      <c r="AA1224" s="1">
        <f t="shared" si="583"/>
        <v>5432.58</v>
      </c>
      <c r="AB1224" s="93"/>
      <c r="AC1224" s="94"/>
      <c r="AD1224" s="101">
        <f t="shared" si="584"/>
        <v>76944</v>
      </c>
      <c r="AE1224" s="103">
        <f t="shared" si="585"/>
        <v>0</v>
      </c>
      <c r="AG1224" s="1">
        <f t="shared" si="606"/>
        <v>0</v>
      </c>
      <c r="AH1224" s="1">
        <f t="shared" si="607"/>
        <v>0</v>
      </c>
      <c r="AI1224" s="1">
        <f t="shared" si="586"/>
        <v>5432.58</v>
      </c>
      <c r="AJ1224" s="20">
        <f t="shared" si="588"/>
        <v>0</v>
      </c>
      <c r="AK1224" s="100">
        <f t="shared" si="590"/>
        <v>0</v>
      </c>
      <c r="AL1224" s="100">
        <f t="shared" si="591"/>
        <v>0</v>
      </c>
      <c r="AN1224" s="100">
        <f t="shared" si="592"/>
        <v>2967.2988270687888</v>
      </c>
      <c r="AO1224" s="20">
        <f t="shared" si="593"/>
        <v>0</v>
      </c>
      <c r="AQ1224" s="109">
        <f t="shared" si="594"/>
        <v>0</v>
      </c>
      <c r="AU1224" s="109">
        <f t="shared" si="579"/>
        <v>24.366522696554977</v>
      </c>
      <c r="AV1224" s="101">
        <f t="shared" si="595"/>
        <v>76974</v>
      </c>
      <c r="AW1224" s="99">
        <f t="shared" si="596"/>
        <v>0</v>
      </c>
      <c r="AX1224" s="1">
        <f t="shared" si="597"/>
        <v>0</v>
      </c>
      <c r="AY1224" s="29">
        <f t="shared" si="598"/>
        <v>0</v>
      </c>
      <c r="AZ1224" s="1">
        <f t="shared" si="580"/>
        <v>0</v>
      </c>
      <c r="CB1224" s="20">
        <f t="shared" si="589"/>
        <v>0</v>
      </c>
      <c r="CC1224" s="173">
        <f t="shared" si="581"/>
        <v>0</v>
      </c>
    </row>
    <row r="1225" spans="10:81" x14ac:dyDescent="0.25">
      <c r="J1225" s="7"/>
      <c r="K1225" s="8"/>
      <c r="L1225" s="16"/>
      <c r="M1225" s="22"/>
      <c r="N1225" s="22"/>
      <c r="O1225" s="22"/>
      <c r="P1225" s="22"/>
      <c r="Q1225" s="1">
        <f t="shared" si="582"/>
        <v>0.60744618579017706</v>
      </c>
      <c r="R1225" s="12">
        <f t="shared" ca="1" si="599"/>
        <v>35852</v>
      </c>
      <c r="S1225" s="88">
        <f t="shared" si="608"/>
        <v>0</v>
      </c>
      <c r="T1225" s="19">
        <f t="shared" si="600"/>
        <v>0</v>
      </c>
      <c r="U1225" s="19">
        <f t="shared" si="601"/>
        <v>0</v>
      </c>
      <c r="V1225" s="19">
        <f t="shared" si="587"/>
        <v>0</v>
      </c>
      <c r="W1225" s="20">
        <f t="shared" ca="1" si="602"/>
        <v>0</v>
      </c>
      <c r="X1225" s="19">
        <f t="shared" ca="1" si="603"/>
        <v>0</v>
      </c>
      <c r="Y1225" s="19">
        <f t="shared" ca="1" si="604"/>
        <v>0</v>
      </c>
      <c r="Z1225" s="20">
        <f t="shared" ca="1" si="605"/>
        <v>0</v>
      </c>
      <c r="AA1225" s="1">
        <f t="shared" si="583"/>
        <v>5432.58</v>
      </c>
      <c r="AB1225" s="91"/>
      <c r="AC1225" s="92"/>
      <c r="AD1225" s="101">
        <f t="shared" si="584"/>
        <v>76974</v>
      </c>
      <c r="AE1225" s="103">
        <f t="shared" si="585"/>
        <v>0</v>
      </c>
      <c r="AG1225" s="1">
        <f t="shared" si="606"/>
        <v>0</v>
      </c>
      <c r="AH1225" s="1">
        <f t="shared" si="607"/>
        <v>0</v>
      </c>
      <c r="AI1225" s="1">
        <f t="shared" si="586"/>
        <v>5432.58</v>
      </c>
      <c r="AJ1225" s="20">
        <f t="shared" si="588"/>
        <v>0</v>
      </c>
      <c r="AK1225" s="100">
        <f t="shared" si="590"/>
        <v>0</v>
      </c>
      <c r="AL1225" s="100">
        <f t="shared" si="591"/>
        <v>0</v>
      </c>
      <c r="AN1225" s="100">
        <f t="shared" si="592"/>
        <v>2965.7975250734285</v>
      </c>
      <c r="AO1225" s="20">
        <f t="shared" si="593"/>
        <v>0</v>
      </c>
      <c r="AQ1225" s="109">
        <f t="shared" si="594"/>
        <v>0</v>
      </c>
      <c r="AU1225" s="109">
        <f t="shared" si="579"/>
        <v>24.364384045066583</v>
      </c>
      <c r="AV1225" s="101">
        <f t="shared" si="595"/>
        <v>77004</v>
      </c>
      <c r="AW1225" s="99">
        <f t="shared" si="596"/>
        <v>0</v>
      </c>
      <c r="AX1225" s="1">
        <f t="shared" si="597"/>
        <v>0</v>
      </c>
      <c r="AY1225" s="29">
        <f t="shared" si="598"/>
        <v>0</v>
      </c>
      <c r="AZ1225" s="1">
        <f t="shared" si="580"/>
        <v>0</v>
      </c>
      <c r="CB1225" s="20">
        <f t="shared" si="589"/>
        <v>0</v>
      </c>
      <c r="CC1225" s="173">
        <f t="shared" si="581"/>
        <v>0</v>
      </c>
    </row>
    <row r="1226" spans="10:81" x14ac:dyDescent="0.25">
      <c r="J1226" s="9"/>
      <c r="K1226" s="10"/>
      <c r="L1226" s="17"/>
      <c r="M1226" s="23"/>
      <c r="N1226" s="23"/>
      <c r="O1226" s="23"/>
      <c r="P1226" s="23"/>
      <c r="Q1226" s="1">
        <f t="shared" si="582"/>
        <v>0.60744618579017706</v>
      </c>
      <c r="R1226" s="12">
        <f t="shared" ca="1" si="599"/>
        <v>35882</v>
      </c>
      <c r="S1226" s="88">
        <f t="shared" si="608"/>
        <v>0</v>
      </c>
      <c r="T1226" s="19">
        <f t="shared" si="600"/>
        <v>0</v>
      </c>
      <c r="U1226" s="19">
        <f t="shared" si="601"/>
        <v>0</v>
      </c>
      <c r="V1226" s="19">
        <f t="shared" si="587"/>
        <v>0</v>
      </c>
      <c r="W1226" s="20">
        <f t="shared" ca="1" si="602"/>
        <v>0</v>
      </c>
      <c r="X1226" s="19">
        <f t="shared" ca="1" si="603"/>
        <v>0</v>
      </c>
      <c r="Y1226" s="19">
        <f t="shared" ca="1" si="604"/>
        <v>0</v>
      </c>
      <c r="Z1226" s="20">
        <f t="shared" ca="1" si="605"/>
        <v>0</v>
      </c>
      <c r="AA1226" s="1">
        <f t="shared" si="583"/>
        <v>5432.58</v>
      </c>
      <c r="AB1226" s="93"/>
      <c r="AC1226" s="94"/>
      <c r="AD1226" s="101">
        <f t="shared" si="584"/>
        <v>77004</v>
      </c>
      <c r="AE1226" s="103">
        <f t="shared" si="585"/>
        <v>0</v>
      </c>
      <c r="AG1226" s="1">
        <f t="shared" si="606"/>
        <v>0</v>
      </c>
      <c r="AH1226" s="1">
        <f t="shared" si="607"/>
        <v>0</v>
      </c>
      <c r="AI1226" s="1">
        <f t="shared" si="586"/>
        <v>5432.58</v>
      </c>
      <c r="AJ1226" s="20">
        <f t="shared" si="588"/>
        <v>0</v>
      </c>
      <c r="AK1226" s="100">
        <f t="shared" si="590"/>
        <v>0</v>
      </c>
      <c r="AL1226" s="100">
        <f t="shared" si="591"/>
        <v>0</v>
      </c>
      <c r="AN1226" s="100">
        <f t="shared" si="592"/>
        <v>2964.2969826603726</v>
      </c>
      <c r="AO1226" s="20">
        <f t="shared" si="593"/>
        <v>0</v>
      </c>
      <c r="AQ1226" s="109">
        <f t="shared" si="594"/>
        <v>0</v>
      </c>
      <c r="AU1226" s="109">
        <f t="shared" si="579"/>
        <v>24.362245581287784</v>
      </c>
      <c r="AV1226" s="101">
        <f t="shared" si="595"/>
        <v>77034</v>
      </c>
      <c r="AW1226" s="99">
        <f t="shared" si="596"/>
        <v>0</v>
      </c>
      <c r="AX1226" s="1">
        <f t="shared" si="597"/>
        <v>0</v>
      </c>
      <c r="AY1226" s="29">
        <f t="shared" si="598"/>
        <v>0</v>
      </c>
      <c r="AZ1226" s="1">
        <f t="shared" si="580"/>
        <v>0</v>
      </c>
      <c r="CB1226" s="20">
        <f t="shared" si="589"/>
        <v>0</v>
      </c>
      <c r="CC1226" s="173">
        <f t="shared" si="581"/>
        <v>0</v>
      </c>
    </row>
    <row r="1227" spans="10:81" x14ac:dyDescent="0.25">
      <c r="J1227" s="7"/>
      <c r="K1227" s="8"/>
      <c r="L1227" s="16"/>
      <c r="M1227" s="22"/>
      <c r="N1227" s="22"/>
      <c r="O1227" s="22"/>
      <c r="P1227" s="22"/>
      <c r="Q1227" s="1">
        <f t="shared" si="582"/>
        <v>0.60744618579017706</v>
      </c>
      <c r="R1227" s="12">
        <f t="shared" ca="1" si="599"/>
        <v>35912</v>
      </c>
      <c r="S1227" s="88">
        <f t="shared" si="608"/>
        <v>0</v>
      </c>
      <c r="T1227" s="19">
        <f t="shared" si="600"/>
        <v>0</v>
      </c>
      <c r="U1227" s="19">
        <f t="shared" si="601"/>
        <v>0</v>
      </c>
      <c r="V1227" s="19">
        <f t="shared" si="587"/>
        <v>0</v>
      </c>
      <c r="W1227" s="20">
        <f t="shared" ca="1" si="602"/>
        <v>0</v>
      </c>
      <c r="X1227" s="19">
        <f t="shared" ca="1" si="603"/>
        <v>0</v>
      </c>
      <c r="Y1227" s="19">
        <f t="shared" ca="1" si="604"/>
        <v>0</v>
      </c>
      <c r="Z1227" s="20">
        <f t="shared" ca="1" si="605"/>
        <v>0</v>
      </c>
      <c r="AA1227" s="1">
        <f t="shared" si="583"/>
        <v>5432.58</v>
      </c>
      <c r="AB1227" s="91"/>
      <c r="AC1227" s="92"/>
      <c r="AD1227" s="101">
        <f t="shared" si="584"/>
        <v>77034</v>
      </c>
      <c r="AE1227" s="103">
        <f t="shared" si="585"/>
        <v>0</v>
      </c>
      <c r="AG1227" s="1">
        <f t="shared" si="606"/>
        <v>0</v>
      </c>
      <c r="AH1227" s="1">
        <f t="shared" si="607"/>
        <v>0</v>
      </c>
      <c r="AI1227" s="1">
        <f t="shared" si="586"/>
        <v>5432.58</v>
      </c>
      <c r="AJ1227" s="20">
        <f t="shared" si="588"/>
        <v>0</v>
      </c>
      <c r="AK1227" s="100">
        <f t="shared" si="590"/>
        <v>0</v>
      </c>
      <c r="AL1227" s="100">
        <f t="shared" si="591"/>
        <v>0</v>
      </c>
      <c r="AN1227" s="100">
        <f t="shared" si="592"/>
        <v>2962.7971994453114</v>
      </c>
      <c r="AO1227" s="20">
        <f t="shared" si="593"/>
        <v>0</v>
      </c>
      <c r="AQ1227" s="109">
        <f t="shared" si="594"/>
        <v>0</v>
      </c>
      <c r="AU1227" s="109">
        <f t="shared" si="579"/>
        <v>24.36010730520211</v>
      </c>
      <c r="AV1227" s="101">
        <f t="shared" si="595"/>
        <v>77064</v>
      </c>
      <c r="AW1227" s="99">
        <f t="shared" si="596"/>
        <v>0</v>
      </c>
      <c r="AX1227" s="1">
        <f t="shared" si="597"/>
        <v>0</v>
      </c>
      <c r="AY1227" s="29">
        <f t="shared" si="598"/>
        <v>0</v>
      </c>
      <c r="AZ1227" s="1">
        <f t="shared" si="580"/>
        <v>0</v>
      </c>
      <c r="CB1227" s="20">
        <f t="shared" si="589"/>
        <v>0</v>
      </c>
      <c r="CC1227" s="173">
        <f t="shared" si="581"/>
        <v>0</v>
      </c>
    </row>
    <row r="1228" spans="10:81" x14ac:dyDescent="0.25">
      <c r="J1228" s="9"/>
      <c r="K1228" s="10"/>
      <c r="L1228" s="17"/>
      <c r="M1228" s="23"/>
      <c r="N1228" s="23"/>
      <c r="O1228" s="23"/>
      <c r="P1228" s="23"/>
      <c r="Q1228" s="1">
        <f t="shared" si="582"/>
        <v>0.60744618579017706</v>
      </c>
      <c r="R1228" s="12">
        <f t="shared" ca="1" si="599"/>
        <v>35942</v>
      </c>
      <c r="S1228" s="88">
        <f t="shared" si="608"/>
        <v>0</v>
      </c>
      <c r="T1228" s="19">
        <f t="shared" si="600"/>
        <v>0</v>
      </c>
      <c r="U1228" s="19">
        <f t="shared" si="601"/>
        <v>0</v>
      </c>
      <c r="V1228" s="19">
        <f t="shared" si="587"/>
        <v>0</v>
      </c>
      <c r="W1228" s="20">
        <f t="shared" ca="1" si="602"/>
        <v>0</v>
      </c>
      <c r="X1228" s="19">
        <f t="shared" ca="1" si="603"/>
        <v>0</v>
      </c>
      <c r="Y1228" s="19">
        <f t="shared" ca="1" si="604"/>
        <v>0</v>
      </c>
      <c r="Z1228" s="20">
        <f t="shared" ca="1" si="605"/>
        <v>0</v>
      </c>
      <c r="AA1228" s="1">
        <f t="shared" si="583"/>
        <v>5432.58</v>
      </c>
      <c r="AB1228" s="93"/>
      <c r="AC1228" s="94"/>
      <c r="AD1228" s="101">
        <f t="shared" si="584"/>
        <v>77064</v>
      </c>
      <c r="AE1228" s="103">
        <f t="shared" si="585"/>
        <v>0</v>
      </c>
      <c r="AG1228" s="1">
        <f t="shared" si="606"/>
        <v>0</v>
      </c>
      <c r="AH1228" s="1">
        <f t="shared" si="607"/>
        <v>0</v>
      </c>
      <c r="AI1228" s="1">
        <f t="shared" si="586"/>
        <v>5432.58</v>
      </c>
      <c r="AJ1228" s="20">
        <f t="shared" si="588"/>
        <v>0</v>
      </c>
      <c r="AK1228" s="100">
        <f t="shared" si="590"/>
        <v>0</v>
      </c>
      <c r="AL1228" s="100">
        <f t="shared" si="591"/>
        <v>0</v>
      </c>
      <c r="AN1228" s="100">
        <f t="shared" si="592"/>
        <v>2961.2981750441295</v>
      </c>
      <c r="AO1228" s="20">
        <f t="shared" si="593"/>
        <v>0</v>
      </c>
      <c r="AQ1228" s="109">
        <f t="shared" si="594"/>
        <v>0</v>
      </c>
      <c r="AU1228" s="109">
        <f t="shared" si="579"/>
        <v>24.357969216793087</v>
      </c>
      <c r="AV1228" s="101">
        <f t="shared" si="595"/>
        <v>77094</v>
      </c>
      <c r="AW1228" s="99">
        <f t="shared" si="596"/>
        <v>0</v>
      </c>
      <c r="AX1228" s="1">
        <f t="shared" si="597"/>
        <v>0</v>
      </c>
      <c r="AY1228" s="29">
        <f t="shared" si="598"/>
        <v>0</v>
      </c>
      <c r="AZ1228" s="1">
        <f t="shared" si="580"/>
        <v>0</v>
      </c>
      <c r="CB1228" s="20">
        <f t="shared" si="589"/>
        <v>0</v>
      </c>
      <c r="CC1228" s="173">
        <f t="shared" si="581"/>
        <v>0</v>
      </c>
    </row>
    <row r="1229" spans="10:81" x14ac:dyDescent="0.25">
      <c r="J1229" s="7"/>
      <c r="K1229" s="8"/>
      <c r="L1229" s="16"/>
      <c r="M1229" s="22"/>
      <c r="N1229" s="22"/>
      <c r="O1229" s="22"/>
      <c r="P1229" s="22"/>
      <c r="Q1229" s="1">
        <f t="shared" si="582"/>
        <v>0.60744618579017706</v>
      </c>
      <c r="R1229" s="12">
        <f t="shared" ca="1" si="599"/>
        <v>35972</v>
      </c>
      <c r="S1229" s="88">
        <f t="shared" si="608"/>
        <v>0</v>
      </c>
      <c r="T1229" s="19">
        <f t="shared" si="600"/>
        <v>0</v>
      </c>
      <c r="U1229" s="19">
        <f t="shared" si="601"/>
        <v>0</v>
      </c>
      <c r="V1229" s="19">
        <f t="shared" si="587"/>
        <v>0</v>
      </c>
      <c r="W1229" s="20">
        <f t="shared" ca="1" si="602"/>
        <v>0</v>
      </c>
      <c r="X1229" s="19">
        <f t="shared" ca="1" si="603"/>
        <v>0</v>
      </c>
      <c r="Y1229" s="19">
        <f t="shared" ca="1" si="604"/>
        <v>0</v>
      </c>
      <c r="Z1229" s="20">
        <f t="shared" ca="1" si="605"/>
        <v>0</v>
      </c>
      <c r="AA1229" s="1">
        <f t="shared" si="583"/>
        <v>5432.58</v>
      </c>
      <c r="AB1229" s="91"/>
      <c r="AC1229" s="92"/>
      <c r="AD1229" s="101">
        <f t="shared" si="584"/>
        <v>77094</v>
      </c>
      <c r="AE1229" s="103">
        <f t="shared" si="585"/>
        <v>0</v>
      </c>
      <c r="AG1229" s="1">
        <f t="shared" si="606"/>
        <v>0</v>
      </c>
      <c r="AH1229" s="1">
        <f t="shared" si="607"/>
        <v>0</v>
      </c>
      <c r="AI1229" s="1">
        <f t="shared" si="586"/>
        <v>5432.58</v>
      </c>
      <c r="AJ1229" s="20">
        <f t="shared" si="588"/>
        <v>0</v>
      </c>
      <c r="AK1229" s="100">
        <f t="shared" si="590"/>
        <v>0</v>
      </c>
      <c r="AL1229" s="100">
        <f t="shared" si="591"/>
        <v>0</v>
      </c>
      <c r="AN1229" s="100">
        <f t="shared" si="592"/>
        <v>2959.7999090729058</v>
      </c>
      <c r="AO1229" s="20">
        <f t="shared" si="593"/>
        <v>0</v>
      </c>
      <c r="AQ1229" s="109">
        <f t="shared" si="594"/>
        <v>0</v>
      </c>
      <c r="AU1229" s="109">
        <f t="shared" si="579"/>
        <v>24.355831316044224</v>
      </c>
      <c r="AV1229" s="101">
        <f t="shared" si="595"/>
        <v>77124</v>
      </c>
      <c r="AW1229" s="99">
        <f t="shared" si="596"/>
        <v>0</v>
      </c>
      <c r="AX1229" s="1">
        <f t="shared" si="597"/>
        <v>0</v>
      </c>
      <c r="AY1229" s="29">
        <f t="shared" si="598"/>
        <v>0</v>
      </c>
      <c r="AZ1229" s="1">
        <f t="shared" si="580"/>
        <v>0</v>
      </c>
      <c r="CB1229" s="20">
        <f t="shared" si="589"/>
        <v>0</v>
      </c>
      <c r="CC1229" s="173">
        <f t="shared" si="581"/>
        <v>0</v>
      </c>
    </row>
    <row r="1230" spans="10:81" x14ac:dyDescent="0.25">
      <c r="J1230" s="9"/>
      <c r="K1230" s="10"/>
      <c r="L1230" s="17"/>
      <c r="M1230" s="23"/>
      <c r="N1230" s="23"/>
      <c r="O1230" s="23"/>
      <c r="P1230" s="23"/>
      <c r="Q1230" s="1">
        <f t="shared" si="582"/>
        <v>0.60744618579017706</v>
      </c>
      <c r="R1230" s="12">
        <f t="shared" ca="1" si="599"/>
        <v>36002</v>
      </c>
      <c r="S1230" s="88">
        <f t="shared" si="608"/>
        <v>0</v>
      </c>
      <c r="T1230" s="19">
        <f t="shared" si="600"/>
        <v>0</v>
      </c>
      <c r="U1230" s="19">
        <f t="shared" si="601"/>
        <v>0</v>
      </c>
      <c r="V1230" s="19">
        <f t="shared" si="587"/>
        <v>0</v>
      </c>
      <c r="W1230" s="20">
        <f t="shared" ca="1" si="602"/>
        <v>0</v>
      </c>
      <c r="X1230" s="19">
        <f t="shared" ca="1" si="603"/>
        <v>0</v>
      </c>
      <c r="Y1230" s="19">
        <f t="shared" ca="1" si="604"/>
        <v>0</v>
      </c>
      <c r="Z1230" s="20">
        <f t="shared" ca="1" si="605"/>
        <v>0</v>
      </c>
      <c r="AA1230" s="1">
        <f t="shared" si="583"/>
        <v>5432.58</v>
      </c>
      <c r="AB1230" s="93"/>
      <c r="AC1230" s="94"/>
      <c r="AD1230" s="101">
        <f t="shared" si="584"/>
        <v>77124</v>
      </c>
      <c r="AE1230" s="103">
        <f t="shared" si="585"/>
        <v>0</v>
      </c>
      <c r="AG1230" s="1">
        <f t="shared" si="606"/>
        <v>0</v>
      </c>
      <c r="AH1230" s="1">
        <f t="shared" si="607"/>
        <v>0</v>
      </c>
      <c r="AI1230" s="1">
        <f t="shared" si="586"/>
        <v>5432.58</v>
      </c>
      <c r="AJ1230" s="20">
        <f t="shared" si="588"/>
        <v>0</v>
      </c>
      <c r="AK1230" s="100">
        <f t="shared" si="590"/>
        <v>0</v>
      </c>
      <c r="AL1230" s="100">
        <f t="shared" si="591"/>
        <v>0</v>
      </c>
      <c r="AN1230" s="100">
        <f t="shared" si="592"/>
        <v>2958.302401147912</v>
      </c>
      <c r="AO1230" s="20">
        <f t="shared" si="593"/>
        <v>0</v>
      </c>
      <c r="AQ1230" s="109">
        <f t="shared" si="594"/>
        <v>0</v>
      </c>
      <c r="AU1230" s="109">
        <f t="shared" si="579"/>
        <v>24.353693602939089</v>
      </c>
      <c r="AV1230" s="101">
        <f t="shared" si="595"/>
        <v>77154</v>
      </c>
      <c r="AW1230" s="99">
        <f t="shared" si="596"/>
        <v>0</v>
      </c>
      <c r="AX1230" s="1">
        <f t="shared" si="597"/>
        <v>0</v>
      </c>
      <c r="AY1230" s="29">
        <f t="shared" si="598"/>
        <v>0</v>
      </c>
      <c r="AZ1230" s="1">
        <f t="shared" si="580"/>
        <v>0</v>
      </c>
      <c r="CB1230" s="20">
        <f t="shared" si="589"/>
        <v>0</v>
      </c>
      <c r="CC1230" s="173">
        <f t="shared" si="581"/>
        <v>0</v>
      </c>
    </row>
    <row r="1231" spans="10:81" x14ac:dyDescent="0.25">
      <c r="J1231" s="7"/>
      <c r="K1231" s="8"/>
      <c r="L1231" s="16"/>
      <c r="M1231" s="22"/>
      <c r="N1231" s="22"/>
      <c r="O1231" s="22"/>
      <c r="P1231" s="22"/>
      <c r="Q1231" s="1">
        <f t="shared" si="582"/>
        <v>0.60744618579017706</v>
      </c>
      <c r="R1231" s="12">
        <f t="shared" ca="1" si="599"/>
        <v>36032</v>
      </c>
      <c r="S1231" s="88">
        <f t="shared" si="608"/>
        <v>0</v>
      </c>
      <c r="T1231" s="19">
        <f t="shared" si="600"/>
        <v>0</v>
      </c>
      <c r="U1231" s="19">
        <f t="shared" si="601"/>
        <v>0</v>
      </c>
      <c r="V1231" s="19">
        <f t="shared" si="587"/>
        <v>0</v>
      </c>
      <c r="W1231" s="20">
        <f t="shared" ca="1" si="602"/>
        <v>0</v>
      </c>
      <c r="X1231" s="19">
        <f t="shared" ca="1" si="603"/>
        <v>0</v>
      </c>
      <c r="Y1231" s="19">
        <f t="shared" ca="1" si="604"/>
        <v>0</v>
      </c>
      <c r="Z1231" s="20">
        <f t="shared" ca="1" si="605"/>
        <v>0</v>
      </c>
      <c r="AA1231" s="1">
        <f t="shared" si="583"/>
        <v>5432.58</v>
      </c>
      <c r="AB1231" s="91"/>
      <c r="AC1231" s="92"/>
      <c r="AD1231" s="101">
        <f t="shared" si="584"/>
        <v>77154</v>
      </c>
      <c r="AE1231" s="103">
        <f t="shared" si="585"/>
        <v>0</v>
      </c>
      <c r="AG1231" s="1">
        <f t="shared" si="606"/>
        <v>0</v>
      </c>
      <c r="AH1231" s="1">
        <f t="shared" si="607"/>
        <v>0</v>
      </c>
      <c r="AI1231" s="1">
        <f t="shared" si="586"/>
        <v>5432.58</v>
      </c>
      <c r="AJ1231" s="20">
        <f t="shared" si="588"/>
        <v>0</v>
      </c>
      <c r="AK1231" s="100">
        <f t="shared" si="590"/>
        <v>0</v>
      </c>
      <c r="AL1231" s="100">
        <f t="shared" si="591"/>
        <v>0</v>
      </c>
      <c r="AN1231" s="100">
        <f t="shared" si="592"/>
        <v>2956.8056508856189</v>
      </c>
      <c r="AO1231" s="20">
        <f t="shared" si="593"/>
        <v>0</v>
      </c>
      <c r="AQ1231" s="109">
        <f t="shared" si="594"/>
        <v>0</v>
      </c>
      <c r="AU1231" s="109">
        <f t="shared" si="579"/>
        <v>24.351556077461179</v>
      </c>
      <c r="AV1231" s="101">
        <f t="shared" si="595"/>
        <v>77184</v>
      </c>
      <c r="AW1231" s="99">
        <f t="shared" si="596"/>
        <v>0</v>
      </c>
      <c r="AX1231" s="1">
        <f t="shared" si="597"/>
        <v>0</v>
      </c>
      <c r="AY1231" s="29">
        <f t="shared" si="598"/>
        <v>0</v>
      </c>
      <c r="AZ1231" s="1">
        <f t="shared" si="580"/>
        <v>0</v>
      </c>
      <c r="CB1231" s="20">
        <f t="shared" si="589"/>
        <v>0</v>
      </c>
      <c r="CC1231" s="173">
        <f t="shared" si="581"/>
        <v>0</v>
      </c>
    </row>
    <row r="1232" spans="10:81" x14ac:dyDescent="0.25">
      <c r="J1232" s="9"/>
      <c r="K1232" s="10"/>
      <c r="L1232" s="17"/>
      <c r="M1232" s="23"/>
      <c r="N1232" s="23"/>
      <c r="O1232" s="23"/>
      <c r="P1232" s="23"/>
      <c r="Q1232" s="1">
        <f t="shared" si="582"/>
        <v>0.60744618579017706</v>
      </c>
      <c r="R1232" s="12">
        <f t="shared" ca="1" si="599"/>
        <v>36062</v>
      </c>
      <c r="S1232" s="88">
        <f t="shared" si="608"/>
        <v>0</v>
      </c>
      <c r="T1232" s="19">
        <f t="shared" si="600"/>
        <v>0</v>
      </c>
      <c r="U1232" s="19">
        <f t="shared" si="601"/>
        <v>0</v>
      </c>
      <c r="V1232" s="19">
        <f t="shared" si="587"/>
        <v>0</v>
      </c>
      <c r="W1232" s="20">
        <f t="shared" ca="1" si="602"/>
        <v>0</v>
      </c>
      <c r="X1232" s="19">
        <f t="shared" ca="1" si="603"/>
        <v>0</v>
      </c>
      <c r="Y1232" s="19">
        <f t="shared" ca="1" si="604"/>
        <v>0</v>
      </c>
      <c r="Z1232" s="20">
        <f t="shared" ca="1" si="605"/>
        <v>0</v>
      </c>
      <c r="AA1232" s="1">
        <f t="shared" si="583"/>
        <v>5432.58</v>
      </c>
      <c r="AB1232" s="93"/>
      <c r="AC1232" s="94"/>
      <c r="AD1232" s="101">
        <f t="shared" si="584"/>
        <v>77184</v>
      </c>
      <c r="AE1232" s="103">
        <f t="shared" si="585"/>
        <v>0</v>
      </c>
      <c r="AG1232" s="1">
        <f t="shared" si="606"/>
        <v>0</v>
      </c>
      <c r="AH1232" s="1">
        <f t="shared" si="607"/>
        <v>0</v>
      </c>
      <c r="AI1232" s="1">
        <f t="shared" si="586"/>
        <v>5432.58</v>
      </c>
      <c r="AJ1232" s="20">
        <f t="shared" si="588"/>
        <v>0</v>
      </c>
      <c r="AK1232" s="100">
        <f t="shared" si="590"/>
        <v>0</v>
      </c>
      <c r="AL1232" s="100">
        <f t="shared" si="591"/>
        <v>0</v>
      </c>
      <c r="AN1232" s="100">
        <f t="shared" si="592"/>
        <v>2955.3096579026828</v>
      </c>
      <c r="AO1232" s="20">
        <f t="shared" si="593"/>
        <v>0</v>
      </c>
      <c r="AQ1232" s="109">
        <f t="shared" si="594"/>
        <v>0</v>
      </c>
      <c r="AU1232" s="109">
        <f t="shared" si="579"/>
        <v>24.349418739594043</v>
      </c>
      <c r="AV1232" s="101">
        <f t="shared" si="595"/>
        <v>77214</v>
      </c>
      <c r="AW1232" s="99">
        <f t="shared" si="596"/>
        <v>0</v>
      </c>
      <c r="AX1232" s="1">
        <f t="shared" si="597"/>
        <v>0</v>
      </c>
      <c r="AY1232" s="29">
        <f t="shared" si="598"/>
        <v>0</v>
      </c>
      <c r="AZ1232" s="1">
        <f t="shared" si="580"/>
        <v>0</v>
      </c>
      <c r="CB1232" s="20">
        <f t="shared" si="589"/>
        <v>0</v>
      </c>
      <c r="CC1232" s="173">
        <f t="shared" si="581"/>
        <v>0</v>
      </c>
    </row>
    <row r="1233" spans="10:81" x14ac:dyDescent="0.25">
      <c r="J1233" s="7"/>
      <c r="K1233" s="8"/>
      <c r="L1233" s="16"/>
      <c r="M1233" s="22"/>
      <c r="N1233" s="22"/>
      <c r="O1233" s="22"/>
      <c r="P1233" s="22"/>
      <c r="Q1233" s="1">
        <f t="shared" si="582"/>
        <v>0.60744618579017706</v>
      </c>
      <c r="R1233" s="12">
        <f t="shared" ca="1" si="599"/>
        <v>36092</v>
      </c>
      <c r="S1233" s="88">
        <f t="shared" si="608"/>
        <v>0</v>
      </c>
      <c r="T1233" s="19">
        <f t="shared" si="600"/>
        <v>0</v>
      </c>
      <c r="U1233" s="19">
        <f t="shared" si="601"/>
        <v>0</v>
      </c>
      <c r="V1233" s="19">
        <f t="shared" si="587"/>
        <v>0</v>
      </c>
      <c r="W1233" s="20">
        <f t="shared" ca="1" si="602"/>
        <v>0</v>
      </c>
      <c r="X1233" s="19">
        <f t="shared" ca="1" si="603"/>
        <v>0</v>
      </c>
      <c r="Y1233" s="19">
        <f t="shared" ca="1" si="604"/>
        <v>0</v>
      </c>
      <c r="Z1233" s="20">
        <f t="shared" ca="1" si="605"/>
        <v>0</v>
      </c>
      <c r="AA1233" s="1">
        <f t="shared" si="583"/>
        <v>5432.58</v>
      </c>
      <c r="AB1233" s="91"/>
      <c r="AC1233" s="92"/>
      <c r="AD1233" s="101">
        <f t="shared" si="584"/>
        <v>77214</v>
      </c>
      <c r="AE1233" s="103">
        <f t="shared" si="585"/>
        <v>0</v>
      </c>
      <c r="AG1233" s="1">
        <f t="shared" si="606"/>
        <v>0</v>
      </c>
      <c r="AH1233" s="1">
        <f t="shared" si="607"/>
        <v>0</v>
      </c>
      <c r="AI1233" s="1">
        <f t="shared" si="586"/>
        <v>5432.58</v>
      </c>
      <c r="AJ1233" s="20">
        <f t="shared" si="588"/>
        <v>0</v>
      </c>
      <c r="AK1233" s="100">
        <f t="shared" si="590"/>
        <v>0</v>
      </c>
      <c r="AL1233" s="100">
        <f t="shared" si="591"/>
        <v>0</v>
      </c>
      <c r="AN1233" s="100">
        <f t="shared" si="592"/>
        <v>2953.8144218159619</v>
      </c>
      <c r="AO1233" s="20">
        <f t="shared" si="593"/>
        <v>0</v>
      </c>
      <c r="AQ1233" s="109">
        <f t="shared" si="594"/>
        <v>0</v>
      </c>
      <c r="AU1233" s="109">
        <f t="shared" si="579"/>
        <v>24.347281589321199</v>
      </c>
      <c r="AV1233" s="101">
        <f t="shared" si="595"/>
        <v>77244</v>
      </c>
      <c r="AW1233" s="99">
        <f t="shared" si="596"/>
        <v>0</v>
      </c>
      <c r="AX1233" s="1">
        <f t="shared" si="597"/>
        <v>0</v>
      </c>
      <c r="AY1233" s="29">
        <f t="shared" si="598"/>
        <v>0</v>
      </c>
      <c r="AZ1233" s="1">
        <f t="shared" si="580"/>
        <v>0</v>
      </c>
      <c r="CB1233" s="20">
        <f t="shared" si="589"/>
        <v>0</v>
      </c>
      <c r="CC1233" s="173">
        <f t="shared" si="581"/>
        <v>0</v>
      </c>
    </row>
    <row r="1234" spans="10:81" x14ac:dyDescent="0.25">
      <c r="J1234" s="9"/>
      <c r="K1234" s="10"/>
      <c r="L1234" s="17"/>
      <c r="M1234" s="23"/>
      <c r="N1234" s="23"/>
      <c r="O1234" s="23"/>
      <c r="P1234" s="23"/>
      <c r="Q1234" s="1">
        <f t="shared" si="582"/>
        <v>0.60744618579017706</v>
      </c>
      <c r="R1234" s="12">
        <f t="shared" ca="1" si="599"/>
        <v>36122</v>
      </c>
      <c r="S1234" s="88">
        <f t="shared" si="608"/>
        <v>0</v>
      </c>
      <c r="T1234" s="19">
        <f t="shared" si="600"/>
        <v>0</v>
      </c>
      <c r="U1234" s="19">
        <f t="shared" si="601"/>
        <v>0</v>
      </c>
      <c r="V1234" s="19">
        <f t="shared" si="587"/>
        <v>0</v>
      </c>
      <c r="W1234" s="20">
        <f t="shared" ca="1" si="602"/>
        <v>0</v>
      </c>
      <c r="X1234" s="19">
        <f t="shared" ca="1" si="603"/>
        <v>0</v>
      </c>
      <c r="Y1234" s="19">
        <f t="shared" ca="1" si="604"/>
        <v>0</v>
      </c>
      <c r="Z1234" s="20">
        <f t="shared" ca="1" si="605"/>
        <v>0</v>
      </c>
      <c r="AA1234" s="1">
        <f t="shared" si="583"/>
        <v>5432.58</v>
      </c>
      <c r="AB1234" s="93"/>
      <c r="AC1234" s="94"/>
      <c r="AD1234" s="101">
        <f t="shared" si="584"/>
        <v>77244</v>
      </c>
      <c r="AE1234" s="103">
        <f t="shared" si="585"/>
        <v>0</v>
      </c>
      <c r="AG1234" s="1">
        <f t="shared" si="606"/>
        <v>0</v>
      </c>
      <c r="AH1234" s="1">
        <f t="shared" si="607"/>
        <v>0</v>
      </c>
      <c r="AI1234" s="1">
        <f t="shared" si="586"/>
        <v>5432.58</v>
      </c>
      <c r="AJ1234" s="20">
        <f t="shared" si="588"/>
        <v>0</v>
      </c>
      <c r="AK1234" s="100">
        <f t="shared" si="590"/>
        <v>0</v>
      </c>
      <c r="AL1234" s="100">
        <f t="shared" si="591"/>
        <v>0</v>
      </c>
      <c r="AN1234" s="100">
        <f t="shared" si="592"/>
        <v>2952.3199422425064</v>
      </c>
      <c r="AO1234" s="20">
        <f t="shared" si="593"/>
        <v>0</v>
      </c>
      <c r="AQ1234" s="109">
        <f t="shared" si="594"/>
        <v>0</v>
      </c>
      <c r="AU1234" s="109">
        <f t="shared" si="579"/>
        <v>24.345144626626197</v>
      </c>
      <c r="AV1234" s="101">
        <f t="shared" si="595"/>
        <v>77274</v>
      </c>
      <c r="AW1234" s="99">
        <f t="shared" si="596"/>
        <v>0</v>
      </c>
      <c r="AX1234" s="1">
        <f t="shared" si="597"/>
        <v>0</v>
      </c>
      <c r="AY1234" s="29">
        <f t="shared" si="598"/>
        <v>0</v>
      </c>
      <c r="AZ1234" s="1">
        <f t="shared" si="580"/>
        <v>0</v>
      </c>
      <c r="CB1234" s="20">
        <f t="shared" si="589"/>
        <v>0</v>
      </c>
      <c r="CC1234" s="173">
        <f t="shared" si="581"/>
        <v>0</v>
      </c>
    </row>
    <row r="1235" spans="10:81" x14ac:dyDescent="0.25">
      <c r="J1235" s="7"/>
      <c r="K1235" s="8"/>
      <c r="L1235" s="16"/>
      <c r="M1235" s="22"/>
      <c r="N1235" s="22"/>
      <c r="O1235" s="22"/>
      <c r="P1235" s="22"/>
      <c r="Q1235" s="1">
        <f t="shared" si="582"/>
        <v>0.60744618579017706</v>
      </c>
      <c r="R1235" s="12">
        <f t="shared" ca="1" si="599"/>
        <v>36152</v>
      </c>
      <c r="S1235" s="88">
        <f t="shared" si="608"/>
        <v>0</v>
      </c>
      <c r="T1235" s="19">
        <f t="shared" si="600"/>
        <v>0</v>
      </c>
      <c r="U1235" s="19">
        <f t="shared" si="601"/>
        <v>0</v>
      </c>
      <c r="V1235" s="19">
        <f t="shared" si="587"/>
        <v>0</v>
      </c>
      <c r="W1235" s="20">
        <f t="shared" ca="1" si="602"/>
        <v>0</v>
      </c>
      <c r="X1235" s="19">
        <f t="shared" ca="1" si="603"/>
        <v>0</v>
      </c>
      <c r="Y1235" s="19">
        <f t="shared" ca="1" si="604"/>
        <v>0</v>
      </c>
      <c r="Z1235" s="20">
        <f t="shared" ca="1" si="605"/>
        <v>0</v>
      </c>
      <c r="AA1235" s="1">
        <f t="shared" si="583"/>
        <v>5432.58</v>
      </c>
      <c r="AB1235" s="91"/>
      <c r="AC1235" s="92"/>
      <c r="AD1235" s="101">
        <f t="shared" si="584"/>
        <v>77274</v>
      </c>
      <c r="AE1235" s="103">
        <f t="shared" si="585"/>
        <v>0</v>
      </c>
      <c r="AG1235" s="1">
        <f t="shared" si="606"/>
        <v>0</v>
      </c>
      <c r="AH1235" s="1">
        <f t="shared" si="607"/>
        <v>0</v>
      </c>
      <c r="AI1235" s="1">
        <f t="shared" si="586"/>
        <v>5432.58</v>
      </c>
      <c r="AJ1235" s="20">
        <f t="shared" si="588"/>
        <v>0</v>
      </c>
      <c r="AK1235" s="100">
        <f t="shared" si="590"/>
        <v>0</v>
      </c>
      <c r="AL1235" s="100">
        <f t="shared" si="591"/>
        <v>0</v>
      </c>
      <c r="AN1235" s="100">
        <f t="shared" si="592"/>
        <v>2950.826218799556</v>
      </c>
      <c r="AO1235" s="20">
        <f t="shared" si="593"/>
        <v>0</v>
      </c>
      <c r="AQ1235" s="109">
        <f t="shared" si="594"/>
        <v>0</v>
      </c>
      <c r="AU1235" s="109">
        <f t="shared" si="579"/>
        <v>24.343007851492565</v>
      </c>
      <c r="AV1235" s="101">
        <f t="shared" si="595"/>
        <v>77304</v>
      </c>
      <c r="AW1235" s="99">
        <f t="shared" si="596"/>
        <v>0</v>
      </c>
      <c r="AX1235" s="1">
        <f t="shared" si="597"/>
        <v>0</v>
      </c>
      <c r="AY1235" s="29">
        <f t="shared" si="598"/>
        <v>0</v>
      </c>
      <c r="AZ1235" s="1">
        <f t="shared" si="580"/>
        <v>0</v>
      </c>
      <c r="CB1235" s="20">
        <f t="shared" si="589"/>
        <v>0</v>
      </c>
      <c r="CC1235" s="173">
        <f t="shared" si="581"/>
        <v>0</v>
      </c>
    </row>
    <row r="1236" spans="10:81" x14ac:dyDescent="0.25">
      <c r="J1236" s="9"/>
      <c r="K1236" s="10"/>
      <c r="L1236" s="17"/>
      <c r="M1236" s="23"/>
      <c r="N1236" s="23"/>
      <c r="O1236" s="23"/>
      <c r="P1236" s="23"/>
      <c r="Q1236" s="1">
        <f t="shared" si="582"/>
        <v>0.60744618579017706</v>
      </c>
      <c r="R1236" s="12">
        <f t="shared" ca="1" si="599"/>
        <v>36182</v>
      </c>
      <c r="S1236" s="88">
        <f t="shared" si="608"/>
        <v>0</v>
      </c>
      <c r="T1236" s="19">
        <f t="shared" si="600"/>
        <v>0</v>
      </c>
      <c r="U1236" s="19">
        <f t="shared" si="601"/>
        <v>0</v>
      </c>
      <c r="V1236" s="19">
        <f t="shared" si="587"/>
        <v>0</v>
      </c>
      <c r="W1236" s="20">
        <f t="shared" ca="1" si="602"/>
        <v>0</v>
      </c>
      <c r="X1236" s="19">
        <f t="shared" ca="1" si="603"/>
        <v>0</v>
      </c>
      <c r="Y1236" s="19">
        <f t="shared" ca="1" si="604"/>
        <v>0</v>
      </c>
      <c r="Z1236" s="20">
        <f t="shared" ca="1" si="605"/>
        <v>0</v>
      </c>
      <c r="AA1236" s="1">
        <f t="shared" si="583"/>
        <v>5432.58</v>
      </c>
      <c r="AB1236" s="93"/>
      <c r="AC1236" s="94"/>
      <c r="AD1236" s="101">
        <f t="shared" si="584"/>
        <v>77304</v>
      </c>
      <c r="AE1236" s="103">
        <f t="shared" si="585"/>
        <v>0</v>
      </c>
      <c r="AG1236" s="1">
        <f t="shared" si="606"/>
        <v>0</v>
      </c>
      <c r="AH1236" s="1">
        <f t="shared" si="607"/>
        <v>0</v>
      </c>
      <c r="AI1236" s="1">
        <f t="shared" si="586"/>
        <v>5432.58</v>
      </c>
      <c r="AJ1236" s="20">
        <f t="shared" si="588"/>
        <v>0</v>
      </c>
      <c r="AK1236" s="100">
        <f t="shared" si="590"/>
        <v>0</v>
      </c>
      <c r="AL1236" s="100">
        <f t="shared" si="591"/>
        <v>0</v>
      </c>
      <c r="AN1236" s="100">
        <f t="shared" si="592"/>
        <v>2949.3332511045496</v>
      </c>
      <c r="AO1236" s="20">
        <f t="shared" si="593"/>
        <v>0</v>
      </c>
      <c r="AQ1236" s="109">
        <f t="shared" si="594"/>
        <v>0</v>
      </c>
      <c r="AU1236" s="109">
        <f t="shared" si="579"/>
        <v>24.34087126390385</v>
      </c>
      <c r="AV1236" s="101">
        <f t="shared" si="595"/>
        <v>77334</v>
      </c>
      <c r="AW1236" s="99">
        <f t="shared" si="596"/>
        <v>0</v>
      </c>
      <c r="AX1236" s="1">
        <f t="shared" si="597"/>
        <v>0</v>
      </c>
      <c r="AY1236" s="29">
        <f t="shared" si="598"/>
        <v>0</v>
      </c>
      <c r="AZ1236" s="1">
        <f t="shared" si="580"/>
        <v>0</v>
      </c>
      <c r="CB1236" s="20">
        <f t="shared" si="589"/>
        <v>0</v>
      </c>
      <c r="CC1236" s="173">
        <f t="shared" si="581"/>
        <v>0</v>
      </c>
    </row>
    <row r="1237" spans="10:81" x14ac:dyDescent="0.25">
      <c r="J1237" s="7"/>
      <c r="K1237" s="8"/>
      <c r="L1237" s="16"/>
      <c r="M1237" s="22"/>
      <c r="N1237" s="22"/>
      <c r="O1237" s="22"/>
      <c r="P1237" s="22"/>
      <c r="Q1237" s="1">
        <f t="shared" si="582"/>
        <v>0.60744618579017706</v>
      </c>
      <c r="R1237" s="12">
        <f t="shared" ca="1" si="599"/>
        <v>36212</v>
      </c>
      <c r="S1237" s="88">
        <f t="shared" si="608"/>
        <v>0</v>
      </c>
      <c r="T1237" s="19">
        <f t="shared" si="600"/>
        <v>0</v>
      </c>
      <c r="U1237" s="19">
        <f t="shared" si="601"/>
        <v>0</v>
      </c>
      <c r="V1237" s="19">
        <f t="shared" si="587"/>
        <v>0</v>
      </c>
      <c r="W1237" s="20">
        <f t="shared" ca="1" si="602"/>
        <v>0</v>
      </c>
      <c r="X1237" s="19">
        <f t="shared" ca="1" si="603"/>
        <v>0</v>
      </c>
      <c r="Y1237" s="19">
        <f t="shared" ca="1" si="604"/>
        <v>0</v>
      </c>
      <c r="Z1237" s="20">
        <f t="shared" ca="1" si="605"/>
        <v>0</v>
      </c>
      <c r="AA1237" s="1">
        <f t="shared" si="583"/>
        <v>5432.58</v>
      </c>
      <c r="AB1237" s="91"/>
      <c r="AC1237" s="92"/>
      <c r="AD1237" s="101">
        <f t="shared" si="584"/>
        <v>77334</v>
      </c>
      <c r="AE1237" s="103">
        <f t="shared" si="585"/>
        <v>0</v>
      </c>
      <c r="AG1237" s="1">
        <f t="shared" si="606"/>
        <v>0</v>
      </c>
      <c r="AH1237" s="1">
        <f t="shared" si="607"/>
        <v>0</v>
      </c>
      <c r="AI1237" s="1">
        <f t="shared" si="586"/>
        <v>5432.58</v>
      </c>
      <c r="AJ1237" s="20">
        <f t="shared" si="588"/>
        <v>0</v>
      </c>
      <c r="AK1237" s="100">
        <f t="shared" si="590"/>
        <v>0</v>
      </c>
      <c r="AL1237" s="100">
        <f t="shared" si="591"/>
        <v>0</v>
      </c>
      <c r="AN1237" s="100">
        <f t="shared" si="592"/>
        <v>2947.841038775116</v>
      </c>
      <c r="AO1237" s="20">
        <f t="shared" si="593"/>
        <v>0</v>
      </c>
      <c r="AQ1237" s="109">
        <f t="shared" si="594"/>
        <v>0</v>
      </c>
      <c r="AU1237" s="109">
        <f t="shared" si="579"/>
        <v>24.338734863843587</v>
      </c>
      <c r="AV1237" s="101">
        <f t="shared" si="595"/>
        <v>77364</v>
      </c>
      <c r="AW1237" s="99">
        <f t="shared" si="596"/>
        <v>0</v>
      </c>
      <c r="AX1237" s="1">
        <f t="shared" si="597"/>
        <v>0</v>
      </c>
      <c r="AY1237" s="29">
        <f t="shared" si="598"/>
        <v>0</v>
      </c>
      <c r="AZ1237" s="1">
        <f t="shared" si="580"/>
        <v>0</v>
      </c>
      <c r="CB1237" s="20">
        <f t="shared" si="589"/>
        <v>0</v>
      </c>
      <c r="CC1237" s="173">
        <f t="shared" si="581"/>
        <v>0</v>
      </c>
    </row>
    <row r="1238" spans="10:81" x14ac:dyDescent="0.25">
      <c r="J1238" s="9"/>
      <c r="K1238" s="10"/>
      <c r="L1238" s="17"/>
      <c r="M1238" s="23"/>
      <c r="N1238" s="23"/>
      <c r="O1238" s="23"/>
      <c r="P1238" s="23"/>
      <c r="Q1238" s="1">
        <f t="shared" si="582"/>
        <v>0.60744618579017706</v>
      </c>
      <c r="R1238" s="12">
        <f t="shared" ca="1" si="599"/>
        <v>36242</v>
      </c>
      <c r="S1238" s="88">
        <f t="shared" si="608"/>
        <v>0</v>
      </c>
      <c r="T1238" s="19">
        <f t="shared" si="600"/>
        <v>0</v>
      </c>
      <c r="U1238" s="19">
        <f t="shared" si="601"/>
        <v>0</v>
      </c>
      <c r="V1238" s="19">
        <f t="shared" si="587"/>
        <v>0</v>
      </c>
      <c r="W1238" s="20">
        <f t="shared" ca="1" si="602"/>
        <v>0</v>
      </c>
      <c r="X1238" s="19">
        <f t="shared" ca="1" si="603"/>
        <v>0</v>
      </c>
      <c r="Y1238" s="19">
        <f t="shared" ca="1" si="604"/>
        <v>0</v>
      </c>
      <c r="Z1238" s="20">
        <f t="shared" ca="1" si="605"/>
        <v>0</v>
      </c>
      <c r="AA1238" s="1">
        <f t="shared" si="583"/>
        <v>5432.58</v>
      </c>
      <c r="AB1238" s="93"/>
      <c r="AC1238" s="94"/>
      <c r="AD1238" s="101">
        <f t="shared" si="584"/>
        <v>77364</v>
      </c>
      <c r="AE1238" s="103">
        <f t="shared" si="585"/>
        <v>0</v>
      </c>
      <c r="AG1238" s="1">
        <f t="shared" si="606"/>
        <v>0</v>
      </c>
      <c r="AH1238" s="1">
        <f t="shared" si="607"/>
        <v>0</v>
      </c>
      <c r="AI1238" s="1">
        <f t="shared" si="586"/>
        <v>5432.58</v>
      </c>
      <c r="AJ1238" s="20">
        <f t="shared" si="588"/>
        <v>0</v>
      </c>
      <c r="AK1238" s="100">
        <f t="shared" si="590"/>
        <v>0</v>
      </c>
      <c r="AL1238" s="100">
        <f t="shared" si="591"/>
        <v>0</v>
      </c>
      <c r="AN1238" s="100">
        <f t="shared" si="592"/>
        <v>2946.3495814290791</v>
      </c>
      <c r="AO1238" s="20">
        <f t="shared" si="593"/>
        <v>0</v>
      </c>
      <c r="AQ1238" s="109">
        <f t="shared" si="594"/>
        <v>0</v>
      </c>
      <c r="AU1238" s="109">
        <f t="shared" si="579"/>
        <v>24.336598651295308</v>
      </c>
      <c r="AV1238" s="101">
        <f t="shared" si="595"/>
        <v>77394</v>
      </c>
      <c r="AW1238" s="99">
        <f t="shared" si="596"/>
        <v>0</v>
      </c>
      <c r="AX1238" s="1">
        <f t="shared" si="597"/>
        <v>0</v>
      </c>
      <c r="AY1238" s="29">
        <f t="shared" si="598"/>
        <v>0</v>
      </c>
      <c r="AZ1238" s="1">
        <f t="shared" si="580"/>
        <v>0</v>
      </c>
      <c r="CB1238" s="20">
        <f t="shared" si="589"/>
        <v>0</v>
      </c>
      <c r="CC1238" s="173">
        <f t="shared" si="581"/>
        <v>0</v>
      </c>
    </row>
    <row r="1239" spans="10:81" x14ac:dyDescent="0.25">
      <c r="J1239" s="7"/>
      <c r="K1239" s="8"/>
      <c r="L1239" s="16"/>
      <c r="M1239" s="22"/>
      <c r="N1239" s="22"/>
      <c r="O1239" s="22"/>
      <c r="P1239" s="22"/>
      <c r="Q1239" s="1">
        <f t="shared" si="582"/>
        <v>0.60744618579017706</v>
      </c>
      <c r="R1239" s="12">
        <f t="shared" ca="1" si="599"/>
        <v>36272</v>
      </c>
      <c r="S1239" s="88">
        <f t="shared" si="608"/>
        <v>0</v>
      </c>
      <c r="T1239" s="19">
        <f t="shared" si="600"/>
        <v>0</v>
      </c>
      <c r="U1239" s="19">
        <f t="shared" si="601"/>
        <v>0</v>
      </c>
      <c r="V1239" s="19">
        <f t="shared" si="587"/>
        <v>0</v>
      </c>
      <c r="W1239" s="20">
        <f t="shared" ca="1" si="602"/>
        <v>0</v>
      </c>
      <c r="X1239" s="19">
        <f t="shared" ca="1" si="603"/>
        <v>0</v>
      </c>
      <c r="Y1239" s="19">
        <f t="shared" ca="1" si="604"/>
        <v>0</v>
      </c>
      <c r="Z1239" s="20">
        <f t="shared" ca="1" si="605"/>
        <v>0</v>
      </c>
      <c r="AA1239" s="1">
        <f t="shared" si="583"/>
        <v>5432.58</v>
      </c>
      <c r="AB1239" s="91"/>
      <c r="AC1239" s="92"/>
      <c r="AD1239" s="101">
        <f t="shared" si="584"/>
        <v>77394</v>
      </c>
      <c r="AE1239" s="103">
        <f t="shared" si="585"/>
        <v>0</v>
      </c>
      <c r="AG1239" s="1">
        <f t="shared" si="606"/>
        <v>0</v>
      </c>
      <c r="AH1239" s="1">
        <f t="shared" si="607"/>
        <v>0</v>
      </c>
      <c r="AI1239" s="1">
        <f t="shared" si="586"/>
        <v>5432.58</v>
      </c>
      <c r="AJ1239" s="20">
        <f t="shared" si="588"/>
        <v>0</v>
      </c>
      <c r="AK1239" s="100">
        <f t="shared" si="590"/>
        <v>0</v>
      </c>
      <c r="AL1239" s="100">
        <f t="shared" si="591"/>
        <v>0</v>
      </c>
      <c r="AN1239" s="100">
        <f t="shared" si="592"/>
        <v>2944.8588786844562</v>
      </c>
      <c r="AO1239" s="20">
        <f t="shared" si="593"/>
        <v>0</v>
      </c>
      <c r="AQ1239" s="109">
        <f t="shared" si="594"/>
        <v>0</v>
      </c>
      <c r="AU1239" s="109">
        <f t="shared" si="579"/>
        <v>24.334462626242562</v>
      </c>
      <c r="AV1239" s="101">
        <f t="shared" si="595"/>
        <v>77424</v>
      </c>
      <c r="AW1239" s="99">
        <f t="shared" si="596"/>
        <v>0</v>
      </c>
      <c r="AX1239" s="1">
        <f t="shared" si="597"/>
        <v>0</v>
      </c>
      <c r="AY1239" s="29">
        <f t="shared" si="598"/>
        <v>0</v>
      </c>
      <c r="AZ1239" s="1">
        <f t="shared" si="580"/>
        <v>0</v>
      </c>
      <c r="CB1239" s="20">
        <f t="shared" si="589"/>
        <v>0</v>
      </c>
      <c r="CC1239" s="173">
        <f t="shared" si="581"/>
        <v>0</v>
      </c>
    </row>
    <row r="1240" spans="10:81" x14ac:dyDescent="0.25">
      <c r="J1240" s="9"/>
      <c r="K1240" s="10"/>
      <c r="L1240" s="17"/>
      <c r="M1240" s="23"/>
      <c r="N1240" s="23"/>
      <c r="O1240" s="23"/>
      <c r="P1240" s="23"/>
      <c r="Q1240" s="1">
        <f t="shared" si="582"/>
        <v>0.60744618579017706</v>
      </c>
      <c r="R1240" s="12">
        <f t="shared" ca="1" si="599"/>
        <v>36302</v>
      </c>
      <c r="S1240" s="88">
        <f t="shared" si="608"/>
        <v>0</v>
      </c>
      <c r="T1240" s="19">
        <f t="shared" si="600"/>
        <v>0</v>
      </c>
      <c r="U1240" s="19">
        <f t="shared" si="601"/>
        <v>0</v>
      </c>
      <c r="V1240" s="19">
        <f t="shared" si="587"/>
        <v>0</v>
      </c>
      <c r="W1240" s="20">
        <f t="shared" ca="1" si="602"/>
        <v>0</v>
      </c>
      <c r="X1240" s="19">
        <f t="shared" ca="1" si="603"/>
        <v>0</v>
      </c>
      <c r="Y1240" s="19">
        <f t="shared" ca="1" si="604"/>
        <v>0</v>
      </c>
      <c r="Z1240" s="20">
        <f t="shared" ca="1" si="605"/>
        <v>0</v>
      </c>
      <c r="AA1240" s="1">
        <f t="shared" si="583"/>
        <v>5432.58</v>
      </c>
      <c r="AB1240" s="93"/>
      <c r="AC1240" s="94"/>
      <c r="AD1240" s="101">
        <f t="shared" si="584"/>
        <v>77424</v>
      </c>
      <c r="AE1240" s="103">
        <f t="shared" si="585"/>
        <v>0</v>
      </c>
      <c r="AG1240" s="1">
        <f t="shared" si="606"/>
        <v>0</v>
      </c>
      <c r="AH1240" s="1">
        <f t="shared" si="607"/>
        <v>0</v>
      </c>
      <c r="AI1240" s="1">
        <f t="shared" si="586"/>
        <v>5432.58</v>
      </c>
      <c r="AJ1240" s="20">
        <f t="shared" si="588"/>
        <v>0</v>
      </c>
      <c r="AK1240" s="100">
        <f t="shared" si="590"/>
        <v>0</v>
      </c>
      <c r="AL1240" s="100">
        <f t="shared" si="591"/>
        <v>0</v>
      </c>
      <c r="AN1240" s="100">
        <f t="shared" si="592"/>
        <v>2943.3689301594577</v>
      </c>
      <c r="AO1240" s="20">
        <f t="shared" si="593"/>
        <v>0</v>
      </c>
      <c r="AQ1240" s="109">
        <f t="shared" si="594"/>
        <v>0</v>
      </c>
      <c r="AU1240" s="109">
        <f t="shared" si="579"/>
        <v>24.332326788668894</v>
      </c>
      <c r="AV1240" s="101">
        <f t="shared" si="595"/>
        <v>77454</v>
      </c>
      <c r="AW1240" s="99">
        <f t="shared" si="596"/>
        <v>0</v>
      </c>
      <c r="AX1240" s="1">
        <f t="shared" si="597"/>
        <v>0</v>
      </c>
      <c r="AY1240" s="29">
        <f t="shared" si="598"/>
        <v>0</v>
      </c>
      <c r="AZ1240" s="1">
        <f t="shared" si="580"/>
        <v>0</v>
      </c>
      <c r="CB1240" s="20">
        <f t="shared" si="589"/>
        <v>0</v>
      </c>
      <c r="CC1240" s="173">
        <f t="shared" si="581"/>
        <v>0</v>
      </c>
    </row>
    <row r="1241" spans="10:81" x14ac:dyDescent="0.25">
      <c r="J1241" s="7"/>
      <c r="K1241" s="8"/>
      <c r="L1241" s="16"/>
      <c r="M1241" s="22"/>
      <c r="N1241" s="22"/>
      <c r="O1241" s="22"/>
      <c r="P1241" s="22"/>
      <c r="Q1241" s="1">
        <f t="shared" si="582"/>
        <v>0.60744618579017706</v>
      </c>
      <c r="R1241" s="12">
        <f t="shared" ca="1" si="599"/>
        <v>36332</v>
      </c>
      <c r="S1241" s="88">
        <f t="shared" si="608"/>
        <v>0</v>
      </c>
      <c r="T1241" s="19">
        <f t="shared" si="600"/>
        <v>0</v>
      </c>
      <c r="U1241" s="19">
        <f t="shared" si="601"/>
        <v>0</v>
      </c>
      <c r="V1241" s="19">
        <f t="shared" si="587"/>
        <v>0</v>
      </c>
      <c r="W1241" s="20">
        <f t="shared" ca="1" si="602"/>
        <v>0</v>
      </c>
      <c r="X1241" s="19">
        <f t="shared" ca="1" si="603"/>
        <v>0</v>
      </c>
      <c r="Y1241" s="19">
        <f t="shared" ca="1" si="604"/>
        <v>0</v>
      </c>
      <c r="Z1241" s="20">
        <f t="shared" ca="1" si="605"/>
        <v>0</v>
      </c>
      <c r="AA1241" s="1">
        <f t="shared" si="583"/>
        <v>5432.58</v>
      </c>
      <c r="AB1241" s="91"/>
      <c r="AC1241" s="92"/>
      <c r="AD1241" s="101">
        <f t="shared" si="584"/>
        <v>77454</v>
      </c>
      <c r="AE1241" s="103">
        <f t="shared" si="585"/>
        <v>0</v>
      </c>
      <c r="AG1241" s="1">
        <f t="shared" si="606"/>
        <v>0</v>
      </c>
      <c r="AH1241" s="1">
        <f t="shared" si="607"/>
        <v>0</v>
      </c>
      <c r="AI1241" s="1">
        <f t="shared" si="586"/>
        <v>5432.58</v>
      </c>
      <c r="AJ1241" s="20">
        <f t="shared" si="588"/>
        <v>0</v>
      </c>
      <c r="AK1241" s="100">
        <f t="shared" si="590"/>
        <v>0</v>
      </c>
      <c r="AL1241" s="100">
        <f t="shared" si="591"/>
        <v>0</v>
      </c>
      <c r="AN1241" s="100">
        <f t="shared" si="592"/>
        <v>2941.8797354724848</v>
      </c>
      <c r="AO1241" s="20">
        <f t="shared" si="593"/>
        <v>0</v>
      </c>
      <c r="AQ1241" s="109">
        <f t="shared" si="594"/>
        <v>0</v>
      </c>
      <c r="AU1241" s="109">
        <f t="shared" si="579"/>
        <v>24.330191138557847</v>
      </c>
      <c r="AV1241" s="101">
        <f t="shared" si="595"/>
        <v>77484</v>
      </c>
      <c r="AW1241" s="99">
        <f t="shared" si="596"/>
        <v>0</v>
      </c>
      <c r="AX1241" s="1">
        <f t="shared" si="597"/>
        <v>0</v>
      </c>
      <c r="AY1241" s="29">
        <f t="shared" si="598"/>
        <v>0</v>
      </c>
      <c r="AZ1241" s="1">
        <f t="shared" si="580"/>
        <v>0</v>
      </c>
      <c r="CB1241" s="20">
        <f t="shared" si="589"/>
        <v>0</v>
      </c>
      <c r="CC1241" s="173">
        <f t="shared" si="581"/>
        <v>0</v>
      </c>
    </row>
    <row r="1242" spans="10:81" x14ac:dyDescent="0.25">
      <c r="J1242" s="9"/>
      <c r="K1242" s="10"/>
      <c r="L1242" s="17"/>
      <c r="M1242" s="23"/>
      <c r="N1242" s="23"/>
      <c r="O1242" s="23"/>
      <c r="P1242" s="23"/>
      <c r="Q1242" s="1">
        <f t="shared" si="582"/>
        <v>0.60744618579017706</v>
      </c>
      <c r="R1242" s="12">
        <f t="shared" ca="1" si="599"/>
        <v>36362</v>
      </c>
      <c r="S1242" s="88">
        <f t="shared" si="608"/>
        <v>0</v>
      </c>
      <c r="T1242" s="19">
        <f t="shared" si="600"/>
        <v>0</v>
      </c>
      <c r="U1242" s="19">
        <f t="shared" si="601"/>
        <v>0</v>
      </c>
      <c r="V1242" s="19">
        <f t="shared" si="587"/>
        <v>0</v>
      </c>
      <c r="W1242" s="20">
        <f t="shared" ca="1" si="602"/>
        <v>0</v>
      </c>
      <c r="X1242" s="19">
        <f t="shared" ca="1" si="603"/>
        <v>0</v>
      </c>
      <c r="Y1242" s="19">
        <f t="shared" ca="1" si="604"/>
        <v>0</v>
      </c>
      <c r="Z1242" s="20">
        <f t="shared" ca="1" si="605"/>
        <v>0</v>
      </c>
      <c r="AA1242" s="1">
        <f t="shared" si="583"/>
        <v>5432.58</v>
      </c>
      <c r="AB1242" s="93"/>
      <c r="AC1242" s="94"/>
      <c r="AD1242" s="101">
        <f t="shared" si="584"/>
        <v>77484</v>
      </c>
      <c r="AE1242" s="103">
        <f t="shared" si="585"/>
        <v>0</v>
      </c>
      <c r="AG1242" s="1">
        <f t="shared" si="606"/>
        <v>0</v>
      </c>
      <c r="AH1242" s="1">
        <f t="shared" si="607"/>
        <v>0</v>
      </c>
      <c r="AI1242" s="1">
        <f t="shared" si="586"/>
        <v>5432.58</v>
      </c>
      <c r="AJ1242" s="20">
        <f t="shared" si="588"/>
        <v>0</v>
      </c>
      <c r="AK1242" s="100">
        <f t="shared" si="590"/>
        <v>0</v>
      </c>
      <c r="AL1242" s="100">
        <f t="shared" si="591"/>
        <v>0</v>
      </c>
      <c r="AN1242" s="100">
        <f t="shared" si="592"/>
        <v>2940.3912942421357</v>
      </c>
      <c r="AO1242" s="20">
        <f t="shared" si="593"/>
        <v>0</v>
      </c>
      <c r="AQ1242" s="109">
        <f t="shared" si="594"/>
        <v>0</v>
      </c>
      <c r="AU1242" s="109">
        <f t="shared" si="579"/>
        <v>24.328055675892966</v>
      </c>
      <c r="AV1242" s="101">
        <f t="shared" si="595"/>
        <v>77514</v>
      </c>
      <c r="AW1242" s="99">
        <f t="shared" si="596"/>
        <v>0</v>
      </c>
      <c r="AX1242" s="1">
        <f t="shared" si="597"/>
        <v>0</v>
      </c>
      <c r="AY1242" s="29">
        <f t="shared" si="598"/>
        <v>0</v>
      </c>
      <c r="AZ1242" s="1">
        <f t="shared" si="580"/>
        <v>0</v>
      </c>
      <c r="CB1242" s="20">
        <f t="shared" si="589"/>
        <v>0</v>
      </c>
      <c r="CC1242" s="173">
        <f t="shared" si="581"/>
        <v>0</v>
      </c>
    </row>
    <row r="1243" spans="10:81" x14ac:dyDescent="0.25">
      <c r="J1243" s="7"/>
      <c r="K1243" s="8"/>
      <c r="L1243" s="16"/>
      <c r="M1243" s="22"/>
      <c r="N1243" s="22"/>
      <c r="O1243" s="22"/>
      <c r="P1243" s="22"/>
      <c r="Q1243" s="1">
        <f t="shared" si="582"/>
        <v>0.60744618579017706</v>
      </c>
      <c r="R1243" s="12">
        <f t="shared" ca="1" si="599"/>
        <v>36392</v>
      </c>
      <c r="S1243" s="88">
        <f t="shared" si="608"/>
        <v>0</v>
      </c>
      <c r="T1243" s="19">
        <f t="shared" si="600"/>
        <v>0</v>
      </c>
      <c r="U1243" s="19">
        <f t="shared" si="601"/>
        <v>0</v>
      </c>
      <c r="V1243" s="19">
        <f t="shared" si="587"/>
        <v>0</v>
      </c>
      <c r="W1243" s="20">
        <f t="shared" ca="1" si="602"/>
        <v>0</v>
      </c>
      <c r="X1243" s="19">
        <f t="shared" ca="1" si="603"/>
        <v>0</v>
      </c>
      <c r="Y1243" s="19">
        <f t="shared" ca="1" si="604"/>
        <v>0</v>
      </c>
      <c r="Z1243" s="20">
        <f t="shared" ca="1" si="605"/>
        <v>0</v>
      </c>
      <c r="AA1243" s="1">
        <f t="shared" si="583"/>
        <v>5432.58</v>
      </c>
      <c r="AB1243" s="91"/>
      <c r="AC1243" s="92"/>
      <c r="AD1243" s="101">
        <f t="shared" si="584"/>
        <v>77514</v>
      </c>
      <c r="AE1243" s="103">
        <f t="shared" si="585"/>
        <v>0</v>
      </c>
      <c r="AG1243" s="1">
        <f t="shared" si="606"/>
        <v>0</v>
      </c>
      <c r="AH1243" s="1">
        <f t="shared" si="607"/>
        <v>0</v>
      </c>
      <c r="AI1243" s="1">
        <f t="shared" si="586"/>
        <v>5432.58</v>
      </c>
      <c r="AJ1243" s="20">
        <f t="shared" si="588"/>
        <v>0</v>
      </c>
      <c r="AK1243" s="100">
        <f t="shared" si="590"/>
        <v>0</v>
      </c>
      <c r="AL1243" s="100">
        <f t="shared" si="591"/>
        <v>0</v>
      </c>
      <c r="AN1243" s="100">
        <f t="shared" si="592"/>
        <v>2938.9036060871999</v>
      </c>
      <c r="AO1243" s="20">
        <f t="shared" si="593"/>
        <v>0</v>
      </c>
      <c r="AQ1243" s="109">
        <f t="shared" si="594"/>
        <v>0</v>
      </c>
      <c r="AU1243" s="109">
        <f t="shared" si="579"/>
        <v>24.325920400657793</v>
      </c>
      <c r="AV1243" s="101">
        <f t="shared" si="595"/>
        <v>77544</v>
      </c>
      <c r="AW1243" s="99">
        <f t="shared" si="596"/>
        <v>0</v>
      </c>
      <c r="AX1243" s="1">
        <f t="shared" si="597"/>
        <v>0</v>
      </c>
      <c r="AY1243" s="29">
        <f t="shared" si="598"/>
        <v>0</v>
      </c>
      <c r="AZ1243" s="1">
        <f t="shared" si="580"/>
        <v>0</v>
      </c>
      <c r="CB1243" s="20">
        <f t="shared" si="589"/>
        <v>0</v>
      </c>
      <c r="CC1243" s="173">
        <f t="shared" si="581"/>
        <v>0</v>
      </c>
    </row>
    <row r="1244" spans="10:81" x14ac:dyDescent="0.25">
      <c r="J1244" s="9"/>
      <c r="K1244" s="10"/>
      <c r="L1244" s="17"/>
      <c r="M1244" s="23"/>
      <c r="N1244" s="23"/>
      <c r="O1244" s="23"/>
      <c r="P1244" s="23"/>
      <c r="Q1244" s="1">
        <f t="shared" si="582"/>
        <v>0.60744618579017706</v>
      </c>
      <c r="R1244" s="12">
        <f t="shared" ca="1" si="599"/>
        <v>36422</v>
      </c>
      <c r="S1244" s="88">
        <f t="shared" si="608"/>
        <v>0</v>
      </c>
      <c r="T1244" s="19">
        <f t="shared" si="600"/>
        <v>0</v>
      </c>
      <c r="U1244" s="19">
        <f t="shared" si="601"/>
        <v>0</v>
      </c>
      <c r="V1244" s="19">
        <f t="shared" si="587"/>
        <v>0</v>
      </c>
      <c r="W1244" s="20">
        <f t="shared" ca="1" si="602"/>
        <v>0</v>
      </c>
      <c r="X1244" s="19">
        <f t="shared" ca="1" si="603"/>
        <v>0</v>
      </c>
      <c r="Y1244" s="19">
        <f t="shared" ca="1" si="604"/>
        <v>0</v>
      </c>
      <c r="Z1244" s="20">
        <f t="shared" ca="1" si="605"/>
        <v>0</v>
      </c>
      <c r="AA1244" s="1">
        <f t="shared" si="583"/>
        <v>5432.58</v>
      </c>
      <c r="AB1244" s="93"/>
      <c r="AC1244" s="94"/>
      <c r="AD1244" s="101">
        <f t="shared" si="584"/>
        <v>77544</v>
      </c>
      <c r="AE1244" s="103">
        <f t="shared" si="585"/>
        <v>0</v>
      </c>
      <c r="AG1244" s="1">
        <f t="shared" si="606"/>
        <v>0</v>
      </c>
      <c r="AH1244" s="1">
        <f t="shared" si="607"/>
        <v>0</v>
      </c>
      <c r="AI1244" s="1">
        <f t="shared" si="586"/>
        <v>5432.58</v>
      </c>
      <c r="AJ1244" s="20">
        <f t="shared" si="588"/>
        <v>0</v>
      </c>
      <c r="AK1244" s="100">
        <f t="shared" si="590"/>
        <v>0</v>
      </c>
      <c r="AL1244" s="100">
        <f t="shared" si="591"/>
        <v>0</v>
      </c>
      <c r="AN1244" s="100">
        <f t="shared" si="592"/>
        <v>2937.4166706266592</v>
      </c>
      <c r="AO1244" s="20">
        <f t="shared" si="593"/>
        <v>0</v>
      </c>
      <c r="AQ1244" s="109">
        <f t="shared" si="594"/>
        <v>0</v>
      </c>
      <c r="AU1244" s="109">
        <f t="shared" si="579"/>
        <v>24.323785312835902</v>
      </c>
      <c r="AV1244" s="101">
        <f t="shared" si="595"/>
        <v>77574</v>
      </c>
      <c r="AW1244" s="99">
        <f t="shared" si="596"/>
        <v>0</v>
      </c>
      <c r="AX1244" s="1">
        <f t="shared" si="597"/>
        <v>0</v>
      </c>
      <c r="AY1244" s="29">
        <f t="shared" si="598"/>
        <v>0</v>
      </c>
      <c r="AZ1244" s="1">
        <f t="shared" si="580"/>
        <v>0</v>
      </c>
      <c r="CB1244" s="20">
        <f t="shared" si="589"/>
        <v>0</v>
      </c>
      <c r="CC1244" s="173">
        <f t="shared" si="581"/>
        <v>0</v>
      </c>
    </row>
    <row r="1245" spans="10:81" x14ac:dyDescent="0.25">
      <c r="J1245" s="7"/>
      <c r="K1245" s="8"/>
      <c r="L1245" s="16"/>
      <c r="M1245" s="22"/>
      <c r="N1245" s="22"/>
      <c r="O1245" s="22"/>
      <c r="P1245" s="22"/>
      <c r="Q1245" s="1">
        <f t="shared" si="582"/>
        <v>0.60744618579017706</v>
      </c>
      <c r="R1245" s="12">
        <f t="shared" ca="1" si="599"/>
        <v>36452</v>
      </c>
      <c r="S1245" s="88">
        <f t="shared" si="608"/>
        <v>0</v>
      </c>
      <c r="T1245" s="19">
        <f t="shared" si="600"/>
        <v>0</v>
      </c>
      <c r="U1245" s="19">
        <f t="shared" si="601"/>
        <v>0</v>
      </c>
      <c r="V1245" s="19">
        <f t="shared" si="587"/>
        <v>0</v>
      </c>
      <c r="W1245" s="20">
        <f t="shared" ca="1" si="602"/>
        <v>0</v>
      </c>
      <c r="X1245" s="19">
        <f t="shared" ca="1" si="603"/>
        <v>0</v>
      </c>
      <c r="Y1245" s="19">
        <f t="shared" ca="1" si="604"/>
        <v>0</v>
      </c>
      <c r="Z1245" s="20">
        <f t="shared" ca="1" si="605"/>
        <v>0</v>
      </c>
      <c r="AA1245" s="1">
        <f t="shared" si="583"/>
        <v>5432.58</v>
      </c>
      <c r="AB1245" s="91"/>
      <c r="AC1245" s="92"/>
      <c r="AD1245" s="101">
        <f t="shared" si="584"/>
        <v>77574</v>
      </c>
      <c r="AE1245" s="103">
        <f t="shared" si="585"/>
        <v>0</v>
      </c>
      <c r="AG1245" s="1">
        <f t="shared" si="606"/>
        <v>0</v>
      </c>
      <c r="AH1245" s="1">
        <f t="shared" si="607"/>
        <v>0</v>
      </c>
      <c r="AI1245" s="1">
        <f t="shared" si="586"/>
        <v>5432.58</v>
      </c>
      <c r="AJ1245" s="20">
        <f t="shared" si="588"/>
        <v>0</v>
      </c>
      <c r="AK1245" s="100">
        <f t="shared" si="590"/>
        <v>0</v>
      </c>
      <c r="AL1245" s="100">
        <f t="shared" si="591"/>
        <v>0</v>
      </c>
      <c r="AN1245" s="100">
        <f t="shared" si="592"/>
        <v>2935.930487479689</v>
      </c>
      <c r="AO1245" s="20">
        <f t="shared" si="593"/>
        <v>0</v>
      </c>
      <c r="AQ1245" s="109">
        <f t="shared" si="594"/>
        <v>0</v>
      </c>
      <c r="AU1245" s="109">
        <f t="shared" si="579"/>
        <v>24.321650412410815</v>
      </c>
      <c r="AV1245" s="101">
        <f t="shared" si="595"/>
        <v>77604</v>
      </c>
      <c r="AW1245" s="99">
        <f t="shared" si="596"/>
        <v>0</v>
      </c>
      <c r="AX1245" s="1">
        <f t="shared" si="597"/>
        <v>0</v>
      </c>
      <c r="AY1245" s="29">
        <f t="shared" si="598"/>
        <v>0</v>
      </c>
      <c r="AZ1245" s="1">
        <f t="shared" si="580"/>
        <v>0</v>
      </c>
      <c r="CB1245" s="20">
        <f t="shared" si="589"/>
        <v>0</v>
      </c>
      <c r="CC1245" s="173">
        <f t="shared" si="581"/>
        <v>0</v>
      </c>
    </row>
    <row r="1246" spans="10:81" x14ac:dyDescent="0.25">
      <c r="J1246" s="9"/>
      <c r="K1246" s="10"/>
      <c r="L1246" s="17"/>
      <c r="M1246" s="23"/>
      <c r="N1246" s="23"/>
      <c r="O1246" s="23"/>
      <c r="P1246" s="23"/>
      <c r="Q1246" s="1">
        <f t="shared" si="582"/>
        <v>0.60744618579017706</v>
      </c>
      <c r="R1246" s="12">
        <f t="shared" ca="1" si="599"/>
        <v>36482</v>
      </c>
      <c r="S1246" s="88">
        <f t="shared" si="608"/>
        <v>0</v>
      </c>
      <c r="T1246" s="19">
        <f t="shared" si="600"/>
        <v>0</v>
      </c>
      <c r="U1246" s="19">
        <f t="shared" si="601"/>
        <v>0</v>
      </c>
      <c r="V1246" s="19">
        <f t="shared" si="587"/>
        <v>0</v>
      </c>
      <c r="W1246" s="20">
        <f t="shared" ca="1" si="602"/>
        <v>0</v>
      </c>
      <c r="X1246" s="19">
        <f t="shared" ca="1" si="603"/>
        <v>0</v>
      </c>
      <c r="Y1246" s="19">
        <f t="shared" ca="1" si="604"/>
        <v>0</v>
      </c>
      <c r="Z1246" s="20">
        <f t="shared" ca="1" si="605"/>
        <v>0</v>
      </c>
      <c r="AA1246" s="1">
        <f t="shared" si="583"/>
        <v>5432.58</v>
      </c>
      <c r="AB1246" s="93"/>
      <c r="AC1246" s="94"/>
      <c r="AD1246" s="101">
        <f t="shared" si="584"/>
        <v>77604</v>
      </c>
      <c r="AE1246" s="103">
        <f t="shared" si="585"/>
        <v>0</v>
      </c>
      <c r="AG1246" s="1">
        <f t="shared" si="606"/>
        <v>0</v>
      </c>
      <c r="AH1246" s="1">
        <f t="shared" si="607"/>
        <v>0</v>
      </c>
      <c r="AI1246" s="1">
        <f t="shared" si="586"/>
        <v>5432.58</v>
      </c>
      <c r="AJ1246" s="20">
        <f t="shared" si="588"/>
        <v>0</v>
      </c>
      <c r="AK1246" s="100">
        <f t="shared" si="590"/>
        <v>0</v>
      </c>
      <c r="AL1246" s="100">
        <f t="shared" si="591"/>
        <v>0</v>
      </c>
      <c r="AN1246" s="100">
        <f t="shared" si="592"/>
        <v>2934.4450562656557</v>
      </c>
      <c r="AO1246" s="20">
        <f t="shared" si="593"/>
        <v>0</v>
      </c>
      <c r="AQ1246" s="109">
        <f t="shared" si="594"/>
        <v>0</v>
      </c>
      <c r="AU1246" s="109">
        <f t="shared" si="579"/>
        <v>24.319515699366089</v>
      </c>
      <c r="AV1246" s="101">
        <f t="shared" si="595"/>
        <v>77634</v>
      </c>
      <c r="AW1246" s="99">
        <f t="shared" si="596"/>
        <v>0</v>
      </c>
      <c r="AX1246" s="1">
        <f t="shared" si="597"/>
        <v>0</v>
      </c>
      <c r="AY1246" s="29">
        <f t="shared" si="598"/>
        <v>0</v>
      </c>
      <c r="AZ1246" s="1">
        <f t="shared" si="580"/>
        <v>0</v>
      </c>
      <c r="CB1246" s="20">
        <f t="shared" si="589"/>
        <v>0</v>
      </c>
      <c r="CC1246" s="173">
        <f t="shared" si="581"/>
        <v>0</v>
      </c>
    </row>
    <row r="1247" spans="10:81" x14ac:dyDescent="0.25">
      <c r="J1247" s="7"/>
      <c r="K1247" s="8"/>
      <c r="L1247" s="16"/>
      <c r="M1247" s="22"/>
      <c r="N1247" s="22"/>
      <c r="O1247" s="22"/>
      <c r="P1247" s="22"/>
      <c r="Q1247" s="1">
        <f t="shared" si="582"/>
        <v>0.60744618579017706</v>
      </c>
      <c r="R1247" s="12">
        <f t="shared" ca="1" si="599"/>
        <v>36512</v>
      </c>
      <c r="S1247" s="88">
        <f t="shared" si="608"/>
        <v>0</v>
      </c>
      <c r="T1247" s="19">
        <f t="shared" si="600"/>
        <v>0</v>
      </c>
      <c r="U1247" s="19">
        <f t="shared" si="601"/>
        <v>0</v>
      </c>
      <c r="V1247" s="19">
        <f t="shared" si="587"/>
        <v>0</v>
      </c>
      <c r="W1247" s="20">
        <f t="shared" ca="1" si="602"/>
        <v>0</v>
      </c>
      <c r="X1247" s="19">
        <f t="shared" ca="1" si="603"/>
        <v>0</v>
      </c>
      <c r="Y1247" s="19">
        <f t="shared" ca="1" si="604"/>
        <v>0</v>
      </c>
      <c r="Z1247" s="20">
        <f t="shared" ca="1" si="605"/>
        <v>0</v>
      </c>
      <c r="AA1247" s="1">
        <f t="shared" si="583"/>
        <v>5432.58</v>
      </c>
      <c r="AB1247" s="91"/>
      <c r="AC1247" s="92"/>
      <c r="AD1247" s="101">
        <f t="shared" si="584"/>
        <v>77634</v>
      </c>
      <c r="AE1247" s="103">
        <f t="shared" si="585"/>
        <v>0</v>
      </c>
      <c r="AG1247" s="1">
        <f t="shared" si="606"/>
        <v>0</v>
      </c>
      <c r="AH1247" s="1">
        <f t="shared" si="607"/>
        <v>0</v>
      </c>
      <c r="AI1247" s="1">
        <f t="shared" si="586"/>
        <v>5432.58</v>
      </c>
      <c r="AJ1247" s="20">
        <f t="shared" si="588"/>
        <v>0</v>
      </c>
      <c r="AK1247" s="100">
        <f t="shared" si="590"/>
        <v>0</v>
      </c>
      <c r="AL1247" s="100">
        <f t="shared" si="591"/>
        <v>0</v>
      </c>
      <c r="AN1247" s="100">
        <f t="shared" si="592"/>
        <v>2932.9603766041205</v>
      </c>
      <c r="AO1247" s="20">
        <f t="shared" si="593"/>
        <v>0</v>
      </c>
      <c r="AQ1247" s="109">
        <f t="shared" si="594"/>
        <v>0</v>
      </c>
      <c r="AU1247" s="109">
        <f t="shared" ref="AU1247:AU1310" si="609">(($AT$27/(1+((1+$AM$27)^(ROW()-29)*30)-1))/292)*0.32</f>
        <v>24.317381173685298</v>
      </c>
      <c r="AV1247" s="101">
        <f t="shared" si="595"/>
        <v>77664</v>
      </c>
      <c r="AW1247" s="99">
        <f t="shared" si="596"/>
        <v>0</v>
      </c>
      <c r="AX1247" s="1">
        <f t="shared" si="597"/>
        <v>0</v>
      </c>
      <c r="AY1247" s="29">
        <f t="shared" si="598"/>
        <v>0</v>
      </c>
      <c r="AZ1247" s="1">
        <f t="shared" ref="AZ1247:AZ1310" si="610">AY1247/360</f>
        <v>0</v>
      </c>
      <c r="CB1247" s="20">
        <f t="shared" si="589"/>
        <v>0</v>
      </c>
      <c r="CC1247" s="173">
        <f t="shared" ref="CC1247:CC1310" si="611">AJ1247+U1247+T1247</f>
        <v>0</v>
      </c>
    </row>
    <row r="1248" spans="10:81" x14ac:dyDescent="0.25">
      <c r="J1248" s="9"/>
      <c r="K1248" s="10"/>
      <c r="L1248" s="17"/>
      <c r="M1248" s="23"/>
      <c r="N1248" s="23"/>
      <c r="O1248" s="23"/>
      <c r="P1248" s="23"/>
      <c r="Q1248" s="1">
        <f t="shared" ref="Q1248:Q1311" si="612">IF(M1248=0,Q1247,(M1248*1200)/O1247)</f>
        <v>0.60744618579017706</v>
      </c>
      <c r="R1248" s="12">
        <f t="shared" ca="1" si="599"/>
        <v>36542</v>
      </c>
      <c r="S1248" s="88">
        <f t="shared" si="608"/>
        <v>0</v>
      </c>
      <c r="T1248" s="19">
        <f t="shared" si="600"/>
        <v>0</v>
      </c>
      <c r="U1248" s="19">
        <f t="shared" si="601"/>
        <v>0</v>
      </c>
      <c r="V1248" s="19">
        <f t="shared" si="587"/>
        <v>0</v>
      </c>
      <c r="W1248" s="20">
        <f t="shared" ca="1" si="602"/>
        <v>0</v>
      </c>
      <c r="X1248" s="19">
        <f t="shared" ca="1" si="603"/>
        <v>0</v>
      </c>
      <c r="Y1248" s="19">
        <f t="shared" ca="1" si="604"/>
        <v>0</v>
      </c>
      <c r="Z1248" s="20">
        <f t="shared" ca="1" si="605"/>
        <v>0</v>
      </c>
      <c r="AA1248" s="1">
        <f t="shared" ref="AA1248:AA1311" si="613">IF(S1248=0,AA1247,N1248)</f>
        <v>5432.58</v>
      </c>
      <c r="AB1248" s="93"/>
      <c r="AC1248" s="94"/>
      <c r="AD1248" s="101">
        <f t="shared" ref="AD1248:AD1311" si="614">IF(M1248=0,AD1247+30,K1248)</f>
        <v>77664</v>
      </c>
      <c r="AE1248" s="103">
        <f t="shared" ref="AE1248:AE1311" si="615">IF(V1248=0,0,R1248)</f>
        <v>0</v>
      </c>
      <c r="AG1248" s="1">
        <f t="shared" si="606"/>
        <v>0</v>
      </c>
      <c r="AH1248" s="1">
        <f t="shared" si="607"/>
        <v>0</v>
      </c>
      <c r="AI1248" s="1">
        <f t="shared" ref="AI1248:AI1311" si="616">IF(M1248-1=0,IF(M1248=0,IF(V1248=0,N1248,AI1247),AA1248),AA1248)</f>
        <v>5432.58</v>
      </c>
      <c r="AJ1248" s="20">
        <f t="shared" si="588"/>
        <v>0</v>
      </c>
      <c r="AK1248" s="100">
        <f t="shared" si="590"/>
        <v>0</v>
      </c>
      <c r="AL1248" s="100">
        <f t="shared" si="591"/>
        <v>0</v>
      </c>
      <c r="AN1248" s="100">
        <f t="shared" si="592"/>
        <v>2931.4764481148354</v>
      </c>
      <c r="AO1248" s="20">
        <f t="shared" si="593"/>
        <v>0</v>
      </c>
      <c r="AQ1248" s="109">
        <f t="shared" si="594"/>
        <v>0</v>
      </c>
      <c r="AU1248" s="109">
        <f t="shared" si="609"/>
        <v>24.315246835351974</v>
      </c>
      <c r="AV1248" s="101">
        <f t="shared" si="595"/>
        <v>77694</v>
      </c>
      <c r="AW1248" s="99">
        <f t="shared" si="596"/>
        <v>0</v>
      </c>
      <c r="AX1248" s="1">
        <f t="shared" si="597"/>
        <v>0</v>
      </c>
      <c r="AY1248" s="29">
        <f t="shared" si="598"/>
        <v>0</v>
      </c>
      <c r="AZ1248" s="1">
        <f t="shared" si="610"/>
        <v>0</v>
      </c>
      <c r="CB1248" s="20">
        <f t="shared" si="589"/>
        <v>0</v>
      </c>
      <c r="CC1248" s="173">
        <f t="shared" si="611"/>
        <v>0</v>
      </c>
    </row>
    <row r="1249" spans="10:81" x14ac:dyDescent="0.25">
      <c r="J1249" s="7"/>
      <c r="K1249" s="8"/>
      <c r="L1249" s="16"/>
      <c r="M1249" s="22"/>
      <c r="N1249" s="22"/>
      <c r="O1249" s="22"/>
      <c r="P1249" s="22"/>
      <c r="Q1249" s="1">
        <f t="shared" si="612"/>
        <v>0.60744618579017706</v>
      </c>
      <c r="R1249" s="12">
        <f t="shared" ca="1" si="599"/>
        <v>36572</v>
      </c>
      <c r="S1249" s="88">
        <f t="shared" si="608"/>
        <v>0</v>
      </c>
      <c r="T1249" s="19">
        <f t="shared" si="600"/>
        <v>0</v>
      </c>
      <c r="U1249" s="19">
        <f t="shared" si="601"/>
        <v>0</v>
      </c>
      <c r="V1249" s="19">
        <f t="shared" si="587"/>
        <v>0</v>
      </c>
      <c r="W1249" s="20">
        <f t="shared" ca="1" si="602"/>
        <v>0</v>
      </c>
      <c r="X1249" s="19">
        <f t="shared" ca="1" si="603"/>
        <v>0</v>
      </c>
      <c r="Y1249" s="19">
        <f t="shared" ca="1" si="604"/>
        <v>0</v>
      </c>
      <c r="Z1249" s="20">
        <f t="shared" ca="1" si="605"/>
        <v>0</v>
      </c>
      <c r="AA1249" s="1">
        <f t="shared" si="613"/>
        <v>5432.58</v>
      </c>
      <c r="AB1249" s="91"/>
      <c r="AC1249" s="92"/>
      <c r="AD1249" s="101">
        <f t="shared" si="614"/>
        <v>77694</v>
      </c>
      <c r="AE1249" s="103">
        <f t="shared" si="615"/>
        <v>0</v>
      </c>
      <c r="AG1249" s="1">
        <f t="shared" si="606"/>
        <v>0</v>
      </c>
      <c r="AH1249" s="1">
        <f t="shared" si="607"/>
        <v>0</v>
      </c>
      <c r="AI1249" s="1">
        <f t="shared" si="616"/>
        <v>5432.58</v>
      </c>
      <c r="AJ1249" s="20">
        <f t="shared" si="588"/>
        <v>0</v>
      </c>
      <c r="AK1249" s="100">
        <f t="shared" si="590"/>
        <v>0</v>
      </c>
      <c r="AL1249" s="100">
        <f t="shared" si="591"/>
        <v>0</v>
      </c>
      <c r="AN1249" s="100">
        <f t="shared" si="592"/>
        <v>2929.9932704177468</v>
      </c>
      <c r="AO1249" s="20">
        <f t="shared" si="593"/>
        <v>0</v>
      </c>
      <c r="AQ1249" s="109">
        <f t="shared" si="594"/>
        <v>0</v>
      </c>
      <c r="AU1249" s="109">
        <f t="shared" si="609"/>
        <v>24.313112684349679</v>
      </c>
      <c r="AV1249" s="101">
        <f t="shared" si="595"/>
        <v>77724</v>
      </c>
      <c r="AW1249" s="99">
        <f t="shared" si="596"/>
        <v>0</v>
      </c>
      <c r="AX1249" s="1">
        <f t="shared" si="597"/>
        <v>0</v>
      </c>
      <c r="AY1249" s="29">
        <f t="shared" si="598"/>
        <v>0</v>
      </c>
      <c r="AZ1249" s="1">
        <f t="shared" si="610"/>
        <v>0</v>
      </c>
      <c r="CB1249" s="20">
        <f t="shared" si="589"/>
        <v>0</v>
      </c>
      <c r="CC1249" s="173">
        <f t="shared" si="611"/>
        <v>0</v>
      </c>
    </row>
    <row r="1250" spans="10:81" x14ac:dyDescent="0.25">
      <c r="J1250" s="9"/>
      <c r="K1250" s="10"/>
      <c r="L1250" s="17"/>
      <c r="M1250" s="23"/>
      <c r="N1250" s="23"/>
      <c r="O1250" s="23"/>
      <c r="P1250" s="23"/>
      <c r="Q1250" s="1">
        <f t="shared" si="612"/>
        <v>0.60744618579017706</v>
      </c>
      <c r="R1250" s="12">
        <f t="shared" ca="1" si="599"/>
        <v>36602</v>
      </c>
      <c r="S1250" s="88">
        <f t="shared" si="608"/>
        <v>0</v>
      </c>
      <c r="T1250" s="19">
        <f t="shared" si="600"/>
        <v>0</v>
      </c>
      <c r="U1250" s="19">
        <f t="shared" si="601"/>
        <v>0</v>
      </c>
      <c r="V1250" s="19">
        <f t="shared" ref="V1250:V1313" si="617">IF(ISERROR(IF(V1249+U1250+T1250+(V1249*Q1250/1200)-AA1250-P1250&lt;0,0,V1249+U1250+T1250-AA1250-P1250)),0,IF(V1249+U1250+T1250+(V1249*Q1250/1200)-AA1250-CB1250&lt;0,0,V1249+U1250+T1250-AA1250-CB1250))</f>
        <v>0</v>
      </c>
      <c r="W1250" s="20">
        <f t="shared" ca="1" si="602"/>
        <v>0</v>
      </c>
      <c r="X1250" s="19">
        <f t="shared" ca="1" si="603"/>
        <v>0</v>
      </c>
      <c r="Y1250" s="19">
        <f t="shared" ca="1" si="604"/>
        <v>0</v>
      </c>
      <c r="Z1250" s="20">
        <f t="shared" ca="1" si="605"/>
        <v>0</v>
      </c>
      <c r="AA1250" s="1">
        <f t="shared" si="613"/>
        <v>5432.58</v>
      </c>
      <c r="AB1250" s="93"/>
      <c r="AC1250" s="94"/>
      <c r="AD1250" s="101">
        <f t="shared" si="614"/>
        <v>77724</v>
      </c>
      <c r="AE1250" s="103">
        <f t="shared" si="615"/>
        <v>0</v>
      </c>
      <c r="AG1250" s="1">
        <f t="shared" si="606"/>
        <v>0</v>
      </c>
      <c r="AH1250" s="1">
        <f t="shared" si="607"/>
        <v>0</v>
      </c>
      <c r="AI1250" s="1">
        <f t="shared" si="616"/>
        <v>5432.58</v>
      </c>
      <c r="AJ1250" s="20">
        <f t="shared" si="588"/>
        <v>0</v>
      </c>
      <c r="AK1250" s="100">
        <f t="shared" si="590"/>
        <v>0</v>
      </c>
      <c r="AL1250" s="100">
        <f t="shared" si="591"/>
        <v>0</v>
      </c>
      <c r="AN1250" s="100">
        <f t="shared" si="592"/>
        <v>2928.5108431329918</v>
      </c>
      <c r="AO1250" s="20">
        <f t="shared" si="593"/>
        <v>0</v>
      </c>
      <c r="AQ1250" s="109">
        <f t="shared" si="594"/>
        <v>0</v>
      </c>
      <c r="AU1250" s="109">
        <f t="shared" si="609"/>
        <v>24.310978720661989</v>
      </c>
      <c r="AV1250" s="101">
        <f t="shared" si="595"/>
        <v>77754</v>
      </c>
      <c r="AW1250" s="99">
        <f t="shared" si="596"/>
        <v>0</v>
      </c>
      <c r="AX1250" s="1">
        <f t="shared" si="597"/>
        <v>0</v>
      </c>
      <c r="AY1250" s="29">
        <f t="shared" si="598"/>
        <v>0</v>
      </c>
      <c r="AZ1250" s="1">
        <f t="shared" si="610"/>
        <v>0</v>
      </c>
      <c r="CB1250" s="20">
        <f t="shared" si="589"/>
        <v>0</v>
      </c>
      <c r="CC1250" s="173">
        <f t="shared" si="611"/>
        <v>0</v>
      </c>
    </row>
    <row r="1251" spans="10:81" x14ac:dyDescent="0.25">
      <c r="J1251" s="7"/>
      <c r="K1251" s="8"/>
      <c r="L1251" s="16"/>
      <c r="M1251" s="22"/>
      <c r="N1251" s="22"/>
      <c r="O1251" s="22"/>
      <c r="P1251" s="22"/>
      <c r="Q1251" s="1">
        <f t="shared" si="612"/>
        <v>0.60744618579017706</v>
      </c>
      <c r="R1251" s="12">
        <f t="shared" ca="1" si="599"/>
        <v>36632</v>
      </c>
      <c r="S1251" s="88">
        <f t="shared" si="608"/>
        <v>0</v>
      </c>
      <c r="T1251" s="19">
        <f t="shared" si="600"/>
        <v>0</v>
      </c>
      <c r="U1251" s="19">
        <f t="shared" si="601"/>
        <v>0</v>
      </c>
      <c r="V1251" s="19">
        <f t="shared" si="617"/>
        <v>0</v>
      </c>
      <c r="W1251" s="20">
        <f t="shared" ca="1" si="602"/>
        <v>0</v>
      </c>
      <c r="X1251" s="19">
        <f t="shared" ca="1" si="603"/>
        <v>0</v>
      </c>
      <c r="Y1251" s="19">
        <f t="shared" ca="1" si="604"/>
        <v>0</v>
      </c>
      <c r="Z1251" s="20">
        <f t="shared" ca="1" si="605"/>
        <v>0</v>
      </c>
      <c r="AA1251" s="1">
        <f t="shared" si="613"/>
        <v>5432.58</v>
      </c>
      <c r="AB1251" s="91"/>
      <c r="AC1251" s="92"/>
      <c r="AD1251" s="101">
        <f t="shared" si="614"/>
        <v>77754</v>
      </c>
      <c r="AE1251" s="103">
        <f t="shared" si="615"/>
        <v>0</v>
      </c>
      <c r="AG1251" s="1">
        <f t="shared" si="606"/>
        <v>0</v>
      </c>
      <c r="AH1251" s="1">
        <f t="shared" si="607"/>
        <v>0</v>
      </c>
      <c r="AI1251" s="1">
        <f t="shared" si="616"/>
        <v>5432.58</v>
      </c>
      <c r="AJ1251" s="20">
        <f t="shared" si="588"/>
        <v>0</v>
      </c>
      <c r="AK1251" s="100">
        <f t="shared" si="590"/>
        <v>0</v>
      </c>
      <c r="AL1251" s="100">
        <f t="shared" si="591"/>
        <v>0</v>
      </c>
      <c r="AN1251" s="100">
        <f t="shared" si="592"/>
        <v>2927.0291658808987</v>
      </c>
      <c r="AO1251" s="20">
        <f t="shared" si="593"/>
        <v>0</v>
      </c>
      <c r="AQ1251" s="109">
        <f t="shared" si="594"/>
        <v>0</v>
      </c>
      <c r="AU1251" s="109">
        <f t="shared" si="609"/>
        <v>24.308844944272437</v>
      </c>
      <c r="AV1251" s="101">
        <f t="shared" si="595"/>
        <v>77784</v>
      </c>
      <c r="AW1251" s="99">
        <f t="shared" si="596"/>
        <v>0</v>
      </c>
      <c r="AX1251" s="1">
        <f t="shared" si="597"/>
        <v>0</v>
      </c>
      <c r="AY1251" s="29">
        <f t="shared" si="598"/>
        <v>0</v>
      </c>
      <c r="AZ1251" s="1">
        <f t="shared" si="610"/>
        <v>0</v>
      </c>
      <c r="CB1251" s="20">
        <f t="shared" si="589"/>
        <v>0</v>
      </c>
      <c r="CC1251" s="173">
        <f t="shared" si="611"/>
        <v>0</v>
      </c>
    </row>
    <row r="1252" spans="10:81" x14ac:dyDescent="0.25">
      <c r="J1252" s="9"/>
      <c r="K1252" s="10"/>
      <c r="L1252" s="17"/>
      <c r="M1252" s="23"/>
      <c r="N1252" s="23"/>
      <c r="O1252" s="23"/>
      <c r="P1252" s="23"/>
      <c r="Q1252" s="1">
        <f t="shared" si="612"/>
        <v>0.60744618579017706</v>
      </c>
      <c r="R1252" s="12">
        <f t="shared" ca="1" si="599"/>
        <v>36662</v>
      </c>
      <c r="S1252" s="88">
        <f t="shared" si="608"/>
        <v>0</v>
      </c>
      <c r="T1252" s="19">
        <f t="shared" si="600"/>
        <v>0</v>
      </c>
      <c r="U1252" s="19">
        <f t="shared" si="601"/>
        <v>0</v>
      </c>
      <c r="V1252" s="19">
        <f t="shared" si="617"/>
        <v>0</v>
      </c>
      <c r="W1252" s="20">
        <f t="shared" ca="1" si="602"/>
        <v>0</v>
      </c>
      <c r="X1252" s="19">
        <f t="shared" ca="1" si="603"/>
        <v>0</v>
      </c>
      <c r="Y1252" s="19">
        <f t="shared" ca="1" si="604"/>
        <v>0</v>
      </c>
      <c r="Z1252" s="20">
        <f t="shared" ca="1" si="605"/>
        <v>0</v>
      </c>
      <c r="AA1252" s="1">
        <f t="shared" si="613"/>
        <v>5432.58</v>
      </c>
      <c r="AB1252" s="93"/>
      <c r="AC1252" s="94"/>
      <c r="AD1252" s="101">
        <f t="shared" si="614"/>
        <v>77784</v>
      </c>
      <c r="AE1252" s="103">
        <f t="shared" si="615"/>
        <v>0</v>
      </c>
      <c r="AG1252" s="1">
        <f t="shared" si="606"/>
        <v>0</v>
      </c>
      <c r="AH1252" s="1">
        <f t="shared" si="607"/>
        <v>0</v>
      </c>
      <c r="AI1252" s="1">
        <f t="shared" si="616"/>
        <v>5432.58</v>
      </c>
      <c r="AJ1252" s="20">
        <f t="shared" si="588"/>
        <v>0</v>
      </c>
      <c r="AK1252" s="100">
        <f t="shared" si="590"/>
        <v>0</v>
      </c>
      <c r="AL1252" s="100">
        <f t="shared" si="591"/>
        <v>0</v>
      </c>
      <c r="AN1252" s="100">
        <f t="shared" si="592"/>
        <v>2925.5482382819901</v>
      </c>
      <c r="AO1252" s="20">
        <f t="shared" si="593"/>
        <v>0</v>
      </c>
      <c r="AQ1252" s="109">
        <f t="shared" si="594"/>
        <v>0</v>
      </c>
      <c r="AU1252" s="109">
        <f t="shared" si="609"/>
        <v>24.306711355164595</v>
      </c>
      <c r="AV1252" s="101">
        <f t="shared" si="595"/>
        <v>77814</v>
      </c>
      <c r="AW1252" s="99">
        <f t="shared" si="596"/>
        <v>0</v>
      </c>
      <c r="AX1252" s="1">
        <f t="shared" si="597"/>
        <v>0</v>
      </c>
      <c r="AY1252" s="29">
        <f t="shared" si="598"/>
        <v>0</v>
      </c>
      <c r="AZ1252" s="1">
        <f t="shared" si="610"/>
        <v>0</v>
      </c>
      <c r="CB1252" s="20">
        <f t="shared" si="589"/>
        <v>0</v>
      </c>
      <c r="CC1252" s="173">
        <f t="shared" si="611"/>
        <v>0</v>
      </c>
    </row>
    <row r="1253" spans="10:81" x14ac:dyDescent="0.25">
      <c r="J1253" s="7"/>
      <c r="K1253" s="8"/>
      <c r="L1253" s="16"/>
      <c r="M1253" s="22"/>
      <c r="N1253" s="22"/>
      <c r="O1253" s="22"/>
      <c r="P1253" s="22"/>
      <c r="Q1253" s="1">
        <f t="shared" si="612"/>
        <v>0.60744618579017706</v>
      </c>
      <c r="R1253" s="12">
        <f t="shared" ca="1" si="599"/>
        <v>36692</v>
      </c>
      <c r="S1253" s="88">
        <f t="shared" si="608"/>
        <v>0</v>
      </c>
      <c r="T1253" s="19">
        <f t="shared" si="600"/>
        <v>0</v>
      </c>
      <c r="U1253" s="19">
        <f t="shared" si="601"/>
        <v>0</v>
      </c>
      <c r="V1253" s="19">
        <f t="shared" si="617"/>
        <v>0</v>
      </c>
      <c r="W1253" s="20">
        <f t="shared" ca="1" si="602"/>
        <v>0</v>
      </c>
      <c r="X1253" s="19">
        <f t="shared" ca="1" si="603"/>
        <v>0</v>
      </c>
      <c r="Y1253" s="19">
        <f t="shared" ca="1" si="604"/>
        <v>0</v>
      </c>
      <c r="Z1253" s="20">
        <f t="shared" ca="1" si="605"/>
        <v>0</v>
      </c>
      <c r="AA1253" s="1">
        <f t="shared" si="613"/>
        <v>5432.58</v>
      </c>
      <c r="AB1253" s="91"/>
      <c r="AC1253" s="92"/>
      <c r="AD1253" s="101">
        <f t="shared" si="614"/>
        <v>77814</v>
      </c>
      <c r="AE1253" s="103">
        <f t="shared" si="615"/>
        <v>0</v>
      </c>
      <c r="AG1253" s="1">
        <f t="shared" si="606"/>
        <v>0</v>
      </c>
      <c r="AH1253" s="1">
        <f t="shared" si="607"/>
        <v>0</v>
      </c>
      <c r="AI1253" s="1">
        <f t="shared" si="616"/>
        <v>5432.58</v>
      </c>
      <c r="AJ1253" s="20">
        <f t="shared" si="588"/>
        <v>0</v>
      </c>
      <c r="AK1253" s="100">
        <f t="shared" si="590"/>
        <v>0</v>
      </c>
      <c r="AL1253" s="100">
        <f t="shared" si="591"/>
        <v>0</v>
      </c>
      <c r="AN1253" s="100">
        <f t="shared" si="592"/>
        <v>2924.0680599569805</v>
      </c>
      <c r="AO1253" s="20">
        <f t="shared" si="593"/>
        <v>0</v>
      </c>
      <c r="AQ1253" s="109">
        <f t="shared" si="594"/>
        <v>0</v>
      </c>
      <c r="AU1253" s="109">
        <f t="shared" si="609"/>
        <v>24.304577953322024</v>
      </c>
      <c r="AV1253" s="101">
        <f t="shared" si="595"/>
        <v>77844</v>
      </c>
      <c r="AW1253" s="99">
        <f t="shared" si="596"/>
        <v>0</v>
      </c>
      <c r="AX1253" s="1">
        <f t="shared" si="597"/>
        <v>0</v>
      </c>
      <c r="AY1253" s="29">
        <f t="shared" si="598"/>
        <v>0</v>
      </c>
      <c r="AZ1253" s="1">
        <f t="shared" si="610"/>
        <v>0</v>
      </c>
      <c r="CB1253" s="20">
        <f t="shared" si="589"/>
        <v>0</v>
      </c>
      <c r="CC1253" s="173">
        <f t="shared" si="611"/>
        <v>0</v>
      </c>
    </row>
    <row r="1254" spans="10:81" x14ac:dyDescent="0.25">
      <c r="J1254" s="9"/>
      <c r="K1254" s="10"/>
      <c r="L1254" s="17"/>
      <c r="M1254" s="23"/>
      <c r="N1254" s="23"/>
      <c r="O1254" s="23"/>
      <c r="P1254" s="23"/>
      <c r="Q1254" s="1">
        <f t="shared" si="612"/>
        <v>0.60744618579017706</v>
      </c>
      <c r="R1254" s="12">
        <f t="shared" ca="1" si="599"/>
        <v>36722</v>
      </c>
      <c r="S1254" s="88">
        <f t="shared" si="608"/>
        <v>0</v>
      </c>
      <c r="T1254" s="19">
        <f t="shared" si="600"/>
        <v>0</v>
      </c>
      <c r="U1254" s="19">
        <f t="shared" si="601"/>
        <v>0</v>
      </c>
      <c r="V1254" s="19">
        <f t="shared" si="617"/>
        <v>0</v>
      </c>
      <c r="W1254" s="20">
        <f t="shared" ca="1" si="602"/>
        <v>0</v>
      </c>
      <c r="X1254" s="19">
        <f t="shared" ca="1" si="603"/>
        <v>0</v>
      </c>
      <c r="Y1254" s="19">
        <f t="shared" ca="1" si="604"/>
        <v>0</v>
      </c>
      <c r="Z1254" s="20">
        <f t="shared" ca="1" si="605"/>
        <v>0</v>
      </c>
      <c r="AA1254" s="1">
        <f t="shared" si="613"/>
        <v>5432.58</v>
      </c>
      <c r="AB1254" s="93"/>
      <c r="AC1254" s="94"/>
      <c r="AD1254" s="101">
        <f t="shared" si="614"/>
        <v>77844</v>
      </c>
      <c r="AE1254" s="103">
        <f t="shared" si="615"/>
        <v>0</v>
      </c>
      <c r="AG1254" s="1">
        <f t="shared" si="606"/>
        <v>0</v>
      </c>
      <c r="AH1254" s="1">
        <f t="shared" si="607"/>
        <v>0</v>
      </c>
      <c r="AI1254" s="1">
        <f t="shared" si="616"/>
        <v>5432.58</v>
      </c>
      <c r="AJ1254" s="20">
        <f t="shared" si="588"/>
        <v>0</v>
      </c>
      <c r="AK1254" s="100">
        <f t="shared" si="590"/>
        <v>0</v>
      </c>
      <c r="AL1254" s="100">
        <f t="shared" si="591"/>
        <v>0</v>
      </c>
      <c r="AN1254" s="100">
        <f t="shared" si="592"/>
        <v>2922.5886305267736</v>
      </c>
      <c r="AO1254" s="20">
        <f t="shared" si="593"/>
        <v>0</v>
      </c>
      <c r="AQ1254" s="109">
        <f t="shared" si="594"/>
        <v>0</v>
      </c>
      <c r="AU1254" s="109">
        <f t="shared" si="609"/>
        <v>24.302444738728301</v>
      </c>
      <c r="AV1254" s="101">
        <f t="shared" si="595"/>
        <v>77874</v>
      </c>
      <c r="AW1254" s="99">
        <f t="shared" si="596"/>
        <v>0</v>
      </c>
      <c r="AX1254" s="1">
        <f t="shared" si="597"/>
        <v>0</v>
      </c>
      <c r="AY1254" s="29">
        <f t="shared" si="598"/>
        <v>0</v>
      </c>
      <c r="AZ1254" s="1">
        <f t="shared" si="610"/>
        <v>0</v>
      </c>
      <c r="CB1254" s="20">
        <f t="shared" si="589"/>
        <v>0</v>
      </c>
      <c r="CC1254" s="173">
        <f t="shared" si="611"/>
        <v>0</v>
      </c>
    </row>
    <row r="1255" spans="10:81" x14ac:dyDescent="0.25">
      <c r="J1255" s="7"/>
      <c r="K1255" s="8"/>
      <c r="L1255" s="16"/>
      <c r="M1255" s="22"/>
      <c r="N1255" s="22"/>
      <c r="O1255" s="22"/>
      <c r="P1255" s="22"/>
      <c r="Q1255" s="1">
        <f t="shared" si="612"/>
        <v>0.60744618579017706</v>
      </c>
      <c r="R1255" s="12">
        <f t="shared" ca="1" si="599"/>
        <v>36752</v>
      </c>
      <c r="S1255" s="88">
        <f t="shared" si="608"/>
        <v>0</v>
      </c>
      <c r="T1255" s="19">
        <f t="shared" si="600"/>
        <v>0</v>
      </c>
      <c r="U1255" s="19">
        <f t="shared" si="601"/>
        <v>0</v>
      </c>
      <c r="V1255" s="19">
        <f t="shared" si="617"/>
        <v>0</v>
      </c>
      <c r="W1255" s="20">
        <f t="shared" ca="1" si="602"/>
        <v>0</v>
      </c>
      <c r="X1255" s="19">
        <f t="shared" ca="1" si="603"/>
        <v>0</v>
      </c>
      <c r="Y1255" s="19">
        <f t="shared" ca="1" si="604"/>
        <v>0</v>
      </c>
      <c r="Z1255" s="20">
        <f t="shared" ca="1" si="605"/>
        <v>0</v>
      </c>
      <c r="AA1255" s="1">
        <f t="shared" si="613"/>
        <v>5432.58</v>
      </c>
      <c r="AB1255" s="91"/>
      <c r="AC1255" s="92"/>
      <c r="AD1255" s="101">
        <f t="shared" si="614"/>
        <v>77874</v>
      </c>
      <c r="AE1255" s="103">
        <f t="shared" si="615"/>
        <v>0</v>
      </c>
      <c r="AG1255" s="1">
        <f t="shared" si="606"/>
        <v>0</v>
      </c>
      <c r="AH1255" s="1">
        <f t="shared" si="607"/>
        <v>0</v>
      </c>
      <c r="AI1255" s="1">
        <f t="shared" si="616"/>
        <v>5432.58</v>
      </c>
      <c r="AJ1255" s="20">
        <f t="shared" si="588"/>
        <v>0</v>
      </c>
      <c r="AK1255" s="100">
        <f t="shared" si="590"/>
        <v>0</v>
      </c>
      <c r="AL1255" s="100">
        <f t="shared" si="591"/>
        <v>0</v>
      </c>
      <c r="AN1255" s="100">
        <f t="shared" si="592"/>
        <v>2921.1099496124689</v>
      </c>
      <c r="AO1255" s="20">
        <f t="shared" si="593"/>
        <v>0</v>
      </c>
      <c r="AQ1255" s="109">
        <f t="shared" si="594"/>
        <v>0</v>
      </c>
      <c r="AU1255" s="109">
        <f t="shared" si="609"/>
        <v>24.300311711366966</v>
      </c>
      <c r="AV1255" s="101">
        <f t="shared" si="595"/>
        <v>77904</v>
      </c>
      <c r="AW1255" s="99">
        <f t="shared" si="596"/>
        <v>0</v>
      </c>
      <c r="AX1255" s="1">
        <f t="shared" si="597"/>
        <v>0</v>
      </c>
      <c r="AY1255" s="29">
        <f t="shared" si="598"/>
        <v>0</v>
      </c>
      <c r="AZ1255" s="1">
        <f t="shared" si="610"/>
        <v>0</v>
      </c>
      <c r="CB1255" s="20">
        <f t="shared" si="589"/>
        <v>0</v>
      </c>
      <c r="CC1255" s="173">
        <f t="shared" si="611"/>
        <v>0</v>
      </c>
    </row>
    <row r="1256" spans="10:81" x14ac:dyDescent="0.25">
      <c r="J1256" s="9"/>
      <c r="K1256" s="10"/>
      <c r="L1256" s="17"/>
      <c r="M1256" s="23"/>
      <c r="N1256" s="23"/>
      <c r="O1256" s="23"/>
      <c r="P1256" s="23"/>
      <c r="Q1256" s="1">
        <f t="shared" si="612"/>
        <v>0.60744618579017706</v>
      </c>
      <c r="R1256" s="12">
        <f t="shared" ca="1" si="599"/>
        <v>36782</v>
      </c>
      <c r="S1256" s="88">
        <f t="shared" si="608"/>
        <v>0</v>
      </c>
      <c r="T1256" s="19">
        <f t="shared" si="600"/>
        <v>0</v>
      </c>
      <c r="U1256" s="19">
        <f t="shared" si="601"/>
        <v>0</v>
      </c>
      <c r="V1256" s="19">
        <f t="shared" si="617"/>
        <v>0</v>
      </c>
      <c r="W1256" s="20">
        <f t="shared" ca="1" si="602"/>
        <v>0</v>
      </c>
      <c r="X1256" s="19">
        <f t="shared" ca="1" si="603"/>
        <v>0</v>
      </c>
      <c r="Y1256" s="19">
        <f t="shared" ca="1" si="604"/>
        <v>0</v>
      </c>
      <c r="Z1256" s="20">
        <f t="shared" ca="1" si="605"/>
        <v>0</v>
      </c>
      <c r="AA1256" s="1">
        <f t="shared" si="613"/>
        <v>5432.58</v>
      </c>
      <c r="AB1256" s="93"/>
      <c r="AC1256" s="94"/>
      <c r="AD1256" s="101">
        <f t="shared" si="614"/>
        <v>77904</v>
      </c>
      <c r="AE1256" s="103">
        <f t="shared" si="615"/>
        <v>0</v>
      </c>
      <c r="AG1256" s="1">
        <f t="shared" si="606"/>
        <v>0</v>
      </c>
      <c r="AH1256" s="1">
        <f t="shared" si="607"/>
        <v>0</v>
      </c>
      <c r="AI1256" s="1">
        <f t="shared" si="616"/>
        <v>5432.58</v>
      </c>
      <c r="AJ1256" s="20">
        <f t="shared" ref="AJ1256:AJ1319" si="618">IF(ISERROR(IF(V1255+U1256+T1256+(V1255*Q1256/1200)-AA1256-P1256&lt;0,V1255,-(U1256+T1256-AA1256+P1256-AH1256))),0,IF(V1255+U1256+T1256+(V1255*Q1256/1200)-AA1256-P1256&lt;0,0,-(U1256+T1256-AA1256-AH1256)))</f>
        <v>0</v>
      </c>
      <c r="AK1256" s="100">
        <f t="shared" si="590"/>
        <v>0</v>
      </c>
      <c r="AL1256" s="100">
        <f t="shared" si="591"/>
        <v>0</v>
      </c>
      <c r="AN1256" s="100">
        <f t="shared" si="592"/>
        <v>2919.6320168353541</v>
      </c>
      <c r="AO1256" s="20">
        <f t="shared" si="593"/>
        <v>0</v>
      </c>
      <c r="AQ1256" s="109">
        <f t="shared" si="594"/>
        <v>0</v>
      </c>
      <c r="AU1256" s="109">
        <f t="shared" si="609"/>
        <v>24.298178871221616</v>
      </c>
      <c r="AV1256" s="101">
        <f t="shared" si="595"/>
        <v>77934</v>
      </c>
      <c r="AW1256" s="99">
        <f t="shared" si="596"/>
        <v>0</v>
      </c>
      <c r="AX1256" s="1">
        <f t="shared" si="597"/>
        <v>0</v>
      </c>
      <c r="AY1256" s="29">
        <f t="shared" si="598"/>
        <v>0</v>
      </c>
      <c r="AZ1256" s="1">
        <f t="shared" si="610"/>
        <v>0</v>
      </c>
      <c r="CB1256" s="20">
        <f t="shared" si="589"/>
        <v>0</v>
      </c>
      <c r="CC1256" s="173">
        <f t="shared" si="611"/>
        <v>0</v>
      </c>
    </row>
    <row r="1257" spans="10:81" x14ac:dyDescent="0.25">
      <c r="J1257" s="7"/>
      <c r="K1257" s="8"/>
      <c r="L1257" s="16"/>
      <c r="M1257" s="22"/>
      <c r="N1257" s="22"/>
      <c r="O1257" s="22"/>
      <c r="P1257" s="22"/>
      <c r="Q1257" s="1">
        <f t="shared" si="612"/>
        <v>0.60744618579017706</v>
      </c>
      <c r="R1257" s="12">
        <f t="shared" ca="1" si="599"/>
        <v>36812</v>
      </c>
      <c r="S1257" s="88">
        <f t="shared" si="608"/>
        <v>0</v>
      </c>
      <c r="T1257" s="19">
        <f t="shared" si="600"/>
        <v>0</v>
      </c>
      <c r="U1257" s="19">
        <f t="shared" si="601"/>
        <v>0</v>
      </c>
      <c r="V1257" s="19">
        <f t="shared" si="617"/>
        <v>0</v>
      </c>
      <c r="W1257" s="20">
        <f t="shared" ca="1" si="602"/>
        <v>0</v>
      </c>
      <c r="X1257" s="19">
        <f t="shared" ca="1" si="603"/>
        <v>0</v>
      </c>
      <c r="Y1257" s="19">
        <f t="shared" ca="1" si="604"/>
        <v>0</v>
      </c>
      <c r="Z1257" s="20">
        <f t="shared" ca="1" si="605"/>
        <v>0</v>
      </c>
      <c r="AA1257" s="1">
        <f t="shared" si="613"/>
        <v>5432.58</v>
      </c>
      <c r="AB1257" s="91"/>
      <c r="AC1257" s="92"/>
      <c r="AD1257" s="101">
        <f t="shared" si="614"/>
        <v>77934</v>
      </c>
      <c r="AE1257" s="103">
        <f t="shared" si="615"/>
        <v>0</v>
      </c>
      <c r="AG1257" s="1">
        <f t="shared" si="606"/>
        <v>0</v>
      </c>
      <c r="AH1257" s="1">
        <f t="shared" si="607"/>
        <v>0</v>
      </c>
      <c r="AI1257" s="1">
        <f t="shared" si="616"/>
        <v>5432.58</v>
      </c>
      <c r="AJ1257" s="20">
        <f t="shared" si="618"/>
        <v>0</v>
      </c>
      <c r="AK1257" s="100">
        <f t="shared" si="590"/>
        <v>0</v>
      </c>
      <c r="AL1257" s="100">
        <f t="shared" si="591"/>
        <v>0</v>
      </c>
      <c r="AN1257" s="100">
        <f t="shared" si="592"/>
        <v>2918.1548318169093</v>
      </c>
      <c r="AO1257" s="20">
        <f t="shared" si="593"/>
        <v>0</v>
      </c>
      <c r="AQ1257" s="109">
        <f t="shared" si="594"/>
        <v>0</v>
      </c>
      <c r="AU1257" s="109">
        <f t="shared" si="609"/>
        <v>24.296046218275787</v>
      </c>
      <c r="AV1257" s="101">
        <f t="shared" si="595"/>
        <v>77964</v>
      </c>
      <c r="AW1257" s="99">
        <f t="shared" si="596"/>
        <v>0</v>
      </c>
      <c r="AX1257" s="1">
        <f t="shared" si="597"/>
        <v>0</v>
      </c>
      <c r="AY1257" s="29">
        <f t="shared" si="598"/>
        <v>0</v>
      </c>
      <c r="AZ1257" s="1">
        <f t="shared" si="610"/>
        <v>0</v>
      </c>
      <c r="CB1257" s="20">
        <f t="shared" si="589"/>
        <v>0</v>
      </c>
      <c r="CC1257" s="173">
        <f t="shared" si="611"/>
        <v>0</v>
      </c>
    </row>
    <row r="1258" spans="10:81" x14ac:dyDescent="0.25">
      <c r="J1258" s="9"/>
      <c r="K1258" s="10"/>
      <c r="L1258" s="17"/>
      <c r="M1258" s="23"/>
      <c r="N1258" s="23"/>
      <c r="O1258" s="23"/>
      <c r="P1258" s="23"/>
      <c r="Q1258" s="1">
        <f t="shared" si="612"/>
        <v>0.60744618579017706</v>
      </c>
      <c r="R1258" s="12">
        <f t="shared" ca="1" si="599"/>
        <v>36842</v>
      </c>
      <c r="S1258" s="88">
        <f t="shared" si="608"/>
        <v>0</v>
      </c>
      <c r="T1258" s="19">
        <f t="shared" si="600"/>
        <v>0</v>
      </c>
      <c r="U1258" s="19">
        <f t="shared" si="601"/>
        <v>0</v>
      </c>
      <c r="V1258" s="19">
        <f t="shared" si="617"/>
        <v>0</v>
      </c>
      <c r="W1258" s="20">
        <f t="shared" ca="1" si="602"/>
        <v>0</v>
      </c>
      <c r="X1258" s="19">
        <f t="shared" ca="1" si="603"/>
        <v>0</v>
      </c>
      <c r="Y1258" s="19">
        <f t="shared" ca="1" si="604"/>
        <v>0</v>
      </c>
      <c r="Z1258" s="20">
        <f t="shared" ca="1" si="605"/>
        <v>0</v>
      </c>
      <c r="AA1258" s="1">
        <f t="shared" si="613"/>
        <v>5432.58</v>
      </c>
      <c r="AB1258" s="93"/>
      <c r="AC1258" s="94"/>
      <c r="AD1258" s="101">
        <f t="shared" si="614"/>
        <v>77964</v>
      </c>
      <c r="AE1258" s="103">
        <f t="shared" si="615"/>
        <v>0</v>
      </c>
      <c r="AG1258" s="1">
        <f t="shared" si="606"/>
        <v>0</v>
      </c>
      <c r="AH1258" s="1">
        <f t="shared" si="607"/>
        <v>0</v>
      </c>
      <c r="AI1258" s="1">
        <f t="shared" si="616"/>
        <v>5432.58</v>
      </c>
      <c r="AJ1258" s="20">
        <f t="shared" si="618"/>
        <v>0</v>
      </c>
      <c r="AK1258" s="100">
        <f t="shared" si="590"/>
        <v>0</v>
      </c>
      <c r="AL1258" s="100">
        <f t="shared" si="591"/>
        <v>0</v>
      </c>
      <c r="AN1258" s="100">
        <f t="shared" si="592"/>
        <v>2916.678394178809</v>
      </c>
      <c r="AO1258" s="20">
        <f t="shared" si="593"/>
        <v>0</v>
      </c>
      <c r="AQ1258" s="109">
        <f t="shared" si="594"/>
        <v>0</v>
      </c>
      <c r="AU1258" s="109">
        <f t="shared" si="609"/>
        <v>24.293913752513067</v>
      </c>
      <c r="AV1258" s="101">
        <f t="shared" si="595"/>
        <v>77994</v>
      </c>
      <c r="AW1258" s="99">
        <f t="shared" si="596"/>
        <v>0</v>
      </c>
      <c r="AX1258" s="1">
        <f t="shared" si="597"/>
        <v>0</v>
      </c>
      <c r="AY1258" s="29">
        <f t="shared" si="598"/>
        <v>0</v>
      </c>
      <c r="AZ1258" s="1">
        <f t="shared" si="610"/>
        <v>0</v>
      </c>
      <c r="CB1258" s="20">
        <f t="shared" si="589"/>
        <v>0</v>
      </c>
      <c r="CC1258" s="173">
        <f t="shared" si="611"/>
        <v>0</v>
      </c>
    </row>
    <row r="1259" spans="10:81" x14ac:dyDescent="0.25">
      <c r="J1259" s="7"/>
      <c r="K1259" s="8"/>
      <c r="L1259" s="16"/>
      <c r="M1259" s="22"/>
      <c r="N1259" s="22"/>
      <c r="O1259" s="22"/>
      <c r="P1259" s="22"/>
      <c r="Q1259" s="1">
        <f t="shared" si="612"/>
        <v>0.60744618579017706</v>
      </c>
      <c r="R1259" s="12">
        <f t="shared" ca="1" si="599"/>
        <v>36872</v>
      </c>
      <c r="S1259" s="88">
        <f t="shared" si="608"/>
        <v>0</v>
      </c>
      <c r="T1259" s="19">
        <f t="shared" si="600"/>
        <v>0</v>
      </c>
      <c r="U1259" s="19">
        <f t="shared" si="601"/>
        <v>0</v>
      </c>
      <c r="V1259" s="19">
        <f t="shared" si="617"/>
        <v>0</v>
      </c>
      <c r="W1259" s="20">
        <f t="shared" ca="1" si="602"/>
        <v>0</v>
      </c>
      <c r="X1259" s="19">
        <f t="shared" ca="1" si="603"/>
        <v>0</v>
      </c>
      <c r="Y1259" s="19">
        <f t="shared" ca="1" si="604"/>
        <v>0</v>
      </c>
      <c r="Z1259" s="20">
        <f t="shared" ca="1" si="605"/>
        <v>0</v>
      </c>
      <c r="AA1259" s="1">
        <f t="shared" si="613"/>
        <v>5432.58</v>
      </c>
      <c r="AB1259" s="91"/>
      <c r="AC1259" s="92"/>
      <c r="AD1259" s="101">
        <f t="shared" si="614"/>
        <v>77994</v>
      </c>
      <c r="AE1259" s="103">
        <f t="shared" si="615"/>
        <v>0</v>
      </c>
      <c r="AG1259" s="1">
        <f t="shared" si="606"/>
        <v>0</v>
      </c>
      <c r="AH1259" s="1">
        <f t="shared" si="607"/>
        <v>0</v>
      </c>
      <c r="AI1259" s="1">
        <f t="shared" si="616"/>
        <v>5432.58</v>
      </c>
      <c r="AJ1259" s="20">
        <f t="shared" si="618"/>
        <v>0</v>
      </c>
      <c r="AK1259" s="100">
        <f t="shared" si="590"/>
        <v>0</v>
      </c>
      <c r="AL1259" s="100">
        <f t="shared" si="591"/>
        <v>0</v>
      </c>
      <c r="AN1259" s="100">
        <f t="shared" si="592"/>
        <v>2915.2027035429151</v>
      </c>
      <c r="AO1259" s="20">
        <f t="shared" si="593"/>
        <v>0</v>
      </c>
      <c r="AQ1259" s="109">
        <f t="shared" si="594"/>
        <v>0</v>
      </c>
      <c r="AU1259" s="109">
        <f t="shared" si="609"/>
        <v>24.291781473917027</v>
      </c>
      <c r="AV1259" s="101">
        <f t="shared" si="595"/>
        <v>78024</v>
      </c>
      <c r="AW1259" s="99">
        <f t="shared" si="596"/>
        <v>0</v>
      </c>
      <c r="AX1259" s="1">
        <f t="shared" si="597"/>
        <v>0</v>
      </c>
      <c r="AY1259" s="29">
        <f t="shared" si="598"/>
        <v>0</v>
      </c>
      <c r="AZ1259" s="1">
        <f t="shared" si="610"/>
        <v>0</v>
      </c>
      <c r="CB1259" s="20">
        <f t="shared" si="589"/>
        <v>0</v>
      </c>
      <c r="CC1259" s="173">
        <f t="shared" si="611"/>
        <v>0</v>
      </c>
    </row>
    <row r="1260" spans="10:81" x14ac:dyDescent="0.25">
      <c r="J1260" s="9"/>
      <c r="K1260" s="10"/>
      <c r="L1260" s="17"/>
      <c r="M1260" s="23"/>
      <c r="N1260" s="23"/>
      <c r="O1260" s="23"/>
      <c r="P1260" s="23"/>
      <c r="Q1260" s="1">
        <f t="shared" si="612"/>
        <v>0.60744618579017706</v>
      </c>
      <c r="R1260" s="12">
        <f t="shared" ca="1" si="599"/>
        <v>36902</v>
      </c>
      <c r="S1260" s="88">
        <f t="shared" si="608"/>
        <v>0</v>
      </c>
      <c r="T1260" s="19">
        <f t="shared" si="600"/>
        <v>0</v>
      </c>
      <c r="U1260" s="19">
        <f t="shared" si="601"/>
        <v>0</v>
      </c>
      <c r="V1260" s="19">
        <f t="shared" si="617"/>
        <v>0</v>
      </c>
      <c r="W1260" s="20">
        <f t="shared" ca="1" si="602"/>
        <v>0</v>
      </c>
      <c r="X1260" s="19">
        <f t="shared" ca="1" si="603"/>
        <v>0</v>
      </c>
      <c r="Y1260" s="19">
        <f t="shared" ca="1" si="604"/>
        <v>0</v>
      </c>
      <c r="Z1260" s="20">
        <f t="shared" ca="1" si="605"/>
        <v>0</v>
      </c>
      <c r="AA1260" s="1">
        <f t="shared" si="613"/>
        <v>5432.58</v>
      </c>
      <c r="AB1260" s="93"/>
      <c r="AC1260" s="94"/>
      <c r="AD1260" s="101">
        <f t="shared" si="614"/>
        <v>78024</v>
      </c>
      <c r="AE1260" s="103">
        <f t="shared" si="615"/>
        <v>0</v>
      </c>
      <c r="AG1260" s="1">
        <f t="shared" si="606"/>
        <v>0</v>
      </c>
      <c r="AH1260" s="1">
        <f t="shared" si="607"/>
        <v>0</v>
      </c>
      <c r="AI1260" s="1">
        <f t="shared" si="616"/>
        <v>5432.58</v>
      </c>
      <c r="AJ1260" s="20">
        <f t="shared" si="618"/>
        <v>0</v>
      </c>
      <c r="AK1260" s="100">
        <f t="shared" si="590"/>
        <v>0</v>
      </c>
      <c r="AL1260" s="100">
        <f t="shared" si="591"/>
        <v>0</v>
      </c>
      <c r="AN1260" s="100">
        <f t="shared" si="592"/>
        <v>2913.727759531283</v>
      </c>
      <c r="AO1260" s="20">
        <f t="shared" si="593"/>
        <v>0</v>
      </c>
      <c r="AQ1260" s="109">
        <f t="shared" si="594"/>
        <v>0</v>
      </c>
      <c r="AU1260" s="109">
        <f t="shared" si="609"/>
        <v>24.289649382471239</v>
      </c>
      <c r="AV1260" s="101">
        <f t="shared" si="595"/>
        <v>78054</v>
      </c>
      <c r="AW1260" s="99">
        <f t="shared" si="596"/>
        <v>0</v>
      </c>
      <c r="AX1260" s="1">
        <f t="shared" si="597"/>
        <v>0</v>
      </c>
      <c r="AY1260" s="29">
        <f t="shared" si="598"/>
        <v>0</v>
      </c>
      <c r="AZ1260" s="1">
        <f t="shared" si="610"/>
        <v>0</v>
      </c>
      <c r="CB1260" s="20">
        <f t="shared" si="589"/>
        <v>0</v>
      </c>
      <c r="CC1260" s="173">
        <f t="shared" si="611"/>
        <v>0</v>
      </c>
    </row>
    <row r="1261" spans="10:81" x14ac:dyDescent="0.25">
      <c r="J1261" s="7"/>
      <c r="K1261" s="8"/>
      <c r="L1261" s="16"/>
      <c r="M1261" s="22"/>
      <c r="N1261" s="22"/>
      <c r="O1261" s="22"/>
      <c r="P1261" s="22"/>
      <c r="Q1261" s="1">
        <f t="shared" si="612"/>
        <v>0.60744618579017706</v>
      </c>
      <c r="R1261" s="12">
        <f t="shared" ca="1" si="599"/>
        <v>36932</v>
      </c>
      <c r="S1261" s="88">
        <f t="shared" si="608"/>
        <v>0</v>
      </c>
      <c r="T1261" s="19">
        <f t="shared" si="600"/>
        <v>0</v>
      </c>
      <c r="U1261" s="19">
        <f t="shared" si="601"/>
        <v>0</v>
      </c>
      <c r="V1261" s="19">
        <f t="shared" si="617"/>
        <v>0</v>
      </c>
      <c r="W1261" s="20">
        <f t="shared" ca="1" si="602"/>
        <v>0</v>
      </c>
      <c r="X1261" s="19">
        <f t="shared" ca="1" si="603"/>
        <v>0</v>
      </c>
      <c r="Y1261" s="19">
        <f t="shared" ca="1" si="604"/>
        <v>0</v>
      </c>
      <c r="Z1261" s="20">
        <f t="shared" ca="1" si="605"/>
        <v>0</v>
      </c>
      <c r="AA1261" s="1">
        <f t="shared" si="613"/>
        <v>5432.58</v>
      </c>
      <c r="AB1261" s="91"/>
      <c r="AC1261" s="92"/>
      <c r="AD1261" s="101">
        <f t="shared" si="614"/>
        <v>78054</v>
      </c>
      <c r="AE1261" s="103">
        <f t="shared" si="615"/>
        <v>0</v>
      </c>
      <c r="AG1261" s="1">
        <f t="shared" si="606"/>
        <v>0</v>
      </c>
      <c r="AH1261" s="1">
        <f t="shared" si="607"/>
        <v>0</v>
      </c>
      <c r="AI1261" s="1">
        <f t="shared" si="616"/>
        <v>5432.58</v>
      </c>
      <c r="AJ1261" s="20">
        <f t="shared" si="618"/>
        <v>0</v>
      </c>
      <c r="AK1261" s="100">
        <f t="shared" si="590"/>
        <v>0</v>
      </c>
      <c r="AL1261" s="100">
        <f t="shared" si="591"/>
        <v>0</v>
      </c>
      <c r="AN1261" s="100">
        <f t="shared" si="592"/>
        <v>2912.2535617661588</v>
      </c>
      <c r="AO1261" s="20">
        <f t="shared" si="593"/>
        <v>0</v>
      </c>
      <c r="AQ1261" s="109">
        <f t="shared" si="594"/>
        <v>0</v>
      </c>
      <c r="AU1261" s="109">
        <f t="shared" si="609"/>
        <v>24.287517478159266</v>
      </c>
      <c r="AV1261" s="101">
        <f t="shared" si="595"/>
        <v>78084</v>
      </c>
      <c r="AW1261" s="99">
        <f t="shared" si="596"/>
        <v>0</v>
      </c>
      <c r="AX1261" s="1">
        <f t="shared" si="597"/>
        <v>0</v>
      </c>
      <c r="AY1261" s="29">
        <f t="shared" si="598"/>
        <v>0</v>
      </c>
      <c r="AZ1261" s="1">
        <f t="shared" si="610"/>
        <v>0</v>
      </c>
      <c r="CB1261" s="20">
        <f t="shared" si="589"/>
        <v>0</v>
      </c>
      <c r="CC1261" s="173">
        <f t="shared" si="611"/>
        <v>0</v>
      </c>
    </row>
    <row r="1262" spans="10:81" x14ac:dyDescent="0.25">
      <c r="J1262" s="9"/>
      <c r="K1262" s="10"/>
      <c r="L1262" s="17"/>
      <c r="M1262" s="23"/>
      <c r="N1262" s="23"/>
      <c r="O1262" s="23"/>
      <c r="P1262" s="23"/>
      <c r="Q1262" s="1">
        <f t="shared" si="612"/>
        <v>0.60744618579017706</v>
      </c>
      <c r="R1262" s="12">
        <f t="shared" ca="1" si="599"/>
        <v>36962</v>
      </c>
      <c r="S1262" s="88">
        <f t="shared" si="608"/>
        <v>0</v>
      </c>
      <c r="T1262" s="19">
        <f t="shared" si="600"/>
        <v>0</v>
      </c>
      <c r="U1262" s="19">
        <f t="shared" si="601"/>
        <v>0</v>
      </c>
      <c r="V1262" s="19">
        <f t="shared" si="617"/>
        <v>0</v>
      </c>
      <c r="W1262" s="20">
        <f t="shared" ca="1" si="602"/>
        <v>0</v>
      </c>
      <c r="X1262" s="19">
        <f t="shared" ca="1" si="603"/>
        <v>0</v>
      </c>
      <c r="Y1262" s="19">
        <f t="shared" ca="1" si="604"/>
        <v>0</v>
      </c>
      <c r="Z1262" s="20">
        <f t="shared" ca="1" si="605"/>
        <v>0</v>
      </c>
      <c r="AA1262" s="1">
        <f t="shared" si="613"/>
        <v>5432.58</v>
      </c>
      <c r="AB1262" s="93"/>
      <c r="AC1262" s="94"/>
      <c r="AD1262" s="101">
        <f t="shared" si="614"/>
        <v>78084</v>
      </c>
      <c r="AE1262" s="103">
        <f t="shared" si="615"/>
        <v>0</v>
      </c>
      <c r="AG1262" s="1">
        <f t="shared" si="606"/>
        <v>0</v>
      </c>
      <c r="AH1262" s="1">
        <f t="shared" si="607"/>
        <v>0</v>
      </c>
      <c r="AI1262" s="1">
        <f t="shared" si="616"/>
        <v>5432.58</v>
      </c>
      <c r="AJ1262" s="20">
        <f t="shared" si="618"/>
        <v>0</v>
      </c>
      <c r="AK1262" s="100">
        <f t="shared" si="590"/>
        <v>0</v>
      </c>
      <c r="AL1262" s="100">
        <f t="shared" si="591"/>
        <v>0</v>
      </c>
      <c r="AN1262" s="100">
        <f t="shared" si="592"/>
        <v>2910.7801098699792</v>
      </c>
      <c r="AO1262" s="20">
        <f t="shared" si="593"/>
        <v>0</v>
      </c>
      <c r="AQ1262" s="109">
        <f t="shared" si="594"/>
        <v>0</v>
      </c>
      <c r="AU1262" s="109">
        <f t="shared" si="609"/>
        <v>24.285385760964697</v>
      </c>
      <c r="AV1262" s="101">
        <f t="shared" si="595"/>
        <v>78114</v>
      </c>
      <c r="AW1262" s="99">
        <f t="shared" si="596"/>
        <v>0</v>
      </c>
      <c r="AX1262" s="1">
        <f t="shared" si="597"/>
        <v>0</v>
      </c>
      <c r="AY1262" s="29">
        <f t="shared" si="598"/>
        <v>0</v>
      </c>
      <c r="AZ1262" s="1">
        <f t="shared" si="610"/>
        <v>0</v>
      </c>
      <c r="CB1262" s="20">
        <f t="shared" ref="CB1262:CB1325" si="619">IF(O1262=0,IF(P1262&gt;0,V1261,IF(O1261=0,0,P1262)),IF(O1261=0,0,P1262))</f>
        <v>0</v>
      </c>
      <c r="CC1262" s="173">
        <f t="shared" si="611"/>
        <v>0</v>
      </c>
    </row>
    <row r="1263" spans="10:81" x14ac:dyDescent="0.25">
      <c r="J1263" s="7"/>
      <c r="K1263" s="8"/>
      <c r="L1263" s="16"/>
      <c r="M1263" s="22"/>
      <c r="N1263" s="22"/>
      <c r="O1263" s="22"/>
      <c r="P1263" s="22"/>
      <c r="Q1263" s="1">
        <f t="shared" si="612"/>
        <v>0.60744618579017706</v>
      </c>
      <c r="R1263" s="12">
        <f t="shared" ca="1" si="599"/>
        <v>36992</v>
      </c>
      <c r="S1263" s="88">
        <f t="shared" si="608"/>
        <v>0</v>
      </c>
      <c r="T1263" s="19">
        <f t="shared" si="600"/>
        <v>0</v>
      </c>
      <c r="U1263" s="19">
        <f t="shared" si="601"/>
        <v>0</v>
      </c>
      <c r="V1263" s="19">
        <f t="shared" si="617"/>
        <v>0</v>
      </c>
      <c r="W1263" s="20">
        <f t="shared" ca="1" si="602"/>
        <v>0</v>
      </c>
      <c r="X1263" s="19">
        <f t="shared" ca="1" si="603"/>
        <v>0</v>
      </c>
      <c r="Y1263" s="19">
        <f t="shared" ca="1" si="604"/>
        <v>0</v>
      </c>
      <c r="Z1263" s="20">
        <f t="shared" ca="1" si="605"/>
        <v>0</v>
      </c>
      <c r="AA1263" s="1">
        <f t="shared" si="613"/>
        <v>5432.58</v>
      </c>
      <c r="AB1263" s="91"/>
      <c r="AC1263" s="92"/>
      <c r="AD1263" s="101">
        <f t="shared" si="614"/>
        <v>78114</v>
      </c>
      <c r="AE1263" s="103">
        <f t="shared" si="615"/>
        <v>0</v>
      </c>
      <c r="AG1263" s="1">
        <f t="shared" si="606"/>
        <v>0</v>
      </c>
      <c r="AH1263" s="1">
        <f t="shared" si="607"/>
        <v>0</v>
      </c>
      <c r="AI1263" s="1">
        <f t="shared" si="616"/>
        <v>5432.58</v>
      </c>
      <c r="AJ1263" s="20">
        <f t="shared" si="618"/>
        <v>0</v>
      </c>
      <c r="AK1263" s="100">
        <f t="shared" si="590"/>
        <v>0</v>
      </c>
      <c r="AL1263" s="100">
        <f t="shared" si="591"/>
        <v>0</v>
      </c>
      <c r="AN1263" s="100">
        <f t="shared" si="592"/>
        <v>2909.3074034653746</v>
      </c>
      <c r="AO1263" s="20">
        <f t="shared" si="593"/>
        <v>0</v>
      </c>
      <c r="AQ1263" s="109">
        <f t="shared" si="594"/>
        <v>0</v>
      </c>
      <c r="AU1263" s="109">
        <f t="shared" si="609"/>
        <v>24.283254230871105</v>
      </c>
      <c r="AV1263" s="101">
        <f t="shared" si="595"/>
        <v>78144</v>
      </c>
      <c r="AW1263" s="99">
        <f t="shared" si="596"/>
        <v>0</v>
      </c>
      <c r="AX1263" s="1">
        <f t="shared" si="597"/>
        <v>0</v>
      </c>
      <c r="AY1263" s="29">
        <f t="shared" si="598"/>
        <v>0</v>
      </c>
      <c r="AZ1263" s="1">
        <f t="shared" si="610"/>
        <v>0</v>
      </c>
      <c r="CB1263" s="20">
        <f t="shared" si="619"/>
        <v>0</v>
      </c>
      <c r="CC1263" s="173">
        <f t="shared" si="611"/>
        <v>0</v>
      </c>
    </row>
    <row r="1264" spans="10:81" x14ac:dyDescent="0.25">
      <c r="J1264" s="9"/>
      <c r="K1264" s="10"/>
      <c r="L1264" s="17"/>
      <c r="M1264" s="23"/>
      <c r="N1264" s="23"/>
      <c r="O1264" s="23"/>
      <c r="P1264" s="23"/>
      <c r="Q1264" s="1">
        <f t="shared" si="612"/>
        <v>0.60744618579017706</v>
      </c>
      <c r="R1264" s="12">
        <f t="shared" ca="1" si="599"/>
        <v>37022</v>
      </c>
      <c r="S1264" s="88">
        <f t="shared" si="608"/>
        <v>0</v>
      </c>
      <c r="T1264" s="19">
        <f t="shared" si="600"/>
        <v>0</v>
      </c>
      <c r="U1264" s="19">
        <f t="shared" si="601"/>
        <v>0</v>
      </c>
      <c r="V1264" s="19">
        <f t="shared" si="617"/>
        <v>0</v>
      </c>
      <c r="W1264" s="20">
        <f t="shared" ca="1" si="602"/>
        <v>0</v>
      </c>
      <c r="X1264" s="19">
        <f t="shared" ca="1" si="603"/>
        <v>0</v>
      </c>
      <c r="Y1264" s="19">
        <f t="shared" ca="1" si="604"/>
        <v>0</v>
      </c>
      <c r="Z1264" s="20">
        <f t="shared" ca="1" si="605"/>
        <v>0</v>
      </c>
      <c r="AA1264" s="1">
        <f t="shared" si="613"/>
        <v>5432.58</v>
      </c>
      <c r="AB1264" s="93"/>
      <c r="AC1264" s="94"/>
      <c r="AD1264" s="101">
        <f t="shared" si="614"/>
        <v>78144</v>
      </c>
      <c r="AE1264" s="103">
        <f t="shared" si="615"/>
        <v>0</v>
      </c>
      <c r="AG1264" s="1">
        <f t="shared" si="606"/>
        <v>0</v>
      </c>
      <c r="AH1264" s="1">
        <f t="shared" si="607"/>
        <v>0</v>
      </c>
      <c r="AI1264" s="1">
        <f t="shared" si="616"/>
        <v>5432.58</v>
      </c>
      <c r="AJ1264" s="20">
        <f t="shared" si="618"/>
        <v>0</v>
      </c>
      <c r="AK1264" s="100">
        <f t="shared" si="590"/>
        <v>0</v>
      </c>
      <c r="AL1264" s="100">
        <f t="shared" si="591"/>
        <v>0</v>
      </c>
      <c r="AN1264" s="100">
        <f t="shared" si="592"/>
        <v>2907.8354421751624</v>
      </c>
      <c r="AO1264" s="20">
        <f t="shared" si="593"/>
        <v>0</v>
      </c>
      <c r="AQ1264" s="109">
        <f t="shared" si="594"/>
        <v>0</v>
      </c>
      <c r="AU1264" s="109">
        <f t="shared" si="609"/>
        <v>24.281122887862068</v>
      </c>
      <c r="AV1264" s="101">
        <f t="shared" si="595"/>
        <v>78174</v>
      </c>
      <c r="AW1264" s="99">
        <f t="shared" si="596"/>
        <v>0</v>
      </c>
      <c r="AX1264" s="1">
        <f t="shared" si="597"/>
        <v>0</v>
      </c>
      <c r="AY1264" s="29">
        <f t="shared" si="598"/>
        <v>0</v>
      </c>
      <c r="AZ1264" s="1">
        <f t="shared" si="610"/>
        <v>0</v>
      </c>
      <c r="CB1264" s="20">
        <f t="shared" si="619"/>
        <v>0</v>
      </c>
      <c r="CC1264" s="173">
        <f t="shared" si="611"/>
        <v>0</v>
      </c>
    </row>
    <row r="1265" spans="10:81" x14ac:dyDescent="0.25">
      <c r="J1265" s="7"/>
      <c r="K1265" s="8"/>
      <c r="L1265" s="16"/>
      <c r="M1265" s="22"/>
      <c r="N1265" s="22"/>
      <c r="O1265" s="22"/>
      <c r="P1265" s="22"/>
      <c r="Q1265" s="1">
        <f t="shared" si="612"/>
        <v>0.60744618579017706</v>
      </c>
      <c r="R1265" s="12">
        <f t="shared" ca="1" si="599"/>
        <v>37052</v>
      </c>
      <c r="S1265" s="88">
        <f t="shared" si="608"/>
        <v>0</v>
      </c>
      <c r="T1265" s="19">
        <f t="shared" si="600"/>
        <v>0</v>
      </c>
      <c r="U1265" s="19">
        <f t="shared" si="601"/>
        <v>0</v>
      </c>
      <c r="V1265" s="19">
        <f t="shared" si="617"/>
        <v>0</v>
      </c>
      <c r="W1265" s="20">
        <f t="shared" ca="1" si="602"/>
        <v>0</v>
      </c>
      <c r="X1265" s="19">
        <f t="shared" ca="1" si="603"/>
        <v>0</v>
      </c>
      <c r="Y1265" s="19">
        <f t="shared" ca="1" si="604"/>
        <v>0</v>
      </c>
      <c r="Z1265" s="20">
        <f t="shared" ca="1" si="605"/>
        <v>0</v>
      </c>
      <c r="AA1265" s="1">
        <f t="shared" si="613"/>
        <v>5432.58</v>
      </c>
      <c r="AB1265" s="91"/>
      <c r="AC1265" s="92"/>
      <c r="AD1265" s="101">
        <f t="shared" si="614"/>
        <v>78174</v>
      </c>
      <c r="AE1265" s="103">
        <f t="shared" si="615"/>
        <v>0</v>
      </c>
      <c r="AG1265" s="1">
        <f t="shared" si="606"/>
        <v>0</v>
      </c>
      <c r="AH1265" s="1">
        <f t="shared" si="607"/>
        <v>0</v>
      </c>
      <c r="AI1265" s="1">
        <f t="shared" si="616"/>
        <v>5432.58</v>
      </c>
      <c r="AJ1265" s="20">
        <f t="shared" si="618"/>
        <v>0</v>
      </c>
      <c r="AK1265" s="100">
        <f t="shared" si="590"/>
        <v>0</v>
      </c>
      <c r="AL1265" s="100">
        <f t="shared" si="591"/>
        <v>0</v>
      </c>
      <c r="AN1265" s="100">
        <f t="shared" si="592"/>
        <v>2906.3642256223516</v>
      </c>
      <c r="AO1265" s="20">
        <f t="shared" si="593"/>
        <v>0</v>
      </c>
      <c r="AQ1265" s="109">
        <f t="shared" si="594"/>
        <v>0</v>
      </c>
      <c r="AU1265" s="109">
        <f t="shared" si="609"/>
        <v>24.278991731921145</v>
      </c>
      <c r="AV1265" s="101">
        <f t="shared" si="595"/>
        <v>78204</v>
      </c>
      <c r="AW1265" s="99">
        <f t="shared" si="596"/>
        <v>0</v>
      </c>
      <c r="AX1265" s="1">
        <f t="shared" si="597"/>
        <v>0</v>
      </c>
      <c r="AY1265" s="29">
        <f t="shared" si="598"/>
        <v>0</v>
      </c>
      <c r="AZ1265" s="1">
        <f t="shared" si="610"/>
        <v>0</v>
      </c>
      <c r="CB1265" s="20">
        <f t="shared" si="619"/>
        <v>0</v>
      </c>
      <c r="CC1265" s="173">
        <f t="shared" si="611"/>
        <v>0</v>
      </c>
    </row>
    <row r="1266" spans="10:81" x14ac:dyDescent="0.25">
      <c r="J1266" s="9"/>
      <c r="K1266" s="10"/>
      <c r="L1266" s="17"/>
      <c r="M1266" s="23"/>
      <c r="N1266" s="23"/>
      <c r="O1266" s="23"/>
      <c r="P1266" s="23"/>
      <c r="Q1266" s="1">
        <f t="shared" si="612"/>
        <v>0.60744618579017706</v>
      </c>
      <c r="R1266" s="12">
        <f t="shared" ca="1" si="599"/>
        <v>37082</v>
      </c>
      <c r="S1266" s="88">
        <f t="shared" si="608"/>
        <v>0</v>
      </c>
      <c r="T1266" s="19">
        <f t="shared" si="600"/>
        <v>0</v>
      </c>
      <c r="U1266" s="19">
        <f t="shared" si="601"/>
        <v>0</v>
      </c>
      <c r="V1266" s="19">
        <f t="shared" si="617"/>
        <v>0</v>
      </c>
      <c r="W1266" s="20">
        <f t="shared" ca="1" si="602"/>
        <v>0</v>
      </c>
      <c r="X1266" s="19">
        <f t="shared" ca="1" si="603"/>
        <v>0</v>
      </c>
      <c r="Y1266" s="19">
        <f t="shared" ca="1" si="604"/>
        <v>0</v>
      </c>
      <c r="Z1266" s="20">
        <f t="shared" ca="1" si="605"/>
        <v>0</v>
      </c>
      <c r="AA1266" s="1">
        <f t="shared" si="613"/>
        <v>5432.58</v>
      </c>
      <c r="AB1266" s="93"/>
      <c r="AC1266" s="94"/>
      <c r="AD1266" s="101">
        <f t="shared" si="614"/>
        <v>78204</v>
      </c>
      <c r="AE1266" s="103">
        <f t="shared" si="615"/>
        <v>0</v>
      </c>
      <c r="AG1266" s="1">
        <f t="shared" si="606"/>
        <v>0</v>
      </c>
      <c r="AH1266" s="1">
        <f t="shared" si="607"/>
        <v>0</v>
      </c>
      <c r="AI1266" s="1">
        <f t="shared" si="616"/>
        <v>5432.58</v>
      </c>
      <c r="AJ1266" s="20">
        <f t="shared" si="618"/>
        <v>0</v>
      </c>
      <c r="AK1266" s="100">
        <f t="shared" si="590"/>
        <v>0</v>
      </c>
      <c r="AL1266" s="100">
        <f t="shared" si="591"/>
        <v>0</v>
      </c>
      <c r="AN1266" s="100">
        <f t="shared" si="592"/>
        <v>2904.8937534301463</v>
      </c>
      <c r="AO1266" s="20">
        <f t="shared" si="593"/>
        <v>0</v>
      </c>
      <c r="AQ1266" s="109">
        <f t="shared" si="594"/>
        <v>0</v>
      </c>
      <c r="AU1266" s="109">
        <f t="shared" si="609"/>
        <v>24.276860763031948</v>
      </c>
      <c r="AV1266" s="101">
        <f t="shared" si="595"/>
        <v>78234</v>
      </c>
      <c r="AW1266" s="99">
        <f t="shared" si="596"/>
        <v>0</v>
      </c>
      <c r="AX1266" s="1">
        <f t="shared" si="597"/>
        <v>0</v>
      </c>
      <c r="AY1266" s="29">
        <f t="shared" si="598"/>
        <v>0</v>
      </c>
      <c r="AZ1266" s="1">
        <f t="shared" si="610"/>
        <v>0</v>
      </c>
      <c r="CB1266" s="20">
        <f t="shared" si="619"/>
        <v>0</v>
      </c>
      <c r="CC1266" s="173">
        <f t="shared" si="611"/>
        <v>0</v>
      </c>
    </row>
    <row r="1267" spans="10:81" x14ac:dyDescent="0.25">
      <c r="J1267" s="7"/>
      <c r="K1267" s="8"/>
      <c r="L1267" s="16"/>
      <c r="M1267" s="22"/>
      <c r="N1267" s="22"/>
      <c r="O1267" s="22"/>
      <c r="P1267" s="22"/>
      <c r="Q1267" s="1">
        <f t="shared" si="612"/>
        <v>0.60744618579017706</v>
      </c>
      <c r="R1267" s="12">
        <f t="shared" ca="1" si="599"/>
        <v>37112</v>
      </c>
      <c r="S1267" s="88">
        <f t="shared" si="608"/>
        <v>0</v>
      </c>
      <c r="T1267" s="19">
        <f t="shared" si="600"/>
        <v>0</v>
      </c>
      <c r="U1267" s="19">
        <f t="shared" si="601"/>
        <v>0</v>
      </c>
      <c r="V1267" s="19">
        <f t="shared" si="617"/>
        <v>0</v>
      </c>
      <c r="W1267" s="20">
        <f t="shared" ca="1" si="602"/>
        <v>0</v>
      </c>
      <c r="X1267" s="19">
        <f t="shared" ca="1" si="603"/>
        <v>0</v>
      </c>
      <c r="Y1267" s="19">
        <f t="shared" ca="1" si="604"/>
        <v>0</v>
      </c>
      <c r="Z1267" s="20">
        <f t="shared" ca="1" si="605"/>
        <v>0</v>
      </c>
      <c r="AA1267" s="1">
        <f t="shared" si="613"/>
        <v>5432.58</v>
      </c>
      <c r="AB1267" s="91"/>
      <c r="AC1267" s="92"/>
      <c r="AD1267" s="101">
        <f t="shared" si="614"/>
        <v>78234</v>
      </c>
      <c r="AE1267" s="103">
        <f t="shared" si="615"/>
        <v>0</v>
      </c>
      <c r="AG1267" s="1">
        <f t="shared" si="606"/>
        <v>0</v>
      </c>
      <c r="AH1267" s="1">
        <f t="shared" si="607"/>
        <v>0</v>
      </c>
      <c r="AI1267" s="1">
        <f t="shared" si="616"/>
        <v>5432.58</v>
      </c>
      <c r="AJ1267" s="20">
        <f t="shared" si="618"/>
        <v>0</v>
      </c>
      <c r="AK1267" s="100">
        <f t="shared" si="590"/>
        <v>0</v>
      </c>
      <c r="AL1267" s="100">
        <f t="shared" si="591"/>
        <v>0</v>
      </c>
      <c r="AN1267" s="100">
        <f t="shared" si="592"/>
        <v>2903.4240252219347</v>
      </c>
      <c r="AO1267" s="20">
        <f t="shared" si="593"/>
        <v>0</v>
      </c>
      <c r="AQ1267" s="109">
        <f t="shared" si="594"/>
        <v>0</v>
      </c>
      <c r="AU1267" s="109">
        <f t="shared" si="609"/>
        <v>24.274729981178048</v>
      </c>
      <c r="AV1267" s="101">
        <f t="shared" si="595"/>
        <v>78264</v>
      </c>
      <c r="AW1267" s="99">
        <f t="shared" si="596"/>
        <v>0</v>
      </c>
      <c r="AX1267" s="1">
        <f t="shared" si="597"/>
        <v>0</v>
      </c>
      <c r="AY1267" s="29">
        <f t="shared" si="598"/>
        <v>0</v>
      </c>
      <c r="AZ1267" s="1">
        <f t="shared" si="610"/>
        <v>0</v>
      </c>
      <c r="CB1267" s="20">
        <f t="shared" si="619"/>
        <v>0</v>
      </c>
      <c r="CC1267" s="173">
        <f t="shared" si="611"/>
        <v>0</v>
      </c>
    </row>
    <row r="1268" spans="10:81" x14ac:dyDescent="0.25">
      <c r="J1268" s="9"/>
      <c r="K1268" s="10"/>
      <c r="L1268" s="17"/>
      <c r="M1268" s="23"/>
      <c r="N1268" s="23"/>
      <c r="O1268" s="23"/>
      <c r="P1268" s="23"/>
      <c r="Q1268" s="1">
        <f t="shared" si="612"/>
        <v>0.60744618579017706</v>
      </c>
      <c r="R1268" s="12">
        <f t="shared" ca="1" si="599"/>
        <v>37142</v>
      </c>
      <c r="S1268" s="88">
        <f t="shared" si="608"/>
        <v>0</v>
      </c>
      <c r="T1268" s="19">
        <f t="shared" si="600"/>
        <v>0</v>
      </c>
      <c r="U1268" s="19">
        <f t="shared" si="601"/>
        <v>0</v>
      </c>
      <c r="V1268" s="19">
        <f t="shared" si="617"/>
        <v>0</v>
      </c>
      <c r="W1268" s="20">
        <f t="shared" ca="1" si="602"/>
        <v>0</v>
      </c>
      <c r="X1268" s="19">
        <f t="shared" ca="1" si="603"/>
        <v>0</v>
      </c>
      <c r="Y1268" s="19">
        <f t="shared" ca="1" si="604"/>
        <v>0</v>
      </c>
      <c r="Z1268" s="20">
        <f t="shared" ca="1" si="605"/>
        <v>0</v>
      </c>
      <c r="AA1268" s="1">
        <f t="shared" si="613"/>
        <v>5432.58</v>
      </c>
      <c r="AB1268" s="93"/>
      <c r="AC1268" s="94"/>
      <c r="AD1268" s="101">
        <f t="shared" si="614"/>
        <v>78264</v>
      </c>
      <c r="AE1268" s="103">
        <f t="shared" si="615"/>
        <v>0</v>
      </c>
      <c r="AG1268" s="1">
        <f t="shared" si="606"/>
        <v>0</v>
      </c>
      <c r="AH1268" s="1">
        <f t="shared" si="607"/>
        <v>0</v>
      </c>
      <c r="AI1268" s="1">
        <f t="shared" si="616"/>
        <v>5432.58</v>
      </c>
      <c r="AJ1268" s="20">
        <f t="shared" si="618"/>
        <v>0</v>
      </c>
      <c r="AK1268" s="100">
        <f t="shared" si="590"/>
        <v>0</v>
      </c>
      <c r="AL1268" s="100">
        <f t="shared" si="591"/>
        <v>0</v>
      </c>
      <c r="AN1268" s="100">
        <f t="shared" si="592"/>
        <v>2901.9550406213016</v>
      </c>
      <c r="AO1268" s="20">
        <f t="shared" si="593"/>
        <v>0</v>
      </c>
      <c r="AQ1268" s="109">
        <f t="shared" si="594"/>
        <v>0</v>
      </c>
      <c r="AU1268" s="109">
        <f t="shared" si="609"/>
        <v>24.272599386343032</v>
      </c>
      <c r="AV1268" s="101">
        <f t="shared" si="595"/>
        <v>78294</v>
      </c>
      <c r="AW1268" s="99">
        <f t="shared" si="596"/>
        <v>0</v>
      </c>
      <c r="AX1268" s="1">
        <f t="shared" si="597"/>
        <v>0</v>
      </c>
      <c r="AY1268" s="29">
        <f t="shared" si="598"/>
        <v>0</v>
      </c>
      <c r="AZ1268" s="1">
        <f t="shared" si="610"/>
        <v>0</v>
      </c>
      <c r="CB1268" s="20">
        <f t="shared" si="619"/>
        <v>0</v>
      </c>
      <c r="CC1268" s="173">
        <f t="shared" si="611"/>
        <v>0</v>
      </c>
    </row>
    <row r="1269" spans="10:81" x14ac:dyDescent="0.25">
      <c r="J1269" s="7"/>
      <c r="K1269" s="8"/>
      <c r="L1269" s="16"/>
      <c r="M1269" s="22"/>
      <c r="N1269" s="22"/>
      <c r="O1269" s="22"/>
      <c r="P1269" s="22"/>
      <c r="Q1269" s="1">
        <f t="shared" si="612"/>
        <v>0.60744618579017706</v>
      </c>
      <c r="R1269" s="12">
        <f t="shared" ca="1" si="599"/>
        <v>37172</v>
      </c>
      <c r="S1269" s="88">
        <f t="shared" si="608"/>
        <v>0</v>
      </c>
      <c r="T1269" s="19">
        <f t="shared" si="600"/>
        <v>0</v>
      </c>
      <c r="U1269" s="19">
        <f t="shared" si="601"/>
        <v>0</v>
      </c>
      <c r="V1269" s="19">
        <f t="shared" si="617"/>
        <v>0</v>
      </c>
      <c r="W1269" s="20">
        <f t="shared" ca="1" si="602"/>
        <v>0</v>
      </c>
      <c r="X1269" s="19">
        <f t="shared" ca="1" si="603"/>
        <v>0</v>
      </c>
      <c r="Y1269" s="19">
        <f t="shared" ca="1" si="604"/>
        <v>0</v>
      </c>
      <c r="Z1269" s="20">
        <f t="shared" ca="1" si="605"/>
        <v>0</v>
      </c>
      <c r="AA1269" s="1">
        <f t="shared" si="613"/>
        <v>5432.58</v>
      </c>
      <c r="AB1269" s="91"/>
      <c r="AC1269" s="92"/>
      <c r="AD1269" s="101">
        <f t="shared" si="614"/>
        <v>78294</v>
      </c>
      <c r="AE1269" s="103">
        <f t="shared" si="615"/>
        <v>0</v>
      </c>
      <c r="AG1269" s="1">
        <f t="shared" si="606"/>
        <v>0</v>
      </c>
      <c r="AH1269" s="1">
        <f t="shared" si="607"/>
        <v>0</v>
      </c>
      <c r="AI1269" s="1">
        <f t="shared" si="616"/>
        <v>5432.58</v>
      </c>
      <c r="AJ1269" s="20">
        <f t="shared" si="618"/>
        <v>0</v>
      </c>
      <c r="AK1269" s="100">
        <f t="shared" si="590"/>
        <v>0</v>
      </c>
      <c r="AL1269" s="100">
        <f t="shared" si="591"/>
        <v>0</v>
      </c>
      <c r="AN1269" s="100">
        <f t="shared" si="592"/>
        <v>2900.486799252018</v>
      </c>
      <c r="AO1269" s="20">
        <f t="shared" si="593"/>
        <v>0</v>
      </c>
      <c r="AQ1269" s="109">
        <f t="shared" si="594"/>
        <v>0</v>
      </c>
      <c r="AU1269" s="109">
        <f t="shared" si="609"/>
        <v>24.270468978510472</v>
      </c>
      <c r="AV1269" s="101">
        <f t="shared" si="595"/>
        <v>78324</v>
      </c>
      <c r="AW1269" s="99">
        <f t="shared" si="596"/>
        <v>0</v>
      </c>
      <c r="AX1269" s="1">
        <f t="shared" si="597"/>
        <v>0</v>
      </c>
      <c r="AY1269" s="29">
        <f t="shared" si="598"/>
        <v>0</v>
      </c>
      <c r="AZ1269" s="1">
        <f t="shared" si="610"/>
        <v>0</v>
      </c>
      <c r="CB1269" s="20">
        <f t="shared" si="619"/>
        <v>0</v>
      </c>
      <c r="CC1269" s="173">
        <f t="shared" si="611"/>
        <v>0</v>
      </c>
    </row>
    <row r="1270" spans="10:81" x14ac:dyDescent="0.25">
      <c r="J1270" s="9"/>
      <c r="K1270" s="10"/>
      <c r="L1270" s="17"/>
      <c r="M1270" s="23"/>
      <c r="N1270" s="23"/>
      <c r="O1270" s="23"/>
      <c r="P1270" s="23"/>
      <c r="Q1270" s="1">
        <f t="shared" si="612"/>
        <v>0.60744618579017706</v>
      </c>
      <c r="R1270" s="12">
        <f t="shared" ca="1" si="599"/>
        <v>37202</v>
      </c>
      <c r="S1270" s="88">
        <f t="shared" si="608"/>
        <v>0</v>
      </c>
      <c r="T1270" s="19">
        <f t="shared" si="600"/>
        <v>0</v>
      </c>
      <c r="U1270" s="19">
        <f t="shared" si="601"/>
        <v>0</v>
      </c>
      <c r="V1270" s="19">
        <f t="shared" si="617"/>
        <v>0</v>
      </c>
      <c r="W1270" s="20">
        <f t="shared" ca="1" si="602"/>
        <v>0</v>
      </c>
      <c r="X1270" s="19">
        <f t="shared" ca="1" si="603"/>
        <v>0</v>
      </c>
      <c r="Y1270" s="19">
        <f t="shared" ca="1" si="604"/>
        <v>0</v>
      </c>
      <c r="Z1270" s="20">
        <f t="shared" ca="1" si="605"/>
        <v>0</v>
      </c>
      <c r="AA1270" s="1">
        <f t="shared" si="613"/>
        <v>5432.58</v>
      </c>
      <c r="AB1270" s="93"/>
      <c r="AC1270" s="94"/>
      <c r="AD1270" s="101">
        <f t="shared" si="614"/>
        <v>78324</v>
      </c>
      <c r="AE1270" s="103">
        <f t="shared" si="615"/>
        <v>0</v>
      </c>
      <c r="AG1270" s="1">
        <f t="shared" si="606"/>
        <v>0</v>
      </c>
      <c r="AH1270" s="1">
        <f t="shared" si="607"/>
        <v>0</v>
      </c>
      <c r="AI1270" s="1">
        <f t="shared" si="616"/>
        <v>5432.58</v>
      </c>
      <c r="AJ1270" s="20">
        <f t="shared" si="618"/>
        <v>0</v>
      </c>
      <c r="AK1270" s="100">
        <f t="shared" ref="AK1270:AK1333" si="620">IF(ISERROR(AJ1270/(1+(Q1270)/1200)^(ROW()-29)),0,AJ1270/(1+(Q1270)/1200)^(ROW()-29))</f>
        <v>0</v>
      </c>
      <c r="AL1270" s="100">
        <f t="shared" ref="AL1270:AL1333" si="621">IF(ISERROR((Q1270/1200)*O1270),0,(Q1270/1200)*O1270)</f>
        <v>0</v>
      </c>
      <c r="AN1270" s="100">
        <f t="shared" ref="AN1270:AN1333" si="622">IF(ISERROR(AA1270/(1+(Q1270)/1200)^(ROW()-29)),0,AA1270/(1+(Q1270)/1200)^(ROW()-29))</f>
        <v>2899.0193007380458</v>
      </c>
      <c r="AO1270" s="20">
        <f t="shared" ref="AO1270:AO1333" si="623">IF(ISERROR(V1269+U1270+T1270+(V1269*Q1270/1200)-AA1270-P1270),0,IF(V1269+U1270+T1270+(V1269*Q1270/1200)-AA1270-P1270&lt;0,V1269,-(U1270+T1270-AA1270+P1270-AH1270)))</f>
        <v>0</v>
      </c>
      <c r="AQ1270" s="109">
        <f t="shared" ref="AQ1270:AQ1333" si="624">AO1270/(1+((1+$AM$27)^((ROW()-29)*30)-1))</f>
        <v>0</v>
      </c>
      <c r="AU1270" s="109">
        <f t="shared" si="609"/>
        <v>24.268338757663969</v>
      </c>
      <c r="AV1270" s="101">
        <f t="shared" ref="AV1270:AV1333" si="625">AD1271</f>
        <v>78354</v>
      </c>
      <c r="AW1270" s="99">
        <f t="shared" ref="AW1270:AW1333" si="626">IF(AJ1271&lt;0,0,AJ1271)</f>
        <v>0</v>
      </c>
      <c r="AX1270" s="1">
        <f t="shared" ref="AX1270:AX1333" si="627">IF(AG1270&gt;0,AA1270,0)</f>
        <v>0</v>
      </c>
      <c r="AY1270" s="29">
        <f t="shared" ref="AY1270:AY1333" si="628">AE1270</f>
        <v>0</v>
      </c>
      <c r="AZ1270" s="1">
        <f t="shared" si="610"/>
        <v>0</v>
      </c>
      <c r="CB1270" s="20">
        <f t="shared" si="619"/>
        <v>0</v>
      </c>
      <c r="CC1270" s="173">
        <f t="shared" si="611"/>
        <v>0</v>
      </c>
    </row>
    <row r="1271" spans="10:81" x14ac:dyDescent="0.25">
      <c r="J1271" s="7"/>
      <c r="K1271" s="8"/>
      <c r="L1271" s="16"/>
      <c r="M1271" s="22"/>
      <c r="N1271" s="22"/>
      <c r="O1271" s="22"/>
      <c r="P1271" s="22"/>
      <c r="Q1271" s="1">
        <f t="shared" si="612"/>
        <v>0.60744618579017706</v>
      </c>
      <c r="R1271" s="12">
        <f t="shared" ref="R1271:R1334" ca="1" si="629">IF(ROW()&gt;$T$20,R1270+30,DAYS360(K1270,K1271)+R1270)</f>
        <v>37232</v>
      </c>
      <c r="S1271" s="88">
        <f t="shared" si="608"/>
        <v>0</v>
      </c>
      <c r="T1271" s="19">
        <f t="shared" ref="T1271:T1334" si="630">IF(ISERROR((previousBalance*Q1271/1200)*(IF(ROW()-30&lt;$G$22,$G$21,0))),0,(previousBalance*Q1271/1200)*(IF(ROW()-30&lt;$G$22,$G$21,0)))</f>
        <v>0</v>
      </c>
      <c r="U1271" s="19">
        <f t="shared" ref="U1271:U1334" si="631">AA1271*(IF(ROW()-30&lt;$H$22,$H$21,0))</f>
        <v>0</v>
      </c>
      <c r="V1271" s="19">
        <f t="shared" si="617"/>
        <v>0</v>
      </c>
      <c r="W1271" s="20">
        <f t="shared" ref="W1271:W1334" ca="1" si="632">(T1271)/(1+((1+$T$12)^$R1271-1))</f>
        <v>0</v>
      </c>
      <c r="X1271" s="19">
        <f t="shared" ref="X1271:X1334" ca="1" si="633">(U1271)/(1+((1+$T$12)^$R1271-1))</f>
        <v>0</v>
      </c>
      <c r="Y1271" s="19">
        <f t="shared" ref="Y1271:Y1334" ca="1" si="634">P1271/(1+((1+$T$12)^$R1271-1))</f>
        <v>0</v>
      </c>
      <c r="Z1271" s="20">
        <f t="shared" ref="Z1271:Z1334" ca="1" si="635">W1271+X1271</f>
        <v>0</v>
      </c>
      <c r="AA1271" s="1">
        <f t="shared" si="613"/>
        <v>5432.58</v>
      </c>
      <c r="AB1271" s="91"/>
      <c r="AC1271" s="92"/>
      <c r="AD1271" s="101">
        <f t="shared" si="614"/>
        <v>78354</v>
      </c>
      <c r="AE1271" s="103">
        <f t="shared" si="615"/>
        <v>0</v>
      </c>
      <c r="AG1271" s="1">
        <f t="shared" ref="AG1271:AG1334" si="636">AE1271/360</f>
        <v>0</v>
      </c>
      <c r="AH1271" s="1">
        <f t="shared" ref="AH1271:AH1334" si="637">IF(ISERROR(IF(V1270+U1271+T1271+(V1270*Q1271/1200)-AA1271-P1271&lt;0,0,(V1270*Q1271/1200))),0,IF(V1270+U1271+T1271+(V1270*Q1271/1200)-AA1271-P1271&lt;0,0,(V1270*Q1271/1200)))</f>
        <v>0</v>
      </c>
      <c r="AI1271" s="1">
        <f t="shared" si="616"/>
        <v>5432.58</v>
      </c>
      <c r="AJ1271" s="20">
        <f t="shared" si="618"/>
        <v>0</v>
      </c>
      <c r="AK1271" s="100">
        <f t="shared" si="620"/>
        <v>0</v>
      </c>
      <c r="AL1271" s="100">
        <f t="shared" si="621"/>
        <v>0</v>
      </c>
      <c r="AN1271" s="100">
        <f t="shared" si="622"/>
        <v>2897.5525447035402</v>
      </c>
      <c r="AO1271" s="20">
        <f t="shared" si="623"/>
        <v>0</v>
      </c>
      <c r="AQ1271" s="109">
        <f t="shared" si="624"/>
        <v>0</v>
      </c>
      <c r="AU1271" s="109">
        <f t="shared" si="609"/>
        <v>24.266208723787109</v>
      </c>
      <c r="AV1271" s="101">
        <f t="shared" si="625"/>
        <v>78384</v>
      </c>
      <c r="AW1271" s="99">
        <f t="shared" si="626"/>
        <v>0</v>
      </c>
      <c r="AX1271" s="1">
        <f t="shared" si="627"/>
        <v>0</v>
      </c>
      <c r="AY1271" s="29">
        <f t="shared" si="628"/>
        <v>0</v>
      </c>
      <c r="AZ1271" s="1">
        <f t="shared" si="610"/>
        <v>0</v>
      </c>
      <c r="CB1271" s="20">
        <f t="shared" si="619"/>
        <v>0</v>
      </c>
      <c r="CC1271" s="173">
        <f t="shared" si="611"/>
        <v>0</v>
      </c>
    </row>
    <row r="1272" spans="10:81" x14ac:dyDescent="0.25">
      <c r="J1272" s="9"/>
      <c r="K1272" s="10"/>
      <c r="L1272" s="17"/>
      <c r="M1272" s="23"/>
      <c r="N1272" s="23"/>
      <c r="O1272" s="23"/>
      <c r="P1272" s="23"/>
      <c r="Q1272" s="1">
        <f t="shared" si="612"/>
        <v>0.60744618579017706</v>
      </c>
      <c r="R1272" s="12">
        <f t="shared" ca="1" si="629"/>
        <v>37262</v>
      </c>
      <c r="S1272" s="88">
        <f t="shared" si="608"/>
        <v>0</v>
      </c>
      <c r="T1272" s="19">
        <f t="shared" si="630"/>
        <v>0</v>
      </c>
      <c r="U1272" s="19">
        <f t="shared" si="631"/>
        <v>0</v>
      </c>
      <c r="V1272" s="19">
        <f t="shared" si="617"/>
        <v>0</v>
      </c>
      <c r="W1272" s="20">
        <f t="shared" ca="1" si="632"/>
        <v>0</v>
      </c>
      <c r="X1272" s="19">
        <f t="shared" ca="1" si="633"/>
        <v>0</v>
      </c>
      <c r="Y1272" s="19">
        <f t="shared" ca="1" si="634"/>
        <v>0</v>
      </c>
      <c r="Z1272" s="20">
        <f t="shared" ca="1" si="635"/>
        <v>0</v>
      </c>
      <c r="AA1272" s="1">
        <f t="shared" si="613"/>
        <v>5432.58</v>
      </c>
      <c r="AB1272" s="93"/>
      <c r="AC1272" s="94"/>
      <c r="AD1272" s="101">
        <f t="shared" si="614"/>
        <v>78384</v>
      </c>
      <c r="AE1272" s="103">
        <f t="shared" si="615"/>
        <v>0</v>
      </c>
      <c r="AG1272" s="1">
        <f t="shared" si="636"/>
        <v>0</v>
      </c>
      <c r="AH1272" s="1">
        <f t="shared" si="637"/>
        <v>0</v>
      </c>
      <c r="AI1272" s="1">
        <f t="shared" si="616"/>
        <v>5432.58</v>
      </c>
      <c r="AJ1272" s="20">
        <f t="shared" si="618"/>
        <v>0</v>
      </c>
      <c r="AK1272" s="100">
        <f t="shared" si="620"/>
        <v>0</v>
      </c>
      <c r="AL1272" s="100">
        <f t="shared" si="621"/>
        <v>0</v>
      </c>
      <c r="AN1272" s="100">
        <f t="shared" si="622"/>
        <v>2896.0865307728432</v>
      </c>
      <c r="AO1272" s="20">
        <f t="shared" si="623"/>
        <v>0</v>
      </c>
      <c r="AQ1272" s="109">
        <f t="shared" si="624"/>
        <v>0</v>
      </c>
      <c r="AU1272" s="109">
        <f t="shared" si="609"/>
        <v>24.264078876863472</v>
      </c>
      <c r="AV1272" s="101">
        <f t="shared" si="625"/>
        <v>78414</v>
      </c>
      <c r="AW1272" s="99">
        <f t="shared" si="626"/>
        <v>0</v>
      </c>
      <c r="AX1272" s="1">
        <f t="shared" si="627"/>
        <v>0</v>
      </c>
      <c r="AY1272" s="29">
        <f t="shared" si="628"/>
        <v>0</v>
      </c>
      <c r="AZ1272" s="1">
        <f t="shared" si="610"/>
        <v>0</v>
      </c>
      <c r="CB1272" s="20">
        <f t="shared" si="619"/>
        <v>0</v>
      </c>
      <c r="CC1272" s="173">
        <f t="shared" si="611"/>
        <v>0</v>
      </c>
    </row>
    <row r="1273" spans="10:81" x14ac:dyDescent="0.25">
      <c r="J1273" s="7"/>
      <c r="K1273" s="8"/>
      <c r="L1273" s="16"/>
      <c r="M1273" s="22"/>
      <c r="N1273" s="22"/>
      <c r="O1273" s="22"/>
      <c r="P1273" s="22"/>
      <c r="Q1273" s="1">
        <f t="shared" si="612"/>
        <v>0.60744618579017706</v>
      </c>
      <c r="R1273" s="12">
        <f t="shared" ca="1" si="629"/>
        <v>37292</v>
      </c>
      <c r="S1273" s="88">
        <f t="shared" si="608"/>
        <v>0</v>
      </c>
      <c r="T1273" s="19">
        <f t="shared" si="630"/>
        <v>0</v>
      </c>
      <c r="U1273" s="19">
        <f t="shared" si="631"/>
        <v>0</v>
      </c>
      <c r="V1273" s="19">
        <f t="shared" si="617"/>
        <v>0</v>
      </c>
      <c r="W1273" s="20">
        <f t="shared" ca="1" si="632"/>
        <v>0</v>
      </c>
      <c r="X1273" s="19">
        <f t="shared" ca="1" si="633"/>
        <v>0</v>
      </c>
      <c r="Y1273" s="19">
        <f t="shared" ca="1" si="634"/>
        <v>0</v>
      </c>
      <c r="Z1273" s="20">
        <f t="shared" ca="1" si="635"/>
        <v>0</v>
      </c>
      <c r="AA1273" s="1">
        <f t="shared" si="613"/>
        <v>5432.58</v>
      </c>
      <c r="AB1273" s="91"/>
      <c r="AC1273" s="92"/>
      <c r="AD1273" s="101">
        <f t="shared" si="614"/>
        <v>78414</v>
      </c>
      <c r="AE1273" s="103">
        <f t="shared" si="615"/>
        <v>0</v>
      </c>
      <c r="AG1273" s="1">
        <f t="shared" si="636"/>
        <v>0</v>
      </c>
      <c r="AH1273" s="1">
        <f t="shared" si="637"/>
        <v>0</v>
      </c>
      <c r="AI1273" s="1">
        <f t="shared" si="616"/>
        <v>5432.58</v>
      </c>
      <c r="AJ1273" s="20">
        <f t="shared" si="618"/>
        <v>0</v>
      </c>
      <c r="AK1273" s="100">
        <f t="shared" si="620"/>
        <v>0</v>
      </c>
      <c r="AL1273" s="100">
        <f t="shared" si="621"/>
        <v>0</v>
      </c>
      <c r="AN1273" s="100">
        <f t="shared" si="622"/>
        <v>2894.621258570488</v>
      </c>
      <c r="AO1273" s="20">
        <f t="shared" si="623"/>
        <v>0</v>
      </c>
      <c r="AQ1273" s="109">
        <f t="shared" si="624"/>
        <v>0</v>
      </c>
      <c r="AU1273" s="109">
        <f t="shared" si="609"/>
        <v>24.261949216876666</v>
      </c>
      <c r="AV1273" s="101">
        <f t="shared" si="625"/>
        <v>78444</v>
      </c>
      <c r="AW1273" s="99">
        <f t="shared" si="626"/>
        <v>0</v>
      </c>
      <c r="AX1273" s="1">
        <f t="shared" si="627"/>
        <v>0</v>
      </c>
      <c r="AY1273" s="29">
        <f t="shared" si="628"/>
        <v>0</v>
      </c>
      <c r="AZ1273" s="1">
        <f t="shared" si="610"/>
        <v>0</v>
      </c>
      <c r="CB1273" s="20">
        <f t="shared" si="619"/>
        <v>0</v>
      </c>
      <c r="CC1273" s="173">
        <f t="shared" si="611"/>
        <v>0</v>
      </c>
    </row>
    <row r="1274" spans="10:81" x14ac:dyDescent="0.25">
      <c r="J1274" s="9"/>
      <c r="K1274" s="10"/>
      <c r="L1274" s="17"/>
      <c r="M1274" s="23"/>
      <c r="N1274" s="23"/>
      <c r="O1274" s="23"/>
      <c r="P1274" s="23"/>
      <c r="Q1274" s="1">
        <f t="shared" si="612"/>
        <v>0.60744618579017706</v>
      </c>
      <c r="R1274" s="12">
        <f t="shared" ca="1" si="629"/>
        <v>37322</v>
      </c>
      <c r="S1274" s="88">
        <f t="shared" si="608"/>
        <v>0</v>
      </c>
      <c r="T1274" s="19">
        <f t="shared" si="630"/>
        <v>0</v>
      </c>
      <c r="U1274" s="19">
        <f t="shared" si="631"/>
        <v>0</v>
      </c>
      <c r="V1274" s="19">
        <f t="shared" si="617"/>
        <v>0</v>
      </c>
      <c r="W1274" s="20">
        <f t="shared" ca="1" si="632"/>
        <v>0</v>
      </c>
      <c r="X1274" s="19">
        <f t="shared" ca="1" si="633"/>
        <v>0</v>
      </c>
      <c r="Y1274" s="19">
        <f t="shared" ca="1" si="634"/>
        <v>0</v>
      </c>
      <c r="Z1274" s="20">
        <f t="shared" ca="1" si="635"/>
        <v>0</v>
      </c>
      <c r="AA1274" s="1">
        <f t="shared" si="613"/>
        <v>5432.58</v>
      </c>
      <c r="AB1274" s="93"/>
      <c r="AC1274" s="94"/>
      <c r="AD1274" s="101">
        <f t="shared" si="614"/>
        <v>78444</v>
      </c>
      <c r="AE1274" s="103">
        <f t="shared" si="615"/>
        <v>0</v>
      </c>
      <c r="AG1274" s="1">
        <f t="shared" si="636"/>
        <v>0</v>
      </c>
      <c r="AH1274" s="1">
        <f t="shared" si="637"/>
        <v>0</v>
      </c>
      <c r="AI1274" s="1">
        <f t="shared" si="616"/>
        <v>5432.58</v>
      </c>
      <c r="AJ1274" s="20">
        <f t="shared" si="618"/>
        <v>0</v>
      </c>
      <c r="AK1274" s="100">
        <f t="shared" si="620"/>
        <v>0</v>
      </c>
      <c r="AL1274" s="100">
        <f t="shared" si="621"/>
        <v>0</v>
      </c>
      <c r="AN1274" s="100">
        <f t="shared" si="622"/>
        <v>2893.1567277211975</v>
      </c>
      <c r="AO1274" s="20">
        <f t="shared" si="623"/>
        <v>0</v>
      </c>
      <c r="AQ1274" s="109">
        <f t="shared" si="624"/>
        <v>0</v>
      </c>
      <c r="AU1274" s="109">
        <f t="shared" si="609"/>
        <v>24.259819743810272</v>
      </c>
      <c r="AV1274" s="101">
        <f t="shared" si="625"/>
        <v>78474</v>
      </c>
      <c r="AW1274" s="99">
        <f t="shared" si="626"/>
        <v>0</v>
      </c>
      <c r="AX1274" s="1">
        <f t="shared" si="627"/>
        <v>0</v>
      </c>
      <c r="AY1274" s="29">
        <f t="shared" si="628"/>
        <v>0</v>
      </c>
      <c r="AZ1274" s="1">
        <f t="shared" si="610"/>
        <v>0</v>
      </c>
      <c r="CB1274" s="20">
        <f t="shared" si="619"/>
        <v>0</v>
      </c>
      <c r="CC1274" s="173">
        <f t="shared" si="611"/>
        <v>0</v>
      </c>
    </row>
    <row r="1275" spans="10:81" x14ac:dyDescent="0.25">
      <c r="J1275" s="7"/>
      <c r="K1275" s="8"/>
      <c r="L1275" s="16"/>
      <c r="M1275" s="22"/>
      <c r="N1275" s="22"/>
      <c r="O1275" s="22"/>
      <c r="P1275" s="22"/>
      <c r="Q1275" s="1">
        <f t="shared" si="612"/>
        <v>0.60744618579017706</v>
      </c>
      <c r="R1275" s="12">
        <f t="shared" ca="1" si="629"/>
        <v>37352</v>
      </c>
      <c r="S1275" s="88">
        <f t="shared" si="608"/>
        <v>0</v>
      </c>
      <c r="T1275" s="19">
        <f t="shared" si="630"/>
        <v>0</v>
      </c>
      <c r="U1275" s="19">
        <f t="shared" si="631"/>
        <v>0</v>
      </c>
      <c r="V1275" s="19">
        <f t="shared" si="617"/>
        <v>0</v>
      </c>
      <c r="W1275" s="20">
        <f t="shared" ca="1" si="632"/>
        <v>0</v>
      </c>
      <c r="X1275" s="19">
        <f t="shared" ca="1" si="633"/>
        <v>0</v>
      </c>
      <c r="Y1275" s="19">
        <f t="shared" ca="1" si="634"/>
        <v>0</v>
      </c>
      <c r="Z1275" s="20">
        <f t="shared" ca="1" si="635"/>
        <v>0</v>
      </c>
      <c r="AA1275" s="1">
        <f t="shared" si="613"/>
        <v>5432.58</v>
      </c>
      <c r="AB1275" s="91"/>
      <c r="AC1275" s="92"/>
      <c r="AD1275" s="101">
        <f t="shared" si="614"/>
        <v>78474</v>
      </c>
      <c r="AE1275" s="103">
        <f t="shared" si="615"/>
        <v>0</v>
      </c>
      <c r="AG1275" s="1">
        <f t="shared" si="636"/>
        <v>0</v>
      </c>
      <c r="AH1275" s="1">
        <f t="shared" si="637"/>
        <v>0</v>
      </c>
      <c r="AI1275" s="1">
        <f t="shared" si="616"/>
        <v>5432.58</v>
      </c>
      <c r="AJ1275" s="20">
        <f t="shared" si="618"/>
        <v>0</v>
      </c>
      <c r="AK1275" s="100">
        <f t="shared" si="620"/>
        <v>0</v>
      </c>
      <c r="AL1275" s="100">
        <f t="shared" si="621"/>
        <v>0</v>
      </c>
      <c r="AN1275" s="100">
        <f t="shared" si="622"/>
        <v>2891.6929378498858</v>
      </c>
      <c r="AO1275" s="20">
        <f t="shared" si="623"/>
        <v>0</v>
      </c>
      <c r="AQ1275" s="109">
        <f t="shared" si="624"/>
        <v>0</v>
      </c>
      <c r="AU1275" s="109">
        <f t="shared" si="609"/>
        <v>24.257690457647872</v>
      </c>
      <c r="AV1275" s="101">
        <f t="shared" si="625"/>
        <v>78504</v>
      </c>
      <c r="AW1275" s="99">
        <f t="shared" si="626"/>
        <v>0</v>
      </c>
      <c r="AX1275" s="1">
        <f t="shared" si="627"/>
        <v>0</v>
      </c>
      <c r="AY1275" s="29">
        <f t="shared" si="628"/>
        <v>0</v>
      </c>
      <c r="AZ1275" s="1">
        <f t="shared" si="610"/>
        <v>0</v>
      </c>
      <c r="CB1275" s="20">
        <f t="shared" si="619"/>
        <v>0</v>
      </c>
      <c r="CC1275" s="173">
        <f t="shared" si="611"/>
        <v>0</v>
      </c>
    </row>
    <row r="1276" spans="10:81" x14ac:dyDescent="0.25">
      <c r="J1276" s="9"/>
      <c r="K1276" s="10"/>
      <c r="L1276" s="17"/>
      <c r="M1276" s="23"/>
      <c r="N1276" s="23"/>
      <c r="O1276" s="23"/>
      <c r="P1276" s="23"/>
      <c r="Q1276" s="1">
        <f t="shared" si="612"/>
        <v>0.60744618579017706</v>
      </c>
      <c r="R1276" s="12">
        <f t="shared" ca="1" si="629"/>
        <v>37382</v>
      </c>
      <c r="S1276" s="88">
        <f t="shared" si="608"/>
        <v>0</v>
      </c>
      <c r="T1276" s="19">
        <f t="shared" si="630"/>
        <v>0</v>
      </c>
      <c r="U1276" s="19">
        <f t="shared" si="631"/>
        <v>0</v>
      </c>
      <c r="V1276" s="19">
        <f t="shared" si="617"/>
        <v>0</v>
      </c>
      <c r="W1276" s="20">
        <f t="shared" ca="1" si="632"/>
        <v>0</v>
      </c>
      <c r="X1276" s="19">
        <f t="shared" ca="1" si="633"/>
        <v>0</v>
      </c>
      <c r="Y1276" s="19">
        <f t="shared" ca="1" si="634"/>
        <v>0</v>
      </c>
      <c r="Z1276" s="20">
        <f t="shared" ca="1" si="635"/>
        <v>0</v>
      </c>
      <c r="AA1276" s="1">
        <f t="shared" si="613"/>
        <v>5432.58</v>
      </c>
      <c r="AB1276" s="93"/>
      <c r="AC1276" s="94"/>
      <c r="AD1276" s="101">
        <f t="shared" si="614"/>
        <v>78504</v>
      </c>
      <c r="AE1276" s="103">
        <f t="shared" si="615"/>
        <v>0</v>
      </c>
      <c r="AG1276" s="1">
        <f t="shared" si="636"/>
        <v>0</v>
      </c>
      <c r="AH1276" s="1">
        <f t="shared" si="637"/>
        <v>0</v>
      </c>
      <c r="AI1276" s="1">
        <f t="shared" si="616"/>
        <v>5432.58</v>
      </c>
      <c r="AJ1276" s="20">
        <f t="shared" si="618"/>
        <v>0</v>
      </c>
      <c r="AK1276" s="100">
        <f t="shared" si="620"/>
        <v>0</v>
      </c>
      <c r="AL1276" s="100">
        <f t="shared" si="621"/>
        <v>0</v>
      </c>
      <c r="AN1276" s="100">
        <f t="shared" si="622"/>
        <v>2890.2298885816563</v>
      </c>
      <c r="AO1276" s="20">
        <f t="shared" si="623"/>
        <v>0</v>
      </c>
      <c r="AQ1276" s="109">
        <f t="shared" si="624"/>
        <v>0</v>
      </c>
      <c r="AU1276" s="109">
        <f t="shared" si="609"/>
        <v>24.25556135837309</v>
      </c>
      <c r="AV1276" s="101">
        <f t="shared" si="625"/>
        <v>78534</v>
      </c>
      <c r="AW1276" s="99">
        <f t="shared" si="626"/>
        <v>0</v>
      </c>
      <c r="AX1276" s="1">
        <f t="shared" si="627"/>
        <v>0</v>
      </c>
      <c r="AY1276" s="29">
        <f t="shared" si="628"/>
        <v>0</v>
      </c>
      <c r="AZ1276" s="1">
        <f t="shared" si="610"/>
        <v>0</v>
      </c>
      <c r="CB1276" s="20">
        <f t="shared" si="619"/>
        <v>0</v>
      </c>
      <c r="CC1276" s="173">
        <f t="shared" si="611"/>
        <v>0</v>
      </c>
    </row>
    <row r="1277" spans="10:81" x14ac:dyDescent="0.25">
      <c r="J1277" s="7"/>
      <c r="K1277" s="8"/>
      <c r="L1277" s="16"/>
      <c r="M1277" s="22"/>
      <c r="N1277" s="22"/>
      <c r="O1277" s="22"/>
      <c r="P1277" s="22"/>
      <c r="Q1277" s="1">
        <f t="shared" si="612"/>
        <v>0.60744618579017706</v>
      </c>
      <c r="R1277" s="12">
        <f t="shared" ca="1" si="629"/>
        <v>37412</v>
      </c>
      <c r="S1277" s="88">
        <f t="shared" si="608"/>
        <v>0</v>
      </c>
      <c r="T1277" s="19">
        <f t="shared" si="630"/>
        <v>0</v>
      </c>
      <c r="U1277" s="19">
        <f t="shared" si="631"/>
        <v>0</v>
      </c>
      <c r="V1277" s="19">
        <f t="shared" si="617"/>
        <v>0</v>
      </c>
      <c r="W1277" s="20">
        <f t="shared" ca="1" si="632"/>
        <v>0</v>
      </c>
      <c r="X1277" s="19">
        <f t="shared" ca="1" si="633"/>
        <v>0</v>
      </c>
      <c r="Y1277" s="19">
        <f t="shared" ca="1" si="634"/>
        <v>0</v>
      </c>
      <c r="Z1277" s="20">
        <f t="shared" ca="1" si="635"/>
        <v>0</v>
      </c>
      <c r="AA1277" s="1">
        <f t="shared" si="613"/>
        <v>5432.58</v>
      </c>
      <c r="AB1277" s="91"/>
      <c r="AC1277" s="92"/>
      <c r="AD1277" s="101">
        <f t="shared" si="614"/>
        <v>78534</v>
      </c>
      <c r="AE1277" s="103">
        <f t="shared" si="615"/>
        <v>0</v>
      </c>
      <c r="AG1277" s="1">
        <f t="shared" si="636"/>
        <v>0</v>
      </c>
      <c r="AH1277" s="1">
        <f t="shared" si="637"/>
        <v>0</v>
      </c>
      <c r="AI1277" s="1">
        <f t="shared" si="616"/>
        <v>5432.58</v>
      </c>
      <c r="AJ1277" s="20">
        <f t="shared" si="618"/>
        <v>0</v>
      </c>
      <c r="AK1277" s="100">
        <f t="shared" si="620"/>
        <v>0</v>
      </c>
      <c r="AL1277" s="100">
        <f t="shared" si="621"/>
        <v>0</v>
      </c>
      <c r="AN1277" s="100">
        <f t="shared" si="622"/>
        <v>2888.7675795418004</v>
      </c>
      <c r="AO1277" s="20">
        <f t="shared" si="623"/>
        <v>0</v>
      </c>
      <c r="AQ1277" s="109">
        <f t="shared" si="624"/>
        <v>0</v>
      </c>
      <c r="AU1277" s="109">
        <f t="shared" si="609"/>
        <v>24.253432445969498</v>
      </c>
      <c r="AV1277" s="101">
        <f t="shared" si="625"/>
        <v>78564</v>
      </c>
      <c r="AW1277" s="99">
        <f t="shared" si="626"/>
        <v>0</v>
      </c>
      <c r="AX1277" s="1">
        <f t="shared" si="627"/>
        <v>0</v>
      </c>
      <c r="AY1277" s="29">
        <f t="shared" si="628"/>
        <v>0</v>
      </c>
      <c r="AZ1277" s="1">
        <f t="shared" si="610"/>
        <v>0</v>
      </c>
      <c r="CB1277" s="20">
        <f t="shared" si="619"/>
        <v>0</v>
      </c>
      <c r="CC1277" s="173">
        <f t="shared" si="611"/>
        <v>0</v>
      </c>
    </row>
    <row r="1278" spans="10:81" x14ac:dyDescent="0.25">
      <c r="J1278" s="9"/>
      <c r="K1278" s="10"/>
      <c r="L1278" s="17"/>
      <c r="M1278" s="23"/>
      <c r="N1278" s="23"/>
      <c r="O1278" s="23"/>
      <c r="P1278" s="23"/>
      <c r="Q1278" s="1">
        <f t="shared" si="612"/>
        <v>0.60744618579017706</v>
      </c>
      <c r="R1278" s="12">
        <f t="shared" ca="1" si="629"/>
        <v>37442</v>
      </c>
      <c r="S1278" s="88">
        <f t="shared" si="608"/>
        <v>0</v>
      </c>
      <c r="T1278" s="19">
        <f t="shared" si="630"/>
        <v>0</v>
      </c>
      <c r="U1278" s="19">
        <f t="shared" si="631"/>
        <v>0</v>
      </c>
      <c r="V1278" s="19">
        <f t="shared" si="617"/>
        <v>0</v>
      </c>
      <c r="W1278" s="20">
        <f t="shared" ca="1" si="632"/>
        <v>0</v>
      </c>
      <c r="X1278" s="19">
        <f t="shared" ca="1" si="633"/>
        <v>0</v>
      </c>
      <c r="Y1278" s="19">
        <f t="shared" ca="1" si="634"/>
        <v>0</v>
      </c>
      <c r="Z1278" s="20">
        <f t="shared" ca="1" si="635"/>
        <v>0</v>
      </c>
      <c r="AA1278" s="1">
        <f t="shared" si="613"/>
        <v>5432.58</v>
      </c>
      <c r="AB1278" s="93"/>
      <c r="AC1278" s="94"/>
      <c r="AD1278" s="101">
        <f t="shared" si="614"/>
        <v>78564</v>
      </c>
      <c r="AE1278" s="103">
        <f t="shared" si="615"/>
        <v>0</v>
      </c>
      <c r="AG1278" s="1">
        <f t="shared" si="636"/>
        <v>0</v>
      </c>
      <c r="AH1278" s="1">
        <f t="shared" si="637"/>
        <v>0</v>
      </c>
      <c r="AI1278" s="1">
        <f t="shared" si="616"/>
        <v>5432.58</v>
      </c>
      <c r="AJ1278" s="20">
        <f t="shared" si="618"/>
        <v>0</v>
      </c>
      <c r="AK1278" s="100">
        <f t="shared" si="620"/>
        <v>0</v>
      </c>
      <c r="AL1278" s="100">
        <f t="shared" si="621"/>
        <v>0</v>
      </c>
      <c r="AN1278" s="100">
        <f t="shared" si="622"/>
        <v>2887.3060103558005</v>
      </c>
      <c r="AO1278" s="20">
        <f t="shared" si="623"/>
        <v>0</v>
      </c>
      <c r="AQ1278" s="109">
        <f t="shared" si="624"/>
        <v>0</v>
      </c>
      <c r="AU1278" s="109">
        <f t="shared" si="609"/>
        <v>24.251303720420712</v>
      </c>
      <c r="AV1278" s="101">
        <f t="shared" si="625"/>
        <v>78594</v>
      </c>
      <c r="AW1278" s="99">
        <f t="shared" si="626"/>
        <v>0</v>
      </c>
      <c r="AX1278" s="1">
        <f t="shared" si="627"/>
        <v>0</v>
      </c>
      <c r="AY1278" s="29">
        <f t="shared" si="628"/>
        <v>0</v>
      </c>
      <c r="AZ1278" s="1">
        <f t="shared" si="610"/>
        <v>0</v>
      </c>
      <c r="CB1278" s="20">
        <f t="shared" si="619"/>
        <v>0</v>
      </c>
      <c r="CC1278" s="173">
        <f t="shared" si="611"/>
        <v>0</v>
      </c>
    </row>
    <row r="1279" spans="10:81" x14ac:dyDescent="0.25">
      <c r="J1279" s="7"/>
      <c r="K1279" s="8"/>
      <c r="L1279" s="16"/>
      <c r="M1279" s="22"/>
      <c r="N1279" s="22"/>
      <c r="O1279" s="22"/>
      <c r="P1279" s="22"/>
      <c r="Q1279" s="1">
        <f t="shared" si="612"/>
        <v>0.60744618579017706</v>
      </c>
      <c r="R1279" s="12">
        <f t="shared" ca="1" si="629"/>
        <v>37472</v>
      </c>
      <c r="S1279" s="88">
        <f t="shared" si="608"/>
        <v>0</v>
      </c>
      <c r="T1279" s="19">
        <f t="shared" si="630"/>
        <v>0</v>
      </c>
      <c r="U1279" s="19">
        <f t="shared" si="631"/>
        <v>0</v>
      </c>
      <c r="V1279" s="19">
        <f t="shared" si="617"/>
        <v>0</v>
      </c>
      <c r="W1279" s="20">
        <f t="shared" ca="1" si="632"/>
        <v>0</v>
      </c>
      <c r="X1279" s="19">
        <f t="shared" ca="1" si="633"/>
        <v>0</v>
      </c>
      <c r="Y1279" s="19">
        <f t="shared" ca="1" si="634"/>
        <v>0</v>
      </c>
      <c r="Z1279" s="20">
        <f t="shared" ca="1" si="635"/>
        <v>0</v>
      </c>
      <c r="AA1279" s="1">
        <f t="shared" si="613"/>
        <v>5432.58</v>
      </c>
      <c r="AB1279" s="91"/>
      <c r="AC1279" s="92"/>
      <c r="AD1279" s="101">
        <f t="shared" si="614"/>
        <v>78594</v>
      </c>
      <c r="AE1279" s="103">
        <f t="shared" si="615"/>
        <v>0</v>
      </c>
      <c r="AG1279" s="1">
        <f t="shared" si="636"/>
        <v>0</v>
      </c>
      <c r="AH1279" s="1">
        <f t="shared" si="637"/>
        <v>0</v>
      </c>
      <c r="AI1279" s="1">
        <f t="shared" si="616"/>
        <v>5432.58</v>
      </c>
      <c r="AJ1279" s="20">
        <f t="shared" si="618"/>
        <v>0</v>
      </c>
      <c r="AK1279" s="100">
        <f t="shared" si="620"/>
        <v>0</v>
      </c>
      <c r="AL1279" s="100">
        <f t="shared" si="621"/>
        <v>0</v>
      </c>
      <c r="AN1279" s="100">
        <f t="shared" si="622"/>
        <v>2885.8451806493285</v>
      </c>
      <c r="AO1279" s="20">
        <f t="shared" si="623"/>
        <v>0</v>
      </c>
      <c r="AQ1279" s="109">
        <f t="shared" si="624"/>
        <v>0</v>
      </c>
      <c r="AU1279" s="109">
        <f t="shared" si="609"/>
        <v>24.249175181710321</v>
      </c>
      <c r="AV1279" s="101">
        <f t="shared" si="625"/>
        <v>78624</v>
      </c>
      <c r="AW1279" s="99">
        <f t="shared" si="626"/>
        <v>0</v>
      </c>
      <c r="AX1279" s="1">
        <f t="shared" si="627"/>
        <v>0</v>
      </c>
      <c r="AY1279" s="29">
        <f t="shared" si="628"/>
        <v>0</v>
      </c>
      <c r="AZ1279" s="1">
        <f t="shared" si="610"/>
        <v>0</v>
      </c>
      <c r="CB1279" s="20">
        <f t="shared" si="619"/>
        <v>0</v>
      </c>
      <c r="CC1279" s="173">
        <f t="shared" si="611"/>
        <v>0</v>
      </c>
    </row>
    <row r="1280" spans="10:81" x14ac:dyDescent="0.25">
      <c r="J1280" s="9"/>
      <c r="K1280" s="10"/>
      <c r="L1280" s="17"/>
      <c r="M1280" s="23"/>
      <c r="N1280" s="23"/>
      <c r="O1280" s="23"/>
      <c r="P1280" s="23"/>
      <c r="Q1280" s="1">
        <f t="shared" si="612"/>
        <v>0.60744618579017706</v>
      </c>
      <c r="R1280" s="12">
        <f t="shared" ca="1" si="629"/>
        <v>37502</v>
      </c>
      <c r="S1280" s="88">
        <f t="shared" si="608"/>
        <v>0</v>
      </c>
      <c r="T1280" s="19">
        <f t="shared" si="630"/>
        <v>0</v>
      </c>
      <c r="U1280" s="19">
        <f t="shared" si="631"/>
        <v>0</v>
      </c>
      <c r="V1280" s="19">
        <f t="shared" si="617"/>
        <v>0</v>
      </c>
      <c r="W1280" s="20">
        <f t="shared" ca="1" si="632"/>
        <v>0</v>
      </c>
      <c r="X1280" s="19">
        <f t="shared" ca="1" si="633"/>
        <v>0</v>
      </c>
      <c r="Y1280" s="19">
        <f t="shared" ca="1" si="634"/>
        <v>0</v>
      </c>
      <c r="Z1280" s="20">
        <f t="shared" ca="1" si="635"/>
        <v>0</v>
      </c>
      <c r="AA1280" s="1">
        <f t="shared" si="613"/>
        <v>5432.58</v>
      </c>
      <c r="AB1280" s="93"/>
      <c r="AC1280" s="94"/>
      <c r="AD1280" s="101">
        <f t="shared" si="614"/>
        <v>78624</v>
      </c>
      <c r="AE1280" s="103">
        <f t="shared" si="615"/>
        <v>0</v>
      </c>
      <c r="AG1280" s="1">
        <f t="shared" si="636"/>
        <v>0</v>
      </c>
      <c r="AH1280" s="1">
        <f t="shared" si="637"/>
        <v>0</v>
      </c>
      <c r="AI1280" s="1">
        <f t="shared" si="616"/>
        <v>5432.58</v>
      </c>
      <c r="AJ1280" s="20">
        <f t="shared" si="618"/>
        <v>0</v>
      </c>
      <c r="AK1280" s="100">
        <f t="shared" si="620"/>
        <v>0</v>
      </c>
      <c r="AL1280" s="100">
        <f t="shared" si="621"/>
        <v>0</v>
      </c>
      <c r="AN1280" s="100">
        <f t="shared" si="622"/>
        <v>2884.3850900482453</v>
      </c>
      <c r="AO1280" s="20">
        <f t="shared" si="623"/>
        <v>0</v>
      </c>
      <c r="AQ1280" s="109">
        <f t="shared" si="624"/>
        <v>0</v>
      </c>
      <c r="AU1280" s="109">
        <f t="shared" si="609"/>
        <v>24.247046829821926</v>
      </c>
      <c r="AV1280" s="101">
        <f t="shared" si="625"/>
        <v>78654</v>
      </c>
      <c r="AW1280" s="99">
        <f t="shared" si="626"/>
        <v>0</v>
      </c>
      <c r="AX1280" s="1">
        <f t="shared" si="627"/>
        <v>0</v>
      </c>
      <c r="AY1280" s="29">
        <f t="shared" si="628"/>
        <v>0</v>
      </c>
      <c r="AZ1280" s="1">
        <f t="shared" si="610"/>
        <v>0</v>
      </c>
      <c r="CB1280" s="20">
        <f t="shared" si="619"/>
        <v>0</v>
      </c>
      <c r="CC1280" s="173">
        <f t="shared" si="611"/>
        <v>0</v>
      </c>
    </row>
    <row r="1281" spans="10:81" x14ac:dyDescent="0.25">
      <c r="J1281" s="7"/>
      <c r="K1281" s="8"/>
      <c r="L1281" s="16"/>
      <c r="M1281" s="22"/>
      <c r="N1281" s="22"/>
      <c r="O1281" s="22"/>
      <c r="P1281" s="22"/>
      <c r="Q1281" s="1">
        <f t="shared" si="612"/>
        <v>0.60744618579017706</v>
      </c>
      <c r="R1281" s="12">
        <f t="shared" ca="1" si="629"/>
        <v>37532</v>
      </c>
      <c r="S1281" s="88">
        <f t="shared" si="608"/>
        <v>0</v>
      </c>
      <c r="T1281" s="19">
        <f t="shared" si="630"/>
        <v>0</v>
      </c>
      <c r="U1281" s="19">
        <f t="shared" si="631"/>
        <v>0</v>
      </c>
      <c r="V1281" s="19">
        <f t="shared" si="617"/>
        <v>0</v>
      </c>
      <c r="W1281" s="20">
        <f t="shared" ca="1" si="632"/>
        <v>0</v>
      </c>
      <c r="X1281" s="19">
        <f t="shared" ca="1" si="633"/>
        <v>0</v>
      </c>
      <c r="Y1281" s="19">
        <f t="shared" ca="1" si="634"/>
        <v>0</v>
      </c>
      <c r="Z1281" s="20">
        <f t="shared" ca="1" si="635"/>
        <v>0</v>
      </c>
      <c r="AA1281" s="1">
        <f t="shared" si="613"/>
        <v>5432.58</v>
      </c>
      <c r="AB1281" s="91"/>
      <c r="AC1281" s="92"/>
      <c r="AD1281" s="101">
        <f t="shared" si="614"/>
        <v>78654</v>
      </c>
      <c r="AE1281" s="103">
        <f t="shared" si="615"/>
        <v>0</v>
      </c>
      <c r="AG1281" s="1">
        <f t="shared" si="636"/>
        <v>0</v>
      </c>
      <c r="AH1281" s="1">
        <f t="shared" si="637"/>
        <v>0</v>
      </c>
      <c r="AI1281" s="1">
        <f t="shared" si="616"/>
        <v>5432.58</v>
      </c>
      <c r="AJ1281" s="20">
        <f t="shared" si="618"/>
        <v>0</v>
      </c>
      <c r="AK1281" s="100">
        <f t="shared" si="620"/>
        <v>0</v>
      </c>
      <c r="AL1281" s="100">
        <f t="shared" si="621"/>
        <v>0</v>
      </c>
      <c r="AN1281" s="100">
        <f t="shared" si="622"/>
        <v>2882.9257381786006</v>
      </c>
      <c r="AO1281" s="20">
        <f t="shared" si="623"/>
        <v>0</v>
      </c>
      <c r="AQ1281" s="109">
        <f t="shared" si="624"/>
        <v>0</v>
      </c>
      <c r="AU1281" s="109">
        <f t="shared" si="609"/>
        <v>24.244918664739135</v>
      </c>
      <c r="AV1281" s="101">
        <f t="shared" si="625"/>
        <v>78684</v>
      </c>
      <c r="AW1281" s="99">
        <f t="shared" si="626"/>
        <v>0</v>
      </c>
      <c r="AX1281" s="1">
        <f t="shared" si="627"/>
        <v>0</v>
      </c>
      <c r="AY1281" s="29">
        <f t="shared" si="628"/>
        <v>0</v>
      </c>
      <c r="AZ1281" s="1">
        <f t="shared" si="610"/>
        <v>0</v>
      </c>
      <c r="CB1281" s="20">
        <f t="shared" si="619"/>
        <v>0</v>
      </c>
      <c r="CC1281" s="173">
        <f t="shared" si="611"/>
        <v>0</v>
      </c>
    </row>
    <row r="1282" spans="10:81" x14ac:dyDescent="0.25">
      <c r="J1282" s="9"/>
      <c r="K1282" s="10"/>
      <c r="L1282" s="17"/>
      <c r="M1282" s="23"/>
      <c r="N1282" s="23"/>
      <c r="O1282" s="23"/>
      <c r="P1282" s="23"/>
      <c r="Q1282" s="1">
        <f t="shared" si="612"/>
        <v>0.60744618579017706</v>
      </c>
      <c r="R1282" s="12">
        <f t="shared" ca="1" si="629"/>
        <v>37562</v>
      </c>
      <c r="S1282" s="88">
        <f t="shared" si="608"/>
        <v>0</v>
      </c>
      <c r="T1282" s="19">
        <f t="shared" si="630"/>
        <v>0</v>
      </c>
      <c r="U1282" s="19">
        <f t="shared" si="631"/>
        <v>0</v>
      </c>
      <c r="V1282" s="19">
        <f t="shared" si="617"/>
        <v>0</v>
      </c>
      <c r="W1282" s="20">
        <f t="shared" ca="1" si="632"/>
        <v>0</v>
      </c>
      <c r="X1282" s="19">
        <f t="shared" ca="1" si="633"/>
        <v>0</v>
      </c>
      <c r="Y1282" s="19">
        <f t="shared" ca="1" si="634"/>
        <v>0</v>
      </c>
      <c r="Z1282" s="20">
        <f t="shared" ca="1" si="635"/>
        <v>0</v>
      </c>
      <c r="AA1282" s="1">
        <f t="shared" si="613"/>
        <v>5432.58</v>
      </c>
      <c r="AB1282" s="93"/>
      <c r="AC1282" s="94"/>
      <c r="AD1282" s="101">
        <f t="shared" si="614"/>
        <v>78684</v>
      </c>
      <c r="AE1282" s="103">
        <f t="shared" si="615"/>
        <v>0</v>
      </c>
      <c r="AG1282" s="1">
        <f t="shared" si="636"/>
        <v>0</v>
      </c>
      <c r="AH1282" s="1">
        <f t="shared" si="637"/>
        <v>0</v>
      </c>
      <c r="AI1282" s="1">
        <f t="shared" si="616"/>
        <v>5432.58</v>
      </c>
      <c r="AJ1282" s="20">
        <f t="shared" si="618"/>
        <v>0</v>
      </c>
      <c r="AK1282" s="100">
        <f t="shared" si="620"/>
        <v>0</v>
      </c>
      <c r="AL1282" s="100">
        <f t="shared" si="621"/>
        <v>0</v>
      </c>
      <c r="AN1282" s="100">
        <f t="shared" si="622"/>
        <v>2881.4671246666344</v>
      </c>
      <c r="AO1282" s="20">
        <f t="shared" si="623"/>
        <v>0</v>
      </c>
      <c r="AQ1282" s="109">
        <f t="shared" si="624"/>
        <v>0</v>
      </c>
      <c r="AU1282" s="109">
        <f t="shared" si="609"/>
        <v>24.242790686445542</v>
      </c>
      <c r="AV1282" s="101">
        <f t="shared" si="625"/>
        <v>78714</v>
      </c>
      <c r="AW1282" s="99">
        <f t="shared" si="626"/>
        <v>0</v>
      </c>
      <c r="AX1282" s="1">
        <f t="shared" si="627"/>
        <v>0</v>
      </c>
      <c r="AY1282" s="29">
        <f t="shared" si="628"/>
        <v>0</v>
      </c>
      <c r="AZ1282" s="1">
        <f t="shared" si="610"/>
        <v>0</v>
      </c>
      <c r="CB1282" s="20">
        <f t="shared" si="619"/>
        <v>0</v>
      </c>
      <c r="CC1282" s="173">
        <f t="shared" si="611"/>
        <v>0</v>
      </c>
    </row>
    <row r="1283" spans="10:81" x14ac:dyDescent="0.25">
      <c r="J1283" s="7"/>
      <c r="K1283" s="8"/>
      <c r="L1283" s="16"/>
      <c r="M1283" s="22"/>
      <c r="N1283" s="22"/>
      <c r="O1283" s="22"/>
      <c r="P1283" s="22"/>
      <c r="Q1283" s="1">
        <f t="shared" si="612"/>
        <v>0.60744618579017706</v>
      </c>
      <c r="R1283" s="12">
        <f t="shared" ca="1" si="629"/>
        <v>37592</v>
      </c>
      <c r="S1283" s="88">
        <f t="shared" ref="S1283:S1346" si="638">N1283+M1283</f>
        <v>0</v>
      </c>
      <c r="T1283" s="19">
        <f t="shared" si="630"/>
        <v>0</v>
      </c>
      <c r="U1283" s="19">
        <f t="shared" si="631"/>
        <v>0</v>
      </c>
      <c r="V1283" s="19">
        <f t="shared" si="617"/>
        <v>0</v>
      </c>
      <c r="W1283" s="20">
        <f t="shared" ca="1" si="632"/>
        <v>0</v>
      </c>
      <c r="X1283" s="19">
        <f t="shared" ca="1" si="633"/>
        <v>0</v>
      </c>
      <c r="Y1283" s="19">
        <f t="shared" ca="1" si="634"/>
        <v>0</v>
      </c>
      <c r="Z1283" s="20">
        <f t="shared" ca="1" si="635"/>
        <v>0</v>
      </c>
      <c r="AA1283" s="1">
        <f t="shared" si="613"/>
        <v>5432.58</v>
      </c>
      <c r="AB1283" s="91"/>
      <c r="AC1283" s="92"/>
      <c r="AD1283" s="101">
        <f t="shared" si="614"/>
        <v>78714</v>
      </c>
      <c r="AE1283" s="103">
        <f t="shared" si="615"/>
        <v>0</v>
      </c>
      <c r="AG1283" s="1">
        <f t="shared" si="636"/>
        <v>0</v>
      </c>
      <c r="AH1283" s="1">
        <f t="shared" si="637"/>
        <v>0</v>
      </c>
      <c r="AI1283" s="1">
        <f t="shared" si="616"/>
        <v>5432.58</v>
      </c>
      <c r="AJ1283" s="20">
        <f t="shared" si="618"/>
        <v>0</v>
      </c>
      <c r="AK1283" s="100">
        <f t="shared" si="620"/>
        <v>0</v>
      </c>
      <c r="AL1283" s="100">
        <f t="shared" si="621"/>
        <v>0</v>
      </c>
      <c r="AN1283" s="100">
        <f t="shared" si="622"/>
        <v>2880.0092491387754</v>
      </c>
      <c r="AO1283" s="20">
        <f t="shared" si="623"/>
        <v>0</v>
      </c>
      <c r="AQ1283" s="109">
        <f t="shared" si="624"/>
        <v>0</v>
      </c>
      <c r="AU1283" s="109">
        <f t="shared" si="609"/>
        <v>24.240662894924771</v>
      </c>
      <c r="AV1283" s="101">
        <f t="shared" si="625"/>
        <v>78744</v>
      </c>
      <c r="AW1283" s="99">
        <f t="shared" si="626"/>
        <v>0</v>
      </c>
      <c r="AX1283" s="1">
        <f t="shared" si="627"/>
        <v>0</v>
      </c>
      <c r="AY1283" s="29">
        <f t="shared" si="628"/>
        <v>0</v>
      </c>
      <c r="AZ1283" s="1">
        <f t="shared" si="610"/>
        <v>0</v>
      </c>
      <c r="CB1283" s="20">
        <f t="shared" si="619"/>
        <v>0</v>
      </c>
      <c r="CC1283" s="173">
        <f t="shared" si="611"/>
        <v>0</v>
      </c>
    </row>
    <row r="1284" spans="10:81" x14ac:dyDescent="0.25">
      <c r="J1284" s="9"/>
      <c r="K1284" s="10"/>
      <c r="L1284" s="17"/>
      <c r="M1284" s="23"/>
      <c r="N1284" s="23"/>
      <c r="O1284" s="23"/>
      <c r="P1284" s="23"/>
      <c r="Q1284" s="1">
        <f t="shared" si="612"/>
        <v>0.60744618579017706</v>
      </c>
      <c r="R1284" s="12">
        <f t="shared" ca="1" si="629"/>
        <v>37622</v>
      </c>
      <c r="S1284" s="88">
        <f t="shared" si="638"/>
        <v>0</v>
      </c>
      <c r="T1284" s="19">
        <f t="shared" si="630"/>
        <v>0</v>
      </c>
      <c r="U1284" s="19">
        <f t="shared" si="631"/>
        <v>0</v>
      </c>
      <c r="V1284" s="19">
        <f t="shared" si="617"/>
        <v>0</v>
      </c>
      <c r="W1284" s="20">
        <f t="shared" ca="1" si="632"/>
        <v>0</v>
      </c>
      <c r="X1284" s="19">
        <f t="shared" ca="1" si="633"/>
        <v>0</v>
      </c>
      <c r="Y1284" s="19">
        <f t="shared" ca="1" si="634"/>
        <v>0</v>
      </c>
      <c r="Z1284" s="20">
        <f t="shared" ca="1" si="635"/>
        <v>0</v>
      </c>
      <c r="AA1284" s="1">
        <f t="shared" si="613"/>
        <v>5432.58</v>
      </c>
      <c r="AB1284" s="93"/>
      <c r="AC1284" s="94"/>
      <c r="AD1284" s="101">
        <f t="shared" si="614"/>
        <v>78744</v>
      </c>
      <c r="AE1284" s="103">
        <f t="shared" si="615"/>
        <v>0</v>
      </c>
      <c r="AG1284" s="1">
        <f t="shared" si="636"/>
        <v>0</v>
      </c>
      <c r="AH1284" s="1">
        <f t="shared" si="637"/>
        <v>0</v>
      </c>
      <c r="AI1284" s="1">
        <f t="shared" si="616"/>
        <v>5432.58</v>
      </c>
      <c r="AJ1284" s="20">
        <f t="shared" si="618"/>
        <v>0</v>
      </c>
      <c r="AK1284" s="100">
        <f t="shared" si="620"/>
        <v>0</v>
      </c>
      <c r="AL1284" s="100">
        <f t="shared" si="621"/>
        <v>0</v>
      </c>
      <c r="AN1284" s="100">
        <f t="shared" si="622"/>
        <v>2878.552111221642</v>
      </c>
      <c r="AO1284" s="20">
        <f t="shared" si="623"/>
        <v>0</v>
      </c>
      <c r="AQ1284" s="109">
        <f t="shared" si="624"/>
        <v>0</v>
      </c>
      <c r="AU1284" s="109">
        <f t="shared" si="609"/>
        <v>24.238535290160417</v>
      </c>
      <c r="AV1284" s="101">
        <f t="shared" si="625"/>
        <v>78774</v>
      </c>
      <c r="AW1284" s="99">
        <f t="shared" si="626"/>
        <v>0</v>
      </c>
      <c r="AX1284" s="1">
        <f t="shared" si="627"/>
        <v>0</v>
      </c>
      <c r="AY1284" s="29">
        <f t="shared" si="628"/>
        <v>0</v>
      </c>
      <c r="AZ1284" s="1">
        <f t="shared" si="610"/>
        <v>0</v>
      </c>
      <c r="CB1284" s="20">
        <f t="shared" si="619"/>
        <v>0</v>
      </c>
      <c r="CC1284" s="173">
        <f t="shared" si="611"/>
        <v>0</v>
      </c>
    </row>
    <row r="1285" spans="10:81" x14ac:dyDescent="0.25">
      <c r="J1285" s="7"/>
      <c r="K1285" s="8"/>
      <c r="L1285" s="16"/>
      <c r="M1285" s="22"/>
      <c r="N1285" s="22"/>
      <c r="O1285" s="22"/>
      <c r="P1285" s="22"/>
      <c r="Q1285" s="1">
        <f t="shared" si="612"/>
        <v>0.60744618579017706</v>
      </c>
      <c r="R1285" s="12">
        <f t="shared" ca="1" si="629"/>
        <v>37652</v>
      </c>
      <c r="S1285" s="88">
        <f t="shared" si="638"/>
        <v>0</v>
      </c>
      <c r="T1285" s="19">
        <f t="shared" si="630"/>
        <v>0</v>
      </c>
      <c r="U1285" s="19">
        <f t="shared" si="631"/>
        <v>0</v>
      </c>
      <c r="V1285" s="19">
        <f t="shared" si="617"/>
        <v>0</v>
      </c>
      <c r="W1285" s="20">
        <f t="shared" ca="1" si="632"/>
        <v>0</v>
      </c>
      <c r="X1285" s="19">
        <f t="shared" ca="1" si="633"/>
        <v>0</v>
      </c>
      <c r="Y1285" s="19">
        <f t="shared" ca="1" si="634"/>
        <v>0</v>
      </c>
      <c r="Z1285" s="20">
        <f t="shared" ca="1" si="635"/>
        <v>0</v>
      </c>
      <c r="AA1285" s="1">
        <f t="shared" si="613"/>
        <v>5432.58</v>
      </c>
      <c r="AB1285" s="91"/>
      <c r="AC1285" s="92"/>
      <c r="AD1285" s="101">
        <f t="shared" si="614"/>
        <v>78774</v>
      </c>
      <c r="AE1285" s="103">
        <f t="shared" si="615"/>
        <v>0</v>
      </c>
      <c r="AG1285" s="1">
        <f t="shared" si="636"/>
        <v>0</v>
      </c>
      <c r="AH1285" s="1">
        <f t="shared" si="637"/>
        <v>0</v>
      </c>
      <c r="AI1285" s="1">
        <f t="shared" si="616"/>
        <v>5432.58</v>
      </c>
      <c r="AJ1285" s="20">
        <f t="shared" si="618"/>
        <v>0</v>
      </c>
      <c r="AK1285" s="100">
        <f t="shared" si="620"/>
        <v>0</v>
      </c>
      <c r="AL1285" s="100">
        <f t="shared" si="621"/>
        <v>0</v>
      </c>
      <c r="AN1285" s="100">
        <f t="shared" si="622"/>
        <v>2877.0957105420403</v>
      </c>
      <c r="AO1285" s="20">
        <f t="shared" si="623"/>
        <v>0</v>
      </c>
      <c r="AQ1285" s="109">
        <f t="shared" si="624"/>
        <v>0</v>
      </c>
      <c r="AU1285" s="109">
        <f t="shared" si="609"/>
        <v>24.236407872136091</v>
      </c>
      <c r="AV1285" s="101">
        <f t="shared" si="625"/>
        <v>78804</v>
      </c>
      <c r="AW1285" s="99">
        <f t="shared" si="626"/>
        <v>0</v>
      </c>
      <c r="AX1285" s="1">
        <f t="shared" si="627"/>
        <v>0</v>
      </c>
      <c r="AY1285" s="29">
        <f t="shared" si="628"/>
        <v>0</v>
      </c>
      <c r="AZ1285" s="1">
        <f t="shared" si="610"/>
        <v>0</v>
      </c>
      <c r="CB1285" s="20">
        <f t="shared" si="619"/>
        <v>0</v>
      </c>
      <c r="CC1285" s="173">
        <f t="shared" si="611"/>
        <v>0</v>
      </c>
    </row>
    <row r="1286" spans="10:81" x14ac:dyDescent="0.25">
      <c r="J1286" s="9"/>
      <c r="K1286" s="10"/>
      <c r="L1286" s="17"/>
      <c r="M1286" s="23"/>
      <c r="N1286" s="23"/>
      <c r="O1286" s="23"/>
      <c r="P1286" s="23"/>
      <c r="Q1286" s="1">
        <f t="shared" si="612"/>
        <v>0.60744618579017706</v>
      </c>
      <c r="R1286" s="12">
        <f t="shared" ca="1" si="629"/>
        <v>37682</v>
      </c>
      <c r="S1286" s="88">
        <f t="shared" si="638"/>
        <v>0</v>
      </c>
      <c r="T1286" s="19">
        <f t="shared" si="630"/>
        <v>0</v>
      </c>
      <c r="U1286" s="19">
        <f t="shared" si="631"/>
        <v>0</v>
      </c>
      <c r="V1286" s="19">
        <f t="shared" si="617"/>
        <v>0</v>
      </c>
      <c r="W1286" s="20">
        <f t="shared" ca="1" si="632"/>
        <v>0</v>
      </c>
      <c r="X1286" s="19">
        <f t="shared" ca="1" si="633"/>
        <v>0</v>
      </c>
      <c r="Y1286" s="19">
        <f t="shared" ca="1" si="634"/>
        <v>0</v>
      </c>
      <c r="Z1286" s="20">
        <f t="shared" ca="1" si="635"/>
        <v>0</v>
      </c>
      <c r="AA1286" s="1">
        <f t="shared" si="613"/>
        <v>5432.58</v>
      </c>
      <c r="AB1286" s="93"/>
      <c r="AC1286" s="94"/>
      <c r="AD1286" s="101">
        <f t="shared" si="614"/>
        <v>78804</v>
      </c>
      <c r="AE1286" s="103">
        <f t="shared" si="615"/>
        <v>0</v>
      </c>
      <c r="AG1286" s="1">
        <f t="shared" si="636"/>
        <v>0</v>
      </c>
      <c r="AH1286" s="1">
        <f t="shared" si="637"/>
        <v>0</v>
      </c>
      <c r="AI1286" s="1">
        <f t="shared" si="616"/>
        <v>5432.58</v>
      </c>
      <c r="AJ1286" s="20">
        <f t="shared" si="618"/>
        <v>0</v>
      </c>
      <c r="AK1286" s="100">
        <f t="shared" si="620"/>
        <v>0</v>
      </c>
      <c r="AL1286" s="100">
        <f t="shared" si="621"/>
        <v>0</v>
      </c>
      <c r="AN1286" s="100">
        <f t="shared" si="622"/>
        <v>2875.6400467269655</v>
      </c>
      <c r="AO1286" s="20">
        <f t="shared" si="623"/>
        <v>0</v>
      </c>
      <c r="AQ1286" s="109">
        <f t="shared" si="624"/>
        <v>0</v>
      </c>
      <c r="AU1286" s="109">
        <f t="shared" si="609"/>
        <v>24.234280640835401</v>
      </c>
      <c r="AV1286" s="101">
        <f t="shared" si="625"/>
        <v>78834</v>
      </c>
      <c r="AW1286" s="99">
        <f t="shared" si="626"/>
        <v>0</v>
      </c>
      <c r="AX1286" s="1">
        <f t="shared" si="627"/>
        <v>0</v>
      </c>
      <c r="AY1286" s="29">
        <f t="shared" si="628"/>
        <v>0</v>
      </c>
      <c r="AZ1286" s="1">
        <f t="shared" si="610"/>
        <v>0</v>
      </c>
      <c r="CB1286" s="20">
        <f t="shared" si="619"/>
        <v>0</v>
      </c>
      <c r="CC1286" s="173">
        <f t="shared" si="611"/>
        <v>0</v>
      </c>
    </row>
    <row r="1287" spans="10:81" x14ac:dyDescent="0.25">
      <c r="J1287" s="7"/>
      <c r="K1287" s="8"/>
      <c r="L1287" s="16"/>
      <c r="M1287" s="22"/>
      <c r="N1287" s="22"/>
      <c r="O1287" s="22"/>
      <c r="P1287" s="22"/>
      <c r="Q1287" s="1">
        <f t="shared" si="612"/>
        <v>0.60744618579017706</v>
      </c>
      <c r="R1287" s="12">
        <f t="shared" ca="1" si="629"/>
        <v>37712</v>
      </c>
      <c r="S1287" s="88">
        <f t="shared" si="638"/>
        <v>0</v>
      </c>
      <c r="T1287" s="19">
        <f t="shared" si="630"/>
        <v>0</v>
      </c>
      <c r="U1287" s="19">
        <f t="shared" si="631"/>
        <v>0</v>
      </c>
      <c r="V1287" s="19">
        <f t="shared" si="617"/>
        <v>0</v>
      </c>
      <c r="W1287" s="20">
        <f t="shared" ca="1" si="632"/>
        <v>0</v>
      </c>
      <c r="X1287" s="19">
        <f t="shared" ca="1" si="633"/>
        <v>0</v>
      </c>
      <c r="Y1287" s="19">
        <f t="shared" ca="1" si="634"/>
        <v>0</v>
      </c>
      <c r="Z1287" s="20">
        <f t="shared" ca="1" si="635"/>
        <v>0</v>
      </c>
      <c r="AA1287" s="1">
        <f t="shared" si="613"/>
        <v>5432.58</v>
      </c>
      <c r="AB1287" s="91"/>
      <c r="AC1287" s="92"/>
      <c r="AD1287" s="101">
        <f t="shared" si="614"/>
        <v>78834</v>
      </c>
      <c r="AE1287" s="103">
        <f t="shared" si="615"/>
        <v>0</v>
      </c>
      <c r="AG1287" s="1">
        <f t="shared" si="636"/>
        <v>0</v>
      </c>
      <c r="AH1287" s="1">
        <f t="shared" si="637"/>
        <v>0</v>
      </c>
      <c r="AI1287" s="1">
        <f t="shared" si="616"/>
        <v>5432.58</v>
      </c>
      <c r="AJ1287" s="20">
        <f t="shared" si="618"/>
        <v>0</v>
      </c>
      <c r="AK1287" s="100">
        <f t="shared" si="620"/>
        <v>0</v>
      </c>
      <c r="AL1287" s="100">
        <f t="shared" si="621"/>
        <v>0</v>
      </c>
      <c r="AN1287" s="100">
        <f t="shared" si="622"/>
        <v>2874.1851194036008</v>
      </c>
      <c r="AO1287" s="20">
        <f t="shared" si="623"/>
        <v>0</v>
      </c>
      <c r="AQ1287" s="109">
        <f t="shared" si="624"/>
        <v>0</v>
      </c>
      <c r="AU1287" s="109">
        <f t="shared" si="609"/>
        <v>24.23215359624195</v>
      </c>
      <c r="AV1287" s="101">
        <f t="shared" si="625"/>
        <v>78864</v>
      </c>
      <c r="AW1287" s="99">
        <f t="shared" si="626"/>
        <v>0</v>
      </c>
      <c r="AX1287" s="1">
        <f t="shared" si="627"/>
        <v>0</v>
      </c>
      <c r="AY1287" s="29">
        <f t="shared" si="628"/>
        <v>0</v>
      </c>
      <c r="AZ1287" s="1">
        <f t="shared" si="610"/>
        <v>0</v>
      </c>
      <c r="CB1287" s="20">
        <f t="shared" si="619"/>
        <v>0</v>
      </c>
      <c r="CC1287" s="173">
        <f t="shared" si="611"/>
        <v>0</v>
      </c>
    </row>
    <row r="1288" spans="10:81" x14ac:dyDescent="0.25">
      <c r="J1288" s="9"/>
      <c r="K1288" s="10"/>
      <c r="L1288" s="17"/>
      <c r="M1288" s="23"/>
      <c r="N1288" s="23"/>
      <c r="O1288" s="23"/>
      <c r="P1288" s="23"/>
      <c r="Q1288" s="1">
        <f t="shared" si="612"/>
        <v>0.60744618579017706</v>
      </c>
      <c r="R1288" s="12">
        <f t="shared" ca="1" si="629"/>
        <v>37742</v>
      </c>
      <c r="S1288" s="88">
        <f t="shared" si="638"/>
        <v>0</v>
      </c>
      <c r="T1288" s="19">
        <f t="shared" si="630"/>
        <v>0</v>
      </c>
      <c r="U1288" s="19">
        <f t="shared" si="631"/>
        <v>0</v>
      </c>
      <c r="V1288" s="19">
        <f t="shared" si="617"/>
        <v>0</v>
      </c>
      <c r="W1288" s="20">
        <f t="shared" ca="1" si="632"/>
        <v>0</v>
      </c>
      <c r="X1288" s="19">
        <f t="shared" ca="1" si="633"/>
        <v>0</v>
      </c>
      <c r="Y1288" s="19">
        <f t="shared" ca="1" si="634"/>
        <v>0</v>
      </c>
      <c r="Z1288" s="20">
        <f t="shared" ca="1" si="635"/>
        <v>0</v>
      </c>
      <c r="AA1288" s="1">
        <f t="shared" si="613"/>
        <v>5432.58</v>
      </c>
      <c r="AB1288" s="93"/>
      <c r="AC1288" s="94"/>
      <c r="AD1288" s="101">
        <f t="shared" si="614"/>
        <v>78864</v>
      </c>
      <c r="AE1288" s="103">
        <f t="shared" si="615"/>
        <v>0</v>
      </c>
      <c r="AG1288" s="1">
        <f t="shared" si="636"/>
        <v>0</v>
      </c>
      <c r="AH1288" s="1">
        <f t="shared" si="637"/>
        <v>0</v>
      </c>
      <c r="AI1288" s="1">
        <f t="shared" si="616"/>
        <v>5432.58</v>
      </c>
      <c r="AJ1288" s="20">
        <f t="shared" si="618"/>
        <v>0</v>
      </c>
      <c r="AK1288" s="100">
        <f t="shared" si="620"/>
        <v>0</v>
      </c>
      <c r="AL1288" s="100">
        <f t="shared" si="621"/>
        <v>0</v>
      </c>
      <c r="AN1288" s="100">
        <f t="shared" si="622"/>
        <v>2872.7309281993212</v>
      </c>
      <c r="AO1288" s="20">
        <f t="shared" si="623"/>
        <v>0</v>
      </c>
      <c r="AQ1288" s="109">
        <f t="shared" si="624"/>
        <v>0</v>
      </c>
      <c r="AU1288" s="109">
        <f t="shared" si="609"/>
        <v>24.230026738339365</v>
      </c>
      <c r="AV1288" s="101">
        <f t="shared" si="625"/>
        <v>78894</v>
      </c>
      <c r="AW1288" s="99">
        <f t="shared" si="626"/>
        <v>0</v>
      </c>
      <c r="AX1288" s="1">
        <f t="shared" si="627"/>
        <v>0</v>
      </c>
      <c r="AY1288" s="29">
        <f t="shared" si="628"/>
        <v>0</v>
      </c>
      <c r="AZ1288" s="1">
        <f t="shared" si="610"/>
        <v>0</v>
      </c>
      <c r="CB1288" s="20">
        <f t="shared" si="619"/>
        <v>0</v>
      </c>
      <c r="CC1288" s="173">
        <f t="shared" si="611"/>
        <v>0</v>
      </c>
    </row>
    <row r="1289" spans="10:81" x14ac:dyDescent="0.25">
      <c r="J1289" s="7"/>
      <c r="K1289" s="8"/>
      <c r="L1289" s="16"/>
      <c r="M1289" s="22"/>
      <c r="N1289" s="22"/>
      <c r="O1289" s="22"/>
      <c r="P1289" s="22"/>
      <c r="Q1289" s="1">
        <f t="shared" si="612"/>
        <v>0.60744618579017706</v>
      </c>
      <c r="R1289" s="12">
        <f t="shared" ca="1" si="629"/>
        <v>37772</v>
      </c>
      <c r="S1289" s="88">
        <f t="shared" si="638"/>
        <v>0</v>
      </c>
      <c r="T1289" s="19">
        <f t="shared" si="630"/>
        <v>0</v>
      </c>
      <c r="U1289" s="19">
        <f t="shared" si="631"/>
        <v>0</v>
      </c>
      <c r="V1289" s="19">
        <f t="shared" si="617"/>
        <v>0</v>
      </c>
      <c r="W1289" s="20">
        <f t="shared" ca="1" si="632"/>
        <v>0</v>
      </c>
      <c r="X1289" s="19">
        <f t="shared" ca="1" si="633"/>
        <v>0</v>
      </c>
      <c r="Y1289" s="19">
        <f t="shared" ca="1" si="634"/>
        <v>0</v>
      </c>
      <c r="Z1289" s="20">
        <f t="shared" ca="1" si="635"/>
        <v>0</v>
      </c>
      <c r="AA1289" s="1">
        <f t="shared" si="613"/>
        <v>5432.58</v>
      </c>
      <c r="AB1289" s="91"/>
      <c r="AC1289" s="92"/>
      <c r="AD1289" s="101">
        <f t="shared" si="614"/>
        <v>78894</v>
      </c>
      <c r="AE1289" s="103">
        <f t="shared" si="615"/>
        <v>0</v>
      </c>
      <c r="AG1289" s="1">
        <f t="shared" si="636"/>
        <v>0</v>
      </c>
      <c r="AH1289" s="1">
        <f t="shared" si="637"/>
        <v>0</v>
      </c>
      <c r="AI1289" s="1">
        <f t="shared" si="616"/>
        <v>5432.58</v>
      </c>
      <c r="AJ1289" s="20">
        <f t="shared" si="618"/>
        <v>0</v>
      </c>
      <c r="AK1289" s="100">
        <f t="shared" si="620"/>
        <v>0</v>
      </c>
      <c r="AL1289" s="100">
        <f t="shared" si="621"/>
        <v>0</v>
      </c>
      <c r="AN1289" s="100">
        <f t="shared" si="622"/>
        <v>2871.277472741685</v>
      </c>
      <c r="AO1289" s="20">
        <f t="shared" si="623"/>
        <v>0</v>
      </c>
      <c r="AQ1289" s="109">
        <f t="shared" si="624"/>
        <v>0</v>
      </c>
      <c r="AU1289" s="109">
        <f t="shared" si="609"/>
        <v>24.227900067111261</v>
      </c>
      <c r="AV1289" s="101">
        <f t="shared" si="625"/>
        <v>78924</v>
      </c>
      <c r="AW1289" s="99">
        <f t="shared" si="626"/>
        <v>0</v>
      </c>
      <c r="AX1289" s="1">
        <f t="shared" si="627"/>
        <v>0</v>
      </c>
      <c r="AY1289" s="29">
        <f t="shared" si="628"/>
        <v>0</v>
      </c>
      <c r="AZ1289" s="1">
        <f t="shared" si="610"/>
        <v>0</v>
      </c>
      <c r="CB1289" s="20">
        <f t="shared" si="619"/>
        <v>0</v>
      </c>
      <c r="CC1289" s="173">
        <f t="shared" si="611"/>
        <v>0</v>
      </c>
    </row>
    <row r="1290" spans="10:81" x14ac:dyDescent="0.25">
      <c r="J1290" s="9"/>
      <c r="K1290" s="10"/>
      <c r="L1290" s="17"/>
      <c r="M1290" s="23"/>
      <c r="N1290" s="23"/>
      <c r="O1290" s="23"/>
      <c r="P1290" s="23"/>
      <c r="Q1290" s="1">
        <f t="shared" si="612"/>
        <v>0.60744618579017706</v>
      </c>
      <c r="R1290" s="12">
        <f t="shared" ca="1" si="629"/>
        <v>37802</v>
      </c>
      <c r="S1290" s="88">
        <f t="shared" si="638"/>
        <v>0</v>
      </c>
      <c r="T1290" s="19">
        <f t="shared" si="630"/>
        <v>0</v>
      </c>
      <c r="U1290" s="19">
        <f t="shared" si="631"/>
        <v>0</v>
      </c>
      <c r="V1290" s="19">
        <f t="shared" si="617"/>
        <v>0</v>
      </c>
      <c r="W1290" s="20">
        <f t="shared" ca="1" si="632"/>
        <v>0</v>
      </c>
      <c r="X1290" s="19">
        <f t="shared" ca="1" si="633"/>
        <v>0</v>
      </c>
      <c r="Y1290" s="19">
        <f t="shared" ca="1" si="634"/>
        <v>0</v>
      </c>
      <c r="Z1290" s="20">
        <f t="shared" ca="1" si="635"/>
        <v>0</v>
      </c>
      <c r="AA1290" s="1">
        <f t="shared" si="613"/>
        <v>5432.58</v>
      </c>
      <c r="AB1290" s="93"/>
      <c r="AC1290" s="94"/>
      <c r="AD1290" s="101">
        <f t="shared" si="614"/>
        <v>78924</v>
      </c>
      <c r="AE1290" s="103">
        <f t="shared" si="615"/>
        <v>0</v>
      </c>
      <c r="AG1290" s="1">
        <f t="shared" si="636"/>
        <v>0</v>
      </c>
      <c r="AH1290" s="1">
        <f t="shared" si="637"/>
        <v>0</v>
      </c>
      <c r="AI1290" s="1">
        <f t="shared" si="616"/>
        <v>5432.58</v>
      </c>
      <c r="AJ1290" s="20">
        <f t="shared" si="618"/>
        <v>0</v>
      </c>
      <c r="AK1290" s="100">
        <f t="shared" si="620"/>
        <v>0</v>
      </c>
      <c r="AL1290" s="100">
        <f t="shared" si="621"/>
        <v>0</v>
      </c>
      <c r="AN1290" s="100">
        <f t="shared" si="622"/>
        <v>2869.8247526584437</v>
      </c>
      <c r="AO1290" s="20">
        <f t="shared" si="623"/>
        <v>0</v>
      </c>
      <c r="AQ1290" s="109">
        <f t="shared" si="624"/>
        <v>0</v>
      </c>
      <c r="AU1290" s="109">
        <f t="shared" si="609"/>
        <v>24.225773582541233</v>
      </c>
      <c r="AV1290" s="101">
        <f t="shared" si="625"/>
        <v>78954</v>
      </c>
      <c r="AW1290" s="99">
        <f t="shared" si="626"/>
        <v>0</v>
      </c>
      <c r="AX1290" s="1">
        <f t="shared" si="627"/>
        <v>0</v>
      </c>
      <c r="AY1290" s="29">
        <f t="shared" si="628"/>
        <v>0</v>
      </c>
      <c r="AZ1290" s="1">
        <f t="shared" si="610"/>
        <v>0</v>
      </c>
      <c r="CB1290" s="20">
        <f t="shared" si="619"/>
        <v>0</v>
      </c>
      <c r="CC1290" s="173">
        <f t="shared" si="611"/>
        <v>0</v>
      </c>
    </row>
    <row r="1291" spans="10:81" x14ac:dyDescent="0.25">
      <c r="J1291" s="7"/>
      <c r="K1291" s="8"/>
      <c r="L1291" s="16"/>
      <c r="M1291" s="22"/>
      <c r="N1291" s="22"/>
      <c r="O1291" s="22"/>
      <c r="P1291" s="22"/>
      <c r="Q1291" s="1">
        <f t="shared" si="612"/>
        <v>0.60744618579017706</v>
      </c>
      <c r="R1291" s="12">
        <f t="shared" ca="1" si="629"/>
        <v>37832</v>
      </c>
      <c r="S1291" s="88">
        <f t="shared" si="638"/>
        <v>0</v>
      </c>
      <c r="T1291" s="19">
        <f t="shared" si="630"/>
        <v>0</v>
      </c>
      <c r="U1291" s="19">
        <f t="shared" si="631"/>
        <v>0</v>
      </c>
      <c r="V1291" s="19">
        <f t="shared" si="617"/>
        <v>0</v>
      </c>
      <c r="W1291" s="20">
        <f t="shared" ca="1" si="632"/>
        <v>0</v>
      </c>
      <c r="X1291" s="19">
        <f t="shared" ca="1" si="633"/>
        <v>0</v>
      </c>
      <c r="Y1291" s="19">
        <f t="shared" ca="1" si="634"/>
        <v>0</v>
      </c>
      <c r="Z1291" s="20">
        <f t="shared" ca="1" si="635"/>
        <v>0</v>
      </c>
      <c r="AA1291" s="1">
        <f t="shared" si="613"/>
        <v>5432.58</v>
      </c>
      <c r="AB1291" s="91"/>
      <c r="AC1291" s="92"/>
      <c r="AD1291" s="101">
        <f t="shared" si="614"/>
        <v>78954</v>
      </c>
      <c r="AE1291" s="103">
        <f t="shared" si="615"/>
        <v>0</v>
      </c>
      <c r="AG1291" s="1">
        <f t="shared" si="636"/>
        <v>0</v>
      </c>
      <c r="AH1291" s="1">
        <f t="shared" si="637"/>
        <v>0</v>
      </c>
      <c r="AI1291" s="1">
        <f t="shared" si="616"/>
        <v>5432.58</v>
      </c>
      <c r="AJ1291" s="20">
        <f t="shared" si="618"/>
        <v>0</v>
      </c>
      <c r="AK1291" s="100">
        <f t="shared" si="620"/>
        <v>0</v>
      </c>
      <c r="AL1291" s="100">
        <f t="shared" si="621"/>
        <v>0</v>
      </c>
      <c r="AN1291" s="100">
        <f t="shared" si="622"/>
        <v>2868.3727675775363</v>
      </c>
      <c r="AO1291" s="20">
        <f t="shared" si="623"/>
        <v>0</v>
      </c>
      <c r="AQ1291" s="109">
        <f t="shared" si="624"/>
        <v>0</v>
      </c>
      <c r="AU1291" s="109">
        <f t="shared" si="609"/>
        <v>24.22364728461293</v>
      </c>
      <c r="AV1291" s="101">
        <f t="shared" si="625"/>
        <v>78984</v>
      </c>
      <c r="AW1291" s="99">
        <f t="shared" si="626"/>
        <v>0</v>
      </c>
      <c r="AX1291" s="1">
        <f t="shared" si="627"/>
        <v>0</v>
      </c>
      <c r="AY1291" s="29">
        <f t="shared" si="628"/>
        <v>0</v>
      </c>
      <c r="AZ1291" s="1">
        <f t="shared" si="610"/>
        <v>0</v>
      </c>
      <c r="CB1291" s="20">
        <f t="shared" si="619"/>
        <v>0</v>
      </c>
      <c r="CC1291" s="173">
        <f t="shared" si="611"/>
        <v>0</v>
      </c>
    </row>
    <row r="1292" spans="10:81" x14ac:dyDescent="0.25">
      <c r="J1292" s="9"/>
      <c r="K1292" s="10"/>
      <c r="L1292" s="17"/>
      <c r="M1292" s="23"/>
      <c r="N1292" s="23"/>
      <c r="O1292" s="23"/>
      <c r="P1292" s="23"/>
      <c r="Q1292" s="1">
        <f t="shared" si="612"/>
        <v>0.60744618579017706</v>
      </c>
      <c r="R1292" s="12">
        <f t="shared" ca="1" si="629"/>
        <v>37862</v>
      </c>
      <c r="S1292" s="88">
        <f t="shared" si="638"/>
        <v>0</v>
      </c>
      <c r="T1292" s="19">
        <f t="shared" si="630"/>
        <v>0</v>
      </c>
      <c r="U1292" s="19">
        <f t="shared" si="631"/>
        <v>0</v>
      </c>
      <c r="V1292" s="19">
        <f t="shared" si="617"/>
        <v>0</v>
      </c>
      <c r="W1292" s="20">
        <f t="shared" ca="1" si="632"/>
        <v>0</v>
      </c>
      <c r="X1292" s="19">
        <f t="shared" ca="1" si="633"/>
        <v>0</v>
      </c>
      <c r="Y1292" s="19">
        <f t="shared" ca="1" si="634"/>
        <v>0</v>
      </c>
      <c r="Z1292" s="20">
        <f t="shared" ca="1" si="635"/>
        <v>0</v>
      </c>
      <c r="AA1292" s="1">
        <f t="shared" si="613"/>
        <v>5432.58</v>
      </c>
      <c r="AB1292" s="93"/>
      <c r="AC1292" s="94"/>
      <c r="AD1292" s="101">
        <f t="shared" si="614"/>
        <v>78984</v>
      </c>
      <c r="AE1292" s="103">
        <f t="shared" si="615"/>
        <v>0</v>
      </c>
      <c r="AG1292" s="1">
        <f t="shared" si="636"/>
        <v>0</v>
      </c>
      <c r="AH1292" s="1">
        <f t="shared" si="637"/>
        <v>0</v>
      </c>
      <c r="AI1292" s="1">
        <f t="shared" si="616"/>
        <v>5432.58</v>
      </c>
      <c r="AJ1292" s="20">
        <f t="shared" si="618"/>
        <v>0</v>
      </c>
      <c r="AK1292" s="100">
        <f t="shared" si="620"/>
        <v>0</v>
      </c>
      <c r="AL1292" s="100">
        <f t="shared" si="621"/>
        <v>0</v>
      </c>
      <c r="AN1292" s="100">
        <f t="shared" si="622"/>
        <v>2866.9215171270876</v>
      </c>
      <c r="AO1292" s="20">
        <f t="shared" si="623"/>
        <v>0</v>
      </c>
      <c r="AQ1292" s="109">
        <f t="shared" si="624"/>
        <v>0</v>
      </c>
      <c r="AU1292" s="109">
        <f t="shared" si="609"/>
        <v>24.221521173309938</v>
      </c>
      <c r="AV1292" s="101">
        <f t="shared" si="625"/>
        <v>79014</v>
      </c>
      <c r="AW1292" s="99">
        <f t="shared" si="626"/>
        <v>0</v>
      </c>
      <c r="AX1292" s="1">
        <f t="shared" si="627"/>
        <v>0</v>
      </c>
      <c r="AY1292" s="29">
        <f t="shared" si="628"/>
        <v>0</v>
      </c>
      <c r="AZ1292" s="1">
        <f t="shared" si="610"/>
        <v>0</v>
      </c>
      <c r="CB1292" s="20">
        <f t="shared" si="619"/>
        <v>0</v>
      </c>
      <c r="CC1292" s="173">
        <f t="shared" si="611"/>
        <v>0</v>
      </c>
    </row>
    <row r="1293" spans="10:81" x14ac:dyDescent="0.25">
      <c r="J1293" s="7"/>
      <c r="K1293" s="8"/>
      <c r="L1293" s="16"/>
      <c r="M1293" s="22"/>
      <c r="N1293" s="22"/>
      <c r="O1293" s="22"/>
      <c r="P1293" s="22"/>
      <c r="Q1293" s="1">
        <f t="shared" si="612"/>
        <v>0.60744618579017706</v>
      </c>
      <c r="R1293" s="12">
        <f t="shared" ca="1" si="629"/>
        <v>37892</v>
      </c>
      <c r="S1293" s="88">
        <f t="shared" si="638"/>
        <v>0</v>
      </c>
      <c r="T1293" s="19">
        <f t="shared" si="630"/>
        <v>0</v>
      </c>
      <c r="U1293" s="19">
        <f t="shared" si="631"/>
        <v>0</v>
      </c>
      <c r="V1293" s="19">
        <f t="shared" si="617"/>
        <v>0</v>
      </c>
      <c r="W1293" s="20">
        <f t="shared" ca="1" si="632"/>
        <v>0</v>
      </c>
      <c r="X1293" s="19">
        <f t="shared" ca="1" si="633"/>
        <v>0</v>
      </c>
      <c r="Y1293" s="19">
        <f t="shared" ca="1" si="634"/>
        <v>0</v>
      </c>
      <c r="Z1293" s="20">
        <f t="shared" ca="1" si="635"/>
        <v>0</v>
      </c>
      <c r="AA1293" s="1">
        <f t="shared" si="613"/>
        <v>5432.58</v>
      </c>
      <c r="AB1293" s="91"/>
      <c r="AC1293" s="92"/>
      <c r="AD1293" s="101">
        <f t="shared" si="614"/>
        <v>79014</v>
      </c>
      <c r="AE1293" s="103">
        <f t="shared" si="615"/>
        <v>0</v>
      </c>
      <c r="AG1293" s="1">
        <f t="shared" si="636"/>
        <v>0</v>
      </c>
      <c r="AH1293" s="1">
        <f t="shared" si="637"/>
        <v>0</v>
      </c>
      <c r="AI1293" s="1">
        <f t="shared" si="616"/>
        <v>5432.58</v>
      </c>
      <c r="AJ1293" s="20">
        <f t="shared" si="618"/>
        <v>0</v>
      </c>
      <c r="AK1293" s="100">
        <f t="shared" si="620"/>
        <v>0</v>
      </c>
      <c r="AL1293" s="100">
        <f t="shared" si="621"/>
        <v>0</v>
      </c>
      <c r="AN1293" s="100">
        <f t="shared" si="622"/>
        <v>2865.4710009354112</v>
      </c>
      <c r="AO1293" s="20">
        <f t="shared" si="623"/>
        <v>0</v>
      </c>
      <c r="AQ1293" s="109">
        <f t="shared" si="624"/>
        <v>0</v>
      </c>
      <c r="AU1293" s="109">
        <f t="shared" si="609"/>
        <v>24.219395248615893</v>
      </c>
      <c r="AV1293" s="101">
        <f t="shared" si="625"/>
        <v>79044</v>
      </c>
      <c r="AW1293" s="99">
        <f t="shared" si="626"/>
        <v>0</v>
      </c>
      <c r="AX1293" s="1">
        <f t="shared" si="627"/>
        <v>0</v>
      </c>
      <c r="AY1293" s="29">
        <f t="shared" si="628"/>
        <v>0</v>
      </c>
      <c r="AZ1293" s="1">
        <f t="shared" si="610"/>
        <v>0</v>
      </c>
      <c r="CB1293" s="20">
        <f t="shared" si="619"/>
        <v>0</v>
      </c>
      <c r="CC1293" s="173">
        <f t="shared" si="611"/>
        <v>0</v>
      </c>
    </row>
    <row r="1294" spans="10:81" x14ac:dyDescent="0.25">
      <c r="J1294" s="9"/>
      <c r="K1294" s="10"/>
      <c r="L1294" s="17"/>
      <c r="M1294" s="23"/>
      <c r="N1294" s="23"/>
      <c r="O1294" s="23"/>
      <c r="P1294" s="23"/>
      <c r="Q1294" s="1">
        <f t="shared" si="612"/>
        <v>0.60744618579017706</v>
      </c>
      <c r="R1294" s="12">
        <f t="shared" ca="1" si="629"/>
        <v>37922</v>
      </c>
      <c r="S1294" s="88">
        <f t="shared" si="638"/>
        <v>0</v>
      </c>
      <c r="T1294" s="19">
        <f t="shared" si="630"/>
        <v>0</v>
      </c>
      <c r="U1294" s="19">
        <f t="shared" si="631"/>
        <v>0</v>
      </c>
      <c r="V1294" s="19">
        <f t="shared" si="617"/>
        <v>0</v>
      </c>
      <c r="W1294" s="20">
        <f t="shared" ca="1" si="632"/>
        <v>0</v>
      </c>
      <c r="X1294" s="19">
        <f t="shared" ca="1" si="633"/>
        <v>0</v>
      </c>
      <c r="Y1294" s="19">
        <f t="shared" ca="1" si="634"/>
        <v>0</v>
      </c>
      <c r="Z1294" s="20">
        <f t="shared" ca="1" si="635"/>
        <v>0</v>
      </c>
      <c r="AA1294" s="1">
        <f t="shared" si="613"/>
        <v>5432.58</v>
      </c>
      <c r="AB1294" s="93"/>
      <c r="AC1294" s="94"/>
      <c r="AD1294" s="101">
        <f t="shared" si="614"/>
        <v>79044</v>
      </c>
      <c r="AE1294" s="103">
        <f t="shared" si="615"/>
        <v>0</v>
      </c>
      <c r="AG1294" s="1">
        <f t="shared" si="636"/>
        <v>0</v>
      </c>
      <c r="AH1294" s="1">
        <f t="shared" si="637"/>
        <v>0</v>
      </c>
      <c r="AI1294" s="1">
        <f t="shared" si="616"/>
        <v>5432.58</v>
      </c>
      <c r="AJ1294" s="20">
        <f t="shared" si="618"/>
        <v>0</v>
      </c>
      <c r="AK1294" s="100">
        <f t="shared" si="620"/>
        <v>0</v>
      </c>
      <c r="AL1294" s="100">
        <f t="shared" si="621"/>
        <v>0</v>
      </c>
      <c r="AN1294" s="100">
        <f t="shared" si="622"/>
        <v>2864.0212186310105</v>
      </c>
      <c r="AO1294" s="20">
        <f t="shared" si="623"/>
        <v>0</v>
      </c>
      <c r="AQ1294" s="109">
        <f t="shared" si="624"/>
        <v>0</v>
      </c>
      <c r="AU1294" s="109">
        <f t="shared" si="609"/>
        <v>24.21726951051442</v>
      </c>
      <c r="AV1294" s="101">
        <f t="shared" si="625"/>
        <v>79074</v>
      </c>
      <c r="AW1294" s="99">
        <f t="shared" si="626"/>
        <v>0</v>
      </c>
      <c r="AX1294" s="1">
        <f t="shared" si="627"/>
        <v>0</v>
      </c>
      <c r="AY1294" s="29">
        <f t="shared" si="628"/>
        <v>0</v>
      </c>
      <c r="AZ1294" s="1">
        <f t="shared" si="610"/>
        <v>0</v>
      </c>
      <c r="CB1294" s="20">
        <f t="shared" si="619"/>
        <v>0</v>
      </c>
      <c r="CC1294" s="173">
        <f t="shared" si="611"/>
        <v>0</v>
      </c>
    </row>
    <row r="1295" spans="10:81" x14ac:dyDescent="0.25">
      <c r="J1295" s="7"/>
      <c r="K1295" s="8"/>
      <c r="L1295" s="16"/>
      <c r="M1295" s="22"/>
      <c r="N1295" s="22"/>
      <c r="O1295" s="22"/>
      <c r="P1295" s="22"/>
      <c r="Q1295" s="1">
        <f t="shared" si="612"/>
        <v>0.60744618579017706</v>
      </c>
      <c r="R1295" s="12">
        <f t="shared" ca="1" si="629"/>
        <v>37952</v>
      </c>
      <c r="S1295" s="88">
        <f t="shared" si="638"/>
        <v>0</v>
      </c>
      <c r="T1295" s="19">
        <f t="shared" si="630"/>
        <v>0</v>
      </c>
      <c r="U1295" s="19">
        <f t="shared" si="631"/>
        <v>0</v>
      </c>
      <c r="V1295" s="19">
        <f t="shared" si="617"/>
        <v>0</v>
      </c>
      <c r="W1295" s="20">
        <f t="shared" ca="1" si="632"/>
        <v>0</v>
      </c>
      <c r="X1295" s="19">
        <f t="shared" ca="1" si="633"/>
        <v>0</v>
      </c>
      <c r="Y1295" s="19">
        <f t="shared" ca="1" si="634"/>
        <v>0</v>
      </c>
      <c r="Z1295" s="20">
        <f t="shared" ca="1" si="635"/>
        <v>0</v>
      </c>
      <c r="AA1295" s="1">
        <f t="shared" si="613"/>
        <v>5432.58</v>
      </c>
      <c r="AB1295" s="91"/>
      <c r="AC1295" s="92"/>
      <c r="AD1295" s="101">
        <f t="shared" si="614"/>
        <v>79074</v>
      </c>
      <c r="AE1295" s="103">
        <f t="shared" si="615"/>
        <v>0</v>
      </c>
      <c r="AG1295" s="1">
        <f t="shared" si="636"/>
        <v>0</v>
      </c>
      <c r="AH1295" s="1">
        <f t="shared" si="637"/>
        <v>0</v>
      </c>
      <c r="AI1295" s="1">
        <f t="shared" si="616"/>
        <v>5432.58</v>
      </c>
      <c r="AJ1295" s="20">
        <f t="shared" si="618"/>
        <v>0</v>
      </c>
      <c r="AK1295" s="100">
        <f t="shared" si="620"/>
        <v>0</v>
      </c>
      <c r="AL1295" s="100">
        <f t="shared" si="621"/>
        <v>0</v>
      </c>
      <c r="AN1295" s="100">
        <f t="shared" si="622"/>
        <v>2862.5721698425778</v>
      </c>
      <c r="AO1295" s="20">
        <f t="shared" si="623"/>
        <v>0</v>
      </c>
      <c r="AQ1295" s="109">
        <f t="shared" si="624"/>
        <v>0</v>
      </c>
      <c r="AU1295" s="109">
        <f t="shared" si="609"/>
        <v>24.215143958989135</v>
      </c>
      <c r="AV1295" s="101">
        <f t="shared" si="625"/>
        <v>79104</v>
      </c>
      <c r="AW1295" s="99">
        <f t="shared" si="626"/>
        <v>0</v>
      </c>
      <c r="AX1295" s="1">
        <f t="shared" si="627"/>
        <v>0</v>
      </c>
      <c r="AY1295" s="29">
        <f t="shared" si="628"/>
        <v>0</v>
      </c>
      <c r="AZ1295" s="1">
        <f t="shared" si="610"/>
        <v>0</v>
      </c>
      <c r="CB1295" s="20">
        <f t="shared" si="619"/>
        <v>0</v>
      </c>
      <c r="CC1295" s="173">
        <f t="shared" si="611"/>
        <v>0</v>
      </c>
    </row>
    <row r="1296" spans="10:81" x14ac:dyDescent="0.25">
      <c r="J1296" s="9"/>
      <c r="K1296" s="10"/>
      <c r="L1296" s="17"/>
      <c r="M1296" s="23"/>
      <c r="N1296" s="23"/>
      <c r="O1296" s="23"/>
      <c r="P1296" s="23"/>
      <c r="Q1296" s="1">
        <f t="shared" si="612"/>
        <v>0.60744618579017706</v>
      </c>
      <c r="R1296" s="12">
        <f t="shared" ca="1" si="629"/>
        <v>37982</v>
      </c>
      <c r="S1296" s="88">
        <f t="shared" si="638"/>
        <v>0</v>
      </c>
      <c r="T1296" s="19">
        <f t="shared" si="630"/>
        <v>0</v>
      </c>
      <c r="U1296" s="19">
        <f t="shared" si="631"/>
        <v>0</v>
      </c>
      <c r="V1296" s="19">
        <f t="shared" si="617"/>
        <v>0</v>
      </c>
      <c r="W1296" s="20">
        <f t="shared" ca="1" si="632"/>
        <v>0</v>
      </c>
      <c r="X1296" s="19">
        <f t="shared" ca="1" si="633"/>
        <v>0</v>
      </c>
      <c r="Y1296" s="19">
        <f t="shared" ca="1" si="634"/>
        <v>0</v>
      </c>
      <c r="Z1296" s="20">
        <f t="shared" ca="1" si="635"/>
        <v>0</v>
      </c>
      <c r="AA1296" s="1">
        <f t="shared" si="613"/>
        <v>5432.58</v>
      </c>
      <c r="AB1296" s="93"/>
      <c r="AC1296" s="94"/>
      <c r="AD1296" s="101">
        <f t="shared" si="614"/>
        <v>79104</v>
      </c>
      <c r="AE1296" s="103">
        <f t="shared" si="615"/>
        <v>0</v>
      </c>
      <c r="AG1296" s="1">
        <f t="shared" si="636"/>
        <v>0</v>
      </c>
      <c r="AH1296" s="1">
        <f t="shared" si="637"/>
        <v>0</v>
      </c>
      <c r="AI1296" s="1">
        <f t="shared" si="616"/>
        <v>5432.58</v>
      </c>
      <c r="AJ1296" s="20">
        <f t="shared" si="618"/>
        <v>0</v>
      </c>
      <c r="AK1296" s="100">
        <f t="shared" si="620"/>
        <v>0</v>
      </c>
      <c r="AL1296" s="100">
        <f t="shared" si="621"/>
        <v>0</v>
      </c>
      <c r="AN1296" s="100">
        <f t="shared" si="622"/>
        <v>2861.1238541989887</v>
      </c>
      <c r="AO1296" s="20">
        <f t="shared" si="623"/>
        <v>0</v>
      </c>
      <c r="AQ1296" s="109">
        <f t="shared" si="624"/>
        <v>0</v>
      </c>
      <c r="AU1296" s="109">
        <f t="shared" si="609"/>
        <v>24.213018594023662</v>
      </c>
      <c r="AV1296" s="101">
        <f t="shared" si="625"/>
        <v>79134</v>
      </c>
      <c r="AW1296" s="99">
        <f t="shared" si="626"/>
        <v>0</v>
      </c>
      <c r="AX1296" s="1">
        <f t="shared" si="627"/>
        <v>0</v>
      </c>
      <c r="AY1296" s="29">
        <f t="shared" si="628"/>
        <v>0</v>
      </c>
      <c r="AZ1296" s="1">
        <f t="shared" si="610"/>
        <v>0</v>
      </c>
      <c r="CB1296" s="20">
        <f t="shared" si="619"/>
        <v>0</v>
      </c>
      <c r="CC1296" s="173">
        <f t="shared" si="611"/>
        <v>0</v>
      </c>
    </row>
    <row r="1297" spans="10:81" x14ac:dyDescent="0.25">
      <c r="J1297" s="7"/>
      <c r="K1297" s="8"/>
      <c r="L1297" s="16"/>
      <c r="M1297" s="22"/>
      <c r="N1297" s="22"/>
      <c r="O1297" s="22"/>
      <c r="P1297" s="22"/>
      <c r="Q1297" s="1">
        <f t="shared" si="612"/>
        <v>0.60744618579017706</v>
      </c>
      <c r="R1297" s="12">
        <f t="shared" ca="1" si="629"/>
        <v>38012</v>
      </c>
      <c r="S1297" s="88">
        <f t="shared" si="638"/>
        <v>0</v>
      </c>
      <c r="T1297" s="19">
        <f t="shared" si="630"/>
        <v>0</v>
      </c>
      <c r="U1297" s="19">
        <f t="shared" si="631"/>
        <v>0</v>
      </c>
      <c r="V1297" s="19">
        <f t="shared" si="617"/>
        <v>0</v>
      </c>
      <c r="W1297" s="20">
        <f t="shared" ca="1" si="632"/>
        <v>0</v>
      </c>
      <c r="X1297" s="19">
        <f t="shared" ca="1" si="633"/>
        <v>0</v>
      </c>
      <c r="Y1297" s="19">
        <f t="shared" ca="1" si="634"/>
        <v>0</v>
      </c>
      <c r="Z1297" s="20">
        <f t="shared" ca="1" si="635"/>
        <v>0</v>
      </c>
      <c r="AA1297" s="1">
        <f t="shared" si="613"/>
        <v>5432.58</v>
      </c>
      <c r="AB1297" s="91"/>
      <c r="AC1297" s="92"/>
      <c r="AD1297" s="101">
        <f t="shared" si="614"/>
        <v>79134</v>
      </c>
      <c r="AE1297" s="103">
        <f t="shared" si="615"/>
        <v>0</v>
      </c>
      <c r="AG1297" s="1">
        <f t="shared" si="636"/>
        <v>0</v>
      </c>
      <c r="AH1297" s="1">
        <f t="shared" si="637"/>
        <v>0</v>
      </c>
      <c r="AI1297" s="1">
        <f t="shared" si="616"/>
        <v>5432.58</v>
      </c>
      <c r="AJ1297" s="20">
        <f t="shared" si="618"/>
        <v>0</v>
      </c>
      <c r="AK1297" s="100">
        <f t="shared" si="620"/>
        <v>0</v>
      </c>
      <c r="AL1297" s="100">
        <f t="shared" si="621"/>
        <v>0</v>
      </c>
      <c r="AN1297" s="100">
        <f t="shared" si="622"/>
        <v>2859.6762713293097</v>
      </c>
      <c r="AO1297" s="20">
        <f t="shared" si="623"/>
        <v>0</v>
      </c>
      <c r="AQ1297" s="109">
        <f t="shared" si="624"/>
        <v>0</v>
      </c>
      <c r="AU1297" s="109">
        <f t="shared" si="609"/>
        <v>24.210893415601632</v>
      </c>
      <c r="AV1297" s="101">
        <f t="shared" si="625"/>
        <v>79164</v>
      </c>
      <c r="AW1297" s="99">
        <f t="shared" si="626"/>
        <v>0</v>
      </c>
      <c r="AX1297" s="1">
        <f t="shared" si="627"/>
        <v>0</v>
      </c>
      <c r="AY1297" s="29">
        <f t="shared" si="628"/>
        <v>0</v>
      </c>
      <c r="AZ1297" s="1">
        <f t="shared" si="610"/>
        <v>0</v>
      </c>
      <c r="CB1297" s="20">
        <f t="shared" si="619"/>
        <v>0</v>
      </c>
      <c r="CC1297" s="173">
        <f t="shared" si="611"/>
        <v>0</v>
      </c>
    </row>
    <row r="1298" spans="10:81" x14ac:dyDescent="0.25">
      <c r="J1298" s="9"/>
      <c r="K1298" s="10"/>
      <c r="L1298" s="17"/>
      <c r="M1298" s="23"/>
      <c r="N1298" s="23"/>
      <c r="O1298" s="23"/>
      <c r="P1298" s="23"/>
      <c r="Q1298" s="1">
        <f t="shared" si="612"/>
        <v>0.60744618579017706</v>
      </c>
      <c r="R1298" s="12">
        <f t="shared" ca="1" si="629"/>
        <v>38042</v>
      </c>
      <c r="S1298" s="88">
        <f t="shared" si="638"/>
        <v>0</v>
      </c>
      <c r="T1298" s="19">
        <f t="shared" si="630"/>
        <v>0</v>
      </c>
      <c r="U1298" s="19">
        <f t="shared" si="631"/>
        <v>0</v>
      </c>
      <c r="V1298" s="19">
        <f t="shared" si="617"/>
        <v>0</v>
      </c>
      <c r="W1298" s="20">
        <f t="shared" ca="1" si="632"/>
        <v>0</v>
      </c>
      <c r="X1298" s="19">
        <f t="shared" ca="1" si="633"/>
        <v>0</v>
      </c>
      <c r="Y1298" s="19">
        <f t="shared" ca="1" si="634"/>
        <v>0</v>
      </c>
      <c r="Z1298" s="20">
        <f t="shared" ca="1" si="635"/>
        <v>0</v>
      </c>
      <c r="AA1298" s="1">
        <f t="shared" si="613"/>
        <v>5432.58</v>
      </c>
      <c r="AB1298" s="93"/>
      <c r="AC1298" s="94"/>
      <c r="AD1298" s="101">
        <f t="shared" si="614"/>
        <v>79164</v>
      </c>
      <c r="AE1298" s="103">
        <f t="shared" si="615"/>
        <v>0</v>
      </c>
      <c r="AG1298" s="1">
        <f t="shared" si="636"/>
        <v>0</v>
      </c>
      <c r="AH1298" s="1">
        <f t="shared" si="637"/>
        <v>0</v>
      </c>
      <c r="AI1298" s="1">
        <f t="shared" si="616"/>
        <v>5432.58</v>
      </c>
      <c r="AJ1298" s="20">
        <f t="shared" si="618"/>
        <v>0</v>
      </c>
      <c r="AK1298" s="100">
        <f t="shared" si="620"/>
        <v>0</v>
      </c>
      <c r="AL1298" s="100">
        <f t="shared" si="621"/>
        <v>0</v>
      </c>
      <c r="AN1298" s="100">
        <f t="shared" si="622"/>
        <v>2858.2294208627968</v>
      </c>
      <c r="AO1298" s="20">
        <f t="shared" si="623"/>
        <v>0</v>
      </c>
      <c r="AQ1298" s="109">
        <f t="shared" si="624"/>
        <v>0</v>
      </c>
      <c r="AU1298" s="109">
        <f t="shared" si="609"/>
        <v>24.208768423706662</v>
      </c>
      <c r="AV1298" s="101">
        <f t="shared" si="625"/>
        <v>79194</v>
      </c>
      <c r="AW1298" s="99">
        <f t="shared" si="626"/>
        <v>0</v>
      </c>
      <c r="AX1298" s="1">
        <f t="shared" si="627"/>
        <v>0</v>
      </c>
      <c r="AY1298" s="29">
        <f t="shared" si="628"/>
        <v>0</v>
      </c>
      <c r="AZ1298" s="1">
        <f t="shared" si="610"/>
        <v>0</v>
      </c>
      <c r="CB1298" s="20">
        <f t="shared" si="619"/>
        <v>0</v>
      </c>
      <c r="CC1298" s="173">
        <f t="shared" si="611"/>
        <v>0</v>
      </c>
    </row>
    <row r="1299" spans="10:81" x14ac:dyDescent="0.25">
      <c r="J1299" s="7"/>
      <c r="K1299" s="8"/>
      <c r="L1299" s="16"/>
      <c r="M1299" s="22"/>
      <c r="N1299" s="22"/>
      <c r="O1299" s="22"/>
      <c r="P1299" s="22"/>
      <c r="Q1299" s="1">
        <f t="shared" si="612"/>
        <v>0.60744618579017706</v>
      </c>
      <c r="R1299" s="12">
        <f t="shared" ca="1" si="629"/>
        <v>38072</v>
      </c>
      <c r="S1299" s="88">
        <f t="shared" si="638"/>
        <v>0</v>
      </c>
      <c r="T1299" s="19">
        <f t="shared" si="630"/>
        <v>0</v>
      </c>
      <c r="U1299" s="19">
        <f t="shared" si="631"/>
        <v>0</v>
      </c>
      <c r="V1299" s="19">
        <f t="shared" si="617"/>
        <v>0</v>
      </c>
      <c r="W1299" s="20">
        <f t="shared" ca="1" si="632"/>
        <v>0</v>
      </c>
      <c r="X1299" s="19">
        <f t="shared" ca="1" si="633"/>
        <v>0</v>
      </c>
      <c r="Y1299" s="19">
        <f t="shared" ca="1" si="634"/>
        <v>0</v>
      </c>
      <c r="Z1299" s="20">
        <f t="shared" ca="1" si="635"/>
        <v>0</v>
      </c>
      <c r="AA1299" s="1">
        <f t="shared" si="613"/>
        <v>5432.58</v>
      </c>
      <c r="AB1299" s="91"/>
      <c r="AC1299" s="92"/>
      <c r="AD1299" s="101">
        <f t="shared" si="614"/>
        <v>79194</v>
      </c>
      <c r="AE1299" s="103">
        <f t="shared" si="615"/>
        <v>0</v>
      </c>
      <c r="AG1299" s="1">
        <f t="shared" si="636"/>
        <v>0</v>
      </c>
      <c r="AH1299" s="1">
        <f t="shared" si="637"/>
        <v>0</v>
      </c>
      <c r="AI1299" s="1">
        <f t="shared" si="616"/>
        <v>5432.58</v>
      </c>
      <c r="AJ1299" s="20">
        <f t="shared" si="618"/>
        <v>0</v>
      </c>
      <c r="AK1299" s="100">
        <f t="shared" si="620"/>
        <v>0</v>
      </c>
      <c r="AL1299" s="100">
        <f t="shared" si="621"/>
        <v>0</v>
      </c>
      <c r="AN1299" s="100">
        <f t="shared" si="622"/>
        <v>2856.7833024288889</v>
      </c>
      <c r="AO1299" s="20">
        <f t="shared" si="623"/>
        <v>0</v>
      </c>
      <c r="AQ1299" s="109">
        <f t="shared" si="624"/>
        <v>0</v>
      </c>
      <c r="AU1299" s="109">
        <f t="shared" si="609"/>
        <v>24.206643618322389</v>
      </c>
      <c r="AV1299" s="101">
        <f t="shared" si="625"/>
        <v>79224</v>
      </c>
      <c r="AW1299" s="99">
        <f t="shared" si="626"/>
        <v>0</v>
      </c>
      <c r="AX1299" s="1">
        <f t="shared" si="627"/>
        <v>0</v>
      </c>
      <c r="AY1299" s="29">
        <f t="shared" si="628"/>
        <v>0</v>
      </c>
      <c r="AZ1299" s="1">
        <f t="shared" si="610"/>
        <v>0</v>
      </c>
      <c r="CB1299" s="20">
        <f t="shared" si="619"/>
        <v>0</v>
      </c>
      <c r="CC1299" s="173">
        <f t="shared" si="611"/>
        <v>0</v>
      </c>
    </row>
    <row r="1300" spans="10:81" x14ac:dyDescent="0.25">
      <c r="J1300" s="9"/>
      <c r="K1300" s="10"/>
      <c r="L1300" s="17"/>
      <c r="M1300" s="23"/>
      <c r="N1300" s="23"/>
      <c r="O1300" s="23"/>
      <c r="P1300" s="23"/>
      <c r="Q1300" s="1">
        <f t="shared" si="612"/>
        <v>0.60744618579017706</v>
      </c>
      <c r="R1300" s="12">
        <f t="shared" ca="1" si="629"/>
        <v>38102</v>
      </c>
      <c r="S1300" s="88">
        <f t="shared" si="638"/>
        <v>0</v>
      </c>
      <c r="T1300" s="19">
        <f t="shared" si="630"/>
        <v>0</v>
      </c>
      <c r="U1300" s="19">
        <f t="shared" si="631"/>
        <v>0</v>
      </c>
      <c r="V1300" s="19">
        <f t="shared" si="617"/>
        <v>0</v>
      </c>
      <c r="W1300" s="20">
        <f t="shared" ca="1" si="632"/>
        <v>0</v>
      </c>
      <c r="X1300" s="19">
        <f t="shared" ca="1" si="633"/>
        <v>0</v>
      </c>
      <c r="Y1300" s="19">
        <f t="shared" ca="1" si="634"/>
        <v>0</v>
      </c>
      <c r="Z1300" s="20">
        <f t="shared" ca="1" si="635"/>
        <v>0</v>
      </c>
      <c r="AA1300" s="1">
        <f t="shared" si="613"/>
        <v>5432.58</v>
      </c>
      <c r="AB1300" s="93"/>
      <c r="AC1300" s="94"/>
      <c r="AD1300" s="101">
        <f t="shared" si="614"/>
        <v>79224</v>
      </c>
      <c r="AE1300" s="103">
        <f t="shared" si="615"/>
        <v>0</v>
      </c>
      <c r="AG1300" s="1">
        <f t="shared" si="636"/>
        <v>0</v>
      </c>
      <c r="AH1300" s="1">
        <f t="shared" si="637"/>
        <v>0</v>
      </c>
      <c r="AI1300" s="1">
        <f t="shared" si="616"/>
        <v>5432.58</v>
      </c>
      <c r="AJ1300" s="20">
        <f t="shared" si="618"/>
        <v>0</v>
      </c>
      <c r="AK1300" s="100">
        <f t="shared" si="620"/>
        <v>0</v>
      </c>
      <c r="AL1300" s="100">
        <f t="shared" si="621"/>
        <v>0</v>
      </c>
      <c r="AN1300" s="100">
        <f t="shared" si="622"/>
        <v>2855.3379156572146</v>
      </c>
      <c r="AO1300" s="20">
        <f t="shared" si="623"/>
        <v>0</v>
      </c>
      <c r="AQ1300" s="109">
        <f t="shared" si="624"/>
        <v>0</v>
      </c>
      <c r="AU1300" s="109">
        <f t="shared" si="609"/>
        <v>24.204518999432445</v>
      </c>
      <c r="AV1300" s="101">
        <f t="shared" si="625"/>
        <v>79254</v>
      </c>
      <c r="AW1300" s="99">
        <f t="shared" si="626"/>
        <v>0</v>
      </c>
      <c r="AX1300" s="1">
        <f t="shared" si="627"/>
        <v>0</v>
      </c>
      <c r="AY1300" s="29">
        <f t="shared" si="628"/>
        <v>0</v>
      </c>
      <c r="AZ1300" s="1">
        <f t="shared" si="610"/>
        <v>0</v>
      </c>
      <c r="CB1300" s="20">
        <f t="shared" si="619"/>
        <v>0</v>
      </c>
      <c r="CC1300" s="173">
        <f t="shared" si="611"/>
        <v>0</v>
      </c>
    </row>
    <row r="1301" spans="10:81" x14ac:dyDescent="0.25">
      <c r="J1301" s="7"/>
      <c r="K1301" s="8"/>
      <c r="L1301" s="16"/>
      <c r="M1301" s="22"/>
      <c r="N1301" s="22"/>
      <c r="O1301" s="22"/>
      <c r="P1301" s="22"/>
      <c r="Q1301" s="1">
        <f t="shared" si="612"/>
        <v>0.60744618579017706</v>
      </c>
      <c r="R1301" s="12">
        <f t="shared" ca="1" si="629"/>
        <v>38132</v>
      </c>
      <c r="S1301" s="88">
        <f t="shared" si="638"/>
        <v>0</v>
      </c>
      <c r="T1301" s="19">
        <f t="shared" si="630"/>
        <v>0</v>
      </c>
      <c r="U1301" s="19">
        <f t="shared" si="631"/>
        <v>0</v>
      </c>
      <c r="V1301" s="19">
        <f t="shared" si="617"/>
        <v>0</v>
      </c>
      <c r="W1301" s="20">
        <f t="shared" ca="1" si="632"/>
        <v>0</v>
      </c>
      <c r="X1301" s="19">
        <f t="shared" ca="1" si="633"/>
        <v>0</v>
      </c>
      <c r="Y1301" s="19">
        <f t="shared" ca="1" si="634"/>
        <v>0</v>
      </c>
      <c r="Z1301" s="20">
        <f t="shared" ca="1" si="635"/>
        <v>0</v>
      </c>
      <c r="AA1301" s="1">
        <f t="shared" si="613"/>
        <v>5432.58</v>
      </c>
      <c r="AB1301" s="91"/>
      <c r="AC1301" s="92"/>
      <c r="AD1301" s="101">
        <f t="shared" si="614"/>
        <v>79254</v>
      </c>
      <c r="AE1301" s="103">
        <f t="shared" si="615"/>
        <v>0</v>
      </c>
      <c r="AG1301" s="1">
        <f t="shared" si="636"/>
        <v>0</v>
      </c>
      <c r="AH1301" s="1">
        <f t="shared" si="637"/>
        <v>0</v>
      </c>
      <c r="AI1301" s="1">
        <f t="shared" si="616"/>
        <v>5432.58</v>
      </c>
      <c r="AJ1301" s="20">
        <f t="shared" si="618"/>
        <v>0</v>
      </c>
      <c r="AK1301" s="100">
        <f t="shared" si="620"/>
        <v>0</v>
      </c>
      <c r="AL1301" s="100">
        <f t="shared" si="621"/>
        <v>0</v>
      </c>
      <c r="AN1301" s="100">
        <f t="shared" si="622"/>
        <v>2853.8932601775914</v>
      </c>
      <c r="AO1301" s="20">
        <f t="shared" si="623"/>
        <v>0</v>
      </c>
      <c r="AQ1301" s="109">
        <f t="shared" si="624"/>
        <v>0</v>
      </c>
      <c r="AU1301" s="109">
        <f t="shared" si="609"/>
        <v>24.202394567020452</v>
      </c>
      <c r="AV1301" s="101">
        <f t="shared" si="625"/>
        <v>79284</v>
      </c>
      <c r="AW1301" s="99">
        <f t="shared" si="626"/>
        <v>0</v>
      </c>
      <c r="AX1301" s="1">
        <f t="shared" si="627"/>
        <v>0</v>
      </c>
      <c r="AY1301" s="29">
        <f t="shared" si="628"/>
        <v>0</v>
      </c>
      <c r="AZ1301" s="1">
        <f t="shared" si="610"/>
        <v>0</v>
      </c>
      <c r="CB1301" s="20">
        <f t="shared" si="619"/>
        <v>0</v>
      </c>
      <c r="CC1301" s="173">
        <f t="shared" si="611"/>
        <v>0</v>
      </c>
    </row>
    <row r="1302" spans="10:81" x14ac:dyDescent="0.25">
      <c r="J1302" s="9"/>
      <c r="K1302" s="10"/>
      <c r="L1302" s="17"/>
      <c r="M1302" s="23"/>
      <c r="N1302" s="23"/>
      <c r="O1302" s="23"/>
      <c r="P1302" s="23"/>
      <c r="Q1302" s="1">
        <f t="shared" si="612"/>
        <v>0.60744618579017706</v>
      </c>
      <c r="R1302" s="12">
        <f t="shared" ca="1" si="629"/>
        <v>38162</v>
      </c>
      <c r="S1302" s="88">
        <f t="shared" si="638"/>
        <v>0</v>
      </c>
      <c r="T1302" s="19">
        <f t="shared" si="630"/>
        <v>0</v>
      </c>
      <c r="U1302" s="19">
        <f t="shared" si="631"/>
        <v>0</v>
      </c>
      <c r="V1302" s="19">
        <f t="shared" si="617"/>
        <v>0</v>
      </c>
      <c r="W1302" s="20">
        <f t="shared" ca="1" si="632"/>
        <v>0</v>
      </c>
      <c r="X1302" s="19">
        <f t="shared" ca="1" si="633"/>
        <v>0</v>
      </c>
      <c r="Y1302" s="19">
        <f t="shared" ca="1" si="634"/>
        <v>0</v>
      </c>
      <c r="Z1302" s="20">
        <f t="shared" ca="1" si="635"/>
        <v>0</v>
      </c>
      <c r="AA1302" s="1">
        <f t="shared" si="613"/>
        <v>5432.58</v>
      </c>
      <c r="AB1302" s="93"/>
      <c r="AC1302" s="94"/>
      <c r="AD1302" s="101">
        <f t="shared" si="614"/>
        <v>79284</v>
      </c>
      <c r="AE1302" s="103">
        <f t="shared" si="615"/>
        <v>0</v>
      </c>
      <c r="AG1302" s="1">
        <f t="shared" si="636"/>
        <v>0</v>
      </c>
      <c r="AH1302" s="1">
        <f t="shared" si="637"/>
        <v>0</v>
      </c>
      <c r="AI1302" s="1">
        <f t="shared" si="616"/>
        <v>5432.58</v>
      </c>
      <c r="AJ1302" s="20">
        <f t="shared" si="618"/>
        <v>0</v>
      </c>
      <c r="AK1302" s="100">
        <f t="shared" si="620"/>
        <v>0</v>
      </c>
      <c r="AL1302" s="100">
        <f t="shared" si="621"/>
        <v>0</v>
      </c>
      <c r="AN1302" s="100">
        <f t="shared" si="622"/>
        <v>2852.4493356200223</v>
      </c>
      <c r="AO1302" s="20">
        <f t="shared" si="623"/>
        <v>0</v>
      </c>
      <c r="AQ1302" s="109">
        <f t="shared" si="624"/>
        <v>0</v>
      </c>
      <c r="AU1302" s="109">
        <f t="shared" si="609"/>
        <v>24.200270321070054</v>
      </c>
      <c r="AV1302" s="101">
        <f t="shared" si="625"/>
        <v>79314</v>
      </c>
      <c r="AW1302" s="99">
        <f t="shared" si="626"/>
        <v>0</v>
      </c>
      <c r="AX1302" s="1">
        <f t="shared" si="627"/>
        <v>0</v>
      </c>
      <c r="AY1302" s="29">
        <f t="shared" si="628"/>
        <v>0</v>
      </c>
      <c r="AZ1302" s="1">
        <f t="shared" si="610"/>
        <v>0</v>
      </c>
      <c r="CB1302" s="20">
        <f t="shared" si="619"/>
        <v>0</v>
      </c>
      <c r="CC1302" s="173">
        <f t="shared" si="611"/>
        <v>0</v>
      </c>
    </row>
    <row r="1303" spans="10:81" x14ac:dyDescent="0.25">
      <c r="J1303" s="7"/>
      <c r="K1303" s="8"/>
      <c r="L1303" s="16"/>
      <c r="M1303" s="22"/>
      <c r="N1303" s="22"/>
      <c r="O1303" s="22"/>
      <c r="P1303" s="22"/>
      <c r="Q1303" s="1">
        <f t="shared" si="612"/>
        <v>0.60744618579017706</v>
      </c>
      <c r="R1303" s="12">
        <f t="shared" ca="1" si="629"/>
        <v>38192</v>
      </c>
      <c r="S1303" s="88">
        <f t="shared" si="638"/>
        <v>0</v>
      </c>
      <c r="T1303" s="19">
        <f t="shared" si="630"/>
        <v>0</v>
      </c>
      <c r="U1303" s="19">
        <f t="shared" si="631"/>
        <v>0</v>
      </c>
      <c r="V1303" s="19">
        <f t="shared" si="617"/>
        <v>0</v>
      </c>
      <c r="W1303" s="20">
        <f t="shared" ca="1" si="632"/>
        <v>0</v>
      </c>
      <c r="X1303" s="19">
        <f t="shared" ca="1" si="633"/>
        <v>0</v>
      </c>
      <c r="Y1303" s="19">
        <f t="shared" ca="1" si="634"/>
        <v>0</v>
      </c>
      <c r="Z1303" s="20">
        <f t="shared" ca="1" si="635"/>
        <v>0</v>
      </c>
      <c r="AA1303" s="1">
        <f t="shared" si="613"/>
        <v>5432.58</v>
      </c>
      <c r="AB1303" s="91"/>
      <c r="AC1303" s="92"/>
      <c r="AD1303" s="101">
        <f t="shared" si="614"/>
        <v>79314</v>
      </c>
      <c r="AE1303" s="103">
        <f t="shared" si="615"/>
        <v>0</v>
      </c>
      <c r="AG1303" s="1">
        <f t="shared" si="636"/>
        <v>0</v>
      </c>
      <c r="AH1303" s="1">
        <f t="shared" si="637"/>
        <v>0</v>
      </c>
      <c r="AI1303" s="1">
        <f t="shared" si="616"/>
        <v>5432.58</v>
      </c>
      <c r="AJ1303" s="20">
        <f t="shared" si="618"/>
        <v>0</v>
      </c>
      <c r="AK1303" s="100">
        <f t="shared" si="620"/>
        <v>0</v>
      </c>
      <c r="AL1303" s="100">
        <f t="shared" si="621"/>
        <v>0</v>
      </c>
      <c r="AN1303" s="100">
        <f t="shared" si="622"/>
        <v>2851.0061416146991</v>
      </c>
      <c r="AO1303" s="20">
        <f t="shared" si="623"/>
        <v>0</v>
      </c>
      <c r="AQ1303" s="109">
        <f t="shared" si="624"/>
        <v>0</v>
      </c>
      <c r="AU1303" s="109">
        <f t="shared" si="609"/>
        <v>24.198146261564865</v>
      </c>
      <c r="AV1303" s="101">
        <f t="shared" si="625"/>
        <v>79344</v>
      </c>
      <c r="AW1303" s="99">
        <f t="shared" si="626"/>
        <v>0</v>
      </c>
      <c r="AX1303" s="1">
        <f t="shared" si="627"/>
        <v>0</v>
      </c>
      <c r="AY1303" s="29">
        <f t="shared" si="628"/>
        <v>0</v>
      </c>
      <c r="AZ1303" s="1">
        <f t="shared" si="610"/>
        <v>0</v>
      </c>
      <c r="CB1303" s="20">
        <f t="shared" si="619"/>
        <v>0</v>
      </c>
      <c r="CC1303" s="173">
        <f t="shared" si="611"/>
        <v>0</v>
      </c>
    </row>
    <row r="1304" spans="10:81" x14ac:dyDescent="0.25">
      <c r="J1304" s="9"/>
      <c r="K1304" s="10"/>
      <c r="L1304" s="17"/>
      <c r="M1304" s="23"/>
      <c r="N1304" s="23"/>
      <c r="O1304" s="23"/>
      <c r="P1304" s="23"/>
      <c r="Q1304" s="1">
        <f t="shared" si="612"/>
        <v>0.60744618579017706</v>
      </c>
      <c r="R1304" s="12">
        <f t="shared" ca="1" si="629"/>
        <v>38222</v>
      </c>
      <c r="S1304" s="88">
        <f t="shared" si="638"/>
        <v>0</v>
      </c>
      <c r="T1304" s="19">
        <f t="shared" si="630"/>
        <v>0</v>
      </c>
      <c r="U1304" s="19">
        <f t="shared" si="631"/>
        <v>0</v>
      </c>
      <c r="V1304" s="19">
        <f t="shared" si="617"/>
        <v>0</v>
      </c>
      <c r="W1304" s="20">
        <f t="shared" ca="1" si="632"/>
        <v>0</v>
      </c>
      <c r="X1304" s="19">
        <f t="shared" ca="1" si="633"/>
        <v>0</v>
      </c>
      <c r="Y1304" s="19">
        <f t="shared" ca="1" si="634"/>
        <v>0</v>
      </c>
      <c r="Z1304" s="20">
        <f t="shared" ca="1" si="635"/>
        <v>0</v>
      </c>
      <c r="AA1304" s="1">
        <f t="shared" si="613"/>
        <v>5432.58</v>
      </c>
      <c r="AB1304" s="93"/>
      <c r="AC1304" s="94"/>
      <c r="AD1304" s="101">
        <f t="shared" si="614"/>
        <v>79344</v>
      </c>
      <c r="AE1304" s="103">
        <f t="shared" si="615"/>
        <v>0</v>
      </c>
      <c r="AG1304" s="1">
        <f t="shared" si="636"/>
        <v>0</v>
      </c>
      <c r="AH1304" s="1">
        <f t="shared" si="637"/>
        <v>0</v>
      </c>
      <c r="AI1304" s="1">
        <f t="shared" si="616"/>
        <v>5432.58</v>
      </c>
      <c r="AJ1304" s="20">
        <f t="shared" si="618"/>
        <v>0</v>
      </c>
      <c r="AK1304" s="100">
        <f t="shared" si="620"/>
        <v>0</v>
      </c>
      <c r="AL1304" s="100">
        <f t="shared" si="621"/>
        <v>0</v>
      </c>
      <c r="AN1304" s="100">
        <f t="shared" si="622"/>
        <v>2849.5636777919985</v>
      </c>
      <c r="AO1304" s="20">
        <f t="shared" si="623"/>
        <v>0</v>
      </c>
      <c r="AQ1304" s="109">
        <f t="shared" si="624"/>
        <v>0</v>
      </c>
      <c r="AU1304" s="109">
        <f t="shared" si="609"/>
        <v>24.196022388488551</v>
      </c>
      <c r="AV1304" s="101">
        <f t="shared" si="625"/>
        <v>79374</v>
      </c>
      <c r="AW1304" s="99">
        <f t="shared" si="626"/>
        <v>0</v>
      </c>
      <c r="AX1304" s="1">
        <f t="shared" si="627"/>
        <v>0</v>
      </c>
      <c r="AY1304" s="29">
        <f t="shared" si="628"/>
        <v>0</v>
      </c>
      <c r="AZ1304" s="1">
        <f t="shared" si="610"/>
        <v>0</v>
      </c>
      <c r="CB1304" s="20">
        <f t="shared" si="619"/>
        <v>0</v>
      </c>
      <c r="CC1304" s="173">
        <f t="shared" si="611"/>
        <v>0</v>
      </c>
    </row>
    <row r="1305" spans="10:81" x14ac:dyDescent="0.25">
      <c r="J1305" s="7"/>
      <c r="K1305" s="8"/>
      <c r="L1305" s="16"/>
      <c r="M1305" s="22"/>
      <c r="N1305" s="22"/>
      <c r="O1305" s="22"/>
      <c r="P1305" s="22"/>
      <c r="Q1305" s="1">
        <f t="shared" si="612"/>
        <v>0.60744618579017706</v>
      </c>
      <c r="R1305" s="12">
        <f t="shared" ca="1" si="629"/>
        <v>38252</v>
      </c>
      <c r="S1305" s="88">
        <f t="shared" si="638"/>
        <v>0</v>
      </c>
      <c r="T1305" s="19">
        <f t="shared" si="630"/>
        <v>0</v>
      </c>
      <c r="U1305" s="19">
        <f t="shared" si="631"/>
        <v>0</v>
      </c>
      <c r="V1305" s="19">
        <f t="shared" si="617"/>
        <v>0</v>
      </c>
      <c r="W1305" s="20">
        <f t="shared" ca="1" si="632"/>
        <v>0</v>
      </c>
      <c r="X1305" s="19">
        <f t="shared" ca="1" si="633"/>
        <v>0</v>
      </c>
      <c r="Y1305" s="19">
        <f t="shared" ca="1" si="634"/>
        <v>0</v>
      </c>
      <c r="Z1305" s="20">
        <f t="shared" ca="1" si="635"/>
        <v>0</v>
      </c>
      <c r="AA1305" s="1">
        <f t="shared" si="613"/>
        <v>5432.58</v>
      </c>
      <c r="AB1305" s="91"/>
      <c r="AC1305" s="92"/>
      <c r="AD1305" s="101">
        <f t="shared" si="614"/>
        <v>79374</v>
      </c>
      <c r="AE1305" s="103">
        <f t="shared" si="615"/>
        <v>0</v>
      </c>
      <c r="AG1305" s="1">
        <f t="shared" si="636"/>
        <v>0</v>
      </c>
      <c r="AH1305" s="1">
        <f t="shared" si="637"/>
        <v>0</v>
      </c>
      <c r="AI1305" s="1">
        <f t="shared" si="616"/>
        <v>5432.58</v>
      </c>
      <c r="AJ1305" s="20">
        <f t="shared" si="618"/>
        <v>0</v>
      </c>
      <c r="AK1305" s="100">
        <f t="shared" si="620"/>
        <v>0</v>
      </c>
      <c r="AL1305" s="100">
        <f t="shared" si="621"/>
        <v>0</v>
      </c>
      <c r="AN1305" s="100">
        <f t="shared" si="622"/>
        <v>2848.1219437824839</v>
      </c>
      <c r="AO1305" s="20">
        <f t="shared" si="623"/>
        <v>0</v>
      </c>
      <c r="AQ1305" s="109">
        <f t="shared" si="624"/>
        <v>0</v>
      </c>
      <c r="AU1305" s="109">
        <f t="shared" si="609"/>
        <v>24.193898701824729</v>
      </c>
      <c r="AV1305" s="101">
        <f t="shared" si="625"/>
        <v>79404</v>
      </c>
      <c r="AW1305" s="99">
        <f t="shared" si="626"/>
        <v>0</v>
      </c>
      <c r="AX1305" s="1">
        <f t="shared" si="627"/>
        <v>0</v>
      </c>
      <c r="AY1305" s="29">
        <f t="shared" si="628"/>
        <v>0</v>
      </c>
      <c r="AZ1305" s="1">
        <f t="shared" si="610"/>
        <v>0</v>
      </c>
      <c r="CB1305" s="20">
        <f t="shared" si="619"/>
        <v>0</v>
      </c>
      <c r="CC1305" s="173">
        <f t="shared" si="611"/>
        <v>0</v>
      </c>
    </row>
    <row r="1306" spans="10:81" x14ac:dyDescent="0.25">
      <c r="J1306" s="9"/>
      <c r="K1306" s="10"/>
      <c r="L1306" s="17"/>
      <c r="M1306" s="23"/>
      <c r="N1306" s="23"/>
      <c r="O1306" s="23"/>
      <c r="P1306" s="23"/>
      <c r="Q1306" s="1">
        <f t="shared" si="612"/>
        <v>0.60744618579017706</v>
      </c>
      <c r="R1306" s="12">
        <f t="shared" ca="1" si="629"/>
        <v>38282</v>
      </c>
      <c r="S1306" s="88">
        <f t="shared" si="638"/>
        <v>0</v>
      </c>
      <c r="T1306" s="19">
        <f t="shared" si="630"/>
        <v>0</v>
      </c>
      <c r="U1306" s="19">
        <f t="shared" si="631"/>
        <v>0</v>
      </c>
      <c r="V1306" s="19">
        <f t="shared" si="617"/>
        <v>0</v>
      </c>
      <c r="W1306" s="20">
        <f t="shared" ca="1" si="632"/>
        <v>0</v>
      </c>
      <c r="X1306" s="19">
        <f t="shared" ca="1" si="633"/>
        <v>0</v>
      </c>
      <c r="Y1306" s="19">
        <f t="shared" ca="1" si="634"/>
        <v>0</v>
      </c>
      <c r="Z1306" s="20">
        <f t="shared" ca="1" si="635"/>
        <v>0</v>
      </c>
      <c r="AA1306" s="1">
        <f t="shared" si="613"/>
        <v>5432.58</v>
      </c>
      <c r="AB1306" s="93"/>
      <c r="AC1306" s="94"/>
      <c r="AD1306" s="101">
        <f t="shared" si="614"/>
        <v>79404</v>
      </c>
      <c r="AE1306" s="103">
        <f t="shared" si="615"/>
        <v>0</v>
      </c>
      <c r="AG1306" s="1">
        <f t="shared" si="636"/>
        <v>0</v>
      </c>
      <c r="AH1306" s="1">
        <f t="shared" si="637"/>
        <v>0</v>
      </c>
      <c r="AI1306" s="1">
        <f t="shared" si="616"/>
        <v>5432.58</v>
      </c>
      <c r="AJ1306" s="20">
        <f t="shared" si="618"/>
        <v>0</v>
      </c>
      <c r="AK1306" s="100">
        <f t="shared" si="620"/>
        <v>0</v>
      </c>
      <c r="AL1306" s="100">
        <f t="shared" si="621"/>
        <v>0</v>
      </c>
      <c r="AN1306" s="100">
        <f t="shared" si="622"/>
        <v>2846.6809392169093</v>
      </c>
      <c r="AO1306" s="20">
        <f t="shared" si="623"/>
        <v>0</v>
      </c>
      <c r="AQ1306" s="109">
        <f t="shared" si="624"/>
        <v>0</v>
      </c>
      <c r="AU1306" s="109">
        <f t="shared" si="609"/>
        <v>24.191775201557043</v>
      </c>
      <c r="AV1306" s="101">
        <f t="shared" si="625"/>
        <v>79434</v>
      </c>
      <c r="AW1306" s="99">
        <f t="shared" si="626"/>
        <v>0</v>
      </c>
      <c r="AX1306" s="1">
        <f t="shared" si="627"/>
        <v>0</v>
      </c>
      <c r="AY1306" s="29">
        <f t="shared" si="628"/>
        <v>0</v>
      </c>
      <c r="AZ1306" s="1">
        <f t="shared" si="610"/>
        <v>0</v>
      </c>
      <c r="CB1306" s="20">
        <f t="shared" si="619"/>
        <v>0</v>
      </c>
      <c r="CC1306" s="173">
        <f t="shared" si="611"/>
        <v>0</v>
      </c>
    </row>
    <row r="1307" spans="10:81" x14ac:dyDescent="0.25">
      <c r="J1307" s="7"/>
      <c r="K1307" s="8"/>
      <c r="L1307" s="16"/>
      <c r="M1307" s="22"/>
      <c r="N1307" s="22"/>
      <c r="O1307" s="22"/>
      <c r="P1307" s="22"/>
      <c r="Q1307" s="1">
        <f t="shared" si="612"/>
        <v>0.60744618579017706</v>
      </c>
      <c r="R1307" s="12">
        <f t="shared" ca="1" si="629"/>
        <v>38312</v>
      </c>
      <c r="S1307" s="88">
        <f t="shared" si="638"/>
        <v>0</v>
      </c>
      <c r="T1307" s="19">
        <f t="shared" si="630"/>
        <v>0</v>
      </c>
      <c r="U1307" s="19">
        <f t="shared" si="631"/>
        <v>0</v>
      </c>
      <c r="V1307" s="19">
        <f t="shared" si="617"/>
        <v>0</v>
      </c>
      <c r="W1307" s="20">
        <f t="shared" ca="1" si="632"/>
        <v>0</v>
      </c>
      <c r="X1307" s="19">
        <f t="shared" ca="1" si="633"/>
        <v>0</v>
      </c>
      <c r="Y1307" s="19">
        <f t="shared" ca="1" si="634"/>
        <v>0</v>
      </c>
      <c r="Z1307" s="20">
        <f t="shared" ca="1" si="635"/>
        <v>0</v>
      </c>
      <c r="AA1307" s="1">
        <f t="shared" si="613"/>
        <v>5432.58</v>
      </c>
      <c r="AB1307" s="91"/>
      <c r="AC1307" s="92"/>
      <c r="AD1307" s="101">
        <f t="shared" si="614"/>
        <v>79434</v>
      </c>
      <c r="AE1307" s="103">
        <f t="shared" si="615"/>
        <v>0</v>
      </c>
      <c r="AG1307" s="1">
        <f t="shared" si="636"/>
        <v>0</v>
      </c>
      <c r="AH1307" s="1">
        <f t="shared" si="637"/>
        <v>0</v>
      </c>
      <c r="AI1307" s="1">
        <f t="shared" si="616"/>
        <v>5432.58</v>
      </c>
      <c r="AJ1307" s="20">
        <f t="shared" si="618"/>
        <v>0</v>
      </c>
      <c r="AK1307" s="100">
        <f t="shared" si="620"/>
        <v>0</v>
      </c>
      <c r="AL1307" s="100">
        <f t="shared" si="621"/>
        <v>0</v>
      </c>
      <c r="AN1307" s="100">
        <f t="shared" si="622"/>
        <v>2845.2406637262129</v>
      </c>
      <c r="AO1307" s="20">
        <f t="shared" si="623"/>
        <v>0</v>
      </c>
      <c r="AQ1307" s="109">
        <f t="shared" si="624"/>
        <v>0</v>
      </c>
      <c r="AU1307" s="109">
        <f t="shared" si="609"/>
        <v>24.189651887669122</v>
      </c>
      <c r="AV1307" s="101">
        <f t="shared" si="625"/>
        <v>79464</v>
      </c>
      <c r="AW1307" s="99">
        <f t="shared" si="626"/>
        <v>0</v>
      </c>
      <c r="AX1307" s="1">
        <f t="shared" si="627"/>
        <v>0</v>
      </c>
      <c r="AY1307" s="29">
        <f t="shared" si="628"/>
        <v>0</v>
      </c>
      <c r="AZ1307" s="1">
        <f t="shared" si="610"/>
        <v>0</v>
      </c>
      <c r="CB1307" s="20">
        <f t="shared" si="619"/>
        <v>0</v>
      </c>
      <c r="CC1307" s="173">
        <f t="shared" si="611"/>
        <v>0</v>
      </c>
    </row>
    <row r="1308" spans="10:81" x14ac:dyDescent="0.25">
      <c r="J1308" s="9"/>
      <c r="K1308" s="10"/>
      <c r="L1308" s="17"/>
      <c r="M1308" s="23"/>
      <c r="N1308" s="23"/>
      <c r="O1308" s="23"/>
      <c r="P1308" s="23"/>
      <c r="Q1308" s="1">
        <f t="shared" si="612"/>
        <v>0.60744618579017706</v>
      </c>
      <c r="R1308" s="12">
        <f t="shared" ca="1" si="629"/>
        <v>38342</v>
      </c>
      <c r="S1308" s="88">
        <f t="shared" si="638"/>
        <v>0</v>
      </c>
      <c r="T1308" s="19">
        <f t="shared" si="630"/>
        <v>0</v>
      </c>
      <c r="U1308" s="19">
        <f t="shared" si="631"/>
        <v>0</v>
      </c>
      <c r="V1308" s="19">
        <f t="shared" si="617"/>
        <v>0</v>
      </c>
      <c r="W1308" s="20">
        <f t="shared" ca="1" si="632"/>
        <v>0</v>
      </c>
      <c r="X1308" s="19">
        <f t="shared" ca="1" si="633"/>
        <v>0</v>
      </c>
      <c r="Y1308" s="19">
        <f t="shared" ca="1" si="634"/>
        <v>0</v>
      </c>
      <c r="Z1308" s="20">
        <f t="shared" ca="1" si="635"/>
        <v>0</v>
      </c>
      <c r="AA1308" s="1">
        <f t="shared" si="613"/>
        <v>5432.58</v>
      </c>
      <c r="AB1308" s="93"/>
      <c r="AC1308" s="94"/>
      <c r="AD1308" s="101">
        <f t="shared" si="614"/>
        <v>79464</v>
      </c>
      <c r="AE1308" s="103">
        <f t="shared" si="615"/>
        <v>0</v>
      </c>
      <c r="AG1308" s="1">
        <f t="shared" si="636"/>
        <v>0</v>
      </c>
      <c r="AH1308" s="1">
        <f t="shared" si="637"/>
        <v>0</v>
      </c>
      <c r="AI1308" s="1">
        <f t="shared" si="616"/>
        <v>5432.58</v>
      </c>
      <c r="AJ1308" s="20">
        <f t="shared" si="618"/>
        <v>0</v>
      </c>
      <c r="AK1308" s="100">
        <f t="shared" si="620"/>
        <v>0</v>
      </c>
      <c r="AL1308" s="100">
        <f t="shared" si="621"/>
        <v>0</v>
      </c>
      <c r="AN1308" s="100">
        <f t="shared" si="622"/>
        <v>2843.801116941519</v>
      </c>
      <c r="AO1308" s="20">
        <f t="shared" si="623"/>
        <v>0</v>
      </c>
      <c r="AQ1308" s="109">
        <f t="shared" si="624"/>
        <v>0</v>
      </c>
      <c r="AU1308" s="109">
        <f t="shared" si="609"/>
        <v>24.187528760144623</v>
      </c>
      <c r="AV1308" s="101">
        <f t="shared" si="625"/>
        <v>79494</v>
      </c>
      <c r="AW1308" s="99">
        <f t="shared" si="626"/>
        <v>0</v>
      </c>
      <c r="AX1308" s="1">
        <f t="shared" si="627"/>
        <v>0</v>
      </c>
      <c r="AY1308" s="29">
        <f t="shared" si="628"/>
        <v>0</v>
      </c>
      <c r="AZ1308" s="1">
        <f t="shared" si="610"/>
        <v>0</v>
      </c>
      <c r="CB1308" s="20">
        <f t="shared" si="619"/>
        <v>0</v>
      </c>
      <c r="CC1308" s="173">
        <f t="shared" si="611"/>
        <v>0</v>
      </c>
    </row>
    <row r="1309" spans="10:81" x14ac:dyDescent="0.25">
      <c r="J1309" s="7"/>
      <c r="K1309" s="8"/>
      <c r="L1309" s="16"/>
      <c r="M1309" s="22"/>
      <c r="N1309" s="22"/>
      <c r="O1309" s="22"/>
      <c r="P1309" s="22"/>
      <c r="Q1309" s="1">
        <f t="shared" si="612"/>
        <v>0.60744618579017706</v>
      </c>
      <c r="R1309" s="12">
        <f t="shared" ca="1" si="629"/>
        <v>38372</v>
      </c>
      <c r="S1309" s="88">
        <f t="shared" si="638"/>
        <v>0</v>
      </c>
      <c r="T1309" s="19">
        <f t="shared" si="630"/>
        <v>0</v>
      </c>
      <c r="U1309" s="19">
        <f t="shared" si="631"/>
        <v>0</v>
      </c>
      <c r="V1309" s="19">
        <f t="shared" si="617"/>
        <v>0</v>
      </c>
      <c r="W1309" s="20">
        <f t="shared" ca="1" si="632"/>
        <v>0</v>
      </c>
      <c r="X1309" s="19">
        <f t="shared" ca="1" si="633"/>
        <v>0</v>
      </c>
      <c r="Y1309" s="19">
        <f t="shared" ca="1" si="634"/>
        <v>0</v>
      </c>
      <c r="Z1309" s="20">
        <f t="shared" ca="1" si="635"/>
        <v>0</v>
      </c>
      <c r="AA1309" s="1">
        <f t="shared" si="613"/>
        <v>5432.58</v>
      </c>
      <c r="AB1309" s="91"/>
      <c r="AC1309" s="92"/>
      <c r="AD1309" s="101">
        <f t="shared" si="614"/>
        <v>79494</v>
      </c>
      <c r="AE1309" s="103">
        <f t="shared" si="615"/>
        <v>0</v>
      </c>
      <c r="AG1309" s="1">
        <f t="shared" si="636"/>
        <v>0</v>
      </c>
      <c r="AH1309" s="1">
        <f t="shared" si="637"/>
        <v>0</v>
      </c>
      <c r="AI1309" s="1">
        <f t="shared" si="616"/>
        <v>5432.58</v>
      </c>
      <c r="AJ1309" s="20">
        <f t="shared" si="618"/>
        <v>0</v>
      </c>
      <c r="AK1309" s="100">
        <f t="shared" si="620"/>
        <v>0</v>
      </c>
      <c r="AL1309" s="100">
        <f t="shared" si="621"/>
        <v>0</v>
      </c>
      <c r="AN1309" s="100">
        <f t="shared" si="622"/>
        <v>2842.3622984941412</v>
      </c>
      <c r="AO1309" s="20">
        <f t="shared" si="623"/>
        <v>0</v>
      </c>
      <c r="AQ1309" s="109">
        <f t="shared" si="624"/>
        <v>0</v>
      </c>
      <c r="AU1309" s="109">
        <f t="shared" si="609"/>
        <v>24.185405818967183</v>
      </c>
      <c r="AV1309" s="101">
        <f t="shared" si="625"/>
        <v>79524</v>
      </c>
      <c r="AW1309" s="99">
        <f t="shared" si="626"/>
        <v>0</v>
      </c>
      <c r="AX1309" s="1">
        <f t="shared" si="627"/>
        <v>0</v>
      </c>
      <c r="AY1309" s="29">
        <f t="shared" si="628"/>
        <v>0</v>
      </c>
      <c r="AZ1309" s="1">
        <f t="shared" si="610"/>
        <v>0</v>
      </c>
      <c r="CB1309" s="20">
        <f t="shared" si="619"/>
        <v>0</v>
      </c>
      <c r="CC1309" s="173">
        <f t="shared" si="611"/>
        <v>0</v>
      </c>
    </row>
    <row r="1310" spans="10:81" x14ac:dyDescent="0.25">
      <c r="J1310" s="9"/>
      <c r="K1310" s="10"/>
      <c r="L1310" s="17"/>
      <c r="M1310" s="23"/>
      <c r="N1310" s="23"/>
      <c r="O1310" s="23"/>
      <c r="P1310" s="23"/>
      <c r="Q1310" s="1">
        <f t="shared" si="612"/>
        <v>0.60744618579017706</v>
      </c>
      <c r="R1310" s="12">
        <f t="shared" ca="1" si="629"/>
        <v>38402</v>
      </c>
      <c r="S1310" s="88">
        <f t="shared" si="638"/>
        <v>0</v>
      </c>
      <c r="T1310" s="19">
        <f t="shared" si="630"/>
        <v>0</v>
      </c>
      <c r="U1310" s="19">
        <f t="shared" si="631"/>
        <v>0</v>
      </c>
      <c r="V1310" s="19">
        <f t="shared" si="617"/>
        <v>0</v>
      </c>
      <c r="W1310" s="20">
        <f t="shared" ca="1" si="632"/>
        <v>0</v>
      </c>
      <c r="X1310" s="19">
        <f t="shared" ca="1" si="633"/>
        <v>0</v>
      </c>
      <c r="Y1310" s="19">
        <f t="shared" ca="1" si="634"/>
        <v>0</v>
      </c>
      <c r="Z1310" s="20">
        <f t="shared" ca="1" si="635"/>
        <v>0</v>
      </c>
      <c r="AA1310" s="1">
        <f t="shared" si="613"/>
        <v>5432.58</v>
      </c>
      <c r="AB1310" s="93"/>
      <c r="AC1310" s="94"/>
      <c r="AD1310" s="101">
        <f t="shared" si="614"/>
        <v>79524</v>
      </c>
      <c r="AE1310" s="103">
        <f t="shared" si="615"/>
        <v>0</v>
      </c>
      <c r="AG1310" s="1">
        <f t="shared" si="636"/>
        <v>0</v>
      </c>
      <c r="AH1310" s="1">
        <f t="shared" si="637"/>
        <v>0</v>
      </c>
      <c r="AI1310" s="1">
        <f t="shared" si="616"/>
        <v>5432.58</v>
      </c>
      <c r="AJ1310" s="20">
        <f t="shared" si="618"/>
        <v>0</v>
      </c>
      <c r="AK1310" s="100">
        <f t="shared" si="620"/>
        <v>0</v>
      </c>
      <c r="AL1310" s="100">
        <f t="shared" si="621"/>
        <v>0</v>
      </c>
      <c r="AN1310" s="100">
        <f t="shared" si="622"/>
        <v>2840.9242080155755</v>
      </c>
      <c r="AO1310" s="20">
        <f t="shared" si="623"/>
        <v>0</v>
      </c>
      <c r="AQ1310" s="109">
        <f t="shared" si="624"/>
        <v>0</v>
      </c>
      <c r="AU1310" s="109">
        <f t="shared" si="609"/>
        <v>24.183283064120452</v>
      </c>
      <c r="AV1310" s="101">
        <f t="shared" si="625"/>
        <v>79554</v>
      </c>
      <c r="AW1310" s="99">
        <f t="shared" si="626"/>
        <v>0</v>
      </c>
      <c r="AX1310" s="1">
        <f t="shared" si="627"/>
        <v>0</v>
      </c>
      <c r="AY1310" s="29">
        <f t="shared" si="628"/>
        <v>0</v>
      </c>
      <c r="AZ1310" s="1">
        <f t="shared" si="610"/>
        <v>0</v>
      </c>
      <c r="CB1310" s="20">
        <f t="shared" si="619"/>
        <v>0</v>
      </c>
      <c r="CC1310" s="173">
        <f t="shared" si="611"/>
        <v>0</v>
      </c>
    </row>
    <row r="1311" spans="10:81" x14ac:dyDescent="0.25">
      <c r="J1311" s="7"/>
      <c r="K1311" s="8"/>
      <c r="L1311" s="16"/>
      <c r="M1311" s="22"/>
      <c r="N1311" s="22"/>
      <c r="O1311" s="22"/>
      <c r="P1311" s="22"/>
      <c r="Q1311" s="1">
        <f t="shared" si="612"/>
        <v>0.60744618579017706</v>
      </c>
      <c r="R1311" s="12">
        <f t="shared" ca="1" si="629"/>
        <v>38432</v>
      </c>
      <c r="S1311" s="88">
        <f t="shared" si="638"/>
        <v>0</v>
      </c>
      <c r="T1311" s="19">
        <f t="shared" si="630"/>
        <v>0</v>
      </c>
      <c r="U1311" s="19">
        <f t="shared" si="631"/>
        <v>0</v>
      </c>
      <c r="V1311" s="19">
        <f t="shared" si="617"/>
        <v>0</v>
      </c>
      <c r="W1311" s="20">
        <f t="shared" ca="1" si="632"/>
        <v>0</v>
      </c>
      <c r="X1311" s="19">
        <f t="shared" ca="1" si="633"/>
        <v>0</v>
      </c>
      <c r="Y1311" s="19">
        <f t="shared" ca="1" si="634"/>
        <v>0</v>
      </c>
      <c r="Z1311" s="20">
        <f t="shared" ca="1" si="635"/>
        <v>0</v>
      </c>
      <c r="AA1311" s="1">
        <f t="shared" si="613"/>
        <v>5432.58</v>
      </c>
      <c r="AB1311" s="91"/>
      <c r="AC1311" s="92"/>
      <c r="AD1311" s="101">
        <f t="shared" si="614"/>
        <v>79554</v>
      </c>
      <c r="AE1311" s="103">
        <f t="shared" si="615"/>
        <v>0</v>
      </c>
      <c r="AG1311" s="1">
        <f t="shared" si="636"/>
        <v>0</v>
      </c>
      <c r="AH1311" s="1">
        <f t="shared" si="637"/>
        <v>0</v>
      </c>
      <c r="AI1311" s="1">
        <f t="shared" si="616"/>
        <v>5432.58</v>
      </c>
      <c r="AJ1311" s="20">
        <f t="shared" si="618"/>
        <v>0</v>
      </c>
      <c r="AK1311" s="100">
        <f t="shared" si="620"/>
        <v>0</v>
      </c>
      <c r="AL1311" s="100">
        <f t="shared" si="621"/>
        <v>0</v>
      </c>
      <c r="AN1311" s="100">
        <f t="shared" si="622"/>
        <v>2839.4868451375091</v>
      </c>
      <c r="AO1311" s="20">
        <f t="shared" si="623"/>
        <v>0</v>
      </c>
      <c r="AQ1311" s="109">
        <f t="shared" si="624"/>
        <v>0</v>
      </c>
      <c r="AU1311" s="109">
        <f t="shared" ref="AU1311:AU1374" si="639">(($AT$27/(1+((1+$AM$27)^(ROW()-29)*30)-1))/292)*0.32</f>
        <v>24.181160495588056</v>
      </c>
      <c r="AV1311" s="101">
        <f t="shared" si="625"/>
        <v>79584</v>
      </c>
      <c r="AW1311" s="99">
        <f t="shared" si="626"/>
        <v>0</v>
      </c>
      <c r="AX1311" s="1">
        <f t="shared" si="627"/>
        <v>0</v>
      </c>
      <c r="AY1311" s="29">
        <f t="shared" si="628"/>
        <v>0</v>
      </c>
      <c r="AZ1311" s="1">
        <f t="shared" ref="AZ1311:AZ1374" si="640">AY1311/360</f>
        <v>0</v>
      </c>
      <c r="CB1311" s="20">
        <f t="shared" si="619"/>
        <v>0</v>
      </c>
      <c r="CC1311" s="173">
        <f t="shared" ref="CC1311:CC1374" si="641">AJ1311+U1311+T1311</f>
        <v>0</v>
      </c>
    </row>
    <row r="1312" spans="10:81" x14ac:dyDescent="0.25">
      <c r="J1312" s="9"/>
      <c r="K1312" s="10"/>
      <c r="L1312" s="17"/>
      <c r="M1312" s="23"/>
      <c r="N1312" s="23"/>
      <c r="O1312" s="23"/>
      <c r="P1312" s="23"/>
      <c r="Q1312" s="1">
        <f t="shared" ref="Q1312:Q1375" si="642">IF(M1312=0,Q1311,(M1312*1200)/O1311)</f>
        <v>0.60744618579017706</v>
      </c>
      <c r="R1312" s="12">
        <f t="shared" ca="1" si="629"/>
        <v>38462</v>
      </c>
      <c r="S1312" s="88">
        <f t="shared" si="638"/>
        <v>0</v>
      </c>
      <c r="T1312" s="19">
        <f t="shared" si="630"/>
        <v>0</v>
      </c>
      <c r="U1312" s="19">
        <f t="shared" si="631"/>
        <v>0</v>
      </c>
      <c r="V1312" s="19">
        <f t="shared" si="617"/>
        <v>0</v>
      </c>
      <c r="W1312" s="20">
        <f t="shared" ca="1" si="632"/>
        <v>0</v>
      </c>
      <c r="X1312" s="19">
        <f t="shared" ca="1" si="633"/>
        <v>0</v>
      </c>
      <c r="Y1312" s="19">
        <f t="shared" ca="1" si="634"/>
        <v>0</v>
      </c>
      <c r="Z1312" s="20">
        <f t="shared" ca="1" si="635"/>
        <v>0</v>
      </c>
      <c r="AA1312" s="1">
        <f t="shared" ref="AA1312:AA1375" si="643">IF(S1312=0,AA1311,N1312)</f>
        <v>5432.58</v>
      </c>
      <c r="AB1312" s="93"/>
      <c r="AC1312" s="94"/>
      <c r="AD1312" s="101">
        <f t="shared" ref="AD1312:AD1375" si="644">IF(M1312=0,AD1311+30,K1312)</f>
        <v>79584</v>
      </c>
      <c r="AE1312" s="103">
        <f t="shared" ref="AE1312:AE1375" si="645">IF(V1312=0,0,R1312)</f>
        <v>0</v>
      </c>
      <c r="AG1312" s="1">
        <f t="shared" si="636"/>
        <v>0</v>
      </c>
      <c r="AH1312" s="1">
        <f t="shared" si="637"/>
        <v>0</v>
      </c>
      <c r="AI1312" s="1">
        <f t="shared" ref="AI1312:AI1375" si="646">IF(M1312-1=0,IF(M1312=0,IF(V1312=0,N1312,AI1311),AA1312),AA1312)</f>
        <v>5432.58</v>
      </c>
      <c r="AJ1312" s="20">
        <f t="shared" si="618"/>
        <v>0</v>
      </c>
      <c r="AK1312" s="100">
        <f t="shared" si="620"/>
        <v>0</v>
      </c>
      <c r="AL1312" s="100">
        <f t="shared" si="621"/>
        <v>0</v>
      </c>
      <c r="AN1312" s="100">
        <f t="shared" si="622"/>
        <v>2838.0502094918111</v>
      </c>
      <c r="AO1312" s="20">
        <f t="shared" si="623"/>
        <v>0</v>
      </c>
      <c r="AQ1312" s="109">
        <f t="shared" si="624"/>
        <v>0</v>
      </c>
      <c r="AU1312" s="109">
        <f t="shared" si="639"/>
        <v>24.17903811335367</v>
      </c>
      <c r="AV1312" s="101">
        <f t="shared" si="625"/>
        <v>79614</v>
      </c>
      <c r="AW1312" s="99">
        <f t="shared" si="626"/>
        <v>0</v>
      </c>
      <c r="AX1312" s="1">
        <f t="shared" si="627"/>
        <v>0</v>
      </c>
      <c r="AY1312" s="29">
        <f t="shared" si="628"/>
        <v>0</v>
      </c>
      <c r="AZ1312" s="1">
        <f t="shared" si="640"/>
        <v>0</v>
      </c>
      <c r="CB1312" s="20">
        <f t="shared" si="619"/>
        <v>0</v>
      </c>
      <c r="CC1312" s="173">
        <f t="shared" si="641"/>
        <v>0</v>
      </c>
    </row>
    <row r="1313" spans="10:81" x14ac:dyDescent="0.25">
      <c r="J1313" s="7"/>
      <c r="K1313" s="8"/>
      <c r="L1313" s="16"/>
      <c r="M1313" s="22"/>
      <c r="N1313" s="22"/>
      <c r="O1313" s="22"/>
      <c r="P1313" s="22"/>
      <c r="Q1313" s="1">
        <f t="shared" si="642"/>
        <v>0.60744618579017706</v>
      </c>
      <c r="R1313" s="12">
        <f t="shared" ca="1" si="629"/>
        <v>38492</v>
      </c>
      <c r="S1313" s="88">
        <f t="shared" si="638"/>
        <v>0</v>
      </c>
      <c r="T1313" s="19">
        <f t="shared" si="630"/>
        <v>0</v>
      </c>
      <c r="U1313" s="19">
        <f t="shared" si="631"/>
        <v>0</v>
      </c>
      <c r="V1313" s="19">
        <f t="shared" si="617"/>
        <v>0</v>
      </c>
      <c r="W1313" s="20">
        <f t="shared" ca="1" si="632"/>
        <v>0</v>
      </c>
      <c r="X1313" s="19">
        <f t="shared" ca="1" si="633"/>
        <v>0</v>
      </c>
      <c r="Y1313" s="19">
        <f t="shared" ca="1" si="634"/>
        <v>0</v>
      </c>
      <c r="Z1313" s="20">
        <f t="shared" ca="1" si="635"/>
        <v>0</v>
      </c>
      <c r="AA1313" s="1">
        <f t="shared" si="643"/>
        <v>5432.58</v>
      </c>
      <c r="AB1313" s="91"/>
      <c r="AC1313" s="92"/>
      <c r="AD1313" s="101">
        <f t="shared" si="644"/>
        <v>79614</v>
      </c>
      <c r="AE1313" s="103">
        <f t="shared" si="645"/>
        <v>0</v>
      </c>
      <c r="AG1313" s="1">
        <f t="shared" si="636"/>
        <v>0</v>
      </c>
      <c r="AH1313" s="1">
        <f t="shared" si="637"/>
        <v>0</v>
      </c>
      <c r="AI1313" s="1">
        <f t="shared" si="646"/>
        <v>5432.58</v>
      </c>
      <c r="AJ1313" s="20">
        <f t="shared" si="618"/>
        <v>0</v>
      </c>
      <c r="AK1313" s="100">
        <f t="shared" si="620"/>
        <v>0</v>
      </c>
      <c r="AL1313" s="100">
        <f t="shared" si="621"/>
        <v>0</v>
      </c>
      <c r="AN1313" s="100">
        <f t="shared" si="622"/>
        <v>2836.6143007105402</v>
      </c>
      <c r="AO1313" s="20">
        <f t="shared" si="623"/>
        <v>0</v>
      </c>
      <c r="AQ1313" s="109">
        <f t="shared" si="624"/>
        <v>0</v>
      </c>
      <c r="AU1313" s="109">
        <f t="shared" si="639"/>
        <v>24.17691591740093</v>
      </c>
      <c r="AV1313" s="101">
        <f t="shared" si="625"/>
        <v>79644</v>
      </c>
      <c r="AW1313" s="99">
        <f t="shared" si="626"/>
        <v>0</v>
      </c>
      <c r="AX1313" s="1">
        <f t="shared" si="627"/>
        <v>0</v>
      </c>
      <c r="AY1313" s="29">
        <f t="shared" si="628"/>
        <v>0</v>
      </c>
      <c r="AZ1313" s="1">
        <f t="shared" si="640"/>
        <v>0</v>
      </c>
      <c r="CB1313" s="20">
        <f t="shared" si="619"/>
        <v>0</v>
      </c>
      <c r="CC1313" s="173">
        <f t="shared" si="641"/>
        <v>0</v>
      </c>
    </row>
    <row r="1314" spans="10:81" x14ac:dyDescent="0.25">
      <c r="J1314" s="9"/>
      <c r="K1314" s="10"/>
      <c r="L1314" s="17"/>
      <c r="M1314" s="23"/>
      <c r="N1314" s="23"/>
      <c r="O1314" s="23"/>
      <c r="P1314" s="23"/>
      <c r="Q1314" s="1">
        <f t="shared" si="642"/>
        <v>0.60744618579017706</v>
      </c>
      <c r="R1314" s="12">
        <f t="shared" ca="1" si="629"/>
        <v>38522</v>
      </c>
      <c r="S1314" s="88">
        <f t="shared" si="638"/>
        <v>0</v>
      </c>
      <c r="T1314" s="19">
        <f t="shared" si="630"/>
        <v>0</v>
      </c>
      <c r="U1314" s="19">
        <f t="shared" si="631"/>
        <v>0</v>
      </c>
      <c r="V1314" s="19">
        <f t="shared" ref="V1314:V1377" si="647">IF(ISERROR(IF(V1313+U1314+T1314+(V1313*Q1314/1200)-AA1314-P1314&lt;0,0,V1313+U1314+T1314-AA1314-P1314)),0,IF(V1313+U1314+T1314+(V1313*Q1314/1200)-AA1314-CB1314&lt;0,0,V1313+U1314+T1314-AA1314-CB1314))</f>
        <v>0</v>
      </c>
      <c r="W1314" s="20">
        <f t="shared" ca="1" si="632"/>
        <v>0</v>
      </c>
      <c r="X1314" s="19">
        <f t="shared" ca="1" si="633"/>
        <v>0</v>
      </c>
      <c r="Y1314" s="19">
        <f t="shared" ca="1" si="634"/>
        <v>0</v>
      </c>
      <c r="Z1314" s="20">
        <f t="shared" ca="1" si="635"/>
        <v>0</v>
      </c>
      <c r="AA1314" s="1">
        <f t="shared" si="643"/>
        <v>5432.58</v>
      </c>
      <c r="AB1314" s="93"/>
      <c r="AC1314" s="94"/>
      <c r="AD1314" s="101">
        <f t="shared" si="644"/>
        <v>79644</v>
      </c>
      <c r="AE1314" s="103">
        <f t="shared" si="645"/>
        <v>0</v>
      </c>
      <c r="AG1314" s="1">
        <f t="shared" si="636"/>
        <v>0</v>
      </c>
      <c r="AH1314" s="1">
        <f t="shared" si="637"/>
        <v>0</v>
      </c>
      <c r="AI1314" s="1">
        <f t="shared" si="646"/>
        <v>5432.58</v>
      </c>
      <c r="AJ1314" s="20">
        <f t="shared" si="618"/>
        <v>0</v>
      </c>
      <c r="AK1314" s="100">
        <f t="shared" si="620"/>
        <v>0</v>
      </c>
      <c r="AL1314" s="100">
        <f t="shared" si="621"/>
        <v>0</v>
      </c>
      <c r="AN1314" s="100">
        <f t="shared" si="622"/>
        <v>2835.1791184259405</v>
      </c>
      <c r="AO1314" s="20">
        <f t="shared" si="623"/>
        <v>0</v>
      </c>
      <c r="AQ1314" s="109">
        <f t="shared" si="624"/>
        <v>0</v>
      </c>
      <c r="AU1314" s="109">
        <f t="shared" si="639"/>
        <v>24.174793907713475</v>
      </c>
      <c r="AV1314" s="101">
        <f t="shared" si="625"/>
        <v>79674</v>
      </c>
      <c r="AW1314" s="99">
        <f t="shared" si="626"/>
        <v>0</v>
      </c>
      <c r="AX1314" s="1">
        <f t="shared" si="627"/>
        <v>0</v>
      </c>
      <c r="AY1314" s="29">
        <f t="shared" si="628"/>
        <v>0</v>
      </c>
      <c r="AZ1314" s="1">
        <f t="shared" si="640"/>
        <v>0</v>
      </c>
      <c r="CB1314" s="20">
        <f t="shared" si="619"/>
        <v>0</v>
      </c>
      <c r="CC1314" s="173">
        <f t="shared" si="641"/>
        <v>0</v>
      </c>
    </row>
    <row r="1315" spans="10:81" x14ac:dyDescent="0.25">
      <c r="J1315" s="7"/>
      <c r="K1315" s="8"/>
      <c r="L1315" s="16"/>
      <c r="M1315" s="22"/>
      <c r="N1315" s="22"/>
      <c r="O1315" s="22"/>
      <c r="P1315" s="22"/>
      <c r="Q1315" s="1">
        <f t="shared" si="642"/>
        <v>0.60744618579017706</v>
      </c>
      <c r="R1315" s="12">
        <f t="shared" ca="1" si="629"/>
        <v>38552</v>
      </c>
      <c r="S1315" s="88">
        <f t="shared" si="638"/>
        <v>0</v>
      </c>
      <c r="T1315" s="19">
        <f t="shared" si="630"/>
        <v>0</v>
      </c>
      <c r="U1315" s="19">
        <f t="shared" si="631"/>
        <v>0</v>
      </c>
      <c r="V1315" s="19">
        <f t="shared" si="647"/>
        <v>0</v>
      </c>
      <c r="W1315" s="20">
        <f t="shared" ca="1" si="632"/>
        <v>0</v>
      </c>
      <c r="X1315" s="19">
        <f t="shared" ca="1" si="633"/>
        <v>0</v>
      </c>
      <c r="Y1315" s="19">
        <f t="shared" ca="1" si="634"/>
        <v>0</v>
      </c>
      <c r="Z1315" s="20">
        <f t="shared" ca="1" si="635"/>
        <v>0</v>
      </c>
      <c r="AA1315" s="1">
        <f t="shared" si="643"/>
        <v>5432.58</v>
      </c>
      <c r="AB1315" s="91"/>
      <c r="AC1315" s="92"/>
      <c r="AD1315" s="101">
        <f t="shared" si="644"/>
        <v>79674</v>
      </c>
      <c r="AE1315" s="103">
        <f t="shared" si="645"/>
        <v>0</v>
      </c>
      <c r="AG1315" s="1">
        <f t="shared" si="636"/>
        <v>0</v>
      </c>
      <c r="AH1315" s="1">
        <f t="shared" si="637"/>
        <v>0</v>
      </c>
      <c r="AI1315" s="1">
        <f t="shared" si="646"/>
        <v>5432.58</v>
      </c>
      <c r="AJ1315" s="20">
        <f t="shared" si="618"/>
        <v>0</v>
      </c>
      <c r="AK1315" s="100">
        <f t="shared" si="620"/>
        <v>0</v>
      </c>
      <c r="AL1315" s="100">
        <f t="shared" si="621"/>
        <v>0</v>
      </c>
      <c r="AN1315" s="100">
        <f t="shared" si="622"/>
        <v>2833.7446622704406</v>
      </c>
      <c r="AO1315" s="20">
        <f t="shared" si="623"/>
        <v>0</v>
      </c>
      <c r="AQ1315" s="109">
        <f t="shared" si="624"/>
        <v>0</v>
      </c>
      <c r="AU1315" s="109">
        <f t="shared" si="639"/>
        <v>24.172672084274964</v>
      </c>
      <c r="AV1315" s="101">
        <f t="shared" si="625"/>
        <v>79704</v>
      </c>
      <c r="AW1315" s="99">
        <f t="shared" si="626"/>
        <v>0</v>
      </c>
      <c r="AX1315" s="1">
        <f t="shared" si="627"/>
        <v>0</v>
      </c>
      <c r="AY1315" s="29">
        <f t="shared" si="628"/>
        <v>0</v>
      </c>
      <c r="AZ1315" s="1">
        <f t="shared" si="640"/>
        <v>0</v>
      </c>
      <c r="CB1315" s="20">
        <f t="shared" si="619"/>
        <v>0</v>
      </c>
      <c r="CC1315" s="173">
        <f t="shared" si="641"/>
        <v>0</v>
      </c>
    </row>
    <row r="1316" spans="10:81" x14ac:dyDescent="0.25">
      <c r="J1316" s="9"/>
      <c r="K1316" s="10"/>
      <c r="L1316" s="17"/>
      <c r="M1316" s="23"/>
      <c r="N1316" s="23"/>
      <c r="O1316" s="23"/>
      <c r="P1316" s="23"/>
      <c r="Q1316" s="1">
        <f t="shared" si="642"/>
        <v>0.60744618579017706</v>
      </c>
      <c r="R1316" s="12">
        <f t="shared" ca="1" si="629"/>
        <v>38582</v>
      </c>
      <c r="S1316" s="88">
        <f t="shared" si="638"/>
        <v>0</v>
      </c>
      <c r="T1316" s="19">
        <f t="shared" si="630"/>
        <v>0</v>
      </c>
      <c r="U1316" s="19">
        <f t="shared" si="631"/>
        <v>0</v>
      </c>
      <c r="V1316" s="19">
        <f t="shared" si="647"/>
        <v>0</v>
      </c>
      <c r="W1316" s="20">
        <f t="shared" ca="1" si="632"/>
        <v>0</v>
      </c>
      <c r="X1316" s="19">
        <f t="shared" ca="1" si="633"/>
        <v>0</v>
      </c>
      <c r="Y1316" s="19">
        <f t="shared" ca="1" si="634"/>
        <v>0</v>
      </c>
      <c r="Z1316" s="20">
        <f t="shared" ca="1" si="635"/>
        <v>0</v>
      </c>
      <c r="AA1316" s="1">
        <f t="shared" si="643"/>
        <v>5432.58</v>
      </c>
      <c r="AB1316" s="93"/>
      <c r="AC1316" s="94"/>
      <c r="AD1316" s="101">
        <f t="shared" si="644"/>
        <v>79704</v>
      </c>
      <c r="AE1316" s="103">
        <f t="shared" si="645"/>
        <v>0</v>
      </c>
      <c r="AG1316" s="1">
        <f t="shared" si="636"/>
        <v>0</v>
      </c>
      <c r="AH1316" s="1">
        <f t="shared" si="637"/>
        <v>0</v>
      </c>
      <c r="AI1316" s="1">
        <f t="shared" si="646"/>
        <v>5432.58</v>
      </c>
      <c r="AJ1316" s="20">
        <f t="shared" si="618"/>
        <v>0</v>
      </c>
      <c r="AK1316" s="100">
        <f t="shared" si="620"/>
        <v>0</v>
      </c>
      <c r="AL1316" s="100">
        <f t="shared" si="621"/>
        <v>0</v>
      </c>
      <c r="AN1316" s="100">
        <f t="shared" si="622"/>
        <v>2832.3109318766565</v>
      </c>
      <c r="AO1316" s="20">
        <f t="shared" si="623"/>
        <v>0</v>
      </c>
      <c r="AQ1316" s="109">
        <f t="shared" si="624"/>
        <v>0</v>
      </c>
      <c r="AU1316" s="109">
        <f t="shared" si="639"/>
        <v>24.170550447069065</v>
      </c>
      <c r="AV1316" s="101">
        <f t="shared" si="625"/>
        <v>79734</v>
      </c>
      <c r="AW1316" s="99">
        <f t="shared" si="626"/>
        <v>0</v>
      </c>
      <c r="AX1316" s="1">
        <f t="shared" si="627"/>
        <v>0</v>
      </c>
      <c r="AY1316" s="29">
        <f t="shared" si="628"/>
        <v>0</v>
      </c>
      <c r="AZ1316" s="1">
        <f t="shared" si="640"/>
        <v>0</v>
      </c>
      <c r="CB1316" s="20">
        <f t="shared" si="619"/>
        <v>0</v>
      </c>
      <c r="CC1316" s="173">
        <f t="shared" si="641"/>
        <v>0</v>
      </c>
    </row>
    <row r="1317" spans="10:81" x14ac:dyDescent="0.25">
      <c r="J1317" s="7"/>
      <c r="K1317" s="8"/>
      <c r="L1317" s="16"/>
      <c r="M1317" s="22"/>
      <c r="N1317" s="22"/>
      <c r="O1317" s="22"/>
      <c r="P1317" s="22"/>
      <c r="Q1317" s="1">
        <f t="shared" si="642"/>
        <v>0.60744618579017706</v>
      </c>
      <c r="R1317" s="12">
        <f t="shared" ca="1" si="629"/>
        <v>38612</v>
      </c>
      <c r="S1317" s="88">
        <f t="shared" si="638"/>
        <v>0</v>
      </c>
      <c r="T1317" s="19">
        <f t="shared" si="630"/>
        <v>0</v>
      </c>
      <c r="U1317" s="19">
        <f t="shared" si="631"/>
        <v>0</v>
      </c>
      <c r="V1317" s="19">
        <f t="shared" si="647"/>
        <v>0</v>
      </c>
      <c r="W1317" s="20">
        <f t="shared" ca="1" si="632"/>
        <v>0</v>
      </c>
      <c r="X1317" s="19">
        <f t="shared" ca="1" si="633"/>
        <v>0</v>
      </c>
      <c r="Y1317" s="19">
        <f t="shared" ca="1" si="634"/>
        <v>0</v>
      </c>
      <c r="Z1317" s="20">
        <f t="shared" ca="1" si="635"/>
        <v>0</v>
      </c>
      <c r="AA1317" s="1">
        <f t="shared" si="643"/>
        <v>5432.58</v>
      </c>
      <c r="AB1317" s="91"/>
      <c r="AC1317" s="92"/>
      <c r="AD1317" s="101">
        <f t="shared" si="644"/>
        <v>79734</v>
      </c>
      <c r="AE1317" s="103">
        <f t="shared" si="645"/>
        <v>0</v>
      </c>
      <c r="AG1317" s="1">
        <f t="shared" si="636"/>
        <v>0</v>
      </c>
      <c r="AH1317" s="1">
        <f t="shared" si="637"/>
        <v>0</v>
      </c>
      <c r="AI1317" s="1">
        <f t="shared" si="646"/>
        <v>5432.58</v>
      </c>
      <c r="AJ1317" s="20">
        <f t="shared" si="618"/>
        <v>0</v>
      </c>
      <c r="AK1317" s="100">
        <f t="shared" si="620"/>
        <v>0</v>
      </c>
      <c r="AL1317" s="100">
        <f t="shared" si="621"/>
        <v>0</v>
      </c>
      <c r="AN1317" s="100">
        <f t="shared" si="622"/>
        <v>2830.8779268773901</v>
      </c>
      <c r="AO1317" s="20">
        <f t="shared" si="623"/>
        <v>0</v>
      </c>
      <c r="AQ1317" s="109">
        <f t="shared" si="624"/>
        <v>0</v>
      </c>
      <c r="AU1317" s="109">
        <f t="shared" si="639"/>
        <v>24.16842899607941</v>
      </c>
      <c r="AV1317" s="101">
        <f t="shared" si="625"/>
        <v>79764</v>
      </c>
      <c r="AW1317" s="99">
        <f t="shared" si="626"/>
        <v>0</v>
      </c>
      <c r="AX1317" s="1">
        <f t="shared" si="627"/>
        <v>0</v>
      </c>
      <c r="AY1317" s="29">
        <f t="shared" si="628"/>
        <v>0</v>
      </c>
      <c r="AZ1317" s="1">
        <f t="shared" si="640"/>
        <v>0</v>
      </c>
      <c r="CB1317" s="20">
        <f t="shared" si="619"/>
        <v>0</v>
      </c>
      <c r="CC1317" s="173">
        <f t="shared" si="641"/>
        <v>0</v>
      </c>
    </row>
    <row r="1318" spans="10:81" x14ac:dyDescent="0.25">
      <c r="J1318" s="9"/>
      <c r="K1318" s="10"/>
      <c r="L1318" s="17"/>
      <c r="M1318" s="23"/>
      <c r="N1318" s="23"/>
      <c r="O1318" s="23"/>
      <c r="P1318" s="23"/>
      <c r="Q1318" s="1">
        <f t="shared" si="642"/>
        <v>0.60744618579017706</v>
      </c>
      <c r="R1318" s="12">
        <f t="shared" ca="1" si="629"/>
        <v>38642</v>
      </c>
      <c r="S1318" s="88">
        <f t="shared" si="638"/>
        <v>0</v>
      </c>
      <c r="T1318" s="19">
        <f t="shared" si="630"/>
        <v>0</v>
      </c>
      <c r="U1318" s="19">
        <f t="shared" si="631"/>
        <v>0</v>
      </c>
      <c r="V1318" s="19">
        <f t="shared" si="647"/>
        <v>0</v>
      </c>
      <c r="W1318" s="20">
        <f t="shared" ca="1" si="632"/>
        <v>0</v>
      </c>
      <c r="X1318" s="19">
        <f t="shared" ca="1" si="633"/>
        <v>0</v>
      </c>
      <c r="Y1318" s="19">
        <f t="shared" ca="1" si="634"/>
        <v>0</v>
      </c>
      <c r="Z1318" s="20">
        <f t="shared" ca="1" si="635"/>
        <v>0</v>
      </c>
      <c r="AA1318" s="1">
        <f t="shared" si="643"/>
        <v>5432.58</v>
      </c>
      <c r="AB1318" s="93"/>
      <c r="AC1318" s="94"/>
      <c r="AD1318" s="101">
        <f t="shared" si="644"/>
        <v>79764</v>
      </c>
      <c r="AE1318" s="103">
        <f t="shared" si="645"/>
        <v>0</v>
      </c>
      <c r="AG1318" s="1">
        <f t="shared" si="636"/>
        <v>0</v>
      </c>
      <c r="AH1318" s="1">
        <f t="shared" si="637"/>
        <v>0</v>
      </c>
      <c r="AI1318" s="1">
        <f t="shared" si="646"/>
        <v>5432.58</v>
      </c>
      <c r="AJ1318" s="20">
        <f t="shared" si="618"/>
        <v>0</v>
      </c>
      <c r="AK1318" s="100">
        <f t="shared" si="620"/>
        <v>0</v>
      </c>
      <c r="AL1318" s="100">
        <f t="shared" si="621"/>
        <v>0</v>
      </c>
      <c r="AN1318" s="100">
        <f t="shared" si="622"/>
        <v>2829.4456469056281</v>
      </c>
      <c r="AO1318" s="20">
        <f t="shared" si="623"/>
        <v>0</v>
      </c>
      <c r="AQ1318" s="109">
        <f t="shared" si="624"/>
        <v>0</v>
      </c>
      <c r="AU1318" s="109">
        <f t="shared" si="639"/>
        <v>24.16630773128966</v>
      </c>
      <c r="AV1318" s="101">
        <f t="shared" si="625"/>
        <v>79794</v>
      </c>
      <c r="AW1318" s="99">
        <f t="shared" si="626"/>
        <v>0</v>
      </c>
      <c r="AX1318" s="1">
        <f t="shared" si="627"/>
        <v>0</v>
      </c>
      <c r="AY1318" s="29">
        <f t="shared" si="628"/>
        <v>0</v>
      </c>
      <c r="AZ1318" s="1">
        <f t="shared" si="640"/>
        <v>0</v>
      </c>
      <c r="CB1318" s="20">
        <f t="shared" si="619"/>
        <v>0</v>
      </c>
      <c r="CC1318" s="173">
        <f t="shared" si="641"/>
        <v>0</v>
      </c>
    </row>
    <row r="1319" spans="10:81" x14ac:dyDescent="0.25">
      <c r="J1319" s="7"/>
      <c r="K1319" s="8"/>
      <c r="L1319" s="16"/>
      <c r="M1319" s="22"/>
      <c r="N1319" s="22"/>
      <c r="O1319" s="22"/>
      <c r="P1319" s="22"/>
      <c r="Q1319" s="1">
        <f t="shared" si="642"/>
        <v>0.60744618579017706</v>
      </c>
      <c r="R1319" s="12">
        <f t="shared" ca="1" si="629"/>
        <v>38672</v>
      </c>
      <c r="S1319" s="88">
        <f t="shared" si="638"/>
        <v>0</v>
      </c>
      <c r="T1319" s="19">
        <f t="shared" si="630"/>
        <v>0</v>
      </c>
      <c r="U1319" s="19">
        <f t="shared" si="631"/>
        <v>0</v>
      </c>
      <c r="V1319" s="19">
        <f t="shared" si="647"/>
        <v>0</v>
      </c>
      <c r="W1319" s="20">
        <f t="shared" ca="1" si="632"/>
        <v>0</v>
      </c>
      <c r="X1319" s="19">
        <f t="shared" ca="1" si="633"/>
        <v>0</v>
      </c>
      <c r="Y1319" s="19">
        <f t="shared" ca="1" si="634"/>
        <v>0</v>
      </c>
      <c r="Z1319" s="20">
        <f t="shared" ca="1" si="635"/>
        <v>0</v>
      </c>
      <c r="AA1319" s="1">
        <f t="shared" si="643"/>
        <v>5432.58</v>
      </c>
      <c r="AB1319" s="91"/>
      <c r="AC1319" s="92"/>
      <c r="AD1319" s="101">
        <f t="shared" si="644"/>
        <v>79794</v>
      </c>
      <c r="AE1319" s="103">
        <f t="shared" si="645"/>
        <v>0</v>
      </c>
      <c r="AG1319" s="1">
        <f t="shared" si="636"/>
        <v>0</v>
      </c>
      <c r="AH1319" s="1">
        <f t="shared" si="637"/>
        <v>0</v>
      </c>
      <c r="AI1319" s="1">
        <f t="shared" si="646"/>
        <v>5432.58</v>
      </c>
      <c r="AJ1319" s="20">
        <f t="shared" si="618"/>
        <v>0</v>
      </c>
      <c r="AK1319" s="100">
        <f t="shared" si="620"/>
        <v>0</v>
      </c>
      <c r="AL1319" s="100">
        <f t="shared" si="621"/>
        <v>0</v>
      </c>
      <c r="AN1319" s="100">
        <f t="shared" si="622"/>
        <v>2828.0140915945449</v>
      </c>
      <c r="AO1319" s="20">
        <f t="shared" si="623"/>
        <v>0</v>
      </c>
      <c r="AQ1319" s="109">
        <f t="shared" si="624"/>
        <v>0</v>
      </c>
      <c r="AU1319" s="109">
        <f t="shared" si="639"/>
        <v>24.164186652683483</v>
      </c>
      <c r="AV1319" s="101">
        <f t="shared" si="625"/>
        <v>79824</v>
      </c>
      <c r="AW1319" s="99">
        <f t="shared" si="626"/>
        <v>0</v>
      </c>
      <c r="AX1319" s="1">
        <f t="shared" si="627"/>
        <v>0</v>
      </c>
      <c r="AY1319" s="29">
        <f t="shared" si="628"/>
        <v>0</v>
      </c>
      <c r="AZ1319" s="1">
        <f t="shared" si="640"/>
        <v>0</v>
      </c>
      <c r="CB1319" s="20">
        <f t="shared" si="619"/>
        <v>0</v>
      </c>
      <c r="CC1319" s="173">
        <f t="shared" si="641"/>
        <v>0</v>
      </c>
    </row>
    <row r="1320" spans="10:81" x14ac:dyDescent="0.25">
      <c r="J1320" s="9"/>
      <c r="K1320" s="10"/>
      <c r="L1320" s="17"/>
      <c r="M1320" s="23"/>
      <c r="N1320" s="23"/>
      <c r="O1320" s="23"/>
      <c r="P1320" s="23"/>
      <c r="Q1320" s="1">
        <f t="shared" si="642"/>
        <v>0.60744618579017706</v>
      </c>
      <c r="R1320" s="12">
        <f t="shared" ca="1" si="629"/>
        <v>38702</v>
      </c>
      <c r="S1320" s="88">
        <f t="shared" si="638"/>
        <v>0</v>
      </c>
      <c r="T1320" s="19">
        <f t="shared" si="630"/>
        <v>0</v>
      </c>
      <c r="U1320" s="19">
        <f t="shared" si="631"/>
        <v>0</v>
      </c>
      <c r="V1320" s="19">
        <f t="shared" si="647"/>
        <v>0</v>
      </c>
      <c r="W1320" s="20">
        <f t="shared" ca="1" si="632"/>
        <v>0</v>
      </c>
      <c r="X1320" s="19">
        <f t="shared" ca="1" si="633"/>
        <v>0</v>
      </c>
      <c r="Y1320" s="19">
        <f t="shared" ca="1" si="634"/>
        <v>0</v>
      </c>
      <c r="Z1320" s="20">
        <f t="shared" ca="1" si="635"/>
        <v>0</v>
      </c>
      <c r="AA1320" s="1">
        <f t="shared" si="643"/>
        <v>5432.58</v>
      </c>
      <c r="AB1320" s="93"/>
      <c r="AC1320" s="94"/>
      <c r="AD1320" s="101">
        <f t="shared" si="644"/>
        <v>79824</v>
      </c>
      <c r="AE1320" s="103">
        <f t="shared" si="645"/>
        <v>0</v>
      </c>
      <c r="AG1320" s="1">
        <f t="shared" si="636"/>
        <v>0</v>
      </c>
      <c r="AH1320" s="1">
        <f t="shared" si="637"/>
        <v>0</v>
      </c>
      <c r="AI1320" s="1">
        <f t="shared" si="646"/>
        <v>5432.58</v>
      </c>
      <c r="AJ1320" s="20">
        <f t="shared" ref="AJ1320:AJ1383" si="648">IF(ISERROR(IF(V1319+U1320+T1320+(V1319*Q1320/1200)-AA1320-P1320&lt;0,V1319,-(U1320+T1320-AA1320+P1320-AH1320))),0,IF(V1319+U1320+T1320+(V1319*Q1320/1200)-AA1320-P1320&lt;0,0,-(U1320+T1320-AA1320-AH1320)))</f>
        <v>0</v>
      </c>
      <c r="AK1320" s="100">
        <f t="shared" si="620"/>
        <v>0</v>
      </c>
      <c r="AL1320" s="100">
        <f t="shared" si="621"/>
        <v>0</v>
      </c>
      <c r="AN1320" s="100">
        <f t="shared" si="622"/>
        <v>2826.5832605774981</v>
      </c>
      <c r="AO1320" s="20">
        <f t="shared" si="623"/>
        <v>0</v>
      </c>
      <c r="AQ1320" s="109">
        <f t="shared" si="624"/>
        <v>0</v>
      </c>
      <c r="AU1320" s="109">
        <f t="shared" si="639"/>
        <v>24.162065760244538</v>
      </c>
      <c r="AV1320" s="101">
        <f t="shared" si="625"/>
        <v>79854</v>
      </c>
      <c r="AW1320" s="99">
        <f t="shared" si="626"/>
        <v>0</v>
      </c>
      <c r="AX1320" s="1">
        <f t="shared" si="627"/>
        <v>0</v>
      </c>
      <c r="AY1320" s="29">
        <f t="shared" si="628"/>
        <v>0</v>
      </c>
      <c r="AZ1320" s="1">
        <f t="shared" si="640"/>
        <v>0</v>
      </c>
      <c r="CB1320" s="20">
        <f t="shared" si="619"/>
        <v>0</v>
      </c>
      <c r="CC1320" s="173">
        <f t="shared" si="641"/>
        <v>0</v>
      </c>
    </row>
    <row r="1321" spans="10:81" x14ac:dyDescent="0.25">
      <c r="J1321" s="7"/>
      <c r="K1321" s="8"/>
      <c r="L1321" s="16"/>
      <c r="M1321" s="22"/>
      <c r="N1321" s="22"/>
      <c r="O1321" s="22"/>
      <c r="P1321" s="22"/>
      <c r="Q1321" s="1">
        <f t="shared" si="642"/>
        <v>0.60744618579017706</v>
      </c>
      <c r="R1321" s="12">
        <f t="shared" ca="1" si="629"/>
        <v>38732</v>
      </c>
      <c r="S1321" s="88">
        <f t="shared" si="638"/>
        <v>0</v>
      </c>
      <c r="T1321" s="19">
        <f t="shared" si="630"/>
        <v>0</v>
      </c>
      <c r="U1321" s="19">
        <f t="shared" si="631"/>
        <v>0</v>
      </c>
      <c r="V1321" s="19">
        <f t="shared" si="647"/>
        <v>0</v>
      </c>
      <c r="W1321" s="20">
        <f t="shared" ca="1" si="632"/>
        <v>0</v>
      </c>
      <c r="X1321" s="19">
        <f t="shared" ca="1" si="633"/>
        <v>0</v>
      </c>
      <c r="Y1321" s="19">
        <f t="shared" ca="1" si="634"/>
        <v>0</v>
      </c>
      <c r="Z1321" s="20">
        <f t="shared" ca="1" si="635"/>
        <v>0</v>
      </c>
      <c r="AA1321" s="1">
        <f t="shared" si="643"/>
        <v>5432.58</v>
      </c>
      <c r="AB1321" s="91"/>
      <c r="AC1321" s="92"/>
      <c r="AD1321" s="101">
        <f t="shared" si="644"/>
        <v>79854</v>
      </c>
      <c r="AE1321" s="103">
        <f t="shared" si="645"/>
        <v>0</v>
      </c>
      <c r="AG1321" s="1">
        <f t="shared" si="636"/>
        <v>0</v>
      </c>
      <c r="AH1321" s="1">
        <f t="shared" si="637"/>
        <v>0</v>
      </c>
      <c r="AI1321" s="1">
        <f t="shared" si="646"/>
        <v>5432.58</v>
      </c>
      <c r="AJ1321" s="20">
        <f t="shared" si="648"/>
        <v>0</v>
      </c>
      <c r="AK1321" s="100">
        <f t="shared" si="620"/>
        <v>0</v>
      </c>
      <c r="AL1321" s="100">
        <f t="shared" si="621"/>
        <v>0</v>
      </c>
      <c r="AN1321" s="100">
        <f t="shared" si="622"/>
        <v>2825.153153488031</v>
      </c>
      <c r="AO1321" s="20">
        <f t="shared" si="623"/>
        <v>0</v>
      </c>
      <c r="AQ1321" s="109">
        <f t="shared" si="624"/>
        <v>0</v>
      </c>
      <c r="AU1321" s="109">
        <f t="shared" si="639"/>
        <v>24.159945053956474</v>
      </c>
      <c r="AV1321" s="101">
        <f t="shared" si="625"/>
        <v>79884</v>
      </c>
      <c r="AW1321" s="99">
        <f t="shared" si="626"/>
        <v>0</v>
      </c>
      <c r="AX1321" s="1">
        <f t="shared" si="627"/>
        <v>0</v>
      </c>
      <c r="AY1321" s="29">
        <f t="shared" si="628"/>
        <v>0</v>
      </c>
      <c r="AZ1321" s="1">
        <f t="shared" si="640"/>
        <v>0</v>
      </c>
      <c r="CB1321" s="20">
        <f t="shared" si="619"/>
        <v>0</v>
      </c>
      <c r="CC1321" s="173">
        <f t="shared" si="641"/>
        <v>0</v>
      </c>
    </row>
    <row r="1322" spans="10:81" x14ac:dyDescent="0.25">
      <c r="J1322" s="9"/>
      <c r="K1322" s="10"/>
      <c r="L1322" s="17"/>
      <c r="M1322" s="23"/>
      <c r="N1322" s="23"/>
      <c r="O1322" s="23"/>
      <c r="P1322" s="23"/>
      <c r="Q1322" s="1">
        <f t="shared" si="642"/>
        <v>0.60744618579017706</v>
      </c>
      <c r="R1322" s="12">
        <f t="shared" ca="1" si="629"/>
        <v>38762</v>
      </c>
      <c r="S1322" s="88">
        <f t="shared" si="638"/>
        <v>0</v>
      </c>
      <c r="T1322" s="19">
        <f t="shared" si="630"/>
        <v>0</v>
      </c>
      <c r="U1322" s="19">
        <f t="shared" si="631"/>
        <v>0</v>
      </c>
      <c r="V1322" s="19">
        <f t="shared" si="647"/>
        <v>0</v>
      </c>
      <c r="W1322" s="20">
        <f t="shared" ca="1" si="632"/>
        <v>0</v>
      </c>
      <c r="X1322" s="19">
        <f t="shared" ca="1" si="633"/>
        <v>0</v>
      </c>
      <c r="Y1322" s="19">
        <f t="shared" ca="1" si="634"/>
        <v>0</v>
      </c>
      <c r="Z1322" s="20">
        <f t="shared" ca="1" si="635"/>
        <v>0</v>
      </c>
      <c r="AA1322" s="1">
        <f t="shared" si="643"/>
        <v>5432.58</v>
      </c>
      <c r="AB1322" s="93"/>
      <c r="AC1322" s="94"/>
      <c r="AD1322" s="101">
        <f t="shared" si="644"/>
        <v>79884</v>
      </c>
      <c r="AE1322" s="103">
        <f t="shared" si="645"/>
        <v>0</v>
      </c>
      <c r="AG1322" s="1">
        <f t="shared" si="636"/>
        <v>0</v>
      </c>
      <c r="AH1322" s="1">
        <f t="shared" si="637"/>
        <v>0</v>
      </c>
      <c r="AI1322" s="1">
        <f t="shared" si="646"/>
        <v>5432.58</v>
      </c>
      <c r="AJ1322" s="20">
        <f t="shared" si="648"/>
        <v>0</v>
      </c>
      <c r="AK1322" s="100">
        <f t="shared" si="620"/>
        <v>0</v>
      </c>
      <c r="AL1322" s="100">
        <f t="shared" si="621"/>
        <v>0</v>
      </c>
      <c r="AN1322" s="100">
        <f t="shared" si="622"/>
        <v>2823.723769959875</v>
      </c>
      <c r="AO1322" s="20">
        <f t="shared" si="623"/>
        <v>0</v>
      </c>
      <c r="AQ1322" s="109">
        <f t="shared" si="624"/>
        <v>0</v>
      </c>
      <c r="AU1322" s="109">
        <f t="shared" si="639"/>
        <v>24.157824533802945</v>
      </c>
      <c r="AV1322" s="101">
        <f t="shared" si="625"/>
        <v>79914</v>
      </c>
      <c r="AW1322" s="99">
        <f t="shared" si="626"/>
        <v>0</v>
      </c>
      <c r="AX1322" s="1">
        <f t="shared" si="627"/>
        <v>0</v>
      </c>
      <c r="AY1322" s="29">
        <f t="shared" si="628"/>
        <v>0</v>
      </c>
      <c r="AZ1322" s="1">
        <f t="shared" si="640"/>
        <v>0</v>
      </c>
      <c r="CB1322" s="20">
        <f t="shared" si="619"/>
        <v>0</v>
      </c>
      <c r="CC1322" s="173">
        <f t="shared" si="641"/>
        <v>0</v>
      </c>
    </row>
    <row r="1323" spans="10:81" x14ac:dyDescent="0.25">
      <c r="J1323" s="7"/>
      <c r="K1323" s="8"/>
      <c r="L1323" s="16"/>
      <c r="M1323" s="22"/>
      <c r="N1323" s="22"/>
      <c r="O1323" s="22"/>
      <c r="P1323" s="22"/>
      <c r="Q1323" s="1">
        <f t="shared" si="642"/>
        <v>0.60744618579017706</v>
      </c>
      <c r="R1323" s="12">
        <f t="shared" ca="1" si="629"/>
        <v>38792</v>
      </c>
      <c r="S1323" s="88">
        <f t="shared" si="638"/>
        <v>0</v>
      </c>
      <c r="T1323" s="19">
        <f t="shared" si="630"/>
        <v>0</v>
      </c>
      <c r="U1323" s="19">
        <f t="shared" si="631"/>
        <v>0</v>
      </c>
      <c r="V1323" s="19">
        <f t="shared" si="647"/>
        <v>0</v>
      </c>
      <c r="W1323" s="20">
        <f t="shared" ca="1" si="632"/>
        <v>0</v>
      </c>
      <c r="X1323" s="19">
        <f t="shared" ca="1" si="633"/>
        <v>0</v>
      </c>
      <c r="Y1323" s="19">
        <f t="shared" ca="1" si="634"/>
        <v>0</v>
      </c>
      <c r="Z1323" s="20">
        <f t="shared" ca="1" si="635"/>
        <v>0</v>
      </c>
      <c r="AA1323" s="1">
        <f t="shared" si="643"/>
        <v>5432.58</v>
      </c>
      <c r="AB1323" s="91"/>
      <c r="AC1323" s="92"/>
      <c r="AD1323" s="101">
        <f t="shared" si="644"/>
        <v>79914</v>
      </c>
      <c r="AE1323" s="103">
        <f t="shared" si="645"/>
        <v>0</v>
      </c>
      <c r="AG1323" s="1">
        <f t="shared" si="636"/>
        <v>0</v>
      </c>
      <c r="AH1323" s="1">
        <f t="shared" si="637"/>
        <v>0</v>
      </c>
      <c r="AI1323" s="1">
        <f t="shared" si="646"/>
        <v>5432.58</v>
      </c>
      <c r="AJ1323" s="20">
        <f t="shared" si="648"/>
        <v>0</v>
      </c>
      <c r="AK1323" s="100">
        <f t="shared" si="620"/>
        <v>0</v>
      </c>
      <c r="AL1323" s="100">
        <f t="shared" si="621"/>
        <v>0</v>
      </c>
      <c r="AN1323" s="100">
        <f t="shared" si="622"/>
        <v>2822.2951096269435</v>
      </c>
      <c r="AO1323" s="20">
        <f t="shared" si="623"/>
        <v>0</v>
      </c>
      <c r="AQ1323" s="109">
        <f t="shared" si="624"/>
        <v>0</v>
      </c>
      <c r="AU1323" s="109">
        <f t="shared" si="639"/>
        <v>24.155704199767637</v>
      </c>
      <c r="AV1323" s="101">
        <f t="shared" si="625"/>
        <v>79944</v>
      </c>
      <c r="AW1323" s="99">
        <f t="shared" si="626"/>
        <v>0</v>
      </c>
      <c r="AX1323" s="1">
        <f t="shared" si="627"/>
        <v>0</v>
      </c>
      <c r="AY1323" s="29">
        <f t="shared" si="628"/>
        <v>0</v>
      </c>
      <c r="AZ1323" s="1">
        <f t="shared" si="640"/>
        <v>0</v>
      </c>
      <c r="CB1323" s="20">
        <f t="shared" si="619"/>
        <v>0</v>
      </c>
      <c r="CC1323" s="173">
        <f t="shared" si="641"/>
        <v>0</v>
      </c>
    </row>
    <row r="1324" spans="10:81" x14ac:dyDescent="0.25">
      <c r="J1324" s="9"/>
      <c r="K1324" s="10"/>
      <c r="L1324" s="17"/>
      <c r="M1324" s="23"/>
      <c r="N1324" s="23"/>
      <c r="O1324" s="23"/>
      <c r="P1324" s="23"/>
      <c r="Q1324" s="1">
        <f t="shared" si="642"/>
        <v>0.60744618579017706</v>
      </c>
      <c r="R1324" s="12">
        <f t="shared" ca="1" si="629"/>
        <v>38822</v>
      </c>
      <c r="S1324" s="88">
        <f t="shared" si="638"/>
        <v>0</v>
      </c>
      <c r="T1324" s="19">
        <f t="shared" si="630"/>
        <v>0</v>
      </c>
      <c r="U1324" s="19">
        <f t="shared" si="631"/>
        <v>0</v>
      </c>
      <c r="V1324" s="19">
        <f t="shared" si="647"/>
        <v>0</v>
      </c>
      <c r="W1324" s="20">
        <f t="shared" ca="1" si="632"/>
        <v>0</v>
      </c>
      <c r="X1324" s="19">
        <f t="shared" ca="1" si="633"/>
        <v>0</v>
      </c>
      <c r="Y1324" s="19">
        <f t="shared" ca="1" si="634"/>
        <v>0</v>
      </c>
      <c r="Z1324" s="20">
        <f t="shared" ca="1" si="635"/>
        <v>0</v>
      </c>
      <c r="AA1324" s="1">
        <f t="shared" si="643"/>
        <v>5432.58</v>
      </c>
      <c r="AB1324" s="93"/>
      <c r="AC1324" s="94"/>
      <c r="AD1324" s="101">
        <f t="shared" si="644"/>
        <v>79944</v>
      </c>
      <c r="AE1324" s="103">
        <f t="shared" si="645"/>
        <v>0</v>
      </c>
      <c r="AG1324" s="1">
        <f t="shared" si="636"/>
        <v>0</v>
      </c>
      <c r="AH1324" s="1">
        <f t="shared" si="637"/>
        <v>0</v>
      </c>
      <c r="AI1324" s="1">
        <f t="shared" si="646"/>
        <v>5432.58</v>
      </c>
      <c r="AJ1324" s="20">
        <f t="shared" si="648"/>
        <v>0</v>
      </c>
      <c r="AK1324" s="100">
        <f t="shared" si="620"/>
        <v>0</v>
      </c>
      <c r="AL1324" s="100">
        <f t="shared" si="621"/>
        <v>0</v>
      </c>
      <c r="AN1324" s="100">
        <f t="shared" si="622"/>
        <v>2820.8671721233377</v>
      </c>
      <c r="AO1324" s="20">
        <f t="shared" si="623"/>
        <v>0</v>
      </c>
      <c r="AQ1324" s="109">
        <f t="shared" si="624"/>
        <v>0</v>
      </c>
      <c r="AU1324" s="109">
        <f t="shared" si="639"/>
        <v>24.153584051834205</v>
      </c>
      <c r="AV1324" s="101">
        <f t="shared" si="625"/>
        <v>79974</v>
      </c>
      <c r="AW1324" s="99">
        <f t="shared" si="626"/>
        <v>0</v>
      </c>
      <c r="AX1324" s="1">
        <f t="shared" si="627"/>
        <v>0</v>
      </c>
      <c r="AY1324" s="29">
        <f t="shared" si="628"/>
        <v>0</v>
      </c>
      <c r="AZ1324" s="1">
        <f t="shared" si="640"/>
        <v>0</v>
      </c>
      <c r="CB1324" s="20">
        <f t="shared" si="619"/>
        <v>0</v>
      </c>
      <c r="CC1324" s="173">
        <f t="shared" si="641"/>
        <v>0</v>
      </c>
    </row>
    <row r="1325" spans="10:81" x14ac:dyDescent="0.25">
      <c r="J1325" s="7"/>
      <c r="K1325" s="8"/>
      <c r="L1325" s="16"/>
      <c r="M1325" s="22"/>
      <c r="N1325" s="22"/>
      <c r="O1325" s="22"/>
      <c r="P1325" s="22"/>
      <c r="Q1325" s="1">
        <f t="shared" si="642"/>
        <v>0.60744618579017706</v>
      </c>
      <c r="R1325" s="12">
        <f t="shared" ca="1" si="629"/>
        <v>38852</v>
      </c>
      <c r="S1325" s="88">
        <f t="shared" si="638"/>
        <v>0</v>
      </c>
      <c r="T1325" s="19">
        <f t="shared" si="630"/>
        <v>0</v>
      </c>
      <c r="U1325" s="19">
        <f t="shared" si="631"/>
        <v>0</v>
      </c>
      <c r="V1325" s="19">
        <f t="shared" si="647"/>
        <v>0</v>
      </c>
      <c r="W1325" s="20">
        <f t="shared" ca="1" si="632"/>
        <v>0</v>
      </c>
      <c r="X1325" s="19">
        <f t="shared" ca="1" si="633"/>
        <v>0</v>
      </c>
      <c r="Y1325" s="19">
        <f t="shared" ca="1" si="634"/>
        <v>0</v>
      </c>
      <c r="Z1325" s="20">
        <f t="shared" ca="1" si="635"/>
        <v>0</v>
      </c>
      <c r="AA1325" s="1">
        <f t="shared" si="643"/>
        <v>5432.58</v>
      </c>
      <c r="AB1325" s="91"/>
      <c r="AC1325" s="92"/>
      <c r="AD1325" s="101">
        <f t="shared" si="644"/>
        <v>79974</v>
      </c>
      <c r="AE1325" s="103">
        <f t="shared" si="645"/>
        <v>0</v>
      </c>
      <c r="AG1325" s="1">
        <f t="shared" si="636"/>
        <v>0</v>
      </c>
      <c r="AH1325" s="1">
        <f t="shared" si="637"/>
        <v>0</v>
      </c>
      <c r="AI1325" s="1">
        <f t="shared" si="646"/>
        <v>5432.58</v>
      </c>
      <c r="AJ1325" s="20">
        <f t="shared" si="648"/>
        <v>0</v>
      </c>
      <c r="AK1325" s="100">
        <f t="shared" si="620"/>
        <v>0</v>
      </c>
      <c r="AL1325" s="100">
        <f t="shared" si="621"/>
        <v>0</v>
      </c>
      <c r="AN1325" s="100">
        <f t="shared" si="622"/>
        <v>2819.4399570833416</v>
      </c>
      <c r="AO1325" s="20">
        <f t="shared" si="623"/>
        <v>0</v>
      </c>
      <c r="AQ1325" s="109">
        <f t="shared" si="624"/>
        <v>0</v>
      </c>
      <c r="AU1325" s="109">
        <f t="shared" si="639"/>
        <v>24.151464089986309</v>
      </c>
      <c r="AV1325" s="101">
        <f t="shared" si="625"/>
        <v>80004</v>
      </c>
      <c r="AW1325" s="99">
        <f t="shared" si="626"/>
        <v>0</v>
      </c>
      <c r="AX1325" s="1">
        <f t="shared" si="627"/>
        <v>0</v>
      </c>
      <c r="AY1325" s="29">
        <f t="shared" si="628"/>
        <v>0</v>
      </c>
      <c r="AZ1325" s="1">
        <f t="shared" si="640"/>
        <v>0</v>
      </c>
      <c r="CB1325" s="20">
        <f t="shared" si="619"/>
        <v>0</v>
      </c>
      <c r="CC1325" s="173">
        <f t="shared" si="641"/>
        <v>0</v>
      </c>
    </row>
    <row r="1326" spans="10:81" x14ac:dyDescent="0.25">
      <c r="J1326" s="9"/>
      <c r="K1326" s="10"/>
      <c r="L1326" s="17"/>
      <c r="M1326" s="23"/>
      <c r="N1326" s="23"/>
      <c r="O1326" s="23"/>
      <c r="P1326" s="23"/>
      <c r="Q1326" s="1">
        <f t="shared" si="642"/>
        <v>0.60744618579017706</v>
      </c>
      <c r="R1326" s="12">
        <f t="shared" ca="1" si="629"/>
        <v>38882</v>
      </c>
      <c r="S1326" s="88">
        <f t="shared" si="638"/>
        <v>0</v>
      </c>
      <c r="T1326" s="19">
        <f t="shared" si="630"/>
        <v>0</v>
      </c>
      <c r="U1326" s="19">
        <f t="shared" si="631"/>
        <v>0</v>
      </c>
      <c r="V1326" s="19">
        <f t="shared" si="647"/>
        <v>0</v>
      </c>
      <c r="W1326" s="20">
        <f t="shared" ca="1" si="632"/>
        <v>0</v>
      </c>
      <c r="X1326" s="19">
        <f t="shared" ca="1" si="633"/>
        <v>0</v>
      </c>
      <c r="Y1326" s="19">
        <f t="shared" ca="1" si="634"/>
        <v>0</v>
      </c>
      <c r="Z1326" s="20">
        <f t="shared" ca="1" si="635"/>
        <v>0</v>
      </c>
      <c r="AA1326" s="1">
        <f t="shared" si="643"/>
        <v>5432.58</v>
      </c>
      <c r="AB1326" s="93"/>
      <c r="AC1326" s="94"/>
      <c r="AD1326" s="101">
        <f t="shared" si="644"/>
        <v>80004</v>
      </c>
      <c r="AE1326" s="103">
        <f t="shared" si="645"/>
        <v>0</v>
      </c>
      <c r="AG1326" s="1">
        <f t="shared" si="636"/>
        <v>0</v>
      </c>
      <c r="AH1326" s="1">
        <f t="shared" si="637"/>
        <v>0</v>
      </c>
      <c r="AI1326" s="1">
        <f t="shared" si="646"/>
        <v>5432.58</v>
      </c>
      <c r="AJ1326" s="20">
        <f t="shared" si="648"/>
        <v>0</v>
      </c>
      <c r="AK1326" s="100">
        <f t="shared" si="620"/>
        <v>0</v>
      </c>
      <c r="AL1326" s="100">
        <f t="shared" si="621"/>
        <v>0</v>
      </c>
      <c r="AN1326" s="100">
        <f t="shared" si="622"/>
        <v>2818.0134641414261</v>
      </c>
      <c r="AO1326" s="20">
        <f t="shared" si="623"/>
        <v>0</v>
      </c>
      <c r="AQ1326" s="109">
        <f t="shared" si="624"/>
        <v>0</v>
      </c>
      <c r="AU1326" s="109">
        <f t="shared" si="639"/>
        <v>24.14934431420761</v>
      </c>
      <c r="AV1326" s="101">
        <f t="shared" si="625"/>
        <v>80034</v>
      </c>
      <c r="AW1326" s="99">
        <f t="shared" si="626"/>
        <v>0</v>
      </c>
      <c r="AX1326" s="1">
        <f t="shared" si="627"/>
        <v>0</v>
      </c>
      <c r="AY1326" s="29">
        <f t="shared" si="628"/>
        <v>0</v>
      </c>
      <c r="AZ1326" s="1">
        <f t="shared" si="640"/>
        <v>0</v>
      </c>
      <c r="CB1326" s="20">
        <f t="shared" ref="CB1326:CB1389" si="649">IF(O1326=0,IF(P1326&gt;0,V1325,IF(O1325=0,0,P1326)),IF(O1325=0,0,P1326))</f>
        <v>0</v>
      </c>
      <c r="CC1326" s="173">
        <f t="shared" si="641"/>
        <v>0</v>
      </c>
    </row>
    <row r="1327" spans="10:81" x14ac:dyDescent="0.25">
      <c r="J1327" s="7"/>
      <c r="K1327" s="8"/>
      <c r="L1327" s="16"/>
      <c r="M1327" s="22"/>
      <c r="N1327" s="22"/>
      <c r="O1327" s="22"/>
      <c r="P1327" s="22"/>
      <c r="Q1327" s="1">
        <f t="shared" si="642"/>
        <v>0.60744618579017706</v>
      </c>
      <c r="R1327" s="12">
        <f t="shared" ca="1" si="629"/>
        <v>38912</v>
      </c>
      <c r="S1327" s="88">
        <f t="shared" si="638"/>
        <v>0</v>
      </c>
      <c r="T1327" s="19">
        <f t="shared" si="630"/>
        <v>0</v>
      </c>
      <c r="U1327" s="19">
        <f t="shared" si="631"/>
        <v>0</v>
      </c>
      <c r="V1327" s="19">
        <f t="shared" si="647"/>
        <v>0</v>
      </c>
      <c r="W1327" s="20">
        <f t="shared" ca="1" si="632"/>
        <v>0</v>
      </c>
      <c r="X1327" s="19">
        <f t="shared" ca="1" si="633"/>
        <v>0</v>
      </c>
      <c r="Y1327" s="19">
        <f t="shared" ca="1" si="634"/>
        <v>0</v>
      </c>
      <c r="Z1327" s="20">
        <f t="shared" ca="1" si="635"/>
        <v>0</v>
      </c>
      <c r="AA1327" s="1">
        <f t="shared" si="643"/>
        <v>5432.58</v>
      </c>
      <c r="AB1327" s="91"/>
      <c r="AC1327" s="92"/>
      <c r="AD1327" s="101">
        <f t="shared" si="644"/>
        <v>80034</v>
      </c>
      <c r="AE1327" s="103">
        <f t="shared" si="645"/>
        <v>0</v>
      </c>
      <c r="AG1327" s="1">
        <f t="shared" si="636"/>
        <v>0</v>
      </c>
      <c r="AH1327" s="1">
        <f t="shared" si="637"/>
        <v>0</v>
      </c>
      <c r="AI1327" s="1">
        <f t="shared" si="646"/>
        <v>5432.58</v>
      </c>
      <c r="AJ1327" s="20">
        <f t="shared" si="648"/>
        <v>0</v>
      </c>
      <c r="AK1327" s="100">
        <f t="shared" si="620"/>
        <v>0</v>
      </c>
      <c r="AL1327" s="100">
        <f t="shared" si="621"/>
        <v>0</v>
      </c>
      <c r="AN1327" s="100">
        <f t="shared" si="622"/>
        <v>2816.5876929322471</v>
      </c>
      <c r="AO1327" s="20">
        <f t="shared" si="623"/>
        <v>0</v>
      </c>
      <c r="AQ1327" s="109">
        <f t="shared" si="624"/>
        <v>0</v>
      </c>
      <c r="AU1327" s="109">
        <f t="shared" si="639"/>
        <v>24.147224724481813</v>
      </c>
      <c r="AV1327" s="101">
        <f t="shared" si="625"/>
        <v>80064</v>
      </c>
      <c r="AW1327" s="99">
        <f t="shared" si="626"/>
        <v>0</v>
      </c>
      <c r="AX1327" s="1">
        <f t="shared" si="627"/>
        <v>0</v>
      </c>
      <c r="AY1327" s="29">
        <f t="shared" si="628"/>
        <v>0</v>
      </c>
      <c r="AZ1327" s="1">
        <f t="shared" si="640"/>
        <v>0</v>
      </c>
      <c r="CB1327" s="20">
        <f t="shared" si="649"/>
        <v>0</v>
      </c>
      <c r="CC1327" s="173">
        <f t="shared" si="641"/>
        <v>0</v>
      </c>
    </row>
    <row r="1328" spans="10:81" x14ac:dyDescent="0.25">
      <c r="J1328" s="9"/>
      <c r="K1328" s="10"/>
      <c r="L1328" s="17"/>
      <c r="M1328" s="23"/>
      <c r="N1328" s="23"/>
      <c r="O1328" s="23"/>
      <c r="P1328" s="23"/>
      <c r="Q1328" s="1">
        <f t="shared" si="642"/>
        <v>0.60744618579017706</v>
      </c>
      <c r="R1328" s="12">
        <f t="shared" ca="1" si="629"/>
        <v>38942</v>
      </c>
      <c r="S1328" s="88">
        <f t="shared" si="638"/>
        <v>0</v>
      </c>
      <c r="T1328" s="19">
        <f t="shared" si="630"/>
        <v>0</v>
      </c>
      <c r="U1328" s="19">
        <f t="shared" si="631"/>
        <v>0</v>
      </c>
      <c r="V1328" s="19">
        <f t="shared" si="647"/>
        <v>0</v>
      </c>
      <c r="W1328" s="20">
        <f t="shared" ca="1" si="632"/>
        <v>0</v>
      </c>
      <c r="X1328" s="19">
        <f t="shared" ca="1" si="633"/>
        <v>0</v>
      </c>
      <c r="Y1328" s="19">
        <f t="shared" ca="1" si="634"/>
        <v>0</v>
      </c>
      <c r="Z1328" s="20">
        <f t="shared" ca="1" si="635"/>
        <v>0</v>
      </c>
      <c r="AA1328" s="1">
        <f t="shared" si="643"/>
        <v>5432.58</v>
      </c>
      <c r="AB1328" s="93"/>
      <c r="AC1328" s="94"/>
      <c r="AD1328" s="101">
        <f t="shared" si="644"/>
        <v>80064</v>
      </c>
      <c r="AE1328" s="103">
        <f t="shared" si="645"/>
        <v>0</v>
      </c>
      <c r="AG1328" s="1">
        <f t="shared" si="636"/>
        <v>0</v>
      </c>
      <c r="AH1328" s="1">
        <f t="shared" si="637"/>
        <v>0</v>
      </c>
      <c r="AI1328" s="1">
        <f t="shared" si="646"/>
        <v>5432.58</v>
      </c>
      <c r="AJ1328" s="20">
        <f t="shared" si="648"/>
        <v>0</v>
      </c>
      <c r="AK1328" s="100">
        <f t="shared" si="620"/>
        <v>0</v>
      </c>
      <c r="AL1328" s="100">
        <f t="shared" si="621"/>
        <v>0</v>
      </c>
      <c r="AN1328" s="100">
        <f t="shared" si="622"/>
        <v>2815.1626430906431</v>
      </c>
      <c r="AO1328" s="20">
        <f t="shared" si="623"/>
        <v>0</v>
      </c>
      <c r="AQ1328" s="109">
        <f t="shared" si="624"/>
        <v>0</v>
      </c>
      <c r="AU1328" s="109">
        <f t="shared" si="639"/>
        <v>24.145105320792538</v>
      </c>
      <c r="AV1328" s="101">
        <f t="shared" si="625"/>
        <v>80094</v>
      </c>
      <c r="AW1328" s="99">
        <f t="shared" si="626"/>
        <v>0</v>
      </c>
      <c r="AX1328" s="1">
        <f t="shared" si="627"/>
        <v>0</v>
      </c>
      <c r="AY1328" s="29">
        <f t="shared" si="628"/>
        <v>0</v>
      </c>
      <c r="AZ1328" s="1">
        <f t="shared" si="640"/>
        <v>0</v>
      </c>
      <c r="CB1328" s="20">
        <f t="shared" si="649"/>
        <v>0</v>
      </c>
      <c r="CC1328" s="173">
        <f t="shared" si="641"/>
        <v>0</v>
      </c>
    </row>
    <row r="1329" spans="10:81" x14ac:dyDescent="0.25">
      <c r="J1329" s="7"/>
      <c r="K1329" s="8"/>
      <c r="L1329" s="16"/>
      <c r="M1329" s="22"/>
      <c r="N1329" s="22"/>
      <c r="O1329" s="22"/>
      <c r="P1329" s="22"/>
      <c r="Q1329" s="1">
        <f t="shared" si="642"/>
        <v>0.60744618579017706</v>
      </c>
      <c r="R1329" s="12">
        <f t="shared" ca="1" si="629"/>
        <v>38972</v>
      </c>
      <c r="S1329" s="88">
        <f t="shared" si="638"/>
        <v>0</v>
      </c>
      <c r="T1329" s="19">
        <f t="shared" si="630"/>
        <v>0</v>
      </c>
      <c r="U1329" s="19">
        <f t="shared" si="631"/>
        <v>0</v>
      </c>
      <c r="V1329" s="19">
        <f t="shared" si="647"/>
        <v>0</v>
      </c>
      <c r="W1329" s="20">
        <f t="shared" ca="1" si="632"/>
        <v>0</v>
      </c>
      <c r="X1329" s="19">
        <f t="shared" ca="1" si="633"/>
        <v>0</v>
      </c>
      <c r="Y1329" s="19">
        <f t="shared" ca="1" si="634"/>
        <v>0</v>
      </c>
      <c r="Z1329" s="20">
        <f t="shared" ca="1" si="635"/>
        <v>0</v>
      </c>
      <c r="AA1329" s="1">
        <f t="shared" si="643"/>
        <v>5432.58</v>
      </c>
      <c r="AB1329" s="91"/>
      <c r="AC1329" s="92"/>
      <c r="AD1329" s="101">
        <f t="shared" si="644"/>
        <v>80094</v>
      </c>
      <c r="AE1329" s="103">
        <f t="shared" si="645"/>
        <v>0</v>
      </c>
      <c r="AG1329" s="1">
        <f t="shared" si="636"/>
        <v>0</v>
      </c>
      <c r="AH1329" s="1">
        <f t="shared" si="637"/>
        <v>0</v>
      </c>
      <c r="AI1329" s="1">
        <f t="shared" si="646"/>
        <v>5432.58</v>
      </c>
      <c r="AJ1329" s="20">
        <f t="shared" si="648"/>
        <v>0</v>
      </c>
      <c r="AK1329" s="100">
        <f t="shared" si="620"/>
        <v>0</v>
      </c>
      <c r="AL1329" s="100">
        <f t="shared" si="621"/>
        <v>0</v>
      </c>
      <c r="AN1329" s="100">
        <f t="shared" si="622"/>
        <v>2813.7383142516396</v>
      </c>
      <c r="AO1329" s="20">
        <f t="shared" si="623"/>
        <v>0</v>
      </c>
      <c r="AQ1329" s="109">
        <f t="shared" si="624"/>
        <v>0</v>
      </c>
      <c r="AU1329" s="109">
        <f t="shared" si="639"/>
        <v>24.142986103123487</v>
      </c>
      <c r="AV1329" s="101">
        <f t="shared" si="625"/>
        <v>80124</v>
      </c>
      <c r="AW1329" s="99">
        <f t="shared" si="626"/>
        <v>0</v>
      </c>
      <c r="AX1329" s="1">
        <f t="shared" si="627"/>
        <v>0</v>
      </c>
      <c r="AY1329" s="29">
        <f t="shared" si="628"/>
        <v>0</v>
      </c>
      <c r="AZ1329" s="1">
        <f t="shared" si="640"/>
        <v>0</v>
      </c>
      <c r="CB1329" s="20">
        <f t="shared" si="649"/>
        <v>0</v>
      </c>
      <c r="CC1329" s="173">
        <f t="shared" si="641"/>
        <v>0</v>
      </c>
    </row>
    <row r="1330" spans="10:81" x14ac:dyDescent="0.25">
      <c r="J1330" s="9"/>
      <c r="K1330" s="10"/>
      <c r="L1330" s="17"/>
      <c r="M1330" s="23"/>
      <c r="N1330" s="23"/>
      <c r="O1330" s="23"/>
      <c r="P1330" s="23"/>
      <c r="Q1330" s="1">
        <f t="shared" si="642"/>
        <v>0.60744618579017706</v>
      </c>
      <c r="R1330" s="12">
        <f t="shared" ca="1" si="629"/>
        <v>39002</v>
      </c>
      <c r="S1330" s="88">
        <f t="shared" si="638"/>
        <v>0</v>
      </c>
      <c r="T1330" s="19">
        <f t="shared" si="630"/>
        <v>0</v>
      </c>
      <c r="U1330" s="19">
        <f t="shared" si="631"/>
        <v>0</v>
      </c>
      <c r="V1330" s="19">
        <f t="shared" si="647"/>
        <v>0</v>
      </c>
      <c r="W1330" s="20">
        <f t="shared" ca="1" si="632"/>
        <v>0</v>
      </c>
      <c r="X1330" s="19">
        <f t="shared" ca="1" si="633"/>
        <v>0</v>
      </c>
      <c r="Y1330" s="19">
        <f t="shared" ca="1" si="634"/>
        <v>0</v>
      </c>
      <c r="Z1330" s="20">
        <f t="shared" ca="1" si="635"/>
        <v>0</v>
      </c>
      <c r="AA1330" s="1">
        <f t="shared" si="643"/>
        <v>5432.58</v>
      </c>
      <c r="AB1330" s="93"/>
      <c r="AC1330" s="94"/>
      <c r="AD1330" s="101">
        <f t="shared" si="644"/>
        <v>80124</v>
      </c>
      <c r="AE1330" s="103">
        <f t="shared" si="645"/>
        <v>0</v>
      </c>
      <c r="AG1330" s="1">
        <f t="shared" si="636"/>
        <v>0</v>
      </c>
      <c r="AH1330" s="1">
        <f t="shared" si="637"/>
        <v>0</v>
      </c>
      <c r="AI1330" s="1">
        <f t="shared" si="646"/>
        <v>5432.58</v>
      </c>
      <c r="AJ1330" s="20">
        <f t="shared" si="648"/>
        <v>0</v>
      </c>
      <c r="AK1330" s="100">
        <f t="shared" si="620"/>
        <v>0</v>
      </c>
      <c r="AL1330" s="100">
        <f t="shared" si="621"/>
        <v>0</v>
      </c>
      <c r="AN1330" s="100">
        <f t="shared" si="622"/>
        <v>2812.3147060504461</v>
      </c>
      <c r="AO1330" s="20">
        <f t="shared" si="623"/>
        <v>0</v>
      </c>
      <c r="AQ1330" s="109">
        <f t="shared" si="624"/>
        <v>0</v>
      </c>
      <c r="AU1330" s="109">
        <f t="shared" si="639"/>
        <v>24.140867071458324</v>
      </c>
      <c r="AV1330" s="101">
        <f t="shared" si="625"/>
        <v>80154</v>
      </c>
      <c r="AW1330" s="99">
        <f t="shared" si="626"/>
        <v>0</v>
      </c>
      <c r="AX1330" s="1">
        <f t="shared" si="627"/>
        <v>0</v>
      </c>
      <c r="AY1330" s="29">
        <f t="shared" si="628"/>
        <v>0</v>
      </c>
      <c r="AZ1330" s="1">
        <f t="shared" si="640"/>
        <v>0</v>
      </c>
      <c r="CB1330" s="20">
        <f t="shared" si="649"/>
        <v>0</v>
      </c>
      <c r="CC1330" s="173">
        <f t="shared" si="641"/>
        <v>0</v>
      </c>
    </row>
    <row r="1331" spans="10:81" x14ac:dyDescent="0.25">
      <c r="J1331" s="7"/>
      <c r="K1331" s="8"/>
      <c r="L1331" s="16"/>
      <c r="M1331" s="22"/>
      <c r="N1331" s="22"/>
      <c r="O1331" s="22"/>
      <c r="P1331" s="22"/>
      <c r="Q1331" s="1">
        <f t="shared" si="642"/>
        <v>0.60744618579017706</v>
      </c>
      <c r="R1331" s="12">
        <f t="shared" ca="1" si="629"/>
        <v>39032</v>
      </c>
      <c r="S1331" s="88">
        <f t="shared" si="638"/>
        <v>0</v>
      </c>
      <c r="T1331" s="19">
        <f t="shared" si="630"/>
        <v>0</v>
      </c>
      <c r="U1331" s="19">
        <f t="shared" si="631"/>
        <v>0</v>
      </c>
      <c r="V1331" s="19">
        <f t="shared" si="647"/>
        <v>0</v>
      </c>
      <c r="W1331" s="20">
        <f t="shared" ca="1" si="632"/>
        <v>0</v>
      </c>
      <c r="X1331" s="19">
        <f t="shared" ca="1" si="633"/>
        <v>0</v>
      </c>
      <c r="Y1331" s="19">
        <f t="shared" ca="1" si="634"/>
        <v>0</v>
      </c>
      <c r="Z1331" s="20">
        <f t="shared" ca="1" si="635"/>
        <v>0</v>
      </c>
      <c r="AA1331" s="1">
        <f t="shared" si="643"/>
        <v>5432.58</v>
      </c>
      <c r="AB1331" s="91"/>
      <c r="AC1331" s="92"/>
      <c r="AD1331" s="101">
        <f t="shared" si="644"/>
        <v>80154</v>
      </c>
      <c r="AE1331" s="103">
        <f t="shared" si="645"/>
        <v>0</v>
      </c>
      <c r="AG1331" s="1">
        <f t="shared" si="636"/>
        <v>0</v>
      </c>
      <c r="AH1331" s="1">
        <f t="shared" si="637"/>
        <v>0</v>
      </c>
      <c r="AI1331" s="1">
        <f t="shared" si="646"/>
        <v>5432.58</v>
      </c>
      <c r="AJ1331" s="20">
        <f t="shared" si="648"/>
        <v>0</v>
      </c>
      <c r="AK1331" s="100">
        <f t="shared" si="620"/>
        <v>0</v>
      </c>
      <c r="AL1331" s="100">
        <f t="shared" si="621"/>
        <v>0</v>
      </c>
      <c r="AN1331" s="100">
        <f t="shared" si="622"/>
        <v>2810.8918181224558</v>
      </c>
      <c r="AO1331" s="20">
        <f t="shared" si="623"/>
        <v>0</v>
      </c>
      <c r="AQ1331" s="109">
        <f t="shared" si="624"/>
        <v>0</v>
      </c>
      <c r="AU1331" s="109">
        <f t="shared" si="639"/>
        <v>24.138748225780738</v>
      </c>
      <c r="AV1331" s="101">
        <f t="shared" si="625"/>
        <v>80184</v>
      </c>
      <c r="AW1331" s="99">
        <f t="shared" si="626"/>
        <v>0</v>
      </c>
      <c r="AX1331" s="1">
        <f t="shared" si="627"/>
        <v>0</v>
      </c>
      <c r="AY1331" s="29">
        <f t="shared" si="628"/>
        <v>0</v>
      </c>
      <c r="AZ1331" s="1">
        <f t="shared" si="640"/>
        <v>0</v>
      </c>
      <c r="CB1331" s="20">
        <f t="shared" si="649"/>
        <v>0</v>
      </c>
      <c r="CC1331" s="173">
        <f t="shared" si="641"/>
        <v>0</v>
      </c>
    </row>
    <row r="1332" spans="10:81" x14ac:dyDescent="0.25">
      <c r="J1332" s="9"/>
      <c r="K1332" s="10"/>
      <c r="L1332" s="17"/>
      <c r="M1332" s="23"/>
      <c r="N1332" s="23"/>
      <c r="O1332" s="23"/>
      <c r="P1332" s="23"/>
      <c r="Q1332" s="1">
        <f t="shared" si="642"/>
        <v>0.60744618579017706</v>
      </c>
      <c r="R1332" s="12">
        <f t="shared" ca="1" si="629"/>
        <v>39062</v>
      </c>
      <c r="S1332" s="88">
        <f t="shared" si="638"/>
        <v>0</v>
      </c>
      <c r="T1332" s="19">
        <f t="shared" si="630"/>
        <v>0</v>
      </c>
      <c r="U1332" s="19">
        <f t="shared" si="631"/>
        <v>0</v>
      </c>
      <c r="V1332" s="19">
        <f t="shared" si="647"/>
        <v>0</v>
      </c>
      <c r="W1332" s="20">
        <f t="shared" ca="1" si="632"/>
        <v>0</v>
      </c>
      <c r="X1332" s="19">
        <f t="shared" ca="1" si="633"/>
        <v>0</v>
      </c>
      <c r="Y1332" s="19">
        <f t="shared" ca="1" si="634"/>
        <v>0</v>
      </c>
      <c r="Z1332" s="20">
        <f t="shared" ca="1" si="635"/>
        <v>0</v>
      </c>
      <c r="AA1332" s="1">
        <f t="shared" si="643"/>
        <v>5432.58</v>
      </c>
      <c r="AB1332" s="93"/>
      <c r="AC1332" s="94"/>
      <c r="AD1332" s="101">
        <f t="shared" si="644"/>
        <v>80184</v>
      </c>
      <c r="AE1332" s="103">
        <f t="shared" si="645"/>
        <v>0</v>
      </c>
      <c r="AG1332" s="1">
        <f t="shared" si="636"/>
        <v>0</v>
      </c>
      <c r="AH1332" s="1">
        <f t="shared" si="637"/>
        <v>0</v>
      </c>
      <c r="AI1332" s="1">
        <f t="shared" si="646"/>
        <v>5432.58</v>
      </c>
      <c r="AJ1332" s="20">
        <f t="shared" si="648"/>
        <v>0</v>
      </c>
      <c r="AK1332" s="100">
        <f t="shared" si="620"/>
        <v>0</v>
      </c>
      <c r="AL1332" s="100">
        <f t="shared" si="621"/>
        <v>0</v>
      </c>
      <c r="AN1332" s="100">
        <f t="shared" si="622"/>
        <v>2809.469650103249</v>
      </c>
      <c r="AO1332" s="20">
        <f t="shared" si="623"/>
        <v>0</v>
      </c>
      <c r="AQ1332" s="109">
        <f t="shared" si="624"/>
        <v>0</v>
      </c>
      <c r="AU1332" s="109">
        <f t="shared" si="639"/>
        <v>24.13662956607439</v>
      </c>
      <c r="AV1332" s="101">
        <f t="shared" si="625"/>
        <v>80214</v>
      </c>
      <c r="AW1332" s="99">
        <f t="shared" si="626"/>
        <v>0</v>
      </c>
      <c r="AX1332" s="1">
        <f t="shared" si="627"/>
        <v>0</v>
      </c>
      <c r="AY1332" s="29">
        <f t="shared" si="628"/>
        <v>0</v>
      </c>
      <c r="AZ1332" s="1">
        <f t="shared" si="640"/>
        <v>0</v>
      </c>
      <c r="CB1332" s="20">
        <f t="shared" si="649"/>
        <v>0</v>
      </c>
      <c r="CC1332" s="173">
        <f t="shared" si="641"/>
        <v>0</v>
      </c>
    </row>
    <row r="1333" spans="10:81" x14ac:dyDescent="0.25">
      <c r="J1333" s="7"/>
      <c r="K1333" s="8"/>
      <c r="L1333" s="16"/>
      <c r="M1333" s="22"/>
      <c r="N1333" s="22"/>
      <c r="O1333" s="22"/>
      <c r="P1333" s="22"/>
      <c r="Q1333" s="1">
        <f t="shared" si="642"/>
        <v>0.60744618579017706</v>
      </c>
      <c r="R1333" s="12">
        <f t="shared" ca="1" si="629"/>
        <v>39092</v>
      </c>
      <c r="S1333" s="88">
        <f t="shared" si="638"/>
        <v>0</v>
      </c>
      <c r="T1333" s="19">
        <f t="shared" si="630"/>
        <v>0</v>
      </c>
      <c r="U1333" s="19">
        <f t="shared" si="631"/>
        <v>0</v>
      </c>
      <c r="V1333" s="19">
        <f t="shared" si="647"/>
        <v>0</v>
      </c>
      <c r="W1333" s="20">
        <f t="shared" ca="1" si="632"/>
        <v>0</v>
      </c>
      <c r="X1333" s="19">
        <f t="shared" ca="1" si="633"/>
        <v>0</v>
      </c>
      <c r="Y1333" s="19">
        <f t="shared" ca="1" si="634"/>
        <v>0</v>
      </c>
      <c r="Z1333" s="20">
        <f t="shared" ca="1" si="635"/>
        <v>0</v>
      </c>
      <c r="AA1333" s="1">
        <f t="shared" si="643"/>
        <v>5432.58</v>
      </c>
      <c r="AB1333" s="91"/>
      <c r="AC1333" s="92"/>
      <c r="AD1333" s="101">
        <f t="shared" si="644"/>
        <v>80214</v>
      </c>
      <c r="AE1333" s="103">
        <f t="shared" si="645"/>
        <v>0</v>
      </c>
      <c r="AG1333" s="1">
        <f t="shared" si="636"/>
        <v>0</v>
      </c>
      <c r="AH1333" s="1">
        <f t="shared" si="637"/>
        <v>0</v>
      </c>
      <c r="AI1333" s="1">
        <f t="shared" si="646"/>
        <v>5432.58</v>
      </c>
      <c r="AJ1333" s="20">
        <f t="shared" si="648"/>
        <v>0</v>
      </c>
      <c r="AK1333" s="100">
        <f t="shared" si="620"/>
        <v>0</v>
      </c>
      <c r="AL1333" s="100">
        <f t="shared" si="621"/>
        <v>0</v>
      </c>
      <c r="AN1333" s="100">
        <f t="shared" si="622"/>
        <v>2808.0482016285873</v>
      </c>
      <c r="AO1333" s="20">
        <f t="shared" si="623"/>
        <v>0</v>
      </c>
      <c r="AQ1333" s="109">
        <f t="shared" si="624"/>
        <v>0</v>
      </c>
      <c r="AU1333" s="109">
        <f t="shared" si="639"/>
        <v>24.134511092322953</v>
      </c>
      <c r="AV1333" s="101">
        <f t="shared" si="625"/>
        <v>80244</v>
      </c>
      <c r="AW1333" s="99">
        <f t="shared" si="626"/>
        <v>0</v>
      </c>
      <c r="AX1333" s="1">
        <f t="shared" si="627"/>
        <v>0</v>
      </c>
      <c r="AY1333" s="29">
        <f t="shared" si="628"/>
        <v>0</v>
      </c>
      <c r="AZ1333" s="1">
        <f t="shared" si="640"/>
        <v>0</v>
      </c>
      <c r="CB1333" s="20">
        <f t="shared" si="649"/>
        <v>0</v>
      </c>
      <c r="CC1333" s="173">
        <f t="shared" si="641"/>
        <v>0</v>
      </c>
    </row>
    <row r="1334" spans="10:81" x14ac:dyDescent="0.25">
      <c r="J1334" s="9"/>
      <c r="K1334" s="10"/>
      <c r="L1334" s="17"/>
      <c r="M1334" s="23"/>
      <c r="N1334" s="23"/>
      <c r="O1334" s="23"/>
      <c r="P1334" s="23"/>
      <c r="Q1334" s="1">
        <f t="shared" si="642"/>
        <v>0.60744618579017706</v>
      </c>
      <c r="R1334" s="12">
        <f t="shared" ca="1" si="629"/>
        <v>39122</v>
      </c>
      <c r="S1334" s="88">
        <f t="shared" si="638"/>
        <v>0</v>
      </c>
      <c r="T1334" s="19">
        <f t="shared" si="630"/>
        <v>0</v>
      </c>
      <c r="U1334" s="19">
        <f t="shared" si="631"/>
        <v>0</v>
      </c>
      <c r="V1334" s="19">
        <f t="shared" si="647"/>
        <v>0</v>
      </c>
      <c r="W1334" s="20">
        <f t="shared" ca="1" si="632"/>
        <v>0</v>
      </c>
      <c r="X1334" s="19">
        <f t="shared" ca="1" si="633"/>
        <v>0</v>
      </c>
      <c r="Y1334" s="19">
        <f t="shared" ca="1" si="634"/>
        <v>0</v>
      </c>
      <c r="Z1334" s="20">
        <f t="shared" ca="1" si="635"/>
        <v>0</v>
      </c>
      <c r="AA1334" s="1">
        <f t="shared" si="643"/>
        <v>5432.58</v>
      </c>
      <c r="AB1334" s="93"/>
      <c r="AC1334" s="94"/>
      <c r="AD1334" s="101">
        <f t="shared" si="644"/>
        <v>80244</v>
      </c>
      <c r="AE1334" s="103">
        <f t="shared" si="645"/>
        <v>0</v>
      </c>
      <c r="AG1334" s="1">
        <f t="shared" si="636"/>
        <v>0</v>
      </c>
      <c r="AH1334" s="1">
        <f t="shared" si="637"/>
        <v>0</v>
      </c>
      <c r="AI1334" s="1">
        <f t="shared" si="646"/>
        <v>5432.58</v>
      </c>
      <c r="AJ1334" s="20">
        <f t="shared" si="648"/>
        <v>0</v>
      </c>
      <c r="AK1334" s="100">
        <f t="shared" ref="AK1334:AK1397" si="650">IF(ISERROR(AJ1334/(1+(Q1334)/1200)^(ROW()-29)),0,AJ1334/(1+(Q1334)/1200)^(ROW()-29))</f>
        <v>0</v>
      </c>
      <c r="AL1334" s="100">
        <f t="shared" ref="AL1334:AL1397" si="651">IF(ISERROR((Q1334/1200)*O1334),0,(Q1334/1200)*O1334)</f>
        <v>0</v>
      </c>
      <c r="AN1334" s="100">
        <f t="shared" ref="AN1334:AN1397" si="652">IF(ISERROR(AA1334/(1+(Q1334)/1200)^(ROW()-29)),0,AA1334/(1+(Q1334)/1200)^(ROW()-29))</f>
        <v>2806.6274723344168</v>
      </c>
      <c r="AO1334" s="20">
        <f t="shared" ref="AO1334:AO1397" si="653">IF(ISERROR(V1333+U1334+T1334+(V1333*Q1334/1200)-AA1334-P1334),0,IF(V1333+U1334+T1334+(V1333*Q1334/1200)-AA1334-P1334&lt;0,V1333,-(U1334+T1334-AA1334+P1334-AH1334)))</f>
        <v>0</v>
      </c>
      <c r="AQ1334" s="109">
        <f t="shared" ref="AQ1334:AQ1397" si="654">AO1334/(1+((1+$AM$27)^((ROW()-29)*30)-1))</f>
        <v>0</v>
      </c>
      <c r="AU1334" s="109">
        <f t="shared" si="639"/>
        <v>24.132392804510118</v>
      </c>
      <c r="AV1334" s="101">
        <f t="shared" ref="AV1334:AV1397" si="655">AD1335</f>
        <v>80274</v>
      </c>
      <c r="AW1334" s="99">
        <f t="shared" ref="AW1334:AW1397" si="656">IF(AJ1335&lt;0,0,AJ1335)</f>
        <v>0</v>
      </c>
      <c r="AX1334" s="1">
        <f t="shared" ref="AX1334:AX1397" si="657">IF(AG1334&gt;0,AA1334,0)</f>
        <v>0</v>
      </c>
      <c r="AY1334" s="29">
        <f t="shared" ref="AY1334:AY1397" si="658">AE1334</f>
        <v>0</v>
      </c>
      <c r="AZ1334" s="1">
        <f t="shared" si="640"/>
        <v>0</v>
      </c>
      <c r="CB1334" s="20">
        <f t="shared" si="649"/>
        <v>0</v>
      </c>
      <c r="CC1334" s="173">
        <f t="shared" si="641"/>
        <v>0</v>
      </c>
    </row>
    <row r="1335" spans="10:81" x14ac:dyDescent="0.25">
      <c r="J1335" s="7"/>
      <c r="K1335" s="8"/>
      <c r="L1335" s="16"/>
      <c r="M1335" s="22"/>
      <c r="N1335" s="22"/>
      <c r="O1335" s="22"/>
      <c r="P1335" s="22"/>
      <c r="Q1335" s="1">
        <f t="shared" si="642"/>
        <v>0.60744618579017706</v>
      </c>
      <c r="R1335" s="12">
        <f t="shared" ref="R1335:R1398" ca="1" si="659">IF(ROW()&gt;$T$20,R1334+30,DAYS360(K1334,K1335)+R1334)</f>
        <v>39152</v>
      </c>
      <c r="S1335" s="88">
        <f t="shared" si="638"/>
        <v>0</v>
      </c>
      <c r="T1335" s="19">
        <f t="shared" ref="T1335:T1398" si="660">IF(ISERROR((previousBalance*Q1335/1200)*(IF(ROW()-30&lt;$G$22,$G$21,0))),0,(previousBalance*Q1335/1200)*(IF(ROW()-30&lt;$G$22,$G$21,0)))</f>
        <v>0</v>
      </c>
      <c r="U1335" s="19">
        <f t="shared" ref="U1335:U1398" si="661">AA1335*(IF(ROW()-30&lt;$H$22,$H$21,0))</f>
        <v>0</v>
      </c>
      <c r="V1335" s="19">
        <f t="shared" si="647"/>
        <v>0</v>
      </c>
      <c r="W1335" s="20">
        <f t="shared" ref="W1335:W1398" ca="1" si="662">(T1335)/(1+((1+$T$12)^$R1335-1))</f>
        <v>0</v>
      </c>
      <c r="X1335" s="19">
        <f t="shared" ref="X1335:X1398" ca="1" si="663">(U1335)/(1+((1+$T$12)^$R1335-1))</f>
        <v>0</v>
      </c>
      <c r="Y1335" s="19">
        <f t="shared" ref="Y1335:Y1398" ca="1" si="664">P1335/(1+((1+$T$12)^$R1335-1))</f>
        <v>0</v>
      </c>
      <c r="Z1335" s="20">
        <f t="shared" ref="Z1335:Z1398" ca="1" si="665">W1335+X1335</f>
        <v>0</v>
      </c>
      <c r="AA1335" s="1">
        <f t="shared" si="643"/>
        <v>5432.58</v>
      </c>
      <c r="AB1335" s="91"/>
      <c r="AC1335" s="92"/>
      <c r="AD1335" s="101">
        <f t="shared" si="644"/>
        <v>80274</v>
      </c>
      <c r="AE1335" s="103">
        <f t="shared" si="645"/>
        <v>0</v>
      </c>
      <c r="AG1335" s="1">
        <f t="shared" ref="AG1335:AG1398" si="666">AE1335/360</f>
        <v>0</v>
      </c>
      <c r="AH1335" s="1">
        <f t="shared" ref="AH1335:AH1398" si="667">IF(ISERROR(IF(V1334+U1335+T1335+(V1334*Q1335/1200)-AA1335-P1335&lt;0,0,(V1334*Q1335/1200))),0,IF(V1334+U1335+T1335+(V1334*Q1335/1200)-AA1335-P1335&lt;0,0,(V1334*Q1335/1200)))</f>
        <v>0</v>
      </c>
      <c r="AI1335" s="1">
        <f t="shared" si="646"/>
        <v>5432.58</v>
      </c>
      <c r="AJ1335" s="20">
        <f t="shared" si="648"/>
        <v>0</v>
      </c>
      <c r="AK1335" s="100">
        <f t="shared" si="650"/>
        <v>0</v>
      </c>
      <c r="AL1335" s="100">
        <f t="shared" si="651"/>
        <v>0</v>
      </c>
      <c r="AN1335" s="100">
        <f t="shared" si="652"/>
        <v>2805.2074618568704</v>
      </c>
      <c r="AO1335" s="20">
        <f t="shared" si="653"/>
        <v>0</v>
      </c>
      <c r="AQ1335" s="109">
        <f t="shared" si="654"/>
        <v>0</v>
      </c>
      <c r="AU1335" s="109">
        <f t="shared" si="639"/>
        <v>24.130274702619548</v>
      </c>
      <c r="AV1335" s="101">
        <f t="shared" si="655"/>
        <v>80304</v>
      </c>
      <c r="AW1335" s="99">
        <f t="shared" si="656"/>
        <v>0</v>
      </c>
      <c r="AX1335" s="1">
        <f t="shared" si="657"/>
        <v>0</v>
      </c>
      <c r="AY1335" s="29">
        <f t="shared" si="658"/>
        <v>0</v>
      </c>
      <c r="AZ1335" s="1">
        <f t="shared" si="640"/>
        <v>0</v>
      </c>
      <c r="CB1335" s="20">
        <f t="shared" si="649"/>
        <v>0</v>
      </c>
      <c r="CC1335" s="173">
        <f t="shared" si="641"/>
        <v>0</v>
      </c>
    </row>
    <row r="1336" spans="10:81" x14ac:dyDescent="0.25">
      <c r="J1336" s="9"/>
      <c r="K1336" s="10"/>
      <c r="L1336" s="17"/>
      <c r="M1336" s="23"/>
      <c r="N1336" s="23"/>
      <c r="O1336" s="23"/>
      <c r="P1336" s="23"/>
      <c r="Q1336" s="1">
        <f t="shared" si="642"/>
        <v>0.60744618579017706</v>
      </c>
      <c r="R1336" s="12">
        <f t="shared" ca="1" si="659"/>
        <v>39182</v>
      </c>
      <c r="S1336" s="88">
        <f t="shared" si="638"/>
        <v>0</v>
      </c>
      <c r="T1336" s="19">
        <f t="shared" si="660"/>
        <v>0</v>
      </c>
      <c r="U1336" s="19">
        <f t="shared" si="661"/>
        <v>0</v>
      </c>
      <c r="V1336" s="19">
        <f t="shared" si="647"/>
        <v>0</v>
      </c>
      <c r="W1336" s="20">
        <f t="shared" ca="1" si="662"/>
        <v>0</v>
      </c>
      <c r="X1336" s="19">
        <f t="shared" ca="1" si="663"/>
        <v>0</v>
      </c>
      <c r="Y1336" s="19">
        <f t="shared" ca="1" si="664"/>
        <v>0</v>
      </c>
      <c r="Z1336" s="20">
        <f t="shared" ca="1" si="665"/>
        <v>0</v>
      </c>
      <c r="AA1336" s="1">
        <f t="shared" si="643"/>
        <v>5432.58</v>
      </c>
      <c r="AB1336" s="93"/>
      <c r="AC1336" s="94"/>
      <c r="AD1336" s="101">
        <f t="shared" si="644"/>
        <v>80304</v>
      </c>
      <c r="AE1336" s="103">
        <f t="shared" si="645"/>
        <v>0</v>
      </c>
      <c r="AG1336" s="1">
        <f t="shared" si="666"/>
        <v>0</v>
      </c>
      <c r="AH1336" s="1">
        <f t="shared" si="667"/>
        <v>0</v>
      </c>
      <c r="AI1336" s="1">
        <f t="shared" si="646"/>
        <v>5432.58</v>
      </c>
      <c r="AJ1336" s="20">
        <f t="shared" si="648"/>
        <v>0</v>
      </c>
      <c r="AK1336" s="100">
        <f t="shared" si="650"/>
        <v>0</v>
      </c>
      <c r="AL1336" s="100">
        <f t="shared" si="651"/>
        <v>0</v>
      </c>
      <c r="AN1336" s="100">
        <f t="shared" si="652"/>
        <v>2803.7881698322635</v>
      </c>
      <c r="AO1336" s="20">
        <f t="shared" si="653"/>
        <v>0</v>
      </c>
      <c r="AQ1336" s="109">
        <f t="shared" si="654"/>
        <v>0</v>
      </c>
      <c r="AU1336" s="109">
        <f t="shared" si="639"/>
        <v>24.128156786634953</v>
      </c>
      <c r="AV1336" s="101">
        <f t="shared" si="655"/>
        <v>80334</v>
      </c>
      <c r="AW1336" s="99">
        <f t="shared" si="656"/>
        <v>0</v>
      </c>
      <c r="AX1336" s="1">
        <f t="shared" si="657"/>
        <v>0</v>
      </c>
      <c r="AY1336" s="29">
        <f t="shared" si="658"/>
        <v>0</v>
      </c>
      <c r="AZ1336" s="1">
        <f t="shared" si="640"/>
        <v>0</v>
      </c>
      <c r="CB1336" s="20">
        <f t="shared" si="649"/>
        <v>0</v>
      </c>
      <c r="CC1336" s="173">
        <f t="shared" si="641"/>
        <v>0</v>
      </c>
    </row>
    <row r="1337" spans="10:81" x14ac:dyDescent="0.25">
      <c r="J1337" s="7"/>
      <c r="K1337" s="8"/>
      <c r="L1337" s="16"/>
      <c r="M1337" s="22"/>
      <c r="N1337" s="22"/>
      <c r="O1337" s="22"/>
      <c r="P1337" s="22"/>
      <c r="Q1337" s="1">
        <f t="shared" si="642"/>
        <v>0.60744618579017706</v>
      </c>
      <c r="R1337" s="12">
        <f t="shared" ca="1" si="659"/>
        <v>39212</v>
      </c>
      <c r="S1337" s="88">
        <f t="shared" si="638"/>
        <v>0</v>
      </c>
      <c r="T1337" s="19">
        <f t="shared" si="660"/>
        <v>0</v>
      </c>
      <c r="U1337" s="19">
        <f t="shared" si="661"/>
        <v>0</v>
      </c>
      <c r="V1337" s="19">
        <f t="shared" si="647"/>
        <v>0</v>
      </c>
      <c r="W1337" s="20">
        <f t="shared" ca="1" si="662"/>
        <v>0</v>
      </c>
      <c r="X1337" s="19">
        <f t="shared" ca="1" si="663"/>
        <v>0</v>
      </c>
      <c r="Y1337" s="19">
        <f t="shared" ca="1" si="664"/>
        <v>0</v>
      </c>
      <c r="Z1337" s="20">
        <f t="shared" ca="1" si="665"/>
        <v>0</v>
      </c>
      <c r="AA1337" s="1">
        <f t="shared" si="643"/>
        <v>5432.58</v>
      </c>
      <c r="AB1337" s="91"/>
      <c r="AC1337" s="92"/>
      <c r="AD1337" s="101">
        <f t="shared" si="644"/>
        <v>80334</v>
      </c>
      <c r="AE1337" s="103">
        <f t="shared" si="645"/>
        <v>0</v>
      </c>
      <c r="AG1337" s="1">
        <f t="shared" si="666"/>
        <v>0</v>
      </c>
      <c r="AH1337" s="1">
        <f t="shared" si="667"/>
        <v>0</v>
      </c>
      <c r="AI1337" s="1">
        <f t="shared" si="646"/>
        <v>5432.58</v>
      </c>
      <c r="AJ1337" s="20">
        <f t="shared" si="648"/>
        <v>0</v>
      </c>
      <c r="AK1337" s="100">
        <f t="shared" si="650"/>
        <v>0</v>
      </c>
      <c r="AL1337" s="100">
        <f t="shared" si="651"/>
        <v>0</v>
      </c>
      <c r="AN1337" s="100">
        <f t="shared" si="652"/>
        <v>2802.3695958970948</v>
      </c>
      <c r="AO1337" s="20">
        <f t="shared" si="653"/>
        <v>0</v>
      </c>
      <c r="AQ1337" s="109">
        <f t="shared" si="654"/>
        <v>0</v>
      </c>
      <c r="AU1337" s="109">
        <f t="shared" si="639"/>
        <v>24.126039056539994</v>
      </c>
      <c r="AV1337" s="101">
        <f t="shared" si="655"/>
        <v>80364</v>
      </c>
      <c r="AW1337" s="99">
        <f t="shared" si="656"/>
        <v>0</v>
      </c>
      <c r="AX1337" s="1">
        <f t="shared" si="657"/>
        <v>0</v>
      </c>
      <c r="AY1337" s="29">
        <f t="shared" si="658"/>
        <v>0</v>
      </c>
      <c r="AZ1337" s="1">
        <f t="shared" si="640"/>
        <v>0</v>
      </c>
      <c r="CB1337" s="20">
        <f t="shared" si="649"/>
        <v>0</v>
      </c>
      <c r="CC1337" s="173">
        <f t="shared" si="641"/>
        <v>0</v>
      </c>
    </row>
    <row r="1338" spans="10:81" x14ac:dyDescent="0.25">
      <c r="J1338" s="9"/>
      <c r="K1338" s="10"/>
      <c r="L1338" s="17"/>
      <c r="M1338" s="23"/>
      <c r="N1338" s="23"/>
      <c r="O1338" s="23"/>
      <c r="P1338" s="23"/>
      <c r="Q1338" s="1">
        <f t="shared" si="642"/>
        <v>0.60744618579017706</v>
      </c>
      <c r="R1338" s="12">
        <f t="shared" ca="1" si="659"/>
        <v>39242</v>
      </c>
      <c r="S1338" s="88">
        <f t="shared" si="638"/>
        <v>0</v>
      </c>
      <c r="T1338" s="19">
        <f t="shared" si="660"/>
        <v>0</v>
      </c>
      <c r="U1338" s="19">
        <f t="shared" si="661"/>
        <v>0</v>
      </c>
      <c r="V1338" s="19">
        <f t="shared" si="647"/>
        <v>0</v>
      </c>
      <c r="W1338" s="20">
        <f t="shared" ca="1" si="662"/>
        <v>0</v>
      </c>
      <c r="X1338" s="19">
        <f t="shared" ca="1" si="663"/>
        <v>0</v>
      </c>
      <c r="Y1338" s="19">
        <f t="shared" ca="1" si="664"/>
        <v>0</v>
      </c>
      <c r="Z1338" s="20">
        <f t="shared" ca="1" si="665"/>
        <v>0</v>
      </c>
      <c r="AA1338" s="1">
        <f t="shared" si="643"/>
        <v>5432.58</v>
      </c>
      <c r="AB1338" s="93"/>
      <c r="AC1338" s="94"/>
      <c r="AD1338" s="101">
        <f t="shared" si="644"/>
        <v>80364</v>
      </c>
      <c r="AE1338" s="103">
        <f t="shared" si="645"/>
        <v>0</v>
      </c>
      <c r="AG1338" s="1">
        <f t="shared" si="666"/>
        <v>0</v>
      </c>
      <c r="AH1338" s="1">
        <f t="shared" si="667"/>
        <v>0</v>
      </c>
      <c r="AI1338" s="1">
        <f t="shared" si="646"/>
        <v>5432.58</v>
      </c>
      <c r="AJ1338" s="20">
        <f t="shared" si="648"/>
        <v>0</v>
      </c>
      <c r="AK1338" s="100">
        <f t="shared" si="650"/>
        <v>0</v>
      </c>
      <c r="AL1338" s="100">
        <f t="shared" si="651"/>
        <v>0</v>
      </c>
      <c r="AN1338" s="100">
        <f t="shared" si="652"/>
        <v>2800.9517396880478</v>
      </c>
      <c r="AO1338" s="20">
        <f t="shared" si="653"/>
        <v>0</v>
      </c>
      <c r="AQ1338" s="109">
        <f t="shared" si="654"/>
        <v>0</v>
      </c>
      <c r="AU1338" s="109">
        <f t="shared" si="639"/>
        <v>24.123921512318354</v>
      </c>
      <c r="AV1338" s="101">
        <f t="shared" si="655"/>
        <v>80394</v>
      </c>
      <c r="AW1338" s="99">
        <f t="shared" si="656"/>
        <v>0</v>
      </c>
      <c r="AX1338" s="1">
        <f t="shared" si="657"/>
        <v>0</v>
      </c>
      <c r="AY1338" s="29">
        <f t="shared" si="658"/>
        <v>0</v>
      </c>
      <c r="AZ1338" s="1">
        <f t="shared" si="640"/>
        <v>0</v>
      </c>
      <c r="CB1338" s="20">
        <f t="shared" si="649"/>
        <v>0</v>
      </c>
      <c r="CC1338" s="173">
        <f t="shared" si="641"/>
        <v>0</v>
      </c>
    </row>
    <row r="1339" spans="10:81" x14ac:dyDescent="0.25">
      <c r="J1339" s="7"/>
      <c r="K1339" s="8"/>
      <c r="L1339" s="16"/>
      <c r="M1339" s="22"/>
      <c r="N1339" s="22"/>
      <c r="O1339" s="22"/>
      <c r="P1339" s="22"/>
      <c r="Q1339" s="1">
        <f t="shared" si="642"/>
        <v>0.60744618579017706</v>
      </c>
      <c r="R1339" s="12">
        <f t="shared" ca="1" si="659"/>
        <v>39272</v>
      </c>
      <c r="S1339" s="88">
        <f t="shared" si="638"/>
        <v>0</v>
      </c>
      <c r="T1339" s="19">
        <f t="shared" si="660"/>
        <v>0</v>
      </c>
      <c r="U1339" s="19">
        <f t="shared" si="661"/>
        <v>0</v>
      </c>
      <c r="V1339" s="19">
        <f t="shared" si="647"/>
        <v>0</v>
      </c>
      <c r="W1339" s="20">
        <f t="shared" ca="1" si="662"/>
        <v>0</v>
      </c>
      <c r="X1339" s="19">
        <f t="shared" ca="1" si="663"/>
        <v>0</v>
      </c>
      <c r="Y1339" s="19">
        <f t="shared" ca="1" si="664"/>
        <v>0</v>
      </c>
      <c r="Z1339" s="20">
        <f t="shared" ca="1" si="665"/>
        <v>0</v>
      </c>
      <c r="AA1339" s="1">
        <f t="shared" si="643"/>
        <v>5432.58</v>
      </c>
      <c r="AB1339" s="91"/>
      <c r="AC1339" s="92"/>
      <c r="AD1339" s="101">
        <f t="shared" si="644"/>
        <v>80394</v>
      </c>
      <c r="AE1339" s="103">
        <f t="shared" si="645"/>
        <v>0</v>
      </c>
      <c r="AG1339" s="1">
        <f t="shared" si="666"/>
        <v>0</v>
      </c>
      <c r="AH1339" s="1">
        <f t="shared" si="667"/>
        <v>0</v>
      </c>
      <c r="AI1339" s="1">
        <f t="shared" si="646"/>
        <v>5432.58</v>
      </c>
      <c r="AJ1339" s="20">
        <f t="shared" si="648"/>
        <v>0</v>
      </c>
      <c r="AK1339" s="100">
        <f t="shared" si="650"/>
        <v>0</v>
      </c>
      <c r="AL1339" s="100">
        <f t="shared" si="651"/>
        <v>0</v>
      </c>
      <c r="AN1339" s="100">
        <f t="shared" si="652"/>
        <v>2799.5346008419892</v>
      </c>
      <c r="AO1339" s="20">
        <f t="shared" si="653"/>
        <v>0</v>
      </c>
      <c r="AQ1339" s="109">
        <f t="shared" si="654"/>
        <v>0</v>
      </c>
      <c r="AU1339" s="109">
        <f t="shared" si="639"/>
        <v>24.121804153953732</v>
      </c>
      <c r="AV1339" s="101">
        <f t="shared" si="655"/>
        <v>80424</v>
      </c>
      <c r="AW1339" s="99">
        <f t="shared" si="656"/>
        <v>0</v>
      </c>
      <c r="AX1339" s="1">
        <f t="shared" si="657"/>
        <v>0</v>
      </c>
      <c r="AY1339" s="29">
        <f t="shared" si="658"/>
        <v>0</v>
      </c>
      <c r="AZ1339" s="1">
        <f t="shared" si="640"/>
        <v>0</v>
      </c>
      <c r="CB1339" s="20">
        <f t="shared" si="649"/>
        <v>0</v>
      </c>
      <c r="CC1339" s="173">
        <f t="shared" si="641"/>
        <v>0</v>
      </c>
    </row>
    <row r="1340" spans="10:81" x14ac:dyDescent="0.25">
      <c r="J1340" s="9"/>
      <c r="K1340" s="10"/>
      <c r="L1340" s="17"/>
      <c r="M1340" s="23"/>
      <c r="N1340" s="23"/>
      <c r="O1340" s="23"/>
      <c r="P1340" s="23"/>
      <c r="Q1340" s="1">
        <f t="shared" si="642"/>
        <v>0.60744618579017706</v>
      </c>
      <c r="R1340" s="12">
        <f t="shared" ca="1" si="659"/>
        <v>39302</v>
      </c>
      <c r="S1340" s="88">
        <f t="shared" si="638"/>
        <v>0</v>
      </c>
      <c r="T1340" s="19">
        <f t="shared" si="660"/>
        <v>0</v>
      </c>
      <c r="U1340" s="19">
        <f t="shared" si="661"/>
        <v>0</v>
      </c>
      <c r="V1340" s="19">
        <f t="shared" si="647"/>
        <v>0</v>
      </c>
      <c r="W1340" s="20">
        <f t="shared" ca="1" si="662"/>
        <v>0</v>
      </c>
      <c r="X1340" s="19">
        <f t="shared" ca="1" si="663"/>
        <v>0</v>
      </c>
      <c r="Y1340" s="19">
        <f t="shared" ca="1" si="664"/>
        <v>0</v>
      </c>
      <c r="Z1340" s="20">
        <f t="shared" ca="1" si="665"/>
        <v>0</v>
      </c>
      <c r="AA1340" s="1">
        <f t="shared" si="643"/>
        <v>5432.58</v>
      </c>
      <c r="AB1340" s="93"/>
      <c r="AC1340" s="94"/>
      <c r="AD1340" s="101">
        <f t="shared" si="644"/>
        <v>80424</v>
      </c>
      <c r="AE1340" s="103">
        <f t="shared" si="645"/>
        <v>0</v>
      </c>
      <c r="AG1340" s="1">
        <f t="shared" si="666"/>
        <v>0</v>
      </c>
      <c r="AH1340" s="1">
        <f t="shared" si="667"/>
        <v>0</v>
      </c>
      <c r="AI1340" s="1">
        <f t="shared" si="646"/>
        <v>5432.58</v>
      </c>
      <c r="AJ1340" s="20">
        <f t="shared" si="648"/>
        <v>0</v>
      </c>
      <c r="AK1340" s="100">
        <f t="shared" si="650"/>
        <v>0</v>
      </c>
      <c r="AL1340" s="100">
        <f t="shared" si="651"/>
        <v>0</v>
      </c>
      <c r="AN1340" s="100">
        <f t="shared" si="652"/>
        <v>2798.1181789959714</v>
      </c>
      <c r="AO1340" s="20">
        <f t="shared" si="653"/>
        <v>0</v>
      </c>
      <c r="AQ1340" s="109">
        <f t="shared" si="654"/>
        <v>0</v>
      </c>
      <c r="AU1340" s="109">
        <f t="shared" si="639"/>
        <v>24.119686981429815</v>
      </c>
      <c r="AV1340" s="101">
        <f t="shared" si="655"/>
        <v>80454</v>
      </c>
      <c r="AW1340" s="99">
        <f t="shared" si="656"/>
        <v>0</v>
      </c>
      <c r="AX1340" s="1">
        <f t="shared" si="657"/>
        <v>0</v>
      </c>
      <c r="AY1340" s="29">
        <f t="shared" si="658"/>
        <v>0</v>
      </c>
      <c r="AZ1340" s="1">
        <f t="shared" si="640"/>
        <v>0</v>
      </c>
      <c r="CB1340" s="20">
        <f t="shared" si="649"/>
        <v>0</v>
      </c>
      <c r="CC1340" s="173">
        <f t="shared" si="641"/>
        <v>0</v>
      </c>
    </row>
    <row r="1341" spans="10:81" x14ac:dyDescent="0.25">
      <c r="J1341" s="7"/>
      <c r="K1341" s="8"/>
      <c r="L1341" s="16"/>
      <c r="M1341" s="22"/>
      <c r="N1341" s="22"/>
      <c r="O1341" s="22"/>
      <c r="P1341" s="22"/>
      <c r="Q1341" s="1">
        <f t="shared" si="642"/>
        <v>0.60744618579017706</v>
      </c>
      <c r="R1341" s="12">
        <f t="shared" ca="1" si="659"/>
        <v>39332</v>
      </c>
      <c r="S1341" s="88">
        <f t="shared" si="638"/>
        <v>0</v>
      </c>
      <c r="T1341" s="19">
        <f t="shared" si="660"/>
        <v>0</v>
      </c>
      <c r="U1341" s="19">
        <f t="shared" si="661"/>
        <v>0</v>
      </c>
      <c r="V1341" s="19">
        <f t="shared" si="647"/>
        <v>0</v>
      </c>
      <c r="W1341" s="20">
        <f t="shared" ca="1" si="662"/>
        <v>0</v>
      </c>
      <c r="X1341" s="19">
        <f t="shared" ca="1" si="663"/>
        <v>0</v>
      </c>
      <c r="Y1341" s="19">
        <f t="shared" ca="1" si="664"/>
        <v>0</v>
      </c>
      <c r="Z1341" s="20">
        <f t="shared" ca="1" si="665"/>
        <v>0</v>
      </c>
      <c r="AA1341" s="1">
        <f t="shared" si="643"/>
        <v>5432.58</v>
      </c>
      <c r="AB1341" s="91"/>
      <c r="AC1341" s="92"/>
      <c r="AD1341" s="101">
        <f t="shared" si="644"/>
        <v>80454</v>
      </c>
      <c r="AE1341" s="103">
        <f t="shared" si="645"/>
        <v>0</v>
      </c>
      <c r="AG1341" s="1">
        <f t="shared" si="666"/>
        <v>0</v>
      </c>
      <c r="AH1341" s="1">
        <f t="shared" si="667"/>
        <v>0</v>
      </c>
      <c r="AI1341" s="1">
        <f t="shared" si="646"/>
        <v>5432.58</v>
      </c>
      <c r="AJ1341" s="20">
        <f t="shared" si="648"/>
        <v>0</v>
      </c>
      <c r="AK1341" s="100">
        <f t="shared" si="650"/>
        <v>0</v>
      </c>
      <c r="AL1341" s="100">
        <f t="shared" si="651"/>
        <v>0</v>
      </c>
      <c r="AN1341" s="100">
        <f t="shared" si="652"/>
        <v>2796.7024737872284</v>
      </c>
      <c r="AO1341" s="20">
        <f t="shared" si="653"/>
        <v>0</v>
      </c>
      <c r="AQ1341" s="109">
        <f t="shared" si="654"/>
        <v>0</v>
      </c>
      <c r="AU1341" s="109">
        <f t="shared" si="639"/>
        <v>24.117569994730278</v>
      </c>
      <c r="AV1341" s="101">
        <f t="shared" si="655"/>
        <v>80484</v>
      </c>
      <c r="AW1341" s="99">
        <f t="shared" si="656"/>
        <v>0</v>
      </c>
      <c r="AX1341" s="1">
        <f t="shared" si="657"/>
        <v>0</v>
      </c>
      <c r="AY1341" s="29">
        <f t="shared" si="658"/>
        <v>0</v>
      </c>
      <c r="AZ1341" s="1">
        <f t="shared" si="640"/>
        <v>0</v>
      </c>
      <c r="CB1341" s="20">
        <f t="shared" si="649"/>
        <v>0</v>
      </c>
      <c r="CC1341" s="173">
        <f t="shared" si="641"/>
        <v>0</v>
      </c>
    </row>
    <row r="1342" spans="10:81" x14ac:dyDescent="0.25">
      <c r="J1342" s="9"/>
      <c r="K1342" s="10"/>
      <c r="L1342" s="17"/>
      <c r="M1342" s="23"/>
      <c r="N1342" s="23"/>
      <c r="O1342" s="23"/>
      <c r="P1342" s="23"/>
      <c r="Q1342" s="1">
        <f t="shared" si="642"/>
        <v>0.60744618579017706</v>
      </c>
      <c r="R1342" s="12">
        <f t="shared" ca="1" si="659"/>
        <v>39362</v>
      </c>
      <c r="S1342" s="88">
        <f t="shared" si="638"/>
        <v>0</v>
      </c>
      <c r="T1342" s="19">
        <f t="shared" si="660"/>
        <v>0</v>
      </c>
      <c r="U1342" s="19">
        <f t="shared" si="661"/>
        <v>0</v>
      </c>
      <c r="V1342" s="19">
        <f t="shared" si="647"/>
        <v>0</v>
      </c>
      <c r="W1342" s="20">
        <f t="shared" ca="1" si="662"/>
        <v>0</v>
      </c>
      <c r="X1342" s="19">
        <f t="shared" ca="1" si="663"/>
        <v>0</v>
      </c>
      <c r="Y1342" s="19">
        <f t="shared" ca="1" si="664"/>
        <v>0</v>
      </c>
      <c r="Z1342" s="20">
        <f t="shared" ca="1" si="665"/>
        <v>0</v>
      </c>
      <c r="AA1342" s="1">
        <f t="shared" si="643"/>
        <v>5432.58</v>
      </c>
      <c r="AB1342" s="93"/>
      <c r="AC1342" s="94"/>
      <c r="AD1342" s="101">
        <f t="shared" si="644"/>
        <v>80484</v>
      </c>
      <c r="AE1342" s="103">
        <f t="shared" si="645"/>
        <v>0</v>
      </c>
      <c r="AG1342" s="1">
        <f t="shared" si="666"/>
        <v>0</v>
      </c>
      <c r="AH1342" s="1">
        <f t="shared" si="667"/>
        <v>0</v>
      </c>
      <c r="AI1342" s="1">
        <f t="shared" si="646"/>
        <v>5432.58</v>
      </c>
      <c r="AJ1342" s="20">
        <f t="shared" si="648"/>
        <v>0</v>
      </c>
      <c r="AK1342" s="100">
        <f t="shared" si="650"/>
        <v>0</v>
      </c>
      <c r="AL1342" s="100">
        <f t="shared" si="651"/>
        <v>0</v>
      </c>
      <c r="AN1342" s="100">
        <f t="shared" si="652"/>
        <v>2795.2874848531769</v>
      </c>
      <c r="AO1342" s="20">
        <f t="shared" si="653"/>
        <v>0</v>
      </c>
      <c r="AQ1342" s="109">
        <f t="shared" si="654"/>
        <v>0</v>
      </c>
      <c r="AU1342" s="109">
        <f t="shared" si="639"/>
        <v>24.115453193838821</v>
      </c>
      <c r="AV1342" s="101">
        <f t="shared" si="655"/>
        <v>80514</v>
      </c>
      <c r="AW1342" s="99">
        <f t="shared" si="656"/>
        <v>0</v>
      </c>
      <c r="AX1342" s="1">
        <f t="shared" si="657"/>
        <v>0</v>
      </c>
      <c r="AY1342" s="29">
        <f t="shared" si="658"/>
        <v>0</v>
      </c>
      <c r="AZ1342" s="1">
        <f t="shared" si="640"/>
        <v>0</v>
      </c>
      <c r="CB1342" s="20">
        <f t="shared" si="649"/>
        <v>0</v>
      </c>
      <c r="CC1342" s="173">
        <f t="shared" si="641"/>
        <v>0</v>
      </c>
    </row>
    <row r="1343" spans="10:81" x14ac:dyDescent="0.25">
      <c r="J1343" s="7"/>
      <c r="K1343" s="8"/>
      <c r="L1343" s="16"/>
      <c r="M1343" s="22"/>
      <c r="N1343" s="22"/>
      <c r="O1343" s="22"/>
      <c r="P1343" s="22"/>
      <c r="Q1343" s="1">
        <f t="shared" si="642"/>
        <v>0.60744618579017706</v>
      </c>
      <c r="R1343" s="12">
        <f t="shared" ca="1" si="659"/>
        <v>39392</v>
      </c>
      <c r="S1343" s="88">
        <f t="shared" si="638"/>
        <v>0</v>
      </c>
      <c r="T1343" s="19">
        <f t="shared" si="660"/>
        <v>0</v>
      </c>
      <c r="U1343" s="19">
        <f t="shared" si="661"/>
        <v>0</v>
      </c>
      <c r="V1343" s="19">
        <f t="shared" si="647"/>
        <v>0</v>
      </c>
      <c r="W1343" s="20">
        <f t="shared" ca="1" si="662"/>
        <v>0</v>
      </c>
      <c r="X1343" s="19">
        <f t="shared" ca="1" si="663"/>
        <v>0</v>
      </c>
      <c r="Y1343" s="19">
        <f t="shared" ca="1" si="664"/>
        <v>0</v>
      </c>
      <c r="Z1343" s="20">
        <f t="shared" ca="1" si="665"/>
        <v>0</v>
      </c>
      <c r="AA1343" s="1">
        <f t="shared" si="643"/>
        <v>5432.58</v>
      </c>
      <c r="AB1343" s="91"/>
      <c r="AC1343" s="92"/>
      <c r="AD1343" s="101">
        <f t="shared" si="644"/>
        <v>80514</v>
      </c>
      <c r="AE1343" s="103">
        <f t="shared" si="645"/>
        <v>0</v>
      </c>
      <c r="AG1343" s="1">
        <f t="shared" si="666"/>
        <v>0</v>
      </c>
      <c r="AH1343" s="1">
        <f t="shared" si="667"/>
        <v>0</v>
      </c>
      <c r="AI1343" s="1">
        <f t="shared" si="646"/>
        <v>5432.58</v>
      </c>
      <c r="AJ1343" s="20">
        <f t="shared" si="648"/>
        <v>0</v>
      </c>
      <c r="AK1343" s="100">
        <f t="shared" si="650"/>
        <v>0</v>
      </c>
      <c r="AL1343" s="100">
        <f t="shared" si="651"/>
        <v>0</v>
      </c>
      <c r="AN1343" s="100">
        <f t="shared" si="652"/>
        <v>2793.8732118314201</v>
      </c>
      <c r="AO1343" s="20">
        <f t="shared" si="653"/>
        <v>0</v>
      </c>
      <c r="AQ1343" s="109">
        <f t="shared" si="654"/>
        <v>0</v>
      </c>
      <c r="AU1343" s="109">
        <f t="shared" si="639"/>
        <v>24.113336578739137</v>
      </c>
      <c r="AV1343" s="101">
        <f t="shared" si="655"/>
        <v>80544</v>
      </c>
      <c r="AW1343" s="99">
        <f t="shared" si="656"/>
        <v>0</v>
      </c>
      <c r="AX1343" s="1">
        <f t="shared" si="657"/>
        <v>0</v>
      </c>
      <c r="AY1343" s="29">
        <f t="shared" si="658"/>
        <v>0</v>
      </c>
      <c r="AZ1343" s="1">
        <f t="shared" si="640"/>
        <v>0</v>
      </c>
      <c r="CB1343" s="20">
        <f t="shared" si="649"/>
        <v>0</v>
      </c>
      <c r="CC1343" s="173">
        <f t="shared" si="641"/>
        <v>0</v>
      </c>
    </row>
    <row r="1344" spans="10:81" x14ac:dyDescent="0.25">
      <c r="J1344" s="9"/>
      <c r="K1344" s="10"/>
      <c r="L1344" s="17"/>
      <c r="M1344" s="23"/>
      <c r="N1344" s="23"/>
      <c r="O1344" s="23"/>
      <c r="P1344" s="23"/>
      <c r="Q1344" s="1">
        <f t="shared" si="642"/>
        <v>0.60744618579017706</v>
      </c>
      <c r="R1344" s="12">
        <f t="shared" ca="1" si="659"/>
        <v>39422</v>
      </c>
      <c r="S1344" s="88">
        <f t="shared" si="638"/>
        <v>0</v>
      </c>
      <c r="T1344" s="19">
        <f t="shared" si="660"/>
        <v>0</v>
      </c>
      <c r="U1344" s="19">
        <f t="shared" si="661"/>
        <v>0</v>
      </c>
      <c r="V1344" s="19">
        <f t="shared" si="647"/>
        <v>0</v>
      </c>
      <c r="W1344" s="20">
        <f t="shared" ca="1" si="662"/>
        <v>0</v>
      </c>
      <c r="X1344" s="19">
        <f t="shared" ca="1" si="663"/>
        <v>0</v>
      </c>
      <c r="Y1344" s="19">
        <f t="shared" ca="1" si="664"/>
        <v>0</v>
      </c>
      <c r="Z1344" s="20">
        <f t="shared" ca="1" si="665"/>
        <v>0</v>
      </c>
      <c r="AA1344" s="1">
        <f t="shared" si="643"/>
        <v>5432.58</v>
      </c>
      <c r="AB1344" s="93"/>
      <c r="AC1344" s="94"/>
      <c r="AD1344" s="101">
        <f t="shared" si="644"/>
        <v>80544</v>
      </c>
      <c r="AE1344" s="103">
        <f t="shared" si="645"/>
        <v>0</v>
      </c>
      <c r="AG1344" s="1">
        <f t="shared" si="666"/>
        <v>0</v>
      </c>
      <c r="AH1344" s="1">
        <f t="shared" si="667"/>
        <v>0</v>
      </c>
      <c r="AI1344" s="1">
        <f t="shared" si="646"/>
        <v>5432.58</v>
      </c>
      <c r="AJ1344" s="20">
        <f t="shared" si="648"/>
        <v>0</v>
      </c>
      <c r="AK1344" s="100">
        <f t="shared" si="650"/>
        <v>0</v>
      </c>
      <c r="AL1344" s="100">
        <f t="shared" si="651"/>
        <v>0</v>
      </c>
      <c r="AN1344" s="100">
        <f t="shared" si="652"/>
        <v>2792.4596543597418</v>
      </c>
      <c r="AO1344" s="20">
        <f t="shared" si="653"/>
        <v>0</v>
      </c>
      <c r="AQ1344" s="109">
        <f t="shared" si="654"/>
        <v>0</v>
      </c>
      <c r="AU1344" s="109">
        <f t="shared" si="639"/>
        <v>24.111220149414912</v>
      </c>
      <c r="AV1344" s="101">
        <f t="shared" si="655"/>
        <v>80574</v>
      </c>
      <c r="AW1344" s="99">
        <f t="shared" si="656"/>
        <v>0</v>
      </c>
      <c r="AX1344" s="1">
        <f t="shared" si="657"/>
        <v>0</v>
      </c>
      <c r="AY1344" s="29">
        <f t="shared" si="658"/>
        <v>0</v>
      </c>
      <c r="AZ1344" s="1">
        <f t="shared" si="640"/>
        <v>0</v>
      </c>
      <c r="CB1344" s="20">
        <f t="shared" si="649"/>
        <v>0</v>
      </c>
      <c r="CC1344" s="173">
        <f t="shared" si="641"/>
        <v>0</v>
      </c>
    </row>
    <row r="1345" spans="10:81" x14ac:dyDescent="0.25">
      <c r="J1345" s="7"/>
      <c r="K1345" s="8"/>
      <c r="L1345" s="16"/>
      <c r="M1345" s="22"/>
      <c r="N1345" s="22"/>
      <c r="O1345" s="22"/>
      <c r="P1345" s="22"/>
      <c r="Q1345" s="1">
        <f t="shared" si="642"/>
        <v>0.60744618579017706</v>
      </c>
      <c r="R1345" s="12">
        <f t="shared" ca="1" si="659"/>
        <v>39452</v>
      </c>
      <c r="S1345" s="88">
        <f t="shared" si="638"/>
        <v>0</v>
      </c>
      <c r="T1345" s="19">
        <f t="shared" si="660"/>
        <v>0</v>
      </c>
      <c r="U1345" s="19">
        <f t="shared" si="661"/>
        <v>0</v>
      </c>
      <c r="V1345" s="19">
        <f t="shared" si="647"/>
        <v>0</v>
      </c>
      <c r="W1345" s="20">
        <f t="shared" ca="1" si="662"/>
        <v>0</v>
      </c>
      <c r="X1345" s="19">
        <f t="shared" ca="1" si="663"/>
        <v>0</v>
      </c>
      <c r="Y1345" s="19">
        <f t="shared" ca="1" si="664"/>
        <v>0</v>
      </c>
      <c r="Z1345" s="20">
        <f t="shared" ca="1" si="665"/>
        <v>0</v>
      </c>
      <c r="AA1345" s="1">
        <f t="shared" si="643"/>
        <v>5432.58</v>
      </c>
      <c r="AB1345" s="91"/>
      <c r="AC1345" s="92"/>
      <c r="AD1345" s="101">
        <f t="shared" si="644"/>
        <v>80574</v>
      </c>
      <c r="AE1345" s="103">
        <f t="shared" si="645"/>
        <v>0</v>
      </c>
      <c r="AG1345" s="1">
        <f t="shared" si="666"/>
        <v>0</v>
      </c>
      <c r="AH1345" s="1">
        <f t="shared" si="667"/>
        <v>0</v>
      </c>
      <c r="AI1345" s="1">
        <f t="shared" si="646"/>
        <v>5432.58</v>
      </c>
      <c r="AJ1345" s="20">
        <f t="shared" si="648"/>
        <v>0</v>
      </c>
      <c r="AK1345" s="100">
        <f t="shared" si="650"/>
        <v>0</v>
      </c>
      <c r="AL1345" s="100">
        <f t="shared" si="651"/>
        <v>0</v>
      </c>
      <c r="AN1345" s="100">
        <f t="shared" si="652"/>
        <v>2791.0468120761097</v>
      </c>
      <c r="AO1345" s="20">
        <f t="shared" si="653"/>
        <v>0</v>
      </c>
      <c r="AQ1345" s="109">
        <f t="shared" si="654"/>
        <v>0</v>
      </c>
      <c r="AU1345" s="109">
        <f t="shared" si="639"/>
        <v>24.10910390584985</v>
      </c>
      <c r="AV1345" s="101">
        <f t="shared" si="655"/>
        <v>80604</v>
      </c>
      <c r="AW1345" s="99">
        <f t="shared" si="656"/>
        <v>0</v>
      </c>
      <c r="AX1345" s="1">
        <f t="shared" si="657"/>
        <v>0</v>
      </c>
      <c r="AY1345" s="29">
        <f t="shared" si="658"/>
        <v>0</v>
      </c>
      <c r="AZ1345" s="1">
        <f t="shared" si="640"/>
        <v>0</v>
      </c>
      <c r="CB1345" s="20">
        <f t="shared" si="649"/>
        <v>0</v>
      </c>
      <c r="CC1345" s="173">
        <f t="shared" si="641"/>
        <v>0</v>
      </c>
    </row>
    <row r="1346" spans="10:81" x14ac:dyDescent="0.25">
      <c r="J1346" s="9"/>
      <c r="K1346" s="10"/>
      <c r="L1346" s="17"/>
      <c r="M1346" s="23"/>
      <c r="N1346" s="23"/>
      <c r="O1346" s="23"/>
      <c r="P1346" s="23"/>
      <c r="Q1346" s="1">
        <f t="shared" si="642"/>
        <v>0.60744618579017706</v>
      </c>
      <c r="R1346" s="12">
        <f t="shared" ca="1" si="659"/>
        <v>39482</v>
      </c>
      <c r="S1346" s="88">
        <f t="shared" si="638"/>
        <v>0</v>
      </c>
      <c r="T1346" s="19">
        <f t="shared" si="660"/>
        <v>0</v>
      </c>
      <c r="U1346" s="19">
        <f t="shared" si="661"/>
        <v>0</v>
      </c>
      <c r="V1346" s="19">
        <f t="shared" si="647"/>
        <v>0</v>
      </c>
      <c r="W1346" s="20">
        <f t="shared" ca="1" si="662"/>
        <v>0</v>
      </c>
      <c r="X1346" s="19">
        <f t="shared" ca="1" si="663"/>
        <v>0</v>
      </c>
      <c r="Y1346" s="19">
        <f t="shared" ca="1" si="664"/>
        <v>0</v>
      </c>
      <c r="Z1346" s="20">
        <f t="shared" ca="1" si="665"/>
        <v>0</v>
      </c>
      <c r="AA1346" s="1">
        <f t="shared" si="643"/>
        <v>5432.58</v>
      </c>
      <c r="AB1346" s="93"/>
      <c r="AC1346" s="94"/>
      <c r="AD1346" s="101">
        <f t="shared" si="644"/>
        <v>80604</v>
      </c>
      <c r="AE1346" s="103">
        <f t="shared" si="645"/>
        <v>0</v>
      </c>
      <c r="AG1346" s="1">
        <f t="shared" si="666"/>
        <v>0</v>
      </c>
      <c r="AH1346" s="1">
        <f t="shared" si="667"/>
        <v>0</v>
      </c>
      <c r="AI1346" s="1">
        <f t="shared" si="646"/>
        <v>5432.58</v>
      </c>
      <c r="AJ1346" s="20">
        <f t="shared" si="648"/>
        <v>0</v>
      </c>
      <c r="AK1346" s="100">
        <f t="shared" si="650"/>
        <v>0</v>
      </c>
      <c r="AL1346" s="100">
        <f t="shared" si="651"/>
        <v>0</v>
      </c>
      <c r="AN1346" s="100">
        <f t="shared" si="652"/>
        <v>2789.6346846186771</v>
      </c>
      <c r="AO1346" s="20">
        <f t="shared" si="653"/>
        <v>0</v>
      </c>
      <c r="AQ1346" s="109">
        <f t="shared" si="654"/>
        <v>0</v>
      </c>
      <c r="AU1346" s="109">
        <f t="shared" si="639"/>
        <v>24.106987848027629</v>
      </c>
      <c r="AV1346" s="101">
        <f t="shared" si="655"/>
        <v>80634</v>
      </c>
      <c r="AW1346" s="99">
        <f t="shared" si="656"/>
        <v>0</v>
      </c>
      <c r="AX1346" s="1">
        <f t="shared" si="657"/>
        <v>0</v>
      </c>
      <c r="AY1346" s="29">
        <f t="shared" si="658"/>
        <v>0</v>
      </c>
      <c r="AZ1346" s="1">
        <f t="shared" si="640"/>
        <v>0</v>
      </c>
      <c r="CB1346" s="20">
        <f t="shared" si="649"/>
        <v>0</v>
      </c>
      <c r="CC1346" s="173">
        <f t="shared" si="641"/>
        <v>0</v>
      </c>
    </row>
    <row r="1347" spans="10:81" x14ac:dyDescent="0.25">
      <c r="J1347" s="7"/>
      <c r="K1347" s="8"/>
      <c r="L1347" s="16"/>
      <c r="M1347" s="22"/>
      <c r="N1347" s="22"/>
      <c r="O1347" s="22"/>
      <c r="P1347" s="22"/>
      <c r="Q1347" s="1">
        <f t="shared" si="642"/>
        <v>0.60744618579017706</v>
      </c>
      <c r="R1347" s="12">
        <f t="shared" ca="1" si="659"/>
        <v>39512</v>
      </c>
      <c r="S1347" s="88">
        <f t="shared" ref="S1347:S1410" si="668">N1347+M1347</f>
        <v>0</v>
      </c>
      <c r="T1347" s="19">
        <f t="shared" si="660"/>
        <v>0</v>
      </c>
      <c r="U1347" s="19">
        <f t="shared" si="661"/>
        <v>0</v>
      </c>
      <c r="V1347" s="19">
        <f t="shared" si="647"/>
        <v>0</v>
      </c>
      <c r="W1347" s="20">
        <f t="shared" ca="1" si="662"/>
        <v>0</v>
      </c>
      <c r="X1347" s="19">
        <f t="shared" ca="1" si="663"/>
        <v>0</v>
      </c>
      <c r="Y1347" s="19">
        <f t="shared" ca="1" si="664"/>
        <v>0</v>
      </c>
      <c r="Z1347" s="20">
        <f t="shared" ca="1" si="665"/>
        <v>0</v>
      </c>
      <c r="AA1347" s="1">
        <f t="shared" si="643"/>
        <v>5432.58</v>
      </c>
      <c r="AB1347" s="91"/>
      <c r="AC1347" s="92"/>
      <c r="AD1347" s="101">
        <f t="shared" si="644"/>
        <v>80634</v>
      </c>
      <c r="AE1347" s="103">
        <f t="shared" si="645"/>
        <v>0</v>
      </c>
      <c r="AG1347" s="1">
        <f t="shared" si="666"/>
        <v>0</v>
      </c>
      <c r="AH1347" s="1">
        <f t="shared" si="667"/>
        <v>0</v>
      </c>
      <c r="AI1347" s="1">
        <f t="shared" si="646"/>
        <v>5432.58</v>
      </c>
      <c r="AJ1347" s="20">
        <f t="shared" si="648"/>
        <v>0</v>
      </c>
      <c r="AK1347" s="100">
        <f t="shared" si="650"/>
        <v>0</v>
      </c>
      <c r="AL1347" s="100">
        <f t="shared" si="651"/>
        <v>0</v>
      </c>
      <c r="AN1347" s="100">
        <f t="shared" si="652"/>
        <v>2788.2232716257759</v>
      </c>
      <c r="AO1347" s="20">
        <f t="shared" si="653"/>
        <v>0</v>
      </c>
      <c r="AQ1347" s="109">
        <f t="shared" si="654"/>
        <v>0</v>
      </c>
      <c r="AU1347" s="109">
        <f t="shared" si="639"/>
        <v>24.104871975931964</v>
      </c>
      <c r="AV1347" s="101">
        <f t="shared" si="655"/>
        <v>80664</v>
      </c>
      <c r="AW1347" s="99">
        <f t="shared" si="656"/>
        <v>0</v>
      </c>
      <c r="AX1347" s="1">
        <f t="shared" si="657"/>
        <v>0</v>
      </c>
      <c r="AY1347" s="29">
        <f t="shared" si="658"/>
        <v>0</v>
      </c>
      <c r="AZ1347" s="1">
        <f t="shared" si="640"/>
        <v>0</v>
      </c>
      <c r="CB1347" s="20">
        <f t="shared" si="649"/>
        <v>0</v>
      </c>
      <c r="CC1347" s="173">
        <f t="shared" si="641"/>
        <v>0</v>
      </c>
    </row>
    <row r="1348" spans="10:81" x14ac:dyDescent="0.25">
      <c r="J1348" s="9"/>
      <c r="K1348" s="10"/>
      <c r="L1348" s="17"/>
      <c r="M1348" s="23"/>
      <c r="N1348" s="23"/>
      <c r="O1348" s="23"/>
      <c r="P1348" s="23"/>
      <c r="Q1348" s="1">
        <f t="shared" si="642"/>
        <v>0.60744618579017706</v>
      </c>
      <c r="R1348" s="12">
        <f t="shared" ca="1" si="659"/>
        <v>39542</v>
      </c>
      <c r="S1348" s="88">
        <f t="shared" si="668"/>
        <v>0</v>
      </c>
      <c r="T1348" s="19">
        <f t="shared" si="660"/>
        <v>0</v>
      </c>
      <c r="U1348" s="19">
        <f t="shared" si="661"/>
        <v>0</v>
      </c>
      <c r="V1348" s="19">
        <f t="shared" si="647"/>
        <v>0</v>
      </c>
      <c r="W1348" s="20">
        <f t="shared" ca="1" si="662"/>
        <v>0</v>
      </c>
      <c r="X1348" s="19">
        <f t="shared" ca="1" si="663"/>
        <v>0</v>
      </c>
      <c r="Y1348" s="19">
        <f t="shared" ca="1" si="664"/>
        <v>0</v>
      </c>
      <c r="Z1348" s="20">
        <f t="shared" ca="1" si="665"/>
        <v>0</v>
      </c>
      <c r="AA1348" s="1">
        <f t="shared" si="643"/>
        <v>5432.58</v>
      </c>
      <c r="AB1348" s="93"/>
      <c r="AC1348" s="94"/>
      <c r="AD1348" s="101">
        <f t="shared" si="644"/>
        <v>80664</v>
      </c>
      <c r="AE1348" s="103">
        <f t="shared" si="645"/>
        <v>0</v>
      </c>
      <c r="AG1348" s="1">
        <f t="shared" si="666"/>
        <v>0</v>
      </c>
      <c r="AH1348" s="1">
        <f t="shared" si="667"/>
        <v>0</v>
      </c>
      <c r="AI1348" s="1">
        <f t="shared" si="646"/>
        <v>5432.58</v>
      </c>
      <c r="AJ1348" s="20">
        <f t="shared" si="648"/>
        <v>0</v>
      </c>
      <c r="AK1348" s="100">
        <f t="shared" si="650"/>
        <v>0</v>
      </c>
      <c r="AL1348" s="100">
        <f t="shared" si="651"/>
        <v>0</v>
      </c>
      <c r="AN1348" s="100">
        <f t="shared" si="652"/>
        <v>2786.8125727359256</v>
      </c>
      <c r="AO1348" s="20">
        <f t="shared" si="653"/>
        <v>0</v>
      </c>
      <c r="AQ1348" s="109">
        <f t="shared" si="654"/>
        <v>0</v>
      </c>
      <c r="AU1348" s="109">
        <f t="shared" si="639"/>
        <v>24.102756289546562</v>
      </c>
      <c r="AV1348" s="101">
        <f t="shared" si="655"/>
        <v>80694</v>
      </c>
      <c r="AW1348" s="99">
        <f t="shared" si="656"/>
        <v>0</v>
      </c>
      <c r="AX1348" s="1">
        <f t="shared" si="657"/>
        <v>0</v>
      </c>
      <c r="AY1348" s="29">
        <f t="shared" si="658"/>
        <v>0</v>
      </c>
      <c r="AZ1348" s="1">
        <f t="shared" si="640"/>
        <v>0</v>
      </c>
      <c r="CB1348" s="20">
        <f t="shared" si="649"/>
        <v>0</v>
      </c>
      <c r="CC1348" s="173">
        <f t="shared" si="641"/>
        <v>0</v>
      </c>
    </row>
    <row r="1349" spans="10:81" x14ac:dyDescent="0.25">
      <c r="J1349" s="7"/>
      <c r="K1349" s="8"/>
      <c r="L1349" s="16"/>
      <c r="M1349" s="22"/>
      <c r="N1349" s="22"/>
      <c r="O1349" s="22"/>
      <c r="P1349" s="22"/>
      <c r="Q1349" s="1">
        <f t="shared" si="642"/>
        <v>0.60744618579017706</v>
      </c>
      <c r="R1349" s="12">
        <f t="shared" ca="1" si="659"/>
        <v>39572</v>
      </c>
      <c r="S1349" s="88">
        <f t="shared" si="668"/>
        <v>0</v>
      </c>
      <c r="T1349" s="19">
        <f t="shared" si="660"/>
        <v>0</v>
      </c>
      <c r="U1349" s="19">
        <f t="shared" si="661"/>
        <v>0</v>
      </c>
      <c r="V1349" s="19">
        <f t="shared" si="647"/>
        <v>0</v>
      </c>
      <c r="W1349" s="20">
        <f t="shared" ca="1" si="662"/>
        <v>0</v>
      </c>
      <c r="X1349" s="19">
        <f t="shared" ca="1" si="663"/>
        <v>0</v>
      </c>
      <c r="Y1349" s="19">
        <f t="shared" ca="1" si="664"/>
        <v>0</v>
      </c>
      <c r="Z1349" s="20">
        <f t="shared" ca="1" si="665"/>
        <v>0</v>
      </c>
      <c r="AA1349" s="1">
        <f t="shared" si="643"/>
        <v>5432.58</v>
      </c>
      <c r="AB1349" s="91"/>
      <c r="AC1349" s="92"/>
      <c r="AD1349" s="101">
        <f t="shared" si="644"/>
        <v>80694</v>
      </c>
      <c r="AE1349" s="103">
        <f t="shared" si="645"/>
        <v>0</v>
      </c>
      <c r="AG1349" s="1">
        <f t="shared" si="666"/>
        <v>0</v>
      </c>
      <c r="AH1349" s="1">
        <f t="shared" si="667"/>
        <v>0</v>
      </c>
      <c r="AI1349" s="1">
        <f t="shared" si="646"/>
        <v>5432.58</v>
      </c>
      <c r="AJ1349" s="20">
        <f t="shared" si="648"/>
        <v>0</v>
      </c>
      <c r="AK1349" s="100">
        <f t="shared" si="650"/>
        <v>0</v>
      </c>
      <c r="AL1349" s="100">
        <f t="shared" si="651"/>
        <v>0</v>
      </c>
      <c r="AN1349" s="100">
        <f t="shared" si="652"/>
        <v>2785.4025875878247</v>
      </c>
      <c r="AO1349" s="20">
        <f t="shared" si="653"/>
        <v>0</v>
      </c>
      <c r="AQ1349" s="109">
        <f t="shared" si="654"/>
        <v>0</v>
      </c>
      <c r="AU1349" s="109">
        <f t="shared" si="639"/>
        <v>24.100640788855095</v>
      </c>
      <c r="AV1349" s="101">
        <f t="shared" si="655"/>
        <v>80724</v>
      </c>
      <c r="AW1349" s="99">
        <f t="shared" si="656"/>
        <v>0</v>
      </c>
      <c r="AX1349" s="1">
        <f t="shared" si="657"/>
        <v>0</v>
      </c>
      <c r="AY1349" s="29">
        <f t="shared" si="658"/>
        <v>0</v>
      </c>
      <c r="AZ1349" s="1">
        <f t="shared" si="640"/>
        <v>0</v>
      </c>
      <c r="CB1349" s="20">
        <f t="shared" si="649"/>
        <v>0</v>
      </c>
      <c r="CC1349" s="173">
        <f t="shared" si="641"/>
        <v>0</v>
      </c>
    </row>
    <row r="1350" spans="10:81" x14ac:dyDescent="0.25">
      <c r="J1350" s="9"/>
      <c r="K1350" s="10"/>
      <c r="L1350" s="17"/>
      <c r="M1350" s="23"/>
      <c r="N1350" s="23"/>
      <c r="O1350" s="23"/>
      <c r="P1350" s="23"/>
      <c r="Q1350" s="1">
        <f t="shared" si="642"/>
        <v>0.60744618579017706</v>
      </c>
      <c r="R1350" s="12">
        <f t="shared" ca="1" si="659"/>
        <v>39602</v>
      </c>
      <c r="S1350" s="88">
        <f t="shared" si="668"/>
        <v>0</v>
      </c>
      <c r="T1350" s="19">
        <f t="shared" si="660"/>
        <v>0</v>
      </c>
      <c r="U1350" s="19">
        <f t="shared" si="661"/>
        <v>0</v>
      </c>
      <c r="V1350" s="19">
        <f t="shared" si="647"/>
        <v>0</v>
      </c>
      <c r="W1350" s="20">
        <f t="shared" ca="1" si="662"/>
        <v>0</v>
      </c>
      <c r="X1350" s="19">
        <f t="shared" ca="1" si="663"/>
        <v>0</v>
      </c>
      <c r="Y1350" s="19">
        <f t="shared" ca="1" si="664"/>
        <v>0</v>
      </c>
      <c r="Z1350" s="20">
        <f t="shared" ca="1" si="665"/>
        <v>0</v>
      </c>
      <c r="AA1350" s="1">
        <f t="shared" si="643"/>
        <v>5432.58</v>
      </c>
      <c r="AB1350" s="93"/>
      <c r="AC1350" s="94"/>
      <c r="AD1350" s="101">
        <f t="shared" si="644"/>
        <v>80724</v>
      </c>
      <c r="AE1350" s="103">
        <f t="shared" si="645"/>
        <v>0</v>
      </c>
      <c r="AG1350" s="1">
        <f t="shared" si="666"/>
        <v>0</v>
      </c>
      <c r="AH1350" s="1">
        <f t="shared" si="667"/>
        <v>0</v>
      </c>
      <c r="AI1350" s="1">
        <f t="shared" si="646"/>
        <v>5432.58</v>
      </c>
      <c r="AJ1350" s="20">
        <f t="shared" si="648"/>
        <v>0</v>
      </c>
      <c r="AK1350" s="100">
        <f t="shared" si="650"/>
        <v>0</v>
      </c>
      <c r="AL1350" s="100">
        <f t="shared" si="651"/>
        <v>0</v>
      </c>
      <c r="AN1350" s="100">
        <f t="shared" si="652"/>
        <v>2783.9933158203571</v>
      </c>
      <c r="AO1350" s="20">
        <f t="shared" si="653"/>
        <v>0</v>
      </c>
      <c r="AQ1350" s="109">
        <f t="shared" si="654"/>
        <v>0</v>
      </c>
      <c r="AU1350" s="109">
        <f t="shared" si="639"/>
        <v>24.098525473841281</v>
      </c>
      <c r="AV1350" s="101">
        <f t="shared" si="655"/>
        <v>80754</v>
      </c>
      <c r="AW1350" s="99">
        <f t="shared" si="656"/>
        <v>0</v>
      </c>
      <c r="AX1350" s="1">
        <f t="shared" si="657"/>
        <v>0</v>
      </c>
      <c r="AY1350" s="29">
        <f t="shared" si="658"/>
        <v>0</v>
      </c>
      <c r="AZ1350" s="1">
        <f t="shared" si="640"/>
        <v>0</v>
      </c>
      <c r="CB1350" s="20">
        <f t="shared" si="649"/>
        <v>0</v>
      </c>
      <c r="CC1350" s="173">
        <f t="shared" si="641"/>
        <v>0</v>
      </c>
    </row>
    <row r="1351" spans="10:81" x14ac:dyDescent="0.25">
      <c r="J1351" s="7"/>
      <c r="K1351" s="8"/>
      <c r="L1351" s="16"/>
      <c r="M1351" s="22"/>
      <c r="N1351" s="22"/>
      <c r="O1351" s="22"/>
      <c r="P1351" s="22"/>
      <c r="Q1351" s="1">
        <f t="shared" si="642"/>
        <v>0.60744618579017706</v>
      </c>
      <c r="R1351" s="12">
        <f t="shared" ca="1" si="659"/>
        <v>39632</v>
      </c>
      <c r="S1351" s="88">
        <f t="shared" si="668"/>
        <v>0</v>
      </c>
      <c r="T1351" s="19">
        <f t="shared" si="660"/>
        <v>0</v>
      </c>
      <c r="U1351" s="19">
        <f t="shared" si="661"/>
        <v>0</v>
      </c>
      <c r="V1351" s="19">
        <f t="shared" si="647"/>
        <v>0</v>
      </c>
      <c r="W1351" s="20">
        <f t="shared" ca="1" si="662"/>
        <v>0</v>
      </c>
      <c r="X1351" s="19">
        <f t="shared" ca="1" si="663"/>
        <v>0</v>
      </c>
      <c r="Y1351" s="19">
        <f t="shared" ca="1" si="664"/>
        <v>0</v>
      </c>
      <c r="Z1351" s="20">
        <f t="shared" ca="1" si="665"/>
        <v>0</v>
      </c>
      <c r="AA1351" s="1">
        <f t="shared" si="643"/>
        <v>5432.58</v>
      </c>
      <c r="AB1351" s="91"/>
      <c r="AC1351" s="92"/>
      <c r="AD1351" s="101">
        <f t="shared" si="644"/>
        <v>80754</v>
      </c>
      <c r="AE1351" s="103">
        <f t="shared" si="645"/>
        <v>0</v>
      </c>
      <c r="AG1351" s="1">
        <f t="shared" si="666"/>
        <v>0</v>
      </c>
      <c r="AH1351" s="1">
        <f t="shared" si="667"/>
        <v>0</v>
      </c>
      <c r="AI1351" s="1">
        <f t="shared" si="646"/>
        <v>5432.58</v>
      </c>
      <c r="AJ1351" s="20">
        <f t="shared" si="648"/>
        <v>0</v>
      </c>
      <c r="AK1351" s="100">
        <f t="shared" si="650"/>
        <v>0</v>
      </c>
      <c r="AL1351" s="100">
        <f t="shared" si="651"/>
        <v>0</v>
      </c>
      <c r="AN1351" s="100">
        <f t="shared" si="652"/>
        <v>2782.5847570725891</v>
      </c>
      <c r="AO1351" s="20">
        <f t="shared" si="653"/>
        <v>0</v>
      </c>
      <c r="AQ1351" s="109">
        <f t="shared" si="654"/>
        <v>0</v>
      </c>
      <c r="AU1351" s="109">
        <f t="shared" si="639"/>
        <v>24.096410344488817</v>
      </c>
      <c r="AV1351" s="101">
        <f t="shared" si="655"/>
        <v>80784</v>
      </c>
      <c r="AW1351" s="99">
        <f t="shared" si="656"/>
        <v>0</v>
      </c>
      <c r="AX1351" s="1">
        <f t="shared" si="657"/>
        <v>0</v>
      </c>
      <c r="AY1351" s="29">
        <f t="shared" si="658"/>
        <v>0</v>
      </c>
      <c r="AZ1351" s="1">
        <f t="shared" si="640"/>
        <v>0</v>
      </c>
      <c r="CB1351" s="20">
        <f t="shared" si="649"/>
        <v>0</v>
      </c>
      <c r="CC1351" s="173">
        <f t="shared" si="641"/>
        <v>0</v>
      </c>
    </row>
    <row r="1352" spans="10:81" x14ac:dyDescent="0.25">
      <c r="J1352" s="9"/>
      <c r="K1352" s="10"/>
      <c r="L1352" s="17"/>
      <c r="M1352" s="23"/>
      <c r="N1352" s="23"/>
      <c r="O1352" s="23"/>
      <c r="P1352" s="23"/>
      <c r="Q1352" s="1">
        <f t="shared" si="642"/>
        <v>0.60744618579017706</v>
      </c>
      <c r="R1352" s="12">
        <f t="shared" ca="1" si="659"/>
        <v>39662</v>
      </c>
      <c r="S1352" s="88">
        <f t="shared" si="668"/>
        <v>0</v>
      </c>
      <c r="T1352" s="19">
        <f t="shared" si="660"/>
        <v>0</v>
      </c>
      <c r="U1352" s="19">
        <f t="shared" si="661"/>
        <v>0</v>
      </c>
      <c r="V1352" s="19">
        <f t="shared" si="647"/>
        <v>0</v>
      </c>
      <c r="W1352" s="20">
        <f t="shared" ca="1" si="662"/>
        <v>0</v>
      </c>
      <c r="X1352" s="19">
        <f t="shared" ca="1" si="663"/>
        <v>0</v>
      </c>
      <c r="Y1352" s="19">
        <f t="shared" ca="1" si="664"/>
        <v>0</v>
      </c>
      <c r="Z1352" s="20">
        <f t="shared" ca="1" si="665"/>
        <v>0</v>
      </c>
      <c r="AA1352" s="1">
        <f t="shared" si="643"/>
        <v>5432.58</v>
      </c>
      <c r="AB1352" s="93"/>
      <c r="AC1352" s="94"/>
      <c r="AD1352" s="101">
        <f t="shared" si="644"/>
        <v>80784</v>
      </c>
      <c r="AE1352" s="103">
        <f t="shared" si="645"/>
        <v>0</v>
      </c>
      <c r="AG1352" s="1">
        <f t="shared" si="666"/>
        <v>0</v>
      </c>
      <c r="AH1352" s="1">
        <f t="shared" si="667"/>
        <v>0</v>
      </c>
      <c r="AI1352" s="1">
        <f t="shared" si="646"/>
        <v>5432.58</v>
      </c>
      <c r="AJ1352" s="20">
        <f t="shared" si="648"/>
        <v>0</v>
      </c>
      <c r="AK1352" s="100">
        <f t="shared" si="650"/>
        <v>0</v>
      </c>
      <c r="AL1352" s="100">
        <f t="shared" si="651"/>
        <v>0</v>
      </c>
      <c r="AN1352" s="100">
        <f t="shared" si="652"/>
        <v>2781.1769109837687</v>
      </c>
      <c r="AO1352" s="20">
        <f t="shared" si="653"/>
        <v>0</v>
      </c>
      <c r="AQ1352" s="109">
        <f t="shared" si="654"/>
        <v>0</v>
      </c>
      <c r="AU1352" s="109">
        <f t="shared" si="639"/>
        <v>24.094295400781419</v>
      </c>
      <c r="AV1352" s="101">
        <f t="shared" si="655"/>
        <v>80814</v>
      </c>
      <c r="AW1352" s="99">
        <f t="shared" si="656"/>
        <v>0</v>
      </c>
      <c r="AX1352" s="1">
        <f t="shared" si="657"/>
        <v>0</v>
      </c>
      <c r="AY1352" s="29">
        <f t="shared" si="658"/>
        <v>0</v>
      </c>
      <c r="AZ1352" s="1">
        <f t="shared" si="640"/>
        <v>0</v>
      </c>
      <c r="CB1352" s="20">
        <f t="shared" si="649"/>
        <v>0</v>
      </c>
      <c r="CC1352" s="173">
        <f t="shared" si="641"/>
        <v>0</v>
      </c>
    </row>
    <row r="1353" spans="10:81" x14ac:dyDescent="0.25">
      <c r="J1353" s="7"/>
      <c r="K1353" s="8"/>
      <c r="L1353" s="16"/>
      <c r="M1353" s="22"/>
      <c r="N1353" s="22"/>
      <c r="O1353" s="22"/>
      <c r="P1353" s="22"/>
      <c r="Q1353" s="1">
        <f t="shared" si="642"/>
        <v>0.60744618579017706</v>
      </c>
      <c r="R1353" s="12">
        <f t="shared" ca="1" si="659"/>
        <v>39692</v>
      </c>
      <c r="S1353" s="88">
        <f t="shared" si="668"/>
        <v>0</v>
      </c>
      <c r="T1353" s="19">
        <f t="shared" si="660"/>
        <v>0</v>
      </c>
      <c r="U1353" s="19">
        <f t="shared" si="661"/>
        <v>0</v>
      </c>
      <c r="V1353" s="19">
        <f t="shared" si="647"/>
        <v>0</v>
      </c>
      <c r="W1353" s="20">
        <f t="shared" ca="1" si="662"/>
        <v>0</v>
      </c>
      <c r="X1353" s="19">
        <f t="shared" ca="1" si="663"/>
        <v>0</v>
      </c>
      <c r="Y1353" s="19">
        <f t="shared" ca="1" si="664"/>
        <v>0</v>
      </c>
      <c r="Z1353" s="20">
        <f t="shared" ca="1" si="665"/>
        <v>0</v>
      </c>
      <c r="AA1353" s="1">
        <f t="shared" si="643"/>
        <v>5432.58</v>
      </c>
      <c r="AB1353" s="91"/>
      <c r="AC1353" s="92"/>
      <c r="AD1353" s="101">
        <f t="shared" si="644"/>
        <v>80814</v>
      </c>
      <c r="AE1353" s="103">
        <f t="shared" si="645"/>
        <v>0</v>
      </c>
      <c r="AG1353" s="1">
        <f t="shared" si="666"/>
        <v>0</v>
      </c>
      <c r="AH1353" s="1">
        <f t="shared" si="667"/>
        <v>0</v>
      </c>
      <c r="AI1353" s="1">
        <f t="shared" si="646"/>
        <v>5432.58</v>
      </c>
      <c r="AJ1353" s="20">
        <f t="shared" si="648"/>
        <v>0</v>
      </c>
      <c r="AK1353" s="100">
        <f t="shared" si="650"/>
        <v>0</v>
      </c>
      <c r="AL1353" s="100">
        <f t="shared" si="651"/>
        <v>0</v>
      </c>
      <c r="AN1353" s="100">
        <f t="shared" si="652"/>
        <v>2779.7697771933254</v>
      </c>
      <c r="AO1353" s="20">
        <f t="shared" si="653"/>
        <v>0</v>
      </c>
      <c r="AQ1353" s="109">
        <f t="shared" si="654"/>
        <v>0</v>
      </c>
      <c r="AU1353" s="109">
        <f t="shared" si="639"/>
        <v>24.09218064270279</v>
      </c>
      <c r="AV1353" s="101">
        <f t="shared" si="655"/>
        <v>80844</v>
      </c>
      <c r="AW1353" s="99">
        <f t="shared" si="656"/>
        <v>0</v>
      </c>
      <c r="AX1353" s="1">
        <f t="shared" si="657"/>
        <v>0</v>
      </c>
      <c r="AY1353" s="29">
        <f t="shared" si="658"/>
        <v>0</v>
      </c>
      <c r="AZ1353" s="1">
        <f t="shared" si="640"/>
        <v>0</v>
      </c>
      <c r="CB1353" s="20">
        <f t="shared" si="649"/>
        <v>0</v>
      </c>
      <c r="CC1353" s="173">
        <f t="shared" si="641"/>
        <v>0</v>
      </c>
    </row>
    <row r="1354" spans="10:81" x14ac:dyDescent="0.25">
      <c r="J1354" s="9"/>
      <c r="K1354" s="10"/>
      <c r="L1354" s="17"/>
      <c r="M1354" s="23"/>
      <c r="N1354" s="23"/>
      <c r="O1354" s="23"/>
      <c r="P1354" s="23"/>
      <c r="Q1354" s="1">
        <f t="shared" si="642"/>
        <v>0.60744618579017706</v>
      </c>
      <c r="R1354" s="12">
        <f t="shared" ca="1" si="659"/>
        <v>39722</v>
      </c>
      <c r="S1354" s="88">
        <f t="shared" si="668"/>
        <v>0</v>
      </c>
      <c r="T1354" s="19">
        <f t="shared" si="660"/>
        <v>0</v>
      </c>
      <c r="U1354" s="19">
        <f t="shared" si="661"/>
        <v>0</v>
      </c>
      <c r="V1354" s="19">
        <f t="shared" si="647"/>
        <v>0</v>
      </c>
      <c r="W1354" s="20">
        <f t="shared" ca="1" si="662"/>
        <v>0</v>
      </c>
      <c r="X1354" s="19">
        <f t="shared" ca="1" si="663"/>
        <v>0</v>
      </c>
      <c r="Y1354" s="19">
        <f t="shared" ca="1" si="664"/>
        <v>0</v>
      </c>
      <c r="Z1354" s="20">
        <f t="shared" ca="1" si="665"/>
        <v>0</v>
      </c>
      <c r="AA1354" s="1">
        <f t="shared" si="643"/>
        <v>5432.58</v>
      </c>
      <c r="AB1354" s="93"/>
      <c r="AC1354" s="94"/>
      <c r="AD1354" s="101">
        <f t="shared" si="644"/>
        <v>80844</v>
      </c>
      <c r="AE1354" s="103">
        <f t="shared" si="645"/>
        <v>0</v>
      </c>
      <c r="AG1354" s="1">
        <f t="shared" si="666"/>
        <v>0</v>
      </c>
      <c r="AH1354" s="1">
        <f t="shared" si="667"/>
        <v>0</v>
      </c>
      <c r="AI1354" s="1">
        <f t="shared" si="646"/>
        <v>5432.58</v>
      </c>
      <c r="AJ1354" s="20">
        <f t="shared" si="648"/>
        <v>0</v>
      </c>
      <c r="AK1354" s="100">
        <f t="shared" si="650"/>
        <v>0</v>
      </c>
      <c r="AL1354" s="100">
        <f t="shared" si="651"/>
        <v>0</v>
      </c>
      <c r="AN1354" s="100">
        <f t="shared" si="652"/>
        <v>2778.3633553408745</v>
      </c>
      <c r="AO1354" s="20">
        <f t="shared" si="653"/>
        <v>0</v>
      </c>
      <c r="AQ1354" s="109">
        <f t="shared" si="654"/>
        <v>0</v>
      </c>
      <c r="AU1354" s="109">
        <f t="shared" si="639"/>
        <v>24.090066070236627</v>
      </c>
      <c r="AV1354" s="101">
        <f t="shared" si="655"/>
        <v>80874</v>
      </c>
      <c r="AW1354" s="99">
        <f t="shared" si="656"/>
        <v>0</v>
      </c>
      <c r="AX1354" s="1">
        <f t="shared" si="657"/>
        <v>0</v>
      </c>
      <c r="AY1354" s="29">
        <f t="shared" si="658"/>
        <v>0</v>
      </c>
      <c r="AZ1354" s="1">
        <f t="shared" si="640"/>
        <v>0</v>
      </c>
      <c r="CB1354" s="20">
        <f t="shared" si="649"/>
        <v>0</v>
      </c>
      <c r="CC1354" s="173">
        <f t="shared" si="641"/>
        <v>0</v>
      </c>
    </row>
    <row r="1355" spans="10:81" x14ac:dyDescent="0.25">
      <c r="J1355" s="7"/>
      <c r="K1355" s="8"/>
      <c r="L1355" s="16"/>
      <c r="M1355" s="22"/>
      <c r="N1355" s="22"/>
      <c r="O1355" s="22"/>
      <c r="P1355" s="22"/>
      <c r="Q1355" s="1">
        <f t="shared" si="642"/>
        <v>0.60744618579017706</v>
      </c>
      <c r="R1355" s="12">
        <f t="shared" ca="1" si="659"/>
        <v>39752</v>
      </c>
      <c r="S1355" s="88">
        <f t="shared" si="668"/>
        <v>0</v>
      </c>
      <c r="T1355" s="19">
        <f t="shared" si="660"/>
        <v>0</v>
      </c>
      <c r="U1355" s="19">
        <f t="shared" si="661"/>
        <v>0</v>
      </c>
      <c r="V1355" s="19">
        <f t="shared" si="647"/>
        <v>0</v>
      </c>
      <c r="W1355" s="20">
        <f t="shared" ca="1" si="662"/>
        <v>0</v>
      </c>
      <c r="X1355" s="19">
        <f t="shared" ca="1" si="663"/>
        <v>0</v>
      </c>
      <c r="Y1355" s="19">
        <f t="shared" ca="1" si="664"/>
        <v>0</v>
      </c>
      <c r="Z1355" s="20">
        <f t="shared" ca="1" si="665"/>
        <v>0</v>
      </c>
      <c r="AA1355" s="1">
        <f t="shared" si="643"/>
        <v>5432.58</v>
      </c>
      <c r="AB1355" s="91"/>
      <c r="AC1355" s="92"/>
      <c r="AD1355" s="101">
        <f t="shared" si="644"/>
        <v>80874</v>
      </c>
      <c r="AE1355" s="103">
        <f t="shared" si="645"/>
        <v>0</v>
      </c>
      <c r="AG1355" s="1">
        <f t="shared" si="666"/>
        <v>0</v>
      </c>
      <c r="AH1355" s="1">
        <f t="shared" si="667"/>
        <v>0</v>
      </c>
      <c r="AI1355" s="1">
        <f t="shared" si="646"/>
        <v>5432.58</v>
      </c>
      <c r="AJ1355" s="20">
        <f t="shared" si="648"/>
        <v>0</v>
      </c>
      <c r="AK1355" s="100">
        <f t="shared" si="650"/>
        <v>0</v>
      </c>
      <c r="AL1355" s="100">
        <f t="shared" si="651"/>
        <v>0</v>
      </c>
      <c r="AN1355" s="100">
        <f t="shared" si="652"/>
        <v>2776.9576450662103</v>
      </c>
      <c r="AO1355" s="20">
        <f t="shared" si="653"/>
        <v>0</v>
      </c>
      <c r="AQ1355" s="109">
        <f t="shared" si="654"/>
        <v>0</v>
      </c>
      <c r="AU1355" s="109">
        <f t="shared" si="639"/>
        <v>24.087951683366647</v>
      </c>
      <c r="AV1355" s="101">
        <f t="shared" si="655"/>
        <v>80904</v>
      </c>
      <c r="AW1355" s="99">
        <f t="shared" si="656"/>
        <v>0</v>
      </c>
      <c r="AX1355" s="1">
        <f t="shared" si="657"/>
        <v>0</v>
      </c>
      <c r="AY1355" s="29">
        <f t="shared" si="658"/>
        <v>0</v>
      </c>
      <c r="AZ1355" s="1">
        <f t="shared" si="640"/>
        <v>0</v>
      </c>
      <c r="CB1355" s="20">
        <f t="shared" si="649"/>
        <v>0</v>
      </c>
      <c r="CC1355" s="173">
        <f t="shared" si="641"/>
        <v>0</v>
      </c>
    </row>
    <row r="1356" spans="10:81" x14ac:dyDescent="0.25">
      <c r="J1356" s="9"/>
      <c r="K1356" s="10"/>
      <c r="L1356" s="17"/>
      <c r="M1356" s="23"/>
      <c r="N1356" s="23"/>
      <c r="O1356" s="23"/>
      <c r="P1356" s="23"/>
      <c r="Q1356" s="1">
        <f t="shared" si="642"/>
        <v>0.60744618579017706</v>
      </c>
      <c r="R1356" s="12">
        <f t="shared" ca="1" si="659"/>
        <v>39782</v>
      </c>
      <c r="S1356" s="88">
        <f t="shared" si="668"/>
        <v>0</v>
      </c>
      <c r="T1356" s="19">
        <f t="shared" si="660"/>
        <v>0</v>
      </c>
      <c r="U1356" s="19">
        <f t="shared" si="661"/>
        <v>0</v>
      </c>
      <c r="V1356" s="19">
        <f t="shared" si="647"/>
        <v>0</v>
      </c>
      <c r="W1356" s="20">
        <f t="shared" ca="1" si="662"/>
        <v>0</v>
      </c>
      <c r="X1356" s="19">
        <f t="shared" ca="1" si="663"/>
        <v>0</v>
      </c>
      <c r="Y1356" s="19">
        <f t="shared" ca="1" si="664"/>
        <v>0</v>
      </c>
      <c r="Z1356" s="20">
        <f t="shared" ca="1" si="665"/>
        <v>0</v>
      </c>
      <c r="AA1356" s="1">
        <f t="shared" si="643"/>
        <v>5432.58</v>
      </c>
      <c r="AB1356" s="93"/>
      <c r="AC1356" s="94"/>
      <c r="AD1356" s="101">
        <f t="shared" si="644"/>
        <v>80904</v>
      </c>
      <c r="AE1356" s="103">
        <f t="shared" si="645"/>
        <v>0</v>
      </c>
      <c r="AG1356" s="1">
        <f t="shared" si="666"/>
        <v>0</v>
      </c>
      <c r="AH1356" s="1">
        <f t="shared" si="667"/>
        <v>0</v>
      </c>
      <c r="AI1356" s="1">
        <f t="shared" si="646"/>
        <v>5432.58</v>
      </c>
      <c r="AJ1356" s="20">
        <f t="shared" si="648"/>
        <v>0</v>
      </c>
      <c r="AK1356" s="100">
        <f t="shared" si="650"/>
        <v>0</v>
      </c>
      <c r="AL1356" s="100">
        <f t="shared" si="651"/>
        <v>0</v>
      </c>
      <c r="AN1356" s="100">
        <f t="shared" si="652"/>
        <v>2775.5526460093115</v>
      </c>
      <c r="AO1356" s="20">
        <f t="shared" si="653"/>
        <v>0</v>
      </c>
      <c r="AQ1356" s="109">
        <f t="shared" si="654"/>
        <v>0</v>
      </c>
      <c r="AU1356" s="109">
        <f t="shared" si="639"/>
        <v>24.085837482076556</v>
      </c>
      <c r="AV1356" s="101">
        <f t="shared" si="655"/>
        <v>80934</v>
      </c>
      <c r="AW1356" s="99">
        <f t="shared" si="656"/>
        <v>0</v>
      </c>
      <c r="AX1356" s="1">
        <f t="shared" si="657"/>
        <v>0</v>
      </c>
      <c r="AY1356" s="29">
        <f t="shared" si="658"/>
        <v>0</v>
      </c>
      <c r="AZ1356" s="1">
        <f t="shared" si="640"/>
        <v>0</v>
      </c>
      <c r="CB1356" s="20">
        <f t="shared" si="649"/>
        <v>0</v>
      </c>
      <c r="CC1356" s="173">
        <f t="shared" si="641"/>
        <v>0</v>
      </c>
    </row>
    <row r="1357" spans="10:81" x14ac:dyDescent="0.25">
      <c r="J1357" s="7"/>
      <c r="K1357" s="8"/>
      <c r="L1357" s="16"/>
      <c r="M1357" s="22"/>
      <c r="N1357" s="22"/>
      <c r="O1357" s="22"/>
      <c r="P1357" s="22"/>
      <c r="Q1357" s="1">
        <f t="shared" si="642"/>
        <v>0.60744618579017706</v>
      </c>
      <c r="R1357" s="12">
        <f t="shared" ca="1" si="659"/>
        <v>39812</v>
      </c>
      <c r="S1357" s="88">
        <f t="shared" si="668"/>
        <v>0</v>
      </c>
      <c r="T1357" s="19">
        <f t="shared" si="660"/>
        <v>0</v>
      </c>
      <c r="U1357" s="19">
        <f t="shared" si="661"/>
        <v>0</v>
      </c>
      <c r="V1357" s="19">
        <f t="shared" si="647"/>
        <v>0</v>
      </c>
      <c r="W1357" s="20">
        <f t="shared" ca="1" si="662"/>
        <v>0</v>
      </c>
      <c r="X1357" s="19">
        <f t="shared" ca="1" si="663"/>
        <v>0</v>
      </c>
      <c r="Y1357" s="19">
        <f t="shared" ca="1" si="664"/>
        <v>0</v>
      </c>
      <c r="Z1357" s="20">
        <f t="shared" ca="1" si="665"/>
        <v>0</v>
      </c>
      <c r="AA1357" s="1">
        <f t="shared" si="643"/>
        <v>5432.58</v>
      </c>
      <c r="AB1357" s="91"/>
      <c r="AC1357" s="92"/>
      <c r="AD1357" s="101">
        <f t="shared" si="644"/>
        <v>80934</v>
      </c>
      <c r="AE1357" s="103">
        <f t="shared" si="645"/>
        <v>0</v>
      </c>
      <c r="AG1357" s="1">
        <f t="shared" si="666"/>
        <v>0</v>
      </c>
      <c r="AH1357" s="1">
        <f t="shared" si="667"/>
        <v>0</v>
      </c>
      <c r="AI1357" s="1">
        <f t="shared" si="646"/>
        <v>5432.58</v>
      </c>
      <c r="AJ1357" s="20">
        <f t="shared" si="648"/>
        <v>0</v>
      </c>
      <c r="AK1357" s="100">
        <f t="shared" si="650"/>
        <v>0</v>
      </c>
      <c r="AL1357" s="100">
        <f t="shared" si="651"/>
        <v>0</v>
      </c>
      <c r="AN1357" s="100">
        <f t="shared" si="652"/>
        <v>2774.148357810338</v>
      </c>
      <c r="AO1357" s="20">
        <f t="shared" si="653"/>
        <v>0</v>
      </c>
      <c r="AQ1357" s="109">
        <f t="shared" si="654"/>
        <v>0</v>
      </c>
      <c r="AU1357" s="109">
        <f t="shared" si="639"/>
        <v>24.083723466350065</v>
      </c>
      <c r="AV1357" s="101">
        <f t="shared" si="655"/>
        <v>80964</v>
      </c>
      <c r="AW1357" s="99">
        <f t="shared" si="656"/>
        <v>0</v>
      </c>
      <c r="AX1357" s="1">
        <f t="shared" si="657"/>
        <v>0</v>
      </c>
      <c r="AY1357" s="29">
        <f t="shared" si="658"/>
        <v>0</v>
      </c>
      <c r="AZ1357" s="1">
        <f t="shared" si="640"/>
        <v>0</v>
      </c>
      <c r="CB1357" s="20">
        <f t="shared" si="649"/>
        <v>0</v>
      </c>
      <c r="CC1357" s="173">
        <f t="shared" si="641"/>
        <v>0</v>
      </c>
    </row>
    <row r="1358" spans="10:81" x14ac:dyDescent="0.25">
      <c r="J1358" s="9"/>
      <c r="K1358" s="10"/>
      <c r="L1358" s="17"/>
      <c r="M1358" s="23"/>
      <c r="N1358" s="23"/>
      <c r="O1358" s="23"/>
      <c r="P1358" s="23"/>
      <c r="Q1358" s="1">
        <f t="shared" si="642"/>
        <v>0.60744618579017706</v>
      </c>
      <c r="R1358" s="12">
        <f t="shared" ca="1" si="659"/>
        <v>39842</v>
      </c>
      <c r="S1358" s="88">
        <f t="shared" si="668"/>
        <v>0</v>
      </c>
      <c r="T1358" s="19">
        <f t="shared" si="660"/>
        <v>0</v>
      </c>
      <c r="U1358" s="19">
        <f t="shared" si="661"/>
        <v>0</v>
      </c>
      <c r="V1358" s="19">
        <f t="shared" si="647"/>
        <v>0</v>
      </c>
      <c r="W1358" s="20">
        <f t="shared" ca="1" si="662"/>
        <v>0</v>
      </c>
      <c r="X1358" s="19">
        <f t="shared" ca="1" si="663"/>
        <v>0</v>
      </c>
      <c r="Y1358" s="19">
        <f t="shared" ca="1" si="664"/>
        <v>0</v>
      </c>
      <c r="Z1358" s="20">
        <f t="shared" ca="1" si="665"/>
        <v>0</v>
      </c>
      <c r="AA1358" s="1">
        <f t="shared" si="643"/>
        <v>5432.58</v>
      </c>
      <c r="AB1358" s="93"/>
      <c r="AC1358" s="94"/>
      <c r="AD1358" s="101">
        <f t="shared" si="644"/>
        <v>80964</v>
      </c>
      <c r="AE1358" s="103">
        <f t="shared" si="645"/>
        <v>0</v>
      </c>
      <c r="AG1358" s="1">
        <f t="shared" si="666"/>
        <v>0</v>
      </c>
      <c r="AH1358" s="1">
        <f t="shared" si="667"/>
        <v>0</v>
      </c>
      <c r="AI1358" s="1">
        <f t="shared" si="646"/>
        <v>5432.58</v>
      </c>
      <c r="AJ1358" s="20">
        <f t="shared" si="648"/>
        <v>0</v>
      </c>
      <c r="AK1358" s="100">
        <f t="shared" si="650"/>
        <v>0</v>
      </c>
      <c r="AL1358" s="100">
        <f t="shared" si="651"/>
        <v>0</v>
      </c>
      <c r="AN1358" s="100">
        <f t="shared" si="652"/>
        <v>2772.7447801096309</v>
      </c>
      <c r="AO1358" s="20">
        <f t="shared" si="653"/>
        <v>0</v>
      </c>
      <c r="AQ1358" s="109">
        <f t="shared" si="654"/>
        <v>0</v>
      </c>
      <c r="AU1358" s="109">
        <f t="shared" si="639"/>
        <v>24.081609636170892</v>
      </c>
      <c r="AV1358" s="101">
        <f t="shared" si="655"/>
        <v>80994</v>
      </c>
      <c r="AW1358" s="99">
        <f t="shared" si="656"/>
        <v>0</v>
      </c>
      <c r="AX1358" s="1">
        <f t="shared" si="657"/>
        <v>0</v>
      </c>
      <c r="AY1358" s="29">
        <f t="shared" si="658"/>
        <v>0</v>
      </c>
      <c r="AZ1358" s="1">
        <f t="shared" si="640"/>
        <v>0</v>
      </c>
      <c r="CB1358" s="20">
        <f t="shared" si="649"/>
        <v>0</v>
      </c>
      <c r="CC1358" s="173">
        <f t="shared" si="641"/>
        <v>0</v>
      </c>
    </row>
    <row r="1359" spans="10:81" x14ac:dyDescent="0.25">
      <c r="J1359" s="7"/>
      <c r="K1359" s="8"/>
      <c r="L1359" s="16"/>
      <c r="M1359" s="22"/>
      <c r="N1359" s="22"/>
      <c r="O1359" s="22"/>
      <c r="P1359" s="22"/>
      <c r="Q1359" s="1">
        <f t="shared" si="642"/>
        <v>0.60744618579017706</v>
      </c>
      <c r="R1359" s="12">
        <f t="shared" ca="1" si="659"/>
        <v>39872</v>
      </c>
      <c r="S1359" s="88">
        <f t="shared" si="668"/>
        <v>0</v>
      </c>
      <c r="T1359" s="19">
        <f t="shared" si="660"/>
        <v>0</v>
      </c>
      <c r="U1359" s="19">
        <f t="shared" si="661"/>
        <v>0</v>
      </c>
      <c r="V1359" s="19">
        <f t="shared" si="647"/>
        <v>0</v>
      </c>
      <c r="W1359" s="20">
        <f t="shared" ca="1" si="662"/>
        <v>0</v>
      </c>
      <c r="X1359" s="19">
        <f t="shared" ca="1" si="663"/>
        <v>0</v>
      </c>
      <c r="Y1359" s="19">
        <f t="shared" ca="1" si="664"/>
        <v>0</v>
      </c>
      <c r="Z1359" s="20">
        <f t="shared" ca="1" si="665"/>
        <v>0</v>
      </c>
      <c r="AA1359" s="1">
        <f t="shared" si="643"/>
        <v>5432.58</v>
      </c>
      <c r="AB1359" s="91"/>
      <c r="AC1359" s="92"/>
      <c r="AD1359" s="101">
        <f t="shared" si="644"/>
        <v>80994</v>
      </c>
      <c r="AE1359" s="103">
        <f t="shared" si="645"/>
        <v>0</v>
      </c>
      <c r="AG1359" s="1">
        <f t="shared" si="666"/>
        <v>0</v>
      </c>
      <c r="AH1359" s="1">
        <f t="shared" si="667"/>
        <v>0</v>
      </c>
      <c r="AI1359" s="1">
        <f t="shared" si="646"/>
        <v>5432.58</v>
      </c>
      <c r="AJ1359" s="20">
        <f t="shared" si="648"/>
        <v>0</v>
      </c>
      <c r="AK1359" s="100">
        <f t="shared" si="650"/>
        <v>0</v>
      </c>
      <c r="AL1359" s="100">
        <f t="shared" si="651"/>
        <v>0</v>
      </c>
      <c r="AN1359" s="100">
        <f t="shared" si="652"/>
        <v>2771.3419125477171</v>
      </c>
      <c r="AO1359" s="20">
        <f t="shared" si="653"/>
        <v>0</v>
      </c>
      <c r="AQ1359" s="109">
        <f t="shared" si="654"/>
        <v>0</v>
      </c>
      <c r="AU1359" s="109">
        <f t="shared" si="639"/>
        <v>24.079495991522755</v>
      </c>
      <c r="AV1359" s="101">
        <f t="shared" si="655"/>
        <v>81024</v>
      </c>
      <c r="AW1359" s="99">
        <f t="shared" si="656"/>
        <v>0</v>
      </c>
      <c r="AX1359" s="1">
        <f t="shared" si="657"/>
        <v>0</v>
      </c>
      <c r="AY1359" s="29">
        <f t="shared" si="658"/>
        <v>0</v>
      </c>
      <c r="AZ1359" s="1">
        <f t="shared" si="640"/>
        <v>0</v>
      </c>
      <c r="CB1359" s="20">
        <f t="shared" si="649"/>
        <v>0</v>
      </c>
      <c r="CC1359" s="173">
        <f t="shared" si="641"/>
        <v>0</v>
      </c>
    </row>
    <row r="1360" spans="10:81" x14ac:dyDescent="0.25">
      <c r="J1360" s="9"/>
      <c r="K1360" s="10"/>
      <c r="L1360" s="17"/>
      <c r="M1360" s="23"/>
      <c r="N1360" s="23"/>
      <c r="O1360" s="23"/>
      <c r="P1360" s="23"/>
      <c r="Q1360" s="1">
        <f t="shared" si="642"/>
        <v>0.60744618579017706</v>
      </c>
      <c r="R1360" s="12">
        <f t="shared" ca="1" si="659"/>
        <v>39902</v>
      </c>
      <c r="S1360" s="88">
        <f t="shared" si="668"/>
        <v>0</v>
      </c>
      <c r="T1360" s="19">
        <f t="shared" si="660"/>
        <v>0</v>
      </c>
      <c r="U1360" s="19">
        <f t="shared" si="661"/>
        <v>0</v>
      </c>
      <c r="V1360" s="19">
        <f t="shared" si="647"/>
        <v>0</v>
      </c>
      <c r="W1360" s="20">
        <f t="shared" ca="1" si="662"/>
        <v>0</v>
      </c>
      <c r="X1360" s="19">
        <f t="shared" ca="1" si="663"/>
        <v>0</v>
      </c>
      <c r="Y1360" s="19">
        <f t="shared" ca="1" si="664"/>
        <v>0</v>
      </c>
      <c r="Z1360" s="20">
        <f t="shared" ca="1" si="665"/>
        <v>0</v>
      </c>
      <c r="AA1360" s="1">
        <f t="shared" si="643"/>
        <v>5432.58</v>
      </c>
      <c r="AB1360" s="93"/>
      <c r="AC1360" s="94"/>
      <c r="AD1360" s="101">
        <f t="shared" si="644"/>
        <v>81024</v>
      </c>
      <c r="AE1360" s="103">
        <f t="shared" si="645"/>
        <v>0</v>
      </c>
      <c r="AG1360" s="1">
        <f t="shared" si="666"/>
        <v>0</v>
      </c>
      <c r="AH1360" s="1">
        <f t="shared" si="667"/>
        <v>0</v>
      </c>
      <c r="AI1360" s="1">
        <f t="shared" si="646"/>
        <v>5432.58</v>
      </c>
      <c r="AJ1360" s="20">
        <f t="shared" si="648"/>
        <v>0</v>
      </c>
      <c r="AK1360" s="100">
        <f t="shared" si="650"/>
        <v>0</v>
      </c>
      <c r="AL1360" s="100">
        <f t="shared" si="651"/>
        <v>0</v>
      </c>
      <c r="AN1360" s="100">
        <f t="shared" si="652"/>
        <v>2769.9397547652993</v>
      </c>
      <c r="AO1360" s="20">
        <f t="shared" si="653"/>
        <v>0</v>
      </c>
      <c r="AQ1360" s="109">
        <f t="shared" si="654"/>
        <v>0</v>
      </c>
      <c r="AU1360" s="109">
        <f t="shared" si="639"/>
        <v>24.077382532389361</v>
      </c>
      <c r="AV1360" s="101">
        <f t="shared" si="655"/>
        <v>81054</v>
      </c>
      <c r="AW1360" s="99">
        <f t="shared" si="656"/>
        <v>0</v>
      </c>
      <c r="AX1360" s="1">
        <f t="shared" si="657"/>
        <v>0</v>
      </c>
      <c r="AY1360" s="29">
        <f t="shared" si="658"/>
        <v>0</v>
      </c>
      <c r="AZ1360" s="1">
        <f t="shared" si="640"/>
        <v>0</v>
      </c>
      <c r="CB1360" s="20">
        <f t="shared" si="649"/>
        <v>0</v>
      </c>
      <c r="CC1360" s="173">
        <f t="shared" si="641"/>
        <v>0</v>
      </c>
    </row>
    <row r="1361" spans="10:81" x14ac:dyDescent="0.25">
      <c r="J1361" s="7"/>
      <c r="K1361" s="8"/>
      <c r="L1361" s="16"/>
      <c r="M1361" s="22"/>
      <c r="N1361" s="22"/>
      <c r="O1361" s="22"/>
      <c r="P1361" s="22"/>
      <c r="Q1361" s="1">
        <f t="shared" si="642"/>
        <v>0.60744618579017706</v>
      </c>
      <c r="R1361" s="12">
        <f t="shared" ca="1" si="659"/>
        <v>39932</v>
      </c>
      <c r="S1361" s="88">
        <f t="shared" si="668"/>
        <v>0</v>
      </c>
      <c r="T1361" s="19">
        <f t="shared" si="660"/>
        <v>0</v>
      </c>
      <c r="U1361" s="19">
        <f t="shared" si="661"/>
        <v>0</v>
      </c>
      <c r="V1361" s="19">
        <f t="shared" si="647"/>
        <v>0</v>
      </c>
      <c r="W1361" s="20">
        <f t="shared" ca="1" si="662"/>
        <v>0</v>
      </c>
      <c r="X1361" s="19">
        <f t="shared" ca="1" si="663"/>
        <v>0</v>
      </c>
      <c r="Y1361" s="19">
        <f t="shared" ca="1" si="664"/>
        <v>0</v>
      </c>
      <c r="Z1361" s="20">
        <f t="shared" ca="1" si="665"/>
        <v>0</v>
      </c>
      <c r="AA1361" s="1">
        <f t="shared" si="643"/>
        <v>5432.58</v>
      </c>
      <c r="AB1361" s="91"/>
      <c r="AC1361" s="92"/>
      <c r="AD1361" s="101">
        <f t="shared" si="644"/>
        <v>81054</v>
      </c>
      <c r="AE1361" s="103">
        <f t="shared" si="645"/>
        <v>0</v>
      </c>
      <c r="AG1361" s="1">
        <f t="shared" si="666"/>
        <v>0</v>
      </c>
      <c r="AH1361" s="1">
        <f t="shared" si="667"/>
        <v>0</v>
      </c>
      <c r="AI1361" s="1">
        <f t="shared" si="646"/>
        <v>5432.58</v>
      </c>
      <c r="AJ1361" s="20">
        <f t="shared" si="648"/>
        <v>0</v>
      </c>
      <c r="AK1361" s="100">
        <f t="shared" si="650"/>
        <v>0</v>
      </c>
      <c r="AL1361" s="100">
        <f t="shared" si="651"/>
        <v>0</v>
      </c>
      <c r="AN1361" s="100">
        <f t="shared" si="652"/>
        <v>2768.5383064032667</v>
      </c>
      <c r="AO1361" s="20">
        <f t="shared" si="653"/>
        <v>0</v>
      </c>
      <c r="AQ1361" s="109">
        <f t="shared" si="654"/>
        <v>0</v>
      </c>
      <c r="AU1361" s="109">
        <f t="shared" si="639"/>
        <v>24.075269258754428</v>
      </c>
      <c r="AV1361" s="101">
        <f t="shared" si="655"/>
        <v>81084</v>
      </c>
      <c r="AW1361" s="99">
        <f t="shared" si="656"/>
        <v>0</v>
      </c>
      <c r="AX1361" s="1">
        <f t="shared" si="657"/>
        <v>0</v>
      </c>
      <c r="AY1361" s="29">
        <f t="shared" si="658"/>
        <v>0</v>
      </c>
      <c r="AZ1361" s="1">
        <f t="shared" si="640"/>
        <v>0</v>
      </c>
      <c r="CB1361" s="20">
        <f t="shared" si="649"/>
        <v>0</v>
      </c>
      <c r="CC1361" s="173">
        <f t="shared" si="641"/>
        <v>0</v>
      </c>
    </row>
    <row r="1362" spans="10:81" x14ac:dyDescent="0.25">
      <c r="J1362" s="9"/>
      <c r="K1362" s="10"/>
      <c r="L1362" s="17"/>
      <c r="M1362" s="23"/>
      <c r="N1362" s="23"/>
      <c r="O1362" s="23"/>
      <c r="P1362" s="23"/>
      <c r="Q1362" s="1">
        <f t="shared" si="642"/>
        <v>0.60744618579017706</v>
      </c>
      <c r="R1362" s="12">
        <f t="shared" ca="1" si="659"/>
        <v>39962</v>
      </c>
      <c r="S1362" s="88">
        <f t="shared" si="668"/>
        <v>0</v>
      </c>
      <c r="T1362" s="19">
        <f t="shared" si="660"/>
        <v>0</v>
      </c>
      <c r="U1362" s="19">
        <f t="shared" si="661"/>
        <v>0</v>
      </c>
      <c r="V1362" s="19">
        <f t="shared" si="647"/>
        <v>0</v>
      </c>
      <c r="W1362" s="20">
        <f t="shared" ca="1" si="662"/>
        <v>0</v>
      </c>
      <c r="X1362" s="19">
        <f t="shared" ca="1" si="663"/>
        <v>0</v>
      </c>
      <c r="Y1362" s="19">
        <f t="shared" ca="1" si="664"/>
        <v>0</v>
      </c>
      <c r="Z1362" s="20">
        <f t="shared" ca="1" si="665"/>
        <v>0</v>
      </c>
      <c r="AA1362" s="1">
        <f t="shared" si="643"/>
        <v>5432.58</v>
      </c>
      <c r="AB1362" s="93"/>
      <c r="AC1362" s="94"/>
      <c r="AD1362" s="101">
        <f t="shared" si="644"/>
        <v>81084</v>
      </c>
      <c r="AE1362" s="103">
        <f t="shared" si="645"/>
        <v>0</v>
      </c>
      <c r="AG1362" s="1">
        <f t="shared" si="666"/>
        <v>0</v>
      </c>
      <c r="AH1362" s="1">
        <f t="shared" si="667"/>
        <v>0</v>
      </c>
      <c r="AI1362" s="1">
        <f t="shared" si="646"/>
        <v>5432.58</v>
      </c>
      <c r="AJ1362" s="20">
        <f t="shared" si="648"/>
        <v>0</v>
      </c>
      <c r="AK1362" s="100">
        <f t="shared" si="650"/>
        <v>0</v>
      </c>
      <c r="AL1362" s="100">
        <f t="shared" si="651"/>
        <v>0</v>
      </c>
      <c r="AN1362" s="100">
        <f t="shared" si="652"/>
        <v>2767.137567102689</v>
      </c>
      <c r="AO1362" s="20">
        <f t="shared" si="653"/>
        <v>0</v>
      </c>
      <c r="AQ1362" s="109">
        <f t="shared" si="654"/>
        <v>0</v>
      </c>
      <c r="AU1362" s="109">
        <f t="shared" si="639"/>
        <v>24.073156170601674</v>
      </c>
      <c r="AV1362" s="101">
        <f t="shared" si="655"/>
        <v>81114</v>
      </c>
      <c r="AW1362" s="99">
        <f t="shared" si="656"/>
        <v>0</v>
      </c>
      <c r="AX1362" s="1">
        <f t="shared" si="657"/>
        <v>0</v>
      </c>
      <c r="AY1362" s="29">
        <f t="shared" si="658"/>
        <v>0</v>
      </c>
      <c r="AZ1362" s="1">
        <f t="shared" si="640"/>
        <v>0</v>
      </c>
      <c r="CB1362" s="20">
        <f t="shared" si="649"/>
        <v>0</v>
      </c>
      <c r="CC1362" s="173">
        <f t="shared" si="641"/>
        <v>0</v>
      </c>
    </row>
    <row r="1363" spans="10:81" x14ac:dyDescent="0.25">
      <c r="J1363" s="7"/>
      <c r="K1363" s="8"/>
      <c r="L1363" s="16"/>
      <c r="M1363" s="22"/>
      <c r="N1363" s="22"/>
      <c r="O1363" s="22"/>
      <c r="P1363" s="22"/>
      <c r="Q1363" s="1">
        <f t="shared" si="642"/>
        <v>0.60744618579017706</v>
      </c>
      <c r="R1363" s="12">
        <f t="shared" ca="1" si="659"/>
        <v>39992</v>
      </c>
      <c r="S1363" s="88">
        <f t="shared" si="668"/>
        <v>0</v>
      </c>
      <c r="T1363" s="19">
        <f t="shared" si="660"/>
        <v>0</v>
      </c>
      <c r="U1363" s="19">
        <f t="shared" si="661"/>
        <v>0</v>
      </c>
      <c r="V1363" s="19">
        <f t="shared" si="647"/>
        <v>0</v>
      </c>
      <c r="W1363" s="20">
        <f t="shared" ca="1" si="662"/>
        <v>0</v>
      </c>
      <c r="X1363" s="19">
        <f t="shared" ca="1" si="663"/>
        <v>0</v>
      </c>
      <c r="Y1363" s="19">
        <f t="shared" ca="1" si="664"/>
        <v>0</v>
      </c>
      <c r="Z1363" s="20">
        <f t="shared" ca="1" si="665"/>
        <v>0</v>
      </c>
      <c r="AA1363" s="1">
        <f t="shared" si="643"/>
        <v>5432.58</v>
      </c>
      <c r="AB1363" s="91"/>
      <c r="AC1363" s="92"/>
      <c r="AD1363" s="101">
        <f t="shared" si="644"/>
        <v>81114</v>
      </c>
      <c r="AE1363" s="103">
        <f t="shared" si="645"/>
        <v>0</v>
      </c>
      <c r="AG1363" s="1">
        <f t="shared" si="666"/>
        <v>0</v>
      </c>
      <c r="AH1363" s="1">
        <f t="shared" si="667"/>
        <v>0</v>
      </c>
      <c r="AI1363" s="1">
        <f t="shared" si="646"/>
        <v>5432.58</v>
      </c>
      <c r="AJ1363" s="20">
        <f t="shared" si="648"/>
        <v>0</v>
      </c>
      <c r="AK1363" s="100">
        <f t="shared" si="650"/>
        <v>0</v>
      </c>
      <c r="AL1363" s="100">
        <f t="shared" si="651"/>
        <v>0</v>
      </c>
      <c r="AN1363" s="100">
        <f t="shared" si="652"/>
        <v>2765.737536504816</v>
      </c>
      <c r="AO1363" s="20">
        <f t="shared" si="653"/>
        <v>0</v>
      </c>
      <c r="AQ1363" s="109">
        <f t="shared" si="654"/>
        <v>0</v>
      </c>
      <c r="AU1363" s="109">
        <f t="shared" si="639"/>
        <v>24.071043267914824</v>
      </c>
      <c r="AV1363" s="101">
        <f t="shared" si="655"/>
        <v>81144</v>
      </c>
      <c r="AW1363" s="99">
        <f t="shared" si="656"/>
        <v>0</v>
      </c>
      <c r="AX1363" s="1">
        <f t="shared" si="657"/>
        <v>0</v>
      </c>
      <c r="AY1363" s="29">
        <f t="shared" si="658"/>
        <v>0</v>
      </c>
      <c r="AZ1363" s="1">
        <f t="shared" si="640"/>
        <v>0</v>
      </c>
      <c r="CB1363" s="20">
        <f t="shared" si="649"/>
        <v>0</v>
      </c>
      <c r="CC1363" s="173">
        <f t="shared" si="641"/>
        <v>0</v>
      </c>
    </row>
    <row r="1364" spans="10:81" x14ac:dyDescent="0.25">
      <c r="J1364" s="9"/>
      <c r="K1364" s="10"/>
      <c r="L1364" s="17"/>
      <c r="M1364" s="23"/>
      <c r="N1364" s="23"/>
      <c r="O1364" s="23"/>
      <c r="P1364" s="23"/>
      <c r="Q1364" s="1">
        <f t="shared" si="642"/>
        <v>0.60744618579017706</v>
      </c>
      <c r="R1364" s="12">
        <f t="shared" ca="1" si="659"/>
        <v>40022</v>
      </c>
      <c r="S1364" s="88">
        <f t="shared" si="668"/>
        <v>0</v>
      </c>
      <c r="T1364" s="19">
        <f t="shared" si="660"/>
        <v>0</v>
      </c>
      <c r="U1364" s="19">
        <f t="shared" si="661"/>
        <v>0</v>
      </c>
      <c r="V1364" s="19">
        <f t="shared" si="647"/>
        <v>0</v>
      </c>
      <c r="W1364" s="20">
        <f t="shared" ca="1" si="662"/>
        <v>0</v>
      </c>
      <c r="X1364" s="19">
        <f t="shared" ca="1" si="663"/>
        <v>0</v>
      </c>
      <c r="Y1364" s="19">
        <f t="shared" ca="1" si="664"/>
        <v>0</v>
      </c>
      <c r="Z1364" s="20">
        <f t="shared" ca="1" si="665"/>
        <v>0</v>
      </c>
      <c r="AA1364" s="1">
        <f t="shared" si="643"/>
        <v>5432.58</v>
      </c>
      <c r="AB1364" s="93"/>
      <c r="AC1364" s="94"/>
      <c r="AD1364" s="101">
        <f t="shared" si="644"/>
        <v>81144</v>
      </c>
      <c r="AE1364" s="103">
        <f t="shared" si="645"/>
        <v>0</v>
      </c>
      <c r="AG1364" s="1">
        <f t="shared" si="666"/>
        <v>0</v>
      </c>
      <c r="AH1364" s="1">
        <f t="shared" si="667"/>
        <v>0</v>
      </c>
      <c r="AI1364" s="1">
        <f t="shared" si="646"/>
        <v>5432.58</v>
      </c>
      <c r="AJ1364" s="20">
        <f t="shared" si="648"/>
        <v>0</v>
      </c>
      <c r="AK1364" s="100">
        <f t="shared" si="650"/>
        <v>0</v>
      </c>
      <c r="AL1364" s="100">
        <f t="shared" si="651"/>
        <v>0</v>
      </c>
      <c r="AN1364" s="100">
        <f t="shared" si="652"/>
        <v>2764.3382142510818</v>
      </c>
      <c r="AO1364" s="20">
        <f t="shared" si="653"/>
        <v>0</v>
      </c>
      <c r="AQ1364" s="109">
        <f t="shared" si="654"/>
        <v>0</v>
      </c>
      <c r="AU1364" s="109">
        <f t="shared" si="639"/>
        <v>24.068930550677603</v>
      </c>
      <c r="AV1364" s="101">
        <f t="shared" si="655"/>
        <v>81174</v>
      </c>
      <c r="AW1364" s="99">
        <f t="shared" si="656"/>
        <v>0</v>
      </c>
      <c r="AX1364" s="1">
        <f t="shared" si="657"/>
        <v>0</v>
      </c>
      <c r="AY1364" s="29">
        <f t="shared" si="658"/>
        <v>0</v>
      </c>
      <c r="AZ1364" s="1">
        <f t="shared" si="640"/>
        <v>0</v>
      </c>
      <c r="CB1364" s="20">
        <f t="shared" si="649"/>
        <v>0</v>
      </c>
      <c r="CC1364" s="173">
        <f t="shared" si="641"/>
        <v>0</v>
      </c>
    </row>
    <row r="1365" spans="10:81" x14ac:dyDescent="0.25">
      <c r="J1365" s="7"/>
      <c r="K1365" s="8"/>
      <c r="L1365" s="16"/>
      <c r="M1365" s="22"/>
      <c r="N1365" s="22"/>
      <c r="O1365" s="22"/>
      <c r="P1365" s="22"/>
      <c r="Q1365" s="1">
        <f t="shared" si="642"/>
        <v>0.60744618579017706</v>
      </c>
      <c r="R1365" s="12">
        <f t="shared" ca="1" si="659"/>
        <v>40052</v>
      </c>
      <c r="S1365" s="88">
        <f t="shared" si="668"/>
        <v>0</v>
      </c>
      <c r="T1365" s="19">
        <f t="shared" si="660"/>
        <v>0</v>
      </c>
      <c r="U1365" s="19">
        <f t="shared" si="661"/>
        <v>0</v>
      </c>
      <c r="V1365" s="19">
        <f t="shared" si="647"/>
        <v>0</v>
      </c>
      <c r="W1365" s="20">
        <f t="shared" ca="1" si="662"/>
        <v>0</v>
      </c>
      <c r="X1365" s="19">
        <f t="shared" ca="1" si="663"/>
        <v>0</v>
      </c>
      <c r="Y1365" s="19">
        <f t="shared" ca="1" si="664"/>
        <v>0</v>
      </c>
      <c r="Z1365" s="20">
        <f t="shared" ca="1" si="665"/>
        <v>0</v>
      </c>
      <c r="AA1365" s="1">
        <f t="shared" si="643"/>
        <v>5432.58</v>
      </c>
      <c r="AB1365" s="91"/>
      <c r="AC1365" s="92"/>
      <c r="AD1365" s="101">
        <f t="shared" si="644"/>
        <v>81174</v>
      </c>
      <c r="AE1365" s="103">
        <f t="shared" si="645"/>
        <v>0</v>
      </c>
      <c r="AG1365" s="1">
        <f t="shared" si="666"/>
        <v>0</v>
      </c>
      <c r="AH1365" s="1">
        <f t="shared" si="667"/>
        <v>0</v>
      </c>
      <c r="AI1365" s="1">
        <f t="shared" si="646"/>
        <v>5432.58</v>
      </c>
      <c r="AJ1365" s="20">
        <f t="shared" si="648"/>
        <v>0</v>
      </c>
      <c r="AK1365" s="100">
        <f t="shared" si="650"/>
        <v>0</v>
      </c>
      <c r="AL1365" s="100">
        <f t="shared" si="651"/>
        <v>0</v>
      </c>
      <c r="AN1365" s="100">
        <f t="shared" si="652"/>
        <v>2762.9395999830999</v>
      </c>
      <c r="AO1365" s="20">
        <f t="shared" si="653"/>
        <v>0</v>
      </c>
      <c r="AQ1365" s="109">
        <f t="shared" si="654"/>
        <v>0</v>
      </c>
      <c r="AU1365" s="109">
        <f t="shared" si="639"/>
        <v>24.066818018873729</v>
      </c>
      <c r="AV1365" s="101">
        <f t="shared" si="655"/>
        <v>81204</v>
      </c>
      <c r="AW1365" s="99">
        <f t="shared" si="656"/>
        <v>0</v>
      </c>
      <c r="AX1365" s="1">
        <f t="shared" si="657"/>
        <v>0</v>
      </c>
      <c r="AY1365" s="29">
        <f t="shared" si="658"/>
        <v>0</v>
      </c>
      <c r="AZ1365" s="1">
        <f t="shared" si="640"/>
        <v>0</v>
      </c>
      <c r="CB1365" s="20">
        <f t="shared" si="649"/>
        <v>0</v>
      </c>
      <c r="CC1365" s="173">
        <f t="shared" si="641"/>
        <v>0</v>
      </c>
    </row>
    <row r="1366" spans="10:81" x14ac:dyDescent="0.25">
      <c r="J1366" s="9"/>
      <c r="K1366" s="10"/>
      <c r="L1366" s="17"/>
      <c r="M1366" s="23"/>
      <c r="N1366" s="23"/>
      <c r="O1366" s="23"/>
      <c r="P1366" s="23"/>
      <c r="Q1366" s="1">
        <f t="shared" si="642"/>
        <v>0.60744618579017706</v>
      </c>
      <c r="R1366" s="12">
        <f t="shared" ca="1" si="659"/>
        <v>40082</v>
      </c>
      <c r="S1366" s="88">
        <f t="shared" si="668"/>
        <v>0</v>
      </c>
      <c r="T1366" s="19">
        <f t="shared" si="660"/>
        <v>0</v>
      </c>
      <c r="U1366" s="19">
        <f t="shared" si="661"/>
        <v>0</v>
      </c>
      <c r="V1366" s="19">
        <f t="shared" si="647"/>
        <v>0</v>
      </c>
      <c r="W1366" s="20">
        <f t="shared" ca="1" si="662"/>
        <v>0</v>
      </c>
      <c r="X1366" s="19">
        <f t="shared" ca="1" si="663"/>
        <v>0</v>
      </c>
      <c r="Y1366" s="19">
        <f t="shared" ca="1" si="664"/>
        <v>0</v>
      </c>
      <c r="Z1366" s="20">
        <f t="shared" ca="1" si="665"/>
        <v>0</v>
      </c>
      <c r="AA1366" s="1">
        <f t="shared" si="643"/>
        <v>5432.58</v>
      </c>
      <c r="AB1366" s="93"/>
      <c r="AC1366" s="94"/>
      <c r="AD1366" s="101">
        <f t="shared" si="644"/>
        <v>81204</v>
      </c>
      <c r="AE1366" s="103">
        <f t="shared" si="645"/>
        <v>0</v>
      </c>
      <c r="AG1366" s="1">
        <f t="shared" si="666"/>
        <v>0</v>
      </c>
      <c r="AH1366" s="1">
        <f t="shared" si="667"/>
        <v>0</v>
      </c>
      <c r="AI1366" s="1">
        <f t="shared" si="646"/>
        <v>5432.58</v>
      </c>
      <c r="AJ1366" s="20">
        <f t="shared" si="648"/>
        <v>0</v>
      </c>
      <c r="AK1366" s="100">
        <f t="shared" si="650"/>
        <v>0</v>
      </c>
      <c r="AL1366" s="100">
        <f t="shared" si="651"/>
        <v>0</v>
      </c>
      <c r="AN1366" s="100">
        <f t="shared" si="652"/>
        <v>2761.5416933426641</v>
      </c>
      <c r="AO1366" s="20">
        <f t="shared" si="653"/>
        <v>0</v>
      </c>
      <c r="AQ1366" s="109">
        <f t="shared" si="654"/>
        <v>0</v>
      </c>
      <c r="AU1366" s="109">
        <f t="shared" si="639"/>
        <v>24.064705672486927</v>
      </c>
      <c r="AV1366" s="101">
        <f t="shared" si="655"/>
        <v>81234</v>
      </c>
      <c r="AW1366" s="99">
        <f t="shared" si="656"/>
        <v>0</v>
      </c>
      <c r="AX1366" s="1">
        <f t="shared" si="657"/>
        <v>0</v>
      </c>
      <c r="AY1366" s="29">
        <f t="shared" si="658"/>
        <v>0</v>
      </c>
      <c r="AZ1366" s="1">
        <f t="shared" si="640"/>
        <v>0</v>
      </c>
      <c r="CB1366" s="20">
        <f t="shared" si="649"/>
        <v>0</v>
      </c>
      <c r="CC1366" s="173">
        <f t="shared" si="641"/>
        <v>0</v>
      </c>
    </row>
    <row r="1367" spans="10:81" x14ac:dyDescent="0.25">
      <c r="J1367" s="7"/>
      <c r="K1367" s="8"/>
      <c r="L1367" s="16"/>
      <c r="M1367" s="22"/>
      <c r="N1367" s="22"/>
      <c r="O1367" s="22"/>
      <c r="P1367" s="22"/>
      <c r="Q1367" s="1">
        <f t="shared" si="642"/>
        <v>0.60744618579017706</v>
      </c>
      <c r="R1367" s="12">
        <f t="shared" ca="1" si="659"/>
        <v>40112</v>
      </c>
      <c r="S1367" s="88">
        <f t="shared" si="668"/>
        <v>0</v>
      </c>
      <c r="T1367" s="19">
        <f t="shared" si="660"/>
        <v>0</v>
      </c>
      <c r="U1367" s="19">
        <f t="shared" si="661"/>
        <v>0</v>
      </c>
      <c r="V1367" s="19">
        <f t="shared" si="647"/>
        <v>0</v>
      </c>
      <c r="W1367" s="20">
        <f t="shared" ca="1" si="662"/>
        <v>0</v>
      </c>
      <c r="X1367" s="19">
        <f t="shared" ca="1" si="663"/>
        <v>0</v>
      </c>
      <c r="Y1367" s="19">
        <f t="shared" ca="1" si="664"/>
        <v>0</v>
      </c>
      <c r="Z1367" s="20">
        <f t="shared" ca="1" si="665"/>
        <v>0</v>
      </c>
      <c r="AA1367" s="1">
        <f t="shared" si="643"/>
        <v>5432.58</v>
      </c>
      <c r="AB1367" s="91"/>
      <c r="AC1367" s="92"/>
      <c r="AD1367" s="101">
        <f t="shared" si="644"/>
        <v>81234</v>
      </c>
      <c r="AE1367" s="103">
        <f t="shared" si="645"/>
        <v>0</v>
      </c>
      <c r="AG1367" s="1">
        <f t="shared" si="666"/>
        <v>0</v>
      </c>
      <c r="AH1367" s="1">
        <f t="shared" si="667"/>
        <v>0</v>
      </c>
      <c r="AI1367" s="1">
        <f t="shared" si="646"/>
        <v>5432.58</v>
      </c>
      <c r="AJ1367" s="20">
        <f t="shared" si="648"/>
        <v>0</v>
      </c>
      <c r="AK1367" s="100">
        <f t="shared" si="650"/>
        <v>0</v>
      </c>
      <c r="AL1367" s="100">
        <f t="shared" si="651"/>
        <v>0</v>
      </c>
      <c r="AN1367" s="100">
        <f t="shared" si="652"/>
        <v>2760.1444939717535</v>
      </c>
      <c r="AO1367" s="20">
        <f t="shared" si="653"/>
        <v>0</v>
      </c>
      <c r="AQ1367" s="109">
        <f t="shared" si="654"/>
        <v>0</v>
      </c>
      <c r="AU1367" s="109">
        <f t="shared" si="639"/>
        <v>24.062593511500914</v>
      </c>
      <c r="AV1367" s="101">
        <f t="shared" si="655"/>
        <v>81264</v>
      </c>
      <c r="AW1367" s="99">
        <f t="shared" si="656"/>
        <v>0</v>
      </c>
      <c r="AX1367" s="1">
        <f t="shared" si="657"/>
        <v>0</v>
      </c>
      <c r="AY1367" s="29">
        <f t="shared" si="658"/>
        <v>0</v>
      </c>
      <c r="AZ1367" s="1">
        <f t="shared" si="640"/>
        <v>0</v>
      </c>
      <c r="CB1367" s="20">
        <f t="shared" si="649"/>
        <v>0</v>
      </c>
      <c r="CC1367" s="173">
        <f t="shared" si="641"/>
        <v>0</v>
      </c>
    </row>
    <row r="1368" spans="10:81" x14ac:dyDescent="0.25">
      <c r="J1368" s="9"/>
      <c r="K1368" s="10"/>
      <c r="L1368" s="17"/>
      <c r="M1368" s="23"/>
      <c r="N1368" s="23"/>
      <c r="O1368" s="23"/>
      <c r="P1368" s="23"/>
      <c r="Q1368" s="1">
        <f t="shared" si="642"/>
        <v>0.60744618579017706</v>
      </c>
      <c r="R1368" s="12">
        <f t="shared" ca="1" si="659"/>
        <v>40142</v>
      </c>
      <c r="S1368" s="88">
        <f t="shared" si="668"/>
        <v>0</v>
      </c>
      <c r="T1368" s="19">
        <f t="shared" si="660"/>
        <v>0</v>
      </c>
      <c r="U1368" s="19">
        <f t="shared" si="661"/>
        <v>0</v>
      </c>
      <c r="V1368" s="19">
        <f t="shared" si="647"/>
        <v>0</v>
      </c>
      <c r="W1368" s="20">
        <f t="shared" ca="1" si="662"/>
        <v>0</v>
      </c>
      <c r="X1368" s="19">
        <f t="shared" ca="1" si="663"/>
        <v>0</v>
      </c>
      <c r="Y1368" s="19">
        <f t="shared" ca="1" si="664"/>
        <v>0</v>
      </c>
      <c r="Z1368" s="20">
        <f t="shared" ca="1" si="665"/>
        <v>0</v>
      </c>
      <c r="AA1368" s="1">
        <f t="shared" si="643"/>
        <v>5432.58</v>
      </c>
      <c r="AB1368" s="93"/>
      <c r="AC1368" s="94"/>
      <c r="AD1368" s="101">
        <f t="shared" si="644"/>
        <v>81264</v>
      </c>
      <c r="AE1368" s="103">
        <f t="shared" si="645"/>
        <v>0</v>
      </c>
      <c r="AG1368" s="1">
        <f t="shared" si="666"/>
        <v>0</v>
      </c>
      <c r="AH1368" s="1">
        <f t="shared" si="667"/>
        <v>0</v>
      </c>
      <c r="AI1368" s="1">
        <f t="shared" si="646"/>
        <v>5432.58</v>
      </c>
      <c r="AJ1368" s="20">
        <f t="shared" si="648"/>
        <v>0</v>
      </c>
      <c r="AK1368" s="100">
        <f t="shared" si="650"/>
        <v>0</v>
      </c>
      <c r="AL1368" s="100">
        <f t="shared" si="651"/>
        <v>0</v>
      </c>
      <c r="AN1368" s="100">
        <f t="shared" si="652"/>
        <v>2758.7480015125248</v>
      </c>
      <c r="AO1368" s="20">
        <f t="shared" si="653"/>
        <v>0</v>
      </c>
      <c r="AQ1368" s="109">
        <f t="shared" si="654"/>
        <v>0</v>
      </c>
      <c r="AU1368" s="109">
        <f t="shared" si="639"/>
        <v>24.060481535899441</v>
      </c>
      <c r="AV1368" s="101">
        <f t="shared" si="655"/>
        <v>81294</v>
      </c>
      <c r="AW1368" s="99">
        <f t="shared" si="656"/>
        <v>0</v>
      </c>
      <c r="AX1368" s="1">
        <f t="shared" si="657"/>
        <v>0</v>
      </c>
      <c r="AY1368" s="29">
        <f t="shared" si="658"/>
        <v>0</v>
      </c>
      <c r="AZ1368" s="1">
        <f t="shared" si="640"/>
        <v>0</v>
      </c>
      <c r="CB1368" s="20">
        <f t="shared" si="649"/>
        <v>0</v>
      </c>
      <c r="CC1368" s="173">
        <f t="shared" si="641"/>
        <v>0</v>
      </c>
    </row>
    <row r="1369" spans="10:81" x14ac:dyDescent="0.25">
      <c r="J1369" s="7"/>
      <c r="K1369" s="8"/>
      <c r="L1369" s="16"/>
      <c r="M1369" s="22"/>
      <c r="N1369" s="22"/>
      <c r="O1369" s="22"/>
      <c r="P1369" s="22"/>
      <c r="Q1369" s="1">
        <f t="shared" si="642"/>
        <v>0.60744618579017706</v>
      </c>
      <c r="R1369" s="12">
        <f t="shared" ca="1" si="659"/>
        <v>40172</v>
      </c>
      <c r="S1369" s="88">
        <f t="shared" si="668"/>
        <v>0</v>
      </c>
      <c r="T1369" s="19">
        <f t="shared" si="660"/>
        <v>0</v>
      </c>
      <c r="U1369" s="19">
        <f t="shared" si="661"/>
        <v>0</v>
      </c>
      <c r="V1369" s="19">
        <f t="shared" si="647"/>
        <v>0</v>
      </c>
      <c r="W1369" s="20">
        <f t="shared" ca="1" si="662"/>
        <v>0</v>
      </c>
      <c r="X1369" s="19">
        <f t="shared" ca="1" si="663"/>
        <v>0</v>
      </c>
      <c r="Y1369" s="19">
        <f t="shared" ca="1" si="664"/>
        <v>0</v>
      </c>
      <c r="Z1369" s="20">
        <f t="shared" ca="1" si="665"/>
        <v>0</v>
      </c>
      <c r="AA1369" s="1">
        <f t="shared" si="643"/>
        <v>5432.58</v>
      </c>
      <c r="AB1369" s="91"/>
      <c r="AC1369" s="92"/>
      <c r="AD1369" s="101">
        <f t="shared" si="644"/>
        <v>81294</v>
      </c>
      <c r="AE1369" s="103">
        <f t="shared" si="645"/>
        <v>0</v>
      </c>
      <c r="AG1369" s="1">
        <f t="shared" si="666"/>
        <v>0</v>
      </c>
      <c r="AH1369" s="1">
        <f t="shared" si="667"/>
        <v>0</v>
      </c>
      <c r="AI1369" s="1">
        <f t="shared" si="646"/>
        <v>5432.58</v>
      </c>
      <c r="AJ1369" s="20">
        <f t="shared" si="648"/>
        <v>0</v>
      </c>
      <c r="AK1369" s="100">
        <f t="shared" si="650"/>
        <v>0</v>
      </c>
      <c r="AL1369" s="100">
        <f t="shared" si="651"/>
        <v>0</v>
      </c>
      <c r="AN1369" s="100">
        <f t="shared" si="652"/>
        <v>2757.3522156073145</v>
      </c>
      <c r="AO1369" s="20">
        <f t="shared" si="653"/>
        <v>0</v>
      </c>
      <c r="AQ1369" s="109">
        <f t="shared" si="654"/>
        <v>0</v>
      </c>
      <c r="AU1369" s="109">
        <f t="shared" si="639"/>
        <v>24.058369745666209</v>
      </c>
      <c r="AV1369" s="101">
        <f t="shared" si="655"/>
        <v>81324</v>
      </c>
      <c r="AW1369" s="99">
        <f t="shared" si="656"/>
        <v>0</v>
      </c>
      <c r="AX1369" s="1">
        <f t="shared" si="657"/>
        <v>0</v>
      </c>
      <c r="AY1369" s="29">
        <f t="shared" si="658"/>
        <v>0</v>
      </c>
      <c r="AZ1369" s="1">
        <f t="shared" si="640"/>
        <v>0</v>
      </c>
      <c r="CB1369" s="20">
        <f t="shared" si="649"/>
        <v>0</v>
      </c>
      <c r="CC1369" s="173">
        <f t="shared" si="641"/>
        <v>0</v>
      </c>
    </row>
    <row r="1370" spans="10:81" x14ac:dyDescent="0.25">
      <c r="J1370" s="9"/>
      <c r="K1370" s="10"/>
      <c r="L1370" s="17"/>
      <c r="M1370" s="23"/>
      <c r="N1370" s="23"/>
      <c r="O1370" s="23"/>
      <c r="P1370" s="23"/>
      <c r="Q1370" s="1">
        <f t="shared" si="642"/>
        <v>0.60744618579017706</v>
      </c>
      <c r="R1370" s="12">
        <f t="shared" ca="1" si="659"/>
        <v>40202</v>
      </c>
      <c r="S1370" s="88">
        <f t="shared" si="668"/>
        <v>0</v>
      </c>
      <c r="T1370" s="19">
        <f t="shared" si="660"/>
        <v>0</v>
      </c>
      <c r="U1370" s="19">
        <f t="shared" si="661"/>
        <v>0</v>
      </c>
      <c r="V1370" s="19">
        <f t="shared" si="647"/>
        <v>0</v>
      </c>
      <c r="W1370" s="20">
        <f t="shared" ca="1" si="662"/>
        <v>0</v>
      </c>
      <c r="X1370" s="19">
        <f t="shared" ca="1" si="663"/>
        <v>0</v>
      </c>
      <c r="Y1370" s="19">
        <f t="shared" ca="1" si="664"/>
        <v>0</v>
      </c>
      <c r="Z1370" s="20">
        <f t="shared" ca="1" si="665"/>
        <v>0</v>
      </c>
      <c r="AA1370" s="1">
        <f t="shared" si="643"/>
        <v>5432.58</v>
      </c>
      <c r="AB1370" s="93"/>
      <c r="AC1370" s="94"/>
      <c r="AD1370" s="101">
        <f t="shared" si="644"/>
        <v>81324</v>
      </c>
      <c r="AE1370" s="103">
        <f t="shared" si="645"/>
        <v>0</v>
      </c>
      <c r="AG1370" s="1">
        <f t="shared" si="666"/>
        <v>0</v>
      </c>
      <c r="AH1370" s="1">
        <f t="shared" si="667"/>
        <v>0</v>
      </c>
      <c r="AI1370" s="1">
        <f t="shared" si="646"/>
        <v>5432.58</v>
      </c>
      <c r="AJ1370" s="20">
        <f t="shared" si="648"/>
        <v>0</v>
      </c>
      <c r="AK1370" s="100">
        <f t="shared" si="650"/>
        <v>0</v>
      </c>
      <c r="AL1370" s="100">
        <f t="shared" si="651"/>
        <v>0</v>
      </c>
      <c r="AN1370" s="100">
        <f t="shared" si="652"/>
        <v>2755.957135898645</v>
      </c>
      <c r="AO1370" s="20">
        <f t="shared" si="653"/>
        <v>0</v>
      </c>
      <c r="AQ1370" s="109">
        <f t="shared" si="654"/>
        <v>0</v>
      </c>
      <c r="AU1370" s="109">
        <f t="shared" si="639"/>
        <v>24.056258140784966</v>
      </c>
      <c r="AV1370" s="101">
        <f t="shared" si="655"/>
        <v>81354</v>
      </c>
      <c r="AW1370" s="99">
        <f t="shared" si="656"/>
        <v>0</v>
      </c>
      <c r="AX1370" s="1">
        <f t="shared" si="657"/>
        <v>0</v>
      </c>
      <c r="AY1370" s="29">
        <f t="shared" si="658"/>
        <v>0</v>
      </c>
      <c r="AZ1370" s="1">
        <f t="shared" si="640"/>
        <v>0</v>
      </c>
      <c r="CB1370" s="20">
        <f t="shared" si="649"/>
        <v>0</v>
      </c>
      <c r="CC1370" s="173">
        <f t="shared" si="641"/>
        <v>0</v>
      </c>
    </row>
    <row r="1371" spans="10:81" x14ac:dyDescent="0.25">
      <c r="J1371" s="7"/>
      <c r="K1371" s="8"/>
      <c r="L1371" s="16"/>
      <c r="M1371" s="22"/>
      <c r="N1371" s="22"/>
      <c r="O1371" s="22"/>
      <c r="P1371" s="22"/>
      <c r="Q1371" s="1">
        <f t="shared" si="642"/>
        <v>0.60744618579017706</v>
      </c>
      <c r="R1371" s="12">
        <f t="shared" ca="1" si="659"/>
        <v>40232</v>
      </c>
      <c r="S1371" s="88">
        <f t="shared" si="668"/>
        <v>0</v>
      </c>
      <c r="T1371" s="19">
        <f t="shared" si="660"/>
        <v>0</v>
      </c>
      <c r="U1371" s="19">
        <f t="shared" si="661"/>
        <v>0</v>
      </c>
      <c r="V1371" s="19">
        <f t="shared" si="647"/>
        <v>0</v>
      </c>
      <c r="W1371" s="20">
        <f t="shared" ca="1" si="662"/>
        <v>0</v>
      </c>
      <c r="X1371" s="19">
        <f t="shared" ca="1" si="663"/>
        <v>0</v>
      </c>
      <c r="Y1371" s="19">
        <f t="shared" ca="1" si="664"/>
        <v>0</v>
      </c>
      <c r="Z1371" s="20">
        <f t="shared" ca="1" si="665"/>
        <v>0</v>
      </c>
      <c r="AA1371" s="1">
        <f t="shared" si="643"/>
        <v>5432.58</v>
      </c>
      <c r="AB1371" s="91"/>
      <c r="AC1371" s="92"/>
      <c r="AD1371" s="101">
        <f t="shared" si="644"/>
        <v>81354</v>
      </c>
      <c r="AE1371" s="103">
        <f t="shared" si="645"/>
        <v>0</v>
      </c>
      <c r="AG1371" s="1">
        <f t="shared" si="666"/>
        <v>0</v>
      </c>
      <c r="AH1371" s="1">
        <f t="shared" si="667"/>
        <v>0</v>
      </c>
      <c r="AI1371" s="1">
        <f t="shared" si="646"/>
        <v>5432.58</v>
      </c>
      <c r="AJ1371" s="20">
        <f t="shared" si="648"/>
        <v>0</v>
      </c>
      <c r="AK1371" s="100">
        <f t="shared" si="650"/>
        <v>0</v>
      </c>
      <c r="AL1371" s="100">
        <f t="shared" si="651"/>
        <v>0</v>
      </c>
      <c r="AN1371" s="100">
        <f t="shared" si="652"/>
        <v>2754.5627620292162</v>
      </c>
      <c r="AO1371" s="20">
        <f t="shared" si="653"/>
        <v>0</v>
      </c>
      <c r="AQ1371" s="109">
        <f t="shared" si="654"/>
        <v>0</v>
      </c>
      <c r="AU1371" s="109">
        <f t="shared" si="639"/>
        <v>24.05414672123943</v>
      </c>
      <c r="AV1371" s="101">
        <f t="shared" si="655"/>
        <v>81384</v>
      </c>
      <c r="AW1371" s="99">
        <f t="shared" si="656"/>
        <v>0</v>
      </c>
      <c r="AX1371" s="1">
        <f t="shared" si="657"/>
        <v>0</v>
      </c>
      <c r="AY1371" s="29">
        <f t="shared" si="658"/>
        <v>0</v>
      </c>
      <c r="AZ1371" s="1">
        <f t="shared" si="640"/>
        <v>0</v>
      </c>
      <c r="CB1371" s="20">
        <f t="shared" si="649"/>
        <v>0</v>
      </c>
      <c r="CC1371" s="173">
        <f t="shared" si="641"/>
        <v>0</v>
      </c>
    </row>
    <row r="1372" spans="10:81" x14ac:dyDescent="0.25">
      <c r="J1372" s="9"/>
      <c r="K1372" s="10"/>
      <c r="L1372" s="17"/>
      <c r="M1372" s="23"/>
      <c r="N1372" s="23"/>
      <c r="O1372" s="23"/>
      <c r="P1372" s="23"/>
      <c r="Q1372" s="1">
        <f t="shared" si="642"/>
        <v>0.60744618579017706</v>
      </c>
      <c r="R1372" s="12">
        <f t="shared" ca="1" si="659"/>
        <v>40262</v>
      </c>
      <c r="S1372" s="88">
        <f t="shared" si="668"/>
        <v>0</v>
      </c>
      <c r="T1372" s="19">
        <f t="shared" si="660"/>
        <v>0</v>
      </c>
      <c r="U1372" s="19">
        <f t="shared" si="661"/>
        <v>0</v>
      </c>
      <c r="V1372" s="19">
        <f t="shared" si="647"/>
        <v>0</v>
      </c>
      <c r="W1372" s="20">
        <f t="shared" ca="1" si="662"/>
        <v>0</v>
      </c>
      <c r="X1372" s="19">
        <f t="shared" ca="1" si="663"/>
        <v>0</v>
      </c>
      <c r="Y1372" s="19">
        <f t="shared" ca="1" si="664"/>
        <v>0</v>
      </c>
      <c r="Z1372" s="20">
        <f t="shared" ca="1" si="665"/>
        <v>0</v>
      </c>
      <c r="AA1372" s="1">
        <f t="shared" si="643"/>
        <v>5432.58</v>
      </c>
      <c r="AB1372" s="93"/>
      <c r="AC1372" s="94"/>
      <c r="AD1372" s="101">
        <f t="shared" si="644"/>
        <v>81384</v>
      </c>
      <c r="AE1372" s="103">
        <f t="shared" si="645"/>
        <v>0</v>
      </c>
      <c r="AG1372" s="1">
        <f t="shared" si="666"/>
        <v>0</v>
      </c>
      <c r="AH1372" s="1">
        <f t="shared" si="667"/>
        <v>0</v>
      </c>
      <c r="AI1372" s="1">
        <f t="shared" si="646"/>
        <v>5432.58</v>
      </c>
      <c r="AJ1372" s="20">
        <f t="shared" si="648"/>
        <v>0</v>
      </c>
      <c r="AK1372" s="100">
        <f t="shared" si="650"/>
        <v>0</v>
      </c>
      <c r="AL1372" s="100">
        <f t="shared" si="651"/>
        <v>0</v>
      </c>
      <c r="AN1372" s="100">
        <f t="shared" si="652"/>
        <v>2753.1690936419091</v>
      </c>
      <c r="AO1372" s="20">
        <f t="shared" si="653"/>
        <v>0</v>
      </c>
      <c r="AQ1372" s="109">
        <f t="shared" si="654"/>
        <v>0</v>
      </c>
      <c r="AU1372" s="109">
        <f t="shared" si="639"/>
        <v>24.052035487013359</v>
      </c>
      <c r="AV1372" s="101">
        <f t="shared" si="655"/>
        <v>81414</v>
      </c>
      <c r="AW1372" s="99">
        <f t="shared" si="656"/>
        <v>0</v>
      </c>
      <c r="AX1372" s="1">
        <f t="shared" si="657"/>
        <v>0</v>
      </c>
      <c r="AY1372" s="29">
        <f t="shared" si="658"/>
        <v>0</v>
      </c>
      <c r="AZ1372" s="1">
        <f t="shared" si="640"/>
        <v>0</v>
      </c>
      <c r="CB1372" s="20">
        <f t="shared" si="649"/>
        <v>0</v>
      </c>
      <c r="CC1372" s="173">
        <f t="shared" si="641"/>
        <v>0</v>
      </c>
    </row>
    <row r="1373" spans="10:81" x14ac:dyDescent="0.25">
      <c r="J1373" s="7"/>
      <c r="K1373" s="8"/>
      <c r="L1373" s="16"/>
      <c r="M1373" s="22"/>
      <c r="N1373" s="22"/>
      <c r="O1373" s="22"/>
      <c r="P1373" s="22"/>
      <c r="Q1373" s="1">
        <f t="shared" si="642"/>
        <v>0.60744618579017706</v>
      </c>
      <c r="R1373" s="12">
        <f t="shared" ca="1" si="659"/>
        <v>40292</v>
      </c>
      <c r="S1373" s="88">
        <f t="shared" si="668"/>
        <v>0</v>
      </c>
      <c r="T1373" s="19">
        <f t="shared" si="660"/>
        <v>0</v>
      </c>
      <c r="U1373" s="19">
        <f t="shared" si="661"/>
        <v>0</v>
      </c>
      <c r="V1373" s="19">
        <f t="shared" si="647"/>
        <v>0</v>
      </c>
      <c r="W1373" s="20">
        <f t="shared" ca="1" si="662"/>
        <v>0</v>
      </c>
      <c r="X1373" s="19">
        <f t="shared" ca="1" si="663"/>
        <v>0</v>
      </c>
      <c r="Y1373" s="19">
        <f t="shared" ca="1" si="664"/>
        <v>0</v>
      </c>
      <c r="Z1373" s="20">
        <f t="shared" ca="1" si="665"/>
        <v>0</v>
      </c>
      <c r="AA1373" s="1">
        <f t="shared" si="643"/>
        <v>5432.58</v>
      </c>
      <c r="AB1373" s="91"/>
      <c r="AC1373" s="92"/>
      <c r="AD1373" s="101">
        <f t="shared" si="644"/>
        <v>81414</v>
      </c>
      <c r="AE1373" s="103">
        <f t="shared" si="645"/>
        <v>0</v>
      </c>
      <c r="AG1373" s="1">
        <f t="shared" si="666"/>
        <v>0</v>
      </c>
      <c r="AH1373" s="1">
        <f t="shared" si="667"/>
        <v>0</v>
      </c>
      <c r="AI1373" s="1">
        <f t="shared" si="646"/>
        <v>5432.58</v>
      </c>
      <c r="AJ1373" s="20">
        <f t="shared" si="648"/>
        <v>0</v>
      </c>
      <c r="AK1373" s="100">
        <f t="shared" si="650"/>
        <v>0</v>
      </c>
      <c r="AL1373" s="100">
        <f t="shared" si="651"/>
        <v>0</v>
      </c>
      <c r="AN1373" s="100">
        <f t="shared" si="652"/>
        <v>2751.7761303797861</v>
      </c>
      <c r="AO1373" s="20">
        <f t="shared" si="653"/>
        <v>0</v>
      </c>
      <c r="AQ1373" s="109">
        <f t="shared" si="654"/>
        <v>0</v>
      </c>
      <c r="AU1373" s="109">
        <f t="shared" si="639"/>
        <v>24.049924438090468</v>
      </c>
      <c r="AV1373" s="101">
        <f t="shared" si="655"/>
        <v>81444</v>
      </c>
      <c r="AW1373" s="99">
        <f t="shared" si="656"/>
        <v>0</v>
      </c>
      <c r="AX1373" s="1">
        <f t="shared" si="657"/>
        <v>0</v>
      </c>
      <c r="AY1373" s="29">
        <f t="shared" si="658"/>
        <v>0</v>
      </c>
      <c r="AZ1373" s="1">
        <f t="shared" si="640"/>
        <v>0</v>
      </c>
      <c r="CB1373" s="20">
        <f t="shared" si="649"/>
        <v>0</v>
      </c>
      <c r="CC1373" s="173">
        <f t="shared" si="641"/>
        <v>0</v>
      </c>
    </row>
    <row r="1374" spans="10:81" x14ac:dyDescent="0.25">
      <c r="J1374" s="9"/>
      <c r="K1374" s="10"/>
      <c r="L1374" s="17"/>
      <c r="M1374" s="23"/>
      <c r="N1374" s="23"/>
      <c r="O1374" s="23"/>
      <c r="P1374" s="23"/>
      <c r="Q1374" s="1">
        <f t="shared" si="642"/>
        <v>0.60744618579017706</v>
      </c>
      <c r="R1374" s="12">
        <f t="shared" ca="1" si="659"/>
        <v>40322</v>
      </c>
      <c r="S1374" s="88">
        <f t="shared" si="668"/>
        <v>0</v>
      </c>
      <c r="T1374" s="19">
        <f t="shared" si="660"/>
        <v>0</v>
      </c>
      <c r="U1374" s="19">
        <f t="shared" si="661"/>
        <v>0</v>
      </c>
      <c r="V1374" s="19">
        <f t="shared" si="647"/>
        <v>0</v>
      </c>
      <c r="W1374" s="20">
        <f t="shared" ca="1" si="662"/>
        <v>0</v>
      </c>
      <c r="X1374" s="19">
        <f t="shared" ca="1" si="663"/>
        <v>0</v>
      </c>
      <c r="Y1374" s="19">
        <f t="shared" ca="1" si="664"/>
        <v>0</v>
      </c>
      <c r="Z1374" s="20">
        <f t="shared" ca="1" si="665"/>
        <v>0</v>
      </c>
      <c r="AA1374" s="1">
        <f t="shared" si="643"/>
        <v>5432.58</v>
      </c>
      <c r="AB1374" s="93"/>
      <c r="AC1374" s="94"/>
      <c r="AD1374" s="101">
        <f t="shared" si="644"/>
        <v>81444</v>
      </c>
      <c r="AE1374" s="103">
        <f t="shared" si="645"/>
        <v>0</v>
      </c>
      <c r="AG1374" s="1">
        <f t="shared" si="666"/>
        <v>0</v>
      </c>
      <c r="AH1374" s="1">
        <f t="shared" si="667"/>
        <v>0</v>
      </c>
      <c r="AI1374" s="1">
        <f t="shared" si="646"/>
        <v>5432.58</v>
      </c>
      <c r="AJ1374" s="20">
        <f t="shared" si="648"/>
        <v>0</v>
      </c>
      <c r="AK1374" s="100">
        <f t="shared" si="650"/>
        <v>0</v>
      </c>
      <c r="AL1374" s="100">
        <f t="shared" si="651"/>
        <v>0</v>
      </c>
      <c r="AN1374" s="100">
        <f t="shared" si="652"/>
        <v>2750.3838718860893</v>
      </c>
      <c r="AO1374" s="20">
        <f t="shared" si="653"/>
        <v>0</v>
      </c>
      <c r="AQ1374" s="109">
        <f t="shared" si="654"/>
        <v>0</v>
      </c>
      <c r="AU1374" s="109">
        <f t="shared" si="639"/>
        <v>24.047813574454487</v>
      </c>
      <c r="AV1374" s="101">
        <f t="shared" si="655"/>
        <v>81474</v>
      </c>
      <c r="AW1374" s="99">
        <f t="shared" si="656"/>
        <v>0</v>
      </c>
      <c r="AX1374" s="1">
        <f t="shared" si="657"/>
        <v>0</v>
      </c>
      <c r="AY1374" s="29">
        <f t="shared" si="658"/>
        <v>0</v>
      </c>
      <c r="AZ1374" s="1">
        <f t="shared" si="640"/>
        <v>0</v>
      </c>
      <c r="CB1374" s="20">
        <f t="shared" si="649"/>
        <v>0</v>
      </c>
      <c r="CC1374" s="173">
        <f t="shared" si="641"/>
        <v>0</v>
      </c>
    </row>
    <row r="1375" spans="10:81" x14ac:dyDescent="0.25">
      <c r="J1375" s="7"/>
      <c r="K1375" s="8"/>
      <c r="L1375" s="16"/>
      <c r="M1375" s="22"/>
      <c r="N1375" s="22"/>
      <c r="O1375" s="22"/>
      <c r="P1375" s="22"/>
      <c r="Q1375" s="1">
        <f t="shared" si="642"/>
        <v>0.60744618579017706</v>
      </c>
      <c r="R1375" s="12">
        <f t="shared" ca="1" si="659"/>
        <v>40352</v>
      </c>
      <c r="S1375" s="88">
        <f t="shared" si="668"/>
        <v>0</v>
      </c>
      <c r="T1375" s="19">
        <f t="shared" si="660"/>
        <v>0</v>
      </c>
      <c r="U1375" s="19">
        <f t="shared" si="661"/>
        <v>0</v>
      </c>
      <c r="V1375" s="19">
        <f t="shared" si="647"/>
        <v>0</v>
      </c>
      <c r="W1375" s="20">
        <f t="shared" ca="1" si="662"/>
        <v>0</v>
      </c>
      <c r="X1375" s="19">
        <f t="shared" ca="1" si="663"/>
        <v>0</v>
      </c>
      <c r="Y1375" s="19">
        <f t="shared" ca="1" si="664"/>
        <v>0</v>
      </c>
      <c r="Z1375" s="20">
        <f t="shared" ca="1" si="665"/>
        <v>0</v>
      </c>
      <c r="AA1375" s="1">
        <f t="shared" si="643"/>
        <v>5432.58</v>
      </c>
      <c r="AB1375" s="91"/>
      <c r="AC1375" s="92"/>
      <c r="AD1375" s="101">
        <f t="shared" si="644"/>
        <v>81474</v>
      </c>
      <c r="AE1375" s="103">
        <f t="shared" si="645"/>
        <v>0</v>
      </c>
      <c r="AG1375" s="1">
        <f t="shared" si="666"/>
        <v>0</v>
      </c>
      <c r="AH1375" s="1">
        <f t="shared" si="667"/>
        <v>0</v>
      </c>
      <c r="AI1375" s="1">
        <f t="shared" si="646"/>
        <v>5432.58</v>
      </c>
      <c r="AJ1375" s="20">
        <f t="shared" si="648"/>
        <v>0</v>
      </c>
      <c r="AK1375" s="100">
        <f t="shared" si="650"/>
        <v>0</v>
      </c>
      <c r="AL1375" s="100">
        <f t="shared" si="651"/>
        <v>0</v>
      </c>
      <c r="AN1375" s="100">
        <f t="shared" si="652"/>
        <v>2748.9923178042418</v>
      </c>
      <c r="AO1375" s="20">
        <f t="shared" si="653"/>
        <v>0</v>
      </c>
      <c r="AQ1375" s="109">
        <f t="shared" si="654"/>
        <v>0</v>
      </c>
      <c r="AU1375" s="109">
        <f t="shared" ref="AU1375:AU1438" si="669">(($AT$27/(1+((1+$AM$27)^(ROW()-29)*30)-1))/292)*0.32</f>
        <v>24.045702896089164</v>
      </c>
      <c r="AV1375" s="101">
        <f t="shared" si="655"/>
        <v>81504</v>
      </c>
      <c r="AW1375" s="99">
        <f t="shared" si="656"/>
        <v>0</v>
      </c>
      <c r="AX1375" s="1">
        <f t="shared" si="657"/>
        <v>0</v>
      </c>
      <c r="AY1375" s="29">
        <f t="shared" si="658"/>
        <v>0</v>
      </c>
      <c r="AZ1375" s="1">
        <f t="shared" ref="AZ1375:AZ1438" si="670">AY1375/360</f>
        <v>0</v>
      </c>
      <c r="CB1375" s="20">
        <f t="shared" si="649"/>
        <v>0</v>
      </c>
      <c r="CC1375" s="173">
        <f t="shared" ref="CC1375:CC1438" si="671">AJ1375+U1375+T1375</f>
        <v>0</v>
      </c>
    </row>
    <row r="1376" spans="10:81" x14ac:dyDescent="0.25">
      <c r="J1376" s="9"/>
      <c r="K1376" s="10"/>
      <c r="L1376" s="17"/>
      <c r="M1376" s="23"/>
      <c r="N1376" s="23"/>
      <c r="O1376" s="23"/>
      <c r="P1376" s="23"/>
      <c r="Q1376" s="1">
        <f t="shared" ref="Q1376:Q1439" si="672">IF(M1376=0,Q1375,(M1376*1200)/O1375)</f>
        <v>0.60744618579017706</v>
      </c>
      <c r="R1376" s="12">
        <f t="shared" ca="1" si="659"/>
        <v>40382</v>
      </c>
      <c r="S1376" s="88">
        <f t="shared" si="668"/>
        <v>0</v>
      </c>
      <c r="T1376" s="19">
        <f t="shared" si="660"/>
        <v>0</v>
      </c>
      <c r="U1376" s="19">
        <f t="shared" si="661"/>
        <v>0</v>
      </c>
      <c r="V1376" s="19">
        <f t="shared" si="647"/>
        <v>0</v>
      </c>
      <c r="W1376" s="20">
        <f t="shared" ca="1" si="662"/>
        <v>0</v>
      </c>
      <c r="X1376" s="19">
        <f t="shared" ca="1" si="663"/>
        <v>0</v>
      </c>
      <c r="Y1376" s="19">
        <f t="shared" ca="1" si="664"/>
        <v>0</v>
      </c>
      <c r="Z1376" s="20">
        <f t="shared" ca="1" si="665"/>
        <v>0</v>
      </c>
      <c r="AA1376" s="1">
        <f t="shared" ref="AA1376:AA1439" si="673">IF(S1376=0,AA1375,N1376)</f>
        <v>5432.58</v>
      </c>
      <c r="AB1376" s="93"/>
      <c r="AC1376" s="94"/>
      <c r="AD1376" s="101">
        <f t="shared" ref="AD1376:AD1439" si="674">IF(M1376=0,AD1375+30,K1376)</f>
        <v>81504</v>
      </c>
      <c r="AE1376" s="103">
        <f t="shared" ref="AE1376:AE1439" si="675">IF(V1376=0,0,R1376)</f>
        <v>0</v>
      </c>
      <c r="AG1376" s="1">
        <f t="shared" si="666"/>
        <v>0</v>
      </c>
      <c r="AH1376" s="1">
        <f t="shared" si="667"/>
        <v>0</v>
      </c>
      <c r="AI1376" s="1">
        <f t="shared" ref="AI1376:AI1439" si="676">IF(M1376-1=0,IF(M1376=0,IF(V1376=0,N1376,AI1375),AA1376),AA1376)</f>
        <v>5432.58</v>
      </c>
      <c r="AJ1376" s="20">
        <f t="shared" si="648"/>
        <v>0</v>
      </c>
      <c r="AK1376" s="100">
        <f t="shared" si="650"/>
        <v>0</v>
      </c>
      <c r="AL1376" s="100">
        <f t="shared" si="651"/>
        <v>0</v>
      </c>
      <c r="AN1376" s="100">
        <f t="shared" si="652"/>
        <v>2747.6014677778467</v>
      </c>
      <c r="AO1376" s="20">
        <f t="shared" si="653"/>
        <v>0</v>
      </c>
      <c r="AQ1376" s="109">
        <f t="shared" si="654"/>
        <v>0</v>
      </c>
      <c r="AU1376" s="109">
        <f t="shared" si="669"/>
        <v>24.043592402978238</v>
      </c>
      <c r="AV1376" s="101">
        <f t="shared" si="655"/>
        <v>81534</v>
      </c>
      <c r="AW1376" s="99">
        <f t="shared" si="656"/>
        <v>0</v>
      </c>
      <c r="AX1376" s="1">
        <f t="shared" si="657"/>
        <v>0</v>
      </c>
      <c r="AY1376" s="29">
        <f t="shared" si="658"/>
        <v>0</v>
      </c>
      <c r="AZ1376" s="1">
        <f t="shared" si="670"/>
        <v>0</v>
      </c>
      <c r="CB1376" s="20">
        <f t="shared" si="649"/>
        <v>0</v>
      </c>
      <c r="CC1376" s="173">
        <f t="shared" si="671"/>
        <v>0</v>
      </c>
    </row>
    <row r="1377" spans="10:81" x14ac:dyDescent="0.25">
      <c r="J1377" s="7"/>
      <c r="K1377" s="8"/>
      <c r="L1377" s="16"/>
      <c r="M1377" s="22"/>
      <c r="N1377" s="22"/>
      <c r="O1377" s="22"/>
      <c r="P1377" s="22"/>
      <c r="Q1377" s="1">
        <f t="shared" si="672"/>
        <v>0.60744618579017706</v>
      </c>
      <c r="R1377" s="12">
        <f t="shared" ca="1" si="659"/>
        <v>40412</v>
      </c>
      <c r="S1377" s="88">
        <f t="shared" si="668"/>
        <v>0</v>
      </c>
      <c r="T1377" s="19">
        <f t="shared" si="660"/>
        <v>0</v>
      </c>
      <c r="U1377" s="19">
        <f t="shared" si="661"/>
        <v>0</v>
      </c>
      <c r="V1377" s="19">
        <f t="shared" si="647"/>
        <v>0</v>
      </c>
      <c r="W1377" s="20">
        <f t="shared" ca="1" si="662"/>
        <v>0</v>
      </c>
      <c r="X1377" s="19">
        <f t="shared" ca="1" si="663"/>
        <v>0</v>
      </c>
      <c r="Y1377" s="19">
        <f t="shared" ca="1" si="664"/>
        <v>0</v>
      </c>
      <c r="Z1377" s="20">
        <f t="shared" ca="1" si="665"/>
        <v>0</v>
      </c>
      <c r="AA1377" s="1">
        <f t="shared" si="673"/>
        <v>5432.58</v>
      </c>
      <c r="AB1377" s="91"/>
      <c r="AC1377" s="92"/>
      <c r="AD1377" s="101">
        <f t="shared" si="674"/>
        <v>81534</v>
      </c>
      <c r="AE1377" s="103">
        <f t="shared" si="675"/>
        <v>0</v>
      </c>
      <c r="AG1377" s="1">
        <f t="shared" si="666"/>
        <v>0</v>
      </c>
      <c r="AH1377" s="1">
        <f t="shared" si="667"/>
        <v>0</v>
      </c>
      <c r="AI1377" s="1">
        <f t="shared" si="676"/>
        <v>5432.58</v>
      </c>
      <c r="AJ1377" s="20">
        <f t="shared" si="648"/>
        <v>0</v>
      </c>
      <c r="AK1377" s="100">
        <f t="shared" si="650"/>
        <v>0</v>
      </c>
      <c r="AL1377" s="100">
        <f t="shared" si="651"/>
        <v>0</v>
      </c>
      <c r="AN1377" s="100">
        <f t="shared" si="652"/>
        <v>2746.2113214506894</v>
      </c>
      <c r="AO1377" s="20">
        <f t="shared" si="653"/>
        <v>0</v>
      </c>
      <c r="AQ1377" s="109">
        <f t="shared" si="654"/>
        <v>0</v>
      </c>
      <c r="AU1377" s="109">
        <f t="shared" si="669"/>
        <v>24.041482095105454</v>
      </c>
      <c r="AV1377" s="101">
        <f t="shared" si="655"/>
        <v>81564</v>
      </c>
      <c r="AW1377" s="99">
        <f t="shared" si="656"/>
        <v>0</v>
      </c>
      <c r="AX1377" s="1">
        <f t="shared" si="657"/>
        <v>0</v>
      </c>
      <c r="AY1377" s="29">
        <f t="shared" si="658"/>
        <v>0</v>
      </c>
      <c r="AZ1377" s="1">
        <f t="shared" si="670"/>
        <v>0</v>
      </c>
      <c r="CB1377" s="20">
        <f t="shared" si="649"/>
        <v>0</v>
      </c>
      <c r="CC1377" s="173">
        <f t="shared" si="671"/>
        <v>0</v>
      </c>
    </row>
    <row r="1378" spans="10:81" x14ac:dyDescent="0.25">
      <c r="J1378" s="9"/>
      <c r="K1378" s="10"/>
      <c r="L1378" s="17"/>
      <c r="M1378" s="23"/>
      <c r="N1378" s="23"/>
      <c r="O1378" s="23"/>
      <c r="P1378" s="23"/>
      <c r="Q1378" s="1">
        <f t="shared" si="672"/>
        <v>0.60744618579017706</v>
      </c>
      <c r="R1378" s="12">
        <f t="shared" ca="1" si="659"/>
        <v>40442</v>
      </c>
      <c r="S1378" s="88">
        <f t="shared" si="668"/>
        <v>0</v>
      </c>
      <c r="T1378" s="19">
        <f t="shared" si="660"/>
        <v>0</v>
      </c>
      <c r="U1378" s="19">
        <f t="shared" si="661"/>
        <v>0</v>
      </c>
      <c r="V1378" s="19">
        <f t="shared" ref="V1378:V1441" si="677">IF(ISERROR(IF(V1377+U1378+T1378+(V1377*Q1378/1200)-AA1378-P1378&lt;0,0,V1377+U1378+T1378-AA1378-P1378)),0,IF(V1377+U1378+T1378+(V1377*Q1378/1200)-AA1378-CB1378&lt;0,0,V1377+U1378+T1378-AA1378-CB1378))</f>
        <v>0</v>
      </c>
      <c r="W1378" s="20">
        <f t="shared" ca="1" si="662"/>
        <v>0</v>
      </c>
      <c r="X1378" s="19">
        <f t="shared" ca="1" si="663"/>
        <v>0</v>
      </c>
      <c r="Y1378" s="19">
        <f t="shared" ca="1" si="664"/>
        <v>0</v>
      </c>
      <c r="Z1378" s="20">
        <f t="shared" ca="1" si="665"/>
        <v>0</v>
      </c>
      <c r="AA1378" s="1">
        <f t="shared" si="673"/>
        <v>5432.58</v>
      </c>
      <c r="AB1378" s="93"/>
      <c r="AC1378" s="94"/>
      <c r="AD1378" s="101">
        <f t="shared" si="674"/>
        <v>81564</v>
      </c>
      <c r="AE1378" s="103">
        <f t="shared" si="675"/>
        <v>0</v>
      </c>
      <c r="AG1378" s="1">
        <f t="shared" si="666"/>
        <v>0</v>
      </c>
      <c r="AH1378" s="1">
        <f t="shared" si="667"/>
        <v>0</v>
      </c>
      <c r="AI1378" s="1">
        <f t="shared" si="676"/>
        <v>5432.58</v>
      </c>
      <c r="AJ1378" s="20">
        <f t="shared" si="648"/>
        <v>0</v>
      </c>
      <c r="AK1378" s="100">
        <f t="shared" si="650"/>
        <v>0</v>
      </c>
      <c r="AL1378" s="100">
        <f t="shared" si="651"/>
        <v>0</v>
      </c>
      <c r="AN1378" s="100">
        <f t="shared" si="652"/>
        <v>2744.8218784667324</v>
      </c>
      <c r="AO1378" s="20">
        <f t="shared" si="653"/>
        <v>0</v>
      </c>
      <c r="AQ1378" s="109">
        <f t="shared" si="654"/>
        <v>0</v>
      </c>
      <c r="AU1378" s="109">
        <f t="shared" si="669"/>
        <v>24.039371972454539</v>
      </c>
      <c r="AV1378" s="101">
        <f t="shared" si="655"/>
        <v>81594</v>
      </c>
      <c r="AW1378" s="99">
        <f t="shared" si="656"/>
        <v>0</v>
      </c>
      <c r="AX1378" s="1">
        <f t="shared" si="657"/>
        <v>0</v>
      </c>
      <c r="AY1378" s="29">
        <f t="shared" si="658"/>
        <v>0</v>
      </c>
      <c r="AZ1378" s="1">
        <f t="shared" si="670"/>
        <v>0</v>
      </c>
      <c r="CB1378" s="20">
        <f t="shared" si="649"/>
        <v>0</v>
      </c>
      <c r="CC1378" s="173">
        <f t="shared" si="671"/>
        <v>0</v>
      </c>
    </row>
    <row r="1379" spans="10:81" x14ac:dyDescent="0.25">
      <c r="J1379" s="7"/>
      <c r="K1379" s="8"/>
      <c r="L1379" s="16"/>
      <c r="M1379" s="22"/>
      <c r="N1379" s="22"/>
      <c r="O1379" s="22"/>
      <c r="P1379" s="22"/>
      <c r="Q1379" s="1">
        <f t="shared" si="672"/>
        <v>0.60744618579017706</v>
      </c>
      <c r="R1379" s="12">
        <f t="shared" ca="1" si="659"/>
        <v>40472</v>
      </c>
      <c r="S1379" s="88">
        <f t="shared" si="668"/>
        <v>0</v>
      </c>
      <c r="T1379" s="19">
        <f t="shared" si="660"/>
        <v>0</v>
      </c>
      <c r="U1379" s="19">
        <f t="shared" si="661"/>
        <v>0</v>
      </c>
      <c r="V1379" s="19">
        <f t="shared" si="677"/>
        <v>0</v>
      </c>
      <c r="W1379" s="20">
        <f t="shared" ca="1" si="662"/>
        <v>0</v>
      </c>
      <c r="X1379" s="19">
        <f t="shared" ca="1" si="663"/>
        <v>0</v>
      </c>
      <c r="Y1379" s="19">
        <f t="shared" ca="1" si="664"/>
        <v>0</v>
      </c>
      <c r="Z1379" s="20">
        <f t="shared" ca="1" si="665"/>
        <v>0</v>
      </c>
      <c r="AA1379" s="1">
        <f t="shared" si="673"/>
        <v>5432.58</v>
      </c>
      <c r="AB1379" s="91"/>
      <c r="AC1379" s="92"/>
      <c r="AD1379" s="101">
        <f t="shared" si="674"/>
        <v>81594</v>
      </c>
      <c r="AE1379" s="103">
        <f t="shared" si="675"/>
        <v>0</v>
      </c>
      <c r="AG1379" s="1">
        <f t="shared" si="666"/>
        <v>0</v>
      </c>
      <c r="AH1379" s="1">
        <f t="shared" si="667"/>
        <v>0</v>
      </c>
      <c r="AI1379" s="1">
        <f t="shared" si="676"/>
        <v>5432.58</v>
      </c>
      <c r="AJ1379" s="20">
        <f t="shared" si="648"/>
        <v>0</v>
      </c>
      <c r="AK1379" s="100">
        <f t="shared" si="650"/>
        <v>0</v>
      </c>
      <c r="AL1379" s="100">
        <f t="shared" si="651"/>
        <v>0</v>
      </c>
      <c r="AN1379" s="100">
        <f t="shared" si="652"/>
        <v>2743.43313847012</v>
      </c>
      <c r="AO1379" s="20">
        <f t="shared" si="653"/>
        <v>0</v>
      </c>
      <c r="AQ1379" s="109">
        <f t="shared" si="654"/>
        <v>0</v>
      </c>
      <c r="AU1379" s="109">
        <f t="shared" si="669"/>
        <v>24.037262035009249</v>
      </c>
      <c r="AV1379" s="101">
        <f t="shared" si="655"/>
        <v>81624</v>
      </c>
      <c r="AW1379" s="99">
        <f t="shared" si="656"/>
        <v>0</v>
      </c>
      <c r="AX1379" s="1">
        <f t="shared" si="657"/>
        <v>0</v>
      </c>
      <c r="AY1379" s="29">
        <f t="shared" si="658"/>
        <v>0</v>
      </c>
      <c r="AZ1379" s="1">
        <f t="shared" si="670"/>
        <v>0</v>
      </c>
      <c r="CB1379" s="20">
        <f t="shared" si="649"/>
        <v>0</v>
      </c>
      <c r="CC1379" s="173">
        <f t="shared" si="671"/>
        <v>0</v>
      </c>
    </row>
    <row r="1380" spans="10:81" x14ac:dyDescent="0.25">
      <c r="J1380" s="9"/>
      <c r="K1380" s="10"/>
      <c r="L1380" s="17"/>
      <c r="M1380" s="23"/>
      <c r="N1380" s="23"/>
      <c r="O1380" s="23"/>
      <c r="P1380" s="23"/>
      <c r="Q1380" s="1">
        <f t="shared" si="672"/>
        <v>0.60744618579017706</v>
      </c>
      <c r="R1380" s="12">
        <f t="shared" ca="1" si="659"/>
        <v>40502</v>
      </c>
      <c r="S1380" s="88">
        <f t="shared" si="668"/>
        <v>0</v>
      </c>
      <c r="T1380" s="19">
        <f t="shared" si="660"/>
        <v>0</v>
      </c>
      <c r="U1380" s="19">
        <f t="shared" si="661"/>
        <v>0</v>
      </c>
      <c r="V1380" s="19">
        <f t="shared" si="677"/>
        <v>0</v>
      </c>
      <c r="W1380" s="20">
        <f t="shared" ca="1" si="662"/>
        <v>0</v>
      </c>
      <c r="X1380" s="19">
        <f t="shared" ca="1" si="663"/>
        <v>0</v>
      </c>
      <c r="Y1380" s="19">
        <f t="shared" ca="1" si="664"/>
        <v>0</v>
      </c>
      <c r="Z1380" s="20">
        <f t="shared" ca="1" si="665"/>
        <v>0</v>
      </c>
      <c r="AA1380" s="1">
        <f t="shared" si="673"/>
        <v>5432.58</v>
      </c>
      <c r="AB1380" s="93"/>
      <c r="AC1380" s="94"/>
      <c r="AD1380" s="101">
        <f t="shared" si="674"/>
        <v>81624</v>
      </c>
      <c r="AE1380" s="103">
        <f t="shared" si="675"/>
        <v>0</v>
      </c>
      <c r="AG1380" s="1">
        <f t="shared" si="666"/>
        <v>0</v>
      </c>
      <c r="AH1380" s="1">
        <f t="shared" si="667"/>
        <v>0</v>
      </c>
      <c r="AI1380" s="1">
        <f t="shared" si="676"/>
        <v>5432.58</v>
      </c>
      <c r="AJ1380" s="20">
        <f t="shared" si="648"/>
        <v>0</v>
      </c>
      <c r="AK1380" s="100">
        <f t="shared" si="650"/>
        <v>0</v>
      </c>
      <c r="AL1380" s="100">
        <f t="shared" si="651"/>
        <v>0</v>
      </c>
      <c r="AN1380" s="100">
        <f t="shared" si="652"/>
        <v>2742.0451011051773</v>
      </c>
      <c r="AO1380" s="20">
        <f t="shared" si="653"/>
        <v>0</v>
      </c>
      <c r="AQ1380" s="109">
        <f t="shared" si="654"/>
        <v>0</v>
      </c>
      <c r="AU1380" s="109">
        <f t="shared" si="669"/>
        <v>24.035152282753327</v>
      </c>
      <c r="AV1380" s="101">
        <f t="shared" si="655"/>
        <v>81654</v>
      </c>
      <c r="AW1380" s="99">
        <f t="shared" si="656"/>
        <v>0</v>
      </c>
      <c r="AX1380" s="1">
        <f t="shared" si="657"/>
        <v>0</v>
      </c>
      <c r="AY1380" s="29">
        <f t="shared" si="658"/>
        <v>0</v>
      </c>
      <c r="AZ1380" s="1">
        <f t="shared" si="670"/>
        <v>0</v>
      </c>
      <c r="CB1380" s="20">
        <f t="shared" si="649"/>
        <v>0</v>
      </c>
      <c r="CC1380" s="173">
        <f t="shared" si="671"/>
        <v>0</v>
      </c>
    </row>
    <row r="1381" spans="10:81" x14ac:dyDescent="0.25">
      <c r="J1381" s="7"/>
      <c r="K1381" s="8"/>
      <c r="L1381" s="16"/>
      <c r="M1381" s="22"/>
      <c r="N1381" s="22"/>
      <c r="O1381" s="22"/>
      <c r="P1381" s="22"/>
      <c r="Q1381" s="1">
        <f t="shared" si="672"/>
        <v>0.60744618579017706</v>
      </c>
      <c r="R1381" s="12">
        <f t="shared" ca="1" si="659"/>
        <v>40532</v>
      </c>
      <c r="S1381" s="88">
        <f t="shared" si="668"/>
        <v>0</v>
      </c>
      <c r="T1381" s="19">
        <f t="shared" si="660"/>
        <v>0</v>
      </c>
      <c r="U1381" s="19">
        <f t="shared" si="661"/>
        <v>0</v>
      </c>
      <c r="V1381" s="19">
        <f t="shared" si="677"/>
        <v>0</v>
      </c>
      <c r="W1381" s="20">
        <f t="shared" ca="1" si="662"/>
        <v>0</v>
      </c>
      <c r="X1381" s="19">
        <f t="shared" ca="1" si="663"/>
        <v>0</v>
      </c>
      <c r="Y1381" s="19">
        <f t="shared" ca="1" si="664"/>
        <v>0</v>
      </c>
      <c r="Z1381" s="20">
        <f t="shared" ca="1" si="665"/>
        <v>0</v>
      </c>
      <c r="AA1381" s="1">
        <f t="shared" si="673"/>
        <v>5432.58</v>
      </c>
      <c r="AB1381" s="91"/>
      <c r="AC1381" s="92"/>
      <c r="AD1381" s="101">
        <f t="shared" si="674"/>
        <v>81654</v>
      </c>
      <c r="AE1381" s="103">
        <f t="shared" si="675"/>
        <v>0</v>
      </c>
      <c r="AG1381" s="1">
        <f t="shared" si="666"/>
        <v>0</v>
      </c>
      <c r="AH1381" s="1">
        <f t="shared" si="667"/>
        <v>0</v>
      </c>
      <c r="AI1381" s="1">
        <f t="shared" si="676"/>
        <v>5432.58</v>
      </c>
      <c r="AJ1381" s="20">
        <f t="shared" si="648"/>
        <v>0</v>
      </c>
      <c r="AK1381" s="100">
        <f t="shared" si="650"/>
        <v>0</v>
      </c>
      <c r="AL1381" s="100">
        <f t="shared" si="651"/>
        <v>0</v>
      </c>
      <c r="AN1381" s="100">
        <f t="shared" si="652"/>
        <v>2740.657766016408</v>
      </c>
      <c r="AO1381" s="20">
        <f t="shared" si="653"/>
        <v>0</v>
      </c>
      <c r="AQ1381" s="109">
        <f t="shared" si="654"/>
        <v>0</v>
      </c>
      <c r="AU1381" s="109">
        <f t="shared" si="669"/>
        <v>24.033042715670501</v>
      </c>
      <c r="AV1381" s="101">
        <f t="shared" si="655"/>
        <v>81684</v>
      </c>
      <c r="AW1381" s="99">
        <f t="shared" si="656"/>
        <v>0</v>
      </c>
      <c r="AX1381" s="1">
        <f t="shared" si="657"/>
        <v>0</v>
      </c>
      <c r="AY1381" s="29">
        <f t="shared" si="658"/>
        <v>0</v>
      </c>
      <c r="AZ1381" s="1">
        <f t="shared" si="670"/>
        <v>0</v>
      </c>
      <c r="CB1381" s="20">
        <f t="shared" si="649"/>
        <v>0</v>
      </c>
      <c r="CC1381" s="173">
        <f t="shared" si="671"/>
        <v>0</v>
      </c>
    </row>
    <row r="1382" spans="10:81" x14ac:dyDescent="0.25">
      <c r="J1382" s="9"/>
      <c r="K1382" s="10"/>
      <c r="L1382" s="17"/>
      <c r="M1382" s="23"/>
      <c r="N1382" s="23"/>
      <c r="O1382" s="23"/>
      <c r="P1382" s="23"/>
      <c r="Q1382" s="1">
        <f t="shared" si="672"/>
        <v>0.60744618579017706</v>
      </c>
      <c r="R1382" s="12">
        <f t="shared" ca="1" si="659"/>
        <v>40562</v>
      </c>
      <c r="S1382" s="88">
        <f t="shared" si="668"/>
        <v>0</v>
      </c>
      <c r="T1382" s="19">
        <f t="shared" si="660"/>
        <v>0</v>
      </c>
      <c r="U1382" s="19">
        <f t="shared" si="661"/>
        <v>0</v>
      </c>
      <c r="V1382" s="19">
        <f t="shared" si="677"/>
        <v>0</v>
      </c>
      <c r="W1382" s="20">
        <f t="shared" ca="1" si="662"/>
        <v>0</v>
      </c>
      <c r="X1382" s="19">
        <f t="shared" ca="1" si="663"/>
        <v>0</v>
      </c>
      <c r="Y1382" s="19">
        <f t="shared" ca="1" si="664"/>
        <v>0</v>
      </c>
      <c r="Z1382" s="20">
        <f t="shared" ca="1" si="665"/>
        <v>0</v>
      </c>
      <c r="AA1382" s="1">
        <f t="shared" si="673"/>
        <v>5432.58</v>
      </c>
      <c r="AB1382" s="93"/>
      <c r="AC1382" s="94"/>
      <c r="AD1382" s="101">
        <f t="shared" si="674"/>
        <v>81684</v>
      </c>
      <c r="AE1382" s="103">
        <f t="shared" si="675"/>
        <v>0</v>
      </c>
      <c r="AG1382" s="1">
        <f t="shared" si="666"/>
        <v>0</v>
      </c>
      <c r="AH1382" s="1">
        <f t="shared" si="667"/>
        <v>0</v>
      </c>
      <c r="AI1382" s="1">
        <f t="shared" si="676"/>
        <v>5432.58</v>
      </c>
      <c r="AJ1382" s="20">
        <f t="shared" si="648"/>
        <v>0</v>
      </c>
      <c r="AK1382" s="100">
        <f t="shared" si="650"/>
        <v>0</v>
      </c>
      <c r="AL1382" s="100">
        <f t="shared" si="651"/>
        <v>0</v>
      </c>
      <c r="AN1382" s="100">
        <f t="shared" si="652"/>
        <v>2739.2711328484957</v>
      </c>
      <c r="AO1382" s="20">
        <f t="shared" si="653"/>
        <v>0</v>
      </c>
      <c r="AQ1382" s="109">
        <f t="shared" si="654"/>
        <v>0</v>
      </c>
      <c r="AU1382" s="109">
        <f t="shared" si="669"/>
        <v>24.030933333744539</v>
      </c>
      <c r="AV1382" s="101">
        <f t="shared" si="655"/>
        <v>81714</v>
      </c>
      <c r="AW1382" s="99">
        <f t="shared" si="656"/>
        <v>0</v>
      </c>
      <c r="AX1382" s="1">
        <f t="shared" si="657"/>
        <v>0</v>
      </c>
      <c r="AY1382" s="29">
        <f t="shared" si="658"/>
        <v>0</v>
      </c>
      <c r="AZ1382" s="1">
        <f t="shared" si="670"/>
        <v>0</v>
      </c>
      <c r="CB1382" s="20">
        <f t="shared" si="649"/>
        <v>0</v>
      </c>
      <c r="CC1382" s="173">
        <f t="shared" si="671"/>
        <v>0</v>
      </c>
    </row>
    <row r="1383" spans="10:81" x14ac:dyDescent="0.25">
      <c r="J1383" s="7"/>
      <c r="K1383" s="8"/>
      <c r="L1383" s="16"/>
      <c r="M1383" s="22"/>
      <c r="N1383" s="22"/>
      <c r="O1383" s="22"/>
      <c r="P1383" s="22"/>
      <c r="Q1383" s="1">
        <f t="shared" si="672"/>
        <v>0.60744618579017706</v>
      </c>
      <c r="R1383" s="12">
        <f t="shared" ca="1" si="659"/>
        <v>40592</v>
      </c>
      <c r="S1383" s="88">
        <f t="shared" si="668"/>
        <v>0</v>
      </c>
      <c r="T1383" s="19">
        <f t="shared" si="660"/>
        <v>0</v>
      </c>
      <c r="U1383" s="19">
        <f t="shared" si="661"/>
        <v>0</v>
      </c>
      <c r="V1383" s="19">
        <f t="shared" si="677"/>
        <v>0</v>
      </c>
      <c r="W1383" s="20">
        <f t="shared" ca="1" si="662"/>
        <v>0</v>
      </c>
      <c r="X1383" s="19">
        <f t="shared" ca="1" si="663"/>
        <v>0</v>
      </c>
      <c r="Y1383" s="19">
        <f t="shared" ca="1" si="664"/>
        <v>0</v>
      </c>
      <c r="Z1383" s="20">
        <f t="shared" ca="1" si="665"/>
        <v>0</v>
      </c>
      <c r="AA1383" s="1">
        <f t="shared" si="673"/>
        <v>5432.58</v>
      </c>
      <c r="AB1383" s="91"/>
      <c r="AC1383" s="92"/>
      <c r="AD1383" s="101">
        <f t="shared" si="674"/>
        <v>81714</v>
      </c>
      <c r="AE1383" s="103">
        <f t="shared" si="675"/>
        <v>0</v>
      </c>
      <c r="AG1383" s="1">
        <f t="shared" si="666"/>
        <v>0</v>
      </c>
      <c r="AH1383" s="1">
        <f t="shared" si="667"/>
        <v>0</v>
      </c>
      <c r="AI1383" s="1">
        <f t="shared" si="676"/>
        <v>5432.58</v>
      </c>
      <c r="AJ1383" s="20">
        <f t="shared" si="648"/>
        <v>0</v>
      </c>
      <c r="AK1383" s="100">
        <f t="shared" si="650"/>
        <v>0</v>
      </c>
      <c r="AL1383" s="100">
        <f t="shared" si="651"/>
        <v>0</v>
      </c>
      <c r="AN1383" s="100">
        <f t="shared" si="652"/>
        <v>2737.8852012463058</v>
      </c>
      <c r="AO1383" s="20">
        <f t="shared" si="653"/>
        <v>0</v>
      </c>
      <c r="AQ1383" s="109">
        <f t="shared" si="654"/>
        <v>0</v>
      </c>
      <c r="AU1383" s="109">
        <f t="shared" si="669"/>
        <v>24.028824136959187</v>
      </c>
      <c r="AV1383" s="101">
        <f t="shared" si="655"/>
        <v>81744</v>
      </c>
      <c r="AW1383" s="99">
        <f t="shared" si="656"/>
        <v>0</v>
      </c>
      <c r="AX1383" s="1">
        <f t="shared" si="657"/>
        <v>0</v>
      </c>
      <c r="AY1383" s="29">
        <f t="shared" si="658"/>
        <v>0</v>
      </c>
      <c r="AZ1383" s="1">
        <f t="shared" si="670"/>
        <v>0</v>
      </c>
      <c r="CB1383" s="20">
        <f t="shared" si="649"/>
        <v>0</v>
      </c>
      <c r="CC1383" s="173">
        <f t="shared" si="671"/>
        <v>0</v>
      </c>
    </row>
    <row r="1384" spans="10:81" x14ac:dyDescent="0.25">
      <c r="J1384" s="9"/>
      <c r="K1384" s="10"/>
      <c r="L1384" s="17"/>
      <c r="M1384" s="23"/>
      <c r="N1384" s="23"/>
      <c r="O1384" s="23"/>
      <c r="P1384" s="23"/>
      <c r="Q1384" s="1">
        <f t="shared" si="672"/>
        <v>0.60744618579017706</v>
      </c>
      <c r="R1384" s="12">
        <f t="shared" ca="1" si="659"/>
        <v>40622</v>
      </c>
      <c r="S1384" s="88">
        <f t="shared" si="668"/>
        <v>0</v>
      </c>
      <c r="T1384" s="19">
        <f t="shared" si="660"/>
        <v>0</v>
      </c>
      <c r="U1384" s="19">
        <f t="shared" si="661"/>
        <v>0</v>
      </c>
      <c r="V1384" s="19">
        <f t="shared" si="677"/>
        <v>0</v>
      </c>
      <c r="W1384" s="20">
        <f t="shared" ca="1" si="662"/>
        <v>0</v>
      </c>
      <c r="X1384" s="19">
        <f t="shared" ca="1" si="663"/>
        <v>0</v>
      </c>
      <c r="Y1384" s="19">
        <f t="shared" ca="1" si="664"/>
        <v>0</v>
      </c>
      <c r="Z1384" s="20">
        <f t="shared" ca="1" si="665"/>
        <v>0</v>
      </c>
      <c r="AA1384" s="1">
        <f t="shared" si="673"/>
        <v>5432.58</v>
      </c>
      <c r="AB1384" s="93"/>
      <c r="AC1384" s="94"/>
      <c r="AD1384" s="101">
        <f t="shared" si="674"/>
        <v>81744</v>
      </c>
      <c r="AE1384" s="103">
        <f t="shared" si="675"/>
        <v>0</v>
      </c>
      <c r="AG1384" s="1">
        <f t="shared" si="666"/>
        <v>0</v>
      </c>
      <c r="AH1384" s="1">
        <f t="shared" si="667"/>
        <v>0</v>
      </c>
      <c r="AI1384" s="1">
        <f t="shared" si="676"/>
        <v>5432.58</v>
      </c>
      <c r="AJ1384" s="20">
        <f t="shared" ref="AJ1384:AJ1447" si="678">IF(ISERROR(IF(V1383+U1384+T1384+(V1383*Q1384/1200)-AA1384-P1384&lt;0,V1383,-(U1384+T1384-AA1384+P1384-AH1384))),0,IF(V1383+U1384+T1384+(V1383*Q1384/1200)-AA1384-P1384&lt;0,0,-(U1384+T1384-AA1384-AH1384)))</f>
        <v>0</v>
      </c>
      <c r="AK1384" s="100">
        <f t="shared" si="650"/>
        <v>0</v>
      </c>
      <c r="AL1384" s="100">
        <f t="shared" si="651"/>
        <v>0</v>
      </c>
      <c r="AN1384" s="100">
        <f t="shared" si="652"/>
        <v>2736.4999708548798</v>
      </c>
      <c r="AO1384" s="20">
        <f t="shared" si="653"/>
        <v>0</v>
      </c>
      <c r="AQ1384" s="109">
        <f t="shared" si="654"/>
        <v>0</v>
      </c>
      <c r="AU1384" s="109">
        <f t="shared" si="669"/>
        <v>24.026715125298193</v>
      </c>
      <c r="AV1384" s="101">
        <f t="shared" si="655"/>
        <v>81774</v>
      </c>
      <c r="AW1384" s="99">
        <f t="shared" si="656"/>
        <v>0</v>
      </c>
      <c r="AX1384" s="1">
        <f t="shared" si="657"/>
        <v>0</v>
      </c>
      <c r="AY1384" s="29">
        <f t="shared" si="658"/>
        <v>0</v>
      </c>
      <c r="AZ1384" s="1">
        <f t="shared" si="670"/>
        <v>0</v>
      </c>
      <c r="CB1384" s="20">
        <f t="shared" si="649"/>
        <v>0</v>
      </c>
      <c r="CC1384" s="173">
        <f t="shared" si="671"/>
        <v>0</v>
      </c>
    </row>
    <row r="1385" spans="10:81" x14ac:dyDescent="0.25">
      <c r="J1385" s="7"/>
      <c r="K1385" s="8"/>
      <c r="L1385" s="16"/>
      <c r="M1385" s="22"/>
      <c r="N1385" s="22"/>
      <c r="O1385" s="22"/>
      <c r="P1385" s="22"/>
      <c r="Q1385" s="1">
        <f t="shared" si="672"/>
        <v>0.60744618579017706</v>
      </c>
      <c r="R1385" s="12">
        <f t="shared" ca="1" si="659"/>
        <v>40652</v>
      </c>
      <c r="S1385" s="88">
        <f t="shared" si="668"/>
        <v>0</v>
      </c>
      <c r="T1385" s="19">
        <f t="shared" si="660"/>
        <v>0</v>
      </c>
      <c r="U1385" s="19">
        <f t="shared" si="661"/>
        <v>0</v>
      </c>
      <c r="V1385" s="19">
        <f t="shared" si="677"/>
        <v>0</v>
      </c>
      <c r="W1385" s="20">
        <f t="shared" ca="1" si="662"/>
        <v>0</v>
      </c>
      <c r="X1385" s="19">
        <f t="shared" ca="1" si="663"/>
        <v>0</v>
      </c>
      <c r="Y1385" s="19">
        <f t="shared" ca="1" si="664"/>
        <v>0</v>
      </c>
      <c r="Z1385" s="20">
        <f t="shared" ca="1" si="665"/>
        <v>0</v>
      </c>
      <c r="AA1385" s="1">
        <f t="shared" si="673"/>
        <v>5432.58</v>
      </c>
      <c r="AB1385" s="91"/>
      <c r="AC1385" s="92"/>
      <c r="AD1385" s="101">
        <f t="shared" si="674"/>
        <v>81774</v>
      </c>
      <c r="AE1385" s="103">
        <f t="shared" si="675"/>
        <v>0</v>
      </c>
      <c r="AG1385" s="1">
        <f t="shared" si="666"/>
        <v>0</v>
      </c>
      <c r="AH1385" s="1">
        <f t="shared" si="667"/>
        <v>0</v>
      </c>
      <c r="AI1385" s="1">
        <f t="shared" si="676"/>
        <v>5432.58</v>
      </c>
      <c r="AJ1385" s="20">
        <f t="shared" si="678"/>
        <v>0</v>
      </c>
      <c r="AK1385" s="100">
        <f t="shared" si="650"/>
        <v>0</v>
      </c>
      <c r="AL1385" s="100">
        <f t="shared" si="651"/>
        <v>0</v>
      </c>
      <c r="AN1385" s="100">
        <f t="shared" si="652"/>
        <v>2735.1154413194413</v>
      </c>
      <c r="AO1385" s="20">
        <f t="shared" si="653"/>
        <v>0</v>
      </c>
      <c r="AQ1385" s="109">
        <f t="shared" si="654"/>
        <v>0</v>
      </c>
      <c r="AU1385" s="109">
        <f t="shared" si="669"/>
        <v>24.024606298745308</v>
      </c>
      <c r="AV1385" s="101">
        <f t="shared" si="655"/>
        <v>81804</v>
      </c>
      <c r="AW1385" s="99">
        <f t="shared" si="656"/>
        <v>0</v>
      </c>
      <c r="AX1385" s="1">
        <f t="shared" si="657"/>
        <v>0</v>
      </c>
      <c r="AY1385" s="29">
        <f t="shared" si="658"/>
        <v>0</v>
      </c>
      <c r="AZ1385" s="1">
        <f t="shared" si="670"/>
        <v>0</v>
      </c>
      <c r="CB1385" s="20">
        <f t="shared" si="649"/>
        <v>0</v>
      </c>
      <c r="CC1385" s="173">
        <f t="shared" si="671"/>
        <v>0</v>
      </c>
    </row>
    <row r="1386" spans="10:81" x14ac:dyDescent="0.25">
      <c r="J1386" s="9"/>
      <c r="K1386" s="10"/>
      <c r="L1386" s="17"/>
      <c r="M1386" s="23"/>
      <c r="N1386" s="23"/>
      <c r="O1386" s="23"/>
      <c r="P1386" s="23"/>
      <c r="Q1386" s="1">
        <f t="shared" si="672"/>
        <v>0.60744618579017706</v>
      </c>
      <c r="R1386" s="12">
        <f t="shared" ca="1" si="659"/>
        <v>40682</v>
      </c>
      <c r="S1386" s="88">
        <f t="shared" si="668"/>
        <v>0</v>
      </c>
      <c r="T1386" s="19">
        <f t="shared" si="660"/>
        <v>0</v>
      </c>
      <c r="U1386" s="19">
        <f t="shared" si="661"/>
        <v>0</v>
      </c>
      <c r="V1386" s="19">
        <f t="shared" si="677"/>
        <v>0</v>
      </c>
      <c r="W1386" s="20">
        <f t="shared" ca="1" si="662"/>
        <v>0</v>
      </c>
      <c r="X1386" s="19">
        <f t="shared" ca="1" si="663"/>
        <v>0</v>
      </c>
      <c r="Y1386" s="19">
        <f t="shared" ca="1" si="664"/>
        <v>0</v>
      </c>
      <c r="Z1386" s="20">
        <f t="shared" ca="1" si="665"/>
        <v>0</v>
      </c>
      <c r="AA1386" s="1">
        <f t="shared" si="673"/>
        <v>5432.58</v>
      </c>
      <c r="AB1386" s="93"/>
      <c r="AC1386" s="94"/>
      <c r="AD1386" s="101">
        <f t="shared" si="674"/>
        <v>81804</v>
      </c>
      <c r="AE1386" s="103">
        <f t="shared" si="675"/>
        <v>0</v>
      </c>
      <c r="AG1386" s="1">
        <f t="shared" si="666"/>
        <v>0</v>
      </c>
      <c r="AH1386" s="1">
        <f t="shared" si="667"/>
        <v>0</v>
      </c>
      <c r="AI1386" s="1">
        <f t="shared" si="676"/>
        <v>5432.58</v>
      </c>
      <c r="AJ1386" s="20">
        <f t="shared" si="678"/>
        <v>0</v>
      </c>
      <c r="AK1386" s="100">
        <f t="shared" si="650"/>
        <v>0</v>
      </c>
      <c r="AL1386" s="100">
        <f t="shared" si="651"/>
        <v>0</v>
      </c>
      <c r="AN1386" s="100">
        <f t="shared" si="652"/>
        <v>2733.731612285394</v>
      </c>
      <c r="AO1386" s="20">
        <f t="shared" si="653"/>
        <v>0</v>
      </c>
      <c r="AQ1386" s="109">
        <f t="shared" si="654"/>
        <v>0</v>
      </c>
      <c r="AU1386" s="109">
        <f t="shared" si="669"/>
        <v>24.02249765728428</v>
      </c>
      <c r="AV1386" s="101">
        <f t="shared" si="655"/>
        <v>81834</v>
      </c>
      <c r="AW1386" s="99">
        <f t="shared" si="656"/>
        <v>0</v>
      </c>
      <c r="AX1386" s="1">
        <f t="shared" si="657"/>
        <v>0</v>
      </c>
      <c r="AY1386" s="29">
        <f t="shared" si="658"/>
        <v>0</v>
      </c>
      <c r="AZ1386" s="1">
        <f t="shared" si="670"/>
        <v>0</v>
      </c>
      <c r="CB1386" s="20">
        <f t="shared" si="649"/>
        <v>0</v>
      </c>
      <c r="CC1386" s="173">
        <f t="shared" si="671"/>
        <v>0</v>
      </c>
    </row>
    <row r="1387" spans="10:81" x14ac:dyDescent="0.25">
      <c r="J1387" s="7"/>
      <c r="K1387" s="8"/>
      <c r="L1387" s="16"/>
      <c r="M1387" s="22"/>
      <c r="N1387" s="22"/>
      <c r="O1387" s="22"/>
      <c r="P1387" s="22"/>
      <c r="Q1387" s="1">
        <f t="shared" si="672"/>
        <v>0.60744618579017706</v>
      </c>
      <c r="R1387" s="12">
        <f t="shared" ca="1" si="659"/>
        <v>40712</v>
      </c>
      <c r="S1387" s="88">
        <f t="shared" si="668"/>
        <v>0</v>
      </c>
      <c r="T1387" s="19">
        <f t="shared" si="660"/>
        <v>0</v>
      </c>
      <c r="U1387" s="19">
        <f t="shared" si="661"/>
        <v>0</v>
      </c>
      <c r="V1387" s="19">
        <f t="shared" si="677"/>
        <v>0</v>
      </c>
      <c r="W1387" s="20">
        <f t="shared" ca="1" si="662"/>
        <v>0</v>
      </c>
      <c r="X1387" s="19">
        <f t="shared" ca="1" si="663"/>
        <v>0</v>
      </c>
      <c r="Y1387" s="19">
        <f t="shared" ca="1" si="664"/>
        <v>0</v>
      </c>
      <c r="Z1387" s="20">
        <f t="shared" ca="1" si="665"/>
        <v>0</v>
      </c>
      <c r="AA1387" s="1">
        <f t="shared" si="673"/>
        <v>5432.58</v>
      </c>
      <c r="AB1387" s="91"/>
      <c r="AC1387" s="92"/>
      <c r="AD1387" s="101">
        <f t="shared" si="674"/>
        <v>81834</v>
      </c>
      <c r="AE1387" s="103">
        <f t="shared" si="675"/>
        <v>0</v>
      </c>
      <c r="AG1387" s="1">
        <f t="shared" si="666"/>
        <v>0</v>
      </c>
      <c r="AH1387" s="1">
        <f t="shared" si="667"/>
        <v>0</v>
      </c>
      <c r="AI1387" s="1">
        <f t="shared" si="676"/>
        <v>5432.58</v>
      </c>
      <c r="AJ1387" s="20">
        <f t="shared" si="678"/>
        <v>0</v>
      </c>
      <c r="AK1387" s="100">
        <f t="shared" si="650"/>
        <v>0</v>
      </c>
      <c r="AL1387" s="100">
        <f t="shared" si="651"/>
        <v>0</v>
      </c>
      <c r="AN1387" s="100">
        <f t="shared" si="652"/>
        <v>2732.3484833983189</v>
      </c>
      <c r="AO1387" s="20">
        <f t="shared" si="653"/>
        <v>0</v>
      </c>
      <c r="AQ1387" s="109">
        <f t="shared" si="654"/>
        <v>0</v>
      </c>
      <c r="AU1387" s="109">
        <f t="shared" si="669"/>
        <v>24.020389200898872</v>
      </c>
      <c r="AV1387" s="101">
        <f t="shared" si="655"/>
        <v>81864</v>
      </c>
      <c r="AW1387" s="99">
        <f t="shared" si="656"/>
        <v>0</v>
      </c>
      <c r="AX1387" s="1">
        <f t="shared" si="657"/>
        <v>0</v>
      </c>
      <c r="AY1387" s="29">
        <f t="shared" si="658"/>
        <v>0</v>
      </c>
      <c r="AZ1387" s="1">
        <f t="shared" si="670"/>
        <v>0</v>
      </c>
      <c r="CB1387" s="20">
        <f t="shared" si="649"/>
        <v>0</v>
      </c>
      <c r="CC1387" s="173">
        <f t="shared" si="671"/>
        <v>0</v>
      </c>
    </row>
    <row r="1388" spans="10:81" x14ac:dyDescent="0.25">
      <c r="J1388" s="9"/>
      <c r="K1388" s="10"/>
      <c r="L1388" s="17"/>
      <c r="M1388" s="23"/>
      <c r="N1388" s="23"/>
      <c r="O1388" s="23"/>
      <c r="P1388" s="23"/>
      <c r="Q1388" s="1">
        <f t="shared" si="672"/>
        <v>0.60744618579017706</v>
      </c>
      <c r="R1388" s="12">
        <f t="shared" ca="1" si="659"/>
        <v>40742</v>
      </c>
      <c r="S1388" s="88">
        <f t="shared" si="668"/>
        <v>0</v>
      </c>
      <c r="T1388" s="19">
        <f t="shared" si="660"/>
        <v>0</v>
      </c>
      <c r="U1388" s="19">
        <f t="shared" si="661"/>
        <v>0</v>
      </c>
      <c r="V1388" s="19">
        <f t="shared" si="677"/>
        <v>0</v>
      </c>
      <c r="W1388" s="20">
        <f t="shared" ca="1" si="662"/>
        <v>0</v>
      </c>
      <c r="X1388" s="19">
        <f t="shared" ca="1" si="663"/>
        <v>0</v>
      </c>
      <c r="Y1388" s="19">
        <f t="shared" ca="1" si="664"/>
        <v>0</v>
      </c>
      <c r="Z1388" s="20">
        <f t="shared" ca="1" si="665"/>
        <v>0</v>
      </c>
      <c r="AA1388" s="1">
        <f t="shared" si="673"/>
        <v>5432.58</v>
      </c>
      <c r="AB1388" s="93"/>
      <c r="AC1388" s="94"/>
      <c r="AD1388" s="101">
        <f t="shared" si="674"/>
        <v>81864</v>
      </c>
      <c r="AE1388" s="103">
        <f t="shared" si="675"/>
        <v>0</v>
      </c>
      <c r="AG1388" s="1">
        <f t="shared" si="666"/>
        <v>0</v>
      </c>
      <c r="AH1388" s="1">
        <f t="shared" si="667"/>
        <v>0</v>
      </c>
      <c r="AI1388" s="1">
        <f t="shared" si="676"/>
        <v>5432.58</v>
      </c>
      <c r="AJ1388" s="20">
        <f t="shared" si="678"/>
        <v>0</v>
      </c>
      <c r="AK1388" s="100">
        <f t="shared" si="650"/>
        <v>0</v>
      </c>
      <c r="AL1388" s="100">
        <f t="shared" si="651"/>
        <v>0</v>
      </c>
      <c r="AN1388" s="100">
        <f t="shared" si="652"/>
        <v>2730.9660543039768</v>
      </c>
      <c r="AO1388" s="20">
        <f t="shared" si="653"/>
        <v>0</v>
      </c>
      <c r="AQ1388" s="109">
        <f t="shared" si="654"/>
        <v>0</v>
      </c>
      <c r="AU1388" s="109">
        <f t="shared" si="669"/>
        <v>24.018280929572839</v>
      </c>
      <c r="AV1388" s="101">
        <f t="shared" si="655"/>
        <v>81894</v>
      </c>
      <c r="AW1388" s="99">
        <f t="shared" si="656"/>
        <v>0</v>
      </c>
      <c r="AX1388" s="1">
        <f t="shared" si="657"/>
        <v>0</v>
      </c>
      <c r="AY1388" s="29">
        <f t="shared" si="658"/>
        <v>0</v>
      </c>
      <c r="AZ1388" s="1">
        <f t="shared" si="670"/>
        <v>0</v>
      </c>
      <c r="CB1388" s="20">
        <f t="shared" si="649"/>
        <v>0</v>
      </c>
      <c r="CC1388" s="173">
        <f t="shared" si="671"/>
        <v>0</v>
      </c>
    </row>
    <row r="1389" spans="10:81" x14ac:dyDescent="0.25">
      <c r="J1389" s="7"/>
      <c r="K1389" s="8"/>
      <c r="L1389" s="16"/>
      <c r="M1389" s="22"/>
      <c r="N1389" s="22"/>
      <c r="O1389" s="22"/>
      <c r="P1389" s="22"/>
      <c r="Q1389" s="1">
        <f t="shared" si="672"/>
        <v>0.60744618579017706</v>
      </c>
      <c r="R1389" s="12">
        <f t="shared" ca="1" si="659"/>
        <v>40772</v>
      </c>
      <c r="S1389" s="88">
        <f t="shared" si="668"/>
        <v>0</v>
      </c>
      <c r="T1389" s="19">
        <f t="shared" si="660"/>
        <v>0</v>
      </c>
      <c r="U1389" s="19">
        <f t="shared" si="661"/>
        <v>0</v>
      </c>
      <c r="V1389" s="19">
        <f t="shared" si="677"/>
        <v>0</v>
      </c>
      <c r="W1389" s="20">
        <f t="shared" ca="1" si="662"/>
        <v>0</v>
      </c>
      <c r="X1389" s="19">
        <f t="shared" ca="1" si="663"/>
        <v>0</v>
      </c>
      <c r="Y1389" s="19">
        <f t="shared" ca="1" si="664"/>
        <v>0</v>
      </c>
      <c r="Z1389" s="20">
        <f t="shared" ca="1" si="665"/>
        <v>0</v>
      </c>
      <c r="AA1389" s="1">
        <f t="shared" si="673"/>
        <v>5432.58</v>
      </c>
      <c r="AB1389" s="91"/>
      <c r="AC1389" s="92"/>
      <c r="AD1389" s="101">
        <f t="shared" si="674"/>
        <v>81894</v>
      </c>
      <c r="AE1389" s="103">
        <f t="shared" si="675"/>
        <v>0</v>
      </c>
      <c r="AG1389" s="1">
        <f t="shared" si="666"/>
        <v>0</v>
      </c>
      <c r="AH1389" s="1">
        <f t="shared" si="667"/>
        <v>0</v>
      </c>
      <c r="AI1389" s="1">
        <f t="shared" si="676"/>
        <v>5432.58</v>
      </c>
      <c r="AJ1389" s="20">
        <f t="shared" si="678"/>
        <v>0</v>
      </c>
      <c r="AK1389" s="100">
        <f t="shared" si="650"/>
        <v>0</v>
      </c>
      <c r="AL1389" s="100">
        <f t="shared" si="651"/>
        <v>0</v>
      </c>
      <c r="AN1389" s="100">
        <f t="shared" si="652"/>
        <v>2729.5843246483105</v>
      </c>
      <c r="AO1389" s="20">
        <f t="shared" si="653"/>
        <v>0</v>
      </c>
      <c r="AQ1389" s="109">
        <f t="shared" si="654"/>
        <v>0</v>
      </c>
      <c r="AU1389" s="109">
        <f t="shared" si="669"/>
        <v>24.016172843289922</v>
      </c>
      <c r="AV1389" s="101">
        <f t="shared" si="655"/>
        <v>81924</v>
      </c>
      <c r="AW1389" s="99">
        <f t="shared" si="656"/>
        <v>0</v>
      </c>
      <c r="AX1389" s="1">
        <f t="shared" si="657"/>
        <v>0</v>
      </c>
      <c r="AY1389" s="29">
        <f t="shared" si="658"/>
        <v>0</v>
      </c>
      <c r="AZ1389" s="1">
        <f t="shared" si="670"/>
        <v>0</v>
      </c>
      <c r="CB1389" s="20">
        <f t="shared" si="649"/>
        <v>0</v>
      </c>
      <c r="CC1389" s="173">
        <f t="shared" si="671"/>
        <v>0</v>
      </c>
    </row>
    <row r="1390" spans="10:81" x14ac:dyDescent="0.25">
      <c r="J1390" s="9"/>
      <c r="K1390" s="10"/>
      <c r="L1390" s="17"/>
      <c r="M1390" s="23"/>
      <c r="N1390" s="23"/>
      <c r="O1390" s="23"/>
      <c r="P1390" s="23"/>
      <c r="Q1390" s="1">
        <f t="shared" si="672"/>
        <v>0.60744618579017706</v>
      </c>
      <c r="R1390" s="12">
        <f t="shared" ca="1" si="659"/>
        <v>40802</v>
      </c>
      <c r="S1390" s="88">
        <f t="shared" si="668"/>
        <v>0</v>
      </c>
      <c r="T1390" s="19">
        <f t="shared" si="660"/>
        <v>0</v>
      </c>
      <c r="U1390" s="19">
        <f t="shared" si="661"/>
        <v>0</v>
      </c>
      <c r="V1390" s="19">
        <f t="shared" si="677"/>
        <v>0</v>
      </c>
      <c r="W1390" s="20">
        <f t="shared" ca="1" si="662"/>
        <v>0</v>
      </c>
      <c r="X1390" s="19">
        <f t="shared" ca="1" si="663"/>
        <v>0</v>
      </c>
      <c r="Y1390" s="19">
        <f t="shared" ca="1" si="664"/>
        <v>0</v>
      </c>
      <c r="Z1390" s="20">
        <f t="shared" ca="1" si="665"/>
        <v>0</v>
      </c>
      <c r="AA1390" s="1">
        <f t="shared" si="673"/>
        <v>5432.58</v>
      </c>
      <c r="AB1390" s="93"/>
      <c r="AC1390" s="94"/>
      <c r="AD1390" s="101">
        <f t="shared" si="674"/>
        <v>81924</v>
      </c>
      <c r="AE1390" s="103">
        <f t="shared" si="675"/>
        <v>0</v>
      </c>
      <c r="AG1390" s="1">
        <f t="shared" si="666"/>
        <v>0</v>
      </c>
      <c r="AH1390" s="1">
        <f t="shared" si="667"/>
        <v>0</v>
      </c>
      <c r="AI1390" s="1">
        <f t="shared" si="676"/>
        <v>5432.58</v>
      </c>
      <c r="AJ1390" s="20">
        <f t="shared" si="678"/>
        <v>0</v>
      </c>
      <c r="AK1390" s="100">
        <f t="shared" si="650"/>
        <v>0</v>
      </c>
      <c r="AL1390" s="100">
        <f t="shared" si="651"/>
        <v>0</v>
      </c>
      <c r="AN1390" s="100">
        <f t="shared" si="652"/>
        <v>2728.2032940774366</v>
      </c>
      <c r="AO1390" s="20">
        <f t="shared" si="653"/>
        <v>0</v>
      </c>
      <c r="AQ1390" s="109">
        <f t="shared" si="654"/>
        <v>0</v>
      </c>
      <c r="AU1390" s="109">
        <f t="shared" si="669"/>
        <v>24.014064942033908</v>
      </c>
      <c r="AV1390" s="101">
        <f t="shared" si="655"/>
        <v>81954</v>
      </c>
      <c r="AW1390" s="99">
        <f t="shared" si="656"/>
        <v>0</v>
      </c>
      <c r="AX1390" s="1">
        <f t="shared" si="657"/>
        <v>0</v>
      </c>
      <c r="AY1390" s="29">
        <f t="shared" si="658"/>
        <v>0</v>
      </c>
      <c r="AZ1390" s="1">
        <f t="shared" si="670"/>
        <v>0</v>
      </c>
      <c r="CB1390" s="20">
        <f t="shared" ref="CB1390:CB1453" si="679">IF(O1390=0,IF(P1390&gt;0,V1389,IF(O1389=0,0,P1390)),IF(O1389=0,0,P1390))</f>
        <v>0</v>
      </c>
      <c r="CC1390" s="173">
        <f t="shared" si="671"/>
        <v>0</v>
      </c>
    </row>
    <row r="1391" spans="10:81" x14ac:dyDescent="0.25">
      <c r="J1391" s="7"/>
      <c r="K1391" s="8"/>
      <c r="L1391" s="16"/>
      <c r="M1391" s="22"/>
      <c r="N1391" s="22"/>
      <c r="O1391" s="22"/>
      <c r="P1391" s="22"/>
      <c r="Q1391" s="1">
        <f t="shared" si="672"/>
        <v>0.60744618579017706</v>
      </c>
      <c r="R1391" s="12">
        <f t="shared" ca="1" si="659"/>
        <v>40832</v>
      </c>
      <c r="S1391" s="88">
        <f t="shared" si="668"/>
        <v>0</v>
      </c>
      <c r="T1391" s="19">
        <f t="shared" si="660"/>
        <v>0</v>
      </c>
      <c r="U1391" s="19">
        <f t="shared" si="661"/>
        <v>0</v>
      </c>
      <c r="V1391" s="19">
        <f t="shared" si="677"/>
        <v>0</v>
      </c>
      <c r="W1391" s="20">
        <f t="shared" ca="1" si="662"/>
        <v>0</v>
      </c>
      <c r="X1391" s="19">
        <f t="shared" ca="1" si="663"/>
        <v>0</v>
      </c>
      <c r="Y1391" s="19">
        <f t="shared" ca="1" si="664"/>
        <v>0</v>
      </c>
      <c r="Z1391" s="20">
        <f t="shared" ca="1" si="665"/>
        <v>0</v>
      </c>
      <c r="AA1391" s="1">
        <f t="shared" si="673"/>
        <v>5432.58</v>
      </c>
      <c r="AB1391" s="91"/>
      <c r="AC1391" s="92"/>
      <c r="AD1391" s="101">
        <f t="shared" si="674"/>
        <v>81954</v>
      </c>
      <c r="AE1391" s="103">
        <f t="shared" si="675"/>
        <v>0</v>
      </c>
      <c r="AG1391" s="1">
        <f t="shared" si="666"/>
        <v>0</v>
      </c>
      <c r="AH1391" s="1">
        <f t="shared" si="667"/>
        <v>0</v>
      </c>
      <c r="AI1391" s="1">
        <f t="shared" si="676"/>
        <v>5432.58</v>
      </c>
      <c r="AJ1391" s="20">
        <f t="shared" si="678"/>
        <v>0</v>
      </c>
      <c r="AK1391" s="100">
        <f t="shared" si="650"/>
        <v>0</v>
      </c>
      <c r="AL1391" s="100">
        <f t="shared" si="651"/>
        <v>0</v>
      </c>
      <c r="AN1391" s="100">
        <f t="shared" si="652"/>
        <v>2726.8229622376566</v>
      </c>
      <c r="AO1391" s="20">
        <f t="shared" si="653"/>
        <v>0</v>
      </c>
      <c r="AQ1391" s="109">
        <f t="shared" si="654"/>
        <v>0</v>
      </c>
      <c r="AU1391" s="109">
        <f t="shared" si="669"/>
        <v>24.011957225788539</v>
      </c>
      <c r="AV1391" s="101">
        <f t="shared" si="655"/>
        <v>81984</v>
      </c>
      <c r="AW1391" s="99">
        <f t="shared" si="656"/>
        <v>0</v>
      </c>
      <c r="AX1391" s="1">
        <f t="shared" si="657"/>
        <v>0</v>
      </c>
      <c r="AY1391" s="29">
        <f t="shared" si="658"/>
        <v>0</v>
      </c>
      <c r="AZ1391" s="1">
        <f t="shared" si="670"/>
        <v>0</v>
      </c>
      <c r="CB1391" s="20">
        <f t="shared" si="679"/>
        <v>0</v>
      </c>
      <c r="CC1391" s="173">
        <f t="shared" si="671"/>
        <v>0</v>
      </c>
    </row>
    <row r="1392" spans="10:81" x14ac:dyDescent="0.25">
      <c r="J1392" s="9"/>
      <c r="K1392" s="10"/>
      <c r="L1392" s="17"/>
      <c r="M1392" s="23"/>
      <c r="N1392" s="23"/>
      <c r="O1392" s="23"/>
      <c r="P1392" s="23"/>
      <c r="Q1392" s="1">
        <f t="shared" si="672"/>
        <v>0.60744618579017706</v>
      </c>
      <c r="R1392" s="12">
        <f t="shared" ca="1" si="659"/>
        <v>40862</v>
      </c>
      <c r="S1392" s="88">
        <f t="shared" si="668"/>
        <v>0</v>
      </c>
      <c r="T1392" s="19">
        <f t="shared" si="660"/>
        <v>0</v>
      </c>
      <c r="U1392" s="19">
        <f t="shared" si="661"/>
        <v>0</v>
      </c>
      <c r="V1392" s="19">
        <f t="shared" si="677"/>
        <v>0</v>
      </c>
      <c r="W1392" s="20">
        <f t="shared" ca="1" si="662"/>
        <v>0</v>
      </c>
      <c r="X1392" s="19">
        <f t="shared" ca="1" si="663"/>
        <v>0</v>
      </c>
      <c r="Y1392" s="19">
        <f t="shared" ca="1" si="664"/>
        <v>0</v>
      </c>
      <c r="Z1392" s="20">
        <f t="shared" ca="1" si="665"/>
        <v>0</v>
      </c>
      <c r="AA1392" s="1">
        <f t="shared" si="673"/>
        <v>5432.58</v>
      </c>
      <c r="AB1392" s="93"/>
      <c r="AC1392" s="94"/>
      <c r="AD1392" s="101">
        <f t="shared" si="674"/>
        <v>81984</v>
      </c>
      <c r="AE1392" s="103">
        <f t="shared" si="675"/>
        <v>0</v>
      </c>
      <c r="AG1392" s="1">
        <f t="shared" si="666"/>
        <v>0</v>
      </c>
      <c r="AH1392" s="1">
        <f t="shared" si="667"/>
        <v>0</v>
      </c>
      <c r="AI1392" s="1">
        <f t="shared" si="676"/>
        <v>5432.58</v>
      </c>
      <c r="AJ1392" s="20">
        <f t="shared" si="678"/>
        <v>0</v>
      </c>
      <c r="AK1392" s="100">
        <f t="shared" si="650"/>
        <v>0</v>
      </c>
      <c r="AL1392" s="100">
        <f t="shared" si="651"/>
        <v>0</v>
      </c>
      <c r="AN1392" s="100">
        <f t="shared" si="652"/>
        <v>2725.4433287754464</v>
      </c>
      <c r="AO1392" s="20">
        <f t="shared" si="653"/>
        <v>0</v>
      </c>
      <c r="AQ1392" s="109">
        <f t="shared" si="654"/>
        <v>0</v>
      </c>
      <c r="AU1392" s="109">
        <f t="shared" si="669"/>
        <v>24.009849694537571</v>
      </c>
      <c r="AV1392" s="101">
        <f t="shared" si="655"/>
        <v>82014</v>
      </c>
      <c r="AW1392" s="99">
        <f t="shared" si="656"/>
        <v>0</v>
      </c>
      <c r="AX1392" s="1">
        <f t="shared" si="657"/>
        <v>0</v>
      </c>
      <c r="AY1392" s="29">
        <f t="shared" si="658"/>
        <v>0</v>
      </c>
      <c r="AZ1392" s="1">
        <f t="shared" si="670"/>
        <v>0</v>
      </c>
      <c r="CB1392" s="20">
        <f t="shared" si="679"/>
        <v>0</v>
      </c>
      <c r="CC1392" s="173">
        <f t="shared" si="671"/>
        <v>0</v>
      </c>
    </row>
    <row r="1393" spans="10:81" x14ac:dyDescent="0.25">
      <c r="J1393" s="7"/>
      <c r="K1393" s="8"/>
      <c r="L1393" s="16"/>
      <c r="M1393" s="22"/>
      <c r="N1393" s="22"/>
      <c r="O1393" s="22"/>
      <c r="P1393" s="22"/>
      <c r="Q1393" s="1">
        <f t="shared" si="672"/>
        <v>0.60744618579017706</v>
      </c>
      <c r="R1393" s="12">
        <f t="shared" ca="1" si="659"/>
        <v>40892</v>
      </c>
      <c r="S1393" s="88">
        <f t="shared" si="668"/>
        <v>0</v>
      </c>
      <c r="T1393" s="19">
        <f t="shared" si="660"/>
        <v>0</v>
      </c>
      <c r="U1393" s="19">
        <f t="shared" si="661"/>
        <v>0</v>
      </c>
      <c r="V1393" s="19">
        <f t="shared" si="677"/>
        <v>0</v>
      </c>
      <c r="W1393" s="20">
        <f t="shared" ca="1" si="662"/>
        <v>0</v>
      </c>
      <c r="X1393" s="19">
        <f t="shared" ca="1" si="663"/>
        <v>0</v>
      </c>
      <c r="Y1393" s="19">
        <f t="shared" ca="1" si="664"/>
        <v>0</v>
      </c>
      <c r="Z1393" s="20">
        <f t="shared" ca="1" si="665"/>
        <v>0</v>
      </c>
      <c r="AA1393" s="1">
        <f t="shared" si="673"/>
        <v>5432.58</v>
      </c>
      <c r="AB1393" s="91"/>
      <c r="AC1393" s="92"/>
      <c r="AD1393" s="101">
        <f t="shared" si="674"/>
        <v>82014</v>
      </c>
      <c r="AE1393" s="103">
        <f t="shared" si="675"/>
        <v>0</v>
      </c>
      <c r="AG1393" s="1">
        <f t="shared" si="666"/>
        <v>0</v>
      </c>
      <c r="AH1393" s="1">
        <f t="shared" si="667"/>
        <v>0</v>
      </c>
      <c r="AI1393" s="1">
        <f t="shared" si="676"/>
        <v>5432.58</v>
      </c>
      <c r="AJ1393" s="20">
        <f t="shared" si="678"/>
        <v>0</v>
      </c>
      <c r="AK1393" s="100">
        <f t="shared" si="650"/>
        <v>0</v>
      </c>
      <c r="AL1393" s="100">
        <f t="shared" si="651"/>
        <v>0</v>
      </c>
      <c r="AN1393" s="100">
        <f t="shared" si="652"/>
        <v>2724.0643933374627</v>
      </c>
      <c r="AO1393" s="20">
        <f t="shared" si="653"/>
        <v>0</v>
      </c>
      <c r="AQ1393" s="109">
        <f t="shared" si="654"/>
        <v>0</v>
      </c>
      <c r="AU1393" s="109">
        <f t="shared" si="669"/>
        <v>24.007742348264784</v>
      </c>
      <c r="AV1393" s="101">
        <f t="shared" si="655"/>
        <v>82044</v>
      </c>
      <c r="AW1393" s="99">
        <f t="shared" si="656"/>
        <v>0</v>
      </c>
      <c r="AX1393" s="1">
        <f t="shared" si="657"/>
        <v>0</v>
      </c>
      <c r="AY1393" s="29">
        <f t="shared" si="658"/>
        <v>0</v>
      </c>
      <c r="AZ1393" s="1">
        <f t="shared" si="670"/>
        <v>0</v>
      </c>
      <c r="CB1393" s="20">
        <f t="shared" si="679"/>
        <v>0</v>
      </c>
      <c r="CC1393" s="173">
        <f t="shared" si="671"/>
        <v>0</v>
      </c>
    </row>
    <row r="1394" spans="10:81" x14ac:dyDescent="0.25">
      <c r="J1394" s="9"/>
      <c r="K1394" s="10"/>
      <c r="L1394" s="17"/>
      <c r="M1394" s="23"/>
      <c r="N1394" s="23"/>
      <c r="O1394" s="23"/>
      <c r="P1394" s="23"/>
      <c r="Q1394" s="1">
        <f t="shared" si="672"/>
        <v>0.60744618579017706</v>
      </c>
      <c r="R1394" s="12">
        <f t="shared" ca="1" si="659"/>
        <v>40922</v>
      </c>
      <c r="S1394" s="88">
        <f t="shared" si="668"/>
        <v>0</v>
      </c>
      <c r="T1394" s="19">
        <f t="shared" si="660"/>
        <v>0</v>
      </c>
      <c r="U1394" s="19">
        <f t="shared" si="661"/>
        <v>0</v>
      </c>
      <c r="V1394" s="19">
        <f t="shared" si="677"/>
        <v>0</v>
      </c>
      <c r="W1394" s="20">
        <f t="shared" ca="1" si="662"/>
        <v>0</v>
      </c>
      <c r="X1394" s="19">
        <f t="shared" ca="1" si="663"/>
        <v>0</v>
      </c>
      <c r="Y1394" s="19">
        <f t="shared" ca="1" si="664"/>
        <v>0</v>
      </c>
      <c r="Z1394" s="20">
        <f t="shared" ca="1" si="665"/>
        <v>0</v>
      </c>
      <c r="AA1394" s="1">
        <f t="shared" si="673"/>
        <v>5432.58</v>
      </c>
      <c r="AB1394" s="93"/>
      <c r="AC1394" s="94"/>
      <c r="AD1394" s="101">
        <f t="shared" si="674"/>
        <v>82044</v>
      </c>
      <c r="AE1394" s="103">
        <f t="shared" si="675"/>
        <v>0</v>
      </c>
      <c r="AG1394" s="1">
        <f t="shared" si="666"/>
        <v>0</v>
      </c>
      <c r="AH1394" s="1">
        <f t="shared" si="667"/>
        <v>0</v>
      </c>
      <c r="AI1394" s="1">
        <f t="shared" si="676"/>
        <v>5432.58</v>
      </c>
      <c r="AJ1394" s="20">
        <f t="shared" si="678"/>
        <v>0</v>
      </c>
      <c r="AK1394" s="100">
        <f t="shared" si="650"/>
        <v>0</v>
      </c>
      <c r="AL1394" s="100">
        <f t="shared" si="651"/>
        <v>0</v>
      </c>
      <c r="AN1394" s="100">
        <f t="shared" si="652"/>
        <v>2722.6861555705423</v>
      </c>
      <c r="AO1394" s="20">
        <f t="shared" si="653"/>
        <v>0</v>
      </c>
      <c r="AQ1394" s="109">
        <f t="shared" si="654"/>
        <v>0</v>
      </c>
      <c r="AU1394" s="109">
        <f t="shared" si="669"/>
        <v>24.005635186953928</v>
      </c>
      <c r="AV1394" s="101">
        <f t="shared" si="655"/>
        <v>82074</v>
      </c>
      <c r="AW1394" s="99">
        <f t="shared" si="656"/>
        <v>0</v>
      </c>
      <c r="AX1394" s="1">
        <f t="shared" si="657"/>
        <v>0</v>
      </c>
      <c r="AY1394" s="29">
        <f t="shared" si="658"/>
        <v>0</v>
      </c>
      <c r="AZ1394" s="1">
        <f t="shared" si="670"/>
        <v>0</v>
      </c>
      <c r="CB1394" s="20">
        <f t="shared" si="679"/>
        <v>0</v>
      </c>
      <c r="CC1394" s="173">
        <f t="shared" si="671"/>
        <v>0</v>
      </c>
    </row>
    <row r="1395" spans="10:81" x14ac:dyDescent="0.25">
      <c r="J1395" s="7"/>
      <c r="K1395" s="8"/>
      <c r="L1395" s="16"/>
      <c r="M1395" s="22"/>
      <c r="N1395" s="22"/>
      <c r="O1395" s="22"/>
      <c r="P1395" s="22"/>
      <c r="Q1395" s="1">
        <f t="shared" si="672"/>
        <v>0.60744618579017706</v>
      </c>
      <c r="R1395" s="12">
        <f t="shared" ca="1" si="659"/>
        <v>40952</v>
      </c>
      <c r="S1395" s="88">
        <f t="shared" si="668"/>
        <v>0</v>
      </c>
      <c r="T1395" s="19">
        <f t="shared" si="660"/>
        <v>0</v>
      </c>
      <c r="U1395" s="19">
        <f t="shared" si="661"/>
        <v>0</v>
      </c>
      <c r="V1395" s="19">
        <f t="shared" si="677"/>
        <v>0</v>
      </c>
      <c r="W1395" s="20">
        <f t="shared" ca="1" si="662"/>
        <v>0</v>
      </c>
      <c r="X1395" s="19">
        <f t="shared" ca="1" si="663"/>
        <v>0</v>
      </c>
      <c r="Y1395" s="19">
        <f t="shared" ca="1" si="664"/>
        <v>0</v>
      </c>
      <c r="Z1395" s="20">
        <f t="shared" ca="1" si="665"/>
        <v>0</v>
      </c>
      <c r="AA1395" s="1">
        <f t="shared" si="673"/>
        <v>5432.58</v>
      </c>
      <c r="AB1395" s="91"/>
      <c r="AC1395" s="92"/>
      <c r="AD1395" s="101">
        <f t="shared" si="674"/>
        <v>82074</v>
      </c>
      <c r="AE1395" s="103">
        <f t="shared" si="675"/>
        <v>0</v>
      </c>
      <c r="AG1395" s="1">
        <f t="shared" si="666"/>
        <v>0</v>
      </c>
      <c r="AH1395" s="1">
        <f t="shared" si="667"/>
        <v>0</v>
      </c>
      <c r="AI1395" s="1">
        <f t="shared" si="676"/>
        <v>5432.58</v>
      </c>
      <c r="AJ1395" s="20">
        <f t="shared" si="678"/>
        <v>0</v>
      </c>
      <c r="AK1395" s="100">
        <f t="shared" si="650"/>
        <v>0</v>
      </c>
      <c r="AL1395" s="100">
        <f t="shared" si="651"/>
        <v>0</v>
      </c>
      <c r="AN1395" s="100">
        <f t="shared" si="652"/>
        <v>2721.3086151216962</v>
      </c>
      <c r="AO1395" s="20">
        <f t="shared" si="653"/>
        <v>0</v>
      </c>
      <c r="AQ1395" s="109">
        <f t="shared" si="654"/>
        <v>0</v>
      </c>
      <c r="AU1395" s="109">
        <f t="shared" si="669"/>
        <v>24.00352821058878</v>
      </c>
      <c r="AV1395" s="101">
        <f t="shared" si="655"/>
        <v>82104</v>
      </c>
      <c r="AW1395" s="99">
        <f t="shared" si="656"/>
        <v>0</v>
      </c>
      <c r="AX1395" s="1">
        <f t="shared" si="657"/>
        <v>0</v>
      </c>
      <c r="AY1395" s="29">
        <f t="shared" si="658"/>
        <v>0</v>
      </c>
      <c r="AZ1395" s="1">
        <f t="shared" si="670"/>
        <v>0</v>
      </c>
      <c r="CB1395" s="20">
        <f t="shared" si="679"/>
        <v>0</v>
      </c>
      <c r="CC1395" s="173">
        <f t="shared" si="671"/>
        <v>0</v>
      </c>
    </row>
    <row r="1396" spans="10:81" x14ac:dyDescent="0.25">
      <c r="J1396" s="9"/>
      <c r="K1396" s="10"/>
      <c r="L1396" s="17"/>
      <c r="M1396" s="23"/>
      <c r="N1396" s="23"/>
      <c r="O1396" s="23"/>
      <c r="P1396" s="23"/>
      <c r="Q1396" s="1">
        <f t="shared" si="672"/>
        <v>0.60744618579017706</v>
      </c>
      <c r="R1396" s="12">
        <f t="shared" ca="1" si="659"/>
        <v>40982</v>
      </c>
      <c r="S1396" s="88">
        <f t="shared" si="668"/>
        <v>0</v>
      </c>
      <c r="T1396" s="19">
        <f t="shared" si="660"/>
        <v>0</v>
      </c>
      <c r="U1396" s="19">
        <f t="shared" si="661"/>
        <v>0</v>
      </c>
      <c r="V1396" s="19">
        <f t="shared" si="677"/>
        <v>0</v>
      </c>
      <c r="W1396" s="20">
        <f t="shared" ca="1" si="662"/>
        <v>0</v>
      </c>
      <c r="X1396" s="19">
        <f t="shared" ca="1" si="663"/>
        <v>0</v>
      </c>
      <c r="Y1396" s="19">
        <f t="shared" ca="1" si="664"/>
        <v>0</v>
      </c>
      <c r="Z1396" s="20">
        <f t="shared" ca="1" si="665"/>
        <v>0</v>
      </c>
      <c r="AA1396" s="1">
        <f t="shared" si="673"/>
        <v>5432.58</v>
      </c>
      <c r="AB1396" s="93"/>
      <c r="AC1396" s="94"/>
      <c r="AD1396" s="101">
        <f t="shared" si="674"/>
        <v>82104</v>
      </c>
      <c r="AE1396" s="103">
        <f t="shared" si="675"/>
        <v>0</v>
      </c>
      <c r="AG1396" s="1">
        <f t="shared" si="666"/>
        <v>0</v>
      </c>
      <c r="AH1396" s="1">
        <f t="shared" si="667"/>
        <v>0</v>
      </c>
      <c r="AI1396" s="1">
        <f t="shared" si="676"/>
        <v>5432.58</v>
      </c>
      <c r="AJ1396" s="20">
        <f t="shared" si="678"/>
        <v>0</v>
      </c>
      <c r="AK1396" s="100">
        <f t="shared" si="650"/>
        <v>0</v>
      </c>
      <c r="AL1396" s="100">
        <f t="shared" si="651"/>
        <v>0</v>
      </c>
      <c r="AN1396" s="100">
        <f t="shared" si="652"/>
        <v>2719.9317716381202</v>
      </c>
      <c r="AO1396" s="20">
        <f t="shared" si="653"/>
        <v>0</v>
      </c>
      <c r="AQ1396" s="109">
        <f t="shared" si="654"/>
        <v>0</v>
      </c>
      <c r="AU1396" s="109">
        <f t="shared" si="669"/>
        <v>24.0014214191531</v>
      </c>
      <c r="AV1396" s="101">
        <f t="shared" si="655"/>
        <v>82134</v>
      </c>
      <c r="AW1396" s="99">
        <f t="shared" si="656"/>
        <v>0</v>
      </c>
      <c r="AX1396" s="1">
        <f t="shared" si="657"/>
        <v>0</v>
      </c>
      <c r="AY1396" s="29">
        <f t="shared" si="658"/>
        <v>0</v>
      </c>
      <c r="AZ1396" s="1">
        <f t="shared" si="670"/>
        <v>0</v>
      </c>
      <c r="CB1396" s="20">
        <f t="shared" si="679"/>
        <v>0</v>
      </c>
      <c r="CC1396" s="173">
        <f t="shared" si="671"/>
        <v>0</v>
      </c>
    </row>
    <row r="1397" spans="10:81" x14ac:dyDescent="0.25">
      <c r="J1397" s="7"/>
      <c r="K1397" s="8"/>
      <c r="L1397" s="16"/>
      <c r="M1397" s="22"/>
      <c r="N1397" s="22"/>
      <c r="O1397" s="22"/>
      <c r="P1397" s="22"/>
      <c r="Q1397" s="1">
        <f t="shared" si="672"/>
        <v>0.60744618579017706</v>
      </c>
      <c r="R1397" s="12">
        <f t="shared" ca="1" si="659"/>
        <v>41012</v>
      </c>
      <c r="S1397" s="88">
        <f t="shared" si="668"/>
        <v>0</v>
      </c>
      <c r="T1397" s="19">
        <f t="shared" si="660"/>
        <v>0</v>
      </c>
      <c r="U1397" s="19">
        <f t="shared" si="661"/>
        <v>0</v>
      </c>
      <c r="V1397" s="19">
        <f t="shared" si="677"/>
        <v>0</v>
      </c>
      <c r="W1397" s="20">
        <f t="shared" ca="1" si="662"/>
        <v>0</v>
      </c>
      <c r="X1397" s="19">
        <f t="shared" ca="1" si="663"/>
        <v>0</v>
      </c>
      <c r="Y1397" s="19">
        <f t="shared" ca="1" si="664"/>
        <v>0</v>
      </c>
      <c r="Z1397" s="20">
        <f t="shared" ca="1" si="665"/>
        <v>0</v>
      </c>
      <c r="AA1397" s="1">
        <f t="shared" si="673"/>
        <v>5432.58</v>
      </c>
      <c r="AB1397" s="91"/>
      <c r="AC1397" s="92"/>
      <c r="AD1397" s="101">
        <f t="shared" si="674"/>
        <v>82134</v>
      </c>
      <c r="AE1397" s="103">
        <f t="shared" si="675"/>
        <v>0</v>
      </c>
      <c r="AG1397" s="1">
        <f t="shared" si="666"/>
        <v>0</v>
      </c>
      <c r="AH1397" s="1">
        <f t="shared" si="667"/>
        <v>0</v>
      </c>
      <c r="AI1397" s="1">
        <f t="shared" si="676"/>
        <v>5432.58</v>
      </c>
      <c r="AJ1397" s="20">
        <f t="shared" si="678"/>
        <v>0</v>
      </c>
      <c r="AK1397" s="100">
        <f t="shared" si="650"/>
        <v>0</v>
      </c>
      <c r="AL1397" s="100">
        <f t="shared" si="651"/>
        <v>0</v>
      </c>
      <c r="AN1397" s="100">
        <f t="shared" si="652"/>
        <v>2718.5556247671843</v>
      </c>
      <c r="AO1397" s="20">
        <f t="shared" si="653"/>
        <v>0</v>
      </c>
      <c r="AQ1397" s="109">
        <f t="shared" si="654"/>
        <v>0</v>
      </c>
      <c r="AU1397" s="109">
        <f t="shared" si="669"/>
        <v>23.999314812630669</v>
      </c>
      <c r="AV1397" s="101">
        <f t="shared" si="655"/>
        <v>82164</v>
      </c>
      <c r="AW1397" s="99">
        <f t="shared" si="656"/>
        <v>0</v>
      </c>
      <c r="AX1397" s="1">
        <f t="shared" si="657"/>
        <v>0</v>
      </c>
      <c r="AY1397" s="29">
        <f t="shared" si="658"/>
        <v>0</v>
      </c>
      <c r="AZ1397" s="1">
        <f t="shared" si="670"/>
        <v>0</v>
      </c>
      <c r="CB1397" s="20">
        <f t="shared" si="679"/>
        <v>0</v>
      </c>
      <c r="CC1397" s="173">
        <f t="shared" si="671"/>
        <v>0</v>
      </c>
    </row>
    <row r="1398" spans="10:81" x14ac:dyDescent="0.25">
      <c r="J1398" s="9"/>
      <c r="K1398" s="10"/>
      <c r="L1398" s="17"/>
      <c r="M1398" s="23"/>
      <c r="N1398" s="23"/>
      <c r="O1398" s="23"/>
      <c r="P1398" s="23"/>
      <c r="Q1398" s="1">
        <f t="shared" si="672"/>
        <v>0.60744618579017706</v>
      </c>
      <c r="R1398" s="12">
        <f t="shared" ca="1" si="659"/>
        <v>41042</v>
      </c>
      <c r="S1398" s="88">
        <f t="shared" si="668"/>
        <v>0</v>
      </c>
      <c r="T1398" s="19">
        <f t="shared" si="660"/>
        <v>0</v>
      </c>
      <c r="U1398" s="19">
        <f t="shared" si="661"/>
        <v>0</v>
      </c>
      <c r="V1398" s="19">
        <f t="shared" si="677"/>
        <v>0</v>
      </c>
      <c r="W1398" s="20">
        <f t="shared" ca="1" si="662"/>
        <v>0</v>
      </c>
      <c r="X1398" s="19">
        <f t="shared" ca="1" si="663"/>
        <v>0</v>
      </c>
      <c r="Y1398" s="19">
        <f t="shared" ca="1" si="664"/>
        <v>0</v>
      </c>
      <c r="Z1398" s="20">
        <f t="shared" ca="1" si="665"/>
        <v>0</v>
      </c>
      <c r="AA1398" s="1">
        <f t="shared" si="673"/>
        <v>5432.58</v>
      </c>
      <c r="AB1398" s="93"/>
      <c r="AC1398" s="94"/>
      <c r="AD1398" s="101">
        <f t="shared" si="674"/>
        <v>82164</v>
      </c>
      <c r="AE1398" s="103">
        <f t="shared" si="675"/>
        <v>0</v>
      </c>
      <c r="AG1398" s="1">
        <f t="shared" si="666"/>
        <v>0</v>
      </c>
      <c r="AH1398" s="1">
        <f t="shared" si="667"/>
        <v>0</v>
      </c>
      <c r="AI1398" s="1">
        <f t="shared" si="676"/>
        <v>5432.58</v>
      </c>
      <c r="AJ1398" s="20">
        <f t="shared" si="678"/>
        <v>0</v>
      </c>
      <c r="AK1398" s="100">
        <f t="shared" ref="AK1398:AK1461" si="680">IF(ISERROR(AJ1398/(1+(Q1398)/1200)^(ROW()-29)),0,AJ1398/(1+(Q1398)/1200)^(ROW()-29))</f>
        <v>0</v>
      </c>
      <c r="AL1398" s="100">
        <f t="shared" ref="AL1398:AL1461" si="681">IF(ISERROR((Q1398/1200)*O1398),0,(Q1398/1200)*O1398)</f>
        <v>0</v>
      </c>
      <c r="AN1398" s="100">
        <f t="shared" ref="AN1398:AN1461" si="682">IF(ISERROR(AA1398/(1+(Q1398)/1200)^(ROW()-29)),0,AA1398/(1+(Q1398)/1200)^(ROW()-29))</f>
        <v>2717.1801741564368</v>
      </c>
      <c r="AO1398" s="20">
        <f t="shared" ref="AO1398:AO1461" si="683">IF(ISERROR(V1397+U1398+T1398+(V1397*Q1398/1200)-AA1398-P1398),0,IF(V1397+U1398+T1398+(V1397*Q1398/1200)-AA1398-P1398&lt;0,V1397,-(U1398+T1398-AA1398+P1398-AH1398)))</f>
        <v>0</v>
      </c>
      <c r="AQ1398" s="109">
        <f t="shared" ref="AQ1398:AQ1461" si="684">AO1398/(1+((1+$AM$27)^((ROW()-29)*30)-1))</f>
        <v>0</v>
      </c>
      <c r="AU1398" s="109">
        <f t="shared" si="669"/>
        <v>23.997208391005231</v>
      </c>
      <c r="AV1398" s="101">
        <f t="shared" ref="AV1398:AV1461" si="685">AD1399</f>
        <v>82194</v>
      </c>
      <c r="AW1398" s="99">
        <f t="shared" ref="AW1398:AW1461" si="686">IF(AJ1399&lt;0,0,AJ1399)</f>
        <v>0</v>
      </c>
      <c r="AX1398" s="1">
        <f t="shared" ref="AX1398:AX1461" si="687">IF(AG1398&gt;0,AA1398,0)</f>
        <v>0</v>
      </c>
      <c r="AY1398" s="29">
        <f t="shared" ref="AY1398:AY1461" si="688">AE1398</f>
        <v>0</v>
      </c>
      <c r="AZ1398" s="1">
        <f t="shared" si="670"/>
        <v>0</v>
      </c>
      <c r="CB1398" s="20">
        <f t="shared" si="679"/>
        <v>0</v>
      </c>
      <c r="CC1398" s="173">
        <f t="shared" si="671"/>
        <v>0</v>
      </c>
    </row>
    <row r="1399" spans="10:81" x14ac:dyDescent="0.25">
      <c r="J1399" s="7"/>
      <c r="K1399" s="8"/>
      <c r="L1399" s="16"/>
      <c r="M1399" s="22"/>
      <c r="N1399" s="22"/>
      <c r="O1399" s="22"/>
      <c r="P1399" s="22"/>
      <c r="Q1399" s="1">
        <f t="shared" si="672"/>
        <v>0.60744618579017706</v>
      </c>
      <c r="R1399" s="12">
        <f t="shared" ref="R1399:R1462" ca="1" si="689">IF(ROW()&gt;$T$20,R1398+30,DAYS360(K1398,K1399)+R1398)</f>
        <v>41072</v>
      </c>
      <c r="S1399" s="88">
        <f t="shared" si="668"/>
        <v>0</v>
      </c>
      <c r="T1399" s="19">
        <f t="shared" ref="T1399:T1462" si="690">IF(ISERROR((previousBalance*Q1399/1200)*(IF(ROW()-30&lt;$G$22,$G$21,0))),0,(previousBalance*Q1399/1200)*(IF(ROW()-30&lt;$G$22,$G$21,0)))</f>
        <v>0</v>
      </c>
      <c r="U1399" s="19">
        <f t="shared" ref="U1399:U1462" si="691">AA1399*(IF(ROW()-30&lt;$H$22,$H$21,0))</f>
        <v>0</v>
      </c>
      <c r="V1399" s="19">
        <f t="shared" si="677"/>
        <v>0</v>
      </c>
      <c r="W1399" s="20">
        <f t="shared" ref="W1399:W1462" ca="1" si="692">(T1399)/(1+((1+$T$12)^$R1399-1))</f>
        <v>0</v>
      </c>
      <c r="X1399" s="19">
        <f t="shared" ref="X1399:X1462" ca="1" si="693">(U1399)/(1+((1+$T$12)^$R1399-1))</f>
        <v>0</v>
      </c>
      <c r="Y1399" s="19">
        <f t="shared" ref="Y1399:Y1462" ca="1" si="694">P1399/(1+((1+$T$12)^$R1399-1))</f>
        <v>0</v>
      </c>
      <c r="Z1399" s="20">
        <f t="shared" ref="Z1399:Z1462" ca="1" si="695">W1399+X1399</f>
        <v>0</v>
      </c>
      <c r="AA1399" s="1">
        <f t="shared" si="673"/>
        <v>5432.58</v>
      </c>
      <c r="AB1399" s="91"/>
      <c r="AC1399" s="92"/>
      <c r="AD1399" s="101">
        <f t="shared" si="674"/>
        <v>82194</v>
      </c>
      <c r="AE1399" s="103">
        <f t="shared" si="675"/>
        <v>0</v>
      </c>
      <c r="AG1399" s="1">
        <f t="shared" ref="AG1399:AG1462" si="696">AE1399/360</f>
        <v>0</v>
      </c>
      <c r="AH1399" s="1">
        <f t="shared" ref="AH1399:AH1462" si="697">IF(ISERROR(IF(V1398+U1399+T1399+(V1398*Q1399/1200)-AA1399-P1399&lt;0,0,(V1398*Q1399/1200))),0,IF(V1398+U1399+T1399+(V1398*Q1399/1200)-AA1399-P1399&lt;0,0,(V1398*Q1399/1200)))</f>
        <v>0</v>
      </c>
      <c r="AI1399" s="1">
        <f t="shared" si="676"/>
        <v>5432.58</v>
      </c>
      <c r="AJ1399" s="20">
        <f t="shared" si="678"/>
        <v>0</v>
      </c>
      <c r="AK1399" s="100">
        <f t="shared" si="680"/>
        <v>0</v>
      </c>
      <c r="AL1399" s="100">
        <f t="shared" si="681"/>
        <v>0</v>
      </c>
      <c r="AN1399" s="100">
        <f t="shared" si="682"/>
        <v>2715.8054194536076</v>
      </c>
      <c r="AO1399" s="20">
        <f t="shared" si="683"/>
        <v>0</v>
      </c>
      <c r="AQ1399" s="109">
        <f t="shared" si="684"/>
        <v>0</v>
      </c>
      <c r="AU1399" s="109">
        <f t="shared" si="669"/>
        <v>23.995102154260586</v>
      </c>
      <c r="AV1399" s="101">
        <f t="shared" si="685"/>
        <v>82224</v>
      </c>
      <c r="AW1399" s="99">
        <f t="shared" si="686"/>
        <v>0</v>
      </c>
      <c r="AX1399" s="1">
        <f t="shared" si="687"/>
        <v>0</v>
      </c>
      <c r="AY1399" s="29">
        <f t="shared" si="688"/>
        <v>0</v>
      </c>
      <c r="AZ1399" s="1">
        <f t="shared" si="670"/>
        <v>0</v>
      </c>
      <c r="CB1399" s="20">
        <f t="shared" si="679"/>
        <v>0</v>
      </c>
      <c r="CC1399" s="173">
        <f t="shared" si="671"/>
        <v>0</v>
      </c>
    </row>
    <row r="1400" spans="10:81" x14ac:dyDescent="0.25">
      <c r="J1400" s="9"/>
      <c r="K1400" s="10"/>
      <c r="L1400" s="17"/>
      <c r="M1400" s="23"/>
      <c r="N1400" s="23"/>
      <c r="O1400" s="23"/>
      <c r="P1400" s="23"/>
      <c r="Q1400" s="1">
        <f t="shared" si="672"/>
        <v>0.60744618579017706</v>
      </c>
      <c r="R1400" s="12">
        <f t="shared" ca="1" si="689"/>
        <v>41102</v>
      </c>
      <c r="S1400" s="88">
        <f t="shared" si="668"/>
        <v>0</v>
      </c>
      <c r="T1400" s="19">
        <f t="shared" si="690"/>
        <v>0</v>
      </c>
      <c r="U1400" s="19">
        <f t="shared" si="691"/>
        <v>0</v>
      </c>
      <c r="V1400" s="19">
        <f t="shared" si="677"/>
        <v>0</v>
      </c>
      <c r="W1400" s="20">
        <f t="shared" ca="1" si="692"/>
        <v>0</v>
      </c>
      <c r="X1400" s="19">
        <f t="shared" ca="1" si="693"/>
        <v>0</v>
      </c>
      <c r="Y1400" s="19">
        <f t="shared" ca="1" si="694"/>
        <v>0</v>
      </c>
      <c r="Z1400" s="20">
        <f t="shared" ca="1" si="695"/>
        <v>0</v>
      </c>
      <c r="AA1400" s="1">
        <f t="shared" si="673"/>
        <v>5432.58</v>
      </c>
      <c r="AB1400" s="93"/>
      <c r="AC1400" s="94"/>
      <c r="AD1400" s="101">
        <f t="shared" si="674"/>
        <v>82224</v>
      </c>
      <c r="AE1400" s="103">
        <f t="shared" si="675"/>
        <v>0</v>
      </c>
      <c r="AG1400" s="1">
        <f t="shared" si="696"/>
        <v>0</v>
      </c>
      <c r="AH1400" s="1">
        <f t="shared" si="697"/>
        <v>0</v>
      </c>
      <c r="AI1400" s="1">
        <f t="shared" si="676"/>
        <v>5432.58</v>
      </c>
      <c r="AJ1400" s="20">
        <f t="shared" si="678"/>
        <v>0</v>
      </c>
      <c r="AK1400" s="100">
        <f t="shared" si="680"/>
        <v>0</v>
      </c>
      <c r="AL1400" s="100">
        <f t="shared" si="681"/>
        <v>0</v>
      </c>
      <c r="AN1400" s="100">
        <f t="shared" si="682"/>
        <v>2714.4313603066012</v>
      </c>
      <c r="AO1400" s="20">
        <f t="shared" si="683"/>
        <v>0</v>
      </c>
      <c r="AQ1400" s="109">
        <f t="shared" si="684"/>
        <v>0</v>
      </c>
      <c r="AU1400" s="109">
        <f t="shared" si="669"/>
        <v>23.992996102380488</v>
      </c>
      <c r="AV1400" s="101">
        <f t="shared" si="685"/>
        <v>82254</v>
      </c>
      <c r="AW1400" s="99">
        <f t="shared" si="686"/>
        <v>0</v>
      </c>
      <c r="AX1400" s="1">
        <f t="shared" si="687"/>
        <v>0</v>
      </c>
      <c r="AY1400" s="29">
        <f t="shared" si="688"/>
        <v>0</v>
      </c>
      <c r="AZ1400" s="1">
        <f t="shared" si="670"/>
        <v>0</v>
      </c>
      <c r="CB1400" s="20">
        <f t="shared" si="679"/>
        <v>0</v>
      </c>
      <c r="CC1400" s="173">
        <f t="shared" si="671"/>
        <v>0</v>
      </c>
    </row>
    <row r="1401" spans="10:81" x14ac:dyDescent="0.25">
      <c r="J1401" s="7"/>
      <c r="K1401" s="8"/>
      <c r="L1401" s="16"/>
      <c r="M1401" s="22"/>
      <c r="N1401" s="22"/>
      <c r="O1401" s="22"/>
      <c r="P1401" s="22"/>
      <c r="Q1401" s="1">
        <f t="shared" si="672"/>
        <v>0.60744618579017706</v>
      </c>
      <c r="R1401" s="12">
        <f t="shared" ca="1" si="689"/>
        <v>41132</v>
      </c>
      <c r="S1401" s="88">
        <f t="shared" si="668"/>
        <v>0</v>
      </c>
      <c r="T1401" s="19">
        <f t="shared" si="690"/>
        <v>0</v>
      </c>
      <c r="U1401" s="19">
        <f t="shared" si="691"/>
        <v>0</v>
      </c>
      <c r="V1401" s="19">
        <f t="shared" si="677"/>
        <v>0</v>
      </c>
      <c r="W1401" s="20">
        <f t="shared" ca="1" si="692"/>
        <v>0</v>
      </c>
      <c r="X1401" s="19">
        <f t="shared" ca="1" si="693"/>
        <v>0</v>
      </c>
      <c r="Y1401" s="19">
        <f t="shared" ca="1" si="694"/>
        <v>0</v>
      </c>
      <c r="Z1401" s="20">
        <f t="shared" ca="1" si="695"/>
        <v>0</v>
      </c>
      <c r="AA1401" s="1">
        <f t="shared" si="673"/>
        <v>5432.58</v>
      </c>
      <c r="AB1401" s="91"/>
      <c r="AC1401" s="92"/>
      <c r="AD1401" s="101">
        <f t="shared" si="674"/>
        <v>82254</v>
      </c>
      <c r="AE1401" s="103">
        <f t="shared" si="675"/>
        <v>0</v>
      </c>
      <c r="AG1401" s="1">
        <f t="shared" si="696"/>
        <v>0</v>
      </c>
      <c r="AH1401" s="1">
        <f t="shared" si="697"/>
        <v>0</v>
      </c>
      <c r="AI1401" s="1">
        <f t="shared" si="676"/>
        <v>5432.58</v>
      </c>
      <c r="AJ1401" s="20">
        <f t="shared" si="678"/>
        <v>0</v>
      </c>
      <c r="AK1401" s="100">
        <f t="shared" si="680"/>
        <v>0</v>
      </c>
      <c r="AL1401" s="100">
        <f t="shared" si="681"/>
        <v>0</v>
      </c>
      <c r="AN1401" s="100">
        <f t="shared" si="682"/>
        <v>2713.0579963635014</v>
      </c>
      <c r="AO1401" s="20">
        <f t="shared" si="683"/>
        <v>0</v>
      </c>
      <c r="AQ1401" s="109">
        <f t="shared" si="684"/>
        <v>0</v>
      </c>
      <c r="AU1401" s="109">
        <f t="shared" si="669"/>
        <v>23.990890235348729</v>
      </c>
      <c r="AV1401" s="101">
        <f t="shared" si="685"/>
        <v>82284</v>
      </c>
      <c r="AW1401" s="99">
        <f t="shared" si="686"/>
        <v>0</v>
      </c>
      <c r="AX1401" s="1">
        <f t="shared" si="687"/>
        <v>0</v>
      </c>
      <c r="AY1401" s="29">
        <f t="shared" si="688"/>
        <v>0</v>
      </c>
      <c r="AZ1401" s="1">
        <f t="shared" si="670"/>
        <v>0</v>
      </c>
      <c r="CB1401" s="20">
        <f t="shared" si="679"/>
        <v>0</v>
      </c>
      <c r="CC1401" s="173">
        <f t="shared" si="671"/>
        <v>0</v>
      </c>
    </row>
    <row r="1402" spans="10:81" x14ac:dyDescent="0.25">
      <c r="J1402" s="9"/>
      <c r="K1402" s="10"/>
      <c r="L1402" s="17"/>
      <c r="M1402" s="23"/>
      <c r="N1402" s="23"/>
      <c r="O1402" s="23"/>
      <c r="P1402" s="23"/>
      <c r="Q1402" s="1">
        <f t="shared" si="672"/>
        <v>0.60744618579017706</v>
      </c>
      <c r="R1402" s="12">
        <f t="shared" ca="1" si="689"/>
        <v>41162</v>
      </c>
      <c r="S1402" s="88">
        <f t="shared" si="668"/>
        <v>0</v>
      </c>
      <c r="T1402" s="19">
        <f t="shared" si="690"/>
        <v>0</v>
      </c>
      <c r="U1402" s="19">
        <f t="shared" si="691"/>
        <v>0</v>
      </c>
      <c r="V1402" s="19">
        <f t="shared" si="677"/>
        <v>0</v>
      </c>
      <c r="W1402" s="20">
        <f t="shared" ca="1" si="692"/>
        <v>0</v>
      </c>
      <c r="X1402" s="19">
        <f t="shared" ca="1" si="693"/>
        <v>0</v>
      </c>
      <c r="Y1402" s="19">
        <f t="shared" ca="1" si="694"/>
        <v>0</v>
      </c>
      <c r="Z1402" s="20">
        <f t="shared" ca="1" si="695"/>
        <v>0</v>
      </c>
      <c r="AA1402" s="1">
        <f t="shared" si="673"/>
        <v>5432.58</v>
      </c>
      <c r="AB1402" s="93"/>
      <c r="AC1402" s="94"/>
      <c r="AD1402" s="101">
        <f t="shared" si="674"/>
        <v>82284</v>
      </c>
      <c r="AE1402" s="103">
        <f t="shared" si="675"/>
        <v>0</v>
      </c>
      <c r="AG1402" s="1">
        <f t="shared" si="696"/>
        <v>0</v>
      </c>
      <c r="AH1402" s="1">
        <f t="shared" si="697"/>
        <v>0</v>
      </c>
      <c r="AI1402" s="1">
        <f t="shared" si="676"/>
        <v>5432.58</v>
      </c>
      <c r="AJ1402" s="20">
        <f t="shared" si="678"/>
        <v>0</v>
      </c>
      <c r="AK1402" s="100">
        <f t="shared" si="680"/>
        <v>0</v>
      </c>
      <c r="AL1402" s="100">
        <f t="shared" si="681"/>
        <v>0</v>
      </c>
      <c r="AN1402" s="100">
        <f t="shared" si="682"/>
        <v>2711.6853272725725</v>
      </c>
      <c r="AO1402" s="20">
        <f t="shared" si="683"/>
        <v>0</v>
      </c>
      <c r="AQ1402" s="109">
        <f t="shared" si="684"/>
        <v>0</v>
      </c>
      <c r="AU1402" s="109">
        <f t="shared" si="669"/>
        <v>23.988784553149067</v>
      </c>
      <c r="AV1402" s="101">
        <f t="shared" si="685"/>
        <v>82314</v>
      </c>
      <c r="AW1402" s="99">
        <f t="shared" si="686"/>
        <v>0</v>
      </c>
      <c r="AX1402" s="1">
        <f t="shared" si="687"/>
        <v>0</v>
      </c>
      <c r="AY1402" s="29">
        <f t="shared" si="688"/>
        <v>0</v>
      </c>
      <c r="AZ1402" s="1">
        <f t="shared" si="670"/>
        <v>0</v>
      </c>
      <c r="CB1402" s="20">
        <f t="shared" si="679"/>
        <v>0</v>
      </c>
      <c r="CC1402" s="173">
        <f t="shared" si="671"/>
        <v>0</v>
      </c>
    </row>
    <row r="1403" spans="10:81" x14ac:dyDescent="0.25">
      <c r="J1403" s="7"/>
      <c r="K1403" s="8"/>
      <c r="L1403" s="16"/>
      <c r="M1403" s="22"/>
      <c r="N1403" s="22"/>
      <c r="O1403" s="22"/>
      <c r="P1403" s="22"/>
      <c r="Q1403" s="1">
        <f t="shared" si="672"/>
        <v>0.60744618579017706</v>
      </c>
      <c r="R1403" s="12">
        <f t="shared" ca="1" si="689"/>
        <v>41192</v>
      </c>
      <c r="S1403" s="88">
        <f t="shared" si="668"/>
        <v>0</v>
      </c>
      <c r="T1403" s="19">
        <f t="shared" si="690"/>
        <v>0</v>
      </c>
      <c r="U1403" s="19">
        <f t="shared" si="691"/>
        <v>0</v>
      </c>
      <c r="V1403" s="19">
        <f t="shared" si="677"/>
        <v>0</v>
      </c>
      <c r="W1403" s="20">
        <f t="shared" ca="1" si="692"/>
        <v>0</v>
      </c>
      <c r="X1403" s="19">
        <f t="shared" ca="1" si="693"/>
        <v>0</v>
      </c>
      <c r="Y1403" s="19">
        <f t="shared" ca="1" si="694"/>
        <v>0</v>
      </c>
      <c r="Z1403" s="20">
        <f t="shared" ca="1" si="695"/>
        <v>0</v>
      </c>
      <c r="AA1403" s="1">
        <f t="shared" si="673"/>
        <v>5432.58</v>
      </c>
      <c r="AB1403" s="91"/>
      <c r="AC1403" s="92"/>
      <c r="AD1403" s="101">
        <f t="shared" si="674"/>
        <v>82314</v>
      </c>
      <c r="AE1403" s="103">
        <f t="shared" si="675"/>
        <v>0</v>
      </c>
      <c r="AG1403" s="1">
        <f t="shared" si="696"/>
        <v>0</v>
      </c>
      <c r="AH1403" s="1">
        <f t="shared" si="697"/>
        <v>0</v>
      </c>
      <c r="AI1403" s="1">
        <f t="shared" si="676"/>
        <v>5432.58</v>
      </c>
      <c r="AJ1403" s="20">
        <f t="shared" si="678"/>
        <v>0</v>
      </c>
      <c r="AK1403" s="100">
        <f t="shared" si="680"/>
        <v>0</v>
      </c>
      <c r="AL1403" s="100">
        <f t="shared" si="681"/>
        <v>0</v>
      </c>
      <c r="AN1403" s="100">
        <f t="shared" si="682"/>
        <v>2710.3133526822526</v>
      </c>
      <c r="AO1403" s="20">
        <f t="shared" si="683"/>
        <v>0</v>
      </c>
      <c r="AQ1403" s="109">
        <f t="shared" si="684"/>
        <v>0</v>
      </c>
      <c r="AU1403" s="109">
        <f t="shared" si="669"/>
        <v>23.986679055765276</v>
      </c>
      <c r="AV1403" s="101">
        <f t="shared" si="685"/>
        <v>82344</v>
      </c>
      <c r="AW1403" s="99">
        <f t="shared" si="686"/>
        <v>0</v>
      </c>
      <c r="AX1403" s="1">
        <f t="shared" si="687"/>
        <v>0</v>
      </c>
      <c r="AY1403" s="29">
        <f t="shared" si="688"/>
        <v>0</v>
      </c>
      <c r="AZ1403" s="1">
        <f t="shared" si="670"/>
        <v>0</v>
      </c>
      <c r="CB1403" s="20">
        <f t="shared" si="679"/>
        <v>0</v>
      </c>
      <c r="CC1403" s="173">
        <f t="shared" si="671"/>
        <v>0</v>
      </c>
    </row>
    <row r="1404" spans="10:81" x14ac:dyDescent="0.25">
      <c r="J1404" s="9"/>
      <c r="K1404" s="10"/>
      <c r="L1404" s="17"/>
      <c r="M1404" s="23"/>
      <c r="N1404" s="23"/>
      <c r="O1404" s="23"/>
      <c r="P1404" s="23"/>
      <c r="Q1404" s="1">
        <f t="shared" si="672"/>
        <v>0.60744618579017706</v>
      </c>
      <c r="R1404" s="12">
        <f t="shared" ca="1" si="689"/>
        <v>41222</v>
      </c>
      <c r="S1404" s="88">
        <f t="shared" si="668"/>
        <v>0</v>
      </c>
      <c r="T1404" s="19">
        <f t="shared" si="690"/>
        <v>0</v>
      </c>
      <c r="U1404" s="19">
        <f t="shared" si="691"/>
        <v>0</v>
      </c>
      <c r="V1404" s="19">
        <f t="shared" si="677"/>
        <v>0</v>
      </c>
      <c r="W1404" s="20">
        <f t="shared" ca="1" si="692"/>
        <v>0</v>
      </c>
      <c r="X1404" s="19">
        <f t="shared" ca="1" si="693"/>
        <v>0</v>
      </c>
      <c r="Y1404" s="19">
        <f t="shared" ca="1" si="694"/>
        <v>0</v>
      </c>
      <c r="Z1404" s="20">
        <f t="shared" ca="1" si="695"/>
        <v>0</v>
      </c>
      <c r="AA1404" s="1">
        <f t="shared" si="673"/>
        <v>5432.58</v>
      </c>
      <c r="AB1404" s="93"/>
      <c r="AC1404" s="94"/>
      <c r="AD1404" s="101">
        <f t="shared" si="674"/>
        <v>82344</v>
      </c>
      <c r="AE1404" s="103">
        <f t="shared" si="675"/>
        <v>0</v>
      </c>
      <c r="AG1404" s="1">
        <f t="shared" si="696"/>
        <v>0</v>
      </c>
      <c r="AH1404" s="1">
        <f t="shared" si="697"/>
        <v>0</v>
      </c>
      <c r="AI1404" s="1">
        <f t="shared" si="676"/>
        <v>5432.58</v>
      </c>
      <c r="AJ1404" s="20">
        <f t="shared" si="678"/>
        <v>0</v>
      </c>
      <c r="AK1404" s="100">
        <f t="shared" si="680"/>
        <v>0</v>
      </c>
      <c r="AL1404" s="100">
        <f t="shared" si="681"/>
        <v>0</v>
      </c>
      <c r="AN1404" s="100">
        <f t="shared" si="682"/>
        <v>2708.9420722411614</v>
      </c>
      <c r="AO1404" s="20">
        <f t="shared" si="683"/>
        <v>0</v>
      </c>
      <c r="AQ1404" s="109">
        <f t="shared" si="684"/>
        <v>0</v>
      </c>
      <c r="AU1404" s="109">
        <f t="shared" si="669"/>
        <v>23.984573743181155</v>
      </c>
      <c r="AV1404" s="101">
        <f t="shared" si="685"/>
        <v>82374</v>
      </c>
      <c r="AW1404" s="99">
        <f t="shared" si="686"/>
        <v>0</v>
      </c>
      <c r="AX1404" s="1">
        <f t="shared" si="687"/>
        <v>0</v>
      </c>
      <c r="AY1404" s="29">
        <f t="shared" si="688"/>
        <v>0</v>
      </c>
      <c r="AZ1404" s="1">
        <f t="shared" si="670"/>
        <v>0</v>
      </c>
      <c r="CB1404" s="20">
        <f t="shared" si="679"/>
        <v>0</v>
      </c>
      <c r="CC1404" s="173">
        <f t="shared" si="671"/>
        <v>0</v>
      </c>
    </row>
    <row r="1405" spans="10:81" x14ac:dyDescent="0.25">
      <c r="J1405" s="7"/>
      <c r="K1405" s="8"/>
      <c r="L1405" s="16"/>
      <c r="M1405" s="22"/>
      <c r="N1405" s="22"/>
      <c r="O1405" s="22"/>
      <c r="P1405" s="22"/>
      <c r="Q1405" s="1">
        <f t="shared" si="672"/>
        <v>0.60744618579017706</v>
      </c>
      <c r="R1405" s="12">
        <f t="shared" ca="1" si="689"/>
        <v>41252</v>
      </c>
      <c r="S1405" s="88">
        <f t="shared" si="668"/>
        <v>0</v>
      </c>
      <c r="T1405" s="19">
        <f t="shared" si="690"/>
        <v>0</v>
      </c>
      <c r="U1405" s="19">
        <f t="shared" si="691"/>
        <v>0</v>
      </c>
      <c r="V1405" s="19">
        <f t="shared" si="677"/>
        <v>0</v>
      </c>
      <c r="W1405" s="20">
        <f t="shared" ca="1" si="692"/>
        <v>0</v>
      </c>
      <c r="X1405" s="19">
        <f t="shared" ca="1" si="693"/>
        <v>0</v>
      </c>
      <c r="Y1405" s="19">
        <f t="shared" ca="1" si="694"/>
        <v>0</v>
      </c>
      <c r="Z1405" s="20">
        <f t="shared" ca="1" si="695"/>
        <v>0</v>
      </c>
      <c r="AA1405" s="1">
        <f t="shared" si="673"/>
        <v>5432.58</v>
      </c>
      <c r="AB1405" s="91"/>
      <c r="AC1405" s="92"/>
      <c r="AD1405" s="101">
        <f t="shared" si="674"/>
        <v>82374</v>
      </c>
      <c r="AE1405" s="103">
        <f t="shared" si="675"/>
        <v>0</v>
      </c>
      <c r="AG1405" s="1">
        <f t="shared" si="696"/>
        <v>0</v>
      </c>
      <c r="AH1405" s="1">
        <f t="shared" si="697"/>
        <v>0</v>
      </c>
      <c r="AI1405" s="1">
        <f t="shared" si="676"/>
        <v>5432.58</v>
      </c>
      <c r="AJ1405" s="20">
        <f t="shared" si="678"/>
        <v>0</v>
      </c>
      <c r="AK1405" s="100">
        <f t="shared" si="680"/>
        <v>0</v>
      </c>
      <c r="AL1405" s="100">
        <f t="shared" si="681"/>
        <v>0</v>
      </c>
      <c r="AN1405" s="100">
        <f t="shared" si="682"/>
        <v>2707.5714855980941</v>
      </c>
      <c r="AO1405" s="20">
        <f t="shared" si="683"/>
        <v>0</v>
      </c>
      <c r="AQ1405" s="109">
        <f t="shared" si="684"/>
        <v>0</v>
      </c>
      <c r="AU1405" s="109">
        <f t="shared" si="669"/>
        <v>23.982468615380476</v>
      </c>
      <c r="AV1405" s="101">
        <f t="shared" si="685"/>
        <v>82404</v>
      </c>
      <c r="AW1405" s="99">
        <f t="shared" si="686"/>
        <v>0</v>
      </c>
      <c r="AX1405" s="1">
        <f t="shared" si="687"/>
        <v>0</v>
      </c>
      <c r="AY1405" s="29">
        <f t="shared" si="688"/>
        <v>0</v>
      </c>
      <c r="AZ1405" s="1">
        <f t="shared" si="670"/>
        <v>0</v>
      </c>
      <c r="CB1405" s="20">
        <f t="shared" si="679"/>
        <v>0</v>
      </c>
      <c r="CC1405" s="173">
        <f t="shared" si="671"/>
        <v>0</v>
      </c>
    </row>
    <row r="1406" spans="10:81" x14ac:dyDescent="0.25">
      <c r="J1406" s="9"/>
      <c r="K1406" s="10"/>
      <c r="L1406" s="17"/>
      <c r="M1406" s="23"/>
      <c r="N1406" s="23"/>
      <c r="O1406" s="23"/>
      <c r="P1406" s="23"/>
      <c r="Q1406" s="1">
        <f t="shared" si="672"/>
        <v>0.60744618579017706</v>
      </c>
      <c r="R1406" s="12">
        <f t="shared" ca="1" si="689"/>
        <v>41282</v>
      </c>
      <c r="S1406" s="88">
        <f t="shared" si="668"/>
        <v>0</v>
      </c>
      <c r="T1406" s="19">
        <f t="shared" si="690"/>
        <v>0</v>
      </c>
      <c r="U1406" s="19">
        <f t="shared" si="691"/>
        <v>0</v>
      </c>
      <c r="V1406" s="19">
        <f t="shared" si="677"/>
        <v>0</v>
      </c>
      <c r="W1406" s="20">
        <f t="shared" ca="1" si="692"/>
        <v>0</v>
      </c>
      <c r="X1406" s="19">
        <f t="shared" ca="1" si="693"/>
        <v>0</v>
      </c>
      <c r="Y1406" s="19">
        <f t="shared" ca="1" si="694"/>
        <v>0</v>
      </c>
      <c r="Z1406" s="20">
        <f t="shared" ca="1" si="695"/>
        <v>0</v>
      </c>
      <c r="AA1406" s="1">
        <f t="shared" si="673"/>
        <v>5432.58</v>
      </c>
      <c r="AB1406" s="93"/>
      <c r="AC1406" s="94"/>
      <c r="AD1406" s="101">
        <f t="shared" si="674"/>
        <v>82404</v>
      </c>
      <c r="AE1406" s="103">
        <f t="shared" si="675"/>
        <v>0</v>
      </c>
      <c r="AG1406" s="1">
        <f t="shared" si="696"/>
        <v>0</v>
      </c>
      <c r="AH1406" s="1">
        <f t="shared" si="697"/>
        <v>0</v>
      </c>
      <c r="AI1406" s="1">
        <f t="shared" si="676"/>
        <v>5432.58</v>
      </c>
      <c r="AJ1406" s="20">
        <f t="shared" si="678"/>
        <v>0</v>
      </c>
      <c r="AK1406" s="100">
        <f t="shared" si="680"/>
        <v>0</v>
      </c>
      <c r="AL1406" s="100">
        <f t="shared" si="681"/>
        <v>0</v>
      </c>
      <c r="AN1406" s="100">
        <f t="shared" si="682"/>
        <v>2706.2015924020243</v>
      </c>
      <c r="AO1406" s="20">
        <f t="shared" si="683"/>
        <v>0</v>
      </c>
      <c r="AQ1406" s="109">
        <f t="shared" si="684"/>
        <v>0</v>
      </c>
      <c r="AU1406" s="109">
        <f t="shared" si="669"/>
        <v>23.980363672347021</v>
      </c>
      <c r="AV1406" s="101">
        <f t="shared" si="685"/>
        <v>82434</v>
      </c>
      <c r="AW1406" s="99">
        <f t="shared" si="686"/>
        <v>0</v>
      </c>
      <c r="AX1406" s="1">
        <f t="shared" si="687"/>
        <v>0</v>
      </c>
      <c r="AY1406" s="29">
        <f t="shared" si="688"/>
        <v>0</v>
      </c>
      <c r="AZ1406" s="1">
        <f t="shared" si="670"/>
        <v>0</v>
      </c>
      <c r="CB1406" s="20">
        <f t="shared" si="679"/>
        <v>0</v>
      </c>
      <c r="CC1406" s="173">
        <f t="shared" si="671"/>
        <v>0</v>
      </c>
    </row>
    <row r="1407" spans="10:81" x14ac:dyDescent="0.25">
      <c r="J1407" s="7"/>
      <c r="K1407" s="8"/>
      <c r="L1407" s="16"/>
      <c r="M1407" s="22"/>
      <c r="N1407" s="22"/>
      <c r="O1407" s="22"/>
      <c r="P1407" s="22"/>
      <c r="Q1407" s="1">
        <f t="shared" si="672"/>
        <v>0.60744618579017706</v>
      </c>
      <c r="R1407" s="12">
        <f t="shared" ca="1" si="689"/>
        <v>41312</v>
      </c>
      <c r="S1407" s="88">
        <f t="shared" si="668"/>
        <v>0</v>
      </c>
      <c r="T1407" s="19">
        <f t="shared" si="690"/>
        <v>0</v>
      </c>
      <c r="U1407" s="19">
        <f t="shared" si="691"/>
        <v>0</v>
      </c>
      <c r="V1407" s="19">
        <f t="shared" si="677"/>
        <v>0</v>
      </c>
      <c r="W1407" s="20">
        <f t="shared" ca="1" si="692"/>
        <v>0</v>
      </c>
      <c r="X1407" s="19">
        <f t="shared" ca="1" si="693"/>
        <v>0</v>
      </c>
      <c r="Y1407" s="19">
        <f t="shared" ca="1" si="694"/>
        <v>0</v>
      </c>
      <c r="Z1407" s="20">
        <f t="shared" ca="1" si="695"/>
        <v>0</v>
      </c>
      <c r="AA1407" s="1">
        <f t="shared" si="673"/>
        <v>5432.58</v>
      </c>
      <c r="AB1407" s="91"/>
      <c r="AC1407" s="92"/>
      <c r="AD1407" s="101">
        <f t="shared" si="674"/>
        <v>82434</v>
      </c>
      <c r="AE1407" s="103">
        <f t="shared" si="675"/>
        <v>0</v>
      </c>
      <c r="AG1407" s="1">
        <f t="shared" si="696"/>
        <v>0</v>
      </c>
      <c r="AH1407" s="1">
        <f t="shared" si="697"/>
        <v>0</v>
      </c>
      <c r="AI1407" s="1">
        <f t="shared" si="676"/>
        <v>5432.58</v>
      </c>
      <c r="AJ1407" s="20">
        <f t="shared" si="678"/>
        <v>0</v>
      </c>
      <c r="AK1407" s="100">
        <f t="shared" si="680"/>
        <v>0</v>
      </c>
      <c r="AL1407" s="100">
        <f t="shared" si="681"/>
        <v>0</v>
      </c>
      <c r="AN1407" s="100">
        <f t="shared" si="682"/>
        <v>2704.8323923021021</v>
      </c>
      <c r="AO1407" s="20">
        <f t="shared" si="683"/>
        <v>0</v>
      </c>
      <c r="AQ1407" s="109">
        <f t="shared" si="684"/>
        <v>0</v>
      </c>
      <c r="AU1407" s="109">
        <f t="shared" si="669"/>
        <v>23.978258914064572</v>
      </c>
      <c r="AV1407" s="101">
        <f t="shared" si="685"/>
        <v>82464</v>
      </c>
      <c r="AW1407" s="99">
        <f t="shared" si="686"/>
        <v>0</v>
      </c>
      <c r="AX1407" s="1">
        <f t="shared" si="687"/>
        <v>0</v>
      </c>
      <c r="AY1407" s="29">
        <f t="shared" si="688"/>
        <v>0</v>
      </c>
      <c r="AZ1407" s="1">
        <f t="shared" si="670"/>
        <v>0</v>
      </c>
      <c r="CB1407" s="20">
        <f t="shared" si="679"/>
        <v>0</v>
      </c>
      <c r="CC1407" s="173">
        <f t="shared" si="671"/>
        <v>0</v>
      </c>
    </row>
    <row r="1408" spans="10:81" x14ac:dyDescent="0.25">
      <c r="J1408" s="9"/>
      <c r="K1408" s="10"/>
      <c r="L1408" s="17"/>
      <c r="M1408" s="23"/>
      <c r="N1408" s="23"/>
      <c r="O1408" s="23"/>
      <c r="P1408" s="23"/>
      <c r="Q1408" s="1">
        <f t="shared" si="672"/>
        <v>0.60744618579017706</v>
      </c>
      <c r="R1408" s="12">
        <f t="shared" ca="1" si="689"/>
        <v>41342</v>
      </c>
      <c r="S1408" s="88">
        <f t="shared" si="668"/>
        <v>0</v>
      </c>
      <c r="T1408" s="19">
        <f t="shared" si="690"/>
        <v>0</v>
      </c>
      <c r="U1408" s="19">
        <f t="shared" si="691"/>
        <v>0</v>
      </c>
      <c r="V1408" s="19">
        <f t="shared" si="677"/>
        <v>0</v>
      </c>
      <c r="W1408" s="20">
        <f t="shared" ca="1" si="692"/>
        <v>0</v>
      </c>
      <c r="X1408" s="19">
        <f t="shared" ca="1" si="693"/>
        <v>0</v>
      </c>
      <c r="Y1408" s="19">
        <f t="shared" ca="1" si="694"/>
        <v>0</v>
      </c>
      <c r="Z1408" s="20">
        <f t="shared" ca="1" si="695"/>
        <v>0</v>
      </c>
      <c r="AA1408" s="1">
        <f t="shared" si="673"/>
        <v>5432.58</v>
      </c>
      <c r="AB1408" s="93"/>
      <c r="AC1408" s="94"/>
      <c r="AD1408" s="101">
        <f t="shared" si="674"/>
        <v>82464</v>
      </c>
      <c r="AE1408" s="103">
        <f t="shared" si="675"/>
        <v>0</v>
      </c>
      <c r="AG1408" s="1">
        <f t="shared" si="696"/>
        <v>0</v>
      </c>
      <c r="AH1408" s="1">
        <f t="shared" si="697"/>
        <v>0</v>
      </c>
      <c r="AI1408" s="1">
        <f t="shared" si="676"/>
        <v>5432.58</v>
      </c>
      <c r="AJ1408" s="20">
        <f t="shared" si="678"/>
        <v>0</v>
      </c>
      <c r="AK1408" s="100">
        <f t="shared" si="680"/>
        <v>0</v>
      </c>
      <c r="AL1408" s="100">
        <f t="shared" si="681"/>
        <v>0</v>
      </c>
      <c r="AN1408" s="100">
        <f t="shared" si="682"/>
        <v>2703.4638849476578</v>
      </c>
      <c r="AO1408" s="20">
        <f t="shared" si="683"/>
        <v>0</v>
      </c>
      <c r="AQ1408" s="109">
        <f t="shared" si="684"/>
        <v>0</v>
      </c>
      <c r="AU1408" s="109">
        <f t="shared" si="669"/>
        <v>23.976154340516899</v>
      </c>
      <c r="AV1408" s="101">
        <f t="shared" si="685"/>
        <v>82494</v>
      </c>
      <c r="AW1408" s="99">
        <f t="shared" si="686"/>
        <v>0</v>
      </c>
      <c r="AX1408" s="1">
        <f t="shared" si="687"/>
        <v>0</v>
      </c>
      <c r="AY1408" s="29">
        <f t="shared" si="688"/>
        <v>0</v>
      </c>
      <c r="AZ1408" s="1">
        <f t="shared" si="670"/>
        <v>0</v>
      </c>
      <c r="CB1408" s="20">
        <f t="shared" si="679"/>
        <v>0</v>
      </c>
      <c r="CC1408" s="173">
        <f t="shared" si="671"/>
        <v>0</v>
      </c>
    </row>
    <row r="1409" spans="10:81" x14ac:dyDescent="0.25">
      <c r="J1409" s="7"/>
      <c r="K1409" s="8"/>
      <c r="L1409" s="16"/>
      <c r="M1409" s="22"/>
      <c r="N1409" s="22"/>
      <c r="O1409" s="22"/>
      <c r="P1409" s="22"/>
      <c r="Q1409" s="1">
        <f t="shared" si="672"/>
        <v>0.60744618579017706</v>
      </c>
      <c r="R1409" s="12">
        <f t="shared" ca="1" si="689"/>
        <v>41372</v>
      </c>
      <c r="S1409" s="88">
        <f t="shared" si="668"/>
        <v>0</v>
      </c>
      <c r="T1409" s="19">
        <f t="shared" si="690"/>
        <v>0</v>
      </c>
      <c r="U1409" s="19">
        <f t="shared" si="691"/>
        <v>0</v>
      </c>
      <c r="V1409" s="19">
        <f t="shared" si="677"/>
        <v>0</v>
      </c>
      <c r="W1409" s="20">
        <f t="shared" ca="1" si="692"/>
        <v>0</v>
      </c>
      <c r="X1409" s="19">
        <f t="shared" ca="1" si="693"/>
        <v>0</v>
      </c>
      <c r="Y1409" s="19">
        <f t="shared" ca="1" si="694"/>
        <v>0</v>
      </c>
      <c r="Z1409" s="20">
        <f t="shared" ca="1" si="695"/>
        <v>0</v>
      </c>
      <c r="AA1409" s="1">
        <f t="shared" si="673"/>
        <v>5432.58</v>
      </c>
      <c r="AB1409" s="91"/>
      <c r="AC1409" s="92"/>
      <c r="AD1409" s="101">
        <f t="shared" si="674"/>
        <v>82494</v>
      </c>
      <c r="AE1409" s="103">
        <f t="shared" si="675"/>
        <v>0</v>
      </c>
      <c r="AG1409" s="1">
        <f t="shared" si="696"/>
        <v>0</v>
      </c>
      <c r="AH1409" s="1">
        <f t="shared" si="697"/>
        <v>0</v>
      </c>
      <c r="AI1409" s="1">
        <f t="shared" si="676"/>
        <v>5432.58</v>
      </c>
      <c r="AJ1409" s="20">
        <f t="shared" si="678"/>
        <v>0</v>
      </c>
      <c r="AK1409" s="100">
        <f t="shared" si="680"/>
        <v>0</v>
      </c>
      <c r="AL1409" s="100">
        <f t="shared" si="681"/>
        <v>0</v>
      </c>
      <c r="AN1409" s="100">
        <f t="shared" si="682"/>
        <v>2702.0960699881971</v>
      </c>
      <c r="AO1409" s="20">
        <f t="shared" si="683"/>
        <v>0</v>
      </c>
      <c r="AQ1409" s="109">
        <f t="shared" si="684"/>
        <v>0</v>
      </c>
      <c r="AU1409" s="109">
        <f t="shared" si="669"/>
        <v>23.974049951687814</v>
      </c>
      <c r="AV1409" s="101">
        <f t="shared" si="685"/>
        <v>82524</v>
      </c>
      <c r="AW1409" s="99">
        <f t="shared" si="686"/>
        <v>0</v>
      </c>
      <c r="AX1409" s="1">
        <f t="shared" si="687"/>
        <v>0</v>
      </c>
      <c r="AY1409" s="29">
        <f t="shared" si="688"/>
        <v>0</v>
      </c>
      <c r="AZ1409" s="1">
        <f t="shared" si="670"/>
        <v>0</v>
      </c>
      <c r="CB1409" s="20">
        <f t="shared" si="679"/>
        <v>0</v>
      </c>
      <c r="CC1409" s="173">
        <f t="shared" si="671"/>
        <v>0</v>
      </c>
    </row>
    <row r="1410" spans="10:81" x14ac:dyDescent="0.25">
      <c r="J1410" s="9"/>
      <c r="K1410" s="10"/>
      <c r="L1410" s="17"/>
      <c r="M1410" s="23"/>
      <c r="N1410" s="23"/>
      <c r="O1410" s="23"/>
      <c r="P1410" s="23"/>
      <c r="Q1410" s="1">
        <f t="shared" si="672"/>
        <v>0.60744618579017706</v>
      </c>
      <c r="R1410" s="12">
        <f t="shared" ca="1" si="689"/>
        <v>41402</v>
      </c>
      <c r="S1410" s="88">
        <f t="shared" si="668"/>
        <v>0</v>
      </c>
      <c r="T1410" s="19">
        <f t="shared" si="690"/>
        <v>0</v>
      </c>
      <c r="U1410" s="19">
        <f t="shared" si="691"/>
        <v>0</v>
      </c>
      <c r="V1410" s="19">
        <f t="shared" si="677"/>
        <v>0</v>
      </c>
      <c r="W1410" s="20">
        <f t="shared" ca="1" si="692"/>
        <v>0</v>
      </c>
      <c r="X1410" s="19">
        <f t="shared" ca="1" si="693"/>
        <v>0</v>
      </c>
      <c r="Y1410" s="19">
        <f t="shared" ca="1" si="694"/>
        <v>0</v>
      </c>
      <c r="Z1410" s="20">
        <f t="shared" ca="1" si="695"/>
        <v>0</v>
      </c>
      <c r="AA1410" s="1">
        <f t="shared" si="673"/>
        <v>5432.58</v>
      </c>
      <c r="AB1410" s="93"/>
      <c r="AC1410" s="94"/>
      <c r="AD1410" s="101">
        <f t="shared" si="674"/>
        <v>82524</v>
      </c>
      <c r="AE1410" s="103">
        <f t="shared" si="675"/>
        <v>0</v>
      </c>
      <c r="AG1410" s="1">
        <f t="shared" si="696"/>
        <v>0</v>
      </c>
      <c r="AH1410" s="1">
        <f t="shared" si="697"/>
        <v>0</v>
      </c>
      <c r="AI1410" s="1">
        <f t="shared" si="676"/>
        <v>5432.58</v>
      </c>
      <c r="AJ1410" s="20">
        <f t="shared" si="678"/>
        <v>0</v>
      </c>
      <c r="AK1410" s="100">
        <f t="shared" si="680"/>
        <v>0</v>
      </c>
      <c r="AL1410" s="100">
        <f t="shared" si="681"/>
        <v>0</v>
      </c>
      <c r="AN1410" s="100">
        <f t="shared" si="682"/>
        <v>2700.7289470734022</v>
      </c>
      <c r="AO1410" s="20">
        <f t="shared" si="683"/>
        <v>0</v>
      </c>
      <c r="AQ1410" s="109">
        <f t="shared" si="684"/>
        <v>0</v>
      </c>
      <c r="AU1410" s="109">
        <f t="shared" si="669"/>
        <v>23.97194574756108</v>
      </c>
      <c r="AV1410" s="101">
        <f t="shared" si="685"/>
        <v>82554</v>
      </c>
      <c r="AW1410" s="99">
        <f t="shared" si="686"/>
        <v>0</v>
      </c>
      <c r="AX1410" s="1">
        <f t="shared" si="687"/>
        <v>0</v>
      </c>
      <c r="AY1410" s="29">
        <f t="shared" si="688"/>
        <v>0</v>
      </c>
      <c r="AZ1410" s="1">
        <f t="shared" si="670"/>
        <v>0</v>
      </c>
      <c r="CB1410" s="20">
        <f t="shared" si="679"/>
        <v>0</v>
      </c>
      <c r="CC1410" s="173">
        <f t="shared" si="671"/>
        <v>0</v>
      </c>
    </row>
    <row r="1411" spans="10:81" x14ac:dyDescent="0.25">
      <c r="J1411" s="7"/>
      <c r="K1411" s="8"/>
      <c r="L1411" s="16"/>
      <c r="M1411" s="22"/>
      <c r="N1411" s="22"/>
      <c r="O1411" s="22"/>
      <c r="P1411" s="22"/>
      <c r="Q1411" s="1">
        <f t="shared" si="672"/>
        <v>0.60744618579017706</v>
      </c>
      <c r="R1411" s="12">
        <f t="shared" ca="1" si="689"/>
        <v>41432</v>
      </c>
      <c r="S1411" s="88">
        <f t="shared" ref="S1411:S1474" si="698">N1411+M1411</f>
        <v>0</v>
      </c>
      <c r="T1411" s="19">
        <f t="shared" si="690"/>
        <v>0</v>
      </c>
      <c r="U1411" s="19">
        <f t="shared" si="691"/>
        <v>0</v>
      </c>
      <c r="V1411" s="19">
        <f t="shared" si="677"/>
        <v>0</v>
      </c>
      <c r="W1411" s="20">
        <f t="shared" ca="1" si="692"/>
        <v>0</v>
      </c>
      <c r="X1411" s="19">
        <f t="shared" ca="1" si="693"/>
        <v>0</v>
      </c>
      <c r="Y1411" s="19">
        <f t="shared" ca="1" si="694"/>
        <v>0</v>
      </c>
      <c r="Z1411" s="20">
        <f t="shared" ca="1" si="695"/>
        <v>0</v>
      </c>
      <c r="AA1411" s="1">
        <f t="shared" si="673"/>
        <v>5432.58</v>
      </c>
      <c r="AB1411" s="91"/>
      <c r="AC1411" s="92"/>
      <c r="AD1411" s="101">
        <f t="shared" si="674"/>
        <v>82554</v>
      </c>
      <c r="AE1411" s="103">
        <f t="shared" si="675"/>
        <v>0</v>
      </c>
      <c r="AG1411" s="1">
        <f t="shared" si="696"/>
        <v>0</v>
      </c>
      <c r="AH1411" s="1">
        <f t="shared" si="697"/>
        <v>0</v>
      </c>
      <c r="AI1411" s="1">
        <f t="shared" si="676"/>
        <v>5432.58</v>
      </c>
      <c r="AJ1411" s="20">
        <f t="shared" si="678"/>
        <v>0</v>
      </c>
      <c r="AK1411" s="100">
        <f t="shared" si="680"/>
        <v>0</v>
      </c>
      <c r="AL1411" s="100">
        <f t="shared" si="681"/>
        <v>0</v>
      </c>
      <c r="AN1411" s="100">
        <f t="shared" si="682"/>
        <v>2699.3625158531354</v>
      </c>
      <c r="AO1411" s="20">
        <f t="shared" si="683"/>
        <v>0</v>
      </c>
      <c r="AQ1411" s="109">
        <f t="shared" si="684"/>
        <v>0</v>
      </c>
      <c r="AU1411" s="109">
        <f t="shared" si="669"/>
        <v>23.9698417281205</v>
      </c>
      <c r="AV1411" s="101">
        <f t="shared" si="685"/>
        <v>82584</v>
      </c>
      <c r="AW1411" s="99">
        <f t="shared" si="686"/>
        <v>0</v>
      </c>
      <c r="AX1411" s="1">
        <f t="shared" si="687"/>
        <v>0</v>
      </c>
      <c r="AY1411" s="29">
        <f t="shared" si="688"/>
        <v>0</v>
      </c>
      <c r="AZ1411" s="1">
        <f t="shared" si="670"/>
        <v>0</v>
      </c>
      <c r="CB1411" s="20">
        <f t="shared" si="679"/>
        <v>0</v>
      </c>
      <c r="CC1411" s="173">
        <f t="shared" si="671"/>
        <v>0</v>
      </c>
    </row>
    <row r="1412" spans="10:81" x14ac:dyDescent="0.25">
      <c r="J1412" s="9"/>
      <c r="K1412" s="10"/>
      <c r="L1412" s="17"/>
      <c r="M1412" s="23"/>
      <c r="N1412" s="23"/>
      <c r="O1412" s="23"/>
      <c r="P1412" s="23"/>
      <c r="Q1412" s="1">
        <f t="shared" si="672"/>
        <v>0.60744618579017706</v>
      </c>
      <c r="R1412" s="12">
        <f t="shared" ca="1" si="689"/>
        <v>41462</v>
      </c>
      <c r="S1412" s="88">
        <f t="shared" si="698"/>
        <v>0</v>
      </c>
      <c r="T1412" s="19">
        <f t="shared" si="690"/>
        <v>0</v>
      </c>
      <c r="U1412" s="19">
        <f t="shared" si="691"/>
        <v>0</v>
      </c>
      <c r="V1412" s="19">
        <f t="shared" si="677"/>
        <v>0</v>
      </c>
      <c r="W1412" s="20">
        <f t="shared" ca="1" si="692"/>
        <v>0</v>
      </c>
      <c r="X1412" s="19">
        <f t="shared" ca="1" si="693"/>
        <v>0</v>
      </c>
      <c r="Y1412" s="19">
        <f t="shared" ca="1" si="694"/>
        <v>0</v>
      </c>
      <c r="Z1412" s="20">
        <f t="shared" ca="1" si="695"/>
        <v>0</v>
      </c>
      <c r="AA1412" s="1">
        <f t="shared" si="673"/>
        <v>5432.58</v>
      </c>
      <c r="AB1412" s="93"/>
      <c r="AC1412" s="94"/>
      <c r="AD1412" s="101">
        <f t="shared" si="674"/>
        <v>82584</v>
      </c>
      <c r="AE1412" s="103">
        <f t="shared" si="675"/>
        <v>0</v>
      </c>
      <c r="AG1412" s="1">
        <f t="shared" si="696"/>
        <v>0</v>
      </c>
      <c r="AH1412" s="1">
        <f t="shared" si="697"/>
        <v>0</v>
      </c>
      <c r="AI1412" s="1">
        <f t="shared" si="676"/>
        <v>5432.58</v>
      </c>
      <c r="AJ1412" s="20">
        <f t="shared" si="678"/>
        <v>0</v>
      </c>
      <c r="AK1412" s="100">
        <f t="shared" si="680"/>
        <v>0</v>
      </c>
      <c r="AL1412" s="100">
        <f t="shared" si="681"/>
        <v>0</v>
      </c>
      <c r="AN1412" s="100">
        <f t="shared" si="682"/>
        <v>2697.9967759774331</v>
      </c>
      <c r="AO1412" s="20">
        <f t="shared" si="683"/>
        <v>0</v>
      </c>
      <c r="AQ1412" s="109">
        <f t="shared" si="684"/>
        <v>0</v>
      </c>
      <c r="AU1412" s="109">
        <f t="shared" si="669"/>
        <v>23.967737893349874</v>
      </c>
      <c r="AV1412" s="101">
        <f t="shared" si="685"/>
        <v>82614</v>
      </c>
      <c r="AW1412" s="99">
        <f t="shared" si="686"/>
        <v>0</v>
      </c>
      <c r="AX1412" s="1">
        <f t="shared" si="687"/>
        <v>0</v>
      </c>
      <c r="AY1412" s="29">
        <f t="shared" si="688"/>
        <v>0</v>
      </c>
      <c r="AZ1412" s="1">
        <f t="shared" si="670"/>
        <v>0</v>
      </c>
      <c r="CB1412" s="20">
        <f t="shared" si="679"/>
        <v>0</v>
      </c>
      <c r="CC1412" s="173">
        <f t="shared" si="671"/>
        <v>0</v>
      </c>
    </row>
    <row r="1413" spans="10:81" x14ac:dyDescent="0.25">
      <c r="J1413" s="7"/>
      <c r="K1413" s="8"/>
      <c r="L1413" s="16"/>
      <c r="M1413" s="22"/>
      <c r="N1413" s="22"/>
      <c r="O1413" s="22"/>
      <c r="P1413" s="22"/>
      <c r="Q1413" s="1">
        <f t="shared" si="672"/>
        <v>0.60744618579017706</v>
      </c>
      <c r="R1413" s="12">
        <f t="shared" ca="1" si="689"/>
        <v>41492</v>
      </c>
      <c r="S1413" s="88">
        <f t="shared" si="698"/>
        <v>0</v>
      </c>
      <c r="T1413" s="19">
        <f t="shared" si="690"/>
        <v>0</v>
      </c>
      <c r="U1413" s="19">
        <f t="shared" si="691"/>
        <v>0</v>
      </c>
      <c r="V1413" s="19">
        <f t="shared" si="677"/>
        <v>0</v>
      </c>
      <c r="W1413" s="20">
        <f t="shared" ca="1" si="692"/>
        <v>0</v>
      </c>
      <c r="X1413" s="19">
        <f t="shared" ca="1" si="693"/>
        <v>0</v>
      </c>
      <c r="Y1413" s="19">
        <f t="shared" ca="1" si="694"/>
        <v>0</v>
      </c>
      <c r="Z1413" s="20">
        <f t="shared" ca="1" si="695"/>
        <v>0</v>
      </c>
      <c r="AA1413" s="1">
        <f t="shared" si="673"/>
        <v>5432.58</v>
      </c>
      <c r="AB1413" s="91"/>
      <c r="AC1413" s="92"/>
      <c r="AD1413" s="101">
        <f t="shared" si="674"/>
        <v>82614</v>
      </c>
      <c r="AE1413" s="103">
        <f t="shared" si="675"/>
        <v>0</v>
      </c>
      <c r="AG1413" s="1">
        <f t="shared" si="696"/>
        <v>0</v>
      </c>
      <c r="AH1413" s="1">
        <f t="shared" si="697"/>
        <v>0</v>
      </c>
      <c r="AI1413" s="1">
        <f t="shared" si="676"/>
        <v>5432.58</v>
      </c>
      <c r="AJ1413" s="20">
        <f t="shared" si="678"/>
        <v>0</v>
      </c>
      <c r="AK1413" s="100">
        <f t="shared" si="680"/>
        <v>0</v>
      </c>
      <c r="AL1413" s="100">
        <f t="shared" si="681"/>
        <v>0</v>
      </c>
      <c r="AN1413" s="100">
        <f t="shared" si="682"/>
        <v>2696.6317270965114</v>
      </c>
      <c r="AO1413" s="20">
        <f t="shared" si="683"/>
        <v>0</v>
      </c>
      <c r="AQ1413" s="109">
        <f t="shared" si="684"/>
        <v>0</v>
      </c>
      <c r="AU1413" s="109">
        <f t="shared" si="669"/>
        <v>23.965634243232977</v>
      </c>
      <c r="AV1413" s="101">
        <f t="shared" si="685"/>
        <v>82644</v>
      </c>
      <c r="AW1413" s="99">
        <f t="shared" si="686"/>
        <v>0</v>
      </c>
      <c r="AX1413" s="1">
        <f t="shared" si="687"/>
        <v>0</v>
      </c>
      <c r="AY1413" s="29">
        <f t="shared" si="688"/>
        <v>0</v>
      </c>
      <c r="AZ1413" s="1">
        <f t="shared" si="670"/>
        <v>0</v>
      </c>
      <c r="CB1413" s="20">
        <f t="shared" si="679"/>
        <v>0</v>
      </c>
      <c r="CC1413" s="173">
        <f t="shared" si="671"/>
        <v>0</v>
      </c>
    </row>
    <row r="1414" spans="10:81" x14ac:dyDescent="0.25">
      <c r="J1414" s="9"/>
      <c r="K1414" s="10"/>
      <c r="L1414" s="17"/>
      <c r="M1414" s="23"/>
      <c r="N1414" s="23"/>
      <c r="O1414" s="23"/>
      <c r="P1414" s="23"/>
      <c r="Q1414" s="1">
        <f t="shared" si="672"/>
        <v>0.60744618579017706</v>
      </c>
      <c r="R1414" s="12">
        <f t="shared" ca="1" si="689"/>
        <v>41522</v>
      </c>
      <c r="S1414" s="88">
        <f t="shared" si="698"/>
        <v>0</v>
      </c>
      <c r="T1414" s="19">
        <f t="shared" si="690"/>
        <v>0</v>
      </c>
      <c r="U1414" s="19">
        <f t="shared" si="691"/>
        <v>0</v>
      </c>
      <c r="V1414" s="19">
        <f t="shared" si="677"/>
        <v>0</v>
      </c>
      <c r="W1414" s="20">
        <f t="shared" ca="1" si="692"/>
        <v>0</v>
      </c>
      <c r="X1414" s="19">
        <f t="shared" ca="1" si="693"/>
        <v>0</v>
      </c>
      <c r="Y1414" s="19">
        <f t="shared" ca="1" si="694"/>
        <v>0</v>
      </c>
      <c r="Z1414" s="20">
        <f t="shared" ca="1" si="695"/>
        <v>0</v>
      </c>
      <c r="AA1414" s="1">
        <f t="shared" si="673"/>
        <v>5432.58</v>
      </c>
      <c r="AB1414" s="93"/>
      <c r="AC1414" s="94"/>
      <c r="AD1414" s="101">
        <f t="shared" si="674"/>
        <v>82644</v>
      </c>
      <c r="AE1414" s="103">
        <f t="shared" si="675"/>
        <v>0</v>
      </c>
      <c r="AG1414" s="1">
        <f t="shared" si="696"/>
        <v>0</v>
      </c>
      <c r="AH1414" s="1">
        <f t="shared" si="697"/>
        <v>0</v>
      </c>
      <c r="AI1414" s="1">
        <f t="shared" si="676"/>
        <v>5432.58</v>
      </c>
      <c r="AJ1414" s="20">
        <f t="shared" si="678"/>
        <v>0</v>
      </c>
      <c r="AK1414" s="100">
        <f t="shared" si="680"/>
        <v>0</v>
      </c>
      <c r="AL1414" s="100">
        <f t="shared" si="681"/>
        <v>0</v>
      </c>
      <c r="AN1414" s="100">
        <f t="shared" si="682"/>
        <v>2695.267368860762</v>
      </c>
      <c r="AO1414" s="20">
        <f t="shared" si="683"/>
        <v>0</v>
      </c>
      <c r="AQ1414" s="109">
        <f t="shared" si="684"/>
        <v>0</v>
      </c>
      <c r="AU1414" s="109">
        <f t="shared" si="669"/>
        <v>23.963530777753586</v>
      </c>
      <c r="AV1414" s="101">
        <f t="shared" si="685"/>
        <v>82674</v>
      </c>
      <c r="AW1414" s="99">
        <f t="shared" si="686"/>
        <v>0</v>
      </c>
      <c r="AX1414" s="1">
        <f t="shared" si="687"/>
        <v>0</v>
      </c>
      <c r="AY1414" s="29">
        <f t="shared" si="688"/>
        <v>0</v>
      </c>
      <c r="AZ1414" s="1">
        <f t="shared" si="670"/>
        <v>0</v>
      </c>
      <c r="CB1414" s="20">
        <f t="shared" si="679"/>
        <v>0</v>
      </c>
      <c r="CC1414" s="173">
        <f t="shared" si="671"/>
        <v>0</v>
      </c>
    </row>
    <row r="1415" spans="10:81" x14ac:dyDescent="0.25">
      <c r="J1415" s="7"/>
      <c r="K1415" s="8"/>
      <c r="L1415" s="16"/>
      <c r="M1415" s="22"/>
      <c r="N1415" s="22"/>
      <c r="O1415" s="22"/>
      <c r="P1415" s="22"/>
      <c r="Q1415" s="1">
        <f t="shared" si="672"/>
        <v>0.60744618579017706</v>
      </c>
      <c r="R1415" s="12">
        <f t="shared" ca="1" si="689"/>
        <v>41552</v>
      </c>
      <c r="S1415" s="88">
        <f t="shared" si="698"/>
        <v>0</v>
      </c>
      <c r="T1415" s="19">
        <f t="shared" si="690"/>
        <v>0</v>
      </c>
      <c r="U1415" s="19">
        <f t="shared" si="691"/>
        <v>0</v>
      </c>
      <c r="V1415" s="19">
        <f t="shared" si="677"/>
        <v>0</v>
      </c>
      <c r="W1415" s="20">
        <f t="shared" ca="1" si="692"/>
        <v>0</v>
      </c>
      <c r="X1415" s="19">
        <f t="shared" ca="1" si="693"/>
        <v>0</v>
      </c>
      <c r="Y1415" s="19">
        <f t="shared" ca="1" si="694"/>
        <v>0</v>
      </c>
      <c r="Z1415" s="20">
        <f t="shared" ca="1" si="695"/>
        <v>0</v>
      </c>
      <c r="AA1415" s="1">
        <f t="shared" si="673"/>
        <v>5432.58</v>
      </c>
      <c r="AB1415" s="91"/>
      <c r="AC1415" s="92"/>
      <c r="AD1415" s="101">
        <f t="shared" si="674"/>
        <v>82674</v>
      </c>
      <c r="AE1415" s="103">
        <f t="shared" si="675"/>
        <v>0</v>
      </c>
      <c r="AG1415" s="1">
        <f t="shared" si="696"/>
        <v>0</v>
      </c>
      <c r="AH1415" s="1">
        <f t="shared" si="697"/>
        <v>0</v>
      </c>
      <c r="AI1415" s="1">
        <f t="shared" si="676"/>
        <v>5432.58</v>
      </c>
      <c r="AJ1415" s="20">
        <f t="shared" si="678"/>
        <v>0</v>
      </c>
      <c r="AK1415" s="100">
        <f t="shared" si="680"/>
        <v>0</v>
      </c>
      <c r="AL1415" s="100">
        <f t="shared" si="681"/>
        <v>0</v>
      </c>
      <c r="AN1415" s="100">
        <f t="shared" si="682"/>
        <v>2693.9037009207536</v>
      </c>
      <c r="AO1415" s="20">
        <f t="shared" si="683"/>
        <v>0</v>
      </c>
      <c r="AQ1415" s="109">
        <f t="shared" si="684"/>
        <v>0</v>
      </c>
      <c r="AU1415" s="109">
        <f t="shared" si="669"/>
        <v>23.961427496895531</v>
      </c>
      <c r="AV1415" s="101">
        <f t="shared" si="685"/>
        <v>82704</v>
      </c>
      <c r="AW1415" s="99">
        <f t="shared" si="686"/>
        <v>0</v>
      </c>
      <c r="AX1415" s="1">
        <f t="shared" si="687"/>
        <v>0</v>
      </c>
      <c r="AY1415" s="29">
        <f t="shared" si="688"/>
        <v>0</v>
      </c>
      <c r="AZ1415" s="1">
        <f t="shared" si="670"/>
        <v>0</v>
      </c>
      <c r="CB1415" s="20">
        <f t="shared" si="679"/>
        <v>0</v>
      </c>
      <c r="CC1415" s="173">
        <f t="shared" si="671"/>
        <v>0</v>
      </c>
    </row>
    <row r="1416" spans="10:81" x14ac:dyDescent="0.25">
      <c r="J1416" s="9"/>
      <c r="K1416" s="10"/>
      <c r="L1416" s="17"/>
      <c r="M1416" s="23"/>
      <c r="N1416" s="23"/>
      <c r="O1416" s="23"/>
      <c r="P1416" s="23"/>
      <c r="Q1416" s="1">
        <f t="shared" si="672"/>
        <v>0.60744618579017706</v>
      </c>
      <c r="R1416" s="12">
        <f t="shared" ca="1" si="689"/>
        <v>41582</v>
      </c>
      <c r="S1416" s="88">
        <f t="shared" si="698"/>
        <v>0</v>
      </c>
      <c r="T1416" s="19">
        <f t="shared" si="690"/>
        <v>0</v>
      </c>
      <c r="U1416" s="19">
        <f t="shared" si="691"/>
        <v>0</v>
      </c>
      <c r="V1416" s="19">
        <f t="shared" si="677"/>
        <v>0</v>
      </c>
      <c r="W1416" s="20">
        <f t="shared" ca="1" si="692"/>
        <v>0</v>
      </c>
      <c r="X1416" s="19">
        <f t="shared" ca="1" si="693"/>
        <v>0</v>
      </c>
      <c r="Y1416" s="19">
        <f t="shared" ca="1" si="694"/>
        <v>0</v>
      </c>
      <c r="Z1416" s="20">
        <f t="shared" ca="1" si="695"/>
        <v>0</v>
      </c>
      <c r="AA1416" s="1">
        <f t="shared" si="673"/>
        <v>5432.58</v>
      </c>
      <c r="AB1416" s="93"/>
      <c r="AC1416" s="94"/>
      <c r="AD1416" s="101">
        <f t="shared" si="674"/>
        <v>82704</v>
      </c>
      <c r="AE1416" s="103">
        <f t="shared" si="675"/>
        <v>0</v>
      </c>
      <c r="AG1416" s="1">
        <f t="shared" si="696"/>
        <v>0</v>
      </c>
      <c r="AH1416" s="1">
        <f t="shared" si="697"/>
        <v>0</v>
      </c>
      <c r="AI1416" s="1">
        <f t="shared" si="676"/>
        <v>5432.58</v>
      </c>
      <c r="AJ1416" s="20">
        <f t="shared" si="678"/>
        <v>0</v>
      </c>
      <c r="AK1416" s="100">
        <f t="shared" si="680"/>
        <v>0</v>
      </c>
      <c r="AL1416" s="100">
        <f t="shared" si="681"/>
        <v>0</v>
      </c>
      <c r="AN1416" s="100">
        <f t="shared" si="682"/>
        <v>2692.5407229272314</v>
      </c>
      <c r="AO1416" s="20">
        <f t="shared" si="683"/>
        <v>0</v>
      </c>
      <c r="AQ1416" s="109">
        <f t="shared" si="684"/>
        <v>0</v>
      </c>
      <c r="AU1416" s="109">
        <f t="shared" si="669"/>
        <v>23.95932440064259</v>
      </c>
      <c r="AV1416" s="101">
        <f t="shared" si="685"/>
        <v>82734</v>
      </c>
      <c r="AW1416" s="99">
        <f t="shared" si="686"/>
        <v>0</v>
      </c>
      <c r="AX1416" s="1">
        <f t="shared" si="687"/>
        <v>0</v>
      </c>
      <c r="AY1416" s="29">
        <f t="shared" si="688"/>
        <v>0</v>
      </c>
      <c r="AZ1416" s="1">
        <f t="shared" si="670"/>
        <v>0</v>
      </c>
      <c r="CB1416" s="20">
        <f t="shared" si="679"/>
        <v>0</v>
      </c>
      <c r="CC1416" s="173">
        <f t="shared" si="671"/>
        <v>0</v>
      </c>
    </row>
    <row r="1417" spans="10:81" x14ac:dyDescent="0.25">
      <c r="J1417" s="7"/>
      <c r="K1417" s="8"/>
      <c r="L1417" s="16"/>
      <c r="M1417" s="22"/>
      <c r="N1417" s="22"/>
      <c r="O1417" s="22"/>
      <c r="P1417" s="22"/>
      <c r="Q1417" s="1">
        <f t="shared" si="672"/>
        <v>0.60744618579017706</v>
      </c>
      <c r="R1417" s="12">
        <f t="shared" ca="1" si="689"/>
        <v>41612</v>
      </c>
      <c r="S1417" s="88">
        <f t="shared" si="698"/>
        <v>0</v>
      </c>
      <c r="T1417" s="19">
        <f t="shared" si="690"/>
        <v>0</v>
      </c>
      <c r="U1417" s="19">
        <f t="shared" si="691"/>
        <v>0</v>
      </c>
      <c r="V1417" s="19">
        <f t="shared" si="677"/>
        <v>0</v>
      </c>
      <c r="W1417" s="20">
        <f t="shared" ca="1" si="692"/>
        <v>0</v>
      </c>
      <c r="X1417" s="19">
        <f t="shared" ca="1" si="693"/>
        <v>0</v>
      </c>
      <c r="Y1417" s="19">
        <f t="shared" ca="1" si="694"/>
        <v>0</v>
      </c>
      <c r="Z1417" s="20">
        <f t="shared" ca="1" si="695"/>
        <v>0</v>
      </c>
      <c r="AA1417" s="1">
        <f t="shared" si="673"/>
        <v>5432.58</v>
      </c>
      <c r="AB1417" s="91"/>
      <c r="AC1417" s="92"/>
      <c r="AD1417" s="101">
        <f t="shared" si="674"/>
        <v>82734</v>
      </c>
      <c r="AE1417" s="103">
        <f t="shared" si="675"/>
        <v>0</v>
      </c>
      <c r="AG1417" s="1">
        <f t="shared" si="696"/>
        <v>0</v>
      </c>
      <c r="AH1417" s="1">
        <f t="shared" si="697"/>
        <v>0</v>
      </c>
      <c r="AI1417" s="1">
        <f t="shared" si="676"/>
        <v>5432.58</v>
      </c>
      <c r="AJ1417" s="20">
        <f t="shared" si="678"/>
        <v>0</v>
      </c>
      <c r="AK1417" s="100">
        <f t="shared" si="680"/>
        <v>0</v>
      </c>
      <c r="AL1417" s="100">
        <f t="shared" si="681"/>
        <v>0</v>
      </c>
      <c r="AN1417" s="100">
        <f t="shared" si="682"/>
        <v>2691.1784345311166</v>
      </c>
      <c r="AO1417" s="20">
        <f t="shared" si="683"/>
        <v>0</v>
      </c>
      <c r="AQ1417" s="109">
        <f t="shared" si="684"/>
        <v>0</v>
      </c>
      <c r="AU1417" s="109">
        <f t="shared" si="669"/>
        <v>23.957221488978561</v>
      </c>
      <c r="AV1417" s="101">
        <f t="shared" si="685"/>
        <v>82764</v>
      </c>
      <c r="AW1417" s="99">
        <f t="shared" si="686"/>
        <v>0</v>
      </c>
      <c r="AX1417" s="1">
        <f t="shared" si="687"/>
        <v>0</v>
      </c>
      <c r="AY1417" s="29">
        <f t="shared" si="688"/>
        <v>0</v>
      </c>
      <c r="AZ1417" s="1">
        <f t="shared" si="670"/>
        <v>0</v>
      </c>
      <c r="CB1417" s="20">
        <f t="shared" si="679"/>
        <v>0</v>
      </c>
      <c r="CC1417" s="173">
        <f t="shared" si="671"/>
        <v>0</v>
      </c>
    </row>
    <row r="1418" spans="10:81" x14ac:dyDescent="0.25">
      <c r="J1418" s="9"/>
      <c r="K1418" s="10"/>
      <c r="L1418" s="17"/>
      <c r="M1418" s="23"/>
      <c r="N1418" s="23"/>
      <c r="O1418" s="23"/>
      <c r="P1418" s="23"/>
      <c r="Q1418" s="1">
        <f t="shared" si="672"/>
        <v>0.60744618579017706</v>
      </c>
      <c r="R1418" s="12">
        <f t="shared" ca="1" si="689"/>
        <v>41642</v>
      </c>
      <c r="S1418" s="88">
        <f t="shared" si="698"/>
        <v>0</v>
      </c>
      <c r="T1418" s="19">
        <f t="shared" si="690"/>
        <v>0</v>
      </c>
      <c r="U1418" s="19">
        <f t="shared" si="691"/>
        <v>0</v>
      </c>
      <c r="V1418" s="19">
        <f t="shared" si="677"/>
        <v>0</v>
      </c>
      <c r="W1418" s="20">
        <f t="shared" ca="1" si="692"/>
        <v>0</v>
      </c>
      <c r="X1418" s="19">
        <f t="shared" ca="1" si="693"/>
        <v>0</v>
      </c>
      <c r="Y1418" s="19">
        <f t="shared" ca="1" si="694"/>
        <v>0</v>
      </c>
      <c r="Z1418" s="20">
        <f t="shared" ca="1" si="695"/>
        <v>0</v>
      </c>
      <c r="AA1418" s="1">
        <f t="shared" si="673"/>
        <v>5432.58</v>
      </c>
      <c r="AB1418" s="93"/>
      <c r="AC1418" s="94"/>
      <c r="AD1418" s="101">
        <f t="shared" si="674"/>
        <v>82764</v>
      </c>
      <c r="AE1418" s="103">
        <f t="shared" si="675"/>
        <v>0</v>
      </c>
      <c r="AG1418" s="1">
        <f t="shared" si="696"/>
        <v>0</v>
      </c>
      <c r="AH1418" s="1">
        <f t="shared" si="697"/>
        <v>0</v>
      </c>
      <c r="AI1418" s="1">
        <f t="shared" si="676"/>
        <v>5432.58</v>
      </c>
      <c r="AJ1418" s="20">
        <f t="shared" si="678"/>
        <v>0</v>
      </c>
      <c r="AK1418" s="100">
        <f t="shared" si="680"/>
        <v>0</v>
      </c>
      <c r="AL1418" s="100">
        <f t="shared" si="681"/>
        <v>0</v>
      </c>
      <c r="AN1418" s="100">
        <f t="shared" si="682"/>
        <v>2689.816835383509</v>
      </c>
      <c r="AO1418" s="20">
        <f t="shared" si="683"/>
        <v>0</v>
      </c>
      <c r="AQ1418" s="109">
        <f t="shared" si="684"/>
        <v>0</v>
      </c>
      <c r="AU1418" s="109">
        <f t="shared" si="669"/>
        <v>23.955118761887238</v>
      </c>
      <c r="AV1418" s="101">
        <f t="shared" si="685"/>
        <v>82794</v>
      </c>
      <c r="AW1418" s="99">
        <f t="shared" si="686"/>
        <v>0</v>
      </c>
      <c r="AX1418" s="1">
        <f t="shared" si="687"/>
        <v>0</v>
      </c>
      <c r="AY1418" s="29">
        <f t="shared" si="688"/>
        <v>0</v>
      </c>
      <c r="AZ1418" s="1">
        <f t="shared" si="670"/>
        <v>0</v>
      </c>
      <c r="CB1418" s="20">
        <f t="shared" si="679"/>
        <v>0</v>
      </c>
      <c r="CC1418" s="173">
        <f t="shared" si="671"/>
        <v>0</v>
      </c>
    </row>
    <row r="1419" spans="10:81" x14ac:dyDescent="0.25">
      <c r="J1419" s="7"/>
      <c r="K1419" s="8"/>
      <c r="L1419" s="16"/>
      <c r="M1419" s="22"/>
      <c r="N1419" s="22"/>
      <c r="O1419" s="22"/>
      <c r="P1419" s="22"/>
      <c r="Q1419" s="1">
        <f t="shared" si="672"/>
        <v>0.60744618579017706</v>
      </c>
      <c r="R1419" s="12">
        <f t="shared" ca="1" si="689"/>
        <v>41672</v>
      </c>
      <c r="S1419" s="88">
        <f t="shared" si="698"/>
        <v>0</v>
      </c>
      <c r="T1419" s="19">
        <f t="shared" si="690"/>
        <v>0</v>
      </c>
      <c r="U1419" s="19">
        <f t="shared" si="691"/>
        <v>0</v>
      </c>
      <c r="V1419" s="19">
        <f t="shared" si="677"/>
        <v>0</v>
      </c>
      <c r="W1419" s="20">
        <f t="shared" ca="1" si="692"/>
        <v>0</v>
      </c>
      <c r="X1419" s="19">
        <f t="shared" ca="1" si="693"/>
        <v>0</v>
      </c>
      <c r="Y1419" s="19">
        <f t="shared" ca="1" si="694"/>
        <v>0</v>
      </c>
      <c r="Z1419" s="20">
        <f t="shared" ca="1" si="695"/>
        <v>0</v>
      </c>
      <c r="AA1419" s="1">
        <f t="shared" si="673"/>
        <v>5432.58</v>
      </c>
      <c r="AB1419" s="91"/>
      <c r="AC1419" s="92"/>
      <c r="AD1419" s="101">
        <f t="shared" si="674"/>
        <v>82794</v>
      </c>
      <c r="AE1419" s="103">
        <f t="shared" si="675"/>
        <v>0</v>
      </c>
      <c r="AG1419" s="1">
        <f t="shared" si="696"/>
        <v>0</v>
      </c>
      <c r="AH1419" s="1">
        <f t="shared" si="697"/>
        <v>0</v>
      </c>
      <c r="AI1419" s="1">
        <f t="shared" si="676"/>
        <v>5432.58</v>
      </c>
      <c r="AJ1419" s="20">
        <f t="shared" si="678"/>
        <v>0</v>
      </c>
      <c r="AK1419" s="100">
        <f t="shared" si="680"/>
        <v>0</v>
      </c>
      <c r="AL1419" s="100">
        <f t="shared" si="681"/>
        <v>0</v>
      </c>
      <c r="AN1419" s="100">
        <f t="shared" si="682"/>
        <v>2688.4559251356854</v>
      </c>
      <c r="AO1419" s="20">
        <f t="shared" si="683"/>
        <v>0</v>
      </c>
      <c r="AQ1419" s="109">
        <f t="shared" si="684"/>
        <v>0</v>
      </c>
      <c r="AU1419" s="109">
        <f t="shared" si="669"/>
        <v>23.953016219352445</v>
      </c>
      <c r="AV1419" s="101">
        <f t="shared" si="685"/>
        <v>82824</v>
      </c>
      <c r="AW1419" s="99">
        <f t="shared" si="686"/>
        <v>0</v>
      </c>
      <c r="AX1419" s="1">
        <f t="shared" si="687"/>
        <v>0</v>
      </c>
      <c r="AY1419" s="29">
        <f t="shared" si="688"/>
        <v>0</v>
      </c>
      <c r="AZ1419" s="1">
        <f t="shared" si="670"/>
        <v>0</v>
      </c>
      <c r="CB1419" s="20">
        <f t="shared" si="679"/>
        <v>0</v>
      </c>
      <c r="CC1419" s="173">
        <f t="shared" si="671"/>
        <v>0</v>
      </c>
    </row>
    <row r="1420" spans="10:81" x14ac:dyDescent="0.25">
      <c r="J1420" s="9"/>
      <c r="K1420" s="10"/>
      <c r="L1420" s="17"/>
      <c r="M1420" s="23"/>
      <c r="N1420" s="23"/>
      <c r="O1420" s="23"/>
      <c r="P1420" s="23"/>
      <c r="Q1420" s="1">
        <f t="shared" si="672"/>
        <v>0.60744618579017706</v>
      </c>
      <c r="R1420" s="12">
        <f t="shared" ca="1" si="689"/>
        <v>41702</v>
      </c>
      <c r="S1420" s="88">
        <f t="shared" si="698"/>
        <v>0</v>
      </c>
      <c r="T1420" s="19">
        <f t="shared" si="690"/>
        <v>0</v>
      </c>
      <c r="U1420" s="19">
        <f t="shared" si="691"/>
        <v>0</v>
      </c>
      <c r="V1420" s="19">
        <f t="shared" si="677"/>
        <v>0</v>
      </c>
      <c r="W1420" s="20">
        <f t="shared" ca="1" si="692"/>
        <v>0</v>
      </c>
      <c r="X1420" s="19">
        <f t="shared" ca="1" si="693"/>
        <v>0</v>
      </c>
      <c r="Y1420" s="19">
        <f t="shared" ca="1" si="694"/>
        <v>0</v>
      </c>
      <c r="Z1420" s="20">
        <f t="shared" ca="1" si="695"/>
        <v>0</v>
      </c>
      <c r="AA1420" s="1">
        <f t="shared" si="673"/>
        <v>5432.58</v>
      </c>
      <c r="AB1420" s="93"/>
      <c r="AC1420" s="94"/>
      <c r="AD1420" s="101">
        <f t="shared" si="674"/>
        <v>82824</v>
      </c>
      <c r="AE1420" s="103">
        <f t="shared" si="675"/>
        <v>0</v>
      </c>
      <c r="AG1420" s="1">
        <f t="shared" si="696"/>
        <v>0</v>
      </c>
      <c r="AH1420" s="1">
        <f t="shared" si="697"/>
        <v>0</v>
      </c>
      <c r="AI1420" s="1">
        <f t="shared" si="676"/>
        <v>5432.58</v>
      </c>
      <c r="AJ1420" s="20">
        <f t="shared" si="678"/>
        <v>0</v>
      </c>
      <c r="AK1420" s="100">
        <f t="shared" si="680"/>
        <v>0</v>
      </c>
      <c r="AL1420" s="100">
        <f t="shared" si="681"/>
        <v>0</v>
      </c>
      <c r="AN1420" s="100">
        <f t="shared" si="682"/>
        <v>2687.0957034390963</v>
      </c>
      <c r="AO1420" s="20">
        <f t="shared" si="683"/>
        <v>0</v>
      </c>
      <c r="AQ1420" s="109">
        <f t="shared" si="684"/>
        <v>0</v>
      </c>
      <c r="AU1420" s="109">
        <f t="shared" si="669"/>
        <v>23.950913861357947</v>
      </c>
      <c r="AV1420" s="101">
        <f t="shared" si="685"/>
        <v>82854</v>
      </c>
      <c r="AW1420" s="99">
        <f t="shared" si="686"/>
        <v>0</v>
      </c>
      <c r="AX1420" s="1">
        <f t="shared" si="687"/>
        <v>0</v>
      </c>
      <c r="AY1420" s="29">
        <f t="shared" si="688"/>
        <v>0</v>
      </c>
      <c r="AZ1420" s="1">
        <f t="shared" si="670"/>
        <v>0</v>
      </c>
      <c r="CB1420" s="20">
        <f t="shared" si="679"/>
        <v>0</v>
      </c>
      <c r="CC1420" s="173">
        <f t="shared" si="671"/>
        <v>0</v>
      </c>
    </row>
    <row r="1421" spans="10:81" x14ac:dyDescent="0.25">
      <c r="J1421" s="7"/>
      <c r="K1421" s="8"/>
      <c r="L1421" s="16"/>
      <c r="M1421" s="22"/>
      <c r="N1421" s="22"/>
      <c r="O1421" s="22"/>
      <c r="P1421" s="22"/>
      <c r="Q1421" s="1">
        <f t="shared" si="672"/>
        <v>0.60744618579017706</v>
      </c>
      <c r="R1421" s="12">
        <f t="shared" ca="1" si="689"/>
        <v>41732</v>
      </c>
      <c r="S1421" s="88">
        <f t="shared" si="698"/>
        <v>0</v>
      </c>
      <c r="T1421" s="19">
        <f t="shared" si="690"/>
        <v>0</v>
      </c>
      <c r="U1421" s="19">
        <f t="shared" si="691"/>
        <v>0</v>
      </c>
      <c r="V1421" s="19">
        <f t="shared" si="677"/>
        <v>0</v>
      </c>
      <c r="W1421" s="20">
        <f t="shared" ca="1" si="692"/>
        <v>0</v>
      </c>
      <c r="X1421" s="19">
        <f t="shared" ca="1" si="693"/>
        <v>0</v>
      </c>
      <c r="Y1421" s="19">
        <f t="shared" ca="1" si="694"/>
        <v>0</v>
      </c>
      <c r="Z1421" s="20">
        <f t="shared" ca="1" si="695"/>
        <v>0</v>
      </c>
      <c r="AA1421" s="1">
        <f t="shared" si="673"/>
        <v>5432.58</v>
      </c>
      <c r="AB1421" s="91"/>
      <c r="AC1421" s="92"/>
      <c r="AD1421" s="101">
        <f t="shared" si="674"/>
        <v>82854</v>
      </c>
      <c r="AE1421" s="103">
        <f t="shared" si="675"/>
        <v>0</v>
      </c>
      <c r="AG1421" s="1">
        <f t="shared" si="696"/>
        <v>0</v>
      </c>
      <c r="AH1421" s="1">
        <f t="shared" si="697"/>
        <v>0</v>
      </c>
      <c r="AI1421" s="1">
        <f t="shared" si="676"/>
        <v>5432.58</v>
      </c>
      <c r="AJ1421" s="20">
        <f t="shared" si="678"/>
        <v>0</v>
      </c>
      <c r="AK1421" s="100">
        <f t="shared" si="680"/>
        <v>0</v>
      </c>
      <c r="AL1421" s="100">
        <f t="shared" si="681"/>
        <v>0</v>
      </c>
      <c r="AN1421" s="100">
        <f t="shared" si="682"/>
        <v>2685.7361699453681</v>
      </c>
      <c r="AO1421" s="20">
        <f t="shared" si="683"/>
        <v>0</v>
      </c>
      <c r="AQ1421" s="109">
        <f t="shared" si="684"/>
        <v>0</v>
      </c>
      <c r="AU1421" s="109">
        <f t="shared" si="669"/>
        <v>23.948811687887567</v>
      </c>
      <c r="AV1421" s="101">
        <f t="shared" si="685"/>
        <v>82884</v>
      </c>
      <c r="AW1421" s="99">
        <f t="shared" si="686"/>
        <v>0</v>
      </c>
      <c r="AX1421" s="1">
        <f t="shared" si="687"/>
        <v>0</v>
      </c>
      <c r="AY1421" s="29">
        <f t="shared" si="688"/>
        <v>0</v>
      </c>
      <c r="AZ1421" s="1">
        <f t="shared" si="670"/>
        <v>0</v>
      </c>
      <c r="CB1421" s="20">
        <f t="shared" si="679"/>
        <v>0</v>
      </c>
      <c r="CC1421" s="173">
        <f t="shared" si="671"/>
        <v>0</v>
      </c>
    </row>
    <row r="1422" spans="10:81" x14ac:dyDescent="0.25">
      <c r="J1422" s="9"/>
      <c r="K1422" s="10"/>
      <c r="L1422" s="17"/>
      <c r="M1422" s="23"/>
      <c r="N1422" s="23"/>
      <c r="O1422" s="23"/>
      <c r="P1422" s="23"/>
      <c r="Q1422" s="1">
        <f t="shared" si="672"/>
        <v>0.60744618579017706</v>
      </c>
      <c r="R1422" s="12">
        <f t="shared" ca="1" si="689"/>
        <v>41762</v>
      </c>
      <c r="S1422" s="88">
        <f t="shared" si="698"/>
        <v>0</v>
      </c>
      <c r="T1422" s="19">
        <f t="shared" si="690"/>
        <v>0</v>
      </c>
      <c r="U1422" s="19">
        <f t="shared" si="691"/>
        <v>0</v>
      </c>
      <c r="V1422" s="19">
        <f t="shared" si="677"/>
        <v>0</v>
      </c>
      <c r="W1422" s="20">
        <f t="shared" ca="1" si="692"/>
        <v>0</v>
      </c>
      <c r="X1422" s="19">
        <f t="shared" ca="1" si="693"/>
        <v>0</v>
      </c>
      <c r="Y1422" s="19">
        <f t="shared" ca="1" si="694"/>
        <v>0</v>
      </c>
      <c r="Z1422" s="20">
        <f t="shared" ca="1" si="695"/>
        <v>0</v>
      </c>
      <c r="AA1422" s="1">
        <f t="shared" si="673"/>
        <v>5432.58</v>
      </c>
      <c r="AB1422" s="93"/>
      <c r="AC1422" s="94"/>
      <c r="AD1422" s="101">
        <f t="shared" si="674"/>
        <v>82884</v>
      </c>
      <c r="AE1422" s="103">
        <f t="shared" si="675"/>
        <v>0</v>
      </c>
      <c r="AG1422" s="1">
        <f t="shared" si="696"/>
        <v>0</v>
      </c>
      <c r="AH1422" s="1">
        <f t="shared" si="697"/>
        <v>0</v>
      </c>
      <c r="AI1422" s="1">
        <f t="shared" si="676"/>
        <v>5432.58</v>
      </c>
      <c r="AJ1422" s="20">
        <f t="shared" si="678"/>
        <v>0</v>
      </c>
      <c r="AK1422" s="100">
        <f t="shared" si="680"/>
        <v>0</v>
      </c>
      <c r="AL1422" s="100">
        <f t="shared" si="681"/>
        <v>0</v>
      </c>
      <c r="AN1422" s="100">
        <f t="shared" si="682"/>
        <v>2684.3773243063083</v>
      </c>
      <c r="AO1422" s="20">
        <f t="shared" si="683"/>
        <v>0</v>
      </c>
      <c r="AQ1422" s="109">
        <f t="shared" si="684"/>
        <v>0</v>
      </c>
      <c r="AU1422" s="109">
        <f t="shared" si="669"/>
        <v>23.946709698925112</v>
      </c>
      <c r="AV1422" s="101">
        <f t="shared" si="685"/>
        <v>82914</v>
      </c>
      <c r="AW1422" s="99">
        <f t="shared" si="686"/>
        <v>0</v>
      </c>
      <c r="AX1422" s="1">
        <f t="shared" si="687"/>
        <v>0</v>
      </c>
      <c r="AY1422" s="29">
        <f t="shared" si="688"/>
        <v>0</v>
      </c>
      <c r="AZ1422" s="1">
        <f t="shared" si="670"/>
        <v>0</v>
      </c>
      <c r="CB1422" s="20">
        <f t="shared" si="679"/>
        <v>0</v>
      </c>
      <c r="CC1422" s="173">
        <f t="shared" si="671"/>
        <v>0</v>
      </c>
    </row>
    <row r="1423" spans="10:81" x14ac:dyDescent="0.25">
      <c r="J1423" s="7"/>
      <c r="K1423" s="8"/>
      <c r="L1423" s="16"/>
      <c r="M1423" s="22"/>
      <c r="N1423" s="22"/>
      <c r="O1423" s="22"/>
      <c r="P1423" s="22"/>
      <c r="Q1423" s="1">
        <f t="shared" si="672"/>
        <v>0.60744618579017706</v>
      </c>
      <c r="R1423" s="12">
        <f t="shared" ca="1" si="689"/>
        <v>41792</v>
      </c>
      <c r="S1423" s="88">
        <f t="shared" si="698"/>
        <v>0</v>
      </c>
      <c r="T1423" s="19">
        <f t="shared" si="690"/>
        <v>0</v>
      </c>
      <c r="U1423" s="19">
        <f t="shared" si="691"/>
        <v>0</v>
      </c>
      <c r="V1423" s="19">
        <f t="shared" si="677"/>
        <v>0</v>
      </c>
      <c r="W1423" s="20">
        <f t="shared" ca="1" si="692"/>
        <v>0</v>
      </c>
      <c r="X1423" s="19">
        <f t="shared" ca="1" si="693"/>
        <v>0</v>
      </c>
      <c r="Y1423" s="19">
        <f t="shared" ca="1" si="694"/>
        <v>0</v>
      </c>
      <c r="Z1423" s="20">
        <f t="shared" ca="1" si="695"/>
        <v>0</v>
      </c>
      <c r="AA1423" s="1">
        <f t="shared" si="673"/>
        <v>5432.58</v>
      </c>
      <c r="AB1423" s="91"/>
      <c r="AC1423" s="92"/>
      <c r="AD1423" s="101">
        <f t="shared" si="674"/>
        <v>82914</v>
      </c>
      <c r="AE1423" s="103">
        <f t="shared" si="675"/>
        <v>0</v>
      </c>
      <c r="AG1423" s="1">
        <f t="shared" si="696"/>
        <v>0</v>
      </c>
      <c r="AH1423" s="1">
        <f t="shared" si="697"/>
        <v>0</v>
      </c>
      <c r="AI1423" s="1">
        <f t="shared" si="676"/>
        <v>5432.58</v>
      </c>
      <c r="AJ1423" s="20">
        <f t="shared" si="678"/>
        <v>0</v>
      </c>
      <c r="AK1423" s="100">
        <f t="shared" si="680"/>
        <v>0</v>
      </c>
      <c r="AL1423" s="100">
        <f t="shared" si="681"/>
        <v>0</v>
      </c>
      <c r="AN1423" s="100">
        <f t="shared" si="682"/>
        <v>2683.0191661738963</v>
      </c>
      <c r="AO1423" s="20">
        <f t="shared" si="683"/>
        <v>0</v>
      </c>
      <c r="AQ1423" s="109">
        <f t="shared" si="684"/>
        <v>0</v>
      </c>
      <c r="AU1423" s="109">
        <f t="shared" si="669"/>
        <v>23.944607894454371</v>
      </c>
      <c r="AV1423" s="101">
        <f t="shared" si="685"/>
        <v>82944</v>
      </c>
      <c r="AW1423" s="99">
        <f t="shared" si="686"/>
        <v>0</v>
      </c>
      <c r="AX1423" s="1">
        <f t="shared" si="687"/>
        <v>0</v>
      </c>
      <c r="AY1423" s="29">
        <f t="shared" si="688"/>
        <v>0</v>
      </c>
      <c r="AZ1423" s="1">
        <f t="shared" si="670"/>
        <v>0</v>
      </c>
      <c r="CB1423" s="20">
        <f t="shared" si="679"/>
        <v>0</v>
      </c>
      <c r="CC1423" s="173">
        <f t="shared" si="671"/>
        <v>0</v>
      </c>
    </row>
    <row r="1424" spans="10:81" x14ac:dyDescent="0.25">
      <c r="J1424" s="9"/>
      <c r="K1424" s="10"/>
      <c r="L1424" s="17"/>
      <c r="M1424" s="23"/>
      <c r="N1424" s="23"/>
      <c r="O1424" s="23"/>
      <c r="P1424" s="23"/>
      <c r="Q1424" s="1">
        <f t="shared" si="672"/>
        <v>0.60744618579017706</v>
      </c>
      <c r="R1424" s="12">
        <f t="shared" ca="1" si="689"/>
        <v>41822</v>
      </c>
      <c r="S1424" s="88">
        <f t="shared" si="698"/>
        <v>0</v>
      </c>
      <c r="T1424" s="19">
        <f t="shared" si="690"/>
        <v>0</v>
      </c>
      <c r="U1424" s="19">
        <f t="shared" si="691"/>
        <v>0</v>
      </c>
      <c r="V1424" s="19">
        <f t="shared" si="677"/>
        <v>0</v>
      </c>
      <c r="W1424" s="20">
        <f t="shared" ca="1" si="692"/>
        <v>0</v>
      </c>
      <c r="X1424" s="19">
        <f t="shared" ca="1" si="693"/>
        <v>0</v>
      </c>
      <c r="Y1424" s="19">
        <f t="shared" ca="1" si="694"/>
        <v>0</v>
      </c>
      <c r="Z1424" s="20">
        <f t="shared" ca="1" si="695"/>
        <v>0</v>
      </c>
      <c r="AA1424" s="1">
        <f t="shared" si="673"/>
        <v>5432.58</v>
      </c>
      <c r="AB1424" s="93"/>
      <c r="AC1424" s="94"/>
      <c r="AD1424" s="101">
        <f t="shared" si="674"/>
        <v>82944</v>
      </c>
      <c r="AE1424" s="103">
        <f t="shared" si="675"/>
        <v>0</v>
      </c>
      <c r="AG1424" s="1">
        <f t="shared" si="696"/>
        <v>0</v>
      </c>
      <c r="AH1424" s="1">
        <f t="shared" si="697"/>
        <v>0</v>
      </c>
      <c r="AI1424" s="1">
        <f t="shared" si="676"/>
        <v>5432.58</v>
      </c>
      <c r="AJ1424" s="20">
        <f t="shared" si="678"/>
        <v>0</v>
      </c>
      <c r="AK1424" s="100">
        <f t="shared" si="680"/>
        <v>0</v>
      </c>
      <c r="AL1424" s="100">
        <f t="shared" si="681"/>
        <v>0</v>
      </c>
      <c r="AN1424" s="100">
        <f t="shared" si="682"/>
        <v>2681.6616952002887</v>
      </c>
      <c r="AO1424" s="20">
        <f t="shared" si="683"/>
        <v>0</v>
      </c>
      <c r="AQ1424" s="109">
        <f t="shared" si="684"/>
        <v>0</v>
      </c>
      <c r="AU1424" s="109">
        <f t="shared" si="669"/>
        <v>23.942506274459173</v>
      </c>
      <c r="AV1424" s="101">
        <f t="shared" si="685"/>
        <v>82974</v>
      </c>
      <c r="AW1424" s="99">
        <f t="shared" si="686"/>
        <v>0</v>
      </c>
      <c r="AX1424" s="1">
        <f t="shared" si="687"/>
        <v>0</v>
      </c>
      <c r="AY1424" s="29">
        <f t="shared" si="688"/>
        <v>0</v>
      </c>
      <c r="AZ1424" s="1">
        <f t="shared" si="670"/>
        <v>0</v>
      </c>
      <c r="CB1424" s="20">
        <f t="shared" si="679"/>
        <v>0</v>
      </c>
      <c r="CC1424" s="173">
        <f t="shared" si="671"/>
        <v>0</v>
      </c>
    </row>
    <row r="1425" spans="10:81" x14ac:dyDescent="0.25">
      <c r="J1425" s="7"/>
      <c r="K1425" s="8"/>
      <c r="L1425" s="16"/>
      <c r="M1425" s="22"/>
      <c r="N1425" s="22"/>
      <c r="O1425" s="22"/>
      <c r="P1425" s="22"/>
      <c r="Q1425" s="1">
        <f t="shared" si="672"/>
        <v>0.60744618579017706</v>
      </c>
      <c r="R1425" s="12">
        <f t="shared" ca="1" si="689"/>
        <v>41852</v>
      </c>
      <c r="S1425" s="88">
        <f t="shared" si="698"/>
        <v>0</v>
      </c>
      <c r="T1425" s="19">
        <f t="shared" si="690"/>
        <v>0</v>
      </c>
      <c r="U1425" s="19">
        <f t="shared" si="691"/>
        <v>0</v>
      </c>
      <c r="V1425" s="19">
        <f t="shared" si="677"/>
        <v>0</v>
      </c>
      <c r="W1425" s="20">
        <f t="shared" ca="1" si="692"/>
        <v>0</v>
      </c>
      <c r="X1425" s="19">
        <f t="shared" ca="1" si="693"/>
        <v>0</v>
      </c>
      <c r="Y1425" s="19">
        <f t="shared" ca="1" si="694"/>
        <v>0</v>
      </c>
      <c r="Z1425" s="20">
        <f t="shared" ca="1" si="695"/>
        <v>0</v>
      </c>
      <c r="AA1425" s="1">
        <f t="shared" si="673"/>
        <v>5432.58</v>
      </c>
      <c r="AB1425" s="91"/>
      <c r="AC1425" s="92"/>
      <c r="AD1425" s="101">
        <f t="shared" si="674"/>
        <v>82974</v>
      </c>
      <c r="AE1425" s="103">
        <f t="shared" si="675"/>
        <v>0</v>
      </c>
      <c r="AG1425" s="1">
        <f t="shared" si="696"/>
        <v>0</v>
      </c>
      <c r="AH1425" s="1">
        <f t="shared" si="697"/>
        <v>0</v>
      </c>
      <c r="AI1425" s="1">
        <f t="shared" si="676"/>
        <v>5432.58</v>
      </c>
      <c r="AJ1425" s="20">
        <f t="shared" si="678"/>
        <v>0</v>
      </c>
      <c r="AK1425" s="100">
        <f t="shared" si="680"/>
        <v>0</v>
      </c>
      <c r="AL1425" s="100">
        <f t="shared" si="681"/>
        <v>0</v>
      </c>
      <c r="AN1425" s="100">
        <f t="shared" si="682"/>
        <v>2680.3049110378174</v>
      </c>
      <c r="AO1425" s="20">
        <f t="shared" si="683"/>
        <v>0</v>
      </c>
      <c r="AQ1425" s="109">
        <f t="shared" si="684"/>
        <v>0</v>
      </c>
      <c r="AU1425" s="109">
        <f t="shared" si="669"/>
        <v>23.94040483892331</v>
      </c>
      <c r="AV1425" s="101">
        <f t="shared" si="685"/>
        <v>83004</v>
      </c>
      <c r="AW1425" s="99">
        <f t="shared" si="686"/>
        <v>0</v>
      </c>
      <c r="AX1425" s="1">
        <f t="shared" si="687"/>
        <v>0</v>
      </c>
      <c r="AY1425" s="29">
        <f t="shared" si="688"/>
        <v>0</v>
      </c>
      <c r="AZ1425" s="1">
        <f t="shared" si="670"/>
        <v>0</v>
      </c>
      <c r="CB1425" s="20">
        <f t="shared" si="679"/>
        <v>0</v>
      </c>
      <c r="CC1425" s="173">
        <f t="shared" si="671"/>
        <v>0</v>
      </c>
    </row>
    <row r="1426" spans="10:81" x14ac:dyDescent="0.25">
      <c r="J1426" s="9"/>
      <c r="K1426" s="10"/>
      <c r="L1426" s="17"/>
      <c r="M1426" s="23"/>
      <c r="N1426" s="23"/>
      <c r="O1426" s="23"/>
      <c r="P1426" s="23"/>
      <c r="Q1426" s="1">
        <f t="shared" si="672"/>
        <v>0.60744618579017706</v>
      </c>
      <c r="R1426" s="12">
        <f t="shared" ca="1" si="689"/>
        <v>41882</v>
      </c>
      <c r="S1426" s="88">
        <f t="shared" si="698"/>
        <v>0</v>
      </c>
      <c r="T1426" s="19">
        <f t="shared" si="690"/>
        <v>0</v>
      </c>
      <c r="U1426" s="19">
        <f t="shared" si="691"/>
        <v>0</v>
      </c>
      <c r="V1426" s="19">
        <f t="shared" si="677"/>
        <v>0</v>
      </c>
      <c r="W1426" s="20">
        <f t="shared" ca="1" si="692"/>
        <v>0</v>
      </c>
      <c r="X1426" s="19">
        <f t="shared" ca="1" si="693"/>
        <v>0</v>
      </c>
      <c r="Y1426" s="19">
        <f t="shared" ca="1" si="694"/>
        <v>0</v>
      </c>
      <c r="Z1426" s="20">
        <f t="shared" ca="1" si="695"/>
        <v>0</v>
      </c>
      <c r="AA1426" s="1">
        <f t="shared" si="673"/>
        <v>5432.58</v>
      </c>
      <c r="AB1426" s="93"/>
      <c r="AC1426" s="94"/>
      <c r="AD1426" s="101">
        <f t="shared" si="674"/>
        <v>83004</v>
      </c>
      <c r="AE1426" s="103">
        <f t="shared" si="675"/>
        <v>0</v>
      </c>
      <c r="AG1426" s="1">
        <f t="shared" si="696"/>
        <v>0</v>
      </c>
      <c r="AH1426" s="1">
        <f t="shared" si="697"/>
        <v>0</v>
      </c>
      <c r="AI1426" s="1">
        <f t="shared" si="676"/>
        <v>5432.58</v>
      </c>
      <c r="AJ1426" s="20">
        <f t="shared" si="678"/>
        <v>0</v>
      </c>
      <c r="AK1426" s="100">
        <f t="shared" si="680"/>
        <v>0</v>
      </c>
      <c r="AL1426" s="100">
        <f t="shared" si="681"/>
        <v>0</v>
      </c>
      <c r="AN1426" s="100">
        <f t="shared" si="682"/>
        <v>2678.9488133389927</v>
      </c>
      <c r="AO1426" s="20">
        <f t="shared" si="683"/>
        <v>0</v>
      </c>
      <c r="AQ1426" s="109">
        <f t="shared" si="684"/>
        <v>0</v>
      </c>
      <c r="AU1426" s="109">
        <f t="shared" si="669"/>
        <v>23.938303587830607</v>
      </c>
      <c r="AV1426" s="101">
        <f t="shared" si="685"/>
        <v>83034</v>
      </c>
      <c r="AW1426" s="99">
        <f t="shared" si="686"/>
        <v>0</v>
      </c>
      <c r="AX1426" s="1">
        <f t="shared" si="687"/>
        <v>0</v>
      </c>
      <c r="AY1426" s="29">
        <f t="shared" si="688"/>
        <v>0</v>
      </c>
      <c r="AZ1426" s="1">
        <f t="shared" si="670"/>
        <v>0</v>
      </c>
      <c r="CB1426" s="20">
        <f t="shared" si="679"/>
        <v>0</v>
      </c>
      <c r="CC1426" s="173">
        <f t="shared" si="671"/>
        <v>0</v>
      </c>
    </row>
    <row r="1427" spans="10:81" x14ac:dyDescent="0.25">
      <c r="J1427" s="7"/>
      <c r="K1427" s="8"/>
      <c r="L1427" s="16"/>
      <c r="M1427" s="22"/>
      <c r="N1427" s="22"/>
      <c r="O1427" s="22"/>
      <c r="P1427" s="22"/>
      <c r="Q1427" s="1">
        <f t="shared" si="672"/>
        <v>0.60744618579017706</v>
      </c>
      <c r="R1427" s="12">
        <f t="shared" ca="1" si="689"/>
        <v>41912</v>
      </c>
      <c r="S1427" s="88">
        <f t="shared" si="698"/>
        <v>0</v>
      </c>
      <c r="T1427" s="19">
        <f t="shared" si="690"/>
        <v>0</v>
      </c>
      <c r="U1427" s="19">
        <f t="shared" si="691"/>
        <v>0</v>
      </c>
      <c r="V1427" s="19">
        <f t="shared" si="677"/>
        <v>0</v>
      </c>
      <c r="W1427" s="20">
        <f t="shared" ca="1" si="692"/>
        <v>0</v>
      </c>
      <c r="X1427" s="19">
        <f t="shared" ca="1" si="693"/>
        <v>0</v>
      </c>
      <c r="Y1427" s="19">
        <f t="shared" ca="1" si="694"/>
        <v>0</v>
      </c>
      <c r="Z1427" s="20">
        <f t="shared" ca="1" si="695"/>
        <v>0</v>
      </c>
      <c r="AA1427" s="1">
        <f t="shared" si="673"/>
        <v>5432.58</v>
      </c>
      <c r="AB1427" s="91"/>
      <c r="AC1427" s="92"/>
      <c r="AD1427" s="101">
        <f t="shared" si="674"/>
        <v>83034</v>
      </c>
      <c r="AE1427" s="103">
        <f t="shared" si="675"/>
        <v>0</v>
      </c>
      <c r="AG1427" s="1">
        <f t="shared" si="696"/>
        <v>0</v>
      </c>
      <c r="AH1427" s="1">
        <f t="shared" si="697"/>
        <v>0</v>
      </c>
      <c r="AI1427" s="1">
        <f t="shared" si="676"/>
        <v>5432.58</v>
      </c>
      <c r="AJ1427" s="20">
        <f t="shared" si="678"/>
        <v>0</v>
      </c>
      <c r="AK1427" s="100">
        <f t="shared" si="680"/>
        <v>0</v>
      </c>
      <c r="AL1427" s="100">
        <f t="shared" si="681"/>
        <v>0</v>
      </c>
      <c r="AN1427" s="100">
        <f t="shared" si="682"/>
        <v>2677.5934017564978</v>
      </c>
      <c r="AO1427" s="20">
        <f t="shared" si="683"/>
        <v>0</v>
      </c>
      <c r="AQ1427" s="109">
        <f t="shared" si="684"/>
        <v>0</v>
      </c>
      <c r="AU1427" s="109">
        <f t="shared" si="669"/>
        <v>23.936202521164859</v>
      </c>
      <c r="AV1427" s="101">
        <f t="shared" si="685"/>
        <v>83064</v>
      </c>
      <c r="AW1427" s="99">
        <f t="shared" si="686"/>
        <v>0</v>
      </c>
      <c r="AX1427" s="1">
        <f t="shared" si="687"/>
        <v>0</v>
      </c>
      <c r="AY1427" s="29">
        <f t="shared" si="688"/>
        <v>0</v>
      </c>
      <c r="AZ1427" s="1">
        <f t="shared" si="670"/>
        <v>0</v>
      </c>
      <c r="CB1427" s="20">
        <f t="shared" si="679"/>
        <v>0</v>
      </c>
      <c r="CC1427" s="173">
        <f t="shared" si="671"/>
        <v>0</v>
      </c>
    </row>
    <row r="1428" spans="10:81" x14ac:dyDescent="0.25">
      <c r="J1428" s="9"/>
      <c r="K1428" s="10"/>
      <c r="L1428" s="17"/>
      <c r="M1428" s="23"/>
      <c r="N1428" s="23"/>
      <c r="O1428" s="23"/>
      <c r="P1428" s="23"/>
      <c r="Q1428" s="1">
        <f t="shared" si="672"/>
        <v>0.60744618579017706</v>
      </c>
      <c r="R1428" s="12">
        <f t="shared" ca="1" si="689"/>
        <v>41942</v>
      </c>
      <c r="S1428" s="88">
        <f t="shared" si="698"/>
        <v>0</v>
      </c>
      <c r="T1428" s="19">
        <f t="shared" si="690"/>
        <v>0</v>
      </c>
      <c r="U1428" s="19">
        <f t="shared" si="691"/>
        <v>0</v>
      </c>
      <c r="V1428" s="19">
        <f t="shared" si="677"/>
        <v>0</v>
      </c>
      <c r="W1428" s="20">
        <f t="shared" ca="1" si="692"/>
        <v>0</v>
      </c>
      <c r="X1428" s="19">
        <f t="shared" ca="1" si="693"/>
        <v>0</v>
      </c>
      <c r="Y1428" s="19">
        <f t="shared" ca="1" si="694"/>
        <v>0</v>
      </c>
      <c r="Z1428" s="20">
        <f t="shared" ca="1" si="695"/>
        <v>0</v>
      </c>
      <c r="AA1428" s="1">
        <f t="shared" si="673"/>
        <v>5432.58</v>
      </c>
      <c r="AB1428" s="93"/>
      <c r="AC1428" s="94"/>
      <c r="AD1428" s="101">
        <f t="shared" si="674"/>
        <v>83064</v>
      </c>
      <c r="AE1428" s="103">
        <f t="shared" si="675"/>
        <v>0</v>
      </c>
      <c r="AG1428" s="1">
        <f t="shared" si="696"/>
        <v>0</v>
      </c>
      <c r="AH1428" s="1">
        <f t="shared" si="697"/>
        <v>0</v>
      </c>
      <c r="AI1428" s="1">
        <f t="shared" si="676"/>
        <v>5432.58</v>
      </c>
      <c r="AJ1428" s="20">
        <f t="shared" si="678"/>
        <v>0</v>
      </c>
      <c r="AK1428" s="100">
        <f t="shared" si="680"/>
        <v>0</v>
      </c>
      <c r="AL1428" s="100">
        <f t="shared" si="681"/>
        <v>0</v>
      </c>
      <c r="AN1428" s="100">
        <f t="shared" si="682"/>
        <v>2676.2386759431924</v>
      </c>
      <c r="AO1428" s="20">
        <f t="shared" si="683"/>
        <v>0</v>
      </c>
      <c r="AQ1428" s="109">
        <f t="shared" si="684"/>
        <v>0</v>
      </c>
      <c r="AU1428" s="109">
        <f t="shared" si="669"/>
        <v>23.934101638909894</v>
      </c>
      <c r="AV1428" s="101">
        <f t="shared" si="685"/>
        <v>83094</v>
      </c>
      <c r="AW1428" s="99">
        <f t="shared" si="686"/>
        <v>0</v>
      </c>
      <c r="AX1428" s="1">
        <f t="shared" si="687"/>
        <v>0</v>
      </c>
      <c r="AY1428" s="29">
        <f t="shared" si="688"/>
        <v>0</v>
      </c>
      <c r="AZ1428" s="1">
        <f t="shared" si="670"/>
        <v>0</v>
      </c>
      <c r="CB1428" s="20">
        <f t="shared" si="679"/>
        <v>0</v>
      </c>
      <c r="CC1428" s="173">
        <f t="shared" si="671"/>
        <v>0</v>
      </c>
    </row>
    <row r="1429" spans="10:81" x14ac:dyDescent="0.25">
      <c r="J1429" s="7"/>
      <c r="K1429" s="8"/>
      <c r="L1429" s="16"/>
      <c r="M1429" s="22"/>
      <c r="N1429" s="22"/>
      <c r="O1429" s="22"/>
      <c r="P1429" s="22"/>
      <c r="Q1429" s="1">
        <f t="shared" si="672"/>
        <v>0.60744618579017706</v>
      </c>
      <c r="R1429" s="12">
        <f t="shared" ca="1" si="689"/>
        <v>41972</v>
      </c>
      <c r="S1429" s="88">
        <f t="shared" si="698"/>
        <v>0</v>
      </c>
      <c r="T1429" s="19">
        <f t="shared" si="690"/>
        <v>0</v>
      </c>
      <c r="U1429" s="19">
        <f t="shared" si="691"/>
        <v>0</v>
      </c>
      <c r="V1429" s="19">
        <f t="shared" si="677"/>
        <v>0</v>
      </c>
      <c r="W1429" s="20">
        <f t="shared" ca="1" si="692"/>
        <v>0</v>
      </c>
      <c r="X1429" s="19">
        <f t="shared" ca="1" si="693"/>
        <v>0</v>
      </c>
      <c r="Y1429" s="19">
        <f t="shared" ca="1" si="694"/>
        <v>0</v>
      </c>
      <c r="Z1429" s="20">
        <f t="shared" ca="1" si="695"/>
        <v>0</v>
      </c>
      <c r="AA1429" s="1">
        <f t="shared" si="673"/>
        <v>5432.58</v>
      </c>
      <c r="AB1429" s="91"/>
      <c r="AC1429" s="92"/>
      <c r="AD1429" s="101">
        <f t="shared" si="674"/>
        <v>83094</v>
      </c>
      <c r="AE1429" s="103">
        <f t="shared" si="675"/>
        <v>0</v>
      </c>
      <c r="AG1429" s="1">
        <f t="shared" si="696"/>
        <v>0</v>
      </c>
      <c r="AH1429" s="1">
        <f t="shared" si="697"/>
        <v>0</v>
      </c>
      <c r="AI1429" s="1">
        <f t="shared" si="676"/>
        <v>5432.58</v>
      </c>
      <c r="AJ1429" s="20">
        <f t="shared" si="678"/>
        <v>0</v>
      </c>
      <c r="AK1429" s="100">
        <f t="shared" si="680"/>
        <v>0</v>
      </c>
      <c r="AL1429" s="100">
        <f t="shared" si="681"/>
        <v>0</v>
      </c>
      <c r="AN1429" s="100">
        <f t="shared" si="682"/>
        <v>2674.8846355521127</v>
      </c>
      <c r="AO1429" s="20">
        <f t="shared" si="683"/>
        <v>0</v>
      </c>
      <c r="AQ1429" s="109">
        <f t="shared" si="684"/>
        <v>0</v>
      </c>
      <c r="AU1429" s="109">
        <f t="shared" si="669"/>
        <v>23.932000941049516</v>
      </c>
      <c r="AV1429" s="101">
        <f t="shared" si="685"/>
        <v>83124</v>
      </c>
      <c r="AW1429" s="99">
        <f t="shared" si="686"/>
        <v>0</v>
      </c>
      <c r="AX1429" s="1">
        <f t="shared" si="687"/>
        <v>0</v>
      </c>
      <c r="AY1429" s="29">
        <f t="shared" si="688"/>
        <v>0</v>
      </c>
      <c r="AZ1429" s="1">
        <f t="shared" si="670"/>
        <v>0</v>
      </c>
      <c r="CB1429" s="20">
        <f t="shared" si="679"/>
        <v>0</v>
      </c>
      <c r="CC1429" s="173">
        <f t="shared" si="671"/>
        <v>0</v>
      </c>
    </row>
    <row r="1430" spans="10:81" x14ac:dyDescent="0.25">
      <c r="J1430" s="9"/>
      <c r="K1430" s="10"/>
      <c r="L1430" s="17"/>
      <c r="M1430" s="23"/>
      <c r="N1430" s="23"/>
      <c r="O1430" s="23"/>
      <c r="P1430" s="23"/>
      <c r="Q1430" s="1">
        <f t="shared" si="672"/>
        <v>0.60744618579017706</v>
      </c>
      <c r="R1430" s="12">
        <f t="shared" ca="1" si="689"/>
        <v>42002</v>
      </c>
      <c r="S1430" s="88">
        <f t="shared" si="698"/>
        <v>0</v>
      </c>
      <c r="T1430" s="19">
        <f t="shared" si="690"/>
        <v>0</v>
      </c>
      <c r="U1430" s="19">
        <f t="shared" si="691"/>
        <v>0</v>
      </c>
      <c r="V1430" s="19">
        <f t="shared" si="677"/>
        <v>0</v>
      </c>
      <c r="W1430" s="20">
        <f t="shared" ca="1" si="692"/>
        <v>0</v>
      </c>
      <c r="X1430" s="19">
        <f t="shared" ca="1" si="693"/>
        <v>0</v>
      </c>
      <c r="Y1430" s="19">
        <f t="shared" ca="1" si="694"/>
        <v>0</v>
      </c>
      <c r="Z1430" s="20">
        <f t="shared" ca="1" si="695"/>
        <v>0</v>
      </c>
      <c r="AA1430" s="1">
        <f t="shared" si="673"/>
        <v>5432.58</v>
      </c>
      <c r="AB1430" s="93"/>
      <c r="AC1430" s="94"/>
      <c r="AD1430" s="101">
        <f t="shared" si="674"/>
        <v>83124</v>
      </c>
      <c r="AE1430" s="103">
        <f t="shared" si="675"/>
        <v>0</v>
      </c>
      <c r="AG1430" s="1">
        <f t="shared" si="696"/>
        <v>0</v>
      </c>
      <c r="AH1430" s="1">
        <f t="shared" si="697"/>
        <v>0</v>
      </c>
      <c r="AI1430" s="1">
        <f t="shared" si="676"/>
        <v>5432.58</v>
      </c>
      <c r="AJ1430" s="20">
        <f t="shared" si="678"/>
        <v>0</v>
      </c>
      <c r="AK1430" s="100">
        <f t="shared" si="680"/>
        <v>0</v>
      </c>
      <c r="AL1430" s="100">
        <f t="shared" si="681"/>
        <v>0</v>
      </c>
      <c r="AN1430" s="100">
        <f t="shared" si="682"/>
        <v>2673.531280236471</v>
      </c>
      <c r="AO1430" s="20">
        <f t="shared" si="683"/>
        <v>0</v>
      </c>
      <c r="AQ1430" s="109">
        <f t="shared" si="684"/>
        <v>0</v>
      </c>
      <c r="AU1430" s="109">
        <f t="shared" si="669"/>
        <v>23.929900427567542</v>
      </c>
      <c r="AV1430" s="101">
        <f t="shared" si="685"/>
        <v>83154</v>
      </c>
      <c r="AW1430" s="99">
        <f t="shared" si="686"/>
        <v>0</v>
      </c>
      <c r="AX1430" s="1">
        <f t="shared" si="687"/>
        <v>0</v>
      </c>
      <c r="AY1430" s="29">
        <f t="shared" si="688"/>
        <v>0</v>
      </c>
      <c r="AZ1430" s="1">
        <f t="shared" si="670"/>
        <v>0</v>
      </c>
      <c r="CB1430" s="20">
        <f t="shared" si="679"/>
        <v>0</v>
      </c>
      <c r="CC1430" s="173">
        <f t="shared" si="671"/>
        <v>0</v>
      </c>
    </row>
    <row r="1431" spans="10:81" x14ac:dyDescent="0.25">
      <c r="J1431" s="7"/>
      <c r="K1431" s="8"/>
      <c r="L1431" s="16"/>
      <c r="M1431" s="22"/>
      <c r="N1431" s="22"/>
      <c r="O1431" s="22"/>
      <c r="P1431" s="22"/>
      <c r="Q1431" s="1">
        <f t="shared" si="672"/>
        <v>0.60744618579017706</v>
      </c>
      <c r="R1431" s="12">
        <f t="shared" ca="1" si="689"/>
        <v>42032</v>
      </c>
      <c r="S1431" s="88">
        <f t="shared" si="698"/>
        <v>0</v>
      </c>
      <c r="T1431" s="19">
        <f t="shared" si="690"/>
        <v>0</v>
      </c>
      <c r="U1431" s="19">
        <f t="shared" si="691"/>
        <v>0</v>
      </c>
      <c r="V1431" s="19">
        <f t="shared" si="677"/>
        <v>0</v>
      </c>
      <c r="W1431" s="20">
        <f t="shared" ca="1" si="692"/>
        <v>0</v>
      </c>
      <c r="X1431" s="19">
        <f t="shared" ca="1" si="693"/>
        <v>0</v>
      </c>
      <c r="Y1431" s="19">
        <f t="shared" ca="1" si="694"/>
        <v>0</v>
      </c>
      <c r="Z1431" s="20">
        <f t="shared" ca="1" si="695"/>
        <v>0</v>
      </c>
      <c r="AA1431" s="1">
        <f t="shared" si="673"/>
        <v>5432.58</v>
      </c>
      <c r="AB1431" s="91"/>
      <c r="AC1431" s="92"/>
      <c r="AD1431" s="101">
        <f t="shared" si="674"/>
        <v>83154</v>
      </c>
      <c r="AE1431" s="103">
        <f t="shared" si="675"/>
        <v>0</v>
      </c>
      <c r="AG1431" s="1">
        <f t="shared" si="696"/>
        <v>0</v>
      </c>
      <c r="AH1431" s="1">
        <f t="shared" si="697"/>
        <v>0</v>
      </c>
      <c r="AI1431" s="1">
        <f t="shared" si="676"/>
        <v>5432.58</v>
      </c>
      <c r="AJ1431" s="20">
        <f t="shared" si="678"/>
        <v>0</v>
      </c>
      <c r="AK1431" s="100">
        <f t="shared" si="680"/>
        <v>0</v>
      </c>
      <c r="AL1431" s="100">
        <f t="shared" si="681"/>
        <v>0</v>
      </c>
      <c r="AN1431" s="100">
        <f t="shared" si="682"/>
        <v>2672.1786096496526</v>
      </c>
      <c r="AO1431" s="20">
        <f t="shared" si="683"/>
        <v>0</v>
      </c>
      <c r="AQ1431" s="109">
        <f t="shared" si="684"/>
        <v>0</v>
      </c>
      <c r="AU1431" s="109">
        <f t="shared" si="669"/>
        <v>23.927800098447797</v>
      </c>
      <c r="AV1431" s="101">
        <f t="shared" si="685"/>
        <v>83184</v>
      </c>
      <c r="AW1431" s="99">
        <f t="shared" si="686"/>
        <v>0</v>
      </c>
      <c r="AX1431" s="1">
        <f t="shared" si="687"/>
        <v>0</v>
      </c>
      <c r="AY1431" s="29">
        <f t="shared" si="688"/>
        <v>0</v>
      </c>
      <c r="AZ1431" s="1">
        <f t="shared" si="670"/>
        <v>0</v>
      </c>
      <c r="CB1431" s="20">
        <f t="shared" si="679"/>
        <v>0</v>
      </c>
      <c r="CC1431" s="173">
        <f t="shared" si="671"/>
        <v>0</v>
      </c>
    </row>
    <row r="1432" spans="10:81" x14ac:dyDescent="0.25">
      <c r="J1432" s="9"/>
      <c r="K1432" s="10"/>
      <c r="L1432" s="17"/>
      <c r="M1432" s="23"/>
      <c r="N1432" s="23"/>
      <c r="O1432" s="23"/>
      <c r="P1432" s="23"/>
      <c r="Q1432" s="1">
        <f t="shared" si="672"/>
        <v>0.60744618579017706</v>
      </c>
      <c r="R1432" s="12">
        <f t="shared" ca="1" si="689"/>
        <v>42062</v>
      </c>
      <c r="S1432" s="88">
        <f t="shared" si="698"/>
        <v>0</v>
      </c>
      <c r="T1432" s="19">
        <f t="shared" si="690"/>
        <v>0</v>
      </c>
      <c r="U1432" s="19">
        <f t="shared" si="691"/>
        <v>0</v>
      </c>
      <c r="V1432" s="19">
        <f t="shared" si="677"/>
        <v>0</v>
      </c>
      <c r="W1432" s="20">
        <f t="shared" ca="1" si="692"/>
        <v>0</v>
      </c>
      <c r="X1432" s="19">
        <f t="shared" ca="1" si="693"/>
        <v>0</v>
      </c>
      <c r="Y1432" s="19">
        <f t="shared" ca="1" si="694"/>
        <v>0</v>
      </c>
      <c r="Z1432" s="20">
        <f t="shared" ca="1" si="695"/>
        <v>0</v>
      </c>
      <c r="AA1432" s="1">
        <f t="shared" si="673"/>
        <v>5432.58</v>
      </c>
      <c r="AB1432" s="93"/>
      <c r="AC1432" s="94"/>
      <c r="AD1432" s="101">
        <f t="shared" si="674"/>
        <v>83184</v>
      </c>
      <c r="AE1432" s="103">
        <f t="shared" si="675"/>
        <v>0</v>
      </c>
      <c r="AG1432" s="1">
        <f t="shared" si="696"/>
        <v>0</v>
      </c>
      <c r="AH1432" s="1">
        <f t="shared" si="697"/>
        <v>0</v>
      </c>
      <c r="AI1432" s="1">
        <f t="shared" si="676"/>
        <v>5432.58</v>
      </c>
      <c r="AJ1432" s="20">
        <f t="shared" si="678"/>
        <v>0</v>
      </c>
      <c r="AK1432" s="100">
        <f t="shared" si="680"/>
        <v>0</v>
      </c>
      <c r="AL1432" s="100">
        <f t="shared" si="681"/>
        <v>0</v>
      </c>
      <c r="AN1432" s="100">
        <f t="shared" si="682"/>
        <v>2670.8266234452208</v>
      </c>
      <c r="AO1432" s="20">
        <f t="shared" si="683"/>
        <v>0</v>
      </c>
      <c r="AQ1432" s="109">
        <f t="shared" si="684"/>
        <v>0</v>
      </c>
      <c r="AU1432" s="109">
        <f t="shared" si="669"/>
        <v>23.925699953674091</v>
      </c>
      <c r="AV1432" s="101">
        <f t="shared" si="685"/>
        <v>83214</v>
      </c>
      <c r="AW1432" s="99">
        <f t="shared" si="686"/>
        <v>0</v>
      </c>
      <c r="AX1432" s="1">
        <f t="shared" si="687"/>
        <v>0</v>
      </c>
      <c r="AY1432" s="29">
        <f t="shared" si="688"/>
        <v>0</v>
      </c>
      <c r="AZ1432" s="1">
        <f t="shared" si="670"/>
        <v>0</v>
      </c>
      <c r="CB1432" s="20">
        <f t="shared" si="679"/>
        <v>0</v>
      </c>
      <c r="CC1432" s="173">
        <f t="shared" si="671"/>
        <v>0</v>
      </c>
    </row>
    <row r="1433" spans="10:81" x14ac:dyDescent="0.25">
      <c r="J1433" s="7"/>
      <c r="K1433" s="8"/>
      <c r="L1433" s="16"/>
      <c r="M1433" s="22"/>
      <c r="N1433" s="22"/>
      <c r="O1433" s="22"/>
      <c r="P1433" s="22"/>
      <c r="Q1433" s="1">
        <f t="shared" si="672"/>
        <v>0.60744618579017706</v>
      </c>
      <c r="R1433" s="12">
        <f t="shared" ca="1" si="689"/>
        <v>42092</v>
      </c>
      <c r="S1433" s="88">
        <f t="shared" si="698"/>
        <v>0</v>
      </c>
      <c r="T1433" s="19">
        <f t="shared" si="690"/>
        <v>0</v>
      </c>
      <c r="U1433" s="19">
        <f t="shared" si="691"/>
        <v>0</v>
      </c>
      <c r="V1433" s="19">
        <f t="shared" si="677"/>
        <v>0</v>
      </c>
      <c r="W1433" s="20">
        <f t="shared" ca="1" si="692"/>
        <v>0</v>
      </c>
      <c r="X1433" s="19">
        <f t="shared" ca="1" si="693"/>
        <v>0</v>
      </c>
      <c r="Y1433" s="19">
        <f t="shared" ca="1" si="694"/>
        <v>0</v>
      </c>
      <c r="Z1433" s="20">
        <f t="shared" ca="1" si="695"/>
        <v>0</v>
      </c>
      <c r="AA1433" s="1">
        <f t="shared" si="673"/>
        <v>5432.58</v>
      </c>
      <c r="AB1433" s="91"/>
      <c r="AC1433" s="92"/>
      <c r="AD1433" s="101">
        <f t="shared" si="674"/>
        <v>83214</v>
      </c>
      <c r="AE1433" s="103">
        <f t="shared" si="675"/>
        <v>0</v>
      </c>
      <c r="AG1433" s="1">
        <f t="shared" si="696"/>
        <v>0</v>
      </c>
      <c r="AH1433" s="1">
        <f t="shared" si="697"/>
        <v>0</v>
      </c>
      <c r="AI1433" s="1">
        <f t="shared" si="676"/>
        <v>5432.58</v>
      </c>
      <c r="AJ1433" s="20">
        <f t="shared" si="678"/>
        <v>0</v>
      </c>
      <c r="AK1433" s="100">
        <f t="shared" si="680"/>
        <v>0</v>
      </c>
      <c r="AL1433" s="100">
        <f t="shared" si="681"/>
        <v>0</v>
      </c>
      <c r="AN1433" s="100">
        <f t="shared" si="682"/>
        <v>2669.4753212769106</v>
      </c>
      <c r="AO1433" s="20">
        <f t="shared" si="683"/>
        <v>0</v>
      </c>
      <c r="AQ1433" s="109">
        <f t="shared" si="684"/>
        <v>0</v>
      </c>
      <c r="AU1433" s="109">
        <f t="shared" si="669"/>
        <v>23.923599993230241</v>
      </c>
      <c r="AV1433" s="101">
        <f t="shared" si="685"/>
        <v>83244</v>
      </c>
      <c r="AW1433" s="99">
        <f t="shared" si="686"/>
        <v>0</v>
      </c>
      <c r="AX1433" s="1">
        <f t="shared" si="687"/>
        <v>0</v>
      </c>
      <c r="AY1433" s="29">
        <f t="shared" si="688"/>
        <v>0</v>
      </c>
      <c r="AZ1433" s="1">
        <f t="shared" si="670"/>
        <v>0</v>
      </c>
      <c r="CB1433" s="20">
        <f t="shared" si="679"/>
        <v>0</v>
      </c>
      <c r="CC1433" s="173">
        <f t="shared" si="671"/>
        <v>0</v>
      </c>
    </row>
    <row r="1434" spans="10:81" x14ac:dyDescent="0.25">
      <c r="J1434" s="9"/>
      <c r="K1434" s="10"/>
      <c r="L1434" s="17"/>
      <c r="M1434" s="23"/>
      <c r="N1434" s="23"/>
      <c r="O1434" s="23"/>
      <c r="P1434" s="23"/>
      <c r="Q1434" s="1">
        <f t="shared" si="672"/>
        <v>0.60744618579017706</v>
      </c>
      <c r="R1434" s="12">
        <f t="shared" ca="1" si="689"/>
        <v>42122</v>
      </c>
      <c r="S1434" s="88">
        <f t="shared" si="698"/>
        <v>0</v>
      </c>
      <c r="T1434" s="19">
        <f t="shared" si="690"/>
        <v>0</v>
      </c>
      <c r="U1434" s="19">
        <f t="shared" si="691"/>
        <v>0</v>
      </c>
      <c r="V1434" s="19">
        <f t="shared" si="677"/>
        <v>0</v>
      </c>
      <c r="W1434" s="20">
        <f t="shared" ca="1" si="692"/>
        <v>0</v>
      </c>
      <c r="X1434" s="19">
        <f t="shared" ca="1" si="693"/>
        <v>0</v>
      </c>
      <c r="Y1434" s="19">
        <f t="shared" ca="1" si="694"/>
        <v>0</v>
      </c>
      <c r="Z1434" s="20">
        <f t="shared" ca="1" si="695"/>
        <v>0</v>
      </c>
      <c r="AA1434" s="1">
        <f t="shared" si="673"/>
        <v>5432.58</v>
      </c>
      <c r="AB1434" s="93"/>
      <c r="AC1434" s="94"/>
      <c r="AD1434" s="101">
        <f t="shared" si="674"/>
        <v>83244</v>
      </c>
      <c r="AE1434" s="103">
        <f t="shared" si="675"/>
        <v>0</v>
      </c>
      <c r="AG1434" s="1">
        <f t="shared" si="696"/>
        <v>0</v>
      </c>
      <c r="AH1434" s="1">
        <f t="shared" si="697"/>
        <v>0</v>
      </c>
      <c r="AI1434" s="1">
        <f t="shared" si="676"/>
        <v>5432.58</v>
      </c>
      <c r="AJ1434" s="20">
        <f t="shared" si="678"/>
        <v>0</v>
      </c>
      <c r="AK1434" s="100">
        <f t="shared" si="680"/>
        <v>0</v>
      </c>
      <c r="AL1434" s="100">
        <f t="shared" si="681"/>
        <v>0</v>
      </c>
      <c r="AN1434" s="100">
        <f t="shared" si="682"/>
        <v>2668.1247027986374</v>
      </c>
      <c r="AO1434" s="20">
        <f t="shared" si="683"/>
        <v>0</v>
      </c>
      <c r="AQ1434" s="109">
        <f t="shared" si="684"/>
        <v>0</v>
      </c>
      <c r="AU1434" s="109">
        <f t="shared" si="669"/>
        <v>23.921500217100075</v>
      </c>
      <c r="AV1434" s="101">
        <f t="shared" si="685"/>
        <v>83274</v>
      </c>
      <c r="AW1434" s="99">
        <f t="shared" si="686"/>
        <v>0</v>
      </c>
      <c r="AX1434" s="1">
        <f t="shared" si="687"/>
        <v>0</v>
      </c>
      <c r="AY1434" s="29">
        <f t="shared" si="688"/>
        <v>0</v>
      </c>
      <c r="AZ1434" s="1">
        <f t="shared" si="670"/>
        <v>0</v>
      </c>
      <c r="CB1434" s="20">
        <f t="shared" si="679"/>
        <v>0</v>
      </c>
      <c r="CC1434" s="173">
        <f t="shared" si="671"/>
        <v>0</v>
      </c>
    </row>
    <row r="1435" spans="10:81" x14ac:dyDescent="0.25">
      <c r="J1435" s="7"/>
      <c r="K1435" s="8"/>
      <c r="L1435" s="16"/>
      <c r="M1435" s="22"/>
      <c r="N1435" s="22"/>
      <c r="O1435" s="22"/>
      <c r="P1435" s="22"/>
      <c r="Q1435" s="1">
        <f t="shared" si="672"/>
        <v>0.60744618579017706</v>
      </c>
      <c r="R1435" s="12">
        <f t="shared" ca="1" si="689"/>
        <v>42152</v>
      </c>
      <c r="S1435" s="88">
        <f t="shared" si="698"/>
        <v>0</v>
      </c>
      <c r="T1435" s="19">
        <f t="shared" si="690"/>
        <v>0</v>
      </c>
      <c r="U1435" s="19">
        <f t="shared" si="691"/>
        <v>0</v>
      </c>
      <c r="V1435" s="19">
        <f t="shared" si="677"/>
        <v>0</v>
      </c>
      <c r="W1435" s="20">
        <f t="shared" ca="1" si="692"/>
        <v>0</v>
      </c>
      <c r="X1435" s="19">
        <f t="shared" ca="1" si="693"/>
        <v>0</v>
      </c>
      <c r="Y1435" s="19">
        <f t="shared" ca="1" si="694"/>
        <v>0</v>
      </c>
      <c r="Z1435" s="20">
        <f t="shared" ca="1" si="695"/>
        <v>0</v>
      </c>
      <c r="AA1435" s="1">
        <f t="shared" si="673"/>
        <v>5432.58</v>
      </c>
      <c r="AB1435" s="91"/>
      <c r="AC1435" s="92"/>
      <c r="AD1435" s="101">
        <f t="shared" si="674"/>
        <v>83274</v>
      </c>
      <c r="AE1435" s="103">
        <f t="shared" si="675"/>
        <v>0</v>
      </c>
      <c r="AG1435" s="1">
        <f t="shared" si="696"/>
        <v>0</v>
      </c>
      <c r="AH1435" s="1">
        <f t="shared" si="697"/>
        <v>0</v>
      </c>
      <c r="AI1435" s="1">
        <f t="shared" si="676"/>
        <v>5432.58</v>
      </c>
      <c r="AJ1435" s="20">
        <f t="shared" si="678"/>
        <v>0</v>
      </c>
      <c r="AK1435" s="100">
        <f t="shared" si="680"/>
        <v>0</v>
      </c>
      <c r="AL1435" s="100">
        <f t="shared" si="681"/>
        <v>0</v>
      </c>
      <c r="AN1435" s="100">
        <f t="shared" si="682"/>
        <v>2666.7747676644881</v>
      </c>
      <c r="AO1435" s="20">
        <f t="shared" si="683"/>
        <v>0</v>
      </c>
      <c r="AQ1435" s="109">
        <f t="shared" si="684"/>
        <v>0</v>
      </c>
      <c r="AU1435" s="109">
        <f t="shared" si="669"/>
        <v>23.919400625267414</v>
      </c>
      <c r="AV1435" s="101">
        <f t="shared" si="685"/>
        <v>83304</v>
      </c>
      <c r="AW1435" s="99">
        <f t="shared" si="686"/>
        <v>0</v>
      </c>
      <c r="AX1435" s="1">
        <f t="shared" si="687"/>
        <v>0</v>
      </c>
      <c r="AY1435" s="29">
        <f t="shared" si="688"/>
        <v>0</v>
      </c>
      <c r="AZ1435" s="1">
        <f t="shared" si="670"/>
        <v>0</v>
      </c>
      <c r="CB1435" s="20">
        <f t="shared" si="679"/>
        <v>0</v>
      </c>
      <c r="CC1435" s="173">
        <f t="shared" si="671"/>
        <v>0</v>
      </c>
    </row>
    <row r="1436" spans="10:81" x14ac:dyDescent="0.25">
      <c r="J1436" s="9"/>
      <c r="K1436" s="10"/>
      <c r="L1436" s="17"/>
      <c r="M1436" s="23"/>
      <c r="N1436" s="23"/>
      <c r="O1436" s="23"/>
      <c r="P1436" s="23"/>
      <c r="Q1436" s="1">
        <f t="shared" si="672"/>
        <v>0.60744618579017706</v>
      </c>
      <c r="R1436" s="12">
        <f t="shared" ca="1" si="689"/>
        <v>42182</v>
      </c>
      <c r="S1436" s="88">
        <f t="shared" si="698"/>
        <v>0</v>
      </c>
      <c r="T1436" s="19">
        <f t="shared" si="690"/>
        <v>0</v>
      </c>
      <c r="U1436" s="19">
        <f t="shared" si="691"/>
        <v>0</v>
      </c>
      <c r="V1436" s="19">
        <f t="shared" si="677"/>
        <v>0</v>
      </c>
      <c r="W1436" s="20">
        <f t="shared" ca="1" si="692"/>
        <v>0</v>
      </c>
      <c r="X1436" s="19">
        <f t="shared" ca="1" si="693"/>
        <v>0</v>
      </c>
      <c r="Y1436" s="19">
        <f t="shared" ca="1" si="694"/>
        <v>0</v>
      </c>
      <c r="Z1436" s="20">
        <f t="shared" ca="1" si="695"/>
        <v>0</v>
      </c>
      <c r="AA1436" s="1">
        <f t="shared" si="673"/>
        <v>5432.58</v>
      </c>
      <c r="AB1436" s="93"/>
      <c r="AC1436" s="94"/>
      <c r="AD1436" s="101">
        <f t="shared" si="674"/>
        <v>83304</v>
      </c>
      <c r="AE1436" s="103">
        <f t="shared" si="675"/>
        <v>0</v>
      </c>
      <c r="AG1436" s="1">
        <f t="shared" si="696"/>
        <v>0</v>
      </c>
      <c r="AH1436" s="1">
        <f t="shared" si="697"/>
        <v>0</v>
      </c>
      <c r="AI1436" s="1">
        <f t="shared" si="676"/>
        <v>5432.58</v>
      </c>
      <c r="AJ1436" s="20">
        <f t="shared" si="678"/>
        <v>0</v>
      </c>
      <c r="AK1436" s="100">
        <f t="shared" si="680"/>
        <v>0</v>
      </c>
      <c r="AL1436" s="100">
        <f t="shared" si="681"/>
        <v>0</v>
      </c>
      <c r="AN1436" s="100">
        <f t="shared" si="682"/>
        <v>2665.4255155287237</v>
      </c>
      <c r="AO1436" s="20">
        <f t="shared" si="683"/>
        <v>0</v>
      </c>
      <c r="AQ1436" s="109">
        <f t="shared" si="684"/>
        <v>0</v>
      </c>
      <c r="AU1436" s="109">
        <f t="shared" si="669"/>
        <v>23.917301217716087</v>
      </c>
      <c r="AV1436" s="101">
        <f t="shared" si="685"/>
        <v>83334</v>
      </c>
      <c r="AW1436" s="99">
        <f t="shared" si="686"/>
        <v>0</v>
      </c>
      <c r="AX1436" s="1">
        <f t="shared" si="687"/>
        <v>0</v>
      </c>
      <c r="AY1436" s="29">
        <f t="shared" si="688"/>
        <v>0</v>
      </c>
      <c r="AZ1436" s="1">
        <f t="shared" si="670"/>
        <v>0</v>
      </c>
      <c r="CB1436" s="20">
        <f t="shared" si="679"/>
        <v>0</v>
      </c>
      <c r="CC1436" s="173">
        <f t="shared" si="671"/>
        <v>0</v>
      </c>
    </row>
    <row r="1437" spans="10:81" x14ac:dyDescent="0.25">
      <c r="J1437" s="7"/>
      <c r="K1437" s="8"/>
      <c r="L1437" s="16"/>
      <c r="M1437" s="22"/>
      <c r="N1437" s="22"/>
      <c r="O1437" s="22"/>
      <c r="P1437" s="22"/>
      <c r="Q1437" s="1">
        <f t="shared" si="672"/>
        <v>0.60744618579017706</v>
      </c>
      <c r="R1437" s="12">
        <f t="shared" ca="1" si="689"/>
        <v>42212</v>
      </c>
      <c r="S1437" s="88">
        <f t="shared" si="698"/>
        <v>0</v>
      </c>
      <c r="T1437" s="19">
        <f t="shared" si="690"/>
        <v>0</v>
      </c>
      <c r="U1437" s="19">
        <f t="shared" si="691"/>
        <v>0</v>
      </c>
      <c r="V1437" s="19">
        <f t="shared" si="677"/>
        <v>0</v>
      </c>
      <c r="W1437" s="20">
        <f t="shared" ca="1" si="692"/>
        <v>0</v>
      </c>
      <c r="X1437" s="19">
        <f t="shared" ca="1" si="693"/>
        <v>0</v>
      </c>
      <c r="Y1437" s="19">
        <f t="shared" ca="1" si="694"/>
        <v>0</v>
      </c>
      <c r="Z1437" s="20">
        <f t="shared" ca="1" si="695"/>
        <v>0</v>
      </c>
      <c r="AA1437" s="1">
        <f t="shared" si="673"/>
        <v>5432.58</v>
      </c>
      <c r="AB1437" s="91"/>
      <c r="AC1437" s="92"/>
      <c r="AD1437" s="101">
        <f t="shared" si="674"/>
        <v>83334</v>
      </c>
      <c r="AE1437" s="103">
        <f t="shared" si="675"/>
        <v>0</v>
      </c>
      <c r="AG1437" s="1">
        <f t="shared" si="696"/>
        <v>0</v>
      </c>
      <c r="AH1437" s="1">
        <f t="shared" si="697"/>
        <v>0</v>
      </c>
      <c r="AI1437" s="1">
        <f t="shared" si="676"/>
        <v>5432.58</v>
      </c>
      <c r="AJ1437" s="20">
        <f t="shared" si="678"/>
        <v>0</v>
      </c>
      <c r="AK1437" s="100">
        <f t="shared" si="680"/>
        <v>0</v>
      </c>
      <c r="AL1437" s="100">
        <f t="shared" si="681"/>
        <v>0</v>
      </c>
      <c r="AN1437" s="100">
        <f t="shared" si="682"/>
        <v>2664.076946045785</v>
      </c>
      <c r="AO1437" s="20">
        <f t="shared" si="683"/>
        <v>0</v>
      </c>
      <c r="AQ1437" s="109">
        <f t="shared" si="684"/>
        <v>0</v>
      </c>
      <c r="AU1437" s="109">
        <f t="shared" si="669"/>
        <v>23.915201994429914</v>
      </c>
      <c r="AV1437" s="101">
        <f t="shared" si="685"/>
        <v>83364</v>
      </c>
      <c r="AW1437" s="99">
        <f t="shared" si="686"/>
        <v>0</v>
      </c>
      <c r="AX1437" s="1">
        <f t="shared" si="687"/>
        <v>0</v>
      </c>
      <c r="AY1437" s="29">
        <f t="shared" si="688"/>
        <v>0</v>
      </c>
      <c r="AZ1437" s="1">
        <f t="shared" si="670"/>
        <v>0</v>
      </c>
      <c r="CB1437" s="20">
        <f t="shared" si="679"/>
        <v>0</v>
      </c>
      <c r="CC1437" s="173">
        <f t="shared" si="671"/>
        <v>0</v>
      </c>
    </row>
    <row r="1438" spans="10:81" x14ac:dyDescent="0.25">
      <c r="J1438" s="9"/>
      <c r="K1438" s="10"/>
      <c r="L1438" s="17"/>
      <c r="M1438" s="23"/>
      <c r="N1438" s="23"/>
      <c r="O1438" s="23"/>
      <c r="P1438" s="23"/>
      <c r="Q1438" s="1">
        <f t="shared" si="672"/>
        <v>0.60744618579017706</v>
      </c>
      <c r="R1438" s="12">
        <f t="shared" ca="1" si="689"/>
        <v>42242</v>
      </c>
      <c r="S1438" s="88">
        <f t="shared" si="698"/>
        <v>0</v>
      </c>
      <c r="T1438" s="19">
        <f t="shared" si="690"/>
        <v>0</v>
      </c>
      <c r="U1438" s="19">
        <f t="shared" si="691"/>
        <v>0</v>
      </c>
      <c r="V1438" s="19">
        <f t="shared" si="677"/>
        <v>0</v>
      </c>
      <c r="W1438" s="20">
        <f t="shared" ca="1" si="692"/>
        <v>0</v>
      </c>
      <c r="X1438" s="19">
        <f t="shared" ca="1" si="693"/>
        <v>0</v>
      </c>
      <c r="Y1438" s="19">
        <f t="shared" ca="1" si="694"/>
        <v>0</v>
      </c>
      <c r="Z1438" s="20">
        <f t="shared" ca="1" si="695"/>
        <v>0</v>
      </c>
      <c r="AA1438" s="1">
        <f t="shared" si="673"/>
        <v>5432.58</v>
      </c>
      <c r="AB1438" s="93"/>
      <c r="AC1438" s="94"/>
      <c r="AD1438" s="101">
        <f t="shared" si="674"/>
        <v>83364</v>
      </c>
      <c r="AE1438" s="103">
        <f t="shared" si="675"/>
        <v>0</v>
      </c>
      <c r="AG1438" s="1">
        <f t="shared" si="696"/>
        <v>0</v>
      </c>
      <c r="AH1438" s="1">
        <f t="shared" si="697"/>
        <v>0</v>
      </c>
      <c r="AI1438" s="1">
        <f t="shared" si="676"/>
        <v>5432.58</v>
      </c>
      <c r="AJ1438" s="20">
        <f t="shared" si="678"/>
        <v>0</v>
      </c>
      <c r="AK1438" s="100">
        <f t="shared" si="680"/>
        <v>0</v>
      </c>
      <c r="AL1438" s="100">
        <f t="shared" si="681"/>
        <v>0</v>
      </c>
      <c r="AN1438" s="100">
        <f t="shared" si="682"/>
        <v>2662.7290588702817</v>
      </c>
      <c r="AO1438" s="20">
        <f t="shared" si="683"/>
        <v>0</v>
      </c>
      <c r="AQ1438" s="109">
        <f t="shared" si="684"/>
        <v>0</v>
      </c>
      <c r="AU1438" s="109">
        <f t="shared" si="669"/>
        <v>23.91310295539272</v>
      </c>
      <c r="AV1438" s="101">
        <f t="shared" si="685"/>
        <v>83394</v>
      </c>
      <c r="AW1438" s="99">
        <f t="shared" si="686"/>
        <v>0</v>
      </c>
      <c r="AX1438" s="1">
        <f t="shared" si="687"/>
        <v>0</v>
      </c>
      <c r="AY1438" s="29">
        <f t="shared" si="688"/>
        <v>0</v>
      </c>
      <c r="AZ1438" s="1">
        <f t="shared" si="670"/>
        <v>0</v>
      </c>
      <c r="CB1438" s="20">
        <f t="shared" si="679"/>
        <v>0</v>
      </c>
      <c r="CC1438" s="173">
        <f t="shared" si="671"/>
        <v>0</v>
      </c>
    </row>
    <row r="1439" spans="10:81" x14ac:dyDescent="0.25">
      <c r="J1439" s="7"/>
      <c r="K1439" s="8"/>
      <c r="L1439" s="16"/>
      <c r="M1439" s="22"/>
      <c r="N1439" s="22"/>
      <c r="O1439" s="22"/>
      <c r="P1439" s="22"/>
      <c r="Q1439" s="1">
        <f t="shared" si="672"/>
        <v>0.60744618579017706</v>
      </c>
      <c r="R1439" s="12">
        <f t="shared" ca="1" si="689"/>
        <v>42272</v>
      </c>
      <c r="S1439" s="88">
        <f t="shared" si="698"/>
        <v>0</v>
      </c>
      <c r="T1439" s="19">
        <f t="shared" si="690"/>
        <v>0</v>
      </c>
      <c r="U1439" s="19">
        <f t="shared" si="691"/>
        <v>0</v>
      </c>
      <c r="V1439" s="19">
        <f t="shared" si="677"/>
        <v>0</v>
      </c>
      <c r="W1439" s="20">
        <f t="shared" ca="1" si="692"/>
        <v>0</v>
      </c>
      <c r="X1439" s="19">
        <f t="shared" ca="1" si="693"/>
        <v>0</v>
      </c>
      <c r="Y1439" s="19">
        <f t="shared" ca="1" si="694"/>
        <v>0</v>
      </c>
      <c r="Z1439" s="20">
        <f t="shared" ca="1" si="695"/>
        <v>0</v>
      </c>
      <c r="AA1439" s="1">
        <f t="shared" si="673"/>
        <v>5432.58</v>
      </c>
      <c r="AB1439" s="91"/>
      <c r="AC1439" s="92"/>
      <c r="AD1439" s="101">
        <f t="shared" si="674"/>
        <v>83394</v>
      </c>
      <c r="AE1439" s="103">
        <f t="shared" si="675"/>
        <v>0</v>
      </c>
      <c r="AG1439" s="1">
        <f t="shared" si="696"/>
        <v>0</v>
      </c>
      <c r="AH1439" s="1">
        <f t="shared" si="697"/>
        <v>0</v>
      </c>
      <c r="AI1439" s="1">
        <f t="shared" si="676"/>
        <v>5432.58</v>
      </c>
      <c r="AJ1439" s="20">
        <f t="shared" si="678"/>
        <v>0</v>
      </c>
      <c r="AK1439" s="100">
        <f t="shared" si="680"/>
        <v>0</v>
      </c>
      <c r="AL1439" s="100">
        <f t="shared" si="681"/>
        <v>0</v>
      </c>
      <c r="AN1439" s="100">
        <f t="shared" si="682"/>
        <v>2661.3818536570025</v>
      </c>
      <c r="AO1439" s="20">
        <f t="shared" si="683"/>
        <v>0</v>
      </c>
      <c r="AQ1439" s="109">
        <f t="shared" si="684"/>
        <v>0</v>
      </c>
      <c r="AU1439" s="109">
        <f t="shared" ref="AU1439:AU1502" si="699">(($AT$27/(1+((1+$AM$27)^(ROW()-29)*30)-1))/292)*0.32</f>
        <v>23.91100410058834</v>
      </c>
      <c r="AV1439" s="101">
        <f t="shared" si="685"/>
        <v>83424</v>
      </c>
      <c r="AW1439" s="99">
        <f t="shared" si="686"/>
        <v>0</v>
      </c>
      <c r="AX1439" s="1">
        <f t="shared" si="687"/>
        <v>0</v>
      </c>
      <c r="AY1439" s="29">
        <f t="shared" si="688"/>
        <v>0</v>
      </c>
      <c r="AZ1439" s="1">
        <f t="shared" ref="AZ1439:AZ1502" si="700">AY1439/360</f>
        <v>0</v>
      </c>
      <c r="CB1439" s="20">
        <f t="shared" si="679"/>
        <v>0</v>
      </c>
      <c r="CC1439" s="173">
        <f t="shared" ref="CC1439:CC1502" si="701">AJ1439+U1439+T1439</f>
        <v>0</v>
      </c>
    </row>
    <row r="1440" spans="10:81" x14ac:dyDescent="0.25">
      <c r="J1440" s="9"/>
      <c r="K1440" s="10"/>
      <c r="L1440" s="17"/>
      <c r="M1440" s="23"/>
      <c r="N1440" s="23"/>
      <c r="O1440" s="23"/>
      <c r="P1440" s="23"/>
      <c r="Q1440" s="1">
        <f t="shared" ref="Q1440:Q1503" si="702">IF(M1440=0,Q1439,(M1440*1200)/O1439)</f>
        <v>0.60744618579017706</v>
      </c>
      <c r="R1440" s="12">
        <f t="shared" ca="1" si="689"/>
        <v>42302</v>
      </c>
      <c r="S1440" s="88">
        <f t="shared" si="698"/>
        <v>0</v>
      </c>
      <c r="T1440" s="19">
        <f t="shared" si="690"/>
        <v>0</v>
      </c>
      <c r="U1440" s="19">
        <f t="shared" si="691"/>
        <v>0</v>
      </c>
      <c r="V1440" s="19">
        <f t="shared" si="677"/>
        <v>0</v>
      </c>
      <c r="W1440" s="20">
        <f t="shared" ca="1" si="692"/>
        <v>0</v>
      </c>
      <c r="X1440" s="19">
        <f t="shared" ca="1" si="693"/>
        <v>0</v>
      </c>
      <c r="Y1440" s="19">
        <f t="shared" ca="1" si="694"/>
        <v>0</v>
      </c>
      <c r="Z1440" s="20">
        <f t="shared" ca="1" si="695"/>
        <v>0</v>
      </c>
      <c r="AA1440" s="1">
        <f t="shared" ref="AA1440:AA1503" si="703">IF(S1440=0,AA1439,N1440)</f>
        <v>5432.58</v>
      </c>
      <c r="AB1440" s="93"/>
      <c r="AC1440" s="94"/>
      <c r="AD1440" s="101">
        <f t="shared" ref="AD1440:AD1503" si="704">IF(M1440=0,AD1439+30,K1440)</f>
        <v>83424</v>
      </c>
      <c r="AE1440" s="103">
        <f t="shared" ref="AE1440:AE1503" si="705">IF(V1440=0,0,R1440)</f>
        <v>0</v>
      </c>
      <c r="AG1440" s="1">
        <f t="shared" si="696"/>
        <v>0</v>
      </c>
      <c r="AH1440" s="1">
        <f t="shared" si="697"/>
        <v>0</v>
      </c>
      <c r="AI1440" s="1">
        <f t="shared" ref="AI1440:AI1503" si="706">IF(M1440-1=0,IF(M1440=0,IF(V1440=0,N1440,AI1439),AA1440),AA1440)</f>
        <v>5432.58</v>
      </c>
      <c r="AJ1440" s="20">
        <f t="shared" si="678"/>
        <v>0</v>
      </c>
      <c r="AK1440" s="100">
        <f t="shared" si="680"/>
        <v>0</v>
      </c>
      <c r="AL1440" s="100">
        <f t="shared" si="681"/>
        <v>0</v>
      </c>
      <c r="AN1440" s="100">
        <f t="shared" si="682"/>
        <v>2660.0353300609081</v>
      </c>
      <c r="AO1440" s="20">
        <f t="shared" si="683"/>
        <v>0</v>
      </c>
      <c r="AQ1440" s="109">
        <f t="shared" si="684"/>
        <v>0</v>
      </c>
      <c r="AU1440" s="109">
        <f t="shared" si="699"/>
        <v>23.908905430000598</v>
      </c>
      <c r="AV1440" s="101">
        <f t="shared" si="685"/>
        <v>83454</v>
      </c>
      <c r="AW1440" s="99">
        <f t="shared" si="686"/>
        <v>0</v>
      </c>
      <c r="AX1440" s="1">
        <f t="shared" si="687"/>
        <v>0</v>
      </c>
      <c r="AY1440" s="29">
        <f t="shared" si="688"/>
        <v>0</v>
      </c>
      <c r="AZ1440" s="1">
        <f t="shared" si="700"/>
        <v>0</v>
      </c>
      <c r="CB1440" s="20">
        <f t="shared" si="679"/>
        <v>0</v>
      </c>
      <c r="CC1440" s="173">
        <f t="shared" si="701"/>
        <v>0</v>
      </c>
    </row>
    <row r="1441" spans="10:81" x14ac:dyDescent="0.25">
      <c r="J1441" s="7"/>
      <c r="K1441" s="8"/>
      <c r="L1441" s="16"/>
      <c r="M1441" s="22"/>
      <c r="N1441" s="22"/>
      <c r="O1441" s="22"/>
      <c r="P1441" s="22"/>
      <c r="Q1441" s="1">
        <f t="shared" si="702"/>
        <v>0.60744618579017706</v>
      </c>
      <c r="R1441" s="12">
        <f t="shared" ca="1" si="689"/>
        <v>42332</v>
      </c>
      <c r="S1441" s="88">
        <f t="shared" si="698"/>
        <v>0</v>
      </c>
      <c r="T1441" s="19">
        <f t="shared" si="690"/>
        <v>0</v>
      </c>
      <c r="U1441" s="19">
        <f t="shared" si="691"/>
        <v>0</v>
      </c>
      <c r="V1441" s="19">
        <f t="shared" si="677"/>
        <v>0</v>
      </c>
      <c r="W1441" s="20">
        <f t="shared" ca="1" si="692"/>
        <v>0</v>
      </c>
      <c r="X1441" s="19">
        <f t="shared" ca="1" si="693"/>
        <v>0</v>
      </c>
      <c r="Y1441" s="19">
        <f t="shared" ca="1" si="694"/>
        <v>0</v>
      </c>
      <c r="Z1441" s="20">
        <f t="shared" ca="1" si="695"/>
        <v>0</v>
      </c>
      <c r="AA1441" s="1">
        <f t="shared" si="703"/>
        <v>5432.58</v>
      </c>
      <c r="AB1441" s="91"/>
      <c r="AC1441" s="92"/>
      <c r="AD1441" s="101">
        <f t="shared" si="704"/>
        <v>83454</v>
      </c>
      <c r="AE1441" s="103">
        <f t="shared" si="705"/>
        <v>0</v>
      </c>
      <c r="AG1441" s="1">
        <f t="shared" si="696"/>
        <v>0</v>
      </c>
      <c r="AH1441" s="1">
        <f t="shared" si="697"/>
        <v>0</v>
      </c>
      <c r="AI1441" s="1">
        <f t="shared" si="706"/>
        <v>5432.58</v>
      </c>
      <c r="AJ1441" s="20">
        <f t="shared" si="678"/>
        <v>0</v>
      </c>
      <c r="AK1441" s="100">
        <f t="shared" si="680"/>
        <v>0</v>
      </c>
      <c r="AL1441" s="100">
        <f t="shared" si="681"/>
        <v>0</v>
      </c>
      <c r="AN1441" s="100">
        <f t="shared" si="682"/>
        <v>2658.689487737136</v>
      </c>
      <c r="AO1441" s="20">
        <f t="shared" si="683"/>
        <v>0</v>
      </c>
      <c r="AQ1441" s="109">
        <f t="shared" si="684"/>
        <v>0</v>
      </c>
      <c r="AU1441" s="109">
        <f t="shared" si="699"/>
        <v>23.906806943613329</v>
      </c>
      <c r="AV1441" s="101">
        <f t="shared" si="685"/>
        <v>83484</v>
      </c>
      <c r="AW1441" s="99">
        <f t="shared" si="686"/>
        <v>0</v>
      </c>
      <c r="AX1441" s="1">
        <f t="shared" si="687"/>
        <v>0</v>
      </c>
      <c r="AY1441" s="29">
        <f t="shared" si="688"/>
        <v>0</v>
      </c>
      <c r="AZ1441" s="1">
        <f t="shared" si="700"/>
        <v>0</v>
      </c>
      <c r="CB1441" s="20">
        <f t="shared" si="679"/>
        <v>0</v>
      </c>
      <c r="CC1441" s="173">
        <f t="shared" si="701"/>
        <v>0</v>
      </c>
    </row>
    <row r="1442" spans="10:81" x14ac:dyDescent="0.25">
      <c r="J1442" s="9"/>
      <c r="K1442" s="10"/>
      <c r="L1442" s="17"/>
      <c r="M1442" s="23"/>
      <c r="N1442" s="23"/>
      <c r="O1442" s="23"/>
      <c r="P1442" s="23"/>
      <c r="Q1442" s="1">
        <f t="shared" si="702"/>
        <v>0.60744618579017706</v>
      </c>
      <c r="R1442" s="12">
        <f t="shared" ca="1" si="689"/>
        <v>42362</v>
      </c>
      <c r="S1442" s="88">
        <f t="shared" si="698"/>
        <v>0</v>
      </c>
      <c r="T1442" s="19">
        <f t="shared" si="690"/>
        <v>0</v>
      </c>
      <c r="U1442" s="19">
        <f t="shared" si="691"/>
        <v>0</v>
      </c>
      <c r="V1442" s="19">
        <f t="shared" ref="V1442:V1505" si="707">IF(ISERROR(IF(V1441+U1442+T1442+(V1441*Q1442/1200)-AA1442-P1442&lt;0,0,V1441+U1442+T1442-AA1442-P1442)),0,IF(V1441+U1442+T1442+(V1441*Q1442/1200)-AA1442-CB1442&lt;0,0,V1441+U1442+T1442-AA1442-CB1442))</f>
        <v>0</v>
      </c>
      <c r="W1442" s="20">
        <f t="shared" ca="1" si="692"/>
        <v>0</v>
      </c>
      <c r="X1442" s="19">
        <f t="shared" ca="1" si="693"/>
        <v>0</v>
      </c>
      <c r="Y1442" s="19">
        <f t="shared" ca="1" si="694"/>
        <v>0</v>
      </c>
      <c r="Z1442" s="20">
        <f t="shared" ca="1" si="695"/>
        <v>0</v>
      </c>
      <c r="AA1442" s="1">
        <f t="shared" si="703"/>
        <v>5432.58</v>
      </c>
      <c r="AB1442" s="93"/>
      <c r="AC1442" s="94"/>
      <c r="AD1442" s="101">
        <f t="shared" si="704"/>
        <v>83484</v>
      </c>
      <c r="AE1442" s="103">
        <f t="shared" si="705"/>
        <v>0</v>
      </c>
      <c r="AG1442" s="1">
        <f t="shared" si="696"/>
        <v>0</v>
      </c>
      <c r="AH1442" s="1">
        <f t="shared" si="697"/>
        <v>0</v>
      </c>
      <c r="AI1442" s="1">
        <f t="shared" si="706"/>
        <v>5432.58</v>
      </c>
      <c r="AJ1442" s="20">
        <f t="shared" si="678"/>
        <v>0</v>
      </c>
      <c r="AK1442" s="100">
        <f t="shared" si="680"/>
        <v>0</v>
      </c>
      <c r="AL1442" s="100">
        <f t="shared" si="681"/>
        <v>0</v>
      </c>
      <c r="AN1442" s="100">
        <f t="shared" si="682"/>
        <v>2657.3443263409968</v>
      </c>
      <c r="AO1442" s="20">
        <f t="shared" si="683"/>
        <v>0</v>
      </c>
      <c r="AQ1442" s="109">
        <f t="shared" si="684"/>
        <v>0</v>
      </c>
      <c r="AU1442" s="109">
        <f t="shared" si="699"/>
        <v>23.904708641410362</v>
      </c>
      <c r="AV1442" s="101">
        <f t="shared" si="685"/>
        <v>83514</v>
      </c>
      <c r="AW1442" s="99">
        <f t="shared" si="686"/>
        <v>0</v>
      </c>
      <c r="AX1442" s="1">
        <f t="shared" si="687"/>
        <v>0</v>
      </c>
      <c r="AY1442" s="29">
        <f t="shared" si="688"/>
        <v>0</v>
      </c>
      <c r="AZ1442" s="1">
        <f t="shared" si="700"/>
        <v>0</v>
      </c>
      <c r="CB1442" s="20">
        <f t="shared" si="679"/>
        <v>0</v>
      </c>
      <c r="CC1442" s="173">
        <f t="shared" si="701"/>
        <v>0</v>
      </c>
    </row>
    <row r="1443" spans="10:81" x14ac:dyDescent="0.25">
      <c r="J1443" s="7"/>
      <c r="K1443" s="8"/>
      <c r="L1443" s="16"/>
      <c r="M1443" s="22"/>
      <c r="N1443" s="22"/>
      <c r="O1443" s="22"/>
      <c r="P1443" s="22"/>
      <c r="Q1443" s="1">
        <f t="shared" si="702"/>
        <v>0.60744618579017706</v>
      </c>
      <c r="R1443" s="12">
        <f t="shared" ca="1" si="689"/>
        <v>42392</v>
      </c>
      <c r="S1443" s="88">
        <f t="shared" si="698"/>
        <v>0</v>
      </c>
      <c r="T1443" s="19">
        <f t="shared" si="690"/>
        <v>0</v>
      </c>
      <c r="U1443" s="19">
        <f t="shared" si="691"/>
        <v>0</v>
      </c>
      <c r="V1443" s="19">
        <f t="shared" si="707"/>
        <v>0</v>
      </c>
      <c r="W1443" s="20">
        <f t="shared" ca="1" si="692"/>
        <v>0</v>
      </c>
      <c r="X1443" s="19">
        <f t="shared" ca="1" si="693"/>
        <v>0</v>
      </c>
      <c r="Y1443" s="19">
        <f t="shared" ca="1" si="694"/>
        <v>0</v>
      </c>
      <c r="Z1443" s="20">
        <f t="shared" ca="1" si="695"/>
        <v>0</v>
      </c>
      <c r="AA1443" s="1">
        <f t="shared" si="703"/>
        <v>5432.58</v>
      </c>
      <c r="AB1443" s="91"/>
      <c r="AC1443" s="92"/>
      <c r="AD1443" s="101">
        <f t="shared" si="704"/>
        <v>83514</v>
      </c>
      <c r="AE1443" s="103">
        <f t="shared" si="705"/>
        <v>0</v>
      </c>
      <c r="AG1443" s="1">
        <f t="shared" si="696"/>
        <v>0</v>
      </c>
      <c r="AH1443" s="1">
        <f t="shared" si="697"/>
        <v>0</v>
      </c>
      <c r="AI1443" s="1">
        <f t="shared" si="706"/>
        <v>5432.58</v>
      </c>
      <c r="AJ1443" s="20">
        <f t="shared" si="678"/>
        <v>0</v>
      </c>
      <c r="AK1443" s="100">
        <f t="shared" si="680"/>
        <v>0</v>
      </c>
      <c r="AL1443" s="100">
        <f t="shared" si="681"/>
        <v>0</v>
      </c>
      <c r="AN1443" s="100">
        <f t="shared" si="682"/>
        <v>2655.9998455279751</v>
      </c>
      <c r="AO1443" s="20">
        <f t="shared" si="683"/>
        <v>0</v>
      </c>
      <c r="AQ1443" s="109">
        <f t="shared" si="684"/>
        <v>0</v>
      </c>
      <c r="AU1443" s="109">
        <f t="shared" si="699"/>
        <v>23.902610523375539</v>
      </c>
      <c r="AV1443" s="101">
        <f t="shared" si="685"/>
        <v>83544</v>
      </c>
      <c r="AW1443" s="99">
        <f t="shared" si="686"/>
        <v>0</v>
      </c>
      <c r="AX1443" s="1">
        <f t="shared" si="687"/>
        <v>0</v>
      </c>
      <c r="AY1443" s="29">
        <f t="shared" si="688"/>
        <v>0</v>
      </c>
      <c r="AZ1443" s="1">
        <f t="shared" si="700"/>
        <v>0</v>
      </c>
      <c r="CB1443" s="20">
        <f t="shared" si="679"/>
        <v>0</v>
      </c>
      <c r="CC1443" s="173">
        <f t="shared" si="701"/>
        <v>0</v>
      </c>
    </row>
    <row r="1444" spans="10:81" x14ac:dyDescent="0.25">
      <c r="J1444" s="9"/>
      <c r="K1444" s="10"/>
      <c r="L1444" s="17"/>
      <c r="M1444" s="23"/>
      <c r="N1444" s="23"/>
      <c r="O1444" s="23"/>
      <c r="P1444" s="23"/>
      <c r="Q1444" s="1">
        <f t="shared" si="702"/>
        <v>0.60744618579017706</v>
      </c>
      <c r="R1444" s="12">
        <f t="shared" ca="1" si="689"/>
        <v>42422</v>
      </c>
      <c r="S1444" s="88">
        <f t="shared" si="698"/>
        <v>0</v>
      </c>
      <c r="T1444" s="19">
        <f t="shared" si="690"/>
        <v>0</v>
      </c>
      <c r="U1444" s="19">
        <f t="shared" si="691"/>
        <v>0</v>
      </c>
      <c r="V1444" s="19">
        <f t="shared" si="707"/>
        <v>0</v>
      </c>
      <c r="W1444" s="20">
        <f t="shared" ca="1" si="692"/>
        <v>0</v>
      </c>
      <c r="X1444" s="19">
        <f t="shared" ca="1" si="693"/>
        <v>0</v>
      </c>
      <c r="Y1444" s="19">
        <f t="shared" ca="1" si="694"/>
        <v>0</v>
      </c>
      <c r="Z1444" s="20">
        <f t="shared" ca="1" si="695"/>
        <v>0</v>
      </c>
      <c r="AA1444" s="1">
        <f t="shared" si="703"/>
        <v>5432.58</v>
      </c>
      <c r="AB1444" s="93"/>
      <c r="AC1444" s="94"/>
      <c r="AD1444" s="101">
        <f t="shared" si="704"/>
        <v>83544</v>
      </c>
      <c r="AE1444" s="103">
        <f t="shared" si="705"/>
        <v>0</v>
      </c>
      <c r="AG1444" s="1">
        <f t="shared" si="696"/>
        <v>0</v>
      </c>
      <c r="AH1444" s="1">
        <f t="shared" si="697"/>
        <v>0</v>
      </c>
      <c r="AI1444" s="1">
        <f t="shared" si="706"/>
        <v>5432.58</v>
      </c>
      <c r="AJ1444" s="20">
        <f t="shared" si="678"/>
        <v>0</v>
      </c>
      <c r="AK1444" s="100">
        <f t="shared" si="680"/>
        <v>0</v>
      </c>
      <c r="AL1444" s="100">
        <f t="shared" si="681"/>
        <v>0</v>
      </c>
      <c r="AN1444" s="100">
        <f t="shared" si="682"/>
        <v>2654.6560449537315</v>
      </c>
      <c r="AO1444" s="20">
        <f t="shared" si="683"/>
        <v>0</v>
      </c>
      <c r="AQ1444" s="109">
        <f t="shared" si="684"/>
        <v>0</v>
      </c>
      <c r="AU1444" s="109">
        <f t="shared" si="699"/>
        <v>23.900512589492681</v>
      </c>
      <c r="AV1444" s="101">
        <f t="shared" si="685"/>
        <v>83574</v>
      </c>
      <c r="AW1444" s="99">
        <f t="shared" si="686"/>
        <v>0</v>
      </c>
      <c r="AX1444" s="1">
        <f t="shared" si="687"/>
        <v>0</v>
      </c>
      <c r="AY1444" s="29">
        <f t="shared" si="688"/>
        <v>0</v>
      </c>
      <c r="AZ1444" s="1">
        <f t="shared" si="700"/>
        <v>0</v>
      </c>
      <c r="CB1444" s="20">
        <f t="shared" si="679"/>
        <v>0</v>
      </c>
      <c r="CC1444" s="173">
        <f t="shared" si="701"/>
        <v>0</v>
      </c>
    </row>
    <row r="1445" spans="10:81" x14ac:dyDescent="0.25">
      <c r="J1445" s="7"/>
      <c r="K1445" s="8"/>
      <c r="L1445" s="16"/>
      <c r="M1445" s="22"/>
      <c r="N1445" s="22"/>
      <c r="O1445" s="22"/>
      <c r="P1445" s="22"/>
      <c r="Q1445" s="1">
        <f t="shared" si="702"/>
        <v>0.60744618579017706</v>
      </c>
      <c r="R1445" s="12">
        <f t="shared" ca="1" si="689"/>
        <v>42452</v>
      </c>
      <c r="S1445" s="88">
        <f t="shared" si="698"/>
        <v>0</v>
      </c>
      <c r="T1445" s="19">
        <f t="shared" si="690"/>
        <v>0</v>
      </c>
      <c r="U1445" s="19">
        <f t="shared" si="691"/>
        <v>0</v>
      </c>
      <c r="V1445" s="19">
        <f t="shared" si="707"/>
        <v>0</v>
      </c>
      <c r="W1445" s="20">
        <f t="shared" ca="1" si="692"/>
        <v>0</v>
      </c>
      <c r="X1445" s="19">
        <f t="shared" ca="1" si="693"/>
        <v>0</v>
      </c>
      <c r="Y1445" s="19">
        <f t="shared" ca="1" si="694"/>
        <v>0</v>
      </c>
      <c r="Z1445" s="20">
        <f t="shared" ca="1" si="695"/>
        <v>0</v>
      </c>
      <c r="AA1445" s="1">
        <f t="shared" si="703"/>
        <v>5432.58</v>
      </c>
      <c r="AB1445" s="91"/>
      <c r="AC1445" s="92"/>
      <c r="AD1445" s="101">
        <f t="shared" si="704"/>
        <v>83574</v>
      </c>
      <c r="AE1445" s="103">
        <f t="shared" si="705"/>
        <v>0</v>
      </c>
      <c r="AG1445" s="1">
        <f t="shared" si="696"/>
        <v>0</v>
      </c>
      <c r="AH1445" s="1">
        <f t="shared" si="697"/>
        <v>0</v>
      </c>
      <c r="AI1445" s="1">
        <f t="shared" si="706"/>
        <v>5432.58</v>
      </c>
      <c r="AJ1445" s="20">
        <f t="shared" si="678"/>
        <v>0</v>
      </c>
      <c r="AK1445" s="100">
        <f t="shared" si="680"/>
        <v>0</v>
      </c>
      <c r="AL1445" s="100">
        <f t="shared" si="681"/>
        <v>0</v>
      </c>
      <c r="AN1445" s="100">
        <f t="shared" si="682"/>
        <v>2653.3129242740997</v>
      </c>
      <c r="AO1445" s="20">
        <f t="shared" si="683"/>
        <v>0</v>
      </c>
      <c r="AQ1445" s="109">
        <f t="shared" si="684"/>
        <v>0</v>
      </c>
      <c r="AU1445" s="109">
        <f t="shared" si="699"/>
        <v>23.898414839745641</v>
      </c>
      <c r="AV1445" s="101">
        <f t="shared" si="685"/>
        <v>83604</v>
      </c>
      <c r="AW1445" s="99">
        <f t="shared" si="686"/>
        <v>0</v>
      </c>
      <c r="AX1445" s="1">
        <f t="shared" si="687"/>
        <v>0</v>
      </c>
      <c r="AY1445" s="29">
        <f t="shared" si="688"/>
        <v>0</v>
      </c>
      <c r="AZ1445" s="1">
        <f t="shared" si="700"/>
        <v>0</v>
      </c>
      <c r="CB1445" s="20">
        <f t="shared" si="679"/>
        <v>0</v>
      </c>
      <c r="CC1445" s="173">
        <f t="shared" si="701"/>
        <v>0</v>
      </c>
    </row>
    <row r="1446" spans="10:81" x14ac:dyDescent="0.25">
      <c r="J1446" s="9"/>
      <c r="K1446" s="10"/>
      <c r="L1446" s="17"/>
      <c r="M1446" s="23"/>
      <c r="N1446" s="23"/>
      <c r="O1446" s="23"/>
      <c r="P1446" s="23"/>
      <c r="Q1446" s="1">
        <f t="shared" si="702"/>
        <v>0.60744618579017706</v>
      </c>
      <c r="R1446" s="12">
        <f t="shared" ca="1" si="689"/>
        <v>42482</v>
      </c>
      <c r="S1446" s="88">
        <f t="shared" si="698"/>
        <v>0</v>
      </c>
      <c r="T1446" s="19">
        <f t="shared" si="690"/>
        <v>0</v>
      </c>
      <c r="U1446" s="19">
        <f t="shared" si="691"/>
        <v>0</v>
      </c>
      <c r="V1446" s="19">
        <f t="shared" si="707"/>
        <v>0</v>
      </c>
      <c r="W1446" s="20">
        <f t="shared" ca="1" si="692"/>
        <v>0</v>
      </c>
      <c r="X1446" s="19">
        <f t="shared" ca="1" si="693"/>
        <v>0</v>
      </c>
      <c r="Y1446" s="19">
        <f t="shared" ca="1" si="694"/>
        <v>0</v>
      </c>
      <c r="Z1446" s="20">
        <f t="shared" ca="1" si="695"/>
        <v>0</v>
      </c>
      <c r="AA1446" s="1">
        <f t="shared" si="703"/>
        <v>5432.58</v>
      </c>
      <c r="AB1446" s="93"/>
      <c r="AC1446" s="94"/>
      <c r="AD1446" s="101">
        <f t="shared" si="704"/>
        <v>83604</v>
      </c>
      <c r="AE1446" s="103">
        <f t="shared" si="705"/>
        <v>0</v>
      </c>
      <c r="AG1446" s="1">
        <f t="shared" si="696"/>
        <v>0</v>
      </c>
      <c r="AH1446" s="1">
        <f t="shared" si="697"/>
        <v>0</v>
      </c>
      <c r="AI1446" s="1">
        <f t="shared" si="706"/>
        <v>5432.58</v>
      </c>
      <c r="AJ1446" s="20">
        <f t="shared" si="678"/>
        <v>0</v>
      </c>
      <c r="AK1446" s="100">
        <f t="shared" si="680"/>
        <v>0</v>
      </c>
      <c r="AL1446" s="100">
        <f t="shared" si="681"/>
        <v>0</v>
      </c>
      <c r="AN1446" s="100">
        <f t="shared" si="682"/>
        <v>2651.9704831450863</v>
      </c>
      <c r="AO1446" s="20">
        <f t="shared" si="683"/>
        <v>0</v>
      </c>
      <c r="AQ1446" s="109">
        <f t="shared" si="684"/>
        <v>0</v>
      </c>
      <c r="AU1446" s="109">
        <f t="shared" si="699"/>
        <v>23.89631727411825</v>
      </c>
      <c r="AV1446" s="101">
        <f t="shared" si="685"/>
        <v>83634</v>
      </c>
      <c r="AW1446" s="99">
        <f t="shared" si="686"/>
        <v>0</v>
      </c>
      <c r="AX1446" s="1">
        <f t="shared" si="687"/>
        <v>0</v>
      </c>
      <c r="AY1446" s="29">
        <f t="shared" si="688"/>
        <v>0</v>
      </c>
      <c r="AZ1446" s="1">
        <f t="shared" si="700"/>
        <v>0</v>
      </c>
      <c r="CB1446" s="20">
        <f t="shared" si="679"/>
        <v>0</v>
      </c>
      <c r="CC1446" s="173">
        <f t="shared" si="701"/>
        <v>0</v>
      </c>
    </row>
    <row r="1447" spans="10:81" x14ac:dyDescent="0.25">
      <c r="J1447" s="7"/>
      <c r="K1447" s="8"/>
      <c r="L1447" s="16"/>
      <c r="M1447" s="22"/>
      <c r="N1447" s="22"/>
      <c r="O1447" s="22"/>
      <c r="P1447" s="22"/>
      <c r="Q1447" s="1">
        <f t="shared" si="702"/>
        <v>0.60744618579017706</v>
      </c>
      <c r="R1447" s="12">
        <f t="shared" ca="1" si="689"/>
        <v>42512</v>
      </c>
      <c r="S1447" s="88">
        <f t="shared" si="698"/>
        <v>0</v>
      </c>
      <c r="T1447" s="19">
        <f t="shared" si="690"/>
        <v>0</v>
      </c>
      <c r="U1447" s="19">
        <f t="shared" si="691"/>
        <v>0</v>
      </c>
      <c r="V1447" s="19">
        <f t="shared" si="707"/>
        <v>0</v>
      </c>
      <c r="W1447" s="20">
        <f t="shared" ca="1" si="692"/>
        <v>0</v>
      </c>
      <c r="X1447" s="19">
        <f t="shared" ca="1" si="693"/>
        <v>0</v>
      </c>
      <c r="Y1447" s="19">
        <f t="shared" ca="1" si="694"/>
        <v>0</v>
      </c>
      <c r="Z1447" s="20">
        <f t="shared" ca="1" si="695"/>
        <v>0</v>
      </c>
      <c r="AA1447" s="1">
        <f t="shared" si="703"/>
        <v>5432.58</v>
      </c>
      <c r="AB1447" s="91"/>
      <c r="AC1447" s="92"/>
      <c r="AD1447" s="101">
        <f t="shared" si="704"/>
        <v>83634</v>
      </c>
      <c r="AE1447" s="103">
        <f t="shared" si="705"/>
        <v>0</v>
      </c>
      <c r="AG1447" s="1">
        <f t="shared" si="696"/>
        <v>0</v>
      </c>
      <c r="AH1447" s="1">
        <f t="shared" si="697"/>
        <v>0</v>
      </c>
      <c r="AI1447" s="1">
        <f t="shared" si="706"/>
        <v>5432.58</v>
      </c>
      <c r="AJ1447" s="20">
        <f t="shared" si="678"/>
        <v>0</v>
      </c>
      <c r="AK1447" s="100">
        <f t="shared" si="680"/>
        <v>0</v>
      </c>
      <c r="AL1447" s="100">
        <f t="shared" si="681"/>
        <v>0</v>
      </c>
      <c r="AN1447" s="100">
        <f t="shared" si="682"/>
        <v>2650.6287212228758</v>
      </c>
      <c r="AO1447" s="20">
        <f t="shared" si="683"/>
        <v>0</v>
      </c>
      <c r="AQ1447" s="109">
        <f t="shared" si="684"/>
        <v>0</v>
      </c>
      <c r="AU1447" s="109">
        <f t="shared" si="699"/>
        <v>23.894219892594347</v>
      </c>
      <c r="AV1447" s="101">
        <f t="shared" si="685"/>
        <v>83664</v>
      </c>
      <c r="AW1447" s="99">
        <f t="shared" si="686"/>
        <v>0</v>
      </c>
      <c r="AX1447" s="1">
        <f t="shared" si="687"/>
        <v>0</v>
      </c>
      <c r="AY1447" s="29">
        <f t="shared" si="688"/>
        <v>0</v>
      </c>
      <c r="AZ1447" s="1">
        <f t="shared" si="700"/>
        <v>0</v>
      </c>
      <c r="CB1447" s="20">
        <f t="shared" si="679"/>
        <v>0</v>
      </c>
      <c r="CC1447" s="173">
        <f t="shared" si="701"/>
        <v>0</v>
      </c>
    </row>
    <row r="1448" spans="10:81" x14ac:dyDescent="0.25">
      <c r="J1448" s="9"/>
      <c r="K1448" s="10"/>
      <c r="L1448" s="17"/>
      <c r="M1448" s="23"/>
      <c r="N1448" s="23"/>
      <c r="O1448" s="23"/>
      <c r="P1448" s="23"/>
      <c r="Q1448" s="1">
        <f t="shared" si="702"/>
        <v>0.60744618579017706</v>
      </c>
      <c r="R1448" s="12">
        <f t="shared" ca="1" si="689"/>
        <v>42542</v>
      </c>
      <c r="S1448" s="88">
        <f t="shared" si="698"/>
        <v>0</v>
      </c>
      <c r="T1448" s="19">
        <f t="shared" si="690"/>
        <v>0</v>
      </c>
      <c r="U1448" s="19">
        <f t="shared" si="691"/>
        <v>0</v>
      </c>
      <c r="V1448" s="19">
        <f t="shared" si="707"/>
        <v>0</v>
      </c>
      <c r="W1448" s="20">
        <f t="shared" ca="1" si="692"/>
        <v>0</v>
      </c>
      <c r="X1448" s="19">
        <f t="shared" ca="1" si="693"/>
        <v>0</v>
      </c>
      <c r="Y1448" s="19">
        <f t="shared" ca="1" si="694"/>
        <v>0</v>
      </c>
      <c r="Z1448" s="20">
        <f t="shared" ca="1" si="695"/>
        <v>0</v>
      </c>
      <c r="AA1448" s="1">
        <f t="shared" si="703"/>
        <v>5432.58</v>
      </c>
      <c r="AB1448" s="93"/>
      <c r="AC1448" s="94"/>
      <c r="AD1448" s="101">
        <f t="shared" si="704"/>
        <v>83664</v>
      </c>
      <c r="AE1448" s="103">
        <f t="shared" si="705"/>
        <v>0</v>
      </c>
      <c r="AG1448" s="1">
        <f t="shared" si="696"/>
        <v>0</v>
      </c>
      <c r="AH1448" s="1">
        <f t="shared" si="697"/>
        <v>0</v>
      </c>
      <c r="AI1448" s="1">
        <f t="shared" si="706"/>
        <v>5432.58</v>
      </c>
      <c r="AJ1448" s="20">
        <f t="shared" ref="AJ1448:AJ1511" si="708">IF(ISERROR(IF(V1447+U1448+T1448+(V1447*Q1448/1200)-AA1448-P1448&lt;0,V1447,-(U1448+T1448-AA1448+P1448-AH1448))),0,IF(V1447+U1448+T1448+(V1447*Q1448/1200)-AA1448-P1448&lt;0,0,-(U1448+T1448-AA1448-AH1448)))</f>
        <v>0</v>
      </c>
      <c r="AK1448" s="100">
        <f t="shared" si="680"/>
        <v>0</v>
      </c>
      <c r="AL1448" s="100">
        <f t="shared" si="681"/>
        <v>0</v>
      </c>
      <c r="AN1448" s="100">
        <f t="shared" si="682"/>
        <v>2649.287638163823</v>
      </c>
      <c r="AO1448" s="20">
        <f t="shared" si="683"/>
        <v>0</v>
      </c>
      <c r="AQ1448" s="109">
        <f t="shared" si="684"/>
        <v>0</v>
      </c>
      <c r="AU1448" s="109">
        <f t="shared" si="699"/>
        <v>23.892122695157777</v>
      </c>
      <c r="AV1448" s="101">
        <f t="shared" si="685"/>
        <v>83694</v>
      </c>
      <c r="AW1448" s="99">
        <f t="shared" si="686"/>
        <v>0</v>
      </c>
      <c r="AX1448" s="1">
        <f t="shared" si="687"/>
        <v>0</v>
      </c>
      <c r="AY1448" s="29">
        <f t="shared" si="688"/>
        <v>0</v>
      </c>
      <c r="AZ1448" s="1">
        <f t="shared" si="700"/>
        <v>0</v>
      </c>
      <c r="CB1448" s="20">
        <f t="shared" si="679"/>
        <v>0</v>
      </c>
      <c r="CC1448" s="173">
        <f t="shared" si="701"/>
        <v>0</v>
      </c>
    </row>
    <row r="1449" spans="10:81" x14ac:dyDescent="0.25">
      <c r="J1449" s="7"/>
      <c r="K1449" s="8"/>
      <c r="L1449" s="16"/>
      <c r="M1449" s="22"/>
      <c r="N1449" s="22"/>
      <c r="O1449" s="22"/>
      <c r="P1449" s="22"/>
      <c r="Q1449" s="1">
        <f t="shared" si="702"/>
        <v>0.60744618579017706</v>
      </c>
      <c r="R1449" s="12">
        <f t="shared" ca="1" si="689"/>
        <v>42572</v>
      </c>
      <c r="S1449" s="88">
        <f t="shared" si="698"/>
        <v>0</v>
      </c>
      <c r="T1449" s="19">
        <f t="shared" si="690"/>
        <v>0</v>
      </c>
      <c r="U1449" s="19">
        <f t="shared" si="691"/>
        <v>0</v>
      </c>
      <c r="V1449" s="19">
        <f t="shared" si="707"/>
        <v>0</v>
      </c>
      <c r="W1449" s="20">
        <f t="shared" ca="1" si="692"/>
        <v>0</v>
      </c>
      <c r="X1449" s="19">
        <f t="shared" ca="1" si="693"/>
        <v>0</v>
      </c>
      <c r="Y1449" s="19">
        <f t="shared" ca="1" si="694"/>
        <v>0</v>
      </c>
      <c r="Z1449" s="20">
        <f t="shared" ca="1" si="695"/>
        <v>0</v>
      </c>
      <c r="AA1449" s="1">
        <f t="shared" si="703"/>
        <v>5432.58</v>
      </c>
      <c r="AB1449" s="91"/>
      <c r="AC1449" s="92"/>
      <c r="AD1449" s="101">
        <f t="shared" si="704"/>
        <v>83694</v>
      </c>
      <c r="AE1449" s="103">
        <f t="shared" si="705"/>
        <v>0</v>
      </c>
      <c r="AG1449" s="1">
        <f t="shared" si="696"/>
        <v>0</v>
      </c>
      <c r="AH1449" s="1">
        <f t="shared" si="697"/>
        <v>0</v>
      </c>
      <c r="AI1449" s="1">
        <f t="shared" si="706"/>
        <v>5432.58</v>
      </c>
      <c r="AJ1449" s="20">
        <f t="shared" si="708"/>
        <v>0</v>
      </c>
      <c r="AK1449" s="100">
        <f t="shared" si="680"/>
        <v>0</v>
      </c>
      <c r="AL1449" s="100">
        <f t="shared" si="681"/>
        <v>0</v>
      </c>
      <c r="AN1449" s="100">
        <f t="shared" si="682"/>
        <v>2647.9472336244567</v>
      </c>
      <c r="AO1449" s="20">
        <f t="shared" si="683"/>
        <v>0</v>
      </c>
      <c r="AQ1449" s="109">
        <f t="shared" si="684"/>
        <v>0</v>
      </c>
      <c r="AU1449" s="109">
        <f t="shared" si="699"/>
        <v>23.89002568179238</v>
      </c>
      <c r="AV1449" s="101">
        <f t="shared" si="685"/>
        <v>83724</v>
      </c>
      <c r="AW1449" s="99">
        <f t="shared" si="686"/>
        <v>0</v>
      </c>
      <c r="AX1449" s="1">
        <f t="shared" si="687"/>
        <v>0</v>
      </c>
      <c r="AY1449" s="29">
        <f t="shared" si="688"/>
        <v>0</v>
      </c>
      <c r="AZ1449" s="1">
        <f t="shared" si="700"/>
        <v>0</v>
      </c>
      <c r="CB1449" s="20">
        <f t="shared" si="679"/>
        <v>0</v>
      </c>
      <c r="CC1449" s="173">
        <f t="shared" si="701"/>
        <v>0</v>
      </c>
    </row>
    <row r="1450" spans="10:81" x14ac:dyDescent="0.25">
      <c r="J1450" s="9"/>
      <c r="K1450" s="10"/>
      <c r="L1450" s="17"/>
      <c r="M1450" s="23"/>
      <c r="N1450" s="23"/>
      <c r="O1450" s="23"/>
      <c r="P1450" s="23"/>
      <c r="Q1450" s="1">
        <f t="shared" si="702"/>
        <v>0.60744618579017706</v>
      </c>
      <c r="R1450" s="12">
        <f t="shared" ca="1" si="689"/>
        <v>42602</v>
      </c>
      <c r="S1450" s="88">
        <f t="shared" si="698"/>
        <v>0</v>
      </c>
      <c r="T1450" s="19">
        <f t="shared" si="690"/>
        <v>0</v>
      </c>
      <c r="U1450" s="19">
        <f t="shared" si="691"/>
        <v>0</v>
      </c>
      <c r="V1450" s="19">
        <f t="shared" si="707"/>
        <v>0</v>
      </c>
      <c r="W1450" s="20">
        <f t="shared" ca="1" si="692"/>
        <v>0</v>
      </c>
      <c r="X1450" s="19">
        <f t="shared" ca="1" si="693"/>
        <v>0</v>
      </c>
      <c r="Y1450" s="19">
        <f t="shared" ca="1" si="694"/>
        <v>0</v>
      </c>
      <c r="Z1450" s="20">
        <f t="shared" ca="1" si="695"/>
        <v>0</v>
      </c>
      <c r="AA1450" s="1">
        <f t="shared" si="703"/>
        <v>5432.58</v>
      </c>
      <c r="AB1450" s="93"/>
      <c r="AC1450" s="94"/>
      <c r="AD1450" s="101">
        <f t="shared" si="704"/>
        <v>83724</v>
      </c>
      <c r="AE1450" s="103">
        <f t="shared" si="705"/>
        <v>0</v>
      </c>
      <c r="AG1450" s="1">
        <f t="shared" si="696"/>
        <v>0</v>
      </c>
      <c r="AH1450" s="1">
        <f t="shared" si="697"/>
        <v>0</v>
      </c>
      <c r="AI1450" s="1">
        <f t="shared" si="706"/>
        <v>5432.58</v>
      </c>
      <c r="AJ1450" s="20">
        <f t="shared" si="708"/>
        <v>0</v>
      </c>
      <c r="AK1450" s="100">
        <f t="shared" si="680"/>
        <v>0</v>
      </c>
      <c r="AL1450" s="100">
        <f t="shared" si="681"/>
        <v>0</v>
      </c>
      <c r="AN1450" s="100">
        <f t="shared" si="682"/>
        <v>2646.6075072614817</v>
      </c>
      <c r="AO1450" s="20">
        <f t="shared" si="683"/>
        <v>0</v>
      </c>
      <c r="AQ1450" s="109">
        <f t="shared" si="684"/>
        <v>0</v>
      </c>
      <c r="AU1450" s="109">
        <f t="shared" si="699"/>
        <v>23.887928852481988</v>
      </c>
      <c r="AV1450" s="101">
        <f t="shared" si="685"/>
        <v>83754</v>
      </c>
      <c r="AW1450" s="99">
        <f t="shared" si="686"/>
        <v>0</v>
      </c>
      <c r="AX1450" s="1">
        <f t="shared" si="687"/>
        <v>0</v>
      </c>
      <c r="AY1450" s="29">
        <f t="shared" si="688"/>
        <v>0</v>
      </c>
      <c r="AZ1450" s="1">
        <f t="shared" si="700"/>
        <v>0</v>
      </c>
      <c r="CB1450" s="20">
        <f t="shared" si="679"/>
        <v>0</v>
      </c>
      <c r="CC1450" s="173">
        <f t="shared" si="701"/>
        <v>0</v>
      </c>
    </row>
    <row r="1451" spans="10:81" x14ac:dyDescent="0.25">
      <c r="J1451" s="7"/>
      <c r="K1451" s="8"/>
      <c r="L1451" s="16"/>
      <c r="M1451" s="22"/>
      <c r="N1451" s="22"/>
      <c r="O1451" s="22"/>
      <c r="P1451" s="22"/>
      <c r="Q1451" s="1">
        <f t="shared" si="702"/>
        <v>0.60744618579017706</v>
      </c>
      <c r="R1451" s="12">
        <f t="shared" ca="1" si="689"/>
        <v>42632</v>
      </c>
      <c r="S1451" s="88">
        <f t="shared" si="698"/>
        <v>0</v>
      </c>
      <c r="T1451" s="19">
        <f t="shared" si="690"/>
        <v>0</v>
      </c>
      <c r="U1451" s="19">
        <f t="shared" si="691"/>
        <v>0</v>
      </c>
      <c r="V1451" s="19">
        <f t="shared" si="707"/>
        <v>0</v>
      </c>
      <c r="W1451" s="20">
        <f t="shared" ca="1" si="692"/>
        <v>0</v>
      </c>
      <c r="X1451" s="19">
        <f t="shared" ca="1" si="693"/>
        <v>0</v>
      </c>
      <c r="Y1451" s="19">
        <f t="shared" ca="1" si="694"/>
        <v>0</v>
      </c>
      <c r="Z1451" s="20">
        <f t="shared" ca="1" si="695"/>
        <v>0</v>
      </c>
      <c r="AA1451" s="1">
        <f t="shared" si="703"/>
        <v>5432.58</v>
      </c>
      <c r="AB1451" s="91"/>
      <c r="AC1451" s="92"/>
      <c r="AD1451" s="101">
        <f t="shared" si="704"/>
        <v>83754</v>
      </c>
      <c r="AE1451" s="103">
        <f t="shared" si="705"/>
        <v>0</v>
      </c>
      <c r="AG1451" s="1">
        <f t="shared" si="696"/>
        <v>0</v>
      </c>
      <c r="AH1451" s="1">
        <f t="shared" si="697"/>
        <v>0</v>
      </c>
      <c r="AI1451" s="1">
        <f t="shared" si="706"/>
        <v>5432.58</v>
      </c>
      <c r="AJ1451" s="20">
        <f t="shared" si="708"/>
        <v>0</v>
      </c>
      <c r="AK1451" s="100">
        <f t="shared" si="680"/>
        <v>0</v>
      </c>
      <c r="AL1451" s="100">
        <f t="shared" si="681"/>
        <v>0</v>
      </c>
      <c r="AN1451" s="100">
        <f t="shared" si="682"/>
        <v>2645.2684587317749</v>
      </c>
      <c r="AO1451" s="20">
        <f t="shared" si="683"/>
        <v>0</v>
      </c>
      <c r="AQ1451" s="109">
        <f t="shared" si="684"/>
        <v>0</v>
      </c>
      <c r="AU1451" s="109">
        <f t="shared" si="699"/>
        <v>23.885832207210473</v>
      </c>
      <c r="AV1451" s="101">
        <f t="shared" si="685"/>
        <v>83784</v>
      </c>
      <c r="AW1451" s="99">
        <f t="shared" si="686"/>
        <v>0</v>
      </c>
      <c r="AX1451" s="1">
        <f t="shared" si="687"/>
        <v>0</v>
      </c>
      <c r="AY1451" s="29">
        <f t="shared" si="688"/>
        <v>0</v>
      </c>
      <c r="AZ1451" s="1">
        <f t="shared" si="700"/>
        <v>0</v>
      </c>
      <c r="CB1451" s="20">
        <f t="shared" si="679"/>
        <v>0</v>
      </c>
      <c r="CC1451" s="173">
        <f t="shared" si="701"/>
        <v>0</v>
      </c>
    </row>
    <row r="1452" spans="10:81" x14ac:dyDescent="0.25">
      <c r="J1452" s="9"/>
      <c r="K1452" s="10"/>
      <c r="L1452" s="17"/>
      <c r="M1452" s="23"/>
      <c r="N1452" s="23"/>
      <c r="O1452" s="23"/>
      <c r="P1452" s="23"/>
      <c r="Q1452" s="1">
        <f t="shared" si="702"/>
        <v>0.60744618579017706</v>
      </c>
      <c r="R1452" s="12">
        <f t="shared" ca="1" si="689"/>
        <v>42662</v>
      </c>
      <c r="S1452" s="88">
        <f t="shared" si="698"/>
        <v>0</v>
      </c>
      <c r="T1452" s="19">
        <f t="shared" si="690"/>
        <v>0</v>
      </c>
      <c r="U1452" s="19">
        <f t="shared" si="691"/>
        <v>0</v>
      </c>
      <c r="V1452" s="19">
        <f t="shared" si="707"/>
        <v>0</v>
      </c>
      <c r="W1452" s="20">
        <f t="shared" ca="1" si="692"/>
        <v>0</v>
      </c>
      <c r="X1452" s="19">
        <f t="shared" ca="1" si="693"/>
        <v>0</v>
      </c>
      <c r="Y1452" s="19">
        <f t="shared" ca="1" si="694"/>
        <v>0</v>
      </c>
      <c r="Z1452" s="20">
        <f t="shared" ca="1" si="695"/>
        <v>0</v>
      </c>
      <c r="AA1452" s="1">
        <f t="shared" si="703"/>
        <v>5432.58</v>
      </c>
      <c r="AB1452" s="93"/>
      <c r="AC1452" s="94"/>
      <c r="AD1452" s="101">
        <f t="shared" si="704"/>
        <v>83784</v>
      </c>
      <c r="AE1452" s="103">
        <f t="shared" si="705"/>
        <v>0</v>
      </c>
      <c r="AG1452" s="1">
        <f t="shared" si="696"/>
        <v>0</v>
      </c>
      <c r="AH1452" s="1">
        <f t="shared" si="697"/>
        <v>0</v>
      </c>
      <c r="AI1452" s="1">
        <f t="shared" si="706"/>
        <v>5432.58</v>
      </c>
      <c r="AJ1452" s="20">
        <f t="shared" si="708"/>
        <v>0</v>
      </c>
      <c r="AK1452" s="100">
        <f t="shared" si="680"/>
        <v>0</v>
      </c>
      <c r="AL1452" s="100">
        <f t="shared" si="681"/>
        <v>0</v>
      </c>
      <c r="AN1452" s="100">
        <f t="shared" si="682"/>
        <v>2643.9300876923876</v>
      </c>
      <c r="AO1452" s="20">
        <f t="shared" si="683"/>
        <v>0</v>
      </c>
      <c r="AQ1452" s="109">
        <f t="shared" si="684"/>
        <v>0</v>
      </c>
      <c r="AU1452" s="109">
        <f t="shared" si="699"/>
        <v>23.883735745961662</v>
      </c>
      <c r="AV1452" s="101">
        <f t="shared" si="685"/>
        <v>83814</v>
      </c>
      <c r="AW1452" s="99">
        <f t="shared" si="686"/>
        <v>0</v>
      </c>
      <c r="AX1452" s="1">
        <f t="shared" si="687"/>
        <v>0</v>
      </c>
      <c r="AY1452" s="29">
        <f t="shared" si="688"/>
        <v>0</v>
      </c>
      <c r="AZ1452" s="1">
        <f t="shared" si="700"/>
        <v>0</v>
      </c>
      <c r="CB1452" s="20">
        <f t="shared" si="679"/>
        <v>0</v>
      </c>
      <c r="CC1452" s="173">
        <f t="shared" si="701"/>
        <v>0</v>
      </c>
    </row>
    <row r="1453" spans="10:81" x14ac:dyDescent="0.25">
      <c r="J1453" s="7"/>
      <c r="K1453" s="8"/>
      <c r="L1453" s="16"/>
      <c r="M1453" s="22"/>
      <c r="N1453" s="22"/>
      <c r="O1453" s="22"/>
      <c r="P1453" s="22"/>
      <c r="Q1453" s="1">
        <f t="shared" si="702"/>
        <v>0.60744618579017706</v>
      </c>
      <c r="R1453" s="12">
        <f t="shared" ca="1" si="689"/>
        <v>42692</v>
      </c>
      <c r="S1453" s="88">
        <f t="shared" si="698"/>
        <v>0</v>
      </c>
      <c r="T1453" s="19">
        <f t="shared" si="690"/>
        <v>0</v>
      </c>
      <c r="U1453" s="19">
        <f t="shared" si="691"/>
        <v>0</v>
      </c>
      <c r="V1453" s="19">
        <f t="shared" si="707"/>
        <v>0</v>
      </c>
      <c r="W1453" s="20">
        <f t="shared" ca="1" si="692"/>
        <v>0</v>
      </c>
      <c r="X1453" s="19">
        <f t="shared" ca="1" si="693"/>
        <v>0</v>
      </c>
      <c r="Y1453" s="19">
        <f t="shared" ca="1" si="694"/>
        <v>0</v>
      </c>
      <c r="Z1453" s="20">
        <f t="shared" ca="1" si="695"/>
        <v>0</v>
      </c>
      <c r="AA1453" s="1">
        <f t="shared" si="703"/>
        <v>5432.58</v>
      </c>
      <c r="AB1453" s="91"/>
      <c r="AC1453" s="92"/>
      <c r="AD1453" s="101">
        <f t="shared" si="704"/>
        <v>83814</v>
      </c>
      <c r="AE1453" s="103">
        <f t="shared" si="705"/>
        <v>0</v>
      </c>
      <c r="AG1453" s="1">
        <f t="shared" si="696"/>
        <v>0</v>
      </c>
      <c r="AH1453" s="1">
        <f t="shared" si="697"/>
        <v>0</v>
      </c>
      <c r="AI1453" s="1">
        <f t="shared" si="706"/>
        <v>5432.58</v>
      </c>
      <c r="AJ1453" s="20">
        <f t="shared" si="708"/>
        <v>0</v>
      </c>
      <c r="AK1453" s="100">
        <f t="shared" si="680"/>
        <v>0</v>
      </c>
      <c r="AL1453" s="100">
        <f t="shared" si="681"/>
        <v>0</v>
      </c>
      <c r="AN1453" s="100">
        <f t="shared" si="682"/>
        <v>2642.592393800544</v>
      </c>
      <c r="AO1453" s="20">
        <f t="shared" si="683"/>
        <v>0</v>
      </c>
      <c r="AQ1453" s="109">
        <f t="shared" si="684"/>
        <v>0</v>
      </c>
      <c r="AU1453" s="109">
        <f t="shared" si="699"/>
        <v>23.881639468719417</v>
      </c>
      <c r="AV1453" s="101">
        <f t="shared" si="685"/>
        <v>83844</v>
      </c>
      <c r="AW1453" s="99">
        <f t="shared" si="686"/>
        <v>0</v>
      </c>
      <c r="AX1453" s="1">
        <f t="shared" si="687"/>
        <v>0</v>
      </c>
      <c r="AY1453" s="29">
        <f t="shared" si="688"/>
        <v>0</v>
      </c>
      <c r="AZ1453" s="1">
        <f t="shared" si="700"/>
        <v>0</v>
      </c>
      <c r="CB1453" s="20">
        <f t="shared" si="679"/>
        <v>0</v>
      </c>
      <c r="CC1453" s="173">
        <f t="shared" si="701"/>
        <v>0</v>
      </c>
    </row>
    <row r="1454" spans="10:81" x14ac:dyDescent="0.25">
      <c r="J1454" s="9"/>
      <c r="K1454" s="10"/>
      <c r="L1454" s="17"/>
      <c r="M1454" s="23"/>
      <c r="N1454" s="23"/>
      <c r="O1454" s="23"/>
      <c r="P1454" s="23"/>
      <c r="Q1454" s="1">
        <f t="shared" si="702"/>
        <v>0.60744618579017706</v>
      </c>
      <c r="R1454" s="12">
        <f t="shared" ca="1" si="689"/>
        <v>42722</v>
      </c>
      <c r="S1454" s="88">
        <f t="shared" si="698"/>
        <v>0</v>
      </c>
      <c r="T1454" s="19">
        <f t="shared" si="690"/>
        <v>0</v>
      </c>
      <c r="U1454" s="19">
        <f t="shared" si="691"/>
        <v>0</v>
      </c>
      <c r="V1454" s="19">
        <f t="shared" si="707"/>
        <v>0</v>
      </c>
      <c r="W1454" s="20">
        <f t="shared" ca="1" si="692"/>
        <v>0</v>
      </c>
      <c r="X1454" s="19">
        <f t="shared" ca="1" si="693"/>
        <v>0</v>
      </c>
      <c r="Y1454" s="19">
        <f t="shared" ca="1" si="694"/>
        <v>0</v>
      </c>
      <c r="Z1454" s="20">
        <f t="shared" ca="1" si="695"/>
        <v>0</v>
      </c>
      <c r="AA1454" s="1">
        <f t="shared" si="703"/>
        <v>5432.58</v>
      </c>
      <c r="AB1454" s="93"/>
      <c r="AC1454" s="94"/>
      <c r="AD1454" s="101">
        <f t="shared" si="704"/>
        <v>83844</v>
      </c>
      <c r="AE1454" s="103">
        <f t="shared" si="705"/>
        <v>0</v>
      </c>
      <c r="AG1454" s="1">
        <f t="shared" si="696"/>
        <v>0</v>
      </c>
      <c r="AH1454" s="1">
        <f t="shared" si="697"/>
        <v>0</v>
      </c>
      <c r="AI1454" s="1">
        <f t="shared" si="706"/>
        <v>5432.58</v>
      </c>
      <c r="AJ1454" s="20">
        <f t="shared" si="708"/>
        <v>0</v>
      </c>
      <c r="AK1454" s="100">
        <f t="shared" si="680"/>
        <v>0</v>
      </c>
      <c r="AL1454" s="100">
        <f t="shared" si="681"/>
        <v>0</v>
      </c>
      <c r="AN1454" s="100">
        <f t="shared" si="682"/>
        <v>2641.2553767136415</v>
      </c>
      <c r="AO1454" s="20">
        <f t="shared" si="683"/>
        <v>0</v>
      </c>
      <c r="AQ1454" s="109">
        <f t="shared" si="684"/>
        <v>0</v>
      </c>
      <c r="AU1454" s="109">
        <f t="shared" si="699"/>
        <v>23.879543375467566</v>
      </c>
      <c r="AV1454" s="101">
        <f t="shared" si="685"/>
        <v>83874</v>
      </c>
      <c r="AW1454" s="99">
        <f t="shared" si="686"/>
        <v>0</v>
      </c>
      <c r="AX1454" s="1">
        <f t="shared" si="687"/>
        <v>0</v>
      </c>
      <c r="AY1454" s="29">
        <f t="shared" si="688"/>
        <v>0</v>
      </c>
      <c r="AZ1454" s="1">
        <f t="shared" si="700"/>
        <v>0</v>
      </c>
      <c r="CB1454" s="20">
        <f t="shared" ref="CB1454:CB1517" si="709">IF(O1454=0,IF(P1454&gt;0,V1453,IF(O1453=0,0,P1454)),IF(O1453=0,0,P1454))</f>
        <v>0</v>
      </c>
      <c r="CC1454" s="173">
        <f t="shared" si="701"/>
        <v>0</v>
      </c>
    </row>
    <row r="1455" spans="10:81" x14ac:dyDescent="0.25">
      <c r="J1455" s="7"/>
      <c r="K1455" s="8"/>
      <c r="L1455" s="16"/>
      <c r="M1455" s="22"/>
      <c r="N1455" s="22"/>
      <c r="O1455" s="22"/>
      <c r="P1455" s="22"/>
      <c r="Q1455" s="1">
        <f t="shared" si="702"/>
        <v>0.60744618579017706</v>
      </c>
      <c r="R1455" s="12">
        <f t="shared" ca="1" si="689"/>
        <v>42752</v>
      </c>
      <c r="S1455" s="88">
        <f t="shared" si="698"/>
        <v>0</v>
      </c>
      <c r="T1455" s="19">
        <f t="shared" si="690"/>
        <v>0</v>
      </c>
      <c r="U1455" s="19">
        <f t="shared" si="691"/>
        <v>0</v>
      </c>
      <c r="V1455" s="19">
        <f t="shared" si="707"/>
        <v>0</v>
      </c>
      <c r="W1455" s="20">
        <f t="shared" ca="1" si="692"/>
        <v>0</v>
      </c>
      <c r="X1455" s="19">
        <f t="shared" ca="1" si="693"/>
        <v>0</v>
      </c>
      <c r="Y1455" s="19">
        <f t="shared" ca="1" si="694"/>
        <v>0</v>
      </c>
      <c r="Z1455" s="20">
        <f t="shared" ca="1" si="695"/>
        <v>0</v>
      </c>
      <c r="AA1455" s="1">
        <f t="shared" si="703"/>
        <v>5432.58</v>
      </c>
      <c r="AB1455" s="91"/>
      <c r="AC1455" s="92"/>
      <c r="AD1455" s="101">
        <f t="shared" si="704"/>
        <v>83874</v>
      </c>
      <c r="AE1455" s="103">
        <f t="shared" si="705"/>
        <v>0</v>
      </c>
      <c r="AG1455" s="1">
        <f t="shared" si="696"/>
        <v>0</v>
      </c>
      <c r="AH1455" s="1">
        <f t="shared" si="697"/>
        <v>0</v>
      </c>
      <c r="AI1455" s="1">
        <f t="shared" si="706"/>
        <v>5432.58</v>
      </c>
      <c r="AJ1455" s="20">
        <f t="shared" si="708"/>
        <v>0</v>
      </c>
      <c r="AK1455" s="100">
        <f t="shared" si="680"/>
        <v>0</v>
      </c>
      <c r="AL1455" s="100">
        <f t="shared" si="681"/>
        <v>0</v>
      </c>
      <c r="AN1455" s="100">
        <f t="shared" si="682"/>
        <v>2639.9190360892517</v>
      </c>
      <c r="AO1455" s="20">
        <f t="shared" si="683"/>
        <v>0</v>
      </c>
      <c r="AQ1455" s="109">
        <f t="shared" si="684"/>
        <v>0</v>
      </c>
      <c r="AU1455" s="109">
        <f t="shared" si="699"/>
        <v>23.877447466189988</v>
      </c>
      <c r="AV1455" s="101">
        <f t="shared" si="685"/>
        <v>83904</v>
      </c>
      <c r="AW1455" s="99">
        <f t="shared" si="686"/>
        <v>0</v>
      </c>
      <c r="AX1455" s="1">
        <f t="shared" si="687"/>
        <v>0</v>
      </c>
      <c r="AY1455" s="29">
        <f t="shared" si="688"/>
        <v>0</v>
      </c>
      <c r="AZ1455" s="1">
        <f t="shared" si="700"/>
        <v>0</v>
      </c>
      <c r="CB1455" s="20">
        <f t="shared" si="709"/>
        <v>0</v>
      </c>
      <c r="CC1455" s="173">
        <f t="shared" si="701"/>
        <v>0</v>
      </c>
    </row>
    <row r="1456" spans="10:81" x14ac:dyDescent="0.25">
      <c r="J1456" s="9"/>
      <c r="K1456" s="10"/>
      <c r="L1456" s="17"/>
      <c r="M1456" s="23"/>
      <c r="N1456" s="23"/>
      <c r="O1456" s="23"/>
      <c r="P1456" s="23"/>
      <c r="Q1456" s="1">
        <f t="shared" si="702"/>
        <v>0.60744618579017706</v>
      </c>
      <c r="R1456" s="12">
        <f t="shared" ca="1" si="689"/>
        <v>42782</v>
      </c>
      <c r="S1456" s="88">
        <f t="shared" si="698"/>
        <v>0</v>
      </c>
      <c r="T1456" s="19">
        <f t="shared" si="690"/>
        <v>0</v>
      </c>
      <c r="U1456" s="19">
        <f t="shared" si="691"/>
        <v>0</v>
      </c>
      <c r="V1456" s="19">
        <f t="shared" si="707"/>
        <v>0</v>
      </c>
      <c r="W1456" s="20">
        <f t="shared" ca="1" si="692"/>
        <v>0</v>
      </c>
      <c r="X1456" s="19">
        <f t="shared" ca="1" si="693"/>
        <v>0</v>
      </c>
      <c r="Y1456" s="19">
        <f t="shared" ca="1" si="694"/>
        <v>0</v>
      </c>
      <c r="Z1456" s="20">
        <f t="shared" ca="1" si="695"/>
        <v>0</v>
      </c>
      <c r="AA1456" s="1">
        <f t="shared" si="703"/>
        <v>5432.58</v>
      </c>
      <c r="AB1456" s="93"/>
      <c r="AC1456" s="94"/>
      <c r="AD1456" s="101">
        <f t="shared" si="704"/>
        <v>83904</v>
      </c>
      <c r="AE1456" s="103">
        <f t="shared" si="705"/>
        <v>0</v>
      </c>
      <c r="AG1456" s="1">
        <f t="shared" si="696"/>
        <v>0</v>
      </c>
      <c r="AH1456" s="1">
        <f t="shared" si="697"/>
        <v>0</v>
      </c>
      <c r="AI1456" s="1">
        <f t="shared" si="706"/>
        <v>5432.58</v>
      </c>
      <c r="AJ1456" s="20">
        <f t="shared" si="708"/>
        <v>0</v>
      </c>
      <c r="AK1456" s="100">
        <f t="shared" si="680"/>
        <v>0</v>
      </c>
      <c r="AL1456" s="100">
        <f t="shared" si="681"/>
        <v>0</v>
      </c>
      <c r="AN1456" s="100">
        <f t="shared" si="682"/>
        <v>2638.5833715851195</v>
      </c>
      <c r="AO1456" s="20">
        <f t="shared" si="683"/>
        <v>0</v>
      </c>
      <c r="AQ1456" s="109">
        <f t="shared" si="684"/>
        <v>0</v>
      </c>
      <c r="AU1456" s="109">
        <f t="shared" si="699"/>
        <v>23.87535174087051</v>
      </c>
      <c r="AV1456" s="101">
        <f t="shared" si="685"/>
        <v>83934</v>
      </c>
      <c r="AW1456" s="99">
        <f t="shared" si="686"/>
        <v>0</v>
      </c>
      <c r="AX1456" s="1">
        <f t="shared" si="687"/>
        <v>0</v>
      </c>
      <c r="AY1456" s="29">
        <f t="shared" si="688"/>
        <v>0</v>
      </c>
      <c r="AZ1456" s="1">
        <f t="shared" si="700"/>
        <v>0</v>
      </c>
      <c r="CB1456" s="20">
        <f t="shared" si="709"/>
        <v>0</v>
      </c>
      <c r="CC1456" s="173">
        <f t="shared" si="701"/>
        <v>0</v>
      </c>
    </row>
    <row r="1457" spans="10:81" x14ac:dyDescent="0.25">
      <c r="J1457" s="7"/>
      <c r="K1457" s="8"/>
      <c r="L1457" s="16"/>
      <c r="M1457" s="22"/>
      <c r="N1457" s="22"/>
      <c r="O1457" s="22"/>
      <c r="P1457" s="22"/>
      <c r="Q1457" s="1">
        <f t="shared" si="702"/>
        <v>0.60744618579017706</v>
      </c>
      <c r="R1457" s="12">
        <f t="shared" ca="1" si="689"/>
        <v>42812</v>
      </c>
      <c r="S1457" s="88">
        <f t="shared" si="698"/>
        <v>0</v>
      </c>
      <c r="T1457" s="19">
        <f t="shared" si="690"/>
        <v>0</v>
      </c>
      <c r="U1457" s="19">
        <f t="shared" si="691"/>
        <v>0</v>
      </c>
      <c r="V1457" s="19">
        <f t="shared" si="707"/>
        <v>0</v>
      </c>
      <c r="W1457" s="20">
        <f t="shared" ca="1" si="692"/>
        <v>0</v>
      </c>
      <c r="X1457" s="19">
        <f t="shared" ca="1" si="693"/>
        <v>0</v>
      </c>
      <c r="Y1457" s="19">
        <f t="shared" ca="1" si="694"/>
        <v>0</v>
      </c>
      <c r="Z1457" s="20">
        <f t="shared" ca="1" si="695"/>
        <v>0</v>
      </c>
      <c r="AA1457" s="1">
        <f t="shared" si="703"/>
        <v>5432.58</v>
      </c>
      <c r="AB1457" s="91"/>
      <c r="AC1457" s="92"/>
      <c r="AD1457" s="101">
        <f t="shared" si="704"/>
        <v>83934</v>
      </c>
      <c r="AE1457" s="103">
        <f t="shared" si="705"/>
        <v>0</v>
      </c>
      <c r="AG1457" s="1">
        <f t="shared" si="696"/>
        <v>0</v>
      </c>
      <c r="AH1457" s="1">
        <f t="shared" si="697"/>
        <v>0</v>
      </c>
      <c r="AI1457" s="1">
        <f t="shared" si="706"/>
        <v>5432.58</v>
      </c>
      <c r="AJ1457" s="20">
        <f t="shared" si="708"/>
        <v>0</v>
      </c>
      <c r="AK1457" s="100">
        <f t="shared" si="680"/>
        <v>0</v>
      </c>
      <c r="AL1457" s="100">
        <f t="shared" si="681"/>
        <v>0</v>
      </c>
      <c r="AN1457" s="100">
        <f t="shared" si="682"/>
        <v>2637.2483828591612</v>
      </c>
      <c r="AO1457" s="20">
        <f t="shared" si="683"/>
        <v>0</v>
      </c>
      <c r="AQ1457" s="109">
        <f t="shared" si="684"/>
        <v>0</v>
      </c>
      <c r="AU1457" s="109">
        <f t="shared" si="699"/>
        <v>23.873256199492999</v>
      </c>
      <c r="AV1457" s="101">
        <f t="shared" si="685"/>
        <v>83964</v>
      </c>
      <c r="AW1457" s="99">
        <f t="shared" si="686"/>
        <v>0</v>
      </c>
      <c r="AX1457" s="1">
        <f t="shared" si="687"/>
        <v>0</v>
      </c>
      <c r="AY1457" s="29">
        <f t="shared" si="688"/>
        <v>0</v>
      </c>
      <c r="AZ1457" s="1">
        <f t="shared" si="700"/>
        <v>0</v>
      </c>
      <c r="CB1457" s="20">
        <f t="shared" si="709"/>
        <v>0</v>
      </c>
      <c r="CC1457" s="173">
        <f t="shared" si="701"/>
        <v>0</v>
      </c>
    </row>
    <row r="1458" spans="10:81" x14ac:dyDescent="0.25">
      <c r="J1458" s="9"/>
      <c r="K1458" s="10"/>
      <c r="L1458" s="17"/>
      <c r="M1458" s="23"/>
      <c r="N1458" s="23"/>
      <c r="O1458" s="23"/>
      <c r="P1458" s="23"/>
      <c r="Q1458" s="1">
        <f t="shared" si="702"/>
        <v>0.60744618579017706</v>
      </c>
      <c r="R1458" s="12">
        <f t="shared" ca="1" si="689"/>
        <v>42842</v>
      </c>
      <c r="S1458" s="88">
        <f t="shared" si="698"/>
        <v>0</v>
      </c>
      <c r="T1458" s="19">
        <f t="shared" si="690"/>
        <v>0</v>
      </c>
      <c r="U1458" s="19">
        <f t="shared" si="691"/>
        <v>0</v>
      </c>
      <c r="V1458" s="19">
        <f t="shared" si="707"/>
        <v>0</v>
      </c>
      <c r="W1458" s="20">
        <f t="shared" ca="1" si="692"/>
        <v>0</v>
      </c>
      <c r="X1458" s="19">
        <f t="shared" ca="1" si="693"/>
        <v>0</v>
      </c>
      <c r="Y1458" s="19">
        <f t="shared" ca="1" si="694"/>
        <v>0</v>
      </c>
      <c r="Z1458" s="20">
        <f t="shared" ca="1" si="695"/>
        <v>0</v>
      </c>
      <c r="AA1458" s="1">
        <f t="shared" si="703"/>
        <v>5432.58</v>
      </c>
      <c r="AB1458" s="93"/>
      <c r="AC1458" s="94"/>
      <c r="AD1458" s="101">
        <f t="shared" si="704"/>
        <v>83964</v>
      </c>
      <c r="AE1458" s="103">
        <f t="shared" si="705"/>
        <v>0</v>
      </c>
      <c r="AG1458" s="1">
        <f t="shared" si="696"/>
        <v>0</v>
      </c>
      <c r="AH1458" s="1">
        <f t="shared" si="697"/>
        <v>0</v>
      </c>
      <c r="AI1458" s="1">
        <f t="shared" si="706"/>
        <v>5432.58</v>
      </c>
      <c r="AJ1458" s="20">
        <f t="shared" si="708"/>
        <v>0</v>
      </c>
      <c r="AK1458" s="100">
        <f t="shared" si="680"/>
        <v>0</v>
      </c>
      <c r="AL1458" s="100">
        <f t="shared" si="681"/>
        <v>0</v>
      </c>
      <c r="AN1458" s="100">
        <f t="shared" si="682"/>
        <v>2635.9140695694691</v>
      </c>
      <c r="AO1458" s="20">
        <f t="shared" si="683"/>
        <v>0</v>
      </c>
      <c r="AQ1458" s="109">
        <f t="shared" si="684"/>
        <v>0</v>
      </c>
      <c r="AU1458" s="109">
        <f t="shared" si="699"/>
        <v>23.871160842041313</v>
      </c>
      <c r="AV1458" s="101">
        <f t="shared" si="685"/>
        <v>83994</v>
      </c>
      <c r="AW1458" s="99">
        <f t="shared" si="686"/>
        <v>0</v>
      </c>
      <c r="AX1458" s="1">
        <f t="shared" si="687"/>
        <v>0</v>
      </c>
      <c r="AY1458" s="29">
        <f t="shared" si="688"/>
        <v>0</v>
      </c>
      <c r="AZ1458" s="1">
        <f t="shared" si="700"/>
        <v>0</v>
      </c>
      <c r="CB1458" s="20">
        <f t="shared" si="709"/>
        <v>0</v>
      </c>
      <c r="CC1458" s="173">
        <f t="shared" si="701"/>
        <v>0</v>
      </c>
    </row>
    <row r="1459" spans="10:81" x14ac:dyDescent="0.25">
      <c r="J1459" s="7"/>
      <c r="K1459" s="8"/>
      <c r="L1459" s="16"/>
      <c r="M1459" s="22"/>
      <c r="N1459" s="22"/>
      <c r="O1459" s="22"/>
      <c r="P1459" s="22"/>
      <c r="Q1459" s="1">
        <f t="shared" si="702"/>
        <v>0.60744618579017706</v>
      </c>
      <c r="R1459" s="12">
        <f t="shared" ca="1" si="689"/>
        <v>42872</v>
      </c>
      <c r="S1459" s="88">
        <f t="shared" si="698"/>
        <v>0</v>
      </c>
      <c r="T1459" s="19">
        <f t="shared" si="690"/>
        <v>0</v>
      </c>
      <c r="U1459" s="19">
        <f t="shared" si="691"/>
        <v>0</v>
      </c>
      <c r="V1459" s="19">
        <f t="shared" si="707"/>
        <v>0</v>
      </c>
      <c r="W1459" s="20">
        <f t="shared" ca="1" si="692"/>
        <v>0</v>
      </c>
      <c r="X1459" s="19">
        <f t="shared" ca="1" si="693"/>
        <v>0</v>
      </c>
      <c r="Y1459" s="19">
        <f t="shared" ca="1" si="694"/>
        <v>0</v>
      </c>
      <c r="Z1459" s="20">
        <f t="shared" ca="1" si="695"/>
        <v>0</v>
      </c>
      <c r="AA1459" s="1">
        <f t="shared" si="703"/>
        <v>5432.58</v>
      </c>
      <c r="AB1459" s="91"/>
      <c r="AC1459" s="92"/>
      <c r="AD1459" s="101">
        <f t="shared" si="704"/>
        <v>83994</v>
      </c>
      <c r="AE1459" s="103">
        <f t="shared" si="705"/>
        <v>0</v>
      </c>
      <c r="AG1459" s="1">
        <f t="shared" si="696"/>
        <v>0</v>
      </c>
      <c r="AH1459" s="1">
        <f t="shared" si="697"/>
        <v>0</v>
      </c>
      <c r="AI1459" s="1">
        <f t="shared" si="706"/>
        <v>5432.58</v>
      </c>
      <c r="AJ1459" s="20">
        <f t="shared" si="708"/>
        <v>0</v>
      </c>
      <c r="AK1459" s="100">
        <f t="shared" si="680"/>
        <v>0</v>
      </c>
      <c r="AL1459" s="100">
        <f t="shared" si="681"/>
        <v>0</v>
      </c>
      <c r="AN1459" s="100">
        <f t="shared" si="682"/>
        <v>2634.5804313743051</v>
      </c>
      <c r="AO1459" s="20">
        <f t="shared" si="683"/>
        <v>0</v>
      </c>
      <c r="AQ1459" s="109">
        <f t="shared" si="684"/>
        <v>0</v>
      </c>
      <c r="AU1459" s="109">
        <f t="shared" si="699"/>
        <v>23.869065668499307</v>
      </c>
      <c r="AV1459" s="101">
        <f t="shared" si="685"/>
        <v>84024</v>
      </c>
      <c r="AW1459" s="99">
        <f t="shared" si="686"/>
        <v>0</v>
      </c>
      <c r="AX1459" s="1">
        <f t="shared" si="687"/>
        <v>0</v>
      </c>
      <c r="AY1459" s="29">
        <f t="shared" si="688"/>
        <v>0</v>
      </c>
      <c r="AZ1459" s="1">
        <f t="shared" si="700"/>
        <v>0</v>
      </c>
      <c r="CB1459" s="20">
        <f t="shared" si="709"/>
        <v>0</v>
      </c>
      <c r="CC1459" s="173">
        <f t="shared" si="701"/>
        <v>0</v>
      </c>
    </row>
    <row r="1460" spans="10:81" x14ac:dyDescent="0.25">
      <c r="J1460" s="9"/>
      <c r="K1460" s="10"/>
      <c r="L1460" s="17"/>
      <c r="M1460" s="23"/>
      <c r="N1460" s="23"/>
      <c r="O1460" s="23"/>
      <c r="P1460" s="23"/>
      <c r="Q1460" s="1">
        <f t="shared" si="702"/>
        <v>0.60744618579017706</v>
      </c>
      <c r="R1460" s="12">
        <f t="shared" ca="1" si="689"/>
        <v>42902</v>
      </c>
      <c r="S1460" s="88">
        <f t="shared" si="698"/>
        <v>0</v>
      </c>
      <c r="T1460" s="19">
        <f t="shared" si="690"/>
        <v>0</v>
      </c>
      <c r="U1460" s="19">
        <f t="shared" si="691"/>
        <v>0</v>
      </c>
      <c r="V1460" s="19">
        <f t="shared" si="707"/>
        <v>0</v>
      </c>
      <c r="W1460" s="20">
        <f t="shared" ca="1" si="692"/>
        <v>0</v>
      </c>
      <c r="X1460" s="19">
        <f t="shared" ca="1" si="693"/>
        <v>0</v>
      </c>
      <c r="Y1460" s="19">
        <f t="shared" ca="1" si="694"/>
        <v>0</v>
      </c>
      <c r="Z1460" s="20">
        <f t="shared" ca="1" si="695"/>
        <v>0</v>
      </c>
      <c r="AA1460" s="1">
        <f t="shared" si="703"/>
        <v>5432.58</v>
      </c>
      <c r="AB1460" s="93"/>
      <c r="AC1460" s="94"/>
      <c r="AD1460" s="101">
        <f t="shared" si="704"/>
        <v>84024</v>
      </c>
      <c r="AE1460" s="103">
        <f t="shared" si="705"/>
        <v>0</v>
      </c>
      <c r="AG1460" s="1">
        <f t="shared" si="696"/>
        <v>0</v>
      </c>
      <c r="AH1460" s="1">
        <f t="shared" si="697"/>
        <v>0</v>
      </c>
      <c r="AI1460" s="1">
        <f t="shared" si="706"/>
        <v>5432.58</v>
      </c>
      <c r="AJ1460" s="20">
        <f t="shared" si="708"/>
        <v>0</v>
      </c>
      <c r="AK1460" s="100">
        <f t="shared" si="680"/>
        <v>0</v>
      </c>
      <c r="AL1460" s="100">
        <f t="shared" si="681"/>
        <v>0</v>
      </c>
      <c r="AN1460" s="100">
        <f t="shared" si="682"/>
        <v>2633.2474679321081</v>
      </c>
      <c r="AO1460" s="20">
        <f t="shared" si="683"/>
        <v>0</v>
      </c>
      <c r="AQ1460" s="109">
        <f t="shared" si="684"/>
        <v>0</v>
      </c>
      <c r="AU1460" s="109">
        <f t="shared" si="699"/>
        <v>23.86697067885083</v>
      </c>
      <c r="AV1460" s="101">
        <f t="shared" si="685"/>
        <v>84054</v>
      </c>
      <c r="AW1460" s="99">
        <f t="shared" si="686"/>
        <v>0</v>
      </c>
      <c r="AX1460" s="1">
        <f t="shared" si="687"/>
        <v>0</v>
      </c>
      <c r="AY1460" s="29">
        <f t="shared" si="688"/>
        <v>0</v>
      </c>
      <c r="AZ1460" s="1">
        <f t="shared" si="700"/>
        <v>0</v>
      </c>
      <c r="CB1460" s="20">
        <f t="shared" si="709"/>
        <v>0</v>
      </c>
      <c r="CC1460" s="173">
        <f t="shared" si="701"/>
        <v>0</v>
      </c>
    </row>
    <row r="1461" spans="10:81" x14ac:dyDescent="0.25">
      <c r="J1461" s="7"/>
      <c r="K1461" s="8"/>
      <c r="L1461" s="16"/>
      <c r="M1461" s="22"/>
      <c r="N1461" s="22"/>
      <c r="O1461" s="22"/>
      <c r="P1461" s="22"/>
      <c r="Q1461" s="1">
        <f t="shared" si="702"/>
        <v>0.60744618579017706</v>
      </c>
      <c r="R1461" s="12">
        <f t="shared" ca="1" si="689"/>
        <v>42932</v>
      </c>
      <c r="S1461" s="88">
        <f t="shared" si="698"/>
        <v>0</v>
      </c>
      <c r="T1461" s="19">
        <f t="shared" si="690"/>
        <v>0</v>
      </c>
      <c r="U1461" s="19">
        <f t="shared" si="691"/>
        <v>0</v>
      </c>
      <c r="V1461" s="19">
        <f t="shared" si="707"/>
        <v>0</v>
      </c>
      <c r="W1461" s="20">
        <f t="shared" ca="1" si="692"/>
        <v>0</v>
      </c>
      <c r="X1461" s="19">
        <f t="shared" ca="1" si="693"/>
        <v>0</v>
      </c>
      <c r="Y1461" s="19">
        <f t="shared" ca="1" si="694"/>
        <v>0</v>
      </c>
      <c r="Z1461" s="20">
        <f t="shared" ca="1" si="695"/>
        <v>0</v>
      </c>
      <c r="AA1461" s="1">
        <f t="shared" si="703"/>
        <v>5432.58</v>
      </c>
      <c r="AB1461" s="91"/>
      <c r="AC1461" s="92"/>
      <c r="AD1461" s="101">
        <f t="shared" si="704"/>
        <v>84054</v>
      </c>
      <c r="AE1461" s="103">
        <f t="shared" si="705"/>
        <v>0</v>
      </c>
      <c r="AG1461" s="1">
        <f t="shared" si="696"/>
        <v>0</v>
      </c>
      <c r="AH1461" s="1">
        <f t="shared" si="697"/>
        <v>0</v>
      </c>
      <c r="AI1461" s="1">
        <f t="shared" si="706"/>
        <v>5432.58</v>
      </c>
      <c r="AJ1461" s="20">
        <f t="shared" si="708"/>
        <v>0</v>
      </c>
      <c r="AK1461" s="100">
        <f t="shared" si="680"/>
        <v>0</v>
      </c>
      <c r="AL1461" s="100">
        <f t="shared" si="681"/>
        <v>0</v>
      </c>
      <c r="AN1461" s="100">
        <f t="shared" si="682"/>
        <v>2631.9151789014854</v>
      </c>
      <c r="AO1461" s="20">
        <f t="shared" si="683"/>
        <v>0</v>
      </c>
      <c r="AQ1461" s="109">
        <f t="shared" si="684"/>
        <v>0</v>
      </c>
      <c r="AU1461" s="109">
        <f t="shared" si="699"/>
        <v>23.86487587307975</v>
      </c>
      <c r="AV1461" s="101">
        <f t="shared" si="685"/>
        <v>84084</v>
      </c>
      <c r="AW1461" s="99">
        <f t="shared" si="686"/>
        <v>0</v>
      </c>
      <c r="AX1461" s="1">
        <f t="shared" si="687"/>
        <v>0</v>
      </c>
      <c r="AY1461" s="29">
        <f t="shared" si="688"/>
        <v>0</v>
      </c>
      <c r="AZ1461" s="1">
        <f t="shared" si="700"/>
        <v>0</v>
      </c>
      <c r="CB1461" s="20">
        <f t="shared" si="709"/>
        <v>0</v>
      </c>
      <c r="CC1461" s="173">
        <f t="shared" si="701"/>
        <v>0</v>
      </c>
    </row>
    <row r="1462" spans="10:81" x14ac:dyDescent="0.25">
      <c r="J1462" s="9"/>
      <c r="K1462" s="10"/>
      <c r="L1462" s="17"/>
      <c r="M1462" s="23"/>
      <c r="N1462" s="23"/>
      <c r="O1462" s="23"/>
      <c r="P1462" s="23"/>
      <c r="Q1462" s="1">
        <f t="shared" si="702"/>
        <v>0.60744618579017706</v>
      </c>
      <c r="R1462" s="12">
        <f t="shared" ca="1" si="689"/>
        <v>42962</v>
      </c>
      <c r="S1462" s="88">
        <f t="shared" si="698"/>
        <v>0</v>
      </c>
      <c r="T1462" s="19">
        <f t="shared" si="690"/>
        <v>0</v>
      </c>
      <c r="U1462" s="19">
        <f t="shared" si="691"/>
        <v>0</v>
      </c>
      <c r="V1462" s="19">
        <f t="shared" si="707"/>
        <v>0</v>
      </c>
      <c r="W1462" s="20">
        <f t="shared" ca="1" si="692"/>
        <v>0</v>
      </c>
      <c r="X1462" s="19">
        <f t="shared" ca="1" si="693"/>
        <v>0</v>
      </c>
      <c r="Y1462" s="19">
        <f t="shared" ca="1" si="694"/>
        <v>0</v>
      </c>
      <c r="Z1462" s="20">
        <f t="shared" ca="1" si="695"/>
        <v>0</v>
      </c>
      <c r="AA1462" s="1">
        <f t="shared" si="703"/>
        <v>5432.58</v>
      </c>
      <c r="AB1462" s="93"/>
      <c r="AC1462" s="94"/>
      <c r="AD1462" s="101">
        <f t="shared" si="704"/>
        <v>84084</v>
      </c>
      <c r="AE1462" s="103">
        <f t="shared" si="705"/>
        <v>0</v>
      </c>
      <c r="AG1462" s="1">
        <f t="shared" si="696"/>
        <v>0</v>
      </c>
      <c r="AH1462" s="1">
        <f t="shared" si="697"/>
        <v>0</v>
      </c>
      <c r="AI1462" s="1">
        <f t="shared" si="706"/>
        <v>5432.58</v>
      </c>
      <c r="AJ1462" s="20">
        <f t="shared" si="708"/>
        <v>0</v>
      </c>
      <c r="AK1462" s="100">
        <f t="shared" ref="AK1462:AK1525" si="710">IF(ISERROR(AJ1462/(1+(Q1462)/1200)^(ROW()-29)),0,AJ1462/(1+(Q1462)/1200)^(ROW()-29))</f>
        <v>0</v>
      </c>
      <c r="AL1462" s="100">
        <f t="shared" ref="AL1462:AL1525" si="711">IF(ISERROR((Q1462/1200)*O1462),0,(Q1462/1200)*O1462)</f>
        <v>0</v>
      </c>
      <c r="AN1462" s="100">
        <f t="shared" ref="AN1462:AN1525" si="712">IF(ISERROR(AA1462/(1+(Q1462)/1200)^(ROW()-29)),0,AA1462/(1+(Q1462)/1200)^(ROW()-29))</f>
        <v>2630.5835639412189</v>
      </c>
      <c r="AO1462" s="20">
        <f t="shared" ref="AO1462:AO1525" si="713">IF(ISERROR(V1461+U1462+T1462+(V1461*Q1462/1200)-AA1462-P1462),0,IF(V1461+U1462+T1462+(V1461*Q1462/1200)-AA1462-P1462&lt;0,V1461,-(U1462+T1462-AA1462+P1462-AH1462)))</f>
        <v>0</v>
      </c>
      <c r="AQ1462" s="109">
        <f t="shared" ref="AQ1462:AQ1525" si="714">AO1462/(1+((1+$AM$27)^((ROW()-29)*30)-1))</f>
        <v>0</v>
      </c>
      <c r="AU1462" s="109">
        <f t="shared" si="699"/>
        <v>23.862781251169931</v>
      </c>
      <c r="AV1462" s="101">
        <f t="shared" ref="AV1462:AV1525" si="715">AD1463</f>
        <v>84114</v>
      </c>
      <c r="AW1462" s="99">
        <f t="shared" ref="AW1462:AW1525" si="716">IF(AJ1463&lt;0,0,AJ1463)</f>
        <v>0</v>
      </c>
      <c r="AX1462" s="1">
        <f t="shared" ref="AX1462:AX1525" si="717">IF(AG1462&gt;0,AA1462,0)</f>
        <v>0</v>
      </c>
      <c r="AY1462" s="29">
        <f t="shared" ref="AY1462:AY1525" si="718">AE1462</f>
        <v>0</v>
      </c>
      <c r="AZ1462" s="1">
        <f t="shared" si="700"/>
        <v>0</v>
      </c>
      <c r="CB1462" s="20">
        <f t="shared" si="709"/>
        <v>0</v>
      </c>
      <c r="CC1462" s="173">
        <f t="shared" si="701"/>
        <v>0</v>
      </c>
    </row>
    <row r="1463" spans="10:81" x14ac:dyDescent="0.25">
      <c r="J1463" s="7"/>
      <c r="K1463" s="8"/>
      <c r="L1463" s="16"/>
      <c r="M1463" s="22"/>
      <c r="N1463" s="22"/>
      <c r="O1463" s="22"/>
      <c r="P1463" s="22"/>
      <c r="Q1463" s="1">
        <f t="shared" si="702"/>
        <v>0.60744618579017706</v>
      </c>
      <c r="R1463" s="12">
        <f t="shared" ref="R1463:R1526" ca="1" si="719">IF(ROW()&gt;$T$20,R1462+30,DAYS360(K1462,K1463)+R1462)</f>
        <v>42992</v>
      </c>
      <c r="S1463" s="88">
        <f t="shared" si="698"/>
        <v>0</v>
      </c>
      <c r="T1463" s="19">
        <f t="shared" ref="T1463:T1526" si="720">IF(ISERROR((previousBalance*Q1463/1200)*(IF(ROW()-30&lt;$G$22,$G$21,0))),0,(previousBalance*Q1463/1200)*(IF(ROW()-30&lt;$G$22,$G$21,0)))</f>
        <v>0</v>
      </c>
      <c r="U1463" s="19">
        <f t="shared" ref="U1463:U1526" si="721">AA1463*(IF(ROW()-30&lt;$H$22,$H$21,0))</f>
        <v>0</v>
      </c>
      <c r="V1463" s="19">
        <f t="shared" si="707"/>
        <v>0</v>
      </c>
      <c r="W1463" s="20">
        <f t="shared" ref="W1463:W1526" ca="1" si="722">(T1463)/(1+((1+$T$12)^$R1463-1))</f>
        <v>0</v>
      </c>
      <c r="X1463" s="19">
        <f t="shared" ref="X1463:X1526" ca="1" si="723">(U1463)/(1+((1+$T$12)^$R1463-1))</f>
        <v>0</v>
      </c>
      <c r="Y1463" s="19">
        <f t="shared" ref="Y1463:Y1526" ca="1" si="724">P1463/(1+((1+$T$12)^$R1463-1))</f>
        <v>0</v>
      </c>
      <c r="Z1463" s="20">
        <f t="shared" ref="Z1463:Z1526" ca="1" si="725">W1463+X1463</f>
        <v>0</v>
      </c>
      <c r="AA1463" s="1">
        <f t="shared" si="703"/>
        <v>5432.58</v>
      </c>
      <c r="AB1463" s="91"/>
      <c r="AC1463" s="92"/>
      <c r="AD1463" s="101">
        <f t="shared" si="704"/>
        <v>84114</v>
      </c>
      <c r="AE1463" s="103">
        <f t="shared" si="705"/>
        <v>0</v>
      </c>
      <c r="AG1463" s="1">
        <f t="shared" ref="AG1463:AG1526" si="726">AE1463/360</f>
        <v>0</v>
      </c>
      <c r="AH1463" s="1">
        <f t="shared" ref="AH1463:AH1526" si="727">IF(ISERROR(IF(V1462+U1463+T1463+(V1462*Q1463/1200)-AA1463-P1463&lt;0,0,(V1462*Q1463/1200))),0,IF(V1462+U1463+T1463+(V1462*Q1463/1200)-AA1463-P1463&lt;0,0,(V1462*Q1463/1200)))</f>
        <v>0</v>
      </c>
      <c r="AI1463" s="1">
        <f t="shared" si="706"/>
        <v>5432.58</v>
      </c>
      <c r="AJ1463" s="20">
        <f t="shared" si="708"/>
        <v>0</v>
      </c>
      <c r="AK1463" s="100">
        <f t="shared" si="710"/>
        <v>0</v>
      </c>
      <c r="AL1463" s="100">
        <f t="shared" si="711"/>
        <v>0</v>
      </c>
      <c r="AN1463" s="100">
        <f t="shared" si="712"/>
        <v>2629.2526227102658</v>
      </c>
      <c r="AO1463" s="20">
        <f t="shared" si="713"/>
        <v>0</v>
      </c>
      <c r="AQ1463" s="109">
        <f t="shared" si="714"/>
        <v>0</v>
      </c>
      <c r="AU1463" s="109">
        <f t="shared" si="699"/>
        <v>23.860686813105232</v>
      </c>
      <c r="AV1463" s="101">
        <f t="shared" si="715"/>
        <v>84144</v>
      </c>
      <c r="AW1463" s="99">
        <f t="shared" si="716"/>
        <v>0</v>
      </c>
      <c r="AX1463" s="1">
        <f t="shared" si="717"/>
        <v>0</v>
      </c>
      <c r="AY1463" s="29">
        <f t="shared" si="718"/>
        <v>0</v>
      </c>
      <c r="AZ1463" s="1">
        <f t="shared" si="700"/>
        <v>0</v>
      </c>
      <c r="CB1463" s="20">
        <f t="shared" si="709"/>
        <v>0</v>
      </c>
      <c r="CC1463" s="173">
        <f t="shared" si="701"/>
        <v>0</v>
      </c>
    </row>
    <row r="1464" spans="10:81" x14ac:dyDescent="0.25">
      <c r="J1464" s="9"/>
      <c r="K1464" s="10"/>
      <c r="L1464" s="17"/>
      <c r="M1464" s="23"/>
      <c r="N1464" s="23"/>
      <c r="O1464" s="23"/>
      <c r="P1464" s="23"/>
      <c r="Q1464" s="1">
        <f t="shared" si="702"/>
        <v>0.60744618579017706</v>
      </c>
      <c r="R1464" s="12">
        <f t="shared" ca="1" si="719"/>
        <v>43022</v>
      </c>
      <c r="S1464" s="88">
        <f t="shared" si="698"/>
        <v>0</v>
      </c>
      <c r="T1464" s="19">
        <f t="shared" si="720"/>
        <v>0</v>
      </c>
      <c r="U1464" s="19">
        <f t="shared" si="721"/>
        <v>0</v>
      </c>
      <c r="V1464" s="19">
        <f t="shared" si="707"/>
        <v>0</v>
      </c>
      <c r="W1464" s="20">
        <f t="shared" ca="1" si="722"/>
        <v>0</v>
      </c>
      <c r="X1464" s="19">
        <f t="shared" ca="1" si="723"/>
        <v>0</v>
      </c>
      <c r="Y1464" s="19">
        <f t="shared" ca="1" si="724"/>
        <v>0</v>
      </c>
      <c r="Z1464" s="20">
        <f t="shared" ca="1" si="725"/>
        <v>0</v>
      </c>
      <c r="AA1464" s="1">
        <f t="shared" si="703"/>
        <v>5432.58</v>
      </c>
      <c r="AB1464" s="93"/>
      <c r="AC1464" s="94"/>
      <c r="AD1464" s="101">
        <f t="shared" si="704"/>
        <v>84144</v>
      </c>
      <c r="AE1464" s="103">
        <f t="shared" si="705"/>
        <v>0</v>
      </c>
      <c r="AG1464" s="1">
        <f t="shared" si="726"/>
        <v>0</v>
      </c>
      <c r="AH1464" s="1">
        <f t="shared" si="727"/>
        <v>0</v>
      </c>
      <c r="AI1464" s="1">
        <f t="shared" si="706"/>
        <v>5432.58</v>
      </c>
      <c r="AJ1464" s="20">
        <f t="shared" si="708"/>
        <v>0</v>
      </c>
      <c r="AK1464" s="100">
        <f t="shared" si="710"/>
        <v>0</v>
      </c>
      <c r="AL1464" s="100">
        <f t="shared" si="711"/>
        <v>0</v>
      </c>
      <c r="AN1464" s="100">
        <f t="shared" si="712"/>
        <v>2627.922354867751</v>
      </c>
      <c r="AO1464" s="20">
        <f t="shared" si="713"/>
        <v>0</v>
      </c>
      <c r="AQ1464" s="109">
        <f t="shared" si="714"/>
        <v>0</v>
      </c>
      <c r="AU1464" s="109">
        <f t="shared" si="699"/>
        <v>23.858592558869503</v>
      </c>
      <c r="AV1464" s="101">
        <f t="shared" si="715"/>
        <v>84174</v>
      </c>
      <c r="AW1464" s="99">
        <f t="shared" si="716"/>
        <v>0</v>
      </c>
      <c r="AX1464" s="1">
        <f t="shared" si="717"/>
        <v>0</v>
      </c>
      <c r="AY1464" s="29">
        <f t="shared" si="718"/>
        <v>0</v>
      </c>
      <c r="AZ1464" s="1">
        <f t="shared" si="700"/>
        <v>0</v>
      </c>
      <c r="CB1464" s="20">
        <f t="shared" si="709"/>
        <v>0</v>
      </c>
      <c r="CC1464" s="173">
        <f t="shared" si="701"/>
        <v>0</v>
      </c>
    </row>
    <row r="1465" spans="10:81" x14ac:dyDescent="0.25">
      <c r="J1465" s="7"/>
      <c r="K1465" s="8"/>
      <c r="L1465" s="16"/>
      <c r="M1465" s="22"/>
      <c r="N1465" s="22"/>
      <c r="O1465" s="22"/>
      <c r="P1465" s="22"/>
      <c r="Q1465" s="1">
        <f t="shared" si="702"/>
        <v>0.60744618579017706</v>
      </c>
      <c r="R1465" s="12">
        <f t="shared" ca="1" si="719"/>
        <v>43052</v>
      </c>
      <c r="S1465" s="88">
        <f t="shared" si="698"/>
        <v>0</v>
      </c>
      <c r="T1465" s="19">
        <f t="shared" si="720"/>
        <v>0</v>
      </c>
      <c r="U1465" s="19">
        <f t="shared" si="721"/>
        <v>0</v>
      </c>
      <c r="V1465" s="19">
        <f t="shared" si="707"/>
        <v>0</v>
      </c>
      <c r="W1465" s="20">
        <f t="shared" ca="1" si="722"/>
        <v>0</v>
      </c>
      <c r="X1465" s="19">
        <f t="shared" ca="1" si="723"/>
        <v>0</v>
      </c>
      <c r="Y1465" s="19">
        <f t="shared" ca="1" si="724"/>
        <v>0</v>
      </c>
      <c r="Z1465" s="20">
        <f t="shared" ca="1" si="725"/>
        <v>0</v>
      </c>
      <c r="AA1465" s="1">
        <f t="shared" si="703"/>
        <v>5432.58</v>
      </c>
      <c r="AB1465" s="91"/>
      <c r="AC1465" s="92"/>
      <c r="AD1465" s="101">
        <f t="shared" si="704"/>
        <v>84174</v>
      </c>
      <c r="AE1465" s="103">
        <f t="shared" si="705"/>
        <v>0</v>
      </c>
      <c r="AG1465" s="1">
        <f t="shared" si="726"/>
        <v>0</v>
      </c>
      <c r="AH1465" s="1">
        <f t="shared" si="727"/>
        <v>0</v>
      </c>
      <c r="AI1465" s="1">
        <f t="shared" si="706"/>
        <v>5432.58</v>
      </c>
      <c r="AJ1465" s="20">
        <f t="shared" si="708"/>
        <v>0</v>
      </c>
      <c r="AK1465" s="100">
        <f t="shared" si="710"/>
        <v>0</v>
      </c>
      <c r="AL1465" s="100">
        <f t="shared" si="711"/>
        <v>0</v>
      </c>
      <c r="AN1465" s="100">
        <f t="shared" si="712"/>
        <v>2626.5927600729756</v>
      </c>
      <c r="AO1465" s="20">
        <f t="shared" si="713"/>
        <v>0</v>
      </c>
      <c r="AQ1465" s="109">
        <f t="shared" si="714"/>
        <v>0</v>
      </c>
      <c r="AU1465" s="109">
        <f t="shared" si="699"/>
        <v>23.856498488446636</v>
      </c>
      <c r="AV1465" s="101">
        <f t="shared" si="715"/>
        <v>84204</v>
      </c>
      <c r="AW1465" s="99">
        <f t="shared" si="716"/>
        <v>0</v>
      </c>
      <c r="AX1465" s="1">
        <f t="shared" si="717"/>
        <v>0</v>
      </c>
      <c r="AY1465" s="29">
        <f t="shared" si="718"/>
        <v>0</v>
      </c>
      <c r="AZ1465" s="1">
        <f t="shared" si="700"/>
        <v>0</v>
      </c>
      <c r="CB1465" s="20">
        <f t="shared" si="709"/>
        <v>0</v>
      </c>
      <c r="CC1465" s="173">
        <f t="shared" si="701"/>
        <v>0</v>
      </c>
    </row>
    <row r="1466" spans="10:81" x14ac:dyDescent="0.25">
      <c r="J1466" s="9"/>
      <c r="K1466" s="10"/>
      <c r="L1466" s="17"/>
      <c r="M1466" s="23"/>
      <c r="N1466" s="23"/>
      <c r="O1466" s="23"/>
      <c r="P1466" s="23"/>
      <c r="Q1466" s="1">
        <f t="shared" si="702"/>
        <v>0.60744618579017706</v>
      </c>
      <c r="R1466" s="12">
        <f t="shared" ca="1" si="719"/>
        <v>43082</v>
      </c>
      <c r="S1466" s="88">
        <f t="shared" si="698"/>
        <v>0</v>
      </c>
      <c r="T1466" s="19">
        <f t="shared" si="720"/>
        <v>0</v>
      </c>
      <c r="U1466" s="19">
        <f t="shared" si="721"/>
        <v>0</v>
      </c>
      <c r="V1466" s="19">
        <f t="shared" si="707"/>
        <v>0</v>
      </c>
      <c r="W1466" s="20">
        <f t="shared" ca="1" si="722"/>
        <v>0</v>
      </c>
      <c r="X1466" s="19">
        <f t="shared" ca="1" si="723"/>
        <v>0</v>
      </c>
      <c r="Y1466" s="19">
        <f t="shared" ca="1" si="724"/>
        <v>0</v>
      </c>
      <c r="Z1466" s="20">
        <f t="shared" ca="1" si="725"/>
        <v>0</v>
      </c>
      <c r="AA1466" s="1">
        <f t="shared" si="703"/>
        <v>5432.58</v>
      </c>
      <c r="AB1466" s="93"/>
      <c r="AC1466" s="94"/>
      <c r="AD1466" s="101">
        <f t="shared" si="704"/>
        <v>84204</v>
      </c>
      <c r="AE1466" s="103">
        <f t="shared" si="705"/>
        <v>0</v>
      </c>
      <c r="AG1466" s="1">
        <f t="shared" si="726"/>
        <v>0</v>
      </c>
      <c r="AH1466" s="1">
        <f t="shared" si="727"/>
        <v>0</v>
      </c>
      <c r="AI1466" s="1">
        <f t="shared" si="706"/>
        <v>5432.58</v>
      </c>
      <c r="AJ1466" s="20">
        <f t="shared" si="708"/>
        <v>0</v>
      </c>
      <c r="AK1466" s="100">
        <f t="shared" si="710"/>
        <v>0</v>
      </c>
      <c r="AL1466" s="100">
        <f t="shared" si="711"/>
        <v>0</v>
      </c>
      <c r="AN1466" s="100">
        <f t="shared" si="712"/>
        <v>2625.2638379854111</v>
      </c>
      <c r="AO1466" s="20">
        <f t="shared" si="713"/>
        <v>0</v>
      </c>
      <c r="AQ1466" s="109">
        <f t="shared" si="714"/>
        <v>0</v>
      </c>
      <c r="AU1466" s="109">
        <f t="shared" si="699"/>
        <v>23.85440460182048</v>
      </c>
      <c r="AV1466" s="101">
        <f t="shared" si="715"/>
        <v>84234</v>
      </c>
      <c r="AW1466" s="99">
        <f t="shared" si="716"/>
        <v>0</v>
      </c>
      <c r="AX1466" s="1">
        <f t="shared" si="717"/>
        <v>0</v>
      </c>
      <c r="AY1466" s="29">
        <f t="shared" si="718"/>
        <v>0</v>
      </c>
      <c r="AZ1466" s="1">
        <f t="shared" si="700"/>
        <v>0</v>
      </c>
      <c r="CB1466" s="20">
        <f t="shared" si="709"/>
        <v>0</v>
      </c>
      <c r="CC1466" s="173">
        <f t="shared" si="701"/>
        <v>0</v>
      </c>
    </row>
    <row r="1467" spans="10:81" x14ac:dyDescent="0.25">
      <c r="J1467" s="7"/>
      <c r="K1467" s="8"/>
      <c r="L1467" s="16"/>
      <c r="M1467" s="22"/>
      <c r="N1467" s="22"/>
      <c r="O1467" s="22"/>
      <c r="P1467" s="22"/>
      <c r="Q1467" s="1">
        <f t="shared" si="702"/>
        <v>0.60744618579017706</v>
      </c>
      <c r="R1467" s="12">
        <f t="shared" ca="1" si="719"/>
        <v>43112</v>
      </c>
      <c r="S1467" s="88">
        <f t="shared" si="698"/>
        <v>0</v>
      </c>
      <c r="T1467" s="19">
        <f t="shared" si="720"/>
        <v>0</v>
      </c>
      <c r="U1467" s="19">
        <f t="shared" si="721"/>
        <v>0</v>
      </c>
      <c r="V1467" s="19">
        <f t="shared" si="707"/>
        <v>0</v>
      </c>
      <c r="W1467" s="20">
        <f t="shared" ca="1" si="722"/>
        <v>0</v>
      </c>
      <c r="X1467" s="19">
        <f t="shared" ca="1" si="723"/>
        <v>0</v>
      </c>
      <c r="Y1467" s="19">
        <f t="shared" ca="1" si="724"/>
        <v>0</v>
      </c>
      <c r="Z1467" s="20">
        <f t="shared" ca="1" si="725"/>
        <v>0</v>
      </c>
      <c r="AA1467" s="1">
        <f t="shared" si="703"/>
        <v>5432.58</v>
      </c>
      <c r="AB1467" s="91"/>
      <c r="AC1467" s="92"/>
      <c r="AD1467" s="101">
        <f t="shared" si="704"/>
        <v>84234</v>
      </c>
      <c r="AE1467" s="103">
        <f t="shared" si="705"/>
        <v>0</v>
      </c>
      <c r="AG1467" s="1">
        <f t="shared" si="726"/>
        <v>0</v>
      </c>
      <c r="AH1467" s="1">
        <f t="shared" si="727"/>
        <v>0</v>
      </c>
      <c r="AI1467" s="1">
        <f t="shared" si="706"/>
        <v>5432.58</v>
      </c>
      <c r="AJ1467" s="20">
        <f t="shared" si="708"/>
        <v>0</v>
      </c>
      <c r="AK1467" s="100">
        <f t="shared" si="710"/>
        <v>0</v>
      </c>
      <c r="AL1467" s="100">
        <f t="shared" si="711"/>
        <v>0</v>
      </c>
      <c r="AN1467" s="100">
        <f t="shared" si="712"/>
        <v>2623.9355882647014</v>
      </c>
      <c r="AO1467" s="20">
        <f t="shared" si="713"/>
        <v>0</v>
      </c>
      <c r="AQ1467" s="109">
        <f t="shared" si="714"/>
        <v>0</v>
      </c>
      <c r="AU1467" s="109">
        <f t="shared" si="699"/>
        <v>23.852310898974903</v>
      </c>
      <c r="AV1467" s="101">
        <f t="shared" si="715"/>
        <v>84264</v>
      </c>
      <c r="AW1467" s="99">
        <f t="shared" si="716"/>
        <v>0</v>
      </c>
      <c r="AX1467" s="1">
        <f t="shared" si="717"/>
        <v>0</v>
      </c>
      <c r="AY1467" s="29">
        <f t="shared" si="718"/>
        <v>0</v>
      </c>
      <c r="AZ1467" s="1">
        <f t="shared" si="700"/>
        <v>0</v>
      </c>
      <c r="CB1467" s="20">
        <f t="shared" si="709"/>
        <v>0</v>
      </c>
      <c r="CC1467" s="173">
        <f t="shared" si="701"/>
        <v>0</v>
      </c>
    </row>
    <row r="1468" spans="10:81" x14ac:dyDescent="0.25">
      <c r="J1468" s="9"/>
      <c r="K1468" s="10"/>
      <c r="L1468" s="17"/>
      <c r="M1468" s="23"/>
      <c r="N1468" s="23"/>
      <c r="O1468" s="23"/>
      <c r="P1468" s="23"/>
      <c r="Q1468" s="1">
        <f t="shared" si="702"/>
        <v>0.60744618579017706</v>
      </c>
      <c r="R1468" s="12">
        <f t="shared" ca="1" si="719"/>
        <v>43142</v>
      </c>
      <c r="S1468" s="88">
        <f t="shared" si="698"/>
        <v>0</v>
      </c>
      <c r="T1468" s="19">
        <f t="shared" si="720"/>
        <v>0</v>
      </c>
      <c r="U1468" s="19">
        <f t="shared" si="721"/>
        <v>0</v>
      </c>
      <c r="V1468" s="19">
        <f t="shared" si="707"/>
        <v>0</v>
      </c>
      <c r="W1468" s="20">
        <f t="shared" ca="1" si="722"/>
        <v>0</v>
      </c>
      <c r="X1468" s="19">
        <f t="shared" ca="1" si="723"/>
        <v>0</v>
      </c>
      <c r="Y1468" s="19">
        <f t="shared" ca="1" si="724"/>
        <v>0</v>
      </c>
      <c r="Z1468" s="20">
        <f t="shared" ca="1" si="725"/>
        <v>0</v>
      </c>
      <c r="AA1468" s="1">
        <f t="shared" si="703"/>
        <v>5432.58</v>
      </c>
      <c r="AB1468" s="93"/>
      <c r="AC1468" s="94"/>
      <c r="AD1468" s="101">
        <f t="shared" si="704"/>
        <v>84264</v>
      </c>
      <c r="AE1468" s="103">
        <f t="shared" si="705"/>
        <v>0</v>
      </c>
      <c r="AG1468" s="1">
        <f t="shared" si="726"/>
        <v>0</v>
      </c>
      <c r="AH1468" s="1">
        <f t="shared" si="727"/>
        <v>0</v>
      </c>
      <c r="AI1468" s="1">
        <f t="shared" si="706"/>
        <v>5432.58</v>
      </c>
      <c r="AJ1468" s="20">
        <f t="shared" si="708"/>
        <v>0</v>
      </c>
      <c r="AK1468" s="100">
        <f t="shared" si="710"/>
        <v>0</v>
      </c>
      <c r="AL1468" s="100">
        <f t="shared" si="711"/>
        <v>0</v>
      </c>
      <c r="AN1468" s="100">
        <f t="shared" si="712"/>
        <v>2622.6080105706646</v>
      </c>
      <c r="AO1468" s="20">
        <f t="shared" si="713"/>
        <v>0</v>
      </c>
      <c r="AQ1468" s="109">
        <f t="shared" si="714"/>
        <v>0</v>
      </c>
      <c r="AU1468" s="109">
        <f t="shared" si="699"/>
        <v>23.850217379893788</v>
      </c>
      <c r="AV1468" s="101">
        <f t="shared" si="715"/>
        <v>84294</v>
      </c>
      <c r="AW1468" s="99">
        <f t="shared" si="716"/>
        <v>0</v>
      </c>
      <c r="AX1468" s="1">
        <f t="shared" si="717"/>
        <v>0</v>
      </c>
      <c r="AY1468" s="29">
        <f t="shared" si="718"/>
        <v>0</v>
      </c>
      <c r="AZ1468" s="1">
        <f t="shared" si="700"/>
        <v>0</v>
      </c>
      <c r="CB1468" s="20">
        <f t="shared" si="709"/>
        <v>0</v>
      </c>
      <c r="CC1468" s="173">
        <f t="shared" si="701"/>
        <v>0</v>
      </c>
    </row>
    <row r="1469" spans="10:81" x14ac:dyDescent="0.25">
      <c r="J1469" s="7"/>
      <c r="K1469" s="8"/>
      <c r="L1469" s="16"/>
      <c r="M1469" s="22"/>
      <c r="N1469" s="22"/>
      <c r="O1469" s="22"/>
      <c r="P1469" s="22"/>
      <c r="Q1469" s="1">
        <f t="shared" si="702"/>
        <v>0.60744618579017706</v>
      </c>
      <c r="R1469" s="12">
        <f t="shared" ca="1" si="719"/>
        <v>43172</v>
      </c>
      <c r="S1469" s="88">
        <f t="shared" si="698"/>
        <v>0</v>
      </c>
      <c r="T1469" s="19">
        <f t="shared" si="720"/>
        <v>0</v>
      </c>
      <c r="U1469" s="19">
        <f t="shared" si="721"/>
        <v>0</v>
      </c>
      <c r="V1469" s="19">
        <f t="shared" si="707"/>
        <v>0</v>
      </c>
      <c r="W1469" s="20">
        <f t="shared" ca="1" si="722"/>
        <v>0</v>
      </c>
      <c r="X1469" s="19">
        <f t="shared" ca="1" si="723"/>
        <v>0</v>
      </c>
      <c r="Y1469" s="19">
        <f t="shared" ca="1" si="724"/>
        <v>0</v>
      </c>
      <c r="Z1469" s="20">
        <f t="shared" ca="1" si="725"/>
        <v>0</v>
      </c>
      <c r="AA1469" s="1">
        <f t="shared" si="703"/>
        <v>5432.58</v>
      </c>
      <c r="AB1469" s="91"/>
      <c r="AC1469" s="92"/>
      <c r="AD1469" s="101">
        <f t="shared" si="704"/>
        <v>84294</v>
      </c>
      <c r="AE1469" s="103">
        <f t="shared" si="705"/>
        <v>0</v>
      </c>
      <c r="AG1469" s="1">
        <f t="shared" si="726"/>
        <v>0</v>
      </c>
      <c r="AH1469" s="1">
        <f t="shared" si="727"/>
        <v>0</v>
      </c>
      <c r="AI1469" s="1">
        <f t="shared" si="706"/>
        <v>5432.58</v>
      </c>
      <c r="AJ1469" s="20">
        <f t="shared" si="708"/>
        <v>0</v>
      </c>
      <c r="AK1469" s="100">
        <f t="shared" si="710"/>
        <v>0</v>
      </c>
      <c r="AL1469" s="100">
        <f t="shared" si="711"/>
        <v>0</v>
      </c>
      <c r="AN1469" s="100">
        <f t="shared" si="712"/>
        <v>2621.2811045632889</v>
      </c>
      <c r="AO1469" s="20">
        <f t="shared" si="713"/>
        <v>0</v>
      </c>
      <c r="AQ1469" s="109">
        <f t="shared" si="714"/>
        <v>0</v>
      </c>
      <c r="AU1469" s="109">
        <f t="shared" si="699"/>
        <v>23.848124044560986</v>
      </c>
      <c r="AV1469" s="101">
        <f t="shared" si="715"/>
        <v>84324</v>
      </c>
      <c r="AW1469" s="99">
        <f t="shared" si="716"/>
        <v>0</v>
      </c>
      <c r="AX1469" s="1">
        <f t="shared" si="717"/>
        <v>0</v>
      </c>
      <c r="AY1469" s="29">
        <f t="shared" si="718"/>
        <v>0</v>
      </c>
      <c r="AZ1469" s="1">
        <f t="shared" si="700"/>
        <v>0</v>
      </c>
      <c r="CB1469" s="20">
        <f t="shared" si="709"/>
        <v>0</v>
      </c>
      <c r="CC1469" s="173">
        <f t="shared" si="701"/>
        <v>0</v>
      </c>
    </row>
    <row r="1470" spans="10:81" x14ac:dyDescent="0.25">
      <c r="J1470" s="9"/>
      <c r="K1470" s="10"/>
      <c r="L1470" s="17"/>
      <c r="M1470" s="23"/>
      <c r="N1470" s="23"/>
      <c r="O1470" s="23"/>
      <c r="P1470" s="23"/>
      <c r="Q1470" s="1">
        <f t="shared" si="702"/>
        <v>0.60744618579017706</v>
      </c>
      <c r="R1470" s="12">
        <f t="shared" ca="1" si="719"/>
        <v>43202</v>
      </c>
      <c r="S1470" s="88">
        <f t="shared" si="698"/>
        <v>0</v>
      </c>
      <c r="T1470" s="19">
        <f t="shared" si="720"/>
        <v>0</v>
      </c>
      <c r="U1470" s="19">
        <f t="shared" si="721"/>
        <v>0</v>
      </c>
      <c r="V1470" s="19">
        <f t="shared" si="707"/>
        <v>0</v>
      </c>
      <c r="W1470" s="20">
        <f t="shared" ca="1" si="722"/>
        <v>0</v>
      </c>
      <c r="X1470" s="19">
        <f t="shared" ca="1" si="723"/>
        <v>0</v>
      </c>
      <c r="Y1470" s="19">
        <f t="shared" ca="1" si="724"/>
        <v>0</v>
      </c>
      <c r="Z1470" s="20">
        <f t="shared" ca="1" si="725"/>
        <v>0</v>
      </c>
      <c r="AA1470" s="1">
        <f t="shared" si="703"/>
        <v>5432.58</v>
      </c>
      <c r="AB1470" s="93"/>
      <c r="AC1470" s="94"/>
      <c r="AD1470" s="101">
        <f t="shared" si="704"/>
        <v>84324</v>
      </c>
      <c r="AE1470" s="103">
        <f t="shared" si="705"/>
        <v>0</v>
      </c>
      <c r="AG1470" s="1">
        <f t="shared" si="726"/>
        <v>0</v>
      </c>
      <c r="AH1470" s="1">
        <f t="shared" si="727"/>
        <v>0</v>
      </c>
      <c r="AI1470" s="1">
        <f t="shared" si="706"/>
        <v>5432.58</v>
      </c>
      <c r="AJ1470" s="20">
        <f t="shared" si="708"/>
        <v>0</v>
      </c>
      <c r="AK1470" s="100">
        <f t="shared" si="710"/>
        <v>0</v>
      </c>
      <c r="AL1470" s="100">
        <f t="shared" si="711"/>
        <v>0</v>
      </c>
      <c r="AN1470" s="100">
        <f t="shared" si="712"/>
        <v>2619.954869902735</v>
      </c>
      <c r="AO1470" s="20">
        <f t="shared" si="713"/>
        <v>0</v>
      </c>
      <c r="AQ1470" s="109">
        <f t="shared" si="714"/>
        <v>0</v>
      </c>
      <c r="AU1470" s="109">
        <f t="shared" si="699"/>
        <v>23.846030892960385</v>
      </c>
      <c r="AV1470" s="101">
        <f t="shared" si="715"/>
        <v>84354</v>
      </c>
      <c r="AW1470" s="99">
        <f t="shared" si="716"/>
        <v>0</v>
      </c>
      <c r="AX1470" s="1">
        <f t="shared" si="717"/>
        <v>0</v>
      </c>
      <c r="AY1470" s="29">
        <f t="shared" si="718"/>
        <v>0</v>
      </c>
      <c r="AZ1470" s="1">
        <f t="shared" si="700"/>
        <v>0</v>
      </c>
      <c r="CB1470" s="20">
        <f t="shared" si="709"/>
        <v>0</v>
      </c>
      <c r="CC1470" s="173">
        <f t="shared" si="701"/>
        <v>0</v>
      </c>
    </row>
    <row r="1471" spans="10:81" x14ac:dyDescent="0.25">
      <c r="J1471" s="7"/>
      <c r="K1471" s="8"/>
      <c r="L1471" s="16"/>
      <c r="M1471" s="22"/>
      <c r="N1471" s="22"/>
      <c r="O1471" s="22"/>
      <c r="P1471" s="22"/>
      <c r="Q1471" s="1">
        <f t="shared" si="702"/>
        <v>0.60744618579017706</v>
      </c>
      <c r="R1471" s="12">
        <f t="shared" ca="1" si="719"/>
        <v>43232</v>
      </c>
      <c r="S1471" s="88">
        <f t="shared" si="698"/>
        <v>0</v>
      </c>
      <c r="T1471" s="19">
        <f t="shared" si="720"/>
        <v>0</v>
      </c>
      <c r="U1471" s="19">
        <f t="shared" si="721"/>
        <v>0</v>
      </c>
      <c r="V1471" s="19">
        <f t="shared" si="707"/>
        <v>0</v>
      </c>
      <c r="W1471" s="20">
        <f t="shared" ca="1" si="722"/>
        <v>0</v>
      </c>
      <c r="X1471" s="19">
        <f t="shared" ca="1" si="723"/>
        <v>0</v>
      </c>
      <c r="Y1471" s="19">
        <f t="shared" ca="1" si="724"/>
        <v>0</v>
      </c>
      <c r="Z1471" s="20">
        <f t="shared" ca="1" si="725"/>
        <v>0</v>
      </c>
      <c r="AA1471" s="1">
        <f t="shared" si="703"/>
        <v>5432.58</v>
      </c>
      <c r="AB1471" s="91"/>
      <c r="AC1471" s="92"/>
      <c r="AD1471" s="101">
        <f t="shared" si="704"/>
        <v>84354</v>
      </c>
      <c r="AE1471" s="103">
        <f t="shared" si="705"/>
        <v>0</v>
      </c>
      <c r="AG1471" s="1">
        <f t="shared" si="726"/>
        <v>0</v>
      </c>
      <c r="AH1471" s="1">
        <f t="shared" si="727"/>
        <v>0</v>
      </c>
      <c r="AI1471" s="1">
        <f t="shared" si="706"/>
        <v>5432.58</v>
      </c>
      <c r="AJ1471" s="20">
        <f t="shared" si="708"/>
        <v>0</v>
      </c>
      <c r="AK1471" s="100">
        <f t="shared" si="710"/>
        <v>0</v>
      </c>
      <c r="AL1471" s="100">
        <f t="shared" si="711"/>
        <v>0</v>
      </c>
      <c r="AN1471" s="100">
        <f t="shared" si="712"/>
        <v>2618.6293062493351</v>
      </c>
      <c r="AO1471" s="20">
        <f t="shared" si="713"/>
        <v>0</v>
      </c>
      <c r="AQ1471" s="109">
        <f t="shared" si="714"/>
        <v>0</v>
      </c>
      <c r="AU1471" s="109">
        <f t="shared" si="699"/>
        <v>23.843937925075856</v>
      </c>
      <c r="AV1471" s="101">
        <f t="shared" si="715"/>
        <v>84384</v>
      </c>
      <c r="AW1471" s="99">
        <f t="shared" si="716"/>
        <v>0</v>
      </c>
      <c r="AX1471" s="1">
        <f t="shared" si="717"/>
        <v>0</v>
      </c>
      <c r="AY1471" s="29">
        <f t="shared" si="718"/>
        <v>0</v>
      </c>
      <c r="AZ1471" s="1">
        <f t="shared" si="700"/>
        <v>0</v>
      </c>
      <c r="CB1471" s="20">
        <f t="shared" si="709"/>
        <v>0</v>
      </c>
      <c r="CC1471" s="173">
        <f t="shared" si="701"/>
        <v>0</v>
      </c>
    </row>
    <row r="1472" spans="10:81" x14ac:dyDescent="0.25">
      <c r="J1472" s="9"/>
      <c r="K1472" s="10"/>
      <c r="L1472" s="17"/>
      <c r="M1472" s="23"/>
      <c r="N1472" s="23"/>
      <c r="O1472" s="23"/>
      <c r="P1472" s="23"/>
      <c r="Q1472" s="1">
        <f t="shared" si="702"/>
        <v>0.60744618579017706</v>
      </c>
      <c r="R1472" s="12">
        <f t="shared" ca="1" si="719"/>
        <v>43262</v>
      </c>
      <c r="S1472" s="88">
        <f t="shared" si="698"/>
        <v>0</v>
      </c>
      <c r="T1472" s="19">
        <f t="shared" si="720"/>
        <v>0</v>
      </c>
      <c r="U1472" s="19">
        <f t="shared" si="721"/>
        <v>0</v>
      </c>
      <c r="V1472" s="19">
        <f t="shared" si="707"/>
        <v>0</v>
      </c>
      <c r="W1472" s="20">
        <f t="shared" ca="1" si="722"/>
        <v>0</v>
      </c>
      <c r="X1472" s="19">
        <f t="shared" ca="1" si="723"/>
        <v>0</v>
      </c>
      <c r="Y1472" s="19">
        <f t="shared" ca="1" si="724"/>
        <v>0</v>
      </c>
      <c r="Z1472" s="20">
        <f t="shared" ca="1" si="725"/>
        <v>0</v>
      </c>
      <c r="AA1472" s="1">
        <f t="shared" si="703"/>
        <v>5432.58</v>
      </c>
      <c r="AB1472" s="93"/>
      <c r="AC1472" s="94"/>
      <c r="AD1472" s="101">
        <f t="shared" si="704"/>
        <v>84384</v>
      </c>
      <c r="AE1472" s="103">
        <f t="shared" si="705"/>
        <v>0</v>
      </c>
      <c r="AG1472" s="1">
        <f t="shared" si="726"/>
        <v>0</v>
      </c>
      <c r="AH1472" s="1">
        <f t="shared" si="727"/>
        <v>0</v>
      </c>
      <c r="AI1472" s="1">
        <f t="shared" si="706"/>
        <v>5432.58</v>
      </c>
      <c r="AJ1472" s="20">
        <f t="shared" si="708"/>
        <v>0</v>
      </c>
      <c r="AK1472" s="100">
        <f t="shared" si="710"/>
        <v>0</v>
      </c>
      <c r="AL1472" s="100">
        <f t="shared" si="711"/>
        <v>0</v>
      </c>
      <c r="AN1472" s="100">
        <f t="shared" si="712"/>
        <v>2617.3044132635941</v>
      </c>
      <c r="AO1472" s="20">
        <f t="shared" si="713"/>
        <v>0</v>
      </c>
      <c r="AQ1472" s="109">
        <f t="shared" si="714"/>
        <v>0</v>
      </c>
      <c r="AU1472" s="109">
        <f t="shared" si="699"/>
        <v>23.841845140891266</v>
      </c>
      <c r="AV1472" s="101">
        <f t="shared" si="715"/>
        <v>84414</v>
      </c>
      <c r="AW1472" s="99">
        <f t="shared" si="716"/>
        <v>0</v>
      </c>
      <c r="AX1472" s="1">
        <f t="shared" si="717"/>
        <v>0</v>
      </c>
      <c r="AY1472" s="29">
        <f t="shared" si="718"/>
        <v>0</v>
      </c>
      <c r="AZ1472" s="1">
        <f t="shared" si="700"/>
        <v>0</v>
      </c>
      <c r="CB1472" s="20">
        <f t="shared" si="709"/>
        <v>0</v>
      </c>
      <c r="CC1472" s="173">
        <f t="shared" si="701"/>
        <v>0</v>
      </c>
    </row>
    <row r="1473" spans="10:81" x14ac:dyDescent="0.25">
      <c r="J1473" s="7"/>
      <c r="K1473" s="8"/>
      <c r="L1473" s="16"/>
      <c r="M1473" s="22"/>
      <c r="N1473" s="22"/>
      <c r="O1473" s="22"/>
      <c r="P1473" s="22"/>
      <c r="Q1473" s="1">
        <f t="shared" si="702"/>
        <v>0.60744618579017706</v>
      </c>
      <c r="R1473" s="12">
        <f t="shared" ca="1" si="719"/>
        <v>43292</v>
      </c>
      <c r="S1473" s="88">
        <f t="shared" si="698"/>
        <v>0</v>
      </c>
      <c r="T1473" s="19">
        <f t="shared" si="720"/>
        <v>0</v>
      </c>
      <c r="U1473" s="19">
        <f t="shared" si="721"/>
        <v>0</v>
      </c>
      <c r="V1473" s="19">
        <f t="shared" si="707"/>
        <v>0</v>
      </c>
      <c r="W1473" s="20">
        <f t="shared" ca="1" si="722"/>
        <v>0</v>
      </c>
      <c r="X1473" s="19">
        <f t="shared" ca="1" si="723"/>
        <v>0</v>
      </c>
      <c r="Y1473" s="19">
        <f t="shared" ca="1" si="724"/>
        <v>0</v>
      </c>
      <c r="Z1473" s="20">
        <f t="shared" ca="1" si="725"/>
        <v>0</v>
      </c>
      <c r="AA1473" s="1">
        <f t="shared" si="703"/>
        <v>5432.58</v>
      </c>
      <c r="AB1473" s="91"/>
      <c r="AC1473" s="92"/>
      <c r="AD1473" s="101">
        <f t="shared" si="704"/>
        <v>84414</v>
      </c>
      <c r="AE1473" s="103">
        <f t="shared" si="705"/>
        <v>0</v>
      </c>
      <c r="AG1473" s="1">
        <f t="shared" si="726"/>
        <v>0</v>
      </c>
      <c r="AH1473" s="1">
        <f t="shared" si="727"/>
        <v>0</v>
      </c>
      <c r="AI1473" s="1">
        <f t="shared" si="706"/>
        <v>5432.58</v>
      </c>
      <c r="AJ1473" s="20">
        <f t="shared" si="708"/>
        <v>0</v>
      </c>
      <c r="AK1473" s="100">
        <f t="shared" si="710"/>
        <v>0</v>
      </c>
      <c r="AL1473" s="100">
        <f t="shared" si="711"/>
        <v>0</v>
      </c>
      <c r="AN1473" s="100">
        <f t="shared" si="712"/>
        <v>2615.9801906061889</v>
      </c>
      <c r="AO1473" s="20">
        <f t="shared" si="713"/>
        <v>0</v>
      </c>
      <c r="AQ1473" s="109">
        <f t="shared" si="714"/>
        <v>0</v>
      </c>
      <c r="AU1473" s="109">
        <f t="shared" si="699"/>
        <v>23.839752540390506</v>
      </c>
      <c r="AV1473" s="101">
        <f t="shared" si="715"/>
        <v>84444</v>
      </c>
      <c r="AW1473" s="99">
        <f t="shared" si="716"/>
        <v>0</v>
      </c>
      <c r="AX1473" s="1">
        <f t="shared" si="717"/>
        <v>0</v>
      </c>
      <c r="AY1473" s="29">
        <f t="shared" si="718"/>
        <v>0</v>
      </c>
      <c r="AZ1473" s="1">
        <f t="shared" si="700"/>
        <v>0</v>
      </c>
      <c r="CB1473" s="20">
        <f t="shared" si="709"/>
        <v>0</v>
      </c>
      <c r="CC1473" s="173">
        <f t="shared" si="701"/>
        <v>0</v>
      </c>
    </row>
    <row r="1474" spans="10:81" x14ac:dyDescent="0.25">
      <c r="J1474" s="9"/>
      <c r="K1474" s="10"/>
      <c r="L1474" s="17"/>
      <c r="M1474" s="23"/>
      <c r="N1474" s="23"/>
      <c r="O1474" s="23"/>
      <c r="P1474" s="23"/>
      <c r="Q1474" s="1">
        <f t="shared" si="702"/>
        <v>0.60744618579017706</v>
      </c>
      <c r="R1474" s="12">
        <f t="shared" ca="1" si="719"/>
        <v>43322</v>
      </c>
      <c r="S1474" s="88">
        <f t="shared" si="698"/>
        <v>0</v>
      </c>
      <c r="T1474" s="19">
        <f t="shared" si="720"/>
        <v>0</v>
      </c>
      <c r="U1474" s="19">
        <f t="shared" si="721"/>
        <v>0</v>
      </c>
      <c r="V1474" s="19">
        <f t="shared" si="707"/>
        <v>0</v>
      </c>
      <c r="W1474" s="20">
        <f t="shared" ca="1" si="722"/>
        <v>0</v>
      </c>
      <c r="X1474" s="19">
        <f t="shared" ca="1" si="723"/>
        <v>0</v>
      </c>
      <c r="Y1474" s="19">
        <f t="shared" ca="1" si="724"/>
        <v>0</v>
      </c>
      <c r="Z1474" s="20">
        <f t="shared" ca="1" si="725"/>
        <v>0</v>
      </c>
      <c r="AA1474" s="1">
        <f t="shared" si="703"/>
        <v>5432.58</v>
      </c>
      <c r="AB1474" s="93"/>
      <c r="AC1474" s="94"/>
      <c r="AD1474" s="101">
        <f t="shared" si="704"/>
        <v>84444</v>
      </c>
      <c r="AE1474" s="103">
        <f t="shared" si="705"/>
        <v>0</v>
      </c>
      <c r="AG1474" s="1">
        <f t="shared" si="726"/>
        <v>0</v>
      </c>
      <c r="AH1474" s="1">
        <f t="shared" si="727"/>
        <v>0</v>
      </c>
      <c r="AI1474" s="1">
        <f t="shared" si="706"/>
        <v>5432.58</v>
      </c>
      <c r="AJ1474" s="20">
        <f t="shared" si="708"/>
        <v>0</v>
      </c>
      <c r="AK1474" s="100">
        <f t="shared" si="710"/>
        <v>0</v>
      </c>
      <c r="AL1474" s="100">
        <f t="shared" si="711"/>
        <v>0</v>
      </c>
      <c r="AN1474" s="100">
        <f t="shared" si="712"/>
        <v>2614.6566379379665</v>
      </c>
      <c r="AO1474" s="20">
        <f t="shared" si="713"/>
        <v>0</v>
      </c>
      <c r="AQ1474" s="109">
        <f t="shared" si="714"/>
        <v>0</v>
      </c>
      <c r="AU1474" s="109">
        <f t="shared" si="699"/>
        <v>23.837660123557434</v>
      </c>
      <c r="AV1474" s="101">
        <f t="shared" si="715"/>
        <v>84474</v>
      </c>
      <c r="AW1474" s="99">
        <f t="shared" si="716"/>
        <v>0</v>
      </c>
      <c r="AX1474" s="1">
        <f t="shared" si="717"/>
        <v>0</v>
      </c>
      <c r="AY1474" s="29">
        <f t="shared" si="718"/>
        <v>0</v>
      </c>
      <c r="AZ1474" s="1">
        <f t="shared" si="700"/>
        <v>0</v>
      </c>
      <c r="CB1474" s="20">
        <f t="shared" si="709"/>
        <v>0</v>
      </c>
      <c r="CC1474" s="173">
        <f t="shared" si="701"/>
        <v>0</v>
      </c>
    </row>
    <row r="1475" spans="10:81" x14ac:dyDescent="0.25">
      <c r="J1475" s="7"/>
      <c r="K1475" s="8"/>
      <c r="L1475" s="16"/>
      <c r="M1475" s="22"/>
      <c r="N1475" s="22"/>
      <c r="O1475" s="22"/>
      <c r="P1475" s="22"/>
      <c r="Q1475" s="1">
        <f t="shared" si="702"/>
        <v>0.60744618579017706</v>
      </c>
      <c r="R1475" s="12">
        <f t="shared" ca="1" si="719"/>
        <v>43352</v>
      </c>
      <c r="S1475" s="88">
        <f t="shared" ref="S1475:S1538" si="728">N1475+M1475</f>
        <v>0</v>
      </c>
      <c r="T1475" s="19">
        <f t="shared" si="720"/>
        <v>0</v>
      </c>
      <c r="U1475" s="19">
        <f t="shared" si="721"/>
        <v>0</v>
      </c>
      <c r="V1475" s="19">
        <f t="shared" si="707"/>
        <v>0</v>
      </c>
      <c r="W1475" s="20">
        <f t="shared" ca="1" si="722"/>
        <v>0</v>
      </c>
      <c r="X1475" s="19">
        <f t="shared" ca="1" si="723"/>
        <v>0</v>
      </c>
      <c r="Y1475" s="19">
        <f t="shared" ca="1" si="724"/>
        <v>0</v>
      </c>
      <c r="Z1475" s="20">
        <f t="shared" ca="1" si="725"/>
        <v>0</v>
      </c>
      <c r="AA1475" s="1">
        <f t="shared" si="703"/>
        <v>5432.58</v>
      </c>
      <c r="AB1475" s="91"/>
      <c r="AC1475" s="92"/>
      <c r="AD1475" s="101">
        <f t="shared" si="704"/>
        <v>84474</v>
      </c>
      <c r="AE1475" s="103">
        <f t="shared" si="705"/>
        <v>0</v>
      </c>
      <c r="AG1475" s="1">
        <f t="shared" si="726"/>
        <v>0</v>
      </c>
      <c r="AH1475" s="1">
        <f t="shared" si="727"/>
        <v>0</v>
      </c>
      <c r="AI1475" s="1">
        <f t="shared" si="706"/>
        <v>5432.58</v>
      </c>
      <c r="AJ1475" s="20">
        <f t="shared" si="708"/>
        <v>0</v>
      </c>
      <c r="AK1475" s="100">
        <f t="shared" si="710"/>
        <v>0</v>
      </c>
      <c r="AL1475" s="100">
        <f t="shared" si="711"/>
        <v>0</v>
      </c>
      <c r="AN1475" s="100">
        <f t="shared" si="712"/>
        <v>2613.3337549199468</v>
      </c>
      <c r="AO1475" s="20">
        <f t="shared" si="713"/>
        <v>0</v>
      </c>
      <c r="AQ1475" s="109">
        <f t="shared" si="714"/>
        <v>0</v>
      </c>
      <c r="AU1475" s="109">
        <f t="shared" si="699"/>
        <v>23.835567890375952</v>
      </c>
      <c r="AV1475" s="101">
        <f t="shared" si="715"/>
        <v>84504</v>
      </c>
      <c r="AW1475" s="99">
        <f t="shared" si="716"/>
        <v>0</v>
      </c>
      <c r="AX1475" s="1">
        <f t="shared" si="717"/>
        <v>0</v>
      </c>
      <c r="AY1475" s="29">
        <f t="shared" si="718"/>
        <v>0</v>
      </c>
      <c r="AZ1475" s="1">
        <f t="shared" si="700"/>
        <v>0</v>
      </c>
      <c r="CB1475" s="20">
        <f t="shared" si="709"/>
        <v>0</v>
      </c>
      <c r="CC1475" s="173">
        <f t="shared" si="701"/>
        <v>0</v>
      </c>
    </row>
    <row r="1476" spans="10:81" x14ac:dyDescent="0.25">
      <c r="J1476" s="9"/>
      <c r="K1476" s="10"/>
      <c r="L1476" s="17"/>
      <c r="M1476" s="23"/>
      <c r="N1476" s="23"/>
      <c r="O1476" s="23"/>
      <c r="P1476" s="23"/>
      <c r="Q1476" s="1">
        <f t="shared" si="702"/>
        <v>0.60744618579017706</v>
      </c>
      <c r="R1476" s="12">
        <f t="shared" ca="1" si="719"/>
        <v>43382</v>
      </c>
      <c r="S1476" s="88">
        <f t="shared" si="728"/>
        <v>0</v>
      </c>
      <c r="T1476" s="19">
        <f t="shared" si="720"/>
        <v>0</v>
      </c>
      <c r="U1476" s="19">
        <f t="shared" si="721"/>
        <v>0</v>
      </c>
      <c r="V1476" s="19">
        <f t="shared" si="707"/>
        <v>0</v>
      </c>
      <c r="W1476" s="20">
        <f t="shared" ca="1" si="722"/>
        <v>0</v>
      </c>
      <c r="X1476" s="19">
        <f t="shared" ca="1" si="723"/>
        <v>0</v>
      </c>
      <c r="Y1476" s="19">
        <f t="shared" ca="1" si="724"/>
        <v>0</v>
      </c>
      <c r="Z1476" s="20">
        <f t="shared" ca="1" si="725"/>
        <v>0</v>
      </c>
      <c r="AA1476" s="1">
        <f t="shared" si="703"/>
        <v>5432.58</v>
      </c>
      <c r="AB1476" s="93"/>
      <c r="AC1476" s="94"/>
      <c r="AD1476" s="101">
        <f t="shared" si="704"/>
        <v>84504</v>
      </c>
      <c r="AE1476" s="103">
        <f t="shared" si="705"/>
        <v>0</v>
      </c>
      <c r="AG1476" s="1">
        <f t="shared" si="726"/>
        <v>0</v>
      </c>
      <c r="AH1476" s="1">
        <f t="shared" si="727"/>
        <v>0</v>
      </c>
      <c r="AI1476" s="1">
        <f t="shared" si="706"/>
        <v>5432.58</v>
      </c>
      <c r="AJ1476" s="20">
        <f t="shared" si="708"/>
        <v>0</v>
      </c>
      <c r="AK1476" s="100">
        <f t="shared" si="710"/>
        <v>0</v>
      </c>
      <c r="AL1476" s="100">
        <f t="shared" si="711"/>
        <v>0</v>
      </c>
      <c r="AN1476" s="100">
        <f t="shared" si="712"/>
        <v>2612.0115412133218</v>
      </c>
      <c r="AO1476" s="20">
        <f t="shared" si="713"/>
        <v>0</v>
      </c>
      <c r="AQ1476" s="109">
        <f t="shared" si="714"/>
        <v>0</v>
      </c>
      <c r="AU1476" s="109">
        <f t="shared" si="699"/>
        <v>23.833475840829923</v>
      </c>
      <c r="AV1476" s="101">
        <f t="shared" si="715"/>
        <v>84534</v>
      </c>
      <c r="AW1476" s="99">
        <f t="shared" si="716"/>
        <v>0</v>
      </c>
      <c r="AX1476" s="1">
        <f t="shared" si="717"/>
        <v>0</v>
      </c>
      <c r="AY1476" s="29">
        <f t="shared" si="718"/>
        <v>0</v>
      </c>
      <c r="AZ1476" s="1">
        <f t="shared" si="700"/>
        <v>0</v>
      </c>
      <c r="CB1476" s="20">
        <f t="shared" si="709"/>
        <v>0</v>
      </c>
      <c r="CC1476" s="173">
        <f t="shared" si="701"/>
        <v>0</v>
      </c>
    </row>
    <row r="1477" spans="10:81" x14ac:dyDescent="0.25">
      <c r="J1477" s="7"/>
      <c r="K1477" s="8"/>
      <c r="L1477" s="16"/>
      <c r="M1477" s="22"/>
      <c r="N1477" s="22"/>
      <c r="O1477" s="22"/>
      <c r="P1477" s="22"/>
      <c r="Q1477" s="1">
        <f t="shared" si="702"/>
        <v>0.60744618579017706</v>
      </c>
      <c r="R1477" s="12">
        <f t="shared" ca="1" si="719"/>
        <v>43412</v>
      </c>
      <c r="S1477" s="88">
        <f t="shared" si="728"/>
        <v>0</v>
      </c>
      <c r="T1477" s="19">
        <f t="shared" si="720"/>
        <v>0</v>
      </c>
      <c r="U1477" s="19">
        <f t="shared" si="721"/>
        <v>0</v>
      </c>
      <c r="V1477" s="19">
        <f t="shared" si="707"/>
        <v>0</v>
      </c>
      <c r="W1477" s="20">
        <f t="shared" ca="1" si="722"/>
        <v>0</v>
      </c>
      <c r="X1477" s="19">
        <f t="shared" ca="1" si="723"/>
        <v>0</v>
      </c>
      <c r="Y1477" s="19">
        <f t="shared" ca="1" si="724"/>
        <v>0</v>
      </c>
      <c r="Z1477" s="20">
        <f t="shared" ca="1" si="725"/>
        <v>0</v>
      </c>
      <c r="AA1477" s="1">
        <f t="shared" si="703"/>
        <v>5432.58</v>
      </c>
      <c r="AB1477" s="91"/>
      <c r="AC1477" s="92"/>
      <c r="AD1477" s="101">
        <f t="shared" si="704"/>
        <v>84534</v>
      </c>
      <c r="AE1477" s="103">
        <f t="shared" si="705"/>
        <v>0</v>
      </c>
      <c r="AG1477" s="1">
        <f t="shared" si="726"/>
        <v>0</v>
      </c>
      <c r="AH1477" s="1">
        <f t="shared" si="727"/>
        <v>0</v>
      </c>
      <c r="AI1477" s="1">
        <f t="shared" si="706"/>
        <v>5432.58</v>
      </c>
      <c r="AJ1477" s="20">
        <f t="shared" si="708"/>
        <v>0</v>
      </c>
      <c r="AK1477" s="100">
        <f t="shared" si="710"/>
        <v>0</v>
      </c>
      <c r="AL1477" s="100">
        <f t="shared" si="711"/>
        <v>0</v>
      </c>
      <c r="AN1477" s="100">
        <f t="shared" si="712"/>
        <v>2610.6899964794529</v>
      </c>
      <c r="AO1477" s="20">
        <f t="shared" si="713"/>
        <v>0</v>
      </c>
      <c r="AQ1477" s="109">
        <f t="shared" si="714"/>
        <v>0</v>
      </c>
      <c r="AU1477" s="109">
        <f t="shared" si="699"/>
        <v>23.831383974903243</v>
      </c>
      <c r="AV1477" s="101">
        <f t="shared" si="715"/>
        <v>84564</v>
      </c>
      <c r="AW1477" s="99">
        <f t="shared" si="716"/>
        <v>0</v>
      </c>
      <c r="AX1477" s="1">
        <f t="shared" si="717"/>
        <v>0</v>
      </c>
      <c r="AY1477" s="29">
        <f t="shared" si="718"/>
        <v>0</v>
      </c>
      <c r="AZ1477" s="1">
        <f t="shared" si="700"/>
        <v>0</v>
      </c>
      <c r="CB1477" s="20">
        <f t="shared" si="709"/>
        <v>0</v>
      </c>
      <c r="CC1477" s="173">
        <f t="shared" si="701"/>
        <v>0</v>
      </c>
    </row>
    <row r="1478" spans="10:81" x14ac:dyDescent="0.25">
      <c r="J1478" s="9"/>
      <c r="K1478" s="10"/>
      <c r="L1478" s="17"/>
      <c r="M1478" s="23"/>
      <c r="N1478" s="23"/>
      <c r="O1478" s="23"/>
      <c r="P1478" s="23"/>
      <c r="Q1478" s="1">
        <f t="shared" si="702"/>
        <v>0.60744618579017706</v>
      </c>
      <c r="R1478" s="12">
        <f t="shared" ca="1" si="719"/>
        <v>43442</v>
      </c>
      <c r="S1478" s="88">
        <f t="shared" si="728"/>
        <v>0</v>
      </c>
      <c r="T1478" s="19">
        <f t="shared" si="720"/>
        <v>0</v>
      </c>
      <c r="U1478" s="19">
        <f t="shared" si="721"/>
        <v>0</v>
      </c>
      <c r="V1478" s="19">
        <f t="shared" si="707"/>
        <v>0</v>
      </c>
      <c r="W1478" s="20">
        <f t="shared" ca="1" si="722"/>
        <v>0</v>
      </c>
      <c r="X1478" s="19">
        <f t="shared" ca="1" si="723"/>
        <v>0</v>
      </c>
      <c r="Y1478" s="19">
        <f t="shared" ca="1" si="724"/>
        <v>0</v>
      </c>
      <c r="Z1478" s="20">
        <f t="shared" ca="1" si="725"/>
        <v>0</v>
      </c>
      <c r="AA1478" s="1">
        <f t="shared" si="703"/>
        <v>5432.58</v>
      </c>
      <c r="AB1478" s="93"/>
      <c r="AC1478" s="94"/>
      <c r="AD1478" s="101">
        <f t="shared" si="704"/>
        <v>84564</v>
      </c>
      <c r="AE1478" s="103">
        <f t="shared" si="705"/>
        <v>0</v>
      </c>
      <c r="AG1478" s="1">
        <f t="shared" si="726"/>
        <v>0</v>
      </c>
      <c r="AH1478" s="1">
        <f t="shared" si="727"/>
        <v>0</v>
      </c>
      <c r="AI1478" s="1">
        <f t="shared" si="706"/>
        <v>5432.58</v>
      </c>
      <c r="AJ1478" s="20">
        <f t="shared" si="708"/>
        <v>0</v>
      </c>
      <c r="AK1478" s="100">
        <f t="shared" si="710"/>
        <v>0</v>
      </c>
      <c r="AL1478" s="100">
        <f t="shared" si="711"/>
        <v>0</v>
      </c>
      <c r="AN1478" s="100">
        <f t="shared" si="712"/>
        <v>2609.3691203798744</v>
      </c>
      <c r="AO1478" s="20">
        <f t="shared" si="713"/>
        <v>0</v>
      </c>
      <c r="AQ1478" s="109">
        <f t="shared" si="714"/>
        <v>0</v>
      </c>
      <c r="AU1478" s="109">
        <f t="shared" si="699"/>
        <v>23.829292292579794</v>
      </c>
      <c r="AV1478" s="101">
        <f t="shared" si="715"/>
        <v>84594</v>
      </c>
      <c r="AW1478" s="99">
        <f t="shared" si="716"/>
        <v>0</v>
      </c>
      <c r="AX1478" s="1">
        <f t="shared" si="717"/>
        <v>0</v>
      </c>
      <c r="AY1478" s="29">
        <f t="shared" si="718"/>
        <v>0</v>
      </c>
      <c r="AZ1478" s="1">
        <f t="shared" si="700"/>
        <v>0</v>
      </c>
      <c r="CB1478" s="20">
        <f t="shared" si="709"/>
        <v>0</v>
      </c>
      <c r="CC1478" s="173">
        <f t="shared" si="701"/>
        <v>0</v>
      </c>
    </row>
    <row r="1479" spans="10:81" x14ac:dyDescent="0.25">
      <c r="J1479" s="7"/>
      <c r="K1479" s="8"/>
      <c r="L1479" s="16"/>
      <c r="M1479" s="22"/>
      <c r="N1479" s="22"/>
      <c r="O1479" s="22"/>
      <c r="P1479" s="22"/>
      <c r="Q1479" s="1">
        <f t="shared" si="702"/>
        <v>0.60744618579017706</v>
      </c>
      <c r="R1479" s="12">
        <f t="shared" ca="1" si="719"/>
        <v>43472</v>
      </c>
      <c r="S1479" s="88">
        <f t="shared" si="728"/>
        <v>0</v>
      </c>
      <c r="T1479" s="19">
        <f t="shared" si="720"/>
        <v>0</v>
      </c>
      <c r="U1479" s="19">
        <f t="shared" si="721"/>
        <v>0</v>
      </c>
      <c r="V1479" s="19">
        <f t="shared" si="707"/>
        <v>0</v>
      </c>
      <c r="W1479" s="20">
        <f t="shared" ca="1" si="722"/>
        <v>0</v>
      </c>
      <c r="X1479" s="19">
        <f t="shared" ca="1" si="723"/>
        <v>0</v>
      </c>
      <c r="Y1479" s="19">
        <f t="shared" ca="1" si="724"/>
        <v>0</v>
      </c>
      <c r="Z1479" s="20">
        <f t="shared" ca="1" si="725"/>
        <v>0</v>
      </c>
      <c r="AA1479" s="1">
        <f t="shared" si="703"/>
        <v>5432.58</v>
      </c>
      <c r="AB1479" s="91"/>
      <c r="AC1479" s="92"/>
      <c r="AD1479" s="101">
        <f t="shared" si="704"/>
        <v>84594</v>
      </c>
      <c r="AE1479" s="103">
        <f t="shared" si="705"/>
        <v>0</v>
      </c>
      <c r="AG1479" s="1">
        <f t="shared" si="726"/>
        <v>0</v>
      </c>
      <c r="AH1479" s="1">
        <f t="shared" si="727"/>
        <v>0</v>
      </c>
      <c r="AI1479" s="1">
        <f t="shared" si="706"/>
        <v>5432.58</v>
      </c>
      <c r="AJ1479" s="20">
        <f t="shared" si="708"/>
        <v>0</v>
      </c>
      <c r="AK1479" s="100">
        <f t="shared" si="710"/>
        <v>0</v>
      </c>
      <c r="AL1479" s="100">
        <f t="shared" si="711"/>
        <v>0</v>
      </c>
      <c r="AN1479" s="100">
        <f t="shared" si="712"/>
        <v>2608.0489125762924</v>
      </c>
      <c r="AO1479" s="20">
        <f t="shared" si="713"/>
        <v>0</v>
      </c>
      <c r="AQ1479" s="109">
        <f t="shared" si="714"/>
        <v>0</v>
      </c>
      <c r="AU1479" s="109">
        <f t="shared" si="699"/>
        <v>23.827200793843446</v>
      </c>
      <c r="AV1479" s="101">
        <f t="shared" si="715"/>
        <v>84624</v>
      </c>
      <c r="AW1479" s="99">
        <f t="shared" si="716"/>
        <v>0</v>
      </c>
      <c r="AX1479" s="1">
        <f t="shared" si="717"/>
        <v>0</v>
      </c>
      <c r="AY1479" s="29">
        <f t="shared" si="718"/>
        <v>0</v>
      </c>
      <c r="AZ1479" s="1">
        <f t="shared" si="700"/>
        <v>0</v>
      </c>
      <c r="CB1479" s="20">
        <f t="shared" si="709"/>
        <v>0</v>
      </c>
      <c r="CC1479" s="173">
        <f t="shared" si="701"/>
        <v>0</v>
      </c>
    </row>
    <row r="1480" spans="10:81" x14ac:dyDescent="0.25">
      <c r="J1480" s="9"/>
      <c r="K1480" s="10"/>
      <c r="L1480" s="17"/>
      <c r="M1480" s="23"/>
      <c r="N1480" s="23"/>
      <c r="O1480" s="23"/>
      <c r="P1480" s="23"/>
      <c r="Q1480" s="1">
        <f t="shared" si="702"/>
        <v>0.60744618579017706</v>
      </c>
      <c r="R1480" s="12">
        <f t="shared" ca="1" si="719"/>
        <v>43502</v>
      </c>
      <c r="S1480" s="88">
        <f t="shared" si="728"/>
        <v>0</v>
      </c>
      <c r="T1480" s="19">
        <f t="shared" si="720"/>
        <v>0</v>
      </c>
      <c r="U1480" s="19">
        <f t="shared" si="721"/>
        <v>0</v>
      </c>
      <c r="V1480" s="19">
        <f t="shared" si="707"/>
        <v>0</v>
      </c>
      <c r="W1480" s="20">
        <f t="shared" ca="1" si="722"/>
        <v>0</v>
      </c>
      <c r="X1480" s="19">
        <f t="shared" ca="1" si="723"/>
        <v>0</v>
      </c>
      <c r="Y1480" s="19">
        <f t="shared" ca="1" si="724"/>
        <v>0</v>
      </c>
      <c r="Z1480" s="20">
        <f t="shared" ca="1" si="725"/>
        <v>0</v>
      </c>
      <c r="AA1480" s="1">
        <f t="shared" si="703"/>
        <v>5432.58</v>
      </c>
      <c r="AB1480" s="93"/>
      <c r="AC1480" s="94"/>
      <c r="AD1480" s="101">
        <f t="shared" si="704"/>
        <v>84624</v>
      </c>
      <c r="AE1480" s="103">
        <f t="shared" si="705"/>
        <v>0</v>
      </c>
      <c r="AG1480" s="1">
        <f t="shared" si="726"/>
        <v>0</v>
      </c>
      <c r="AH1480" s="1">
        <f t="shared" si="727"/>
        <v>0</v>
      </c>
      <c r="AI1480" s="1">
        <f t="shared" si="706"/>
        <v>5432.58</v>
      </c>
      <c r="AJ1480" s="20">
        <f t="shared" si="708"/>
        <v>0</v>
      </c>
      <c r="AK1480" s="100">
        <f t="shared" si="710"/>
        <v>0</v>
      </c>
      <c r="AL1480" s="100">
        <f t="shared" si="711"/>
        <v>0</v>
      </c>
      <c r="AN1480" s="100">
        <f t="shared" si="712"/>
        <v>2606.7293727305819</v>
      </c>
      <c r="AO1480" s="20">
        <f t="shared" si="713"/>
        <v>0</v>
      </c>
      <c r="AQ1480" s="109">
        <f t="shared" si="714"/>
        <v>0</v>
      </c>
      <c r="AU1480" s="109">
        <f t="shared" si="699"/>
        <v>23.82510947867809</v>
      </c>
      <c r="AV1480" s="101">
        <f t="shared" si="715"/>
        <v>84654</v>
      </c>
      <c r="AW1480" s="99">
        <f t="shared" si="716"/>
        <v>0</v>
      </c>
      <c r="AX1480" s="1">
        <f t="shared" si="717"/>
        <v>0</v>
      </c>
      <c r="AY1480" s="29">
        <f t="shared" si="718"/>
        <v>0</v>
      </c>
      <c r="AZ1480" s="1">
        <f t="shared" si="700"/>
        <v>0</v>
      </c>
      <c r="CB1480" s="20">
        <f t="shared" si="709"/>
        <v>0</v>
      </c>
      <c r="CC1480" s="173">
        <f t="shared" si="701"/>
        <v>0</v>
      </c>
    </row>
    <row r="1481" spans="10:81" x14ac:dyDescent="0.25">
      <c r="J1481" s="7"/>
      <c r="K1481" s="8"/>
      <c r="L1481" s="16"/>
      <c r="M1481" s="22"/>
      <c r="N1481" s="22"/>
      <c r="O1481" s="22"/>
      <c r="P1481" s="22"/>
      <c r="Q1481" s="1">
        <f t="shared" si="702"/>
        <v>0.60744618579017706</v>
      </c>
      <c r="R1481" s="12">
        <f t="shared" ca="1" si="719"/>
        <v>43532</v>
      </c>
      <c r="S1481" s="88">
        <f t="shared" si="728"/>
        <v>0</v>
      </c>
      <c r="T1481" s="19">
        <f t="shared" si="720"/>
        <v>0</v>
      </c>
      <c r="U1481" s="19">
        <f t="shared" si="721"/>
        <v>0</v>
      </c>
      <c r="V1481" s="19">
        <f t="shared" si="707"/>
        <v>0</v>
      </c>
      <c r="W1481" s="20">
        <f t="shared" ca="1" si="722"/>
        <v>0</v>
      </c>
      <c r="X1481" s="19">
        <f t="shared" ca="1" si="723"/>
        <v>0</v>
      </c>
      <c r="Y1481" s="19">
        <f t="shared" ca="1" si="724"/>
        <v>0</v>
      </c>
      <c r="Z1481" s="20">
        <f t="shared" ca="1" si="725"/>
        <v>0</v>
      </c>
      <c r="AA1481" s="1">
        <f t="shared" si="703"/>
        <v>5432.58</v>
      </c>
      <c r="AB1481" s="91"/>
      <c r="AC1481" s="92"/>
      <c r="AD1481" s="101">
        <f t="shared" si="704"/>
        <v>84654</v>
      </c>
      <c r="AE1481" s="103">
        <f t="shared" si="705"/>
        <v>0</v>
      </c>
      <c r="AG1481" s="1">
        <f t="shared" si="726"/>
        <v>0</v>
      </c>
      <c r="AH1481" s="1">
        <f t="shared" si="727"/>
        <v>0</v>
      </c>
      <c r="AI1481" s="1">
        <f t="shared" si="706"/>
        <v>5432.58</v>
      </c>
      <c r="AJ1481" s="20">
        <f t="shared" si="708"/>
        <v>0</v>
      </c>
      <c r="AK1481" s="100">
        <f t="shared" si="710"/>
        <v>0</v>
      </c>
      <c r="AL1481" s="100">
        <f t="shared" si="711"/>
        <v>0</v>
      </c>
      <c r="AN1481" s="100">
        <f t="shared" si="712"/>
        <v>2605.41050050479</v>
      </c>
      <c r="AO1481" s="20">
        <f t="shared" si="713"/>
        <v>0</v>
      </c>
      <c r="AQ1481" s="109">
        <f t="shared" si="714"/>
        <v>0</v>
      </c>
      <c r="AU1481" s="109">
        <f t="shared" si="699"/>
        <v>23.823018347067631</v>
      </c>
      <c r="AV1481" s="101">
        <f t="shared" si="715"/>
        <v>84684</v>
      </c>
      <c r="AW1481" s="99">
        <f t="shared" si="716"/>
        <v>0</v>
      </c>
      <c r="AX1481" s="1">
        <f t="shared" si="717"/>
        <v>0</v>
      </c>
      <c r="AY1481" s="29">
        <f t="shared" si="718"/>
        <v>0</v>
      </c>
      <c r="AZ1481" s="1">
        <f t="shared" si="700"/>
        <v>0</v>
      </c>
      <c r="CB1481" s="20">
        <f t="shared" si="709"/>
        <v>0</v>
      </c>
      <c r="CC1481" s="173">
        <f t="shared" si="701"/>
        <v>0</v>
      </c>
    </row>
    <row r="1482" spans="10:81" x14ac:dyDescent="0.25">
      <c r="J1482" s="9"/>
      <c r="K1482" s="10"/>
      <c r="L1482" s="17"/>
      <c r="M1482" s="23"/>
      <c r="N1482" s="23"/>
      <c r="O1482" s="23"/>
      <c r="P1482" s="23"/>
      <c r="Q1482" s="1">
        <f t="shared" si="702"/>
        <v>0.60744618579017706</v>
      </c>
      <c r="R1482" s="12">
        <f t="shared" ca="1" si="719"/>
        <v>43562</v>
      </c>
      <c r="S1482" s="88">
        <f t="shared" si="728"/>
        <v>0</v>
      </c>
      <c r="T1482" s="19">
        <f t="shared" si="720"/>
        <v>0</v>
      </c>
      <c r="U1482" s="19">
        <f t="shared" si="721"/>
        <v>0</v>
      </c>
      <c r="V1482" s="19">
        <f t="shared" si="707"/>
        <v>0</v>
      </c>
      <c r="W1482" s="20">
        <f t="shared" ca="1" si="722"/>
        <v>0</v>
      </c>
      <c r="X1482" s="19">
        <f t="shared" ca="1" si="723"/>
        <v>0</v>
      </c>
      <c r="Y1482" s="19">
        <f t="shared" ca="1" si="724"/>
        <v>0</v>
      </c>
      <c r="Z1482" s="20">
        <f t="shared" ca="1" si="725"/>
        <v>0</v>
      </c>
      <c r="AA1482" s="1">
        <f t="shared" si="703"/>
        <v>5432.58</v>
      </c>
      <c r="AB1482" s="93"/>
      <c r="AC1482" s="94"/>
      <c r="AD1482" s="101">
        <f t="shared" si="704"/>
        <v>84684</v>
      </c>
      <c r="AE1482" s="103">
        <f t="shared" si="705"/>
        <v>0</v>
      </c>
      <c r="AG1482" s="1">
        <f t="shared" si="726"/>
        <v>0</v>
      </c>
      <c r="AH1482" s="1">
        <f t="shared" si="727"/>
        <v>0</v>
      </c>
      <c r="AI1482" s="1">
        <f t="shared" si="706"/>
        <v>5432.58</v>
      </c>
      <c r="AJ1482" s="20">
        <f t="shared" si="708"/>
        <v>0</v>
      </c>
      <c r="AK1482" s="100">
        <f t="shared" si="710"/>
        <v>0</v>
      </c>
      <c r="AL1482" s="100">
        <f t="shared" si="711"/>
        <v>0</v>
      </c>
      <c r="AN1482" s="100">
        <f t="shared" si="712"/>
        <v>2604.0922955611363</v>
      </c>
      <c r="AO1482" s="20">
        <f t="shared" si="713"/>
        <v>0</v>
      </c>
      <c r="AQ1482" s="109">
        <f t="shared" si="714"/>
        <v>0</v>
      </c>
      <c r="AU1482" s="109">
        <f t="shared" si="699"/>
        <v>23.820927398995945</v>
      </c>
      <c r="AV1482" s="101">
        <f t="shared" si="715"/>
        <v>84714</v>
      </c>
      <c r="AW1482" s="99">
        <f t="shared" si="716"/>
        <v>0</v>
      </c>
      <c r="AX1482" s="1">
        <f t="shared" si="717"/>
        <v>0</v>
      </c>
      <c r="AY1482" s="29">
        <f t="shared" si="718"/>
        <v>0</v>
      </c>
      <c r="AZ1482" s="1">
        <f t="shared" si="700"/>
        <v>0</v>
      </c>
      <c r="CB1482" s="20">
        <f t="shared" si="709"/>
        <v>0</v>
      </c>
      <c r="CC1482" s="173">
        <f t="shared" si="701"/>
        <v>0</v>
      </c>
    </row>
    <row r="1483" spans="10:81" x14ac:dyDescent="0.25">
      <c r="J1483" s="7"/>
      <c r="K1483" s="8"/>
      <c r="L1483" s="16"/>
      <c r="M1483" s="22"/>
      <c r="N1483" s="22"/>
      <c r="O1483" s="22"/>
      <c r="P1483" s="22"/>
      <c r="Q1483" s="1">
        <f t="shared" si="702"/>
        <v>0.60744618579017706</v>
      </c>
      <c r="R1483" s="12">
        <f t="shared" ca="1" si="719"/>
        <v>43592</v>
      </c>
      <c r="S1483" s="88">
        <f t="shared" si="728"/>
        <v>0</v>
      </c>
      <c r="T1483" s="19">
        <f t="shared" si="720"/>
        <v>0</v>
      </c>
      <c r="U1483" s="19">
        <f t="shared" si="721"/>
        <v>0</v>
      </c>
      <c r="V1483" s="19">
        <f t="shared" si="707"/>
        <v>0</v>
      </c>
      <c r="W1483" s="20">
        <f t="shared" ca="1" si="722"/>
        <v>0</v>
      </c>
      <c r="X1483" s="19">
        <f t="shared" ca="1" si="723"/>
        <v>0</v>
      </c>
      <c r="Y1483" s="19">
        <f t="shared" ca="1" si="724"/>
        <v>0</v>
      </c>
      <c r="Z1483" s="20">
        <f t="shared" ca="1" si="725"/>
        <v>0</v>
      </c>
      <c r="AA1483" s="1">
        <f t="shared" si="703"/>
        <v>5432.58</v>
      </c>
      <c r="AB1483" s="91"/>
      <c r="AC1483" s="92"/>
      <c r="AD1483" s="101">
        <f t="shared" si="704"/>
        <v>84714</v>
      </c>
      <c r="AE1483" s="103">
        <f t="shared" si="705"/>
        <v>0</v>
      </c>
      <c r="AG1483" s="1">
        <f t="shared" si="726"/>
        <v>0</v>
      </c>
      <c r="AH1483" s="1">
        <f t="shared" si="727"/>
        <v>0</v>
      </c>
      <c r="AI1483" s="1">
        <f t="shared" si="706"/>
        <v>5432.58</v>
      </c>
      <c r="AJ1483" s="20">
        <f t="shared" si="708"/>
        <v>0</v>
      </c>
      <c r="AK1483" s="100">
        <f t="shared" si="710"/>
        <v>0</v>
      </c>
      <c r="AL1483" s="100">
        <f t="shared" si="711"/>
        <v>0</v>
      </c>
      <c r="AN1483" s="100">
        <f t="shared" si="712"/>
        <v>2602.7747575620092</v>
      </c>
      <c r="AO1483" s="20">
        <f t="shared" si="713"/>
        <v>0</v>
      </c>
      <c r="AQ1483" s="109">
        <f t="shared" si="714"/>
        <v>0</v>
      </c>
      <c r="AU1483" s="109">
        <f t="shared" si="699"/>
        <v>23.818836634446921</v>
      </c>
      <c r="AV1483" s="101">
        <f t="shared" si="715"/>
        <v>84744</v>
      </c>
      <c r="AW1483" s="99">
        <f t="shared" si="716"/>
        <v>0</v>
      </c>
      <c r="AX1483" s="1">
        <f t="shared" si="717"/>
        <v>0</v>
      </c>
      <c r="AY1483" s="29">
        <f t="shared" si="718"/>
        <v>0</v>
      </c>
      <c r="AZ1483" s="1">
        <f t="shared" si="700"/>
        <v>0</v>
      </c>
      <c r="CB1483" s="20">
        <f t="shared" si="709"/>
        <v>0</v>
      </c>
      <c r="CC1483" s="173">
        <f t="shared" si="701"/>
        <v>0</v>
      </c>
    </row>
    <row r="1484" spans="10:81" x14ac:dyDescent="0.25">
      <c r="J1484" s="9"/>
      <c r="K1484" s="10"/>
      <c r="L1484" s="17"/>
      <c r="M1484" s="23"/>
      <c r="N1484" s="23"/>
      <c r="O1484" s="23"/>
      <c r="P1484" s="23"/>
      <c r="Q1484" s="1">
        <f t="shared" si="702"/>
        <v>0.60744618579017706</v>
      </c>
      <c r="R1484" s="12">
        <f t="shared" ca="1" si="719"/>
        <v>43622</v>
      </c>
      <c r="S1484" s="88">
        <f t="shared" si="728"/>
        <v>0</v>
      </c>
      <c r="T1484" s="19">
        <f t="shared" si="720"/>
        <v>0</v>
      </c>
      <c r="U1484" s="19">
        <f t="shared" si="721"/>
        <v>0</v>
      </c>
      <c r="V1484" s="19">
        <f t="shared" si="707"/>
        <v>0</v>
      </c>
      <c r="W1484" s="20">
        <f t="shared" ca="1" si="722"/>
        <v>0</v>
      </c>
      <c r="X1484" s="19">
        <f t="shared" ca="1" si="723"/>
        <v>0</v>
      </c>
      <c r="Y1484" s="19">
        <f t="shared" ca="1" si="724"/>
        <v>0</v>
      </c>
      <c r="Z1484" s="20">
        <f t="shared" ca="1" si="725"/>
        <v>0</v>
      </c>
      <c r="AA1484" s="1">
        <f t="shared" si="703"/>
        <v>5432.58</v>
      </c>
      <c r="AB1484" s="93"/>
      <c r="AC1484" s="94"/>
      <c r="AD1484" s="101">
        <f t="shared" si="704"/>
        <v>84744</v>
      </c>
      <c r="AE1484" s="103">
        <f t="shared" si="705"/>
        <v>0</v>
      </c>
      <c r="AG1484" s="1">
        <f t="shared" si="726"/>
        <v>0</v>
      </c>
      <c r="AH1484" s="1">
        <f t="shared" si="727"/>
        <v>0</v>
      </c>
      <c r="AI1484" s="1">
        <f t="shared" si="706"/>
        <v>5432.58</v>
      </c>
      <c r="AJ1484" s="20">
        <f t="shared" si="708"/>
        <v>0</v>
      </c>
      <c r="AK1484" s="100">
        <f t="shared" si="710"/>
        <v>0</v>
      </c>
      <c r="AL1484" s="100">
        <f t="shared" si="711"/>
        <v>0</v>
      </c>
      <c r="AN1484" s="100">
        <f t="shared" si="712"/>
        <v>2601.4578861699692</v>
      </c>
      <c r="AO1484" s="20">
        <f t="shared" si="713"/>
        <v>0</v>
      </c>
      <c r="AQ1484" s="109">
        <f t="shared" si="714"/>
        <v>0</v>
      </c>
      <c r="AU1484" s="109">
        <f t="shared" si="699"/>
        <v>23.816746053404465</v>
      </c>
      <c r="AV1484" s="101">
        <f t="shared" si="715"/>
        <v>84774</v>
      </c>
      <c r="AW1484" s="99">
        <f t="shared" si="716"/>
        <v>0</v>
      </c>
      <c r="AX1484" s="1">
        <f t="shared" si="717"/>
        <v>0</v>
      </c>
      <c r="AY1484" s="29">
        <f t="shared" si="718"/>
        <v>0</v>
      </c>
      <c r="AZ1484" s="1">
        <f t="shared" si="700"/>
        <v>0</v>
      </c>
      <c r="CB1484" s="20">
        <f t="shared" si="709"/>
        <v>0</v>
      </c>
      <c r="CC1484" s="173">
        <f t="shared" si="701"/>
        <v>0</v>
      </c>
    </row>
    <row r="1485" spans="10:81" x14ac:dyDescent="0.25">
      <c r="J1485" s="7"/>
      <c r="K1485" s="8"/>
      <c r="L1485" s="16"/>
      <c r="M1485" s="22"/>
      <c r="N1485" s="22"/>
      <c r="O1485" s="22"/>
      <c r="P1485" s="22"/>
      <c r="Q1485" s="1">
        <f t="shared" si="702"/>
        <v>0.60744618579017706</v>
      </c>
      <c r="R1485" s="12">
        <f t="shared" ca="1" si="719"/>
        <v>43652</v>
      </c>
      <c r="S1485" s="88">
        <f t="shared" si="728"/>
        <v>0</v>
      </c>
      <c r="T1485" s="19">
        <f t="shared" si="720"/>
        <v>0</v>
      </c>
      <c r="U1485" s="19">
        <f t="shared" si="721"/>
        <v>0</v>
      </c>
      <c r="V1485" s="19">
        <f t="shared" si="707"/>
        <v>0</v>
      </c>
      <c r="W1485" s="20">
        <f t="shared" ca="1" si="722"/>
        <v>0</v>
      </c>
      <c r="X1485" s="19">
        <f t="shared" ca="1" si="723"/>
        <v>0</v>
      </c>
      <c r="Y1485" s="19">
        <f t="shared" ca="1" si="724"/>
        <v>0</v>
      </c>
      <c r="Z1485" s="20">
        <f t="shared" ca="1" si="725"/>
        <v>0</v>
      </c>
      <c r="AA1485" s="1">
        <f t="shared" si="703"/>
        <v>5432.58</v>
      </c>
      <c r="AB1485" s="91"/>
      <c r="AC1485" s="92"/>
      <c r="AD1485" s="101">
        <f t="shared" si="704"/>
        <v>84774</v>
      </c>
      <c r="AE1485" s="103">
        <f t="shared" si="705"/>
        <v>0</v>
      </c>
      <c r="AG1485" s="1">
        <f t="shared" si="726"/>
        <v>0</v>
      </c>
      <c r="AH1485" s="1">
        <f t="shared" si="727"/>
        <v>0</v>
      </c>
      <c r="AI1485" s="1">
        <f t="shared" si="706"/>
        <v>5432.58</v>
      </c>
      <c r="AJ1485" s="20">
        <f t="shared" si="708"/>
        <v>0</v>
      </c>
      <c r="AK1485" s="100">
        <f t="shared" si="710"/>
        <v>0</v>
      </c>
      <c r="AL1485" s="100">
        <f t="shared" si="711"/>
        <v>0</v>
      </c>
      <c r="AN1485" s="100">
        <f t="shared" si="712"/>
        <v>2600.1416810477467</v>
      </c>
      <c r="AO1485" s="20">
        <f t="shared" si="713"/>
        <v>0</v>
      </c>
      <c r="AQ1485" s="109">
        <f t="shared" si="714"/>
        <v>0</v>
      </c>
      <c r="AU1485" s="109">
        <f t="shared" si="699"/>
        <v>23.814655655852448</v>
      </c>
      <c r="AV1485" s="101">
        <f t="shared" si="715"/>
        <v>84804</v>
      </c>
      <c r="AW1485" s="99">
        <f t="shared" si="716"/>
        <v>0</v>
      </c>
      <c r="AX1485" s="1">
        <f t="shared" si="717"/>
        <v>0</v>
      </c>
      <c r="AY1485" s="29">
        <f t="shared" si="718"/>
        <v>0</v>
      </c>
      <c r="AZ1485" s="1">
        <f t="shared" si="700"/>
        <v>0</v>
      </c>
      <c r="CB1485" s="20">
        <f t="shared" si="709"/>
        <v>0</v>
      </c>
      <c r="CC1485" s="173">
        <f t="shared" si="701"/>
        <v>0</v>
      </c>
    </row>
    <row r="1486" spans="10:81" x14ac:dyDescent="0.25">
      <c r="J1486" s="9"/>
      <c r="K1486" s="10"/>
      <c r="L1486" s="17"/>
      <c r="M1486" s="23"/>
      <c r="N1486" s="23"/>
      <c r="O1486" s="23"/>
      <c r="P1486" s="23"/>
      <c r="Q1486" s="1">
        <f t="shared" si="702"/>
        <v>0.60744618579017706</v>
      </c>
      <c r="R1486" s="12">
        <f t="shared" ca="1" si="719"/>
        <v>43682</v>
      </c>
      <c r="S1486" s="88">
        <f t="shared" si="728"/>
        <v>0</v>
      </c>
      <c r="T1486" s="19">
        <f t="shared" si="720"/>
        <v>0</v>
      </c>
      <c r="U1486" s="19">
        <f t="shared" si="721"/>
        <v>0</v>
      </c>
      <c r="V1486" s="19">
        <f t="shared" si="707"/>
        <v>0</v>
      </c>
      <c r="W1486" s="20">
        <f t="shared" ca="1" si="722"/>
        <v>0</v>
      </c>
      <c r="X1486" s="19">
        <f t="shared" ca="1" si="723"/>
        <v>0</v>
      </c>
      <c r="Y1486" s="19">
        <f t="shared" ca="1" si="724"/>
        <v>0</v>
      </c>
      <c r="Z1486" s="20">
        <f t="shared" ca="1" si="725"/>
        <v>0</v>
      </c>
      <c r="AA1486" s="1">
        <f t="shared" si="703"/>
        <v>5432.58</v>
      </c>
      <c r="AB1486" s="93"/>
      <c r="AC1486" s="94"/>
      <c r="AD1486" s="101">
        <f t="shared" si="704"/>
        <v>84804</v>
      </c>
      <c r="AE1486" s="103">
        <f t="shared" si="705"/>
        <v>0</v>
      </c>
      <c r="AG1486" s="1">
        <f t="shared" si="726"/>
        <v>0</v>
      </c>
      <c r="AH1486" s="1">
        <f t="shared" si="727"/>
        <v>0</v>
      </c>
      <c r="AI1486" s="1">
        <f t="shared" si="706"/>
        <v>5432.58</v>
      </c>
      <c r="AJ1486" s="20">
        <f t="shared" si="708"/>
        <v>0</v>
      </c>
      <c r="AK1486" s="100">
        <f t="shared" si="710"/>
        <v>0</v>
      </c>
      <c r="AL1486" s="100">
        <f t="shared" si="711"/>
        <v>0</v>
      </c>
      <c r="AN1486" s="100">
        <f t="shared" si="712"/>
        <v>2598.8261418582433</v>
      </c>
      <c r="AO1486" s="20">
        <f t="shared" si="713"/>
        <v>0</v>
      </c>
      <c r="AQ1486" s="109">
        <f t="shared" si="714"/>
        <v>0</v>
      </c>
      <c r="AU1486" s="109">
        <f t="shared" si="699"/>
        <v>23.812565441774787</v>
      </c>
      <c r="AV1486" s="101">
        <f t="shared" si="715"/>
        <v>84834</v>
      </c>
      <c r="AW1486" s="99">
        <f t="shared" si="716"/>
        <v>0</v>
      </c>
      <c r="AX1486" s="1">
        <f t="shared" si="717"/>
        <v>0</v>
      </c>
      <c r="AY1486" s="29">
        <f t="shared" si="718"/>
        <v>0</v>
      </c>
      <c r="AZ1486" s="1">
        <f t="shared" si="700"/>
        <v>0</v>
      </c>
      <c r="CB1486" s="20">
        <f t="shared" si="709"/>
        <v>0</v>
      </c>
      <c r="CC1486" s="173">
        <f t="shared" si="701"/>
        <v>0</v>
      </c>
    </row>
    <row r="1487" spans="10:81" x14ac:dyDescent="0.25">
      <c r="J1487" s="7"/>
      <c r="K1487" s="8"/>
      <c r="L1487" s="16"/>
      <c r="M1487" s="22"/>
      <c r="N1487" s="22"/>
      <c r="O1487" s="22"/>
      <c r="P1487" s="22"/>
      <c r="Q1487" s="1">
        <f t="shared" si="702"/>
        <v>0.60744618579017706</v>
      </c>
      <c r="R1487" s="12">
        <f t="shared" ca="1" si="719"/>
        <v>43712</v>
      </c>
      <c r="S1487" s="88">
        <f t="shared" si="728"/>
        <v>0</v>
      </c>
      <c r="T1487" s="19">
        <f t="shared" si="720"/>
        <v>0</v>
      </c>
      <c r="U1487" s="19">
        <f t="shared" si="721"/>
        <v>0</v>
      </c>
      <c r="V1487" s="19">
        <f t="shared" si="707"/>
        <v>0</v>
      </c>
      <c r="W1487" s="20">
        <f t="shared" ca="1" si="722"/>
        <v>0</v>
      </c>
      <c r="X1487" s="19">
        <f t="shared" ca="1" si="723"/>
        <v>0</v>
      </c>
      <c r="Y1487" s="19">
        <f t="shared" ca="1" si="724"/>
        <v>0</v>
      </c>
      <c r="Z1487" s="20">
        <f t="shared" ca="1" si="725"/>
        <v>0</v>
      </c>
      <c r="AA1487" s="1">
        <f t="shared" si="703"/>
        <v>5432.58</v>
      </c>
      <c r="AB1487" s="91"/>
      <c r="AC1487" s="92"/>
      <c r="AD1487" s="101">
        <f t="shared" si="704"/>
        <v>84834</v>
      </c>
      <c r="AE1487" s="103">
        <f t="shared" si="705"/>
        <v>0</v>
      </c>
      <c r="AG1487" s="1">
        <f t="shared" si="726"/>
        <v>0</v>
      </c>
      <c r="AH1487" s="1">
        <f t="shared" si="727"/>
        <v>0</v>
      </c>
      <c r="AI1487" s="1">
        <f t="shared" si="706"/>
        <v>5432.58</v>
      </c>
      <c r="AJ1487" s="20">
        <f t="shared" si="708"/>
        <v>0</v>
      </c>
      <c r="AK1487" s="100">
        <f t="shared" si="710"/>
        <v>0</v>
      </c>
      <c r="AL1487" s="100">
        <f t="shared" si="711"/>
        <v>0</v>
      </c>
      <c r="AN1487" s="100">
        <f t="shared" si="712"/>
        <v>2597.5112682645322</v>
      </c>
      <c r="AO1487" s="20">
        <f t="shared" si="713"/>
        <v>0</v>
      </c>
      <c r="AQ1487" s="109">
        <f t="shared" si="714"/>
        <v>0</v>
      </c>
      <c r="AU1487" s="109">
        <f t="shared" si="699"/>
        <v>23.810475411155366</v>
      </c>
      <c r="AV1487" s="101">
        <f t="shared" si="715"/>
        <v>84864</v>
      </c>
      <c r="AW1487" s="99">
        <f t="shared" si="716"/>
        <v>0</v>
      </c>
      <c r="AX1487" s="1">
        <f t="shared" si="717"/>
        <v>0</v>
      </c>
      <c r="AY1487" s="29">
        <f t="shared" si="718"/>
        <v>0</v>
      </c>
      <c r="AZ1487" s="1">
        <f t="shared" si="700"/>
        <v>0</v>
      </c>
      <c r="CB1487" s="20">
        <f t="shared" si="709"/>
        <v>0</v>
      </c>
      <c r="CC1487" s="173">
        <f t="shared" si="701"/>
        <v>0</v>
      </c>
    </row>
    <row r="1488" spans="10:81" x14ac:dyDescent="0.25">
      <c r="J1488" s="9"/>
      <c r="K1488" s="10"/>
      <c r="L1488" s="17"/>
      <c r="M1488" s="23"/>
      <c r="N1488" s="23"/>
      <c r="O1488" s="23"/>
      <c r="P1488" s="23"/>
      <c r="Q1488" s="1">
        <f t="shared" si="702"/>
        <v>0.60744618579017706</v>
      </c>
      <c r="R1488" s="12">
        <f t="shared" ca="1" si="719"/>
        <v>43742</v>
      </c>
      <c r="S1488" s="88">
        <f t="shared" si="728"/>
        <v>0</v>
      </c>
      <c r="T1488" s="19">
        <f t="shared" si="720"/>
        <v>0</v>
      </c>
      <c r="U1488" s="19">
        <f t="shared" si="721"/>
        <v>0</v>
      </c>
      <c r="V1488" s="19">
        <f t="shared" si="707"/>
        <v>0</v>
      </c>
      <c r="W1488" s="20">
        <f t="shared" ca="1" si="722"/>
        <v>0</v>
      </c>
      <c r="X1488" s="19">
        <f t="shared" ca="1" si="723"/>
        <v>0</v>
      </c>
      <c r="Y1488" s="19">
        <f t="shared" ca="1" si="724"/>
        <v>0</v>
      </c>
      <c r="Z1488" s="20">
        <f t="shared" ca="1" si="725"/>
        <v>0</v>
      </c>
      <c r="AA1488" s="1">
        <f t="shared" si="703"/>
        <v>5432.58</v>
      </c>
      <c r="AB1488" s="93"/>
      <c r="AC1488" s="94"/>
      <c r="AD1488" s="101">
        <f t="shared" si="704"/>
        <v>84864</v>
      </c>
      <c r="AE1488" s="103">
        <f t="shared" si="705"/>
        <v>0</v>
      </c>
      <c r="AG1488" s="1">
        <f t="shared" si="726"/>
        <v>0</v>
      </c>
      <c r="AH1488" s="1">
        <f t="shared" si="727"/>
        <v>0</v>
      </c>
      <c r="AI1488" s="1">
        <f t="shared" si="706"/>
        <v>5432.58</v>
      </c>
      <c r="AJ1488" s="20">
        <f t="shared" si="708"/>
        <v>0</v>
      </c>
      <c r="AK1488" s="100">
        <f t="shared" si="710"/>
        <v>0</v>
      </c>
      <c r="AL1488" s="100">
        <f t="shared" si="711"/>
        <v>0</v>
      </c>
      <c r="AN1488" s="100">
        <f t="shared" si="712"/>
        <v>2596.1970599298529</v>
      </c>
      <c r="AO1488" s="20">
        <f t="shared" si="713"/>
        <v>0</v>
      </c>
      <c r="AQ1488" s="109">
        <f t="shared" si="714"/>
        <v>0</v>
      </c>
      <c r="AU1488" s="109">
        <f t="shared" si="699"/>
        <v>23.808385563978092</v>
      </c>
      <c r="AV1488" s="101">
        <f t="shared" si="715"/>
        <v>84894</v>
      </c>
      <c r="AW1488" s="99">
        <f t="shared" si="716"/>
        <v>0</v>
      </c>
      <c r="AX1488" s="1">
        <f t="shared" si="717"/>
        <v>0</v>
      </c>
      <c r="AY1488" s="29">
        <f t="shared" si="718"/>
        <v>0</v>
      </c>
      <c r="AZ1488" s="1">
        <f t="shared" si="700"/>
        <v>0</v>
      </c>
      <c r="CB1488" s="20">
        <f t="shared" si="709"/>
        <v>0</v>
      </c>
      <c r="CC1488" s="173">
        <f t="shared" si="701"/>
        <v>0</v>
      </c>
    </row>
    <row r="1489" spans="10:81" x14ac:dyDescent="0.25">
      <c r="J1489" s="7"/>
      <c r="K1489" s="8"/>
      <c r="L1489" s="16"/>
      <c r="M1489" s="22"/>
      <c r="N1489" s="22"/>
      <c r="O1489" s="22"/>
      <c r="P1489" s="22"/>
      <c r="Q1489" s="1">
        <f t="shared" si="702"/>
        <v>0.60744618579017706</v>
      </c>
      <c r="R1489" s="12">
        <f t="shared" ca="1" si="719"/>
        <v>43772</v>
      </c>
      <c r="S1489" s="88">
        <f t="shared" si="728"/>
        <v>0</v>
      </c>
      <c r="T1489" s="19">
        <f t="shared" si="720"/>
        <v>0</v>
      </c>
      <c r="U1489" s="19">
        <f t="shared" si="721"/>
        <v>0</v>
      </c>
      <c r="V1489" s="19">
        <f t="shared" si="707"/>
        <v>0</v>
      </c>
      <c r="W1489" s="20">
        <f t="shared" ca="1" si="722"/>
        <v>0</v>
      </c>
      <c r="X1489" s="19">
        <f t="shared" ca="1" si="723"/>
        <v>0</v>
      </c>
      <c r="Y1489" s="19">
        <f t="shared" ca="1" si="724"/>
        <v>0</v>
      </c>
      <c r="Z1489" s="20">
        <f t="shared" ca="1" si="725"/>
        <v>0</v>
      </c>
      <c r="AA1489" s="1">
        <f t="shared" si="703"/>
        <v>5432.58</v>
      </c>
      <c r="AB1489" s="91"/>
      <c r="AC1489" s="92"/>
      <c r="AD1489" s="101">
        <f t="shared" si="704"/>
        <v>84894</v>
      </c>
      <c r="AE1489" s="103">
        <f t="shared" si="705"/>
        <v>0</v>
      </c>
      <c r="AG1489" s="1">
        <f t="shared" si="726"/>
        <v>0</v>
      </c>
      <c r="AH1489" s="1">
        <f t="shared" si="727"/>
        <v>0</v>
      </c>
      <c r="AI1489" s="1">
        <f t="shared" si="706"/>
        <v>5432.58</v>
      </c>
      <c r="AJ1489" s="20">
        <f t="shared" si="708"/>
        <v>0</v>
      </c>
      <c r="AK1489" s="100">
        <f t="shared" si="710"/>
        <v>0</v>
      </c>
      <c r="AL1489" s="100">
        <f t="shared" si="711"/>
        <v>0</v>
      </c>
      <c r="AN1489" s="100">
        <f t="shared" si="712"/>
        <v>2594.8835165176201</v>
      </c>
      <c r="AO1489" s="20">
        <f t="shared" si="713"/>
        <v>0</v>
      </c>
      <c r="AQ1489" s="109">
        <f t="shared" si="714"/>
        <v>0</v>
      </c>
      <c r="AU1489" s="109">
        <f t="shared" si="699"/>
        <v>23.806295900226846</v>
      </c>
      <c r="AV1489" s="101">
        <f t="shared" si="715"/>
        <v>84924</v>
      </c>
      <c r="AW1489" s="99">
        <f t="shared" si="716"/>
        <v>0</v>
      </c>
      <c r="AX1489" s="1">
        <f t="shared" si="717"/>
        <v>0</v>
      </c>
      <c r="AY1489" s="29">
        <f t="shared" si="718"/>
        <v>0</v>
      </c>
      <c r="AZ1489" s="1">
        <f t="shared" si="700"/>
        <v>0</v>
      </c>
      <c r="CB1489" s="20">
        <f t="shared" si="709"/>
        <v>0</v>
      </c>
      <c r="CC1489" s="173">
        <f t="shared" si="701"/>
        <v>0</v>
      </c>
    </row>
    <row r="1490" spans="10:81" x14ac:dyDescent="0.25">
      <c r="J1490" s="9"/>
      <c r="K1490" s="10"/>
      <c r="L1490" s="17"/>
      <c r="M1490" s="23"/>
      <c r="N1490" s="23"/>
      <c r="O1490" s="23"/>
      <c r="P1490" s="23"/>
      <c r="Q1490" s="1">
        <f t="shared" si="702"/>
        <v>0.60744618579017706</v>
      </c>
      <c r="R1490" s="12">
        <f t="shared" ca="1" si="719"/>
        <v>43802</v>
      </c>
      <c r="S1490" s="88">
        <f t="shared" si="728"/>
        <v>0</v>
      </c>
      <c r="T1490" s="19">
        <f t="shared" si="720"/>
        <v>0</v>
      </c>
      <c r="U1490" s="19">
        <f t="shared" si="721"/>
        <v>0</v>
      </c>
      <c r="V1490" s="19">
        <f t="shared" si="707"/>
        <v>0</v>
      </c>
      <c r="W1490" s="20">
        <f t="shared" ca="1" si="722"/>
        <v>0</v>
      </c>
      <c r="X1490" s="19">
        <f t="shared" ca="1" si="723"/>
        <v>0</v>
      </c>
      <c r="Y1490" s="19">
        <f t="shared" ca="1" si="724"/>
        <v>0</v>
      </c>
      <c r="Z1490" s="20">
        <f t="shared" ca="1" si="725"/>
        <v>0</v>
      </c>
      <c r="AA1490" s="1">
        <f t="shared" si="703"/>
        <v>5432.58</v>
      </c>
      <c r="AB1490" s="93"/>
      <c r="AC1490" s="94"/>
      <c r="AD1490" s="101">
        <f t="shared" si="704"/>
        <v>84924</v>
      </c>
      <c r="AE1490" s="103">
        <f t="shared" si="705"/>
        <v>0</v>
      </c>
      <c r="AG1490" s="1">
        <f t="shared" si="726"/>
        <v>0</v>
      </c>
      <c r="AH1490" s="1">
        <f t="shared" si="727"/>
        <v>0</v>
      </c>
      <c r="AI1490" s="1">
        <f t="shared" si="706"/>
        <v>5432.58</v>
      </c>
      <c r="AJ1490" s="20">
        <f t="shared" si="708"/>
        <v>0</v>
      </c>
      <c r="AK1490" s="100">
        <f t="shared" si="710"/>
        <v>0</v>
      </c>
      <c r="AL1490" s="100">
        <f t="shared" si="711"/>
        <v>0</v>
      </c>
      <c r="AN1490" s="100">
        <f t="shared" si="712"/>
        <v>2593.5706376914181</v>
      </c>
      <c r="AO1490" s="20">
        <f t="shared" si="713"/>
        <v>0</v>
      </c>
      <c r="AQ1490" s="109">
        <f t="shared" si="714"/>
        <v>0</v>
      </c>
      <c r="AU1490" s="109">
        <f t="shared" si="699"/>
        <v>23.804206419885546</v>
      </c>
      <c r="AV1490" s="101">
        <f t="shared" si="715"/>
        <v>84954</v>
      </c>
      <c r="AW1490" s="99">
        <f t="shared" si="716"/>
        <v>0</v>
      </c>
      <c r="AX1490" s="1">
        <f t="shared" si="717"/>
        <v>0</v>
      </c>
      <c r="AY1490" s="29">
        <f t="shared" si="718"/>
        <v>0</v>
      </c>
      <c r="AZ1490" s="1">
        <f t="shared" si="700"/>
        <v>0</v>
      </c>
      <c r="CB1490" s="20">
        <f t="shared" si="709"/>
        <v>0</v>
      </c>
      <c r="CC1490" s="173">
        <f t="shared" si="701"/>
        <v>0</v>
      </c>
    </row>
    <row r="1491" spans="10:81" x14ac:dyDescent="0.25">
      <c r="J1491" s="7"/>
      <c r="K1491" s="8"/>
      <c r="L1491" s="16"/>
      <c r="M1491" s="22"/>
      <c r="N1491" s="22"/>
      <c r="O1491" s="22"/>
      <c r="P1491" s="22"/>
      <c r="Q1491" s="1">
        <f t="shared" si="702"/>
        <v>0.60744618579017706</v>
      </c>
      <c r="R1491" s="12">
        <f t="shared" ca="1" si="719"/>
        <v>43832</v>
      </c>
      <c r="S1491" s="88">
        <f t="shared" si="728"/>
        <v>0</v>
      </c>
      <c r="T1491" s="19">
        <f t="shared" si="720"/>
        <v>0</v>
      </c>
      <c r="U1491" s="19">
        <f t="shared" si="721"/>
        <v>0</v>
      </c>
      <c r="V1491" s="19">
        <f t="shared" si="707"/>
        <v>0</v>
      </c>
      <c r="W1491" s="20">
        <f t="shared" ca="1" si="722"/>
        <v>0</v>
      </c>
      <c r="X1491" s="19">
        <f t="shared" ca="1" si="723"/>
        <v>0</v>
      </c>
      <c r="Y1491" s="19">
        <f t="shared" ca="1" si="724"/>
        <v>0</v>
      </c>
      <c r="Z1491" s="20">
        <f t="shared" ca="1" si="725"/>
        <v>0</v>
      </c>
      <c r="AA1491" s="1">
        <f t="shared" si="703"/>
        <v>5432.58</v>
      </c>
      <c r="AB1491" s="91"/>
      <c r="AC1491" s="92"/>
      <c r="AD1491" s="101">
        <f t="shared" si="704"/>
        <v>84954</v>
      </c>
      <c r="AE1491" s="103">
        <f t="shared" si="705"/>
        <v>0</v>
      </c>
      <c r="AG1491" s="1">
        <f t="shared" si="726"/>
        <v>0</v>
      </c>
      <c r="AH1491" s="1">
        <f t="shared" si="727"/>
        <v>0</v>
      </c>
      <c r="AI1491" s="1">
        <f t="shared" si="706"/>
        <v>5432.58</v>
      </c>
      <c r="AJ1491" s="20">
        <f t="shared" si="708"/>
        <v>0</v>
      </c>
      <c r="AK1491" s="100">
        <f t="shared" si="710"/>
        <v>0</v>
      </c>
      <c r="AL1491" s="100">
        <f t="shared" si="711"/>
        <v>0</v>
      </c>
      <c r="AN1491" s="100">
        <f t="shared" si="712"/>
        <v>2592.2584231149985</v>
      </c>
      <c r="AO1491" s="20">
        <f t="shared" si="713"/>
        <v>0</v>
      </c>
      <c r="AQ1491" s="109">
        <f t="shared" si="714"/>
        <v>0</v>
      </c>
      <c r="AU1491" s="109">
        <f t="shared" si="699"/>
        <v>23.802117122938089</v>
      </c>
      <c r="AV1491" s="101">
        <f t="shared" si="715"/>
        <v>84984</v>
      </c>
      <c r="AW1491" s="99">
        <f t="shared" si="716"/>
        <v>0</v>
      </c>
      <c r="AX1491" s="1">
        <f t="shared" si="717"/>
        <v>0</v>
      </c>
      <c r="AY1491" s="29">
        <f t="shared" si="718"/>
        <v>0</v>
      </c>
      <c r="AZ1491" s="1">
        <f t="shared" si="700"/>
        <v>0</v>
      </c>
      <c r="CB1491" s="20">
        <f t="shared" si="709"/>
        <v>0</v>
      </c>
      <c r="CC1491" s="173">
        <f t="shared" si="701"/>
        <v>0</v>
      </c>
    </row>
    <row r="1492" spans="10:81" x14ac:dyDescent="0.25">
      <c r="J1492" s="9"/>
      <c r="K1492" s="10"/>
      <c r="L1492" s="17"/>
      <c r="M1492" s="23"/>
      <c r="N1492" s="23"/>
      <c r="O1492" s="23"/>
      <c r="P1492" s="23"/>
      <c r="Q1492" s="1">
        <f t="shared" si="702"/>
        <v>0.60744618579017706</v>
      </c>
      <c r="R1492" s="12">
        <f t="shared" ca="1" si="719"/>
        <v>43862</v>
      </c>
      <c r="S1492" s="88">
        <f t="shared" si="728"/>
        <v>0</v>
      </c>
      <c r="T1492" s="19">
        <f t="shared" si="720"/>
        <v>0</v>
      </c>
      <c r="U1492" s="19">
        <f t="shared" si="721"/>
        <v>0</v>
      </c>
      <c r="V1492" s="19">
        <f t="shared" si="707"/>
        <v>0</v>
      </c>
      <c r="W1492" s="20">
        <f t="shared" ca="1" si="722"/>
        <v>0</v>
      </c>
      <c r="X1492" s="19">
        <f t="shared" ca="1" si="723"/>
        <v>0</v>
      </c>
      <c r="Y1492" s="19">
        <f t="shared" ca="1" si="724"/>
        <v>0</v>
      </c>
      <c r="Z1492" s="20">
        <f t="shared" ca="1" si="725"/>
        <v>0</v>
      </c>
      <c r="AA1492" s="1">
        <f t="shared" si="703"/>
        <v>5432.58</v>
      </c>
      <c r="AB1492" s="93"/>
      <c r="AC1492" s="94"/>
      <c r="AD1492" s="101">
        <f t="shared" si="704"/>
        <v>84984</v>
      </c>
      <c r="AE1492" s="103">
        <f t="shared" si="705"/>
        <v>0</v>
      </c>
      <c r="AG1492" s="1">
        <f t="shared" si="726"/>
        <v>0</v>
      </c>
      <c r="AH1492" s="1">
        <f t="shared" si="727"/>
        <v>0</v>
      </c>
      <c r="AI1492" s="1">
        <f t="shared" si="706"/>
        <v>5432.58</v>
      </c>
      <c r="AJ1492" s="20">
        <f t="shared" si="708"/>
        <v>0</v>
      </c>
      <c r="AK1492" s="100">
        <f t="shared" si="710"/>
        <v>0</v>
      </c>
      <c r="AL1492" s="100">
        <f t="shared" si="711"/>
        <v>0</v>
      </c>
      <c r="AN1492" s="100">
        <f t="shared" si="712"/>
        <v>2590.9468724522844</v>
      </c>
      <c r="AO1492" s="20">
        <f t="shared" si="713"/>
        <v>0</v>
      </c>
      <c r="AQ1492" s="109">
        <f t="shared" si="714"/>
        <v>0</v>
      </c>
      <c r="AU1492" s="109">
        <f t="shared" si="699"/>
        <v>23.800028009368379</v>
      </c>
      <c r="AV1492" s="101">
        <f t="shared" si="715"/>
        <v>85014</v>
      </c>
      <c r="AW1492" s="99">
        <f t="shared" si="716"/>
        <v>0</v>
      </c>
      <c r="AX1492" s="1">
        <f t="shared" si="717"/>
        <v>0</v>
      </c>
      <c r="AY1492" s="29">
        <f t="shared" si="718"/>
        <v>0</v>
      </c>
      <c r="AZ1492" s="1">
        <f t="shared" si="700"/>
        <v>0</v>
      </c>
      <c r="CB1492" s="20">
        <f t="shared" si="709"/>
        <v>0</v>
      </c>
      <c r="CC1492" s="173">
        <f t="shared" si="701"/>
        <v>0</v>
      </c>
    </row>
    <row r="1493" spans="10:81" x14ac:dyDescent="0.25">
      <c r="J1493" s="7"/>
      <c r="K1493" s="8"/>
      <c r="L1493" s="16"/>
      <c r="M1493" s="22"/>
      <c r="N1493" s="22"/>
      <c r="O1493" s="22"/>
      <c r="P1493" s="22"/>
      <c r="Q1493" s="1">
        <f t="shared" si="702"/>
        <v>0.60744618579017706</v>
      </c>
      <c r="R1493" s="12">
        <f t="shared" ca="1" si="719"/>
        <v>43892</v>
      </c>
      <c r="S1493" s="88">
        <f t="shared" si="728"/>
        <v>0</v>
      </c>
      <c r="T1493" s="19">
        <f t="shared" si="720"/>
        <v>0</v>
      </c>
      <c r="U1493" s="19">
        <f t="shared" si="721"/>
        <v>0</v>
      </c>
      <c r="V1493" s="19">
        <f t="shared" si="707"/>
        <v>0</v>
      </c>
      <c r="W1493" s="20">
        <f t="shared" ca="1" si="722"/>
        <v>0</v>
      </c>
      <c r="X1493" s="19">
        <f t="shared" ca="1" si="723"/>
        <v>0</v>
      </c>
      <c r="Y1493" s="19">
        <f t="shared" ca="1" si="724"/>
        <v>0</v>
      </c>
      <c r="Z1493" s="20">
        <f t="shared" ca="1" si="725"/>
        <v>0</v>
      </c>
      <c r="AA1493" s="1">
        <f t="shared" si="703"/>
        <v>5432.58</v>
      </c>
      <c r="AB1493" s="91"/>
      <c r="AC1493" s="92"/>
      <c r="AD1493" s="101">
        <f t="shared" si="704"/>
        <v>85014</v>
      </c>
      <c r="AE1493" s="103">
        <f t="shared" si="705"/>
        <v>0</v>
      </c>
      <c r="AG1493" s="1">
        <f t="shared" si="726"/>
        <v>0</v>
      </c>
      <c r="AH1493" s="1">
        <f t="shared" si="727"/>
        <v>0</v>
      </c>
      <c r="AI1493" s="1">
        <f t="shared" si="706"/>
        <v>5432.58</v>
      </c>
      <c r="AJ1493" s="20">
        <f t="shared" si="708"/>
        <v>0</v>
      </c>
      <c r="AK1493" s="100">
        <f t="shared" si="710"/>
        <v>0</v>
      </c>
      <c r="AL1493" s="100">
        <f t="shared" si="711"/>
        <v>0</v>
      </c>
      <c r="AN1493" s="100">
        <f t="shared" si="712"/>
        <v>2589.6359853673703</v>
      </c>
      <c r="AO1493" s="20">
        <f t="shared" si="713"/>
        <v>0</v>
      </c>
      <c r="AQ1493" s="109">
        <f t="shared" si="714"/>
        <v>0</v>
      </c>
      <c r="AU1493" s="109">
        <f t="shared" si="699"/>
        <v>23.797939079160329</v>
      </c>
      <c r="AV1493" s="101">
        <f t="shared" si="715"/>
        <v>85044</v>
      </c>
      <c r="AW1493" s="99">
        <f t="shared" si="716"/>
        <v>0</v>
      </c>
      <c r="AX1493" s="1">
        <f t="shared" si="717"/>
        <v>0</v>
      </c>
      <c r="AY1493" s="29">
        <f t="shared" si="718"/>
        <v>0</v>
      </c>
      <c r="AZ1493" s="1">
        <f t="shared" si="700"/>
        <v>0</v>
      </c>
      <c r="CB1493" s="20">
        <f t="shared" si="709"/>
        <v>0</v>
      </c>
      <c r="CC1493" s="173">
        <f t="shared" si="701"/>
        <v>0</v>
      </c>
    </row>
    <row r="1494" spans="10:81" x14ac:dyDescent="0.25">
      <c r="J1494" s="9"/>
      <c r="K1494" s="10"/>
      <c r="L1494" s="17"/>
      <c r="M1494" s="23"/>
      <c r="N1494" s="23"/>
      <c r="O1494" s="23"/>
      <c r="P1494" s="23"/>
      <c r="Q1494" s="1">
        <f t="shared" si="702"/>
        <v>0.60744618579017706</v>
      </c>
      <c r="R1494" s="12">
        <f t="shared" ca="1" si="719"/>
        <v>43922</v>
      </c>
      <c r="S1494" s="88">
        <f t="shared" si="728"/>
        <v>0</v>
      </c>
      <c r="T1494" s="19">
        <f t="shared" si="720"/>
        <v>0</v>
      </c>
      <c r="U1494" s="19">
        <f t="shared" si="721"/>
        <v>0</v>
      </c>
      <c r="V1494" s="19">
        <f t="shared" si="707"/>
        <v>0</v>
      </c>
      <c r="W1494" s="20">
        <f t="shared" ca="1" si="722"/>
        <v>0</v>
      </c>
      <c r="X1494" s="19">
        <f t="shared" ca="1" si="723"/>
        <v>0</v>
      </c>
      <c r="Y1494" s="19">
        <f t="shared" ca="1" si="724"/>
        <v>0</v>
      </c>
      <c r="Z1494" s="20">
        <f t="shared" ca="1" si="725"/>
        <v>0</v>
      </c>
      <c r="AA1494" s="1">
        <f t="shared" si="703"/>
        <v>5432.58</v>
      </c>
      <c r="AB1494" s="93"/>
      <c r="AC1494" s="94"/>
      <c r="AD1494" s="101">
        <f t="shared" si="704"/>
        <v>85044</v>
      </c>
      <c r="AE1494" s="103">
        <f t="shared" si="705"/>
        <v>0</v>
      </c>
      <c r="AG1494" s="1">
        <f t="shared" si="726"/>
        <v>0</v>
      </c>
      <c r="AH1494" s="1">
        <f t="shared" si="727"/>
        <v>0</v>
      </c>
      <c r="AI1494" s="1">
        <f t="shared" si="706"/>
        <v>5432.58</v>
      </c>
      <c r="AJ1494" s="20">
        <f t="shared" si="708"/>
        <v>0</v>
      </c>
      <c r="AK1494" s="100">
        <f t="shared" si="710"/>
        <v>0</v>
      </c>
      <c r="AL1494" s="100">
        <f t="shared" si="711"/>
        <v>0</v>
      </c>
      <c r="AN1494" s="100">
        <f t="shared" si="712"/>
        <v>2588.3257615245193</v>
      </c>
      <c r="AO1494" s="20">
        <f t="shared" si="713"/>
        <v>0</v>
      </c>
      <c r="AQ1494" s="109">
        <f t="shared" si="714"/>
        <v>0</v>
      </c>
      <c r="AU1494" s="109">
        <f t="shared" si="699"/>
        <v>23.795850332297825</v>
      </c>
      <c r="AV1494" s="101">
        <f t="shared" si="715"/>
        <v>85074</v>
      </c>
      <c r="AW1494" s="99">
        <f t="shared" si="716"/>
        <v>0</v>
      </c>
      <c r="AX1494" s="1">
        <f t="shared" si="717"/>
        <v>0</v>
      </c>
      <c r="AY1494" s="29">
        <f t="shared" si="718"/>
        <v>0</v>
      </c>
      <c r="AZ1494" s="1">
        <f t="shared" si="700"/>
        <v>0</v>
      </c>
      <c r="CB1494" s="20">
        <f t="shared" si="709"/>
        <v>0</v>
      </c>
      <c r="CC1494" s="173">
        <f t="shared" si="701"/>
        <v>0</v>
      </c>
    </row>
    <row r="1495" spans="10:81" x14ac:dyDescent="0.25">
      <c r="J1495" s="7"/>
      <c r="K1495" s="8"/>
      <c r="L1495" s="16"/>
      <c r="M1495" s="22"/>
      <c r="N1495" s="22"/>
      <c r="O1495" s="22"/>
      <c r="P1495" s="22"/>
      <c r="Q1495" s="1">
        <f t="shared" si="702"/>
        <v>0.60744618579017706</v>
      </c>
      <c r="R1495" s="12">
        <f t="shared" ca="1" si="719"/>
        <v>43952</v>
      </c>
      <c r="S1495" s="88">
        <f t="shared" si="728"/>
        <v>0</v>
      </c>
      <c r="T1495" s="19">
        <f t="shared" si="720"/>
        <v>0</v>
      </c>
      <c r="U1495" s="19">
        <f t="shared" si="721"/>
        <v>0</v>
      </c>
      <c r="V1495" s="19">
        <f t="shared" si="707"/>
        <v>0</v>
      </c>
      <c r="W1495" s="20">
        <f t="shared" ca="1" si="722"/>
        <v>0</v>
      </c>
      <c r="X1495" s="19">
        <f t="shared" ca="1" si="723"/>
        <v>0</v>
      </c>
      <c r="Y1495" s="19">
        <f t="shared" ca="1" si="724"/>
        <v>0</v>
      </c>
      <c r="Z1495" s="20">
        <f t="shared" ca="1" si="725"/>
        <v>0</v>
      </c>
      <c r="AA1495" s="1">
        <f t="shared" si="703"/>
        <v>5432.58</v>
      </c>
      <c r="AB1495" s="91"/>
      <c r="AC1495" s="92"/>
      <c r="AD1495" s="101">
        <f t="shared" si="704"/>
        <v>85074</v>
      </c>
      <c r="AE1495" s="103">
        <f t="shared" si="705"/>
        <v>0</v>
      </c>
      <c r="AG1495" s="1">
        <f t="shared" si="726"/>
        <v>0</v>
      </c>
      <c r="AH1495" s="1">
        <f t="shared" si="727"/>
        <v>0</v>
      </c>
      <c r="AI1495" s="1">
        <f t="shared" si="706"/>
        <v>5432.58</v>
      </c>
      <c r="AJ1495" s="20">
        <f t="shared" si="708"/>
        <v>0</v>
      </c>
      <c r="AK1495" s="100">
        <f t="shared" si="710"/>
        <v>0</v>
      </c>
      <c r="AL1495" s="100">
        <f t="shared" si="711"/>
        <v>0</v>
      </c>
      <c r="AN1495" s="100">
        <f t="shared" si="712"/>
        <v>2587.0162005881652</v>
      </c>
      <c r="AO1495" s="20">
        <f t="shared" si="713"/>
        <v>0</v>
      </c>
      <c r="AQ1495" s="109">
        <f t="shared" si="714"/>
        <v>0</v>
      </c>
      <c r="AU1495" s="109">
        <f t="shared" si="699"/>
        <v>23.793761768764792</v>
      </c>
      <c r="AV1495" s="101">
        <f t="shared" si="715"/>
        <v>85104</v>
      </c>
      <c r="AW1495" s="99">
        <f t="shared" si="716"/>
        <v>0</v>
      </c>
      <c r="AX1495" s="1">
        <f t="shared" si="717"/>
        <v>0</v>
      </c>
      <c r="AY1495" s="29">
        <f t="shared" si="718"/>
        <v>0</v>
      </c>
      <c r="AZ1495" s="1">
        <f t="shared" si="700"/>
        <v>0</v>
      </c>
      <c r="CB1495" s="20">
        <f t="shared" si="709"/>
        <v>0</v>
      </c>
      <c r="CC1495" s="173">
        <f t="shared" si="701"/>
        <v>0</v>
      </c>
    </row>
    <row r="1496" spans="10:81" x14ac:dyDescent="0.25">
      <c r="J1496" s="9"/>
      <c r="K1496" s="10"/>
      <c r="L1496" s="17"/>
      <c r="M1496" s="23"/>
      <c r="N1496" s="23"/>
      <c r="O1496" s="23"/>
      <c r="P1496" s="23"/>
      <c r="Q1496" s="1">
        <f t="shared" si="702"/>
        <v>0.60744618579017706</v>
      </c>
      <c r="R1496" s="12">
        <f t="shared" ca="1" si="719"/>
        <v>43982</v>
      </c>
      <c r="S1496" s="88">
        <f t="shared" si="728"/>
        <v>0</v>
      </c>
      <c r="T1496" s="19">
        <f t="shared" si="720"/>
        <v>0</v>
      </c>
      <c r="U1496" s="19">
        <f t="shared" si="721"/>
        <v>0</v>
      </c>
      <c r="V1496" s="19">
        <f t="shared" si="707"/>
        <v>0</v>
      </c>
      <c r="W1496" s="20">
        <f t="shared" ca="1" si="722"/>
        <v>0</v>
      </c>
      <c r="X1496" s="19">
        <f t="shared" ca="1" si="723"/>
        <v>0</v>
      </c>
      <c r="Y1496" s="19">
        <f t="shared" ca="1" si="724"/>
        <v>0</v>
      </c>
      <c r="Z1496" s="20">
        <f t="shared" ca="1" si="725"/>
        <v>0</v>
      </c>
      <c r="AA1496" s="1">
        <f t="shared" si="703"/>
        <v>5432.58</v>
      </c>
      <c r="AB1496" s="93"/>
      <c r="AC1496" s="94"/>
      <c r="AD1496" s="101">
        <f t="shared" si="704"/>
        <v>85104</v>
      </c>
      <c r="AE1496" s="103">
        <f t="shared" si="705"/>
        <v>0</v>
      </c>
      <c r="AG1496" s="1">
        <f t="shared" si="726"/>
        <v>0</v>
      </c>
      <c r="AH1496" s="1">
        <f t="shared" si="727"/>
        <v>0</v>
      </c>
      <c r="AI1496" s="1">
        <f t="shared" si="706"/>
        <v>5432.58</v>
      </c>
      <c r="AJ1496" s="20">
        <f t="shared" si="708"/>
        <v>0</v>
      </c>
      <c r="AK1496" s="100">
        <f t="shared" si="710"/>
        <v>0</v>
      </c>
      <c r="AL1496" s="100">
        <f t="shared" si="711"/>
        <v>0</v>
      </c>
      <c r="AN1496" s="100">
        <f t="shared" si="712"/>
        <v>2585.707302222911</v>
      </c>
      <c r="AO1496" s="20">
        <f t="shared" si="713"/>
        <v>0</v>
      </c>
      <c r="AQ1496" s="109">
        <f t="shared" si="714"/>
        <v>0</v>
      </c>
      <c r="AU1496" s="109">
        <f t="shared" si="699"/>
        <v>23.791673388545131</v>
      </c>
      <c r="AV1496" s="101">
        <f t="shared" si="715"/>
        <v>85134</v>
      </c>
      <c r="AW1496" s="99">
        <f t="shared" si="716"/>
        <v>0</v>
      </c>
      <c r="AX1496" s="1">
        <f t="shared" si="717"/>
        <v>0</v>
      </c>
      <c r="AY1496" s="29">
        <f t="shared" si="718"/>
        <v>0</v>
      </c>
      <c r="AZ1496" s="1">
        <f t="shared" si="700"/>
        <v>0</v>
      </c>
      <c r="CB1496" s="20">
        <f t="shared" si="709"/>
        <v>0</v>
      </c>
      <c r="CC1496" s="173">
        <f t="shared" si="701"/>
        <v>0</v>
      </c>
    </row>
    <row r="1497" spans="10:81" x14ac:dyDescent="0.25">
      <c r="J1497" s="7"/>
      <c r="K1497" s="8"/>
      <c r="L1497" s="16"/>
      <c r="M1497" s="22"/>
      <c r="N1497" s="22"/>
      <c r="O1497" s="22"/>
      <c r="P1497" s="22"/>
      <c r="Q1497" s="1">
        <f t="shared" si="702"/>
        <v>0.60744618579017706</v>
      </c>
      <c r="R1497" s="12">
        <f t="shared" ca="1" si="719"/>
        <v>44012</v>
      </c>
      <c r="S1497" s="88">
        <f t="shared" si="728"/>
        <v>0</v>
      </c>
      <c r="T1497" s="19">
        <f t="shared" si="720"/>
        <v>0</v>
      </c>
      <c r="U1497" s="19">
        <f t="shared" si="721"/>
        <v>0</v>
      </c>
      <c r="V1497" s="19">
        <f t="shared" si="707"/>
        <v>0</v>
      </c>
      <c r="W1497" s="20">
        <f t="shared" ca="1" si="722"/>
        <v>0</v>
      </c>
      <c r="X1497" s="19">
        <f t="shared" ca="1" si="723"/>
        <v>0</v>
      </c>
      <c r="Y1497" s="19">
        <f t="shared" ca="1" si="724"/>
        <v>0</v>
      </c>
      <c r="Z1497" s="20">
        <f t="shared" ca="1" si="725"/>
        <v>0</v>
      </c>
      <c r="AA1497" s="1">
        <f t="shared" si="703"/>
        <v>5432.58</v>
      </c>
      <c r="AB1497" s="91"/>
      <c r="AC1497" s="92"/>
      <c r="AD1497" s="101">
        <f t="shared" si="704"/>
        <v>85134</v>
      </c>
      <c r="AE1497" s="103">
        <f t="shared" si="705"/>
        <v>0</v>
      </c>
      <c r="AG1497" s="1">
        <f t="shared" si="726"/>
        <v>0</v>
      </c>
      <c r="AH1497" s="1">
        <f t="shared" si="727"/>
        <v>0</v>
      </c>
      <c r="AI1497" s="1">
        <f t="shared" si="706"/>
        <v>5432.58</v>
      </c>
      <c r="AJ1497" s="20">
        <f t="shared" si="708"/>
        <v>0</v>
      </c>
      <c r="AK1497" s="100">
        <f t="shared" si="710"/>
        <v>0</v>
      </c>
      <c r="AL1497" s="100">
        <f t="shared" si="711"/>
        <v>0</v>
      </c>
      <c r="AN1497" s="100">
        <f t="shared" si="712"/>
        <v>2584.3990660935287</v>
      </c>
      <c r="AO1497" s="20">
        <f t="shared" si="713"/>
        <v>0</v>
      </c>
      <c r="AQ1497" s="109">
        <f t="shared" si="714"/>
        <v>0</v>
      </c>
      <c r="AU1497" s="109">
        <f t="shared" si="699"/>
        <v>23.78958519162277</v>
      </c>
      <c r="AV1497" s="101">
        <f t="shared" si="715"/>
        <v>85164</v>
      </c>
      <c r="AW1497" s="99">
        <f t="shared" si="716"/>
        <v>0</v>
      </c>
      <c r="AX1497" s="1">
        <f t="shared" si="717"/>
        <v>0</v>
      </c>
      <c r="AY1497" s="29">
        <f t="shared" si="718"/>
        <v>0</v>
      </c>
      <c r="AZ1497" s="1">
        <f t="shared" si="700"/>
        <v>0</v>
      </c>
      <c r="CB1497" s="20">
        <f t="shared" si="709"/>
        <v>0</v>
      </c>
      <c r="CC1497" s="173">
        <f t="shared" si="701"/>
        <v>0</v>
      </c>
    </row>
    <row r="1498" spans="10:81" x14ac:dyDescent="0.25">
      <c r="J1498" s="9"/>
      <c r="K1498" s="10"/>
      <c r="L1498" s="17"/>
      <c r="M1498" s="23"/>
      <c r="N1498" s="23"/>
      <c r="O1498" s="23"/>
      <c r="P1498" s="23"/>
      <c r="Q1498" s="1">
        <f t="shared" si="702"/>
        <v>0.60744618579017706</v>
      </c>
      <c r="R1498" s="12">
        <f t="shared" ca="1" si="719"/>
        <v>44042</v>
      </c>
      <c r="S1498" s="88">
        <f t="shared" si="728"/>
        <v>0</v>
      </c>
      <c r="T1498" s="19">
        <f t="shared" si="720"/>
        <v>0</v>
      </c>
      <c r="U1498" s="19">
        <f t="shared" si="721"/>
        <v>0</v>
      </c>
      <c r="V1498" s="19">
        <f t="shared" si="707"/>
        <v>0</v>
      </c>
      <c r="W1498" s="20">
        <f t="shared" ca="1" si="722"/>
        <v>0</v>
      </c>
      <c r="X1498" s="19">
        <f t="shared" ca="1" si="723"/>
        <v>0</v>
      </c>
      <c r="Y1498" s="19">
        <f t="shared" ca="1" si="724"/>
        <v>0</v>
      </c>
      <c r="Z1498" s="20">
        <f t="shared" ca="1" si="725"/>
        <v>0</v>
      </c>
      <c r="AA1498" s="1">
        <f t="shared" si="703"/>
        <v>5432.58</v>
      </c>
      <c r="AB1498" s="93"/>
      <c r="AC1498" s="94"/>
      <c r="AD1498" s="101">
        <f t="shared" si="704"/>
        <v>85164</v>
      </c>
      <c r="AE1498" s="103">
        <f t="shared" si="705"/>
        <v>0</v>
      </c>
      <c r="AG1498" s="1">
        <f t="shared" si="726"/>
        <v>0</v>
      </c>
      <c r="AH1498" s="1">
        <f t="shared" si="727"/>
        <v>0</v>
      </c>
      <c r="AI1498" s="1">
        <f t="shared" si="706"/>
        <v>5432.58</v>
      </c>
      <c r="AJ1498" s="20">
        <f t="shared" si="708"/>
        <v>0</v>
      </c>
      <c r="AK1498" s="100">
        <f t="shared" si="710"/>
        <v>0</v>
      </c>
      <c r="AL1498" s="100">
        <f t="shared" si="711"/>
        <v>0</v>
      </c>
      <c r="AN1498" s="100">
        <f t="shared" si="712"/>
        <v>2583.091491864961</v>
      </c>
      <c r="AO1498" s="20">
        <f t="shared" si="713"/>
        <v>0</v>
      </c>
      <c r="AQ1498" s="109">
        <f t="shared" si="714"/>
        <v>0</v>
      </c>
      <c r="AU1498" s="109">
        <f t="shared" si="699"/>
        <v>23.787497177981592</v>
      </c>
      <c r="AV1498" s="101">
        <f t="shared" si="715"/>
        <v>85194</v>
      </c>
      <c r="AW1498" s="99">
        <f t="shared" si="716"/>
        <v>0</v>
      </c>
      <c r="AX1498" s="1">
        <f t="shared" si="717"/>
        <v>0</v>
      </c>
      <c r="AY1498" s="29">
        <f t="shared" si="718"/>
        <v>0</v>
      </c>
      <c r="AZ1498" s="1">
        <f t="shared" si="700"/>
        <v>0</v>
      </c>
      <c r="CB1498" s="20">
        <f t="shared" si="709"/>
        <v>0</v>
      </c>
      <c r="CC1498" s="173">
        <f t="shared" si="701"/>
        <v>0</v>
      </c>
    </row>
    <row r="1499" spans="10:81" x14ac:dyDescent="0.25">
      <c r="J1499" s="7"/>
      <c r="K1499" s="8"/>
      <c r="L1499" s="16"/>
      <c r="M1499" s="22"/>
      <c r="N1499" s="22"/>
      <c r="O1499" s="22"/>
      <c r="P1499" s="22"/>
      <c r="Q1499" s="1">
        <f t="shared" si="702"/>
        <v>0.60744618579017706</v>
      </c>
      <c r="R1499" s="12">
        <f t="shared" ca="1" si="719"/>
        <v>44072</v>
      </c>
      <c r="S1499" s="88">
        <f t="shared" si="728"/>
        <v>0</v>
      </c>
      <c r="T1499" s="19">
        <f t="shared" si="720"/>
        <v>0</v>
      </c>
      <c r="U1499" s="19">
        <f t="shared" si="721"/>
        <v>0</v>
      </c>
      <c r="V1499" s="19">
        <f t="shared" si="707"/>
        <v>0</v>
      </c>
      <c r="W1499" s="20">
        <f t="shared" ca="1" si="722"/>
        <v>0</v>
      </c>
      <c r="X1499" s="19">
        <f t="shared" ca="1" si="723"/>
        <v>0</v>
      </c>
      <c r="Y1499" s="19">
        <f t="shared" ca="1" si="724"/>
        <v>0</v>
      </c>
      <c r="Z1499" s="20">
        <f t="shared" ca="1" si="725"/>
        <v>0</v>
      </c>
      <c r="AA1499" s="1">
        <f t="shared" si="703"/>
        <v>5432.58</v>
      </c>
      <c r="AB1499" s="91"/>
      <c r="AC1499" s="92"/>
      <c r="AD1499" s="101">
        <f t="shared" si="704"/>
        <v>85194</v>
      </c>
      <c r="AE1499" s="103">
        <f t="shared" si="705"/>
        <v>0</v>
      </c>
      <c r="AG1499" s="1">
        <f t="shared" si="726"/>
        <v>0</v>
      </c>
      <c r="AH1499" s="1">
        <f t="shared" si="727"/>
        <v>0</v>
      </c>
      <c r="AI1499" s="1">
        <f t="shared" si="706"/>
        <v>5432.58</v>
      </c>
      <c r="AJ1499" s="20">
        <f t="shared" si="708"/>
        <v>0</v>
      </c>
      <c r="AK1499" s="100">
        <f t="shared" si="710"/>
        <v>0</v>
      </c>
      <c r="AL1499" s="100">
        <f t="shared" si="711"/>
        <v>0</v>
      </c>
      <c r="AN1499" s="100">
        <f t="shared" si="712"/>
        <v>2581.7845792023204</v>
      </c>
      <c r="AO1499" s="20">
        <f t="shared" si="713"/>
        <v>0</v>
      </c>
      <c r="AQ1499" s="109">
        <f t="shared" si="714"/>
        <v>0</v>
      </c>
      <c r="AU1499" s="109">
        <f t="shared" si="699"/>
        <v>23.785409347605519</v>
      </c>
      <c r="AV1499" s="101">
        <f t="shared" si="715"/>
        <v>85224</v>
      </c>
      <c r="AW1499" s="99">
        <f t="shared" si="716"/>
        <v>0</v>
      </c>
      <c r="AX1499" s="1">
        <f t="shared" si="717"/>
        <v>0</v>
      </c>
      <c r="AY1499" s="29">
        <f t="shared" si="718"/>
        <v>0</v>
      </c>
      <c r="AZ1499" s="1">
        <f t="shared" si="700"/>
        <v>0</v>
      </c>
      <c r="CB1499" s="20">
        <f t="shared" si="709"/>
        <v>0</v>
      </c>
      <c r="CC1499" s="173">
        <f t="shared" si="701"/>
        <v>0</v>
      </c>
    </row>
    <row r="1500" spans="10:81" x14ac:dyDescent="0.25">
      <c r="J1500" s="9"/>
      <c r="K1500" s="10"/>
      <c r="L1500" s="17"/>
      <c r="M1500" s="23"/>
      <c r="N1500" s="23"/>
      <c r="O1500" s="23"/>
      <c r="P1500" s="23"/>
      <c r="Q1500" s="1">
        <f t="shared" si="702"/>
        <v>0.60744618579017706</v>
      </c>
      <c r="R1500" s="12">
        <f t="shared" ca="1" si="719"/>
        <v>44102</v>
      </c>
      <c r="S1500" s="88">
        <f t="shared" si="728"/>
        <v>0</v>
      </c>
      <c r="T1500" s="19">
        <f t="shared" si="720"/>
        <v>0</v>
      </c>
      <c r="U1500" s="19">
        <f t="shared" si="721"/>
        <v>0</v>
      </c>
      <c r="V1500" s="19">
        <f t="shared" si="707"/>
        <v>0</v>
      </c>
      <c r="W1500" s="20">
        <f t="shared" ca="1" si="722"/>
        <v>0</v>
      </c>
      <c r="X1500" s="19">
        <f t="shared" ca="1" si="723"/>
        <v>0</v>
      </c>
      <c r="Y1500" s="19">
        <f t="shared" ca="1" si="724"/>
        <v>0</v>
      </c>
      <c r="Z1500" s="20">
        <f t="shared" ca="1" si="725"/>
        <v>0</v>
      </c>
      <c r="AA1500" s="1">
        <f t="shared" si="703"/>
        <v>5432.58</v>
      </c>
      <c r="AB1500" s="93"/>
      <c r="AC1500" s="94"/>
      <c r="AD1500" s="101">
        <f t="shared" si="704"/>
        <v>85224</v>
      </c>
      <c r="AE1500" s="103">
        <f t="shared" si="705"/>
        <v>0</v>
      </c>
      <c r="AG1500" s="1">
        <f t="shared" si="726"/>
        <v>0</v>
      </c>
      <c r="AH1500" s="1">
        <f t="shared" si="727"/>
        <v>0</v>
      </c>
      <c r="AI1500" s="1">
        <f t="shared" si="706"/>
        <v>5432.58</v>
      </c>
      <c r="AJ1500" s="20">
        <f t="shared" si="708"/>
        <v>0</v>
      </c>
      <c r="AK1500" s="100">
        <f t="shared" si="710"/>
        <v>0</v>
      </c>
      <c r="AL1500" s="100">
        <f t="shared" si="711"/>
        <v>0</v>
      </c>
      <c r="AN1500" s="100">
        <f t="shared" si="712"/>
        <v>2580.478327770888</v>
      </c>
      <c r="AO1500" s="20">
        <f t="shared" si="713"/>
        <v>0</v>
      </c>
      <c r="AQ1500" s="109">
        <f t="shared" si="714"/>
        <v>0</v>
      </c>
      <c r="AU1500" s="109">
        <f t="shared" si="699"/>
        <v>23.783321700478488</v>
      </c>
      <c r="AV1500" s="101">
        <f t="shared" si="715"/>
        <v>85254</v>
      </c>
      <c r="AW1500" s="99">
        <f t="shared" si="716"/>
        <v>0</v>
      </c>
      <c r="AX1500" s="1">
        <f t="shared" si="717"/>
        <v>0</v>
      </c>
      <c r="AY1500" s="29">
        <f t="shared" si="718"/>
        <v>0</v>
      </c>
      <c r="AZ1500" s="1">
        <f t="shared" si="700"/>
        <v>0</v>
      </c>
      <c r="CB1500" s="20">
        <f t="shared" si="709"/>
        <v>0</v>
      </c>
      <c r="CC1500" s="173">
        <f t="shared" si="701"/>
        <v>0</v>
      </c>
    </row>
    <row r="1501" spans="10:81" x14ac:dyDescent="0.25">
      <c r="J1501" s="7"/>
      <c r="K1501" s="8"/>
      <c r="L1501" s="16"/>
      <c r="M1501" s="22"/>
      <c r="N1501" s="22"/>
      <c r="O1501" s="22"/>
      <c r="P1501" s="22"/>
      <c r="Q1501" s="1">
        <f t="shared" si="702"/>
        <v>0.60744618579017706</v>
      </c>
      <c r="R1501" s="12">
        <f t="shared" ca="1" si="719"/>
        <v>44132</v>
      </c>
      <c r="S1501" s="88">
        <f t="shared" si="728"/>
        <v>0</v>
      </c>
      <c r="T1501" s="19">
        <f t="shared" si="720"/>
        <v>0</v>
      </c>
      <c r="U1501" s="19">
        <f t="shared" si="721"/>
        <v>0</v>
      </c>
      <c r="V1501" s="19">
        <f t="shared" si="707"/>
        <v>0</v>
      </c>
      <c r="W1501" s="20">
        <f t="shared" ca="1" si="722"/>
        <v>0</v>
      </c>
      <c r="X1501" s="19">
        <f t="shared" ca="1" si="723"/>
        <v>0</v>
      </c>
      <c r="Y1501" s="19">
        <f t="shared" ca="1" si="724"/>
        <v>0</v>
      </c>
      <c r="Z1501" s="20">
        <f t="shared" ca="1" si="725"/>
        <v>0</v>
      </c>
      <c r="AA1501" s="1">
        <f t="shared" si="703"/>
        <v>5432.58</v>
      </c>
      <c r="AB1501" s="91"/>
      <c r="AC1501" s="92"/>
      <c r="AD1501" s="101">
        <f t="shared" si="704"/>
        <v>85254</v>
      </c>
      <c r="AE1501" s="103">
        <f t="shared" si="705"/>
        <v>0</v>
      </c>
      <c r="AG1501" s="1">
        <f t="shared" si="726"/>
        <v>0</v>
      </c>
      <c r="AH1501" s="1">
        <f t="shared" si="727"/>
        <v>0</v>
      </c>
      <c r="AI1501" s="1">
        <f t="shared" si="706"/>
        <v>5432.58</v>
      </c>
      <c r="AJ1501" s="20">
        <f t="shared" si="708"/>
        <v>0</v>
      </c>
      <c r="AK1501" s="100">
        <f t="shared" si="710"/>
        <v>0</v>
      </c>
      <c r="AL1501" s="100">
        <f t="shared" si="711"/>
        <v>0</v>
      </c>
      <c r="AN1501" s="100">
        <f t="shared" si="712"/>
        <v>2579.1727372361152</v>
      </c>
      <c r="AO1501" s="20">
        <f t="shared" si="713"/>
        <v>0</v>
      </c>
      <c r="AQ1501" s="109">
        <f t="shared" si="714"/>
        <v>0</v>
      </c>
      <c r="AU1501" s="109">
        <f t="shared" si="699"/>
        <v>23.781234236584393</v>
      </c>
      <c r="AV1501" s="101">
        <f t="shared" si="715"/>
        <v>85284</v>
      </c>
      <c r="AW1501" s="99">
        <f t="shared" si="716"/>
        <v>0</v>
      </c>
      <c r="AX1501" s="1">
        <f t="shared" si="717"/>
        <v>0</v>
      </c>
      <c r="AY1501" s="29">
        <f t="shared" si="718"/>
        <v>0</v>
      </c>
      <c r="AZ1501" s="1">
        <f t="shared" si="700"/>
        <v>0</v>
      </c>
      <c r="CB1501" s="20">
        <f t="shared" si="709"/>
        <v>0</v>
      </c>
      <c r="CC1501" s="173">
        <f t="shared" si="701"/>
        <v>0</v>
      </c>
    </row>
    <row r="1502" spans="10:81" x14ac:dyDescent="0.25">
      <c r="J1502" s="9"/>
      <c r="K1502" s="10"/>
      <c r="L1502" s="17"/>
      <c r="M1502" s="23"/>
      <c r="N1502" s="23"/>
      <c r="O1502" s="23"/>
      <c r="P1502" s="23"/>
      <c r="Q1502" s="1">
        <f t="shared" si="702"/>
        <v>0.60744618579017706</v>
      </c>
      <c r="R1502" s="12">
        <f t="shared" ca="1" si="719"/>
        <v>44162</v>
      </c>
      <c r="S1502" s="88">
        <f t="shared" si="728"/>
        <v>0</v>
      </c>
      <c r="T1502" s="19">
        <f t="shared" si="720"/>
        <v>0</v>
      </c>
      <c r="U1502" s="19">
        <f t="shared" si="721"/>
        <v>0</v>
      </c>
      <c r="V1502" s="19">
        <f t="shared" si="707"/>
        <v>0</v>
      </c>
      <c r="W1502" s="20">
        <f t="shared" ca="1" si="722"/>
        <v>0</v>
      </c>
      <c r="X1502" s="19">
        <f t="shared" ca="1" si="723"/>
        <v>0</v>
      </c>
      <c r="Y1502" s="19">
        <f t="shared" ca="1" si="724"/>
        <v>0</v>
      </c>
      <c r="Z1502" s="20">
        <f t="shared" ca="1" si="725"/>
        <v>0</v>
      </c>
      <c r="AA1502" s="1">
        <f t="shared" si="703"/>
        <v>5432.58</v>
      </c>
      <c r="AB1502" s="93"/>
      <c r="AC1502" s="94"/>
      <c r="AD1502" s="101">
        <f t="shared" si="704"/>
        <v>85284</v>
      </c>
      <c r="AE1502" s="103">
        <f t="shared" si="705"/>
        <v>0</v>
      </c>
      <c r="AG1502" s="1">
        <f t="shared" si="726"/>
        <v>0</v>
      </c>
      <c r="AH1502" s="1">
        <f t="shared" si="727"/>
        <v>0</v>
      </c>
      <c r="AI1502" s="1">
        <f t="shared" si="706"/>
        <v>5432.58</v>
      </c>
      <c r="AJ1502" s="20">
        <f t="shared" si="708"/>
        <v>0</v>
      </c>
      <c r="AK1502" s="100">
        <f t="shared" si="710"/>
        <v>0</v>
      </c>
      <c r="AL1502" s="100">
        <f t="shared" si="711"/>
        <v>0</v>
      </c>
      <c r="AN1502" s="100">
        <f t="shared" si="712"/>
        <v>2577.8678072636199</v>
      </c>
      <c r="AO1502" s="20">
        <f t="shared" si="713"/>
        <v>0</v>
      </c>
      <c r="AQ1502" s="109">
        <f t="shared" si="714"/>
        <v>0</v>
      </c>
      <c r="AU1502" s="109">
        <f t="shared" si="699"/>
        <v>23.779146955907148</v>
      </c>
      <c r="AV1502" s="101">
        <f t="shared" si="715"/>
        <v>85314</v>
      </c>
      <c r="AW1502" s="99">
        <f t="shared" si="716"/>
        <v>0</v>
      </c>
      <c r="AX1502" s="1">
        <f t="shared" si="717"/>
        <v>0</v>
      </c>
      <c r="AY1502" s="29">
        <f t="shared" si="718"/>
        <v>0</v>
      </c>
      <c r="AZ1502" s="1">
        <f t="shared" si="700"/>
        <v>0</v>
      </c>
      <c r="CB1502" s="20">
        <f t="shared" si="709"/>
        <v>0</v>
      </c>
      <c r="CC1502" s="173">
        <f t="shared" si="701"/>
        <v>0</v>
      </c>
    </row>
    <row r="1503" spans="10:81" x14ac:dyDescent="0.25">
      <c r="J1503" s="7"/>
      <c r="K1503" s="8"/>
      <c r="L1503" s="16"/>
      <c r="M1503" s="22"/>
      <c r="N1503" s="22"/>
      <c r="O1503" s="22"/>
      <c r="P1503" s="22"/>
      <c r="Q1503" s="1">
        <f t="shared" si="702"/>
        <v>0.60744618579017706</v>
      </c>
      <c r="R1503" s="12">
        <f t="shared" ca="1" si="719"/>
        <v>44192</v>
      </c>
      <c r="S1503" s="88">
        <f t="shared" si="728"/>
        <v>0</v>
      </c>
      <c r="T1503" s="19">
        <f t="shared" si="720"/>
        <v>0</v>
      </c>
      <c r="U1503" s="19">
        <f t="shared" si="721"/>
        <v>0</v>
      </c>
      <c r="V1503" s="19">
        <f t="shared" si="707"/>
        <v>0</v>
      </c>
      <c r="W1503" s="20">
        <f t="shared" ca="1" si="722"/>
        <v>0</v>
      </c>
      <c r="X1503" s="19">
        <f t="shared" ca="1" si="723"/>
        <v>0</v>
      </c>
      <c r="Y1503" s="19">
        <f t="shared" ca="1" si="724"/>
        <v>0</v>
      </c>
      <c r="Z1503" s="20">
        <f t="shared" ca="1" si="725"/>
        <v>0</v>
      </c>
      <c r="AA1503" s="1">
        <f t="shared" si="703"/>
        <v>5432.58</v>
      </c>
      <c r="AB1503" s="91"/>
      <c r="AC1503" s="92"/>
      <c r="AD1503" s="101">
        <f t="shared" si="704"/>
        <v>85314</v>
      </c>
      <c r="AE1503" s="103">
        <f t="shared" si="705"/>
        <v>0</v>
      </c>
      <c r="AG1503" s="1">
        <f t="shared" si="726"/>
        <v>0</v>
      </c>
      <c r="AH1503" s="1">
        <f t="shared" si="727"/>
        <v>0</v>
      </c>
      <c r="AI1503" s="1">
        <f t="shared" si="706"/>
        <v>5432.58</v>
      </c>
      <c r="AJ1503" s="20">
        <f t="shared" si="708"/>
        <v>0</v>
      </c>
      <c r="AK1503" s="100">
        <f t="shared" si="710"/>
        <v>0</v>
      </c>
      <c r="AL1503" s="100">
        <f t="shared" si="711"/>
        <v>0</v>
      </c>
      <c r="AN1503" s="100">
        <f t="shared" si="712"/>
        <v>2576.5635375191928</v>
      </c>
      <c r="AO1503" s="20">
        <f t="shared" si="713"/>
        <v>0</v>
      </c>
      <c r="AQ1503" s="109">
        <f t="shared" si="714"/>
        <v>0</v>
      </c>
      <c r="AU1503" s="109">
        <f t="shared" ref="AU1503:AU1566" si="729">(($AT$27/(1+((1+$AM$27)^(ROW()-29)*30)-1))/292)*0.32</f>
        <v>23.7770598584307</v>
      </c>
      <c r="AV1503" s="101">
        <f t="shared" si="715"/>
        <v>85344</v>
      </c>
      <c r="AW1503" s="99">
        <f t="shared" si="716"/>
        <v>0</v>
      </c>
      <c r="AX1503" s="1">
        <f t="shared" si="717"/>
        <v>0</v>
      </c>
      <c r="AY1503" s="29">
        <f t="shared" si="718"/>
        <v>0</v>
      </c>
      <c r="AZ1503" s="1">
        <f t="shared" ref="AZ1503:AZ1566" si="730">AY1503/360</f>
        <v>0</v>
      </c>
      <c r="CB1503" s="20">
        <f t="shared" si="709"/>
        <v>0</v>
      </c>
      <c r="CC1503" s="173">
        <f t="shared" ref="CC1503:CC1566" si="731">AJ1503+U1503+T1503</f>
        <v>0</v>
      </c>
    </row>
    <row r="1504" spans="10:81" x14ac:dyDescent="0.25">
      <c r="J1504" s="9"/>
      <c r="K1504" s="10"/>
      <c r="L1504" s="17"/>
      <c r="M1504" s="23"/>
      <c r="N1504" s="23"/>
      <c r="O1504" s="23"/>
      <c r="P1504" s="23"/>
      <c r="Q1504" s="1">
        <f t="shared" ref="Q1504:Q1567" si="732">IF(M1504=0,Q1503,(M1504*1200)/O1503)</f>
        <v>0.60744618579017706</v>
      </c>
      <c r="R1504" s="12">
        <f t="shared" ca="1" si="719"/>
        <v>44222</v>
      </c>
      <c r="S1504" s="88">
        <f t="shared" si="728"/>
        <v>0</v>
      </c>
      <c r="T1504" s="19">
        <f t="shared" si="720"/>
        <v>0</v>
      </c>
      <c r="U1504" s="19">
        <f t="shared" si="721"/>
        <v>0</v>
      </c>
      <c r="V1504" s="19">
        <f t="shared" si="707"/>
        <v>0</v>
      </c>
      <c r="W1504" s="20">
        <f t="shared" ca="1" si="722"/>
        <v>0</v>
      </c>
      <c r="X1504" s="19">
        <f t="shared" ca="1" si="723"/>
        <v>0</v>
      </c>
      <c r="Y1504" s="19">
        <f t="shared" ca="1" si="724"/>
        <v>0</v>
      </c>
      <c r="Z1504" s="20">
        <f t="shared" ca="1" si="725"/>
        <v>0</v>
      </c>
      <c r="AA1504" s="1">
        <f t="shared" ref="AA1504:AA1567" si="733">IF(S1504=0,AA1503,N1504)</f>
        <v>5432.58</v>
      </c>
      <c r="AB1504" s="93"/>
      <c r="AC1504" s="94"/>
      <c r="AD1504" s="101">
        <f t="shared" ref="AD1504:AD1567" si="734">IF(M1504=0,AD1503+30,K1504)</f>
        <v>85344</v>
      </c>
      <c r="AE1504" s="103">
        <f t="shared" ref="AE1504:AE1567" si="735">IF(V1504=0,0,R1504)</f>
        <v>0</v>
      </c>
      <c r="AG1504" s="1">
        <f t="shared" si="726"/>
        <v>0</v>
      </c>
      <c r="AH1504" s="1">
        <f t="shared" si="727"/>
        <v>0</v>
      </c>
      <c r="AI1504" s="1">
        <f t="shared" ref="AI1504:AI1567" si="736">IF(M1504-1=0,IF(M1504=0,IF(V1504=0,N1504,AI1503),AA1504),AA1504)</f>
        <v>5432.58</v>
      </c>
      <c r="AJ1504" s="20">
        <f t="shared" si="708"/>
        <v>0</v>
      </c>
      <c r="AK1504" s="100">
        <f t="shared" si="710"/>
        <v>0</v>
      </c>
      <c r="AL1504" s="100">
        <f t="shared" si="711"/>
        <v>0</v>
      </c>
      <c r="AN1504" s="100">
        <f t="shared" si="712"/>
        <v>2575.2599276687915</v>
      </c>
      <c r="AO1504" s="20">
        <f t="shared" si="713"/>
        <v>0</v>
      </c>
      <c r="AQ1504" s="109">
        <f t="shared" si="714"/>
        <v>0</v>
      </c>
      <c r="AU1504" s="109">
        <f t="shared" si="729"/>
        <v>23.774972944138934</v>
      </c>
      <c r="AV1504" s="101">
        <f t="shared" si="715"/>
        <v>85374</v>
      </c>
      <c r="AW1504" s="99">
        <f t="shared" si="716"/>
        <v>0</v>
      </c>
      <c r="AX1504" s="1">
        <f t="shared" si="717"/>
        <v>0</v>
      </c>
      <c r="AY1504" s="29">
        <f t="shared" si="718"/>
        <v>0</v>
      </c>
      <c r="AZ1504" s="1">
        <f t="shared" si="730"/>
        <v>0</v>
      </c>
      <c r="CB1504" s="20">
        <f t="shared" si="709"/>
        <v>0</v>
      </c>
      <c r="CC1504" s="173">
        <f t="shared" si="731"/>
        <v>0</v>
      </c>
    </row>
    <row r="1505" spans="10:81" x14ac:dyDescent="0.25">
      <c r="J1505" s="7"/>
      <c r="K1505" s="8"/>
      <c r="L1505" s="16"/>
      <c r="M1505" s="22"/>
      <c r="N1505" s="22"/>
      <c r="O1505" s="22"/>
      <c r="P1505" s="22"/>
      <c r="Q1505" s="1">
        <f t="shared" si="732"/>
        <v>0.60744618579017706</v>
      </c>
      <c r="R1505" s="12">
        <f t="shared" ca="1" si="719"/>
        <v>44252</v>
      </c>
      <c r="S1505" s="88">
        <f t="shared" si="728"/>
        <v>0</v>
      </c>
      <c r="T1505" s="19">
        <f t="shared" si="720"/>
        <v>0</v>
      </c>
      <c r="U1505" s="19">
        <f t="shared" si="721"/>
        <v>0</v>
      </c>
      <c r="V1505" s="19">
        <f t="shared" si="707"/>
        <v>0</v>
      </c>
      <c r="W1505" s="20">
        <f t="shared" ca="1" si="722"/>
        <v>0</v>
      </c>
      <c r="X1505" s="19">
        <f t="shared" ca="1" si="723"/>
        <v>0</v>
      </c>
      <c r="Y1505" s="19">
        <f t="shared" ca="1" si="724"/>
        <v>0</v>
      </c>
      <c r="Z1505" s="20">
        <f t="shared" ca="1" si="725"/>
        <v>0</v>
      </c>
      <c r="AA1505" s="1">
        <f t="shared" si="733"/>
        <v>5432.58</v>
      </c>
      <c r="AB1505" s="91"/>
      <c r="AC1505" s="92"/>
      <c r="AD1505" s="101">
        <f t="shared" si="734"/>
        <v>85374</v>
      </c>
      <c r="AE1505" s="103">
        <f t="shared" si="735"/>
        <v>0</v>
      </c>
      <c r="AG1505" s="1">
        <f t="shared" si="726"/>
        <v>0</v>
      </c>
      <c r="AH1505" s="1">
        <f t="shared" si="727"/>
        <v>0</v>
      </c>
      <c r="AI1505" s="1">
        <f t="shared" si="736"/>
        <v>5432.58</v>
      </c>
      <c r="AJ1505" s="20">
        <f t="shared" si="708"/>
        <v>0</v>
      </c>
      <c r="AK1505" s="100">
        <f t="shared" si="710"/>
        <v>0</v>
      </c>
      <c r="AL1505" s="100">
        <f t="shared" si="711"/>
        <v>0</v>
      </c>
      <c r="AN1505" s="100">
        <f t="shared" si="712"/>
        <v>2573.9569773785443</v>
      </c>
      <c r="AO1505" s="20">
        <f t="shared" si="713"/>
        <v>0</v>
      </c>
      <c r="AQ1505" s="109">
        <f t="shared" si="714"/>
        <v>0</v>
      </c>
      <c r="AU1505" s="109">
        <f t="shared" si="729"/>
        <v>23.772886213015791</v>
      </c>
      <c r="AV1505" s="101">
        <f t="shared" si="715"/>
        <v>85404</v>
      </c>
      <c r="AW1505" s="99">
        <f t="shared" si="716"/>
        <v>0</v>
      </c>
      <c r="AX1505" s="1">
        <f t="shared" si="717"/>
        <v>0</v>
      </c>
      <c r="AY1505" s="29">
        <f t="shared" si="718"/>
        <v>0</v>
      </c>
      <c r="AZ1505" s="1">
        <f t="shared" si="730"/>
        <v>0</v>
      </c>
      <c r="CB1505" s="20">
        <f t="shared" si="709"/>
        <v>0</v>
      </c>
      <c r="CC1505" s="173">
        <f t="shared" si="731"/>
        <v>0</v>
      </c>
    </row>
    <row r="1506" spans="10:81" x14ac:dyDescent="0.25">
      <c r="J1506" s="9"/>
      <c r="K1506" s="10"/>
      <c r="L1506" s="17"/>
      <c r="M1506" s="23"/>
      <c r="N1506" s="23"/>
      <c r="O1506" s="23"/>
      <c r="P1506" s="23"/>
      <c r="Q1506" s="1">
        <f t="shared" si="732"/>
        <v>0.60744618579017706</v>
      </c>
      <c r="R1506" s="12">
        <f t="shared" ca="1" si="719"/>
        <v>44282</v>
      </c>
      <c r="S1506" s="88">
        <f t="shared" si="728"/>
        <v>0</v>
      </c>
      <c r="T1506" s="19">
        <f t="shared" si="720"/>
        <v>0</v>
      </c>
      <c r="U1506" s="19">
        <f t="shared" si="721"/>
        <v>0</v>
      </c>
      <c r="V1506" s="19">
        <f t="shared" ref="V1506:V1569" si="737">IF(ISERROR(IF(V1505+U1506+T1506+(V1505*Q1506/1200)-AA1506-P1506&lt;0,0,V1505+U1506+T1506-AA1506-P1506)),0,IF(V1505+U1506+T1506+(V1505*Q1506/1200)-AA1506-CB1506&lt;0,0,V1505+U1506+T1506-AA1506-CB1506))</f>
        <v>0</v>
      </c>
      <c r="W1506" s="20">
        <f t="shared" ca="1" si="722"/>
        <v>0</v>
      </c>
      <c r="X1506" s="19">
        <f t="shared" ca="1" si="723"/>
        <v>0</v>
      </c>
      <c r="Y1506" s="19">
        <f t="shared" ca="1" si="724"/>
        <v>0</v>
      </c>
      <c r="Z1506" s="20">
        <f t="shared" ca="1" si="725"/>
        <v>0</v>
      </c>
      <c r="AA1506" s="1">
        <f t="shared" si="733"/>
        <v>5432.58</v>
      </c>
      <c r="AB1506" s="93"/>
      <c r="AC1506" s="94"/>
      <c r="AD1506" s="101">
        <f t="shared" si="734"/>
        <v>85404</v>
      </c>
      <c r="AE1506" s="103">
        <f t="shared" si="735"/>
        <v>0</v>
      </c>
      <c r="AG1506" s="1">
        <f t="shared" si="726"/>
        <v>0</v>
      </c>
      <c r="AH1506" s="1">
        <f t="shared" si="727"/>
        <v>0</v>
      </c>
      <c r="AI1506" s="1">
        <f t="shared" si="736"/>
        <v>5432.58</v>
      </c>
      <c r="AJ1506" s="20">
        <f t="shared" si="708"/>
        <v>0</v>
      </c>
      <c r="AK1506" s="100">
        <f t="shared" si="710"/>
        <v>0</v>
      </c>
      <c r="AL1506" s="100">
        <f t="shared" si="711"/>
        <v>0</v>
      </c>
      <c r="AN1506" s="100">
        <f t="shared" si="712"/>
        <v>2572.6546863147469</v>
      </c>
      <c r="AO1506" s="20">
        <f t="shared" si="713"/>
        <v>0</v>
      </c>
      <c r="AQ1506" s="109">
        <f t="shared" si="714"/>
        <v>0</v>
      </c>
      <c r="AU1506" s="109">
        <f t="shared" si="729"/>
        <v>23.770799665045196</v>
      </c>
      <c r="AV1506" s="101">
        <f t="shared" si="715"/>
        <v>85434</v>
      </c>
      <c r="AW1506" s="99">
        <f t="shared" si="716"/>
        <v>0</v>
      </c>
      <c r="AX1506" s="1">
        <f t="shared" si="717"/>
        <v>0</v>
      </c>
      <c r="AY1506" s="29">
        <f t="shared" si="718"/>
        <v>0</v>
      </c>
      <c r="AZ1506" s="1">
        <f t="shared" si="730"/>
        <v>0</v>
      </c>
      <c r="CB1506" s="20">
        <f t="shared" si="709"/>
        <v>0</v>
      </c>
      <c r="CC1506" s="173">
        <f t="shared" si="731"/>
        <v>0</v>
      </c>
    </row>
    <row r="1507" spans="10:81" x14ac:dyDescent="0.25">
      <c r="J1507" s="7"/>
      <c r="K1507" s="8"/>
      <c r="L1507" s="16"/>
      <c r="M1507" s="22"/>
      <c r="N1507" s="22"/>
      <c r="O1507" s="22"/>
      <c r="P1507" s="22"/>
      <c r="Q1507" s="1">
        <f t="shared" si="732"/>
        <v>0.60744618579017706</v>
      </c>
      <c r="R1507" s="12">
        <f t="shared" ca="1" si="719"/>
        <v>44312</v>
      </c>
      <c r="S1507" s="88">
        <f t="shared" si="728"/>
        <v>0</v>
      </c>
      <c r="T1507" s="19">
        <f t="shared" si="720"/>
        <v>0</v>
      </c>
      <c r="U1507" s="19">
        <f t="shared" si="721"/>
        <v>0</v>
      </c>
      <c r="V1507" s="19">
        <f t="shared" si="737"/>
        <v>0</v>
      </c>
      <c r="W1507" s="20">
        <f t="shared" ca="1" si="722"/>
        <v>0</v>
      </c>
      <c r="X1507" s="19">
        <f t="shared" ca="1" si="723"/>
        <v>0</v>
      </c>
      <c r="Y1507" s="19">
        <f t="shared" ca="1" si="724"/>
        <v>0</v>
      </c>
      <c r="Z1507" s="20">
        <f t="shared" ca="1" si="725"/>
        <v>0</v>
      </c>
      <c r="AA1507" s="1">
        <f t="shared" si="733"/>
        <v>5432.58</v>
      </c>
      <c r="AB1507" s="91"/>
      <c r="AC1507" s="92"/>
      <c r="AD1507" s="101">
        <f t="shared" si="734"/>
        <v>85434</v>
      </c>
      <c r="AE1507" s="103">
        <f t="shared" si="735"/>
        <v>0</v>
      </c>
      <c r="AG1507" s="1">
        <f t="shared" si="726"/>
        <v>0</v>
      </c>
      <c r="AH1507" s="1">
        <f t="shared" si="727"/>
        <v>0</v>
      </c>
      <c r="AI1507" s="1">
        <f t="shared" si="736"/>
        <v>5432.58</v>
      </c>
      <c r="AJ1507" s="20">
        <f t="shared" si="708"/>
        <v>0</v>
      </c>
      <c r="AK1507" s="100">
        <f t="shared" si="710"/>
        <v>0</v>
      </c>
      <c r="AL1507" s="100">
        <f t="shared" si="711"/>
        <v>0</v>
      </c>
      <c r="AN1507" s="100">
        <f t="shared" si="712"/>
        <v>2571.3530541438631</v>
      </c>
      <c r="AO1507" s="20">
        <f t="shared" si="713"/>
        <v>0</v>
      </c>
      <c r="AQ1507" s="109">
        <f t="shared" si="714"/>
        <v>0</v>
      </c>
      <c r="AU1507" s="109">
        <f t="shared" si="729"/>
        <v>23.768713300211072</v>
      </c>
      <c r="AV1507" s="101">
        <f t="shared" si="715"/>
        <v>85464</v>
      </c>
      <c r="AW1507" s="99">
        <f t="shared" si="716"/>
        <v>0</v>
      </c>
      <c r="AX1507" s="1">
        <f t="shared" si="717"/>
        <v>0</v>
      </c>
      <c r="AY1507" s="29">
        <f t="shared" si="718"/>
        <v>0</v>
      </c>
      <c r="AZ1507" s="1">
        <f t="shared" si="730"/>
        <v>0</v>
      </c>
      <c r="CB1507" s="20">
        <f t="shared" si="709"/>
        <v>0</v>
      </c>
      <c r="CC1507" s="173">
        <f t="shared" si="731"/>
        <v>0</v>
      </c>
    </row>
    <row r="1508" spans="10:81" x14ac:dyDescent="0.25">
      <c r="J1508" s="9"/>
      <c r="K1508" s="10"/>
      <c r="L1508" s="17"/>
      <c r="M1508" s="23"/>
      <c r="N1508" s="23"/>
      <c r="O1508" s="23"/>
      <c r="P1508" s="23"/>
      <c r="Q1508" s="1">
        <f t="shared" si="732"/>
        <v>0.60744618579017706</v>
      </c>
      <c r="R1508" s="12">
        <f t="shared" ca="1" si="719"/>
        <v>44342</v>
      </c>
      <c r="S1508" s="88">
        <f t="shared" si="728"/>
        <v>0</v>
      </c>
      <c r="T1508" s="19">
        <f t="shared" si="720"/>
        <v>0</v>
      </c>
      <c r="U1508" s="19">
        <f t="shared" si="721"/>
        <v>0</v>
      </c>
      <c r="V1508" s="19">
        <f t="shared" si="737"/>
        <v>0</v>
      </c>
      <c r="W1508" s="20">
        <f t="shared" ca="1" si="722"/>
        <v>0</v>
      </c>
      <c r="X1508" s="19">
        <f t="shared" ca="1" si="723"/>
        <v>0</v>
      </c>
      <c r="Y1508" s="19">
        <f t="shared" ca="1" si="724"/>
        <v>0</v>
      </c>
      <c r="Z1508" s="20">
        <f t="shared" ca="1" si="725"/>
        <v>0</v>
      </c>
      <c r="AA1508" s="1">
        <f t="shared" si="733"/>
        <v>5432.58</v>
      </c>
      <c r="AB1508" s="93"/>
      <c r="AC1508" s="94"/>
      <c r="AD1508" s="101">
        <f t="shared" si="734"/>
        <v>85464</v>
      </c>
      <c r="AE1508" s="103">
        <f t="shared" si="735"/>
        <v>0</v>
      </c>
      <c r="AG1508" s="1">
        <f t="shared" si="726"/>
        <v>0</v>
      </c>
      <c r="AH1508" s="1">
        <f t="shared" si="727"/>
        <v>0</v>
      </c>
      <c r="AI1508" s="1">
        <f t="shared" si="736"/>
        <v>5432.58</v>
      </c>
      <c r="AJ1508" s="20">
        <f t="shared" si="708"/>
        <v>0</v>
      </c>
      <c r="AK1508" s="100">
        <f t="shared" si="710"/>
        <v>0</v>
      </c>
      <c r="AL1508" s="100">
        <f t="shared" si="711"/>
        <v>0</v>
      </c>
      <c r="AN1508" s="100">
        <f t="shared" si="712"/>
        <v>2570.0520805325282</v>
      </c>
      <c r="AO1508" s="20">
        <f t="shared" si="713"/>
        <v>0</v>
      </c>
      <c r="AQ1508" s="109">
        <f t="shared" si="714"/>
        <v>0</v>
      </c>
      <c r="AU1508" s="109">
        <f t="shared" si="729"/>
        <v>23.766627118497336</v>
      </c>
      <c r="AV1508" s="101">
        <f t="shared" si="715"/>
        <v>85494</v>
      </c>
      <c r="AW1508" s="99">
        <f t="shared" si="716"/>
        <v>0</v>
      </c>
      <c r="AX1508" s="1">
        <f t="shared" si="717"/>
        <v>0</v>
      </c>
      <c r="AY1508" s="29">
        <f t="shared" si="718"/>
        <v>0</v>
      </c>
      <c r="AZ1508" s="1">
        <f t="shared" si="730"/>
        <v>0</v>
      </c>
      <c r="CB1508" s="20">
        <f t="shared" si="709"/>
        <v>0</v>
      </c>
      <c r="CC1508" s="173">
        <f t="shared" si="731"/>
        <v>0</v>
      </c>
    </row>
    <row r="1509" spans="10:81" x14ac:dyDescent="0.25">
      <c r="J1509" s="7"/>
      <c r="K1509" s="8"/>
      <c r="L1509" s="16"/>
      <c r="M1509" s="22"/>
      <c r="N1509" s="22"/>
      <c r="O1509" s="22"/>
      <c r="P1509" s="22"/>
      <c r="Q1509" s="1">
        <f t="shared" si="732"/>
        <v>0.60744618579017706</v>
      </c>
      <c r="R1509" s="12">
        <f t="shared" ca="1" si="719"/>
        <v>44372</v>
      </c>
      <c r="S1509" s="88">
        <f t="shared" si="728"/>
        <v>0</v>
      </c>
      <c r="T1509" s="19">
        <f t="shared" si="720"/>
        <v>0</v>
      </c>
      <c r="U1509" s="19">
        <f t="shared" si="721"/>
        <v>0</v>
      </c>
      <c r="V1509" s="19">
        <f t="shared" si="737"/>
        <v>0</v>
      </c>
      <c r="W1509" s="20">
        <f t="shared" ca="1" si="722"/>
        <v>0</v>
      </c>
      <c r="X1509" s="19">
        <f t="shared" ca="1" si="723"/>
        <v>0</v>
      </c>
      <c r="Y1509" s="19">
        <f t="shared" ca="1" si="724"/>
        <v>0</v>
      </c>
      <c r="Z1509" s="20">
        <f t="shared" ca="1" si="725"/>
        <v>0</v>
      </c>
      <c r="AA1509" s="1">
        <f t="shared" si="733"/>
        <v>5432.58</v>
      </c>
      <c r="AB1509" s="91"/>
      <c r="AC1509" s="92"/>
      <c r="AD1509" s="101">
        <f t="shared" si="734"/>
        <v>85494</v>
      </c>
      <c r="AE1509" s="103">
        <f t="shared" si="735"/>
        <v>0</v>
      </c>
      <c r="AG1509" s="1">
        <f t="shared" si="726"/>
        <v>0</v>
      </c>
      <c r="AH1509" s="1">
        <f t="shared" si="727"/>
        <v>0</v>
      </c>
      <c r="AI1509" s="1">
        <f t="shared" si="736"/>
        <v>5432.58</v>
      </c>
      <c r="AJ1509" s="20">
        <f t="shared" si="708"/>
        <v>0</v>
      </c>
      <c r="AK1509" s="100">
        <f t="shared" si="710"/>
        <v>0</v>
      </c>
      <c r="AL1509" s="100">
        <f t="shared" si="711"/>
        <v>0</v>
      </c>
      <c r="AN1509" s="100">
        <f t="shared" si="712"/>
        <v>2568.7517651475441</v>
      </c>
      <c r="AO1509" s="20">
        <f t="shared" si="713"/>
        <v>0</v>
      </c>
      <c r="AQ1509" s="109">
        <f t="shared" si="714"/>
        <v>0</v>
      </c>
      <c r="AU1509" s="109">
        <f t="shared" si="729"/>
        <v>23.764541119887927</v>
      </c>
      <c r="AV1509" s="101">
        <f t="shared" si="715"/>
        <v>85524</v>
      </c>
      <c r="AW1509" s="99">
        <f t="shared" si="716"/>
        <v>0</v>
      </c>
      <c r="AX1509" s="1">
        <f t="shared" si="717"/>
        <v>0</v>
      </c>
      <c r="AY1509" s="29">
        <f t="shared" si="718"/>
        <v>0</v>
      </c>
      <c r="AZ1509" s="1">
        <f t="shared" si="730"/>
        <v>0</v>
      </c>
      <c r="CB1509" s="20">
        <f t="shared" si="709"/>
        <v>0</v>
      </c>
      <c r="CC1509" s="173">
        <f t="shared" si="731"/>
        <v>0</v>
      </c>
    </row>
    <row r="1510" spans="10:81" x14ac:dyDescent="0.25">
      <c r="J1510" s="9"/>
      <c r="K1510" s="10"/>
      <c r="L1510" s="17"/>
      <c r="M1510" s="23"/>
      <c r="N1510" s="23"/>
      <c r="O1510" s="23"/>
      <c r="P1510" s="23"/>
      <c r="Q1510" s="1">
        <f t="shared" si="732"/>
        <v>0.60744618579017706</v>
      </c>
      <c r="R1510" s="12">
        <f t="shared" ca="1" si="719"/>
        <v>44402</v>
      </c>
      <c r="S1510" s="88">
        <f t="shared" si="728"/>
        <v>0</v>
      </c>
      <c r="T1510" s="19">
        <f t="shared" si="720"/>
        <v>0</v>
      </c>
      <c r="U1510" s="19">
        <f t="shared" si="721"/>
        <v>0</v>
      </c>
      <c r="V1510" s="19">
        <f t="shared" si="737"/>
        <v>0</v>
      </c>
      <c r="W1510" s="20">
        <f t="shared" ca="1" si="722"/>
        <v>0</v>
      </c>
      <c r="X1510" s="19">
        <f t="shared" ca="1" si="723"/>
        <v>0</v>
      </c>
      <c r="Y1510" s="19">
        <f t="shared" ca="1" si="724"/>
        <v>0</v>
      </c>
      <c r="Z1510" s="20">
        <f t="shared" ca="1" si="725"/>
        <v>0</v>
      </c>
      <c r="AA1510" s="1">
        <f t="shared" si="733"/>
        <v>5432.58</v>
      </c>
      <c r="AB1510" s="93"/>
      <c r="AC1510" s="94"/>
      <c r="AD1510" s="101">
        <f t="shared" si="734"/>
        <v>85524</v>
      </c>
      <c r="AE1510" s="103">
        <f t="shared" si="735"/>
        <v>0</v>
      </c>
      <c r="AG1510" s="1">
        <f t="shared" si="726"/>
        <v>0</v>
      </c>
      <c r="AH1510" s="1">
        <f t="shared" si="727"/>
        <v>0</v>
      </c>
      <c r="AI1510" s="1">
        <f t="shared" si="736"/>
        <v>5432.58</v>
      </c>
      <c r="AJ1510" s="20">
        <f t="shared" si="708"/>
        <v>0</v>
      </c>
      <c r="AK1510" s="100">
        <f t="shared" si="710"/>
        <v>0</v>
      </c>
      <c r="AL1510" s="100">
        <f t="shared" si="711"/>
        <v>0</v>
      </c>
      <c r="AN1510" s="100">
        <f t="shared" si="712"/>
        <v>2567.4521076558817</v>
      </c>
      <c r="AO1510" s="20">
        <f t="shared" si="713"/>
        <v>0</v>
      </c>
      <c r="AQ1510" s="109">
        <f t="shared" si="714"/>
        <v>0</v>
      </c>
      <c r="AU1510" s="109">
        <f t="shared" si="729"/>
        <v>23.762455304366771</v>
      </c>
      <c r="AV1510" s="101">
        <f t="shared" si="715"/>
        <v>85554</v>
      </c>
      <c r="AW1510" s="99">
        <f t="shared" si="716"/>
        <v>0</v>
      </c>
      <c r="AX1510" s="1">
        <f t="shared" si="717"/>
        <v>0</v>
      </c>
      <c r="AY1510" s="29">
        <f t="shared" si="718"/>
        <v>0</v>
      </c>
      <c r="AZ1510" s="1">
        <f t="shared" si="730"/>
        <v>0</v>
      </c>
      <c r="CB1510" s="20">
        <f t="shared" si="709"/>
        <v>0</v>
      </c>
      <c r="CC1510" s="173">
        <f t="shared" si="731"/>
        <v>0</v>
      </c>
    </row>
    <row r="1511" spans="10:81" x14ac:dyDescent="0.25">
      <c r="J1511" s="7"/>
      <c r="K1511" s="8"/>
      <c r="L1511" s="16"/>
      <c r="M1511" s="22"/>
      <c r="N1511" s="22"/>
      <c r="O1511" s="22"/>
      <c r="P1511" s="22"/>
      <c r="Q1511" s="1">
        <f t="shared" si="732"/>
        <v>0.60744618579017706</v>
      </c>
      <c r="R1511" s="12">
        <f t="shared" ca="1" si="719"/>
        <v>44432</v>
      </c>
      <c r="S1511" s="88">
        <f t="shared" si="728"/>
        <v>0</v>
      </c>
      <c r="T1511" s="19">
        <f t="shared" si="720"/>
        <v>0</v>
      </c>
      <c r="U1511" s="19">
        <f t="shared" si="721"/>
        <v>0</v>
      </c>
      <c r="V1511" s="19">
        <f t="shared" si="737"/>
        <v>0</v>
      </c>
      <c r="W1511" s="20">
        <f t="shared" ca="1" si="722"/>
        <v>0</v>
      </c>
      <c r="X1511" s="19">
        <f t="shared" ca="1" si="723"/>
        <v>0</v>
      </c>
      <c r="Y1511" s="19">
        <f t="shared" ca="1" si="724"/>
        <v>0</v>
      </c>
      <c r="Z1511" s="20">
        <f t="shared" ca="1" si="725"/>
        <v>0</v>
      </c>
      <c r="AA1511" s="1">
        <f t="shared" si="733"/>
        <v>5432.58</v>
      </c>
      <c r="AB1511" s="91"/>
      <c r="AC1511" s="92"/>
      <c r="AD1511" s="101">
        <f t="shared" si="734"/>
        <v>85554</v>
      </c>
      <c r="AE1511" s="103">
        <f t="shared" si="735"/>
        <v>0</v>
      </c>
      <c r="AG1511" s="1">
        <f t="shared" si="726"/>
        <v>0</v>
      </c>
      <c r="AH1511" s="1">
        <f t="shared" si="727"/>
        <v>0</v>
      </c>
      <c r="AI1511" s="1">
        <f t="shared" si="736"/>
        <v>5432.58</v>
      </c>
      <c r="AJ1511" s="20">
        <f t="shared" si="708"/>
        <v>0</v>
      </c>
      <c r="AK1511" s="100">
        <f t="shared" si="710"/>
        <v>0</v>
      </c>
      <c r="AL1511" s="100">
        <f t="shared" si="711"/>
        <v>0</v>
      </c>
      <c r="AN1511" s="100">
        <f t="shared" si="712"/>
        <v>2566.1531077246809</v>
      </c>
      <c r="AO1511" s="20">
        <f t="shared" si="713"/>
        <v>0</v>
      </c>
      <c r="AQ1511" s="109">
        <f t="shared" si="714"/>
        <v>0</v>
      </c>
      <c r="AU1511" s="109">
        <f t="shared" si="729"/>
        <v>23.76036967191779</v>
      </c>
      <c r="AV1511" s="101">
        <f t="shared" si="715"/>
        <v>85584</v>
      </c>
      <c r="AW1511" s="99">
        <f t="shared" si="716"/>
        <v>0</v>
      </c>
      <c r="AX1511" s="1">
        <f t="shared" si="717"/>
        <v>0</v>
      </c>
      <c r="AY1511" s="29">
        <f t="shared" si="718"/>
        <v>0</v>
      </c>
      <c r="AZ1511" s="1">
        <f t="shared" si="730"/>
        <v>0</v>
      </c>
      <c r="CB1511" s="20">
        <f t="shared" si="709"/>
        <v>0</v>
      </c>
      <c r="CC1511" s="173">
        <f t="shared" si="731"/>
        <v>0</v>
      </c>
    </row>
    <row r="1512" spans="10:81" x14ac:dyDescent="0.25">
      <c r="J1512" s="9"/>
      <c r="K1512" s="10"/>
      <c r="L1512" s="17"/>
      <c r="M1512" s="23"/>
      <c r="N1512" s="23"/>
      <c r="O1512" s="23"/>
      <c r="P1512" s="23"/>
      <c r="Q1512" s="1">
        <f t="shared" si="732"/>
        <v>0.60744618579017706</v>
      </c>
      <c r="R1512" s="12">
        <f t="shared" ca="1" si="719"/>
        <v>44462</v>
      </c>
      <c r="S1512" s="88">
        <f t="shared" si="728"/>
        <v>0</v>
      </c>
      <c r="T1512" s="19">
        <f t="shared" si="720"/>
        <v>0</v>
      </c>
      <c r="U1512" s="19">
        <f t="shared" si="721"/>
        <v>0</v>
      </c>
      <c r="V1512" s="19">
        <f t="shared" si="737"/>
        <v>0</v>
      </c>
      <c r="W1512" s="20">
        <f t="shared" ca="1" si="722"/>
        <v>0</v>
      </c>
      <c r="X1512" s="19">
        <f t="shared" ca="1" si="723"/>
        <v>0</v>
      </c>
      <c r="Y1512" s="19">
        <f t="shared" ca="1" si="724"/>
        <v>0</v>
      </c>
      <c r="Z1512" s="20">
        <f t="shared" ca="1" si="725"/>
        <v>0</v>
      </c>
      <c r="AA1512" s="1">
        <f t="shared" si="733"/>
        <v>5432.58</v>
      </c>
      <c r="AB1512" s="93"/>
      <c r="AC1512" s="94"/>
      <c r="AD1512" s="101">
        <f t="shared" si="734"/>
        <v>85584</v>
      </c>
      <c r="AE1512" s="103">
        <f t="shared" si="735"/>
        <v>0</v>
      </c>
      <c r="AG1512" s="1">
        <f t="shared" si="726"/>
        <v>0</v>
      </c>
      <c r="AH1512" s="1">
        <f t="shared" si="727"/>
        <v>0</v>
      </c>
      <c r="AI1512" s="1">
        <f t="shared" si="736"/>
        <v>5432.58</v>
      </c>
      <c r="AJ1512" s="20">
        <f t="shared" ref="AJ1512:AJ1575" si="738">IF(ISERROR(IF(V1511+U1512+T1512+(V1511*Q1512/1200)-AA1512-P1512&lt;0,V1511,-(U1512+T1512-AA1512+P1512-AH1512))),0,IF(V1511+U1512+T1512+(V1511*Q1512/1200)-AA1512-P1512&lt;0,0,-(U1512+T1512-AA1512-AH1512)))</f>
        <v>0</v>
      </c>
      <c r="AK1512" s="100">
        <f t="shared" si="710"/>
        <v>0</v>
      </c>
      <c r="AL1512" s="100">
        <f t="shared" si="711"/>
        <v>0</v>
      </c>
      <c r="AN1512" s="100">
        <f t="shared" si="712"/>
        <v>2564.8547650212495</v>
      </c>
      <c r="AO1512" s="20">
        <f t="shared" si="713"/>
        <v>0</v>
      </c>
      <c r="AQ1512" s="109">
        <f t="shared" si="714"/>
        <v>0</v>
      </c>
      <c r="AU1512" s="109">
        <f t="shared" si="729"/>
        <v>23.758284222524935</v>
      </c>
      <c r="AV1512" s="101">
        <f t="shared" si="715"/>
        <v>85614</v>
      </c>
      <c r="AW1512" s="99">
        <f t="shared" si="716"/>
        <v>0</v>
      </c>
      <c r="AX1512" s="1">
        <f t="shared" si="717"/>
        <v>0</v>
      </c>
      <c r="AY1512" s="29">
        <f t="shared" si="718"/>
        <v>0</v>
      </c>
      <c r="AZ1512" s="1">
        <f t="shared" si="730"/>
        <v>0</v>
      </c>
      <c r="CB1512" s="20">
        <f t="shared" si="709"/>
        <v>0</v>
      </c>
      <c r="CC1512" s="173">
        <f t="shared" si="731"/>
        <v>0</v>
      </c>
    </row>
    <row r="1513" spans="10:81" x14ac:dyDescent="0.25">
      <c r="J1513" s="7"/>
      <c r="K1513" s="8"/>
      <c r="L1513" s="16"/>
      <c r="M1513" s="22"/>
      <c r="N1513" s="22"/>
      <c r="O1513" s="22"/>
      <c r="P1513" s="22"/>
      <c r="Q1513" s="1">
        <f t="shared" si="732"/>
        <v>0.60744618579017706</v>
      </c>
      <c r="R1513" s="12">
        <f t="shared" ca="1" si="719"/>
        <v>44492</v>
      </c>
      <c r="S1513" s="88">
        <f t="shared" si="728"/>
        <v>0</v>
      </c>
      <c r="T1513" s="19">
        <f t="shared" si="720"/>
        <v>0</v>
      </c>
      <c r="U1513" s="19">
        <f t="shared" si="721"/>
        <v>0</v>
      </c>
      <c r="V1513" s="19">
        <f t="shared" si="737"/>
        <v>0</v>
      </c>
      <c r="W1513" s="20">
        <f t="shared" ca="1" si="722"/>
        <v>0</v>
      </c>
      <c r="X1513" s="19">
        <f t="shared" ca="1" si="723"/>
        <v>0</v>
      </c>
      <c r="Y1513" s="19">
        <f t="shared" ca="1" si="724"/>
        <v>0</v>
      </c>
      <c r="Z1513" s="20">
        <f t="shared" ca="1" si="725"/>
        <v>0</v>
      </c>
      <c r="AA1513" s="1">
        <f t="shared" si="733"/>
        <v>5432.58</v>
      </c>
      <c r="AB1513" s="91"/>
      <c r="AC1513" s="92"/>
      <c r="AD1513" s="101">
        <f t="shared" si="734"/>
        <v>85614</v>
      </c>
      <c r="AE1513" s="103">
        <f t="shared" si="735"/>
        <v>0</v>
      </c>
      <c r="AG1513" s="1">
        <f t="shared" si="726"/>
        <v>0</v>
      </c>
      <c r="AH1513" s="1">
        <f t="shared" si="727"/>
        <v>0</v>
      </c>
      <c r="AI1513" s="1">
        <f t="shared" si="736"/>
        <v>5432.58</v>
      </c>
      <c r="AJ1513" s="20">
        <f t="shared" si="738"/>
        <v>0</v>
      </c>
      <c r="AK1513" s="100">
        <f t="shared" si="710"/>
        <v>0</v>
      </c>
      <c r="AL1513" s="100">
        <f t="shared" si="711"/>
        <v>0</v>
      </c>
      <c r="AN1513" s="100">
        <f t="shared" si="712"/>
        <v>2563.557079213062</v>
      </c>
      <c r="AO1513" s="20">
        <f t="shared" si="713"/>
        <v>0</v>
      </c>
      <c r="AQ1513" s="109">
        <f t="shared" si="714"/>
        <v>0</v>
      </c>
      <c r="AU1513" s="109">
        <f t="shared" si="729"/>
        <v>23.75619895617211</v>
      </c>
      <c r="AV1513" s="101">
        <f t="shared" si="715"/>
        <v>85644</v>
      </c>
      <c r="AW1513" s="99">
        <f t="shared" si="716"/>
        <v>0</v>
      </c>
      <c r="AX1513" s="1">
        <f t="shared" si="717"/>
        <v>0</v>
      </c>
      <c r="AY1513" s="29">
        <f t="shared" si="718"/>
        <v>0</v>
      </c>
      <c r="AZ1513" s="1">
        <f t="shared" si="730"/>
        <v>0</v>
      </c>
      <c r="CB1513" s="20">
        <f t="shared" si="709"/>
        <v>0</v>
      </c>
      <c r="CC1513" s="173">
        <f t="shared" si="731"/>
        <v>0</v>
      </c>
    </row>
    <row r="1514" spans="10:81" x14ac:dyDescent="0.25">
      <c r="J1514" s="9"/>
      <c r="K1514" s="10"/>
      <c r="L1514" s="17"/>
      <c r="M1514" s="23"/>
      <c r="N1514" s="23"/>
      <c r="O1514" s="23"/>
      <c r="P1514" s="23"/>
      <c r="Q1514" s="1">
        <f t="shared" si="732"/>
        <v>0.60744618579017706</v>
      </c>
      <c r="R1514" s="12">
        <f t="shared" ca="1" si="719"/>
        <v>44522</v>
      </c>
      <c r="S1514" s="88">
        <f t="shared" si="728"/>
        <v>0</v>
      </c>
      <c r="T1514" s="19">
        <f t="shared" si="720"/>
        <v>0</v>
      </c>
      <c r="U1514" s="19">
        <f t="shared" si="721"/>
        <v>0</v>
      </c>
      <c r="V1514" s="19">
        <f t="shared" si="737"/>
        <v>0</v>
      </c>
      <c r="W1514" s="20">
        <f t="shared" ca="1" si="722"/>
        <v>0</v>
      </c>
      <c r="X1514" s="19">
        <f t="shared" ca="1" si="723"/>
        <v>0</v>
      </c>
      <c r="Y1514" s="19">
        <f t="shared" ca="1" si="724"/>
        <v>0</v>
      </c>
      <c r="Z1514" s="20">
        <f t="shared" ca="1" si="725"/>
        <v>0</v>
      </c>
      <c r="AA1514" s="1">
        <f t="shared" si="733"/>
        <v>5432.58</v>
      </c>
      <c r="AB1514" s="93"/>
      <c r="AC1514" s="94"/>
      <c r="AD1514" s="101">
        <f t="shared" si="734"/>
        <v>85644</v>
      </c>
      <c r="AE1514" s="103">
        <f t="shared" si="735"/>
        <v>0</v>
      </c>
      <c r="AG1514" s="1">
        <f t="shared" si="726"/>
        <v>0</v>
      </c>
      <c r="AH1514" s="1">
        <f t="shared" si="727"/>
        <v>0</v>
      </c>
      <c r="AI1514" s="1">
        <f t="shared" si="736"/>
        <v>5432.58</v>
      </c>
      <c r="AJ1514" s="20">
        <f t="shared" si="738"/>
        <v>0</v>
      </c>
      <c r="AK1514" s="100">
        <f t="shared" si="710"/>
        <v>0</v>
      </c>
      <c r="AL1514" s="100">
        <f t="shared" si="711"/>
        <v>0</v>
      </c>
      <c r="AN1514" s="100">
        <f t="shared" si="712"/>
        <v>2562.2600499677656</v>
      </c>
      <c r="AO1514" s="20">
        <f t="shared" si="713"/>
        <v>0</v>
      </c>
      <c r="AQ1514" s="109">
        <f t="shared" si="714"/>
        <v>0</v>
      </c>
      <c r="AU1514" s="109">
        <f t="shared" si="729"/>
        <v>23.754113872843281</v>
      </c>
      <c r="AV1514" s="101">
        <f t="shared" si="715"/>
        <v>85674</v>
      </c>
      <c r="AW1514" s="99">
        <f t="shared" si="716"/>
        <v>0</v>
      </c>
      <c r="AX1514" s="1">
        <f t="shared" si="717"/>
        <v>0</v>
      </c>
      <c r="AY1514" s="29">
        <f t="shared" si="718"/>
        <v>0</v>
      </c>
      <c r="AZ1514" s="1">
        <f t="shared" si="730"/>
        <v>0</v>
      </c>
      <c r="CB1514" s="20">
        <f t="shared" si="709"/>
        <v>0</v>
      </c>
      <c r="CC1514" s="173">
        <f t="shared" si="731"/>
        <v>0</v>
      </c>
    </row>
    <row r="1515" spans="10:81" x14ac:dyDescent="0.25">
      <c r="J1515" s="7"/>
      <c r="K1515" s="8"/>
      <c r="L1515" s="16"/>
      <c r="M1515" s="22"/>
      <c r="N1515" s="22"/>
      <c r="O1515" s="22"/>
      <c r="P1515" s="22"/>
      <c r="Q1515" s="1">
        <f t="shared" si="732"/>
        <v>0.60744618579017706</v>
      </c>
      <c r="R1515" s="12">
        <f t="shared" ca="1" si="719"/>
        <v>44552</v>
      </c>
      <c r="S1515" s="88">
        <f t="shared" si="728"/>
        <v>0</v>
      </c>
      <c r="T1515" s="19">
        <f t="shared" si="720"/>
        <v>0</v>
      </c>
      <c r="U1515" s="19">
        <f t="shared" si="721"/>
        <v>0</v>
      </c>
      <c r="V1515" s="19">
        <f t="shared" si="737"/>
        <v>0</v>
      </c>
      <c r="W1515" s="20">
        <f t="shared" ca="1" si="722"/>
        <v>0</v>
      </c>
      <c r="X1515" s="19">
        <f t="shared" ca="1" si="723"/>
        <v>0</v>
      </c>
      <c r="Y1515" s="19">
        <f t="shared" ca="1" si="724"/>
        <v>0</v>
      </c>
      <c r="Z1515" s="20">
        <f t="shared" ca="1" si="725"/>
        <v>0</v>
      </c>
      <c r="AA1515" s="1">
        <f t="shared" si="733"/>
        <v>5432.58</v>
      </c>
      <c r="AB1515" s="91"/>
      <c r="AC1515" s="92"/>
      <c r="AD1515" s="101">
        <f t="shared" si="734"/>
        <v>85674</v>
      </c>
      <c r="AE1515" s="103">
        <f t="shared" si="735"/>
        <v>0</v>
      </c>
      <c r="AG1515" s="1">
        <f t="shared" si="726"/>
        <v>0</v>
      </c>
      <c r="AH1515" s="1">
        <f t="shared" si="727"/>
        <v>0</v>
      </c>
      <c r="AI1515" s="1">
        <f t="shared" si="736"/>
        <v>5432.58</v>
      </c>
      <c r="AJ1515" s="20">
        <f t="shared" si="738"/>
        <v>0</v>
      </c>
      <c r="AK1515" s="100">
        <f t="shared" si="710"/>
        <v>0</v>
      </c>
      <c r="AL1515" s="100">
        <f t="shared" si="711"/>
        <v>0</v>
      </c>
      <c r="AN1515" s="100">
        <f t="shared" si="712"/>
        <v>2560.9636769531721</v>
      </c>
      <c r="AO1515" s="20">
        <f t="shared" si="713"/>
        <v>0</v>
      </c>
      <c r="AQ1515" s="109">
        <f t="shared" si="714"/>
        <v>0</v>
      </c>
      <c r="AU1515" s="109">
        <f t="shared" si="729"/>
        <v>23.752028972522357</v>
      </c>
      <c r="AV1515" s="101">
        <f t="shared" si="715"/>
        <v>85704</v>
      </c>
      <c r="AW1515" s="99">
        <f t="shared" si="716"/>
        <v>0</v>
      </c>
      <c r="AX1515" s="1">
        <f t="shared" si="717"/>
        <v>0</v>
      </c>
      <c r="AY1515" s="29">
        <f t="shared" si="718"/>
        <v>0</v>
      </c>
      <c r="AZ1515" s="1">
        <f t="shared" si="730"/>
        <v>0</v>
      </c>
      <c r="CB1515" s="20">
        <f t="shared" si="709"/>
        <v>0</v>
      </c>
      <c r="CC1515" s="173">
        <f t="shared" si="731"/>
        <v>0</v>
      </c>
    </row>
    <row r="1516" spans="10:81" x14ac:dyDescent="0.25">
      <c r="J1516" s="9"/>
      <c r="K1516" s="10"/>
      <c r="L1516" s="17"/>
      <c r="M1516" s="23"/>
      <c r="N1516" s="23"/>
      <c r="O1516" s="23"/>
      <c r="P1516" s="23"/>
      <c r="Q1516" s="1">
        <f t="shared" si="732"/>
        <v>0.60744618579017706</v>
      </c>
      <c r="R1516" s="12">
        <f t="shared" ca="1" si="719"/>
        <v>44582</v>
      </c>
      <c r="S1516" s="88">
        <f t="shared" si="728"/>
        <v>0</v>
      </c>
      <c r="T1516" s="19">
        <f t="shared" si="720"/>
        <v>0</v>
      </c>
      <c r="U1516" s="19">
        <f t="shared" si="721"/>
        <v>0</v>
      </c>
      <c r="V1516" s="19">
        <f t="shared" si="737"/>
        <v>0</v>
      </c>
      <c r="W1516" s="20">
        <f t="shared" ca="1" si="722"/>
        <v>0</v>
      </c>
      <c r="X1516" s="19">
        <f t="shared" ca="1" si="723"/>
        <v>0</v>
      </c>
      <c r="Y1516" s="19">
        <f t="shared" ca="1" si="724"/>
        <v>0</v>
      </c>
      <c r="Z1516" s="20">
        <f t="shared" ca="1" si="725"/>
        <v>0</v>
      </c>
      <c r="AA1516" s="1">
        <f t="shared" si="733"/>
        <v>5432.58</v>
      </c>
      <c r="AB1516" s="93"/>
      <c r="AC1516" s="94"/>
      <c r="AD1516" s="101">
        <f t="shared" si="734"/>
        <v>85704</v>
      </c>
      <c r="AE1516" s="103">
        <f t="shared" si="735"/>
        <v>0</v>
      </c>
      <c r="AG1516" s="1">
        <f t="shared" si="726"/>
        <v>0</v>
      </c>
      <c r="AH1516" s="1">
        <f t="shared" si="727"/>
        <v>0</v>
      </c>
      <c r="AI1516" s="1">
        <f t="shared" si="736"/>
        <v>5432.58</v>
      </c>
      <c r="AJ1516" s="20">
        <f t="shared" si="738"/>
        <v>0</v>
      </c>
      <c r="AK1516" s="100">
        <f t="shared" si="710"/>
        <v>0</v>
      </c>
      <c r="AL1516" s="100">
        <f t="shared" si="711"/>
        <v>0</v>
      </c>
      <c r="AN1516" s="100">
        <f t="shared" si="712"/>
        <v>2559.6679598372607</v>
      </c>
      <c r="AO1516" s="20">
        <f t="shared" si="713"/>
        <v>0</v>
      </c>
      <c r="AQ1516" s="109">
        <f t="shared" si="714"/>
        <v>0</v>
      </c>
      <c r="AU1516" s="109">
        <f t="shared" si="729"/>
        <v>23.749944255193299</v>
      </c>
      <c r="AV1516" s="101">
        <f t="shared" si="715"/>
        <v>85734</v>
      </c>
      <c r="AW1516" s="99">
        <f t="shared" si="716"/>
        <v>0</v>
      </c>
      <c r="AX1516" s="1">
        <f t="shared" si="717"/>
        <v>0</v>
      </c>
      <c r="AY1516" s="29">
        <f t="shared" si="718"/>
        <v>0</v>
      </c>
      <c r="AZ1516" s="1">
        <f t="shared" si="730"/>
        <v>0</v>
      </c>
      <c r="CB1516" s="20">
        <f t="shared" si="709"/>
        <v>0</v>
      </c>
      <c r="CC1516" s="173">
        <f t="shared" si="731"/>
        <v>0</v>
      </c>
    </row>
    <row r="1517" spans="10:81" x14ac:dyDescent="0.25">
      <c r="J1517" s="7"/>
      <c r="K1517" s="8"/>
      <c r="L1517" s="16"/>
      <c r="M1517" s="22"/>
      <c r="N1517" s="22"/>
      <c r="O1517" s="22"/>
      <c r="P1517" s="22"/>
      <c r="Q1517" s="1">
        <f t="shared" si="732"/>
        <v>0.60744618579017706</v>
      </c>
      <c r="R1517" s="12">
        <f t="shared" ca="1" si="719"/>
        <v>44612</v>
      </c>
      <c r="S1517" s="88">
        <f t="shared" si="728"/>
        <v>0</v>
      </c>
      <c r="T1517" s="19">
        <f t="shared" si="720"/>
        <v>0</v>
      </c>
      <c r="U1517" s="19">
        <f t="shared" si="721"/>
        <v>0</v>
      </c>
      <c r="V1517" s="19">
        <f t="shared" si="737"/>
        <v>0</v>
      </c>
      <c r="W1517" s="20">
        <f t="shared" ca="1" si="722"/>
        <v>0</v>
      </c>
      <c r="X1517" s="19">
        <f t="shared" ca="1" si="723"/>
        <v>0</v>
      </c>
      <c r="Y1517" s="19">
        <f t="shared" ca="1" si="724"/>
        <v>0</v>
      </c>
      <c r="Z1517" s="20">
        <f t="shared" ca="1" si="725"/>
        <v>0</v>
      </c>
      <c r="AA1517" s="1">
        <f t="shared" si="733"/>
        <v>5432.58</v>
      </c>
      <c r="AB1517" s="91"/>
      <c r="AC1517" s="92"/>
      <c r="AD1517" s="101">
        <f t="shared" si="734"/>
        <v>85734</v>
      </c>
      <c r="AE1517" s="103">
        <f t="shared" si="735"/>
        <v>0</v>
      </c>
      <c r="AG1517" s="1">
        <f t="shared" si="726"/>
        <v>0</v>
      </c>
      <c r="AH1517" s="1">
        <f t="shared" si="727"/>
        <v>0</v>
      </c>
      <c r="AI1517" s="1">
        <f t="shared" si="736"/>
        <v>5432.58</v>
      </c>
      <c r="AJ1517" s="20">
        <f t="shared" si="738"/>
        <v>0</v>
      </c>
      <c r="AK1517" s="100">
        <f t="shared" si="710"/>
        <v>0</v>
      </c>
      <c r="AL1517" s="100">
        <f t="shared" si="711"/>
        <v>0</v>
      </c>
      <c r="AN1517" s="100">
        <f t="shared" si="712"/>
        <v>2558.372898288183</v>
      </c>
      <c r="AO1517" s="20">
        <f t="shared" si="713"/>
        <v>0</v>
      </c>
      <c r="AQ1517" s="109">
        <f t="shared" si="714"/>
        <v>0</v>
      </c>
      <c r="AU1517" s="109">
        <f t="shared" si="729"/>
        <v>23.747859720840026</v>
      </c>
      <c r="AV1517" s="101">
        <f t="shared" si="715"/>
        <v>85764</v>
      </c>
      <c r="AW1517" s="99">
        <f t="shared" si="716"/>
        <v>0</v>
      </c>
      <c r="AX1517" s="1">
        <f t="shared" si="717"/>
        <v>0</v>
      </c>
      <c r="AY1517" s="29">
        <f t="shared" si="718"/>
        <v>0</v>
      </c>
      <c r="AZ1517" s="1">
        <f t="shared" si="730"/>
        <v>0</v>
      </c>
      <c r="CB1517" s="20">
        <f t="shared" si="709"/>
        <v>0</v>
      </c>
      <c r="CC1517" s="173">
        <f t="shared" si="731"/>
        <v>0</v>
      </c>
    </row>
    <row r="1518" spans="10:81" x14ac:dyDescent="0.25">
      <c r="J1518" s="9"/>
      <c r="K1518" s="10"/>
      <c r="L1518" s="17"/>
      <c r="M1518" s="23"/>
      <c r="N1518" s="23"/>
      <c r="O1518" s="23"/>
      <c r="P1518" s="23"/>
      <c r="Q1518" s="1">
        <f t="shared" si="732"/>
        <v>0.60744618579017706</v>
      </c>
      <c r="R1518" s="12">
        <f t="shared" ca="1" si="719"/>
        <v>44642</v>
      </c>
      <c r="S1518" s="88">
        <f t="shared" si="728"/>
        <v>0</v>
      </c>
      <c r="T1518" s="19">
        <f t="shared" si="720"/>
        <v>0</v>
      </c>
      <c r="U1518" s="19">
        <f t="shared" si="721"/>
        <v>0</v>
      </c>
      <c r="V1518" s="19">
        <f t="shared" si="737"/>
        <v>0</v>
      </c>
      <c r="W1518" s="20">
        <f t="shared" ca="1" si="722"/>
        <v>0</v>
      </c>
      <c r="X1518" s="19">
        <f t="shared" ca="1" si="723"/>
        <v>0</v>
      </c>
      <c r="Y1518" s="19">
        <f t="shared" ca="1" si="724"/>
        <v>0</v>
      </c>
      <c r="Z1518" s="20">
        <f t="shared" ca="1" si="725"/>
        <v>0</v>
      </c>
      <c r="AA1518" s="1">
        <f t="shared" si="733"/>
        <v>5432.58</v>
      </c>
      <c r="AB1518" s="93"/>
      <c r="AC1518" s="94"/>
      <c r="AD1518" s="101">
        <f t="shared" si="734"/>
        <v>85764</v>
      </c>
      <c r="AE1518" s="103">
        <f t="shared" si="735"/>
        <v>0</v>
      </c>
      <c r="AG1518" s="1">
        <f t="shared" si="726"/>
        <v>0</v>
      </c>
      <c r="AH1518" s="1">
        <f t="shared" si="727"/>
        <v>0</v>
      </c>
      <c r="AI1518" s="1">
        <f t="shared" si="736"/>
        <v>5432.58</v>
      </c>
      <c r="AJ1518" s="20">
        <f t="shared" si="738"/>
        <v>0</v>
      </c>
      <c r="AK1518" s="100">
        <f t="shared" si="710"/>
        <v>0</v>
      </c>
      <c r="AL1518" s="100">
        <f t="shared" si="711"/>
        <v>0</v>
      </c>
      <c r="AN1518" s="100">
        <f t="shared" si="712"/>
        <v>2557.0784919742523</v>
      </c>
      <c r="AO1518" s="20">
        <f t="shared" si="713"/>
        <v>0</v>
      </c>
      <c r="AQ1518" s="109">
        <f t="shared" si="714"/>
        <v>0</v>
      </c>
      <c r="AU1518" s="109">
        <f t="shared" si="729"/>
        <v>23.745775369446484</v>
      </c>
      <c r="AV1518" s="101">
        <f t="shared" si="715"/>
        <v>85794</v>
      </c>
      <c r="AW1518" s="99">
        <f t="shared" si="716"/>
        <v>0</v>
      </c>
      <c r="AX1518" s="1">
        <f t="shared" si="717"/>
        <v>0</v>
      </c>
      <c r="AY1518" s="29">
        <f t="shared" si="718"/>
        <v>0</v>
      </c>
      <c r="AZ1518" s="1">
        <f t="shared" si="730"/>
        <v>0</v>
      </c>
      <c r="CB1518" s="20">
        <f t="shared" ref="CB1518:CB1581" si="739">IF(O1518=0,IF(P1518&gt;0,V1517,IF(O1517=0,0,P1518)),IF(O1517=0,0,P1518))</f>
        <v>0</v>
      </c>
      <c r="CC1518" s="173">
        <f t="shared" si="731"/>
        <v>0</v>
      </c>
    </row>
    <row r="1519" spans="10:81" x14ac:dyDescent="0.25">
      <c r="J1519" s="7"/>
      <c r="K1519" s="8"/>
      <c r="L1519" s="16"/>
      <c r="M1519" s="22"/>
      <c r="N1519" s="22"/>
      <c r="O1519" s="22"/>
      <c r="P1519" s="22"/>
      <c r="Q1519" s="1">
        <f t="shared" si="732"/>
        <v>0.60744618579017706</v>
      </c>
      <c r="R1519" s="12">
        <f t="shared" ca="1" si="719"/>
        <v>44672</v>
      </c>
      <c r="S1519" s="88">
        <f t="shared" si="728"/>
        <v>0</v>
      </c>
      <c r="T1519" s="19">
        <f t="shared" si="720"/>
        <v>0</v>
      </c>
      <c r="U1519" s="19">
        <f t="shared" si="721"/>
        <v>0</v>
      </c>
      <c r="V1519" s="19">
        <f t="shared" si="737"/>
        <v>0</v>
      </c>
      <c r="W1519" s="20">
        <f t="shared" ca="1" si="722"/>
        <v>0</v>
      </c>
      <c r="X1519" s="19">
        <f t="shared" ca="1" si="723"/>
        <v>0</v>
      </c>
      <c r="Y1519" s="19">
        <f t="shared" ca="1" si="724"/>
        <v>0</v>
      </c>
      <c r="Z1519" s="20">
        <f t="shared" ca="1" si="725"/>
        <v>0</v>
      </c>
      <c r="AA1519" s="1">
        <f t="shared" si="733"/>
        <v>5432.58</v>
      </c>
      <c r="AB1519" s="91"/>
      <c r="AC1519" s="92"/>
      <c r="AD1519" s="101">
        <f t="shared" si="734"/>
        <v>85794</v>
      </c>
      <c r="AE1519" s="103">
        <f t="shared" si="735"/>
        <v>0</v>
      </c>
      <c r="AG1519" s="1">
        <f t="shared" si="726"/>
        <v>0</v>
      </c>
      <c r="AH1519" s="1">
        <f t="shared" si="727"/>
        <v>0</v>
      </c>
      <c r="AI1519" s="1">
        <f t="shared" si="736"/>
        <v>5432.58</v>
      </c>
      <c r="AJ1519" s="20">
        <f t="shared" si="738"/>
        <v>0</v>
      </c>
      <c r="AK1519" s="100">
        <f t="shared" si="710"/>
        <v>0</v>
      </c>
      <c r="AL1519" s="100">
        <f t="shared" si="711"/>
        <v>0</v>
      </c>
      <c r="AN1519" s="100">
        <f t="shared" si="712"/>
        <v>2555.7847405639554</v>
      </c>
      <c r="AO1519" s="20">
        <f t="shared" si="713"/>
        <v>0</v>
      </c>
      <c r="AQ1519" s="109">
        <f t="shared" si="714"/>
        <v>0</v>
      </c>
      <c r="AU1519" s="109">
        <f t="shared" si="729"/>
        <v>23.743691200996629</v>
      </c>
      <c r="AV1519" s="101">
        <f t="shared" si="715"/>
        <v>85824</v>
      </c>
      <c r="AW1519" s="99">
        <f t="shared" si="716"/>
        <v>0</v>
      </c>
      <c r="AX1519" s="1">
        <f t="shared" si="717"/>
        <v>0</v>
      </c>
      <c r="AY1519" s="29">
        <f t="shared" si="718"/>
        <v>0</v>
      </c>
      <c r="AZ1519" s="1">
        <f t="shared" si="730"/>
        <v>0</v>
      </c>
      <c r="CB1519" s="20">
        <f t="shared" si="739"/>
        <v>0</v>
      </c>
      <c r="CC1519" s="173">
        <f t="shared" si="731"/>
        <v>0</v>
      </c>
    </row>
    <row r="1520" spans="10:81" x14ac:dyDescent="0.25">
      <c r="J1520" s="9"/>
      <c r="K1520" s="10"/>
      <c r="L1520" s="17"/>
      <c r="M1520" s="23"/>
      <c r="N1520" s="23"/>
      <c r="O1520" s="23"/>
      <c r="P1520" s="23"/>
      <c r="Q1520" s="1">
        <f t="shared" si="732"/>
        <v>0.60744618579017706</v>
      </c>
      <c r="R1520" s="12">
        <f t="shared" ca="1" si="719"/>
        <v>44702</v>
      </c>
      <c r="S1520" s="88">
        <f t="shared" si="728"/>
        <v>0</v>
      </c>
      <c r="T1520" s="19">
        <f t="shared" si="720"/>
        <v>0</v>
      </c>
      <c r="U1520" s="19">
        <f t="shared" si="721"/>
        <v>0</v>
      </c>
      <c r="V1520" s="19">
        <f t="shared" si="737"/>
        <v>0</v>
      </c>
      <c r="W1520" s="20">
        <f t="shared" ca="1" si="722"/>
        <v>0</v>
      </c>
      <c r="X1520" s="19">
        <f t="shared" ca="1" si="723"/>
        <v>0</v>
      </c>
      <c r="Y1520" s="19">
        <f t="shared" ca="1" si="724"/>
        <v>0</v>
      </c>
      <c r="Z1520" s="20">
        <f t="shared" ca="1" si="725"/>
        <v>0</v>
      </c>
      <c r="AA1520" s="1">
        <f t="shared" si="733"/>
        <v>5432.58</v>
      </c>
      <c r="AB1520" s="93"/>
      <c r="AC1520" s="94"/>
      <c r="AD1520" s="101">
        <f t="shared" si="734"/>
        <v>85824</v>
      </c>
      <c r="AE1520" s="103">
        <f t="shared" si="735"/>
        <v>0</v>
      </c>
      <c r="AG1520" s="1">
        <f t="shared" si="726"/>
        <v>0</v>
      </c>
      <c r="AH1520" s="1">
        <f t="shared" si="727"/>
        <v>0</v>
      </c>
      <c r="AI1520" s="1">
        <f t="shared" si="736"/>
        <v>5432.58</v>
      </c>
      <c r="AJ1520" s="20">
        <f t="shared" si="738"/>
        <v>0</v>
      </c>
      <c r="AK1520" s="100">
        <f t="shared" si="710"/>
        <v>0</v>
      </c>
      <c r="AL1520" s="100">
        <f t="shared" si="711"/>
        <v>0</v>
      </c>
      <c r="AN1520" s="100">
        <f t="shared" si="712"/>
        <v>2554.4916437259435</v>
      </c>
      <c r="AO1520" s="20">
        <f t="shared" si="713"/>
        <v>0</v>
      </c>
      <c r="AQ1520" s="109">
        <f t="shared" si="714"/>
        <v>0</v>
      </c>
      <c r="AU1520" s="109">
        <f t="shared" si="729"/>
        <v>23.741607215474382</v>
      </c>
      <c r="AV1520" s="101">
        <f t="shared" si="715"/>
        <v>85854</v>
      </c>
      <c r="AW1520" s="99">
        <f t="shared" si="716"/>
        <v>0</v>
      </c>
      <c r="AX1520" s="1">
        <f t="shared" si="717"/>
        <v>0</v>
      </c>
      <c r="AY1520" s="29">
        <f t="shared" si="718"/>
        <v>0</v>
      </c>
      <c r="AZ1520" s="1">
        <f t="shared" si="730"/>
        <v>0</v>
      </c>
      <c r="CB1520" s="20">
        <f t="shared" si="739"/>
        <v>0</v>
      </c>
      <c r="CC1520" s="173">
        <f t="shared" si="731"/>
        <v>0</v>
      </c>
    </row>
    <row r="1521" spans="10:81" x14ac:dyDescent="0.25">
      <c r="J1521" s="7"/>
      <c r="K1521" s="8"/>
      <c r="L1521" s="16"/>
      <c r="M1521" s="22"/>
      <c r="N1521" s="22"/>
      <c r="O1521" s="22"/>
      <c r="P1521" s="22"/>
      <c r="Q1521" s="1">
        <f t="shared" si="732"/>
        <v>0.60744618579017706</v>
      </c>
      <c r="R1521" s="12">
        <f t="shared" ca="1" si="719"/>
        <v>44732</v>
      </c>
      <c r="S1521" s="88">
        <f t="shared" si="728"/>
        <v>0</v>
      </c>
      <c r="T1521" s="19">
        <f t="shared" si="720"/>
        <v>0</v>
      </c>
      <c r="U1521" s="19">
        <f t="shared" si="721"/>
        <v>0</v>
      </c>
      <c r="V1521" s="19">
        <f t="shared" si="737"/>
        <v>0</v>
      </c>
      <c r="W1521" s="20">
        <f t="shared" ca="1" si="722"/>
        <v>0</v>
      </c>
      <c r="X1521" s="19">
        <f t="shared" ca="1" si="723"/>
        <v>0</v>
      </c>
      <c r="Y1521" s="19">
        <f t="shared" ca="1" si="724"/>
        <v>0</v>
      </c>
      <c r="Z1521" s="20">
        <f t="shared" ca="1" si="725"/>
        <v>0</v>
      </c>
      <c r="AA1521" s="1">
        <f t="shared" si="733"/>
        <v>5432.58</v>
      </c>
      <c r="AB1521" s="91"/>
      <c r="AC1521" s="92"/>
      <c r="AD1521" s="101">
        <f t="shared" si="734"/>
        <v>85854</v>
      </c>
      <c r="AE1521" s="103">
        <f t="shared" si="735"/>
        <v>0</v>
      </c>
      <c r="AG1521" s="1">
        <f t="shared" si="726"/>
        <v>0</v>
      </c>
      <c r="AH1521" s="1">
        <f t="shared" si="727"/>
        <v>0</v>
      </c>
      <c r="AI1521" s="1">
        <f t="shared" si="736"/>
        <v>5432.58</v>
      </c>
      <c r="AJ1521" s="20">
        <f t="shared" si="738"/>
        <v>0</v>
      </c>
      <c r="AK1521" s="100">
        <f t="shared" si="710"/>
        <v>0</v>
      </c>
      <c r="AL1521" s="100">
        <f t="shared" si="711"/>
        <v>0</v>
      </c>
      <c r="AN1521" s="100">
        <f t="shared" si="712"/>
        <v>2553.1992011290358</v>
      </c>
      <c r="AO1521" s="20">
        <f t="shared" si="713"/>
        <v>0</v>
      </c>
      <c r="AQ1521" s="109">
        <f t="shared" si="714"/>
        <v>0</v>
      </c>
      <c r="AU1521" s="109">
        <f t="shared" si="729"/>
        <v>23.739523412863701</v>
      </c>
      <c r="AV1521" s="101">
        <f t="shared" si="715"/>
        <v>85884</v>
      </c>
      <c r="AW1521" s="99">
        <f t="shared" si="716"/>
        <v>0</v>
      </c>
      <c r="AX1521" s="1">
        <f t="shared" si="717"/>
        <v>0</v>
      </c>
      <c r="AY1521" s="29">
        <f t="shared" si="718"/>
        <v>0</v>
      </c>
      <c r="AZ1521" s="1">
        <f t="shared" si="730"/>
        <v>0</v>
      </c>
      <c r="CB1521" s="20">
        <f t="shared" si="739"/>
        <v>0</v>
      </c>
      <c r="CC1521" s="173">
        <f t="shared" si="731"/>
        <v>0</v>
      </c>
    </row>
    <row r="1522" spans="10:81" x14ac:dyDescent="0.25">
      <c r="J1522" s="9"/>
      <c r="K1522" s="10"/>
      <c r="L1522" s="17"/>
      <c r="M1522" s="23"/>
      <c r="N1522" s="23"/>
      <c r="O1522" s="23"/>
      <c r="P1522" s="23"/>
      <c r="Q1522" s="1">
        <f t="shared" si="732"/>
        <v>0.60744618579017706</v>
      </c>
      <c r="R1522" s="12">
        <f t="shared" ca="1" si="719"/>
        <v>44762</v>
      </c>
      <c r="S1522" s="88">
        <f t="shared" si="728"/>
        <v>0</v>
      </c>
      <c r="T1522" s="19">
        <f t="shared" si="720"/>
        <v>0</v>
      </c>
      <c r="U1522" s="19">
        <f t="shared" si="721"/>
        <v>0</v>
      </c>
      <c r="V1522" s="19">
        <f t="shared" si="737"/>
        <v>0</v>
      </c>
      <c r="W1522" s="20">
        <f t="shared" ca="1" si="722"/>
        <v>0</v>
      </c>
      <c r="X1522" s="19">
        <f t="shared" ca="1" si="723"/>
        <v>0</v>
      </c>
      <c r="Y1522" s="19">
        <f t="shared" ca="1" si="724"/>
        <v>0</v>
      </c>
      <c r="Z1522" s="20">
        <f t="shared" ca="1" si="725"/>
        <v>0</v>
      </c>
      <c r="AA1522" s="1">
        <f t="shared" si="733"/>
        <v>5432.58</v>
      </c>
      <c r="AB1522" s="93"/>
      <c r="AC1522" s="94"/>
      <c r="AD1522" s="101">
        <f t="shared" si="734"/>
        <v>85884</v>
      </c>
      <c r="AE1522" s="103">
        <f t="shared" si="735"/>
        <v>0</v>
      </c>
      <c r="AG1522" s="1">
        <f t="shared" si="726"/>
        <v>0</v>
      </c>
      <c r="AH1522" s="1">
        <f t="shared" si="727"/>
        <v>0</v>
      </c>
      <c r="AI1522" s="1">
        <f t="shared" si="736"/>
        <v>5432.58</v>
      </c>
      <c r="AJ1522" s="20">
        <f t="shared" si="738"/>
        <v>0</v>
      </c>
      <c r="AK1522" s="100">
        <f t="shared" si="710"/>
        <v>0</v>
      </c>
      <c r="AL1522" s="100">
        <f t="shared" si="711"/>
        <v>0</v>
      </c>
      <c r="AN1522" s="100">
        <f t="shared" si="712"/>
        <v>2551.9074124422218</v>
      </c>
      <c r="AO1522" s="20">
        <f t="shared" si="713"/>
        <v>0</v>
      </c>
      <c r="AQ1522" s="109">
        <f t="shared" si="714"/>
        <v>0</v>
      </c>
      <c r="AU1522" s="109">
        <f t="shared" si="729"/>
        <v>23.737439793148521</v>
      </c>
      <c r="AV1522" s="101">
        <f t="shared" si="715"/>
        <v>85914</v>
      </c>
      <c r="AW1522" s="99">
        <f t="shared" si="716"/>
        <v>0</v>
      </c>
      <c r="AX1522" s="1">
        <f t="shared" si="717"/>
        <v>0</v>
      </c>
      <c r="AY1522" s="29">
        <f t="shared" si="718"/>
        <v>0</v>
      </c>
      <c r="AZ1522" s="1">
        <f t="shared" si="730"/>
        <v>0</v>
      </c>
      <c r="CB1522" s="20">
        <f t="shared" si="739"/>
        <v>0</v>
      </c>
      <c r="CC1522" s="173">
        <f t="shared" si="731"/>
        <v>0</v>
      </c>
    </row>
    <row r="1523" spans="10:81" x14ac:dyDescent="0.25">
      <c r="J1523" s="7"/>
      <c r="K1523" s="8"/>
      <c r="L1523" s="16"/>
      <c r="M1523" s="22"/>
      <c r="N1523" s="22"/>
      <c r="O1523" s="22"/>
      <c r="P1523" s="22"/>
      <c r="Q1523" s="1">
        <f t="shared" si="732"/>
        <v>0.60744618579017706</v>
      </c>
      <c r="R1523" s="12">
        <f t="shared" ca="1" si="719"/>
        <v>44792</v>
      </c>
      <c r="S1523" s="88">
        <f t="shared" si="728"/>
        <v>0</v>
      </c>
      <c r="T1523" s="19">
        <f t="shared" si="720"/>
        <v>0</v>
      </c>
      <c r="U1523" s="19">
        <f t="shared" si="721"/>
        <v>0</v>
      </c>
      <c r="V1523" s="19">
        <f t="shared" si="737"/>
        <v>0</v>
      </c>
      <c r="W1523" s="20">
        <f t="shared" ca="1" si="722"/>
        <v>0</v>
      </c>
      <c r="X1523" s="19">
        <f t="shared" ca="1" si="723"/>
        <v>0</v>
      </c>
      <c r="Y1523" s="19">
        <f t="shared" ca="1" si="724"/>
        <v>0</v>
      </c>
      <c r="Z1523" s="20">
        <f t="shared" ca="1" si="725"/>
        <v>0</v>
      </c>
      <c r="AA1523" s="1">
        <f t="shared" si="733"/>
        <v>5432.58</v>
      </c>
      <c r="AB1523" s="91"/>
      <c r="AC1523" s="92"/>
      <c r="AD1523" s="101">
        <f t="shared" si="734"/>
        <v>85914</v>
      </c>
      <c r="AE1523" s="103">
        <f t="shared" si="735"/>
        <v>0</v>
      </c>
      <c r="AG1523" s="1">
        <f t="shared" si="726"/>
        <v>0</v>
      </c>
      <c r="AH1523" s="1">
        <f t="shared" si="727"/>
        <v>0</v>
      </c>
      <c r="AI1523" s="1">
        <f t="shared" si="736"/>
        <v>5432.58</v>
      </c>
      <c r="AJ1523" s="20">
        <f t="shared" si="738"/>
        <v>0</v>
      </c>
      <c r="AK1523" s="100">
        <f t="shared" si="710"/>
        <v>0</v>
      </c>
      <c r="AL1523" s="100">
        <f t="shared" si="711"/>
        <v>0</v>
      </c>
      <c r="AN1523" s="100">
        <f t="shared" si="712"/>
        <v>2550.6162773346528</v>
      </c>
      <c r="AO1523" s="20">
        <f t="shared" si="713"/>
        <v>0</v>
      </c>
      <c r="AQ1523" s="109">
        <f t="shared" si="714"/>
        <v>0</v>
      </c>
      <c r="AU1523" s="109">
        <f t="shared" si="729"/>
        <v>23.735356356312806</v>
      </c>
      <c r="AV1523" s="101">
        <f t="shared" si="715"/>
        <v>85944</v>
      </c>
      <c r="AW1523" s="99">
        <f t="shared" si="716"/>
        <v>0</v>
      </c>
      <c r="AX1523" s="1">
        <f t="shared" si="717"/>
        <v>0</v>
      </c>
      <c r="AY1523" s="29">
        <f t="shared" si="718"/>
        <v>0</v>
      </c>
      <c r="AZ1523" s="1">
        <f t="shared" si="730"/>
        <v>0</v>
      </c>
      <c r="CB1523" s="20">
        <f t="shared" si="739"/>
        <v>0</v>
      </c>
      <c r="CC1523" s="173">
        <f t="shared" si="731"/>
        <v>0</v>
      </c>
    </row>
    <row r="1524" spans="10:81" x14ac:dyDescent="0.25">
      <c r="J1524" s="9"/>
      <c r="K1524" s="10"/>
      <c r="L1524" s="17"/>
      <c r="M1524" s="23"/>
      <c r="N1524" s="23"/>
      <c r="O1524" s="23"/>
      <c r="P1524" s="23"/>
      <c r="Q1524" s="1">
        <f t="shared" si="732"/>
        <v>0.60744618579017706</v>
      </c>
      <c r="R1524" s="12">
        <f t="shared" ca="1" si="719"/>
        <v>44822</v>
      </c>
      <c r="S1524" s="88">
        <f t="shared" si="728"/>
        <v>0</v>
      </c>
      <c r="T1524" s="19">
        <f t="shared" si="720"/>
        <v>0</v>
      </c>
      <c r="U1524" s="19">
        <f t="shared" si="721"/>
        <v>0</v>
      </c>
      <c r="V1524" s="19">
        <f t="shared" si="737"/>
        <v>0</v>
      </c>
      <c r="W1524" s="20">
        <f t="shared" ca="1" si="722"/>
        <v>0</v>
      </c>
      <c r="X1524" s="19">
        <f t="shared" ca="1" si="723"/>
        <v>0</v>
      </c>
      <c r="Y1524" s="19">
        <f t="shared" ca="1" si="724"/>
        <v>0</v>
      </c>
      <c r="Z1524" s="20">
        <f t="shared" ca="1" si="725"/>
        <v>0</v>
      </c>
      <c r="AA1524" s="1">
        <f t="shared" si="733"/>
        <v>5432.58</v>
      </c>
      <c r="AB1524" s="93"/>
      <c r="AC1524" s="94"/>
      <c r="AD1524" s="101">
        <f t="shared" si="734"/>
        <v>85944</v>
      </c>
      <c r="AE1524" s="103">
        <f t="shared" si="735"/>
        <v>0</v>
      </c>
      <c r="AG1524" s="1">
        <f t="shared" si="726"/>
        <v>0</v>
      </c>
      <c r="AH1524" s="1">
        <f t="shared" si="727"/>
        <v>0</v>
      </c>
      <c r="AI1524" s="1">
        <f t="shared" si="736"/>
        <v>5432.58</v>
      </c>
      <c r="AJ1524" s="20">
        <f t="shared" si="738"/>
        <v>0</v>
      </c>
      <c r="AK1524" s="100">
        <f t="shared" si="710"/>
        <v>0</v>
      </c>
      <c r="AL1524" s="100">
        <f t="shared" si="711"/>
        <v>0</v>
      </c>
      <c r="AN1524" s="100">
        <f t="shared" si="712"/>
        <v>2549.3257954756541</v>
      </c>
      <c r="AO1524" s="20">
        <f t="shared" si="713"/>
        <v>0</v>
      </c>
      <c r="AQ1524" s="109">
        <f t="shared" si="714"/>
        <v>0</v>
      </c>
      <c r="AU1524" s="109">
        <f t="shared" si="729"/>
        <v>23.733273102340487</v>
      </c>
      <c r="AV1524" s="101">
        <f t="shared" si="715"/>
        <v>85974</v>
      </c>
      <c r="AW1524" s="99">
        <f t="shared" si="716"/>
        <v>0</v>
      </c>
      <c r="AX1524" s="1">
        <f t="shared" si="717"/>
        <v>0</v>
      </c>
      <c r="AY1524" s="29">
        <f t="shared" si="718"/>
        <v>0</v>
      </c>
      <c r="AZ1524" s="1">
        <f t="shared" si="730"/>
        <v>0</v>
      </c>
      <c r="CB1524" s="20">
        <f t="shared" si="739"/>
        <v>0</v>
      </c>
      <c r="CC1524" s="173">
        <f t="shared" si="731"/>
        <v>0</v>
      </c>
    </row>
    <row r="1525" spans="10:81" x14ac:dyDescent="0.25">
      <c r="J1525" s="7"/>
      <c r="K1525" s="8"/>
      <c r="L1525" s="16"/>
      <c r="M1525" s="22"/>
      <c r="N1525" s="22"/>
      <c r="O1525" s="22"/>
      <c r="P1525" s="22"/>
      <c r="Q1525" s="1">
        <f t="shared" si="732"/>
        <v>0.60744618579017706</v>
      </c>
      <c r="R1525" s="12">
        <f t="shared" ca="1" si="719"/>
        <v>44852</v>
      </c>
      <c r="S1525" s="88">
        <f t="shared" si="728"/>
        <v>0</v>
      </c>
      <c r="T1525" s="19">
        <f t="shared" si="720"/>
        <v>0</v>
      </c>
      <c r="U1525" s="19">
        <f t="shared" si="721"/>
        <v>0</v>
      </c>
      <c r="V1525" s="19">
        <f t="shared" si="737"/>
        <v>0</v>
      </c>
      <c r="W1525" s="20">
        <f t="shared" ca="1" si="722"/>
        <v>0</v>
      </c>
      <c r="X1525" s="19">
        <f t="shared" ca="1" si="723"/>
        <v>0</v>
      </c>
      <c r="Y1525" s="19">
        <f t="shared" ca="1" si="724"/>
        <v>0</v>
      </c>
      <c r="Z1525" s="20">
        <f t="shared" ca="1" si="725"/>
        <v>0</v>
      </c>
      <c r="AA1525" s="1">
        <f t="shared" si="733"/>
        <v>5432.58</v>
      </c>
      <c r="AB1525" s="91"/>
      <c r="AC1525" s="92"/>
      <c r="AD1525" s="101">
        <f t="shared" si="734"/>
        <v>85974</v>
      </c>
      <c r="AE1525" s="103">
        <f t="shared" si="735"/>
        <v>0</v>
      </c>
      <c r="AG1525" s="1">
        <f t="shared" si="726"/>
        <v>0</v>
      </c>
      <c r="AH1525" s="1">
        <f t="shared" si="727"/>
        <v>0</v>
      </c>
      <c r="AI1525" s="1">
        <f t="shared" si="736"/>
        <v>5432.58</v>
      </c>
      <c r="AJ1525" s="20">
        <f t="shared" si="738"/>
        <v>0</v>
      </c>
      <c r="AK1525" s="100">
        <f t="shared" si="710"/>
        <v>0</v>
      </c>
      <c r="AL1525" s="100">
        <f t="shared" si="711"/>
        <v>0</v>
      </c>
      <c r="AN1525" s="100">
        <f t="shared" si="712"/>
        <v>2548.035966534715</v>
      </c>
      <c r="AO1525" s="20">
        <f t="shared" si="713"/>
        <v>0</v>
      </c>
      <c r="AQ1525" s="109">
        <f t="shared" si="714"/>
        <v>0</v>
      </c>
      <c r="AU1525" s="109">
        <f t="shared" si="729"/>
        <v>23.73119003121553</v>
      </c>
      <c r="AV1525" s="101">
        <f t="shared" si="715"/>
        <v>86004</v>
      </c>
      <c r="AW1525" s="99">
        <f t="shared" si="716"/>
        <v>0</v>
      </c>
      <c r="AX1525" s="1">
        <f t="shared" si="717"/>
        <v>0</v>
      </c>
      <c r="AY1525" s="29">
        <f t="shared" si="718"/>
        <v>0</v>
      </c>
      <c r="AZ1525" s="1">
        <f t="shared" si="730"/>
        <v>0</v>
      </c>
      <c r="CB1525" s="20">
        <f t="shared" si="739"/>
        <v>0</v>
      </c>
      <c r="CC1525" s="173">
        <f t="shared" si="731"/>
        <v>0</v>
      </c>
    </row>
    <row r="1526" spans="10:81" x14ac:dyDescent="0.25">
      <c r="J1526" s="9"/>
      <c r="K1526" s="10"/>
      <c r="L1526" s="17"/>
      <c r="M1526" s="23"/>
      <c r="N1526" s="23"/>
      <c r="O1526" s="23"/>
      <c r="P1526" s="23"/>
      <c r="Q1526" s="1">
        <f t="shared" si="732"/>
        <v>0.60744618579017706</v>
      </c>
      <c r="R1526" s="12">
        <f t="shared" ca="1" si="719"/>
        <v>44882</v>
      </c>
      <c r="S1526" s="88">
        <f t="shared" si="728"/>
        <v>0</v>
      </c>
      <c r="T1526" s="19">
        <f t="shared" si="720"/>
        <v>0</v>
      </c>
      <c r="U1526" s="19">
        <f t="shared" si="721"/>
        <v>0</v>
      </c>
      <c r="V1526" s="19">
        <f t="shared" si="737"/>
        <v>0</v>
      </c>
      <c r="W1526" s="20">
        <f t="shared" ca="1" si="722"/>
        <v>0</v>
      </c>
      <c r="X1526" s="19">
        <f t="shared" ca="1" si="723"/>
        <v>0</v>
      </c>
      <c r="Y1526" s="19">
        <f t="shared" ca="1" si="724"/>
        <v>0</v>
      </c>
      <c r="Z1526" s="20">
        <f t="shared" ca="1" si="725"/>
        <v>0</v>
      </c>
      <c r="AA1526" s="1">
        <f t="shared" si="733"/>
        <v>5432.58</v>
      </c>
      <c r="AB1526" s="93"/>
      <c r="AC1526" s="94"/>
      <c r="AD1526" s="101">
        <f t="shared" si="734"/>
        <v>86004</v>
      </c>
      <c r="AE1526" s="103">
        <f t="shared" si="735"/>
        <v>0</v>
      </c>
      <c r="AG1526" s="1">
        <f t="shared" si="726"/>
        <v>0</v>
      </c>
      <c r="AH1526" s="1">
        <f t="shared" si="727"/>
        <v>0</v>
      </c>
      <c r="AI1526" s="1">
        <f t="shared" si="736"/>
        <v>5432.58</v>
      </c>
      <c r="AJ1526" s="20">
        <f t="shared" si="738"/>
        <v>0</v>
      </c>
      <c r="AK1526" s="100">
        <f t="shared" ref="AK1526:AK1589" si="740">IF(ISERROR(AJ1526/(1+(Q1526)/1200)^(ROW()-29)),0,AJ1526/(1+(Q1526)/1200)^(ROW()-29))</f>
        <v>0</v>
      </c>
      <c r="AL1526" s="100">
        <f t="shared" ref="AL1526:AL1589" si="741">IF(ISERROR((Q1526/1200)*O1526),0,(Q1526/1200)*O1526)</f>
        <v>0</v>
      </c>
      <c r="AN1526" s="100">
        <f t="shared" ref="AN1526:AN1589" si="742">IF(ISERROR(AA1526/(1+(Q1526)/1200)^(ROW()-29)),0,AA1526/(1+(Q1526)/1200)^(ROW()-29))</f>
        <v>2546.7467901814894</v>
      </c>
      <c r="AO1526" s="20">
        <f t="shared" ref="AO1526:AO1589" si="743">IF(ISERROR(V1525+U1526+T1526+(V1525*Q1526/1200)-AA1526-P1526),0,IF(V1525+U1526+T1526+(V1525*Q1526/1200)-AA1526-P1526&lt;0,V1525,-(U1526+T1526-AA1526+P1526-AH1526)))</f>
        <v>0</v>
      </c>
      <c r="AQ1526" s="109">
        <f t="shared" ref="AQ1526:AQ1589" si="744">AO1526/(1+((1+$AM$27)^((ROW()-29)*30)-1))</f>
        <v>0</v>
      </c>
      <c r="AU1526" s="109">
        <f t="shared" si="729"/>
        <v>23.72910714292188</v>
      </c>
      <c r="AV1526" s="101">
        <f t="shared" ref="AV1526:AV1589" si="745">AD1527</f>
        <v>86034</v>
      </c>
      <c r="AW1526" s="99">
        <f t="shared" ref="AW1526:AW1589" si="746">IF(AJ1527&lt;0,0,AJ1527)</f>
        <v>0</v>
      </c>
      <c r="AX1526" s="1">
        <f t="shared" ref="AX1526:AX1589" si="747">IF(AG1526&gt;0,AA1526,0)</f>
        <v>0</v>
      </c>
      <c r="AY1526" s="29">
        <f t="shared" ref="AY1526:AY1589" si="748">AE1526</f>
        <v>0</v>
      </c>
      <c r="AZ1526" s="1">
        <f t="shared" si="730"/>
        <v>0</v>
      </c>
      <c r="CB1526" s="20">
        <f t="shared" si="739"/>
        <v>0</v>
      </c>
      <c r="CC1526" s="173">
        <f t="shared" si="731"/>
        <v>0</v>
      </c>
    </row>
    <row r="1527" spans="10:81" x14ac:dyDescent="0.25">
      <c r="J1527" s="7"/>
      <c r="K1527" s="8"/>
      <c r="L1527" s="16"/>
      <c r="M1527" s="22"/>
      <c r="N1527" s="22"/>
      <c r="O1527" s="22"/>
      <c r="P1527" s="22"/>
      <c r="Q1527" s="1">
        <f t="shared" si="732"/>
        <v>0.60744618579017706</v>
      </c>
      <c r="R1527" s="12">
        <f t="shared" ref="R1527:R1590" ca="1" si="749">IF(ROW()&gt;$T$20,R1526+30,DAYS360(K1526,K1527)+R1526)</f>
        <v>44912</v>
      </c>
      <c r="S1527" s="88">
        <f t="shared" si="728"/>
        <v>0</v>
      </c>
      <c r="T1527" s="19">
        <f t="shared" ref="T1527:T1590" si="750">IF(ISERROR((previousBalance*Q1527/1200)*(IF(ROW()-30&lt;$G$22,$G$21,0))),0,(previousBalance*Q1527/1200)*(IF(ROW()-30&lt;$G$22,$G$21,0)))</f>
        <v>0</v>
      </c>
      <c r="U1527" s="19">
        <f t="shared" ref="U1527:U1590" si="751">AA1527*(IF(ROW()-30&lt;$H$22,$H$21,0))</f>
        <v>0</v>
      </c>
      <c r="V1527" s="19">
        <f t="shared" si="737"/>
        <v>0</v>
      </c>
      <c r="W1527" s="20">
        <f t="shared" ref="W1527:W1590" ca="1" si="752">(T1527)/(1+((1+$T$12)^$R1527-1))</f>
        <v>0</v>
      </c>
      <c r="X1527" s="19">
        <f t="shared" ref="X1527:X1590" ca="1" si="753">(U1527)/(1+((1+$T$12)^$R1527-1))</f>
        <v>0</v>
      </c>
      <c r="Y1527" s="19">
        <f t="shared" ref="Y1527:Y1590" ca="1" si="754">P1527/(1+((1+$T$12)^$R1527-1))</f>
        <v>0</v>
      </c>
      <c r="Z1527" s="20">
        <f t="shared" ref="Z1527:Z1590" ca="1" si="755">W1527+X1527</f>
        <v>0</v>
      </c>
      <c r="AA1527" s="1">
        <f t="shared" si="733"/>
        <v>5432.58</v>
      </c>
      <c r="AB1527" s="91"/>
      <c r="AC1527" s="92"/>
      <c r="AD1527" s="101">
        <f t="shared" si="734"/>
        <v>86034</v>
      </c>
      <c r="AE1527" s="103">
        <f t="shared" si="735"/>
        <v>0</v>
      </c>
      <c r="AG1527" s="1">
        <f t="shared" ref="AG1527:AG1590" si="756">AE1527/360</f>
        <v>0</v>
      </c>
      <c r="AH1527" s="1">
        <f t="shared" ref="AH1527:AH1590" si="757">IF(ISERROR(IF(V1526+U1527+T1527+(V1526*Q1527/1200)-AA1527-P1527&lt;0,0,(V1526*Q1527/1200))),0,IF(V1526+U1527+T1527+(V1526*Q1527/1200)-AA1527-P1527&lt;0,0,(V1526*Q1527/1200)))</f>
        <v>0</v>
      </c>
      <c r="AI1527" s="1">
        <f t="shared" si="736"/>
        <v>5432.58</v>
      </c>
      <c r="AJ1527" s="20">
        <f t="shared" si="738"/>
        <v>0</v>
      </c>
      <c r="AK1527" s="100">
        <f t="shared" si="740"/>
        <v>0</v>
      </c>
      <c r="AL1527" s="100">
        <f t="shared" si="741"/>
        <v>0</v>
      </c>
      <c r="AN1527" s="100">
        <f t="shared" si="742"/>
        <v>2545.4582660858041</v>
      </c>
      <c r="AO1527" s="20">
        <f t="shared" si="743"/>
        <v>0</v>
      </c>
      <c r="AQ1527" s="109">
        <f t="shared" si="744"/>
        <v>0</v>
      </c>
      <c r="AU1527" s="109">
        <f t="shared" si="729"/>
        <v>23.72702443744349</v>
      </c>
      <c r="AV1527" s="101">
        <f t="shared" si="745"/>
        <v>86064</v>
      </c>
      <c r="AW1527" s="99">
        <f t="shared" si="746"/>
        <v>0</v>
      </c>
      <c r="AX1527" s="1">
        <f t="shared" si="747"/>
        <v>0</v>
      </c>
      <c r="AY1527" s="29">
        <f t="shared" si="748"/>
        <v>0</v>
      </c>
      <c r="AZ1527" s="1">
        <f t="shared" si="730"/>
        <v>0</v>
      </c>
      <c r="CB1527" s="20">
        <f t="shared" si="739"/>
        <v>0</v>
      </c>
      <c r="CC1527" s="173">
        <f t="shared" si="731"/>
        <v>0</v>
      </c>
    </row>
    <row r="1528" spans="10:81" x14ac:dyDescent="0.25">
      <c r="J1528" s="9"/>
      <c r="K1528" s="10"/>
      <c r="L1528" s="17"/>
      <c r="M1528" s="23"/>
      <c r="N1528" s="23"/>
      <c r="O1528" s="23"/>
      <c r="P1528" s="23"/>
      <c r="Q1528" s="1">
        <f t="shared" si="732"/>
        <v>0.60744618579017706</v>
      </c>
      <c r="R1528" s="12">
        <f t="shared" ca="1" si="749"/>
        <v>44942</v>
      </c>
      <c r="S1528" s="88">
        <f t="shared" si="728"/>
        <v>0</v>
      </c>
      <c r="T1528" s="19">
        <f t="shared" si="750"/>
        <v>0</v>
      </c>
      <c r="U1528" s="19">
        <f t="shared" si="751"/>
        <v>0</v>
      </c>
      <c r="V1528" s="19">
        <f t="shared" si="737"/>
        <v>0</v>
      </c>
      <c r="W1528" s="20">
        <f t="shared" ca="1" si="752"/>
        <v>0</v>
      </c>
      <c r="X1528" s="19">
        <f t="shared" ca="1" si="753"/>
        <v>0</v>
      </c>
      <c r="Y1528" s="19">
        <f t="shared" ca="1" si="754"/>
        <v>0</v>
      </c>
      <c r="Z1528" s="20">
        <f t="shared" ca="1" si="755"/>
        <v>0</v>
      </c>
      <c r="AA1528" s="1">
        <f t="shared" si="733"/>
        <v>5432.58</v>
      </c>
      <c r="AB1528" s="93"/>
      <c r="AC1528" s="94"/>
      <c r="AD1528" s="101">
        <f t="shared" si="734"/>
        <v>86064</v>
      </c>
      <c r="AE1528" s="103">
        <f t="shared" si="735"/>
        <v>0</v>
      </c>
      <c r="AG1528" s="1">
        <f t="shared" si="756"/>
        <v>0</v>
      </c>
      <c r="AH1528" s="1">
        <f t="shared" si="757"/>
        <v>0</v>
      </c>
      <c r="AI1528" s="1">
        <f t="shared" si="736"/>
        <v>5432.58</v>
      </c>
      <c r="AJ1528" s="20">
        <f t="shared" si="738"/>
        <v>0</v>
      </c>
      <c r="AK1528" s="100">
        <f t="shared" si="740"/>
        <v>0</v>
      </c>
      <c r="AL1528" s="100">
        <f t="shared" si="741"/>
        <v>0</v>
      </c>
      <c r="AN1528" s="100">
        <f t="shared" si="742"/>
        <v>2544.1703939176496</v>
      </c>
      <c r="AO1528" s="20">
        <f t="shared" si="743"/>
        <v>0</v>
      </c>
      <c r="AQ1528" s="109">
        <f t="shared" si="744"/>
        <v>0</v>
      </c>
      <c r="AU1528" s="109">
        <f t="shared" si="729"/>
        <v>23.724941914764301</v>
      </c>
      <c r="AV1528" s="101">
        <f t="shared" si="745"/>
        <v>86094</v>
      </c>
      <c r="AW1528" s="99">
        <f t="shared" si="746"/>
        <v>0</v>
      </c>
      <c r="AX1528" s="1">
        <f t="shared" si="747"/>
        <v>0</v>
      </c>
      <c r="AY1528" s="29">
        <f t="shared" si="748"/>
        <v>0</v>
      </c>
      <c r="AZ1528" s="1">
        <f t="shared" si="730"/>
        <v>0</v>
      </c>
      <c r="CB1528" s="20">
        <f t="shared" si="739"/>
        <v>0</v>
      </c>
      <c r="CC1528" s="173">
        <f t="shared" si="731"/>
        <v>0</v>
      </c>
    </row>
    <row r="1529" spans="10:81" x14ac:dyDescent="0.25">
      <c r="J1529" s="7"/>
      <c r="K1529" s="8"/>
      <c r="L1529" s="16"/>
      <c r="M1529" s="22"/>
      <c r="N1529" s="22"/>
      <c r="O1529" s="22"/>
      <c r="P1529" s="22"/>
      <c r="Q1529" s="1">
        <f t="shared" si="732"/>
        <v>0.60744618579017706</v>
      </c>
      <c r="R1529" s="12">
        <f t="shared" ca="1" si="749"/>
        <v>44972</v>
      </c>
      <c r="S1529" s="88">
        <f t="shared" si="728"/>
        <v>0</v>
      </c>
      <c r="T1529" s="19">
        <f t="shared" si="750"/>
        <v>0</v>
      </c>
      <c r="U1529" s="19">
        <f t="shared" si="751"/>
        <v>0</v>
      </c>
      <c r="V1529" s="19">
        <f t="shared" si="737"/>
        <v>0</v>
      </c>
      <c r="W1529" s="20">
        <f t="shared" ca="1" si="752"/>
        <v>0</v>
      </c>
      <c r="X1529" s="19">
        <f t="shared" ca="1" si="753"/>
        <v>0</v>
      </c>
      <c r="Y1529" s="19">
        <f t="shared" ca="1" si="754"/>
        <v>0</v>
      </c>
      <c r="Z1529" s="20">
        <f t="shared" ca="1" si="755"/>
        <v>0</v>
      </c>
      <c r="AA1529" s="1">
        <f t="shared" si="733"/>
        <v>5432.58</v>
      </c>
      <c r="AB1529" s="91"/>
      <c r="AC1529" s="92"/>
      <c r="AD1529" s="101">
        <f t="shared" si="734"/>
        <v>86094</v>
      </c>
      <c r="AE1529" s="103">
        <f t="shared" si="735"/>
        <v>0</v>
      </c>
      <c r="AG1529" s="1">
        <f t="shared" si="756"/>
        <v>0</v>
      </c>
      <c r="AH1529" s="1">
        <f t="shared" si="757"/>
        <v>0</v>
      </c>
      <c r="AI1529" s="1">
        <f t="shared" si="736"/>
        <v>5432.58</v>
      </c>
      <c r="AJ1529" s="20">
        <f t="shared" si="738"/>
        <v>0</v>
      </c>
      <c r="AK1529" s="100">
        <f t="shared" si="740"/>
        <v>0</v>
      </c>
      <c r="AL1529" s="100">
        <f t="shared" si="741"/>
        <v>0</v>
      </c>
      <c r="AN1529" s="100">
        <f t="shared" si="742"/>
        <v>2542.8831733471829</v>
      </c>
      <c r="AO1529" s="20">
        <f t="shared" si="743"/>
        <v>0</v>
      </c>
      <c r="AQ1529" s="109">
        <f t="shared" si="744"/>
        <v>0</v>
      </c>
      <c r="AU1529" s="109">
        <f t="shared" si="729"/>
        <v>23.722859574868295</v>
      </c>
      <c r="AV1529" s="101">
        <f t="shared" si="745"/>
        <v>86124</v>
      </c>
      <c r="AW1529" s="99">
        <f t="shared" si="746"/>
        <v>0</v>
      </c>
      <c r="AX1529" s="1">
        <f t="shared" si="747"/>
        <v>0</v>
      </c>
      <c r="AY1529" s="29">
        <f t="shared" si="748"/>
        <v>0</v>
      </c>
      <c r="AZ1529" s="1">
        <f t="shared" si="730"/>
        <v>0</v>
      </c>
      <c r="CB1529" s="20">
        <f t="shared" si="739"/>
        <v>0</v>
      </c>
      <c r="CC1529" s="173">
        <f t="shared" si="731"/>
        <v>0</v>
      </c>
    </row>
    <row r="1530" spans="10:81" x14ac:dyDescent="0.25">
      <c r="J1530" s="9"/>
      <c r="K1530" s="10"/>
      <c r="L1530" s="17"/>
      <c r="M1530" s="23"/>
      <c r="N1530" s="23"/>
      <c r="O1530" s="23"/>
      <c r="P1530" s="23"/>
      <c r="Q1530" s="1">
        <f t="shared" si="732"/>
        <v>0.60744618579017706</v>
      </c>
      <c r="R1530" s="12">
        <f t="shared" ca="1" si="749"/>
        <v>45002</v>
      </c>
      <c r="S1530" s="88">
        <f t="shared" si="728"/>
        <v>0</v>
      </c>
      <c r="T1530" s="19">
        <f t="shared" si="750"/>
        <v>0</v>
      </c>
      <c r="U1530" s="19">
        <f t="shared" si="751"/>
        <v>0</v>
      </c>
      <c r="V1530" s="19">
        <f t="shared" si="737"/>
        <v>0</v>
      </c>
      <c r="W1530" s="20">
        <f t="shared" ca="1" si="752"/>
        <v>0</v>
      </c>
      <c r="X1530" s="19">
        <f t="shared" ca="1" si="753"/>
        <v>0</v>
      </c>
      <c r="Y1530" s="19">
        <f t="shared" ca="1" si="754"/>
        <v>0</v>
      </c>
      <c r="Z1530" s="20">
        <f t="shared" ca="1" si="755"/>
        <v>0</v>
      </c>
      <c r="AA1530" s="1">
        <f t="shared" si="733"/>
        <v>5432.58</v>
      </c>
      <c r="AB1530" s="93"/>
      <c r="AC1530" s="94"/>
      <c r="AD1530" s="101">
        <f t="shared" si="734"/>
        <v>86124</v>
      </c>
      <c r="AE1530" s="103">
        <f t="shared" si="735"/>
        <v>0</v>
      </c>
      <c r="AG1530" s="1">
        <f t="shared" si="756"/>
        <v>0</v>
      </c>
      <c r="AH1530" s="1">
        <f t="shared" si="757"/>
        <v>0</v>
      </c>
      <c r="AI1530" s="1">
        <f t="shared" si="736"/>
        <v>5432.58</v>
      </c>
      <c r="AJ1530" s="20">
        <f t="shared" si="738"/>
        <v>0</v>
      </c>
      <c r="AK1530" s="100">
        <f t="shared" si="740"/>
        <v>0</v>
      </c>
      <c r="AL1530" s="100">
        <f t="shared" si="741"/>
        <v>0</v>
      </c>
      <c r="AN1530" s="100">
        <f t="shared" si="742"/>
        <v>2541.5966040447288</v>
      </c>
      <c r="AO1530" s="20">
        <f t="shared" si="743"/>
        <v>0</v>
      </c>
      <c r="AQ1530" s="109">
        <f t="shared" si="744"/>
        <v>0</v>
      </c>
      <c r="AU1530" s="109">
        <f t="shared" si="729"/>
        <v>23.720777417739402</v>
      </c>
      <c r="AV1530" s="101">
        <f t="shared" si="745"/>
        <v>86154</v>
      </c>
      <c r="AW1530" s="99">
        <f t="shared" si="746"/>
        <v>0</v>
      </c>
      <c r="AX1530" s="1">
        <f t="shared" si="747"/>
        <v>0</v>
      </c>
      <c r="AY1530" s="29">
        <f t="shared" si="748"/>
        <v>0</v>
      </c>
      <c r="AZ1530" s="1">
        <f t="shared" si="730"/>
        <v>0</v>
      </c>
      <c r="CB1530" s="20">
        <f t="shared" si="739"/>
        <v>0</v>
      </c>
      <c r="CC1530" s="173">
        <f t="shared" si="731"/>
        <v>0</v>
      </c>
    </row>
    <row r="1531" spans="10:81" x14ac:dyDescent="0.25">
      <c r="J1531" s="7"/>
      <c r="K1531" s="8"/>
      <c r="L1531" s="16"/>
      <c r="M1531" s="22"/>
      <c r="N1531" s="22"/>
      <c r="O1531" s="22"/>
      <c r="P1531" s="22"/>
      <c r="Q1531" s="1">
        <f t="shared" si="732"/>
        <v>0.60744618579017706</v>
      </c>
      <c r="R1531" s="12">
        <f t="shared" ca="1" si="749"/>
        <v>45032</v>
      </c>
      <c r="S1531" s="88">
        <f t="shared" si="728"/>
        <v>0</v>
      </c>
      <c r="T1531" s="19">
        <f t="shared" si="750"/>
        <v>0</v>
      </c>
      <c r="U1531" s="19">
        <f t="shared" si="751"/>
        <v>0</v>
      </c>
      <c r="V1531" s="19">
        <f t="shared" si="737"/>
        <v>0</v>
      </c>
      <c r="W1531" s="20">
        <f t="shared" ca="1" si="752"/>
        <v>0</v>
      </c>
      <c r="X1531" s="19">
        <f t="shared" ca="1" si="753"/>
        <v>0</v>
      </c>
      <c r="Y1531" s="19">
        <f t="shared" ca="1" si="754"/>
        <v>0</v>
      </c>
      <c r="Z1531" s="20">
        <f t="shared" ca="1" si="755"/>
        <v>0</v>
      </c>
      <c r="AA1531" s="1">
        <f t="shared" si="733"/>
        <v>5432.58</v>
      </c>
      <c r="AB1531" s="91"/>
      <c r="AC1531" s="92"/>
      <c r="AD1531" s="101">
        <f t="shared" si="734"/>
        <v>86154</v>
      </c>
      <c r="AE1531" s="103">
        <f t="shared" si="735"/>
        <v>0</v>
      </c>
      <c r="AG1531" s="1">
        <f t="shared" si="756"/>
        <v>0</v>
      </c>
      <c r="AH1531" s="1">
        <f t="shared" si="757"/>
        <v>0</v>
      </c>
      <c r="AI1531" s="1">
        <f t="shared" si="736"/>
        <v>5432.58</v>
      </c>
      <c r="AJ1531" s="20">
        <f t="shared" si="738"/>
        <v>0</v>
      </c>
      <c r="AK1531" s="100">
        <f t="shared" si="740"/>
        <v>0</v>
      </c>
      <c r="AL1531" s="100">
        <f t="shared" si="741"/>
        <v>0</v>
      </c>
      <c r="AN1531" s="100">
        <f t="shared" si="742"/>
        <v>2540.3106856807794</v>
      </c>
      <c r="AO1531" s="20">
        <f t="shared" si="743"/>
        <v>0</v>
      </c>
      <c r="AQ1531" s="109">
        <f t="shared" si="744"/>
        <v>0</v>
      </c>
      <c r="AU1531" s="109">
        <f t="shared" si="729"/>
        <v>23.7186954433616</v>
      </c>
      <c r="AV1531" s="101">
        <f t="shared" si="745"/>
        <v>86184</v>
      </c>
      <c r="AW1531" s="99">
        <f t="shared" si="746"/>
        <v>0</v>
      </c>
      <c r="AX1531" s="1">
        <f t="shared" si="747"/>
        <v>0</v>
      </c>
      <c r="AY1531" s="29">
        <f t="shared" si="748"/>
        <v>0</v>
      </c>
      <c r="AZ1531" s="1">
        <f t="shared" si="730"/>
        <v>0</v>
      </c>
      <c r="CB1531" s="20">
        <f t="shared" si="739"/>
        <v>0</v>
      </c>
      <c r="CC1531" s="173">
        <f t="shared" si="731"/>
        <v>0</v>
      </c>
    </row>
    <row r="1532" spans="10:81" x14ac:dyDescent="0.25">
      <c r="J1532" s="9"/>
      <c r="K1532" s="10"/>
      <c r="L1532" s="17"/>
      <c r="M1532" s="23"/>
      <c r="N1532" s="23"/>
      <c r="O1532" s="23"/>
      <c r="P1532" s="23"/>
      <c r="Q1532" s="1">
        <f t="shared" si="732"/>
        <v>0.60744618579017706</v>
      </c>
      <c r="R1532" s="12">
        <f t="shared" ca="1" si="749"/>
        <v>45062</v>
      </c>
      <c r="S1532" s="88">
        <f t="shared" si="728"/>
        <v>0</v>
      </c>
      <c r="T1532" s="19">
        <f t="shared" si="750"/>
        <v>0</v>
      </c>
      <c r="U1532" s="19">
        <f t="shared" si="751"/>
        <v>0</v>
      </c>
      <c r="V1532" s="19">
        <f t="shared" si="737"/>
        <v>0</v>
      </c>
      <c r="W1532" s="20">
        <f t="shared" ca="1" si="752"/>
        <v>0</v>
      </c>
      <c r="X1532" s="19">
        <f t="shared" ca="1" si="753"/>
        <v>0</v>
      </c>
      <c r="Y1532" s="19">
        <f t="shared" ca="1" si="754"/>
        <v>0</v>
      </c>
      <c r="Z1532" s="20">
        <f t="shared" ca="1" si="755"/>
        <v>0</v>
      </c>
      <c r="AA1532" s="1">
        <f t="shared" si="733"/>
        <v>5432.58</v>
      </c>
      <c r="AB1532" s="93"/>
      <c r="AC1532" s="94"/>
      <c r="AD1532" s="101">
        <f t="shared" si="734"/>
        <v>86184</v>
      </c>
      <c r="AE1532" s="103">
        <f t="shared" si="735"/>
        <v>0</v>
      </c>
      <c r="AG1532" s="1">
        <f t="shared" si="756"/>
        <v>0</v>
      </c>
      <c r="AH1532" s="1">
        <f t="shared" si="757"/>
        <v>0</v>
      </c>
      <c r="AI1532" s="1">
        <f t="shared" si="736"/>
        <v>5432.58</v>
      </c>
      <c r="AJ1532" s="20">
        <f t="shared" si="738"/>
        <v>0</v>
      </c>
      <c r="AK1532" s="100">
        <f t="shared" si="740"/>
        <v>0</v>
      </c>
      <c r="AL1532" s="100">
        <f t="shared" si="741"/>
        <v>0</v>
      </c>
      <c r="AN1532" s="100">
        <f t="shared" si="742"/>
        <v>2539.0254179259932</v>
      </c>
      <c r="AO1532" s="20">
        <f t="shared" si="743"/>
        <v>0</v>
      </c>
      <c r="AQ1532" s="109">
        <f t="shared" si="744"/>
        <v>0</v>
      </c>
      <c r="AU1532" s="109">
        <f t="shared" si="729"/>
        <v>23.716613651718834</v>
      </c>
      <c r="AV1532" s="101">
        <f t="shared" si="745"/>
        <v>86214</v>
      </c>
      <c r="AW1532" s="99">
        <f t="shared" si="746"/>
        <v>0</v>
      </c>
      <c r="AX1532" s="1">
        <f t="shared" si="747"/>
        <v>0</v>
      </c>
      <c r="AY1532" s="29">
        <f t="shared" si="748"/>
        <v>0</v>
      </c>
      <c r="AZ1532" s="1">
        <f t="shared" si="730"/>
        <v>0</v>
      </c>
      <c r="CB1532" s="20">
        <f t="shared" si="739"/>
        <v>0</v>
      </c>
      <c r="CC1532" s="173">
        <f t="shared" si="731"/>
        <v>0</v>
      </c>
    </row>
    <row r="1533" spans="10:81" x14ac:dyDescent="0.25">
      <c r="J1533" s="7"/>
      <c r="K1533" s="8"/>
      <c r="L1533" s="16"/>
      <c r="M1533" s="22"/>
      <c r="N1533" s="22"/>
      <c r="O1533" s="22"/>
      <c r="P1533" s="22"/>
      <c r="Q1533" s="1">
        <f t="shared" si="732"/>
        <v>0.60744618579017706</v>
      </c>
      <c r="R1533" s="12">
        <f t="shared" ca="1" si="749"/>
        <v>45092</v>
      </c>
      <c r="S1533" s="88">
        <f t="shared" si="728"/>
        <v>0</v>
      </c>
      <c r="T1533" s="19">
        <f t="shared" si="750"/>
        <v>0</v>
      </c>
      <c r="U1533" s="19">
        <f t="shared" si="751"/>
        <v>0</v>
      </c>
      <c r="V1533" s="19">
        <f t="shared" si="737"/>
        <v>0</v>
      </c>
      <c r="W1533" s="20">
        <f t="shared" ca="1" si="752"/>
        <v>0</v>
      </c>
      <c r="X1533" s="19">
        <f t="shared" ca="1" si="753"/>
        <v>0</v>
      </c>
      <c r="Y1533" s="19">
        <f t="shared" ca="1" si="754"/>
        <v>0</v>
      </c>
      <c r="Z1533" s="20">
        <f t="shared" ca="1" si="755"/>
        <v>0</v>
      </c>
      <c r="AA1533" s="1">
        <f t="shared" si="733"/>
        <v>5432.58</v>
      </c>
      <c r="AB1533" s="91"/>
      <c r="AC1533" s="92"/>
      <c r="AD1533" s="101">
        <f t="shared" si="734"/>
        <v>86214</v>
      </c>
      <c r="AE1533" s="103">
        <f t="shared" si="735"/>
        <v>0</v>
      </c>
      <c r="AG1533" s="1">
        <f t="shared" si="756"/>
        <v>0</v>
      </c>
      <c r="AH1533" s="1">
        <f t="shared" si="757"/>
        <v>0</v>
      </c>
      <c r="AI1533" s="1">
        <f t="shared" si="736"/>
        <v>5432.58</v>
      </c>
      <c r="AJ1533" s="20">
        <f t="shared" si="738"/>
        <v>0</v>
      </c>
      <c r="AK1533" s="100">
        <f t="shared" si="740"/>
        <v>0</v>
      </c>
      <c r="AL1533" s="100">
        <f t="shared" si="741"/>
        <v>0</v>
      </c>
      <c r="AN1533" s="100">
        <f t="shared" si="742"/>
        <v>2537.7408004511944</v>
      </c>
      <c r="AO1533" s="20">
        <f t="shared" si="743"/>
        <v>0</v>
      </c>
      <c r="AQ1533" s="109">
        <f t="shared" si="744"/>
        <v>0</v>
      </c>
      <c r="AU1533" s="109">
        <f t="shared" si="729"/>
        <v>23.714532042795085</v>
      </c>
      <c r="AV1533" s="101">
        <f t="shared" si="745"/>
        <v>86244</v>
      </c>
      <c r="AW1533" s="99">
        <f t="shared" si="746"/>
        <v>0</v>
      </c>
      <c r="AX1533" s="1">
        <f t="shared" si="747"/>
        <v>0</v>
      </c>
      <c r="AY1533" s="29">
        <f t="shared" si="748"/>
        <v>0</v>
      </c>
      <c r="AZ1533" s="1">
        <f t="shared" si="730"/>
        <v>0</v>
      </c>
      <c r="CB1533" s="20">
        <f t="shared" si="739"/>
        <v>0</v>
      </c>
      <c r="CC1533" s="173">
        <f t="shared" si="731"/>
        <v>0</v>
      </c>
    </row>
    <row r="1534" spans="10:81" x14ac:dyDescent="0.25">
      <c r="J1534" s="9"/>
      <c r="K1534" s="10"/>
      <c r="L1534" s="17"/>
      <c r="M1534" s="23"/>
      <c r="N1534" s="23"/>
      <c r="O1534" s="23"/>
      <c r="P1534" s="23"/>
      <c r="Q1534" s="1">
        <f t="shared" si="732"/>
        <v>0.60744618579017706</v>
      </c>
      <c r="R1534" s="12">
        <f t="shared" ca="1" si="749"/>
        <v>45122</v>
      </c>
      <c r="S1534" s="88">
        <f t="shared" si="728"/>
        <v>0</v>
      </c>
      <c r="T1534" s="19">
        <f t="shared" si="750"/>
        <v>0</v>
      </c>
      <c r="U1534" s="19">
        <f t="shared" si="751"/>
        <v>0</v>
      </c>
      <c r="V1534" s="19">
        <f t="shared" si="737"/>
        <v>0</v>
      </c>
      <c r="W1534" s="20">
        <f t="shared" ca="1" si="752"/>
        <v>0</v>
      </c>
      <c r="X1534" s="19">
        <f t="shared" ca="1" si="753"/>
        <v>0</v>
      </c>
      <c r="Y1534" s="19">
        <f t="shared" ca="1" si="754"/>
        <v>0</v>
      </c>
      <c r="Z1534" s="20">
        <f t="shared" ca="1" si="755"/>
        <v>0</v>
      </c>
      <c r="AA1534" s="1">
        <f t="shared" si="733"/>
        <v>5432.58</v>
      </c>
      <c r="AB1534" s="93"/>
      <c r="AC1534" s="94"/>
      <c r="AD1534" s="101">
        <f t="shared" si="734"/>
        <v>86244</v>
      </c>
      <c r="AE1534" s="103">
        <f t="shared" si="735"/>
        <v>0</v>
      </c>
      <c r="AG1534" s="1">
        <f t="shared" si="756"/>
        <v>0</v>
      </c>
      <c r="AH1534" s="1">
        <f t="shared" si="757"/>
        <v>0</v>
      </c>
      <c r="AI1534" s="1">
        <f t="shared" si="736"/>
        <v>5432.58</v>
      </c>
      <c r="AJ1534" s="20">
        <f t="shared" si="738"/>
        <v>0</v>
      </c>
      <c r="AK1534" s="100">
        <f t="shared" si="740"/>
        <v>0</v>
      </c>
      <c r="AL1534" s="100">
        <f t="shared" si="741"/>
        <v>0</v>
      </c>
      <c r="AN1534" s="100">
        <f t="shared" si="742"/>
        <v>2536.4568329273748</v>
      </c>
      <c r="AO1534" s="20">
        <f t="shared" si="743"/>
        <v>0</v>
      </c>
      <c r="AQ1534" s="109">
        <f t="shared" si="744"/>
        <v>0</v>
      </c>
      <c r="AU1534" s="109">
        <f t="shared" si="729"/>
        <v>23.712450616574301</v>
      </c>
      <c r="AV1534" s="101">
        <f t="shared" si="745"/>
        <v>86274</v>
      </c>
      <c r="AW1534" s="99">
        <f t="shared" si="746"/>
        <v>0</v>
      </c>
      <c r="AX1534" s="1">
        <f t="shared" si="747"/>
        <v>0</v>
      </c>
      <c r="AY1534" s="29">
        <f t="shared" si="748"/>
        <v>0</v>
      </c>
      <c r="AZ1534" s="1">
        <f t="shared" si="730"/>
        <v>0</v>
      </c>
      <c r="CB1534" s="20">
        <f t="shared" si="739"/>
        <v>0</v>
      </c>
      <c r="CC1534" s="173">
        <f t="shared" si="731"/>
        <v>0</v>
      </c>
    </row>
    <row r="1535" spans="10:81" x14ac:dyDescent="0.25">
      <c r="J1535" s="7"/>
      <c r="K1535" s="8"/>
      <c r="L1535" s="16"/>
      <c r="M1535" s="22"/>
      <c r="N1535" s="22"/>
      <c r="O1535" s="22"/>
      <c r="P1535" s="22"/>
      <c r="Q1535" s="1">
        <f t="shared" si="732"/>
        <v>0.60744618579017706</v>
      </c>
      <c r="R1535" s="12">
        <f t="shared" ca="1" si="749"/>
        <v>45152</v>
      </c>
      <c r="S1535" s="88">
        <f t="shared" si="728"/>
        <v>0</v>
      </c>
      <c r="T1535" s="19">
        <f t="shared" si="750"/>
        <v>0</v>
      </c>
      <c r="U1535" s="19">
        <f t="shared" si="751"/>
        <v>0</v>
      </c>
      <c r="V1535" s="19">
        <f t="shared" si="737"/>
        <v>0</v>
      </c>
      <c r="W1535" s="20">
        <f t="shared" ca="1" si="752"/>
        <v>0</v>
      </c>
      <c r="X1535" s="19">
        <f t="shared" ca="1" si="753"/>
        <v>0</v>
      </c>
      <c r="Y1535" s="19">
        <f t="shared" ca="1" si="754"/>
        <v>0</v>
      </c>
      <c r="Z1535" s="20">
        <f t="shared" ca="1" si="755"/>
        <v>0</v>
      </c>
      <c r="AA1535" s="1">
        <f t="shared" si="733"/>
        <v>5432.58</v>
      </c>
      <c r="AB1535" s="91"/>
      <c r="AC1535" s="92"/>
      <c r="AD1535" s="101">
        <f t="shared" si="734"/>
        <v>86274</v>
      </c>
      <c r="AE1535" s="103">
        <f t="shared" si="735"/>
        <v>0</v>
      </c>
      <c r="AG1535" s="1">
        <f t="shared" si="756"/>
        <v>0</v>
      </c>
      <c r="AH1535" s="1">
        <f t="shared" si="757"/>
        <v>0</v>
      </c>
      <c r="AI1535" s="1">
        <f t="shared" si="736"/>
        <v>5432.58</v>
      </c>
      <c r="AJ1535" s="20">
        <f t="shared" si="738"/>
        <v>0</v>
      </c>
      <c r="AK1535" s="100">
        <f t="shared" si="740"/>
        <v>0</v>
      </c>
      <c r="AL1535" s="100">
        <f t="shared" si="741"/>
        <v>0</v>
      </c>
      <c r="AN1535" s="100">
        <f t="shared" si="742"/>
        <v>2535.1735150256932</v>
      </c>
      <c r="AO1535" s="20">
        <f t="shared" si="743"/>
        <v>0</v>
      </c>
      <c r="AQ1535" s="109">
        <f t="shared" si="744"/>
        <v>0</v>
      </c>
      <c r="AU1535" s="109">
        <f t="shared" si="729"/>
        <v>23.71036937304045</v>
      </c>
      <c r="AV1535" s="101">
        <f t="shared" si="745"/>
        <v>86304</v>
      </c>
      <c r="AW1535" s="99">
        <f t="shared" si="746"/>
        <v>0</v>
      </c>
      <c r="AX1535" s="1">
        <f t="shared" si="747"/>
        <v>0</v>
      </c>
      <c r="AY1535" s="29">
        <f t="shared" si="748"/>
        <v>0</v>
      </c>
      <c r="AZ1535" s="1">
        <f t="shared" si="730"/>
        <v>0</v>
      </c>
      <c r="CB1535" s="20">
        <f t="shared" si="739"/>
        <v>0</v>
      </c>
      <c r="CC1535" s="173">
        <f t="shared" si="731"/>
        <v>0</v>
      </c>
    </row>
    <row r="1536" spans="10:81" x14ac:dyDescent="0.25">
      <c r="J1536" s="9"/>
      <c r="K1536" s="10"/>
      <c r="L1536" s="17"/>
      <c r="M1536" s="23"/>
      <c r="N1536" s="23"/>
      <c r="O1536" s="23"/>
      <c r="P1536" s="23"/>
      <c r="Q1536" s="1">
        <f t="shared" si="732"/>
        <v>0.60744618579017706</v>
      </c>
      <c r="R1536" s="12">
        <f t="shared" ca="1" si="749"/>
        <v>45182</v>
      </c>
      <c r="S1536" s="88">
        <f t="shared" si="728"/>
        <v>0</v>
      </c>
      <c r="T1536" s="19">
        <f t="shared" si="750"/>
        <v>0</v>
      </c>
      <c r="U1536" s="19">
        <f t="shared" si="751"/>
        <v>0</v>
      </c>
      <c r="V1536" s="19">
        <f t="shared" si="737"/>
        <v>0</v>
      </c>
      <c r="W1536" s="20">
        <f t="shared" ca="1" si="752"/>
        <v>0</v>
      </c>
      <c r="X1536" s="19">
        <f t="shared" ca="1" si="753"/>
        <v>0</v>
      </c>
      <c r="Y1536" s="19">
        <f t="shared" ca="1" si="754"/>
        <v>0</v>
      </c>
      <c r="Z1536" s="20">
        <f t="shared" ca="1" si="755"/>
        <v>0</v>
      </c>
      <c r="AA1536" s="1">
        <f t="shared" si="733"/>
        <v>5432.58</v>
      </c>
      <c r="AB1536" s="93"/>
      <c r="AC1536" s="94"/>
      <c r="AD1536" s="101">
        <f t="shared" si="734"/>
        <v>86304</v>
      </c>
      <c r="AE1536" s="103">
        <f t="shared" si="735"/>
        <v>0</v>
      </c>
      <c r="AG1536" s="1">
        <f t="shared" si="756"/>
        <v>0</v>
      </c>
      <c r="AH1536" s="1">
        <f t="shared" si="757"/>
        <v>0</v>
      </c>
      <c r="AI1536" s="1">
        <f t="shared" si="736"/>
        <v>5432.58</v>
      </c>
      <c r="AJ1536" s="20">
        <f t="shared" si="738"/>
        <v>0</v>
      </c>
      <c r="AK1536" s="100">
        <f t="shared" si="740"/>
        <v>0</v>
      </c>
      <c r="AL1536" s="100">
        <f t="shared" si="741"/>
        <v>0</v>
      </c>
      <c r="AN1536" s="100">
        <f t="shared" si="742"/>
        <v>2533.8908464174719</v>
      </c>
      <c r="AO1536" s="20">
        <f t="shared" si="743"/>
        <v>0</v>
      </c>
      <c r="AQ1536" s="109">
        <f t="shared" si="744"/>
        <v>0</v>
      </c>
      <c r="AU1536" s="109">
        <f t="shared" si="729"/>
        <v>23.708288312177498</v>
      </c>
      <c r="AV1536" s="101">
        <f t="shared" si="745"/>
        <v>86334</v>
      </c>
      <c r="AW1536" s="99">
        <f t="shared" si="746"/>
        <v>0</v>
      </c>
      <c r="AX1536" s="1">
        <f t="shared" si="747"/>
        <v>0</v>
      </c>
      <c r="AY1536" s="29">
        <f t="shared" si="748"/>
        <v>0</v>
      </c>
      <c r="AZ1536" s="1">
        <f t="shared" si="730"/>
        <v>0</v>
      </c>
      <c r="CB1536" s="20">
        <f t="shared" si="739"/>
        <v>0</v>
      </c>
      <c r="CC1536" s="173">
        <f t="shared" si="731"/>
        <v>0</v>
      </c>
    </row>
    <row r="1537" spans="10:81" x14ac:dyDescent="0.25">
      <c r="J1537" s="7"/>
      <c r="K1537" s="8"/>
      <c r="L1537" s="16"/>
      <c r="M1537" s="22"/>
      <c r="N1537" s="22"/>
      <c r="O1537" s="22"/>
      <c r="P1537" s="22"/>
      <c r="Q1537" s="1">
        <f t="shared" si="732"/>
        <v>0.60744618579017706</v>
      </c>
      <c r="R1537" s="12">
        <f t="shared" ca="1" si="749"/>
        <v>45212</v>
      </c>
      <c r="S1537" s="88">
        <f t="shared" si="728"/>
        <v>0</v>
      </c>
      <c r="T1537" s="19">
        <f t="shared" si="750"/>
        <v>0</v>
      </c>
      <c r="U1537" s="19">
        <f t="shared" si="751"/>
        <v>0</v>
      </c>
      <c r="V1537" s="19">
        <f t="shared" si="737"/>
        <v>0</v>
      </c>
      <c r="W1537" s="20">
        <f t="shared" ca="1" si="752"/>
        <v>0</v>
      </c>
      <c r="X1537" s="19">
        <f t="shared" ca="1" si="753"/>
        <v>0</v>
      </c>
      <c r="Y1537" s="19">
        <f t="shared" ca="1" si="754"/>
        <v>0</v>
      </c>
      <c r="Z1537" s="20">
        <f t="shared" ca="1" si="755"/>
        <v>0</v>
      </c>
      <c r="AA1537" s="1">
        <f t="shared" si="733"/>
        <v>5432.58</v>
      </c>
      <c r="AB1537" s="91"/>
      <c r="AC1537" s="92"/>
      <c r="AD1537" s="101">
        <f t="shared" si="734"/>
        <v>86334</v>
      </c>
      <c r="AE1537" s="103">
        <f t="shared" si="735"/>
        <v>0</v>
      </c>
      <c r="AG1537" s="1">
        <f t="shared" si="756"/>
        <v>0</v>
      </c>
      <c r="AH1537" s="1">
        <f t="shared" si="757"/>
        <v>0</v>
      </c>
      <c r="AI1537" s="1">
        <f t="shared" si="736"/>
        <v>5432.58</v>
      </c>
      <c r="AJ1537" s="20">
        <f t="shared" si="738"/>
        <v>0</v>
      </c>
      <c r="AK1537" s="100">
        <f t="shared" si="740"/>
        <v>0</v>
      </c>
      <c r="AL1537" s="100">
        <f t="shared" si="741"/>
        <v>0</v>
      </c>
      <c r="AN1537" s="100">
        <f t="shared" si="742"/>
        <v>2532.6088267742025</v>
      </c>
      <c r="AO1537" s="20">
        <f t="shared" si="743"/>
        <v>0</v>
      </c>
      <c r="AQ1537" s="109">
        <f t="shared" si="744"/>
        <v>0</v>
      </c>
      <c r="AU1537" s="109">
        <f t="shared" si="729"/>
        <v>23.706207433969404</v>
      </c>
      <c r="AV1537" s="101">
        <f t="shared" si="745"/>
        <v>86364</v>
      </c>
      <c r="AW1537" s="99">
        <f t="shared" si="746"/>
        <v>0</v>
      </c>
      <c r="AX1537" s="1">
        <f t="shared" si="747"/>
        <v>0</v>
      </c>
      <c r="AY1537" s="29">
        <f t="shared" si="748"/>
        <v>0</v>
      </c>
      <c r="AZ1537" s="1">
        <f t="shared" si="730"/>
        <v>0</v>
      </c>
      <c r="CB1537" s="20">
        <f t="shared" si="739"/>
        <v>0</v>
      </c>
      <c r="CC1537" s="173">
        <f t="shared" si="731"/>
        <v>0</v>
      </c>
    </row>
    <row r="1538" spans="10:81" x14ac:dyDescent="0.25">
      <c r="J1538" s="9"/>
      <c r="K1538" s="10"/>
      <c r="L1538" s="17"/>
      <c r="M1538" s="23"/>
      <c r="N1538" s="23"/>
      <c r="O1538" s="23"/>
      <c r="P1538" s="23"/>
      <c r="Q1538" s="1">
        <f t="shared" si="732"/>
        <v>0.60744618579017706</v>
      </c>
      <c r="R1538" s="12">
        <f t="shared" ca="1" si="749"/>
        <v>45242</v>
      </c>
      <c r="S1538" s="88">
        <f t="shared" si="728"/>
        <v>0</v>
      </c>
      <c r="T1538" s="19">
        <f t="shared" si="750"/>
        <v>0</v>
      </c>
      <c r="U1538" s="19">
        <f t="shared" si="751"/>
        <v>0</v>
      </c>
      <c r="V1538" s="19">
        <f t="shared" si="737"/>
        <v>0</v>
      </c>
      <c r="W1538" s="20">
        <f t="shared" ca="1" si="752"/>
        <v>0</v>
      </c>
      <c r="X1538" s="19">
        <f t="shared" ca="1" si="753"/>
        <v>0</v>
      </c>
      <c r="Y1538" s="19">
        <f t="shared" ca="1" si="754"/>
        <v>0</v>
      </c>
      <c r="Z1538" s="20">
        <f t="shared" ca="1" si="755"/>
        <v>0</v>
      </c>
      <c r="AA1538" s="1">
        <f t="shared" si="733"/>
        <v>5432.58</v>
      </c>
      <c r="AB1538" s="93"/>
      <c r="AC1538" s="94"/>
      <c r="AD1538" s="101">
        <f t="shared" si="734"/>
        <v>86364</v>
      </c>
      <c r="AE1538" s="103">
        <f t="shared" si="735"/>
        <v>0</v>
      </c>
      <c r="AG1538" s="1">
        <f t="shared" si="756"/>
        <v>0</v>
      </c>
      <c r="AH1538" s="1">
        <f t="shared" si="757"/>
        <v>0</v>
      </c>
      <c r="AI1538" s="1">
        <f t="shared" si="736"/>
        <v>5432.58</v>
      </c>
      <c r="AJ1538" s="20">
        <f t="shared" si="738"/>
        <v>0</v>
      </c>
      <c r="AK1538" s="100">
        <f t="shared" si="740"/>
        <v>0</v>
      </c>
      <c r="AL1538" s="100">
        <f t="shared" si="741"/>
        <v>0</v>
      </c>
      <c r="AN1538" s="100">
        <f t="shared" si="742"/>
        <v>2531.3274557675418</v>
      </c>
      <c r="AO1538" s="20">
        <f t="shared" si="743"/>
        <v>0</v>
      </c>
      <c r="AQ1538" s="109">
        <f t="shared" si="744"/>
        <v>0</v>
      </c>
      <c r="AU1538" s="109">
        <f t="shared" si="729"/>
        <v>23.704126738400138</v>
      </c>
      <c r="AV1538" s="101">
        <f t="shared" si="745"/>
        <v>86394</v>
      </c>
      <c r="AW1538" s="99">
        <f t="shared" si="746"/>
        <v>0</v>
      </c>
      <c r="AX1538" s="1">
        <f t="shared" si="747"/>
        <v>0</v>
      </c>
      <c r="AY1538" s="29">
        <f t="shared" si="748"/>
        <v>0</v>
      </c>
      <c r="AZ1538" s="1">
        <f t="shared" si="730"/>
        <v>0</v>
      </c>
      <c r="CB1538" s="20">
        <f t="shared" si="739"/>
        <v>0</v>
      </c>
      <c r="CC1538" s="173">
        <f t="shared" si="731"/>
        <v>0</v>
      </c>
    </row>
    <row r="1539" spans="10:81" x14ac:dyDescent="0.25">
      <c r="J1539" s="7"/>
      <c r="K1539" s="8"/>
      <c r="L1539" s="16"/>
      <c r="M1539" s="22"/>
      <c r="N1539" s="22"/>
      <c r="O1539" s="22"/>
      <c r="P1539" s="22"/>
      <c r="Q1539" s="1">
        <f t="shared" si="732"/>
        <v>0.60744618579017706</v>
      </c>
      <c r="R1539" s="12">
        <f t="shared" ca="1" si="749"/>
        <v>45272</v>
      </c>
      <c r="S1539" s="88">
        <f t="shared" ref="S1539:S1602" si="758">N1539+M1539</f>
        <v>0</v>
      </c>
      <c r="T1539" s="19">
        <f t="shared" si="750"/>
        <v>0</v>
      </c>
      <c r="U1539" s="19">
        <f t="shared" si="751"/>
        <v>0</v>
      </c>
      <c r="V1539" s="19">
        <f t="shared" si="737"/>
        <v>0</v>
      </c>
      <c r="W1539" s="20">
        <f t="shared" ca="1" si="752"/>
        <v>0</v>
      </c>
      <c r="X1539" s="19">
        <f t="shared" ca="1" si="753"/>
        <v>0</v>
      </c>
      <c r="Y1539" s="19">
        <f t="shared" ca="1" si="754"/>
        <v>0</v>
      </c>
      <c r="Z1539" s="20">
        <f t="shared" ca="1" si="755"/>
        <v>0</v>
      </c>
      <c r="AA1539" s="1">
        <f t="shared" si="733"/>
        <v>5432.58</v>
      </c>
      <c r="AB1539" s="91"/>
      <c r="AC1539" s="92"/>
      <c r="AD1539" s="101">
        <f t="shared" si="734"/>
        <v>86394</v>
      </c>
      <c r="AE1539" s="103">
        <f t="shared" si="735"/>
        <v>0</v>
      </c>
      <c r="AG1539" s="1">
        <f t="shared" si="756"/>
        <v>0</v>
      </c>
      <c r="AH1539" s="1">
        <f t="shared" si="757"/>
        <v>0</v>
      </c>
      <c r="AI1539" s="1">
        <f t="shared" si="736"/>
        <v>5432.58</v>
      </c>
      <c r="AJ1539" s="20">
        <f t="shared" si="738"/>
        <v>0</v>
      </c>
      <c r="AK1539" s="100">
        <f t="shared" si="740"/>
        <v>0</v>
      </c>
      <c r="AL1539" s="100">
        <f t="shared" si="741"/>
        <v>0</v>
      </c>
      <c r="AN1539" s="100">
        <f t="shared" si="742"/>
        <v>2530.0467330693132</v>
      </c>
      <c r="AO1539" s="20">
        <f t="shared" si="743"/>
        <v>0</v>
      </c>
      <c r="AQ1539" s="109">
        <f t="shared" si="744"/>
        <v>0</v>
      </c>
      <c r="AU1539" s="109">
        <f t="shared" si="729"/>
        <v>23.702046225453689</v>
      </c>
      <c r="AV1539" s="101">
        <f t="shared" si="745"/>
        <v>86424</v>
      </c>
      <c r="AW1539" s="99">
        <f t="shared" si="746"/>
        <v>0</v>
      </c>
      <c r="AX1539" s="1">
        <f t="shared" si="747"/>
        <v>0</v>
      </c>
      <c r="AY1539" s="29">
        <f t="shared" si="748"/>
        <v>0</v>
      </c>
      <c r="AZ1539" s="1">
        <f t="shared" si="730"/>
        <v>0</v>
      </c>
      <c r="CB1539" s="20">
        <f t="shared" si="739"/>
        <v>0</v>
      </c>
      <c r="CC1539" s="173">
        <f t="shared" si="731"/>
        <v>0</v>
      </c>
    </row>
    <row r="1540" spans="10:81" x14ac:dyDescent="0.25">
      <c r="J1540" s="9"/>
      <c r="K1540" s="10"/>
      <c r="L1540" s="17"/>
      <c r="M1540" s="23"/>
      <c r="N1540" s="23"/>
      <c r="O1540" s="23"/>
      <c r="P1540" s="23"/>
      <c r="Q1540" s="1">
        <f t="shared" si="732"/>
        <v>0.60744618579017706</v>
      </c>
      <c r="R1540" s="12">
        <f t="shared" ca="1" si="749"/>
        <v>45302</v>
      </c>
      <c r="S1540" s="88">
        <f t="shared" si="758"/>
        <v>0</v>
      </c>
      <c r="T1540" s="19">
        <f t="shared" si="750"/>
        <v>0</v>
      </c>
      <c r="U1540" s="19">
        <f t="shared" si="751"/>
        <v>0</v>
      </c>
      <c r="V1540" s="19">
        <f t="shared" si="737"/>
        <v>0</v>
      </c>
      <c r="W1540" s="20">
        <f t="shared" ca="1" si="752"/>
        <v>0</v>
      </c>
      <c r="X1540" s="19">
        <f t="shared" ca="1" si="753"/>
        <v>0</v>
      </c>
      <c r="Y1540" s="19">
        <f t="shared" ca="1" si="754"/>
        <v>0</v>
      </c>
      <c r="Z1540" s="20">
        <f t="shared" ca="1" si="755"/>
        <v>0</v>
      </c>
      <c r="AA1540" s="1">
        <f t="shared" si="733"/>
        <v>5432.58</v>
      </c>
      <c r="AB1540" s="93"/>
      <c r="AC1540" s="94"/>
      <c r="AD1540" s="101">
        <f t="shared" si="734"/>
        <v>86424</v>
      </c>
      <c r="AE1540" s="103">
        <f t="shared" si="735"/>
        <v>0</v>
      </c>
      <c r="AG1540" s="1">
        <f t="shared" si="756"/>
        <v>0</v>
      </c>
      <c r="AH1540" s="1">
        <f t="shared" si="757"/>
        <v>0</v>
      </c>
      <c r="AI1540" s="1">
        <f t="shared" si="736"/>
        <v>5432.58</v>
      </c>
      <c r="AJ1540" s="20">
        <f t="shared" si="738"/>
        <v>0</v>
      </c>
      <c r="AK1540" s="100">
        <f t="shared" si="740"/>
        <v>0</v>
      </c>
      <c r="AL1540" s="100">
        <f t="shared" si="741"/>
        <v>0</v>
      </c>
      <c r="AN1540" s="100">
        <f t="shared" si="742"/>
        <v>2528.7666583515061</v>
      </c>
      <c r="AO1540" s="20">
        <f t="shared" si="743"/>
        <v>0</v>
      </c>
      <c r="AQ1540" s="109">
        <f t="shared" si="744"/>
        <v>0</v>
      </c>
      <c r="AU1540" s="109">
        <f t="shared" si="729"/>
        <v>23.699965895114012</v>
      </c>
      <c r="AV1540" s="101">
        <f t="shared" si="745"/>
        <v>86454</v>
      </c>
      <c r="AW1540" s="99">
        <f t="shared" si="746"/>
        <v>0</v>
      </c>
      <c r="AX1540" s="1">
        <f t="shared" si="747"/>
        <v>0</v>
      </c>
      <c r="AY1540" s="29">
        <f t="shared" si="748"/>
        <v>0</v>
      </c>
      <c r="AZ1540" s="1">
        <f t="shared" si="730"/>
        <v>0</v>
      </c>
      <c r="CB1540" s="20">
        <f t="shared" si="739"/>
        <v>0</v>
      </c>
      <c r="CC1540" s="173">
        <f t="shared" si="731"/>
        <v>0</v>
      </c>
    </row>
    <row r="1541" spans="10:81" x14ac:dyDescent="0.25">
      <c r="J1541" s="7"/>
      <c r="K1541" s="8"/>
      <c r="L1541" s="16"/>
      <c r="M1541" s="22"/>
      <c r="N1541" s="22"/>
      <c r="O1541" s="22"/>
      <c r="P1541" s="22"/>
      <c r="Q1541" s="1">
        <f t="shared" si="732"/>
        <v>0.60744618579017706</v>
      </c>
      <c r="R1541" s="12">
        <f t="shared" ca="1" si="749"/>
        <v>45332</v>
      </c>
      <c r="S1541" s="88">
        <f t="shared" si="758"/>
        <v>0</v>
      </c>
      <c r="T1541" s="19">
        <f t="shared" si="750"/>
        <v>0</v>
      </c>
      <c r="U1541" s="19">
        <f t="shared" si="751"/>
        <v>0</v>
      </c>
      <c r="V1541" s="19">
        <f t="shared" si="737"/>
        <v>0</v>
      </c>
      <c r="W1541" s="20">
        <f t="shared" ca="1" si="752"/>
        <v>0</v>
      </c>
      <c r="X1541" s="19">
        <f t="shared" ca="1" si="753"/>
        <v>0</v>
      </c>
      <c r="Y1541" s="19">
        <f t="shared" ca="1" si="754"/>
        <v>0</v>
      </c>
      <c r="Z1541" s="20">
        <f t="shared" ca="1" si="755"/>
        <v>0</v>
      </c>
      <c r="AA1541" s="1">
        <f t="shared" si="733"/>
        <v>5432.58</v>
      </c>
      <c r="AB1541" s="91"/>
      <c r="AC1541" s="92"/>
      <c r="AD1541" s="101">
        <f t="shared" si="734"/>
        <v>86454</v>
      </c>
      <c r="AE1541" s="103">
        <f t="shared" si="735"/>
        <v>0</v>
      </c>
      <c r="AG1541" s="1">
        <f t="shared" si="756"/>
        <v>0</v>
      </c>
      <c r="AH1541" s="1">
        <f t="shared" si="757"/>
        <v>0</v>
      </c>
      <c r="AI1541" s="1">
        <f t="shared" si="736"/>
        <v>5432.58</v>
      </c>
      <c r="AJ1541" s="20">
        <f t="shared" si="738"/>
        <v>0</v>
      </c>
      <c r="AK1541" s="100">
        <f t="shared" si="740"/>
        <v>0</v>
      </c>
      <c r="AL1541" s="100">
        <f t="shared" si="741"/>
        <v>0</v>
      </c>
      <c r="AN1541" s="100">
        <f t="shared" si="742"/>
        <v>2527.4872312862735</v>
      </c>
      <c r="AO1541" s="20">
        <f t="shared" si="743"/>
        <v>0</v>
      </c>
      <c r="AQ1541" s="109">
        <f t="shared" si="744"/>
        <v>0</v>
      </c>
      <c r="AU1541" s="109">
        <f t="shared" si="729"/>
        <v>23.697885747365081</v>
      </c>
      <c r="AV1541" s="101">
        <f t="shared" si="745"/>
        <v>86484</v>
      </c>
      <c r="AW1541" s="99">
        <f t="shared" si="746"/>
        <v>0</v>
      </c>
      <c r="AX1541" s="1">
        <f t="shared" si="747"/>
        <v>0</v>
      </c>
      <c r="AY1541" s="29">
        <f t="shared" si="748"/>
        <v>0</v>
      </c>
      <c r="AZ1541" s="1">
        <f t="shared" si="730"/>
        <v>0</v>
      </c>
      <c r="CB1541" s="20">
        <f t="shared" si="739"/>
        <v>0</v>
      </c>
      <c r="CC1541" s="173">
        <f t="shared" si="731"/>
        <v>0</v>
      </c>
    </row>
    <row r="1542" spans="10:81" x14ac:dyDescent="0.25">
      <c r="J1542" s="9"/>
      <c r="K1542" s="10"/>
      <c r="L1542" s="17"/>
      <c r="M1542" s="23"/>
      <c r="N1542" s="23"/>
      <c r="O1542" s="23"/>
      <c r="P1542" s="23"/>
      <c r="Q1542" s="1">
        <f t="shared" si="732"/>
        <v>0.60744618579017706</v>
      </c>
      <c r="R1542" s="12">
        <f t="shared" ca="1" si="749"/>
        <v>45362</v>
      </c>
      <c r="S1542" s="88">
        <f t="shared" si="758"/>
        <v>0</v>
      </c>
      <c r="T1542" s="19">
        <f t="shared" si="750"/>
        <v>0</v>
      </c>
      <c r="U1542" s="19">
        <f t="shared" si="751"/>
        <v>0</v>
      </c>
      <c r="V1542" s="19">
        <f t="shared" si="737"/>
        <v>0</v>
      </c>
      <c r="W1542" s="20">
        <f t="shared" ca="1" si="752"/>
        <v>0</v>
      </c>
      <c r="X1542" s="19">
        <f t="shared" ca="1" si="753"/>
        <v>0</v>
      </c>
      <c r="Y1542" s="19">
        <f t="shared" ca="1" si="754"/>
        <v>0</v>
      </c>
      <c r="Z1542" s="20">
        <f t="shared" ca="1" si="755"/>
        <v>0</v>
      </c>
      <c r="AA1542" s="1">
        <f t="shared" si="733"/>
        <v>5432.58</v>
      </c>
      <c r="AB1542" s="93"/>
      <c r="AC1542" s="94"/>
      <c r="AD1542" s="101">
        <f t="shared" si="734"/>
        <v>86484</v>
      </c>
      <c r="AE1542" s="103">
        <f t="shared" si="735"/>
        <v>0</v>
      </c>
      <c r="AG1542" s="1">
        <f t="shared" si="756"/>
        <v>0</v>
      </c>
      <c r="AH1542" s="1">
        <f t="shared" si="757"/>
        <v>0</v>
      </c>
      <c r="AI1542" s="1">
        <f t="shared" si="736"/>
        <v>5432.58</v>
      </c>
      <c r="AJ1542" s="20">
        <f t="shared" si="738"/>
        <v>0</v>
      </c>
      <c r="AK1542" s="100">
        <f t="shared" si="740"/>
        <v>0</v>
      </c>
      <c r="AL1542" s="100">
        <f t="shared" si="741"/>
        <v>0</v>
      </c>
      <c r="AN1542" s="100">
        <f t="shared" si="742"/>
        <v>2526.2084515459383</v>
      </c>
      <c r="AO1542" s="20">
        <f t="shared" si="743"/>
        <v>0</v>
      </c>
      <c r="AQ1542" s="109">
        <f t="shared" si="744"/>
        <v>0</v>
      </c>
      <c r="AU1542" s="109">
        <f t="shared" si="729"/>
        <v>23.695805782190863</v>
      </c>
      <c r="AV1542" s="101">
        <f t="shared" si="745"/>
        <v>86514</v>
      </c>
      <c r="AW1542" s="99">
        <f t="shared" si="746"/>
        <v>0</v>
      </c>
      <c r="AX1542" s="1">
        <f t="shared" si="747"/>
        <v>0</v>
      </c>
      <c r="AY1542" s="29">
        <f t="shared" si="748"/>
        <v>0</v>
      </c>
      <c r="AZ1542" s="1">
        <f t="shared" si="730"/>
        <v>0</v>
      </c>
      <c r="CB1542" s="20">
        <f t="shared" si="739"/>
        <v>0</v>
      </c>
      <c r="CC1542" s="173">
        <f t="shared" si="731"/>
        <v>0</v>
      </c>
    </row>
    <row r="1543" spans="10:81" x14ac:dyDescent="0.25">
      <c r="J1543" s="7"/>
      <c r="K1543" s="8"/>
      <c r="L1543" s="16"/>
      <c r="M1543" s="22"/>
      <c r="N1543" s="22"/>
      <c r="O1543" s="22"/>
      <c r="P1543" s="22"/>
      <c r="Q1543" s="1">
        <f t="shared" si="732"/>
        <v>0.60744618579017706</v>
      </c>
      <c r="R1543" s="12">
        <f t="shared" ca="1" si="749"/>
        <v>45392</v>
      </c>
      <c r="S1543" s="88">
        <f t="shared" si="758"/>
        <v>0</v>
      </c>
      <c r="T1543" s="19">
        <f t="shared" si="750"/>
        <v>0</v>
      </c>
      <c r="U1543" s="19">
        <f t="shared" si="751"/>
        <v>0</v>
      </c>
      <c r="V1543" s="19">
        <f t="shared" si="737"/>
        <v>0</v>
      </c>
      <c r="W1543" s="20">
        <f t="shared" ca="1" si="752"/>
        <v>0</v>
      </c>
      <c r="X1543" s="19">
        <f t="shared" ca="1" si="753"/>
        <v>0</v>
      </c>
      <c r="Y1543" s="19">
        <f t="shared" ca="1" si="754"/>
        <v>0</v>
      </c>
      <c r="Z1543" s="20">
        <f t="shared" ca="1" si="755"/>
        <v>0</v>
      </c>
      <c r="AA1543" s="1">
        <f t="shared" si="733"/>
        <v>5432.58</v>
      </c>
      <c r="AB1543" s="91"/>
      <c r="AC1543" s="92"/>
      <c r="AD1543" s="101">
        <f t="shared" si="734"/>
        <v>86514</v>
      </c>
      <c r="AE1543" s="103">
        <f t="shared" si="735"/>
        <v>0</v>
      </c>
      <c r="AG1543" s="1">
        <f t="shared" si="756"/>
        <v>0</v>
      </c>
      <c r="AH1543" s="1">
        <f t="shared" si="757"/>
        <v>0</v>
      </c>
      <c r="AI1543" s="1">
        <f t="shared" si="736"/>
        <v>5432.58</v>
      </c>
      <c r="AJ1543" s="20">
        <f t="shared" si="738"/>
        <v>0</v>
      </c>
      <c r="AK1543" s="100">
        <f t="shared" si="740"/>
        <v>0</v>
      </c>
      <c r="AL1543" s="100">
        <f t="shared" si="741"/>
        <v>0</v>
      </c>
      <c r="AN1543" s="100">
        <f t="shared" si="742"/>
        <v>2524.9303188029853</v>
      </c>
      <c r="AO1543" s="20">
        <f t="shared" si="743"/>
        <v>0</v>
      </c>
      <c r="AQ1543" s="109">
        <f t="shared" si="744"/>
        <v>0</v>
      </c>
      <c r="AU1543" s="109">
        <f t="shared" si="729"/>
        <v>23.693725999575349</v>
      </c>
      <c r="AV1543" s="101">
        <f t="shared" si="745"/>
        <v>86544</v>
      </c>
      <c r="AW1543" s="99">
        <f t="shared" si="746"/>
        <v>0</v>
      </c>
      <c r="AX1543" s="1">
        <f t="shared" si="747"/>
        <v>0</v>
      </c>
      <c r="AY1543" s="29">
        <f t="shared" si="748"/>
        <v>0</v>
      </c>
      <c r="AZ1543" s="1">
        <f t="shared" si="730"/>
        <v>0</v>
      </c>
      <c r="CB1543" s="20">
        <f t="shared" si="739"/>
        <v>0</v>
      </c>
      <c r="CC1543" s="173">
        <f t="shared" si="731"/>
        <v>0</v>
      </c>
    </row>
    <row r="1544" spans="10:81" x14ac:dyDescent="0.25">
      <c r="J1544" s="9"/>
      <c r="K1544" s="10"/>
      <c r="L1544" s="17"/>
      <c r="M1544" s="23"/>
      <c r="N1544" s="23"/>
      <c r="O1544" s="23"/>
      <c r="P1544" s="23"/>
      <c r="Q1544" s="1">
        <f t="shared" si="732"/>
        <v>0.60744618579017706</v>
      </c>
      <c r="R1544" s="12">
        <f t="shared" ca="1" si="749"/>
        <v>45422</v>
      </c>
      <c r="S1544" s="88">
        <f t="shared" si="758"/>
        <v>0</v>
      </c>
      <c r="T1544" s="19">
        <f t="shared" si="750"/>
        <v>0</v>
      </c>
      <c r="U1544" s="19">
        <f t="shared" si="751"/>
        <v>0</v>
      </c>
      <c r="V1544" s="19">
        <f t="shared" si="737"/>
        <v>0</v>
      </c>
      <c r="W1544" s="20">
        <f t="shared" ca="1" si="752"/>
        <v>0</v>
      </c>
      <c r="X1544" s="19">
        <f t="shared" ca="1" si="753"/>
        <v>0</v>
      </c>
      <c r="Y1544" s="19">
        <f t="shared" ca="1" si="754"/>
        <v>0</v>
      </c>
      <c r="Z1544" s="20">
        <f t="shared" ca="1" si="755"/>
        <v>0</v>
      </c>
      <c r="AA1544" s="1">
        <f t="shared" si="733"/>
        <v>5432.58</v>
      </c>
      <c r="AB1544" s="93"/>
      <c r="AC1544" s="94"/>
      <c r="AD1544" s="101">
        <f t="shared" si="734"/>
        <v>86544</v>
      </c>
      <c r="AE1544" s="103">
        <f t="shared" si="735"/>
        <v>0</v>
      </c>
      <c r="AG1544" s="1">
        <f t="shared" si="756"/>
        <v>0</v>
      </c>
      <c r="AH1544" s="1">
        <f t="shared" si="757"/>
        <v>0</v>
      </c>
      <c r="AI1544" s="1">
        <f t="shared" si="736"/>
        <v>5432.58</v>
      </c>
      <c r="AJ1544" s="20">
        <f t="shared" si="738"/>
        <v>0</v>
      </c>
      <c r="AK1544" s="100">
        <f t="shared" si="740"/>
        <v>0</v>
      </c>
      <c r="AL1544" s="100">
        <f t="shared" si="741"/>
        <v>0</v>
      </c>
      <c r="AN1544" s="100">
        <f t="shared" si="742"/>
        <v>2523.6528327300684</v>
      </c>
      <c r="AO1544" s="20">
        <f t="shared" si="743"/>
        <v>0</v>
      </c>
      <c r="AQ1544" s="109">
        <f t="shared" si="744"/>
        <v>0</v>
      </c>
      <c r="AU1544" s="109">
        <f t="shared" si="729"/>
        <v>23.69164639950251</v>
      </c>
      <c r="AV1544" s="101">
        <f t="shared" si="745"/>
        <v>86574</v>
      </c>
      <c r="AW1544" s="99">
        <f t="shared" si="746"/>
        <v>0</v>
      </c>
      <c r="AX1544" s="1">
        <f t="shared" si="747"/>
        <v>0</v>
      </c>
      <c r="AY1544" s="29">
        <f t="shared" si="748"/>
        <v>0</v>
      </c>
      <c r="AZ1544" s="1">
        <f t="shared" si="730"/>
        <v>0</v>
      </c>
      <c r="CB1544" s="20">
        <f t="shared" si="739"/>
        <v>0</v>
      </c>
      <c r="CC1544" s="173">
        <f t="shared" si="731"/>
        <v>0</v>
      </c>
    </row>
    <row r="1545" spans="10:81" x14ac:dyDescent="0.25">
      <c r="J1545" s="7"/>
      <c r="K1545" s="8"/>
      <c r="L1545" s="16"/>
      <c r="M1545" s="22"/>
      <c r="N1545" s="22"/>
      <c r="O1545" s="22"/>
      <c r="P1545" s="22"/>
      <c r="Q1545" s="1">
        <f t="shared" si="732"/>
        <v>0.60744618579017706</v>
      </c>
      <c r="R1545" s="12">
        <f t="shared" ca="1" si="749"/>
        <v>45452</v>
      </c>
      <c r="S1545" s="88">
        <f t="shared" si="758"/>
        <v>0</v>
      </c>
      <c r="T1545" s="19">
        <f t="shared" si="750"/>
        <v>0</v>
      </c>
      <c r="U1545" s="19">
        <f t="shared" si="751"/>
        <v>0</v>
      </c>
      <c r="V1545" s="19">
        <f t="shared" si="737"/>
        <v>0</v>
      </c>
      <c r="W1545" s="20">
        <f t="shared" ca="1" si="752"/>
        <v>0</v>
      </c>
      <c r="X1545" s="19">
        <f t="shared" ca="1" si="753"/>
        <v>0</v>
      </c>
      <c r="Y1545" s="19">
        <f t="shared" ca="1" si="754"/>
        <v>0</v>
      </c>
      <c r="Z1545" s="20">
        <f t="shared" ca="1" si="755"/>
        <v>0</v>
      </c>
      <c r="AA1545" s="1">
        <f t="shared" si="733"/>
        <v>5432.58</v>
      </c>
      <c r="AB1545" s="91"/>
      <c r="AC1545" s="92"/>
      <c r="AD1545" s="101">
        <f t="shared" si="734"/>
        <v>86574</v>
      </c>
      <c r="AE1545" s="103">
        <f t="shared" si="735"/>
        <v>0</v>
      </c>
      <c r="AG1545" s="1">
        <f t="shared" si="756"/>
        <v>0</v>
      </c>
      <c r="AH1545" s="1">
        <f t="shared" si="757"/>
        <v>0</v>
      </c>
      <c r="AI1545" s="1">
        <f t="shared" si="736"/>
        <v>5432.58</v>
      </c>
      <c r="AJ1545" s="20">
        <f t="shared" si="738"/>
        <v>0</v>
      </c>
      <c r="AK1545" s="100">
        <f t="shared" si="740"/>
        <v>0</v>
      </c>
      <c r="AL1545" s="100">
        <f t="shared" si="741"/>
        <v>0</v>
      </c>
      <c r="AN1545" s="100">
        <f t="shared" si="742"/>
        <v>2522.3759930000037</v>
      </c>
      <c r="AO1545" s="20">
        <f t="shared" si="743"/>
        <v>0</v>
      </c>
      <c r="AQ1545" s="109">
        <f t="shared" si="744"/>
        <v>0</v>
      </c>
      <c r="AU1545" s="109">
        <f t="shared" si="729"/>
        <v>23.689566981956322</v>
      </c>
      <c r="AV1545" s="101">
        <f t="shared" si="745"/>
        <v>86604</v>
      </c>
      <c r="AW1545" s="99">
        <f t="shared" si="746"/>
        <v>0</v>
      </c>
      <c r="AX1545" s="1">
        <f t="shared" si="747"/>
        <v>0</v>
      </c>
      <c r="AY1545" s="29">
        <f t="shared" si="748"/>
        <v>0</v>
      </c>
      <c r="AZ1545" s="1">
        <f t="shared" si="730"/>
        <v>0</v>
      </c>
      <c r="CB1545" s="20">
        <f t="shared" si="739"/>
        <v>0</v>
      </c>
      <c r="CC1545" s="173">
        <f t="shared" si="731"/>
        <v>0</v>
      </c>
    </row>
    <row r="1546" spans="10:81" x14ac:dyDescent="0.25">
      <c r="J1546" s="9"/>
      <c r="K1546" s="10"/>
      <c r="L1546" s="17"/>
      <c r="M1546" s="23"/>
      <c r="N1546" s="23"/>
      <c r="O1546" s="23"/>
      <c r="P1546" s="23"/>
      <c r="Q1546" s="1">
        <f t="shared" si="732"/>
        <v>0.60744618579017706</v>
      </c>
      <c r="R1546" s="12">
        <f t="shared" ca="1" si="749"/>
        <v>45482</v>
      </c>
      <c r="S1546" s="88">
        <f t="shared" si="758"/>
        <v>0</v>
      </c>
      <c r="T1546" s="19">
        <f t="shared" si="750"/>
        <v>0</v>
      </c>
      <c r="U1546" s="19">
        <f t="shared" si="751"/>
        <v>0</v>
      </c>
      <c r="V1546" s="19">
        <f t="shared" si="737"/>
        <v>0</v>
      </c>
      <c r="W1546" s="20">
        <f t="shared" ca="1" si="752"/>
        <v>0</v>
      </c>
      <c r="X1546" s="19">
        <f t="shared" ca="1" si="753"/>
        <v>0</v>
      </c>
      <c r="Y1546" s="19">
        <f t="shared" ca="1" si="754"/>
        <v>0</v>
      </c>
      <c r="Z1546" s="20">
        <f t="shared" ca="1" si="755"/>
        <v>0</v>
      </c>
      <c r="AA1546" s="1">
        <f t="shared" si="733"/>
        <v>5432.58</v>
      </c>
      <c r="AB1546" s="93"/>
      <c r="AC1546" s="94"/>
      <c r="AD1546" s="101">
        <f t="shared" si="734"/>
        <v>86604</v>
      </c>
      <c r="AE1546" s="103">
        <f t="shared" si="735"/>
        <v>0</v>
      </c>
      <c r="AG1546" s="1">
        <f t="shared" si="756"/>
        <v>0</v>
      </c>
      <c r="AH1546" s="1">
        <f t="shared" si="757"/>
        <v>0</v>
      </c>
      <c r="AI1546" s="1">
        <f t="shared" si="736"/>
        <v>5432.58</v>
      </c>
      <c r="AJ1546" s="20">
        <f t="shared" si="738"/>
        <v>0</v>
      </c>
      <c r="AK1546" s="100">
        <f t="shared" si="740"/>
        <v>0</v>
      </c>
      <c r="AL1546" s="100">
        <f t="shared" si="741"/>
        <v>0</v>
      </c>
      <c r="AN1546" s="100">
        <f t="shared" si="742"/>
        <v>2521.099799285776</v>
      </c>
      <c r="AO1546" s="20">
        <f t="shared" si="743"/>
        <v>0</v>
      </c>
      <c r="AQ1546" s="109">
        <f t="shared" si="744"/>
        <v>0</v>
      </c>
      <c r="AU1546" s="109">
        <f t="shared" si="729"/>
        <v>23.687487746920755</v>
      </c>
      <c r="AV1546" s="101">
        <f t="shared" si="745"/>
        <v>86634</v>
      </c>
      <c r="AW1546" s="99">
        <f t="shared" si="746"/>
        <v>0</v>
      </c>
      <c r="AX1546" s="1">
        <f t="shared" si="747"/>
        <v>0</v>
      </c>
      <c r="AY1546" s="29">
        <f t="shared" si="748"/>
        <v>0</v>
      </c>
      <c r="AZ1546" s="1">
        <f t="shared" si="730"/>
        <v>0</v>
      </c>
      <c r="CB1546" s="20">
        <f t="shared" si="739"/>
        <v>0</v>
      </c>
      <c r="CC1546" s="173">
        <f t="shared" si="731"/>
        <v>0</v>
      </c>
    </row>
    <row r="1547" spans="10:81" x14ac:dyDescent="0.25">
      <c r="J1547" s="7"/>
      <c r="K1547" s="8"/>
      <c r="L1547" s="16"/>
      <c r="M1547" s="22"/>
      <c r="N1547" s="22"/>
      <c r="O1547" s="22"/>
      <c r="P1547" s="22"/>
      <c r="Q1547" s="1">
        <f t="shared" si="732"/>
        <v>0.60744618579017706</v>
      </c>
      <c r="R1547" s="12">
        <f t="shared" ca="1" si="749"/>
        <v>45512</v>
      </c>
      <c r="S1547" s="88">
        <f t="shared" si="758"/>
        <v>0</v>
      </c>
      <c r="T1547" s="19">
        <f t="shared" si="750"/>
        <v>0</v>
      </c>
      <c r="U1547" s="19">
        <f t="shared" si="751"/>
        <v>0</v>
      </c>
      <c r="V1547" s="19">
        <f t="shared" si="737"/>
        <v>0</v>
      </c>
      <c r="W1547" s="20">
        <f t="shared" ca="1" si="752"/>
        <v>0</v>
      </c>
      <c r="X1547" s="19">
        <f t="shared" ca="1" si="753"/>
        <v>0</v>
      </c>
      <c r="Y1547" s="19">
        <f t="shared" ca="1" si="754"/>
        <v>0</v>
      </c>
      <c r="Z1547" s="20">
        <f t="shared" ca="1" si="755"/>
        <v>0</v>
      </c>
      <c r="AA1547" s="1">
        <f t="shared" si="733"/>
        <v>5432.58</v>
      </c>
      <c r="AB1547" s="91"/>
      <c r="AC1547" s="92"/>
      <c r="AD1547" s="101">
        <f t="shared" si="734"/>
        <v>86634</v>
      </c>
      <c r="AE1547" s="103">
        <f t="shared" si="735"/>
        <v>0</v>
      </c>
      <c r="AG1547" s="1">
        <f t="shared" si="756"/>
        <v>0</v>
      </c>
      <c r="AH1547" s="1">
        <f t="shared" si="757"/>
        <v>0</v>
      </c>
      <c r="AI1547" s="1">
        <f t="shared" si="736"/>
        <v>5432.58</v>
      </c>
      <c r="AJ1547" s="20">
        <f t="shared" si="738"/>
        <v>0</v>
      </c>
      <c r="AK1547" s="100">
        <f t="shared" si="740"/>
        <v>0</v>
      </c>
      <c r="AL1547" s="100">
        <f t="shared" si="741"/>
        <v>0</v>
      </c>
      <c r="AN1547" s="100">
        <f t="shared" si="742"/>
        <v>2519.8242512605348</v>
      </c>
      <c r="AO1547" s="20">
        <f t="shared" si="743"/>
        <v>0</v>
      </c>
      <c r="AQ1547" s="109">
        <f t="shared" si="744"/>
        <v>0</v>
      </c>
      <c r="AU1547" s="109">
        <f t="shared" si="729"/>
        <v>23.685408694379813</v>
      </c>
      <c r="AV1547" s="101">
        <f t="shared" si="745"/>
        <v>86664</v>
      </c>
      <c r="AW1547" s="99">
        <f t="shared" si="746"/>
        <v>0</v>
      </c>
      <c r="AX1547" s="1">
        <f t="shared" si="747"/>
        <v>0</v>
      </c>
      <c r="AY1547" s="29">
        <f t="shared" si="748"/>
        <v>0</v>
      </c>
      <c r="AZ1547" s="1">
        <f t="shared" si="730"/>
        <v>0</v>
      </c>
      <c r="CB1547" s="20">
        <f t="shared" si="739"/>
        <v>0</v>
      </c>
      <c r="CC1547" s="173">
        <f t="shared" si="731"/>
        <v>0</v>
      </c>
    </row>
    <row r="1548" spans="10:81" x14ac:dyDescent="0.25">
      <c r="J1548" s="9"/>
      <c r="K1548" s="10"/>
      <c r="L1548" s="17"/>
      <c r="M1548" s="23"/>
      <c r="N1548" s="23"/>
      <c r="O1548" s="23"/>
      <c r="P1548" s="23"/>
      <c r="Q1548" s="1">
        <f t="shared" si="732"/>
        <v>0.60744618579017706</v>
      </c>
      <c r="R1548" s="12">
        <f t="shared" ca="1" si="749"/>
        <v>45542</v>
      </c>
      <c r="S1548" s="88">
        <f t="shared" si="758"/>
        <v>0</v>
      </c>
      <c r="T1548" s="19">
        <f t="shared" si="750"/>
        <v>0</v>
      </c>
      <c r="U1548" s="19">
        <f t="shared" si="751"/>
        <v>0</v>
      </c>
      <c r="V1548" s="19">
        <f t="shared" si="737"/>
        <v>0</v>
      </c>
      <c r="W1548" s="20">
        <f t="shared" ca="1" si="752"/>
        <v>0</v>
      </c>
      <c r="X1548" s="19">
        <f t="shared" ca="1" si="753"/>
        <v>0</v>
      </c>
      <c r="Y1548" s="19">
        <f t="shared" ca="1" si="754"/>
        <v>0</v>
      </c>
      <c r="Z1548" s="20">
        <f t="shared" ca="1" si="755"/>
        <v>0</v>
      </c>
      <c r="AA1548" s="1">
        <f t="shared" si="733"/>
        <v>5432.58</v>
      </c>
      <c r="AB1548" s="93"/>
      <c r="AC1548" s="94"/>
      <c r="AD1548" s="101">
        <f t="shared" si="734"/>
        <v>86664</v>
      </c>
      <c r="AE1548" s="103">
        <f t="shared" si="735"/>
        <v>0</v>
      </c>
      <c r="AG1548" s="1">
        <f t="shared" si="756"/>
        <v>0</v>
      </c>
      <c r="AH1548" s="1">
        <f t="shared" si="757"/>
        <v>0</v>
      </c>
      <c r="AI1548" s="1">
        <f t="shared" si="736"/>
        <v>5432.58</v>
      </c>
      <c r="AJ1548" s="20">
        <f t="shared" si="738"/>
        <v>0</v>
      </c>
      <c r="AK1548" s="100">
        <f t="shared" si="740"/>
        <v>0</v>
      </c>
      <c r="AL1548" s="100">
        <f t="shared" si="741"/>
        <v>0</v>
      </c>
      <c r="AN1548" s="100">
        <f t="shared" si="742"/>
        <v>2518.5493485975935</v>
      </c>
      <c r="AO1548" s="20">
        <f t="shared" si="743"/>
        <v>0</v>
      </c>
      <c r="AQ1548" s="109">
        <f t="shared" si="744"/>
        <v>0</v>
      </c>
      <c r="AU1548" s="109">
        <f t="shared" si="729"/>
        <v>23.683329824317461</v>
      </c>
      <c r="AV1548" s="101">
        <f t="shared" si="745"/>
        <v>86694</v>
      </c>
      <c r="AW1548" s="99">
        <f t="shared" si="746"/>
        <v>0</v>
      </c>
      <c r="AX1548" s="1">
        <f t="shared" si="747"/>
        <v>0</v>
      </c>
      <c r="AY1548" s="29">
        <f t="shared" si="748"/>
        <v>0</v>
      </c>
      <c r="AZ1548" s="1">
        <f t="shared" si="730"/>
        <v>0</v>
      </c>
      <c r="CB1548" s="20">
        <f t="shared" si="739"/>
        <v>0</v>
      </c>
      <c r="CC1548" s="173">
        <f t="shared" si="731"/>
        <v>0</v>
      </c>
    </row>
    <row r="1549" spans="10:81" x14ac:dyDescent="0.25">
      <c r="J1549" s="7"/>
      <c r="K1549" s="8"/>
      <c r="L1549" s="16"/>
      <c r="M1549" s="22"/>
      <c r="N1549" s="22"/>
      <c r="O1549" s="22"/>
      <c r="P1549" s="22"/>
      <c r="Q1549" s="1">
        <f t="shared" si="732"/>
        <v>0.60744618579017706</v>
      </c>
      <c r="R1549" s="12">
        <f t="shared" ca="1" si="749"/>
        <v>45572</v>
      </c>
      <c r="S1549" s="88">
        <f t="shared" si="758"/>
        <v>0</v>
      </c>
      <c r="T1549" s="19">
        <f t="shared" si="750"/>
        <v>0</v>
      </c>
      <c r="U1549" s="19">
        <f t="shared" si="751"/>
        <v>0</v>
      </c>
      <c r="V1549" s="19">
        <f t="shared" si="737"/>
        <v>0</v>
      </c>
      <c r="W1549" s="20">
        <f t="shared" ca="1" si="752"/>
        <v>0</v>
      </c>
      <c r="X1549" s="19">
        <f t="shared" ca="1" si="753"/>
        <v>0</v>
      </c>
      <c r="Y1549" s="19">
        <f t="shared" ca="1" si="754"/>
        <v>0</v>
      </c>
      <c r="Z1549" s="20">
        <f t="shared" ca="1" si="755"/>
        <v>0</v>
      </c>
      <c r="AA1549" s="1">
        <f t="shared" si="733"/>
        <v>5432.58</v>
      </c>
      <c r="AB1549" s="91"/>
      <c r="AC1549" s="92"/>
      <c r="AD1549" s="101">
        <f t="shared" si="734"/>
        <v>86694</v>
      </c>
      <c r="AE1549" s="103">
        <f t="shared" si="735"/>
        <v>0</v>
      </c>
      <c r="AG1549" s="1">
        <f t="shared" si="756"/>
        <v>0</v>
      </c>
      <c r="AH1549" s="1">
        <f t="shared" si="757"/>
        <v>0</v>
      </c>
      <c r="AI1549" s="1">
        <f t="shared" si="736"/>
        <v>5432.58</v>
      </c>
      <c r="AJ1549" s="20">
        <f t="shared" si="738"/>
        <v>0</v>
      </c>
      <c r="AK1549" s="100">
        <f t="shared" si="740"/>
        <v>0</v>
      </c>
      <c r="AL1549" s="100">
        <f t="shared" si="741"/>
        <v>0</v>
      </c>
      <c r="AN1549" s="100">
        <f t="shared" si="742"/>
        <v>2517.2750909704305</v>
      </c>
      <c r="AO1549" s="20">
        <f t="shared" si="743"/>
        <v>0</v>
      </c>
      <c r="AQ1549" s="109">
        <f t="shared" si="744"/>
        <v>0</v>
      </c>
      <c r="AU1549" s="109">
        <f t="shared" si="729"/>
        <v>23.68125113671768</v>
      </c>
      <c r="AV1549" s="101">
        <f t="shared" si="745"/>
        <v>86724</v>
      </c>
      <c r="AW1549" s="99">
        <f t="shared" si="746"/>
        <v>0</v>
      </c>
      <c r="AX1549" s="1">
        <f t="shared" si="747"/>
        <v>0</v>
      </c>
      <c r="AY1549" s="29">
        <f t="shared" si="748"/>
        <v>0</v>
      </c>
      <c r="AZ1549" s="1">
        <f t="shared" si="730"/>
        <v>0</v>
      </c>
      <c r="CB1549" s="20">
        <f t="shared" si="739"/>
        <v>0</v>
      </c>
      <c r="CC1549" s="173">
        <f t="shared" si="731"/>
        <v>0</v>
      </c>
    </row>
    <row r="1550" spans="10:81" x14ac:dyDescent="0.25">
      <c r="J1550" s="9"/>
      <c r="K1550" s="10"/>
      <c r="L1550" s="17"/>
      <c r="M1550" s="23"/>
      <c r="N1550" s="23"/>
      <c r="O1550" s="23"/>
      <c r="P1550" s="23"/>
      <c r="Q1550" s="1">
        <f t="shared" si="732"/>
        <v>0.60744618579017706</v>
      </c>
      <c r="R1550" s="12">
        <f t="shared" ca="1" si="749"/>
        <v>45602</v>
      </c>
      <c r="S1550" s="88">
        <f t="shared" si="758"/>
        <v>0</v>
      </c>
      <c r="T1550" s="19">
        <f t="shared" si="750"/>
        <v>0</v>
      </c>
      <c r="U1550" s="19">
        <f t="shared" si="751"/>
        <v>0</v>
      </c>
      <c r="V1550" s="19">
        <f t="shared" si="737"/>
        <v>0</v>
      </c>
      <c r="W1550" s="20">
        <f t="shared" ca="1" si="752"/>
        <v>0</v>
      </c>
      <c r="X1550" s="19">
        <f t="shared" ca="1" si="753"/>
        <v>0</v>
      </c>
      <c r="Y1550" s="19">
        <f t="shared" ca="1" si="754"/>
        <v>0</v>
      </c>
      <c r="Z1550" s="20">
        <f t="shared" ca="1" si="755"/>
        <v>0</v>
      </c>
      <c r="AA1550" s="1">
        <f t="shared" si="733"/>
        <v>5432.58</v>
      </c>
      <c r="AB1550" s="93"/>
      <c r="AC1550" s="94"/>
      <c r="AD1550" s="101">
        <f t="shared" si="734"/>
        <v>86724</v>
      </c>
      <c r="AE1550" s="103">
        <f t="shared" si="735"/>
        <v>0</v>
      </c>
      <c r="AG1550" s="1">
        <f t="shared" si="756"/>
        <v>0</v>
      </c>
      <c r="AH1550" s="1">
        <f t="shared" si="757"/>
        <v>0</v>
      </c>
      <c r="AI1550" s="1">
        <f t="shared" si="736"/>
        <v>5432.58</v>
      </c>
      <c r="AJ1550" s="20">
        <f t="shared" si="738"/>
        <v>0</v>
      </c>
      <c r="AK1550" s="100">
        <f t="shared" si="740"/>
        <v>0</v>
      </c>
      <c r="AL1550" s="100">
        <f t="shared" si="741"/>
        <v>0</v>
      </c>
      <c r="AN1550" s="100">
        <f t="shared" si="742"/>
        <v>2516.0014780526917</v>
      </c>
      <c r="AO1550" s="20">
        <f t="shared" si="743"/>
        <v>0</v>
      </c>
      <c r="AQ1550" s="109">
        <f t="shared" si="744"/>
        <v>0</v>
      </c>
      <c r="AU1550" s="109">
        <f t="shared" si="729"/>
        <v>23.679172631564466</v>
      </c>
      <c r="AV1550" s="101">
        <f t="shared" si="745"/>
        <v>86754</v>
      </c>
      <c r="AW1550" s="99">
        <f t="shared" si="746"/>
        <v>0</v>
      </c>
      <c r="AX1550" s="1">
        <f t="shared" si="747"/>
        <v>0</v>
      </c>
      <c r="AY1550" s="29">
        <f t="shared" si="748"/>
        <v>0</v>
      </c>
      <c r="AZ1550" s="1">
        <f t="shared" si="730"/>
        <v>0</v>
      </c>
      <c r="CB1550" s="20">
        <f t="shared" si="739"/>
        <v>0</v>
      </c>
      <c r="CC1550" s="173">
        <f t="shared" si="731"/>
        <v>0</v>
      </c>
    </row>
    <row r="1551" spans="10:81" x14ac:dyDescent="0.25">
      <c r="J1551" s="7"/>
      <c r="K1551" s="8"/>
      <c r="L1551" s="16"/>
      <c r="M1551" s="22"/>
      <c r="N1551" s="22"/>
      <c r="O1551" s="22"/>
      <c r="P1551" s="22"/>
      <c r="Q1551" s="1">
        <f t="shared" si="732"/>
        <v>0.60744618579017706</v>
      </c>
      <c r="R1551" s="12">
        <f t="shared" ca="1" si="749"/>
        <v>45632</v>
      </c>
      <c r="S1551" s="88">
        <f t="shared" si="758"/>
        <v>0</v>
      </c>
      <c r="T1551" s="19">
        <f t="shared" si="750"/>
        <v>0</v>
      </c>
      <c r="U1551" s="19">
        <f t="shared" si="751"/>
        <v>0</v>
      </c>
      <c r="V1551" s="19">
        <f t="shared" si="737"/>
        <v>0</v>
      </c>
      <c r="W1551" s="20">
        <f t="shared" ca="1" si="752"/>
        <v>0</v>
      </c>
      <c r="X1551" s="19">
        <f t="shared" ca="1" si="753"/>
        <v>0</v>
      </c>
      <c r="Y1551" s="19">
        <f t="shared" ca="1" si="754"/>
        <v>0</v>
      </c>
      <c r="Z1551" s="20">
        <f t="shared" ca="1" si="755"/>
        <v>0</v>
      </c>
      <c r="AA1551" s="1">
        <f t="shared" si="733"/>
        <v>5432.58</v>
      </c>
      <c r="AB1551" s="91"/>
      <c r="AC1551" s="92"/>
      <c r="AD1551" s="101">
        <f t="shared" si="734"/>
        <v>86754</v>
      </c>
      <c r="AE1551" s="103">
        <f t="shared" si="735"/>
        <v>0</v>
      </c>
      <c r="AG1551" s="1">
        <f t="shared" si="756"/>
        <v>0</v>
      </c>
      <c r="AH1551" s="1">
        <f t="shared" si="757"/>
        <v>0</v>
      </c>
      <c r="AI1551" s="1">
        <f t="shared" si="736"/>
        <v>5432.58</v>
      </c>
      <c r="AJ1551" s="20">
        <f t="shared" si="738"/>
        <v>0</v>
      </c>
      <c r="AK1551" s="100">
        <f t="shared" si="740"/>
        <v>0</v>
      </c>
      <c r="AL1551" s="100">
        <f t="shared" si="741"/>
        <v>0</v>
      </c>
      <c r="AN1551" s="100">
        <f t="shared" si="742"/>
        <v>2514.7285095181887</v>
      </c>
      <c r="AO1551" s="20">
        <f t="shared" si="743"/>
        <v>0</v>
      </c>
      <c r="AQ1551" s="109">
        <f t="shared" si="744"/>
        <v>0</v>
      </c>
      <c r="AU1551" s="109">
        <f t="shared" si="729"/>
        <v>23.677094308841802</v>
      </c>
      <c r="AV1551" s="101">
        <f t="shared" si="745"/>
        <v>86784</v>
      </c>
      <c r="AW1551" s="99">
        <f t="shared" si="746"/>
        <v>0</v>
      </c>
      <c r="AX1551" s="1">
        <f t="shared" si="747"/>
        <v>0</v>
      </c>
      <c r="AY1551" s="29">
        <f t="shared" si="748"/>
        <v>0</v>
      </c>
      <c r="AZ1551" s="1">
        <f t="shared" si="730"/>
        <v>0</v>
      </c>
      <c r="CB1551" s="20">
        <f t="shared" si="739"/>
        <v>0</v>
      </c>
      <c r="CC1551" s="173">
        <f t="shared" si="731"/>
        <v>0</v>
      </c>
    </row>
    <row r="1552" spans="10:81" x14ac:dyDescent="0.25">
      <c r="J1552" s="9"/>
      <c r="K1552" s="10"/>
      <c r="L1552" s="17"/>
      <c r="M1552" s="23"/>
      <c r="N1552" s="23"/>
      <c r="O1552" s="23"/>
      <c r="P1552" s="23"/>
      <c r="Q1552" s="1">
        <f t="shared" si="732"/>
        <v>0.60744618579017706</v>
      </c>
      <c r="R1552" s="12">
        <f t="shared" ca="1" si="749"/>
        <v>45662</v>
      </c>
      <c r="S1552" s="88">
        <f t="shared" si="758"/>
        <v>0</v>
      </c>
      <c r="T1552" s="19">
        <f t="shared" si="750"/>
        <v>0</v>
      </c>
      <c r="U1552" s="19">
        <f t="shared" si="751"/>
        <v>0</v>
      </c>
      <c r="V1552" s="19">
        <f t="shared" si="737"/>
        <v>0</v>
      </c>
      <c r="W1552" s="20">
        <f t="shared" ca="1" si="752"/>
        <v>0</v>
      </c>
      <c r="X1552" s="19">
        <f t="shared" ca="1" si="753"/>
        <v>0</v>
      </c>
      <c r="Y1552" s="19">
        <f t="shared" ca="1" si="754"/>
        <v>0</v>
      </c>
      <c r="Z1552" s="20">
        <f t="shared" ca="1" si="755"/>
        <v>0</v>
      </c>
      <c r="AA1552" s="1">
        <f t="shared" si="733"/>
        <v>5432.58</v>
      </c>
      <c r="AB1552" s="93"/>
      <c r="AC1552" s="94"/>
      <c r="AD1552" s="101">
        <f t="shared" si="734"/>
        <v>86784</v>
      </c>
      <c r="AE1552" s="103">
        <f t="shared" si="735"/>
        <v>0</v>
      </c>
      <c r="AG1552" s="1">
        <f t="shared" si="756"/>
        <v>0</v>
      </c>
      <c r="AH1552" s="1">
        <f t="shared" si="757"/>
        <v>0</v>
      </c>
      <c r="AI1552" s="1">
        <f t="shared" si="736"/>
        <v>5432.58</v>
      </c>
      <c r="AJ1552" s="20">
        <f t="shared" si="738"/>
        <v>0</v>
      </c>
      <c r="AK1552" s="100">
        <f t="shared" si="740"/>
        <v>0</v>
      </c>
      <c r="AL1552" s="100">
        <f t="shared" si="741"/>
        <v>0</v>
      </c>
      <c r="AN1552" s="100">
        <f t="shared" si="742"/>
        <v>2513.4561850408932</v>
      </c>
      <c r="AO1552" s="20">
        <f t="shared" si="743"/>
        <v>0</v>
      </c>
      <c r="AQ1552" s="109">
        <f t="shared" si="744"/>
        <v>0</v>
      </c>
      <c r="AU1552" s="109">
        <f t="shared" si="729"/>
        <v>23.675016168533684</v>
      </c>
      <c r="AV1552" s="101">
        <f t="shared" si="745"/>
        <v>86814</v>
      </c>
      <c r="AW1552" s="99">
        <f t="shared" si="746"/>
        <v>0</v>
      </c>
      <c r="AX1552" s="1">
        <f t="shared" si="747"/>
        <v>0</v>
      </c>
      <c r="AY1552" s="29">
        <f t="shared" si="748"/>
        <v>0</v>
      </c>
      <c r="AZ1552" s="1">
        <f t="shared" si="730"/>
        <v>0</v>
      </c>
      <c r="CB1552" s="20">
        <f t="shared" si="739"/>
        <v>0</v>
      </c>
      <c r="CC1552" s="173">
        <f t="shared" si="731"/>
        <v>0</v>
      </c>
    </row>
    <row r="1553" spans="10:81" x14ac:dyDescent="0.25">
      <c r="J1553" s="7"/>
      <c r="K1553" s="8"/>
      <c r="L1553" s="16"/>
      <c r="M1553" s="22"/>
      <c r="N1553" s="22"/>
      <c r="O1553" s="22"/>
      <c r="P1553" s="22"/>
      <c r="Q1553" s="1">
        <f t="shared" si="732"/>
        <v>0.60744618579017706</v>
      </c>
      <c r="R1553" s="12">
        <f t="shared" ca="1" si="749"/>
        <v>45692</v>
      </c>
      <c r="S1553" s="88">
        <f t="shared" si="758"/>
        <v>0</v>
      </c>
      <c r="T1553" s="19">
        <f t="shared" si="750"/>
        <v>0</v>
      </c>
      <c r="U1553" s="19">
        <f t="shared" si="751"/>
        <v>0</v>
      </c>
      <c r="V1553" s="19">
        <f t="shared" si="737"/>
        <v>0</v>
      </c>
      <c r="W1553" s="20">
        <f t="shared" ca="1" si="752"/>
        <v>0</v>
      </c>
      <c r="X1553" s="19">
        <f t="shared" ca="1" si="753"/>
        <v>0</v>
      </c>
      <c r="Y1553" s="19">
        <f t="shared" ca="1" si="754"/>
        <v>0</v>
      </c>
      <c r="Z1553" s="20">
        <f t="shared" ca="1" si="755"/>
        <v>0</v>
      </c>
      <c r="AA1553" s="1">
        <f t="shared" si="733"/>
        <v>5432.58</v>
      </c>
      <c r="AB1553" s="91"/>
      <c r="AC1553" s="92"/>
      <c r="AD1553" s="101">
        <f t="shared" si="734"/>
        <v>86814</v>
      </c>
      <c r="AE1553" s="103">
        <f t="shared" si="735"/>
        <v>0</v>
      </c>
      <c r="AG1553" s="1">
        <f t="shared" si="756"/>
        <v>0</v>
      </c>
      <c r="AH1553" s="1">
        <f t="shared" si="757"/>
        <v>0</v>
      </c>
      <c r="AI1553" s="1">
        <f t="shared" si="736"/>
        <v>5432.58</v>
      </c>
      <c r="AJ1553" s="20">
        <f t="shared" si="738"/>
        <v>0</v>
      </c>
      <c r="AK1553" s="100">
        <f t="shared" si="740"/>
        <v>0</v>
      </c>
      <c r="AL1553" s="100">
        <f t="shared" si="741"/>
        <v>0</v>
      </c>
      <c r="AN1553" s="100">
        <f t="shared" si="742"/>
        <v>2512.1845042949462</v>
      </c>
      <c r="AO1553" s="20">
        <f t="shared" si="743"/>
        <v>0</v>
      </c>
      <c r="AQ1553" s="109">
        <f t="shared" si="744"/>
        <v>0</v>
      </c>
      <c r="AU1553" s="109">
        <f t="shared" si="729"/>
        <v>23.672938210624093</v>
      </c>
      <c r="AV1553" s="101">
        <f t="shared" si="745"/>
        <v>86844</v>
      </c>
      <c r="AW1553" s="99">
        <f t="shared" si="746"/>
        <v>0</v>
      </c>
      <c r="AX1553" s="1">
        <f t="shared" si="747"/>
        <v>0</v>
      </c>
      <c r="AY1553" s="29">
        <f t="shared" si="748"/>
        <v>0</v>
      </c>
      <c r="AZ1553" s="1">
        <f t="shared" si="730"/>
        <v>0</v>
      </c>
      <c r="CB1553" s="20">
        <f t="shared" si="739"/>
        <v>0</v>
      </c>
      <c r="CC1553" s="173">
        <f t="shared" si="731"/>
        <v>0</v>
      </c>
    </row>
    <row r="1554" spans="10:81" x14ac:dyDescent="0.25">
      <c r="J1554" s="9"/>
      <c r="K1554" s="10"/>
      <c r="L1554" s="17"/>
      <c r="M1554" s="23"/>
      <c r="N1554" s="23"/>
      <c r="O1554" s="23"/>
      <c r="P1554" s="23"/>
      <c r="Q1554" s="1">
        <f t="shared" si="732"/>
        <v>0.60744618579017706</v>
      </c>
      <c r="R1554" s="12">
        <f t="shared" ca="1" si="749"/>
        <v>45722</v>
      </c>
      <c r="S1554" s="88">
        <f t="shared" si="758"/>
        <v>0</v>
      </c>
      <c r="T1554" s="19">
        <f t="shared" si="750"/>
        <v>0</v>
      </c>
      <c r="U1554" s="19">
        <f t="shared" si="751"/>
        <v>0</v>
      </c>
      <c r="V1554" s="19">
        <f t="shared" si="737"/>
        <v>0</v>
      </c>
      <c r="W1554" s="20">
        <f t="shared" ca="1" si="752"/>
        <v>0</v>
      </c>
      <c r="X1554" s="19">
        <f t="shared" ca="1" si="753"/>
        <v>0</v>
      </c>
      <c r="Y1554" s="19">
        <f t="shared" ca="1" si="754"/>
        <v>0</v>
      </c>
      <c r="Z1554" s="20">
        <f t="shared" ca="1" si="755"/>
        <v>0</v>
      </c>
      <c r="AA1554" s="1">
        <f t="shared" si="733"/>
        <v>5432.58</v>
      </c>
      <c r="AB1554" s="93"/>
      <c r="AC1554" s="94"/>
      <c r="AD1554" s="101">
        <f t="shared" si="734"/>
        <v>86844</v>
      </c>
      <c r="AE1554" s="103">
        <f t="shared" si="735"/>
        <v>0</v>
      </c>
      <c r="AG1554" s="1">
        <f t="shared" si="756"/>
        <v>0</v>
      </c>
      <c r="AH1554" s="1">
        <f t="shared" si="757"/>
        <v>0</v>
      </c>
      <c r="AI1554" s="1">
        <f t="shared" si="736"/>
        <v>5432.58</v>
      </c>
      <c r="AJ1554" s="20">
        <f t="shared" si="738"/>
        <v>0</v>
      </c>
      <c r="AK1554" s="100">
        <f t="shared" si="740"/>
        <v>0</v>
      </c>
      <c r="AL1554" s="100">
        <f t="shared" si="741"/>
        <v>0</v>
      </c>
      <c r="AN1554" s="100">
        <f t="shared" si="742"/>
        <v>2510.9134669546543</v>
      </c>
      <c r="AO1554" s="20">
        <f t="shared" si="743"/>
        <v>0</v>
      </c>
      <c r="AQ1554" s="109">
        <f t="shared" si="744"/>
        <v>0</v>
      </c>
      <c r="AU1554" s="109">
        <f t="shared" si="729"/>
        <v>23.670860435097001</v>
      </c>
      <c r="AV1554" s="101">
        <f t="shared" si="745"/>
        <v>86874</v>
      </c>
      <c r="AW1554" s="99">
        <f t="shared" si="746"/>
        <v>0</v>
      </c>
      <c r="AX1554" s="1">
        <f t="shared" si="747"/>
        <v>0</v>
      </c>
      <c r="AY1554" s="29">
        <f t="shared" si="748"/>
        <v>0</v>
      </c>
      <c r="AZ1554" s="1">
        <f t="shared" si="730"/>
        <v>0</v>
      </c>
      <c r="CB1554" s="20">
        <f t="shared" si="739"/>
        <v>0</v>
      </c>
      <c r="CC1554" s="173">
        <f t="shared" si="731"/>
        <v>0</v>
      </c>
    </row>
    <row r="1555" spans="10:81" x14ac:dyDescent="0.25">
      <c r="J1555" s="7"/>
      <c r="K1555" s="8"/>
      <c r="L1555" s="16"/>
      <c r="M1555" s="22"/>
      <c r="N1555" s="22"/>
      <c r="O1555" s="22"/>
      <c r="P1555" s="22"/>
      <c r="Q1555" s="1">
        <f t="shared" si="732"/>
        <v>0.60744618579017706</v>
      </c>
      <c r="R1555" s="12">
        <f t="shared" ca="1" si="749"/>
        <v>45752</v>
      </c>
      <c r="S1555" s="88">
        <f t="shared" si="758"/>
        <v>0</v>
      </c>
      <c r="T1555" s="19">
        <f t="shared" si="750"/>
        <v>0</v>
      </c>
      <c r="U1555" s="19">
        <f t="shared" si="751"/>
        <v>0</v>
      </c>
      <c r="V1555" s="19">
        <f t="shared" si="737"/>
        <v>0</v>
      </c>
      <c r="W1555" s="20">
        <f t="shared" ca="1" si="752"/>
        <v>0</v>
      </c>
      <c r="X1555" s="19">
        <f t="shared" ca="1" si="753"/>
        <v>0</v>
      </c>
      <c r="Y1555" s="19">
        <f t="shared" ca="1" si="754"/>
        <v>0</v>
      </c>
      <c r="Z1555" s="20">
        <f t="shared" ca="1" si="755"/>
        <v>0</v>
      </c>
      <c r="AA1555" s="1">
        <f t="shared" si="733"/>
        <v>5432.58</v>
      </c>
      <c r="AB1555" s="91"/>
      <c r="AC1555" s="92"/>
      <c r="AD1555" s="101">
        <f t="shared" si="734"/>
        <v>86874</v>
      </c>
      <c r="AE1555" s="103">
        <f t="shared" si="735"/>
        <v>0</v>
      </c>
      <c r="AG1555" s="1">
        <f t="shared" si="756"/>
        <v>0</v>
      </c>
      <c r="AH1555" s="1">
        <f t="shared" si="757"/>
        <v>0</v>
      </c>
      <c r="AI1555" s="1">
        <f t="shared" si="736"/>
        <v>5432.58</v>
      </c>
      <c r="AJ1555" s="20">
        <f t="shared" si="738"/>
        <v>0</v>
      </c>
      <c r="AK1555" s="100">
        <f t="shared" si="740"/>
        <v>0</v>
      </c>
      <c r="AL1555" s="100">
        <f t="shared" si="741"/>
        <v>0</v>
      </c>
      <c r="AN1555" s="100">
        <f t="shared" si="742"/>
        <v>2509.643072694485</v>
      </c>
      <c r="AO1555" s="20">
        <f t="shared" si="743"/>
        <v>0</v>
      </c>
      <c r="AQ1555" s="109">
        <f t="shared" si="744"/>
        <v>0</v>
      </c>
      <c r="AU1555" s="109">
        <f t="shared" si="729"/>
        <v>23.668782841936441</v>
      </c>
      <c r="AV1555" s="101">
        <f t="shared" si="745"/>
        <v>86904</v>
      </c>
      <c r="AW1555" s="99">
        <f t="shared" si="746"/>
        <v>0</v>
      </c>
      <c r="AX1555" s="1">
        <f t="shared" si="747"/>
        <v>0</v>
      </c>
      <c r="AY1555" s="29">
        <f t="shared" si="748"/>
        <v>0</v>
      </c>
      <c r="AZ1555" s="1">
        <f t="shared" si="730"/>
        <v>0</v>
      </c>
      <c r="CB1555" s="20">
        <f t="shared" si="739"/>
        <v>0</v>
      </c>
      <c r="CC1555" s="173">
        <f t="shared" si="731"/>
        <v>0</v>
      </c>
    </row>
    <row r="1556" spans="10:81" x14ac:dyDescent="0.25">
      <c r="J1556" s="9"/>
      <c r="K1556" s="10"/>
      <c r="L1556" s="17"/>
      <c r="M1556" s="23"/>
      <c r="N1556" s="23"/>
      <c r="O1556" s="23"/>
      <c r="P1556" s="23"/>
      <c r="Q1556" s="1">
        <f t="shared" si="732"/>
        <v>0.60744618579017706</v>
      </c>
      <c r="R1556" s="12">
        <f t="shared" ca="1" si="749"/>
        <v>45782</v>
      </c>
      <c r="S1556" s="88">
        <f t="shared" si="758"/>
        <v>0</v>
      </c>
      <c r="T1556" s="19">
        <f t="shared" si="750"/>
        <v>0</v>
      </c>
      <c r="U1556" s="19">
        <f t="shared" si="751"/>
        <v>0</v>
      </c>
      <c r="V1556" s="19">
        <f t="shared" si="737"/>
        <v>0</v>
      </c>
      <c r="W1556" s="20">
        <f t="shared" ca="1" si="752"/>
        <v>0</v>
      </c>
      <c r="X1556" s="19">
        <f t="shared" ca="1" si="753"/>
        <v>0</v>
      </c>
      <c r="Y1556" s="19">
        <f t="shared" ca="1" si="754"/>
        <v>0</v>
      </c>
      <c r="Z1556" s="20">
        <f t="shared" ca="1" si="755"/>
        <v>0</v>
      </c>
      <c r="AA1556" s="1">
        <f t="shared" si="733"/>
        <v>5432.58</v>
      </c>
      <c r="AB1556" s="93"/>
      <c r="AC1556" s="94"/>
      <c r="AD1556" s="101">
        <f t="shared" si="734"/>
        <v>86904</v>
      </c>
      <c r="AE1556" s="103">
        <f t="shared" si="735"/>
        <v>0</v>
      </c>
      <c r="AG1556" s="1">
        <f t="shared" si="756"/>
        <v>0</v>
      </c>
      <c r="AH1556" s="1">
        <f t="shared" si="757"/>
        <v>0</v>
      </c>
      <c r="AI1556" s="1">
        <f t="shared" si="736"/>
        <v>5432.58</v>
      </c>
      <c r="AJ1556" s="20">
        <f t="shared" si="738"/>
        <v>0</v>
      </c>
      <c r="AK1556" s="100">
        <f t="shared" si="740"/>
        <v>0</v>
      </c>
      <c r="AL1556" s="100">
        <f t="shared" si="741"/>
        <v>0</v>
      </c>
      <c r="AN1556" s="100">
        <f t="shared" si="742"/>
        <v>2508.3733211890731</v>
      </c>
      <c r="AO1556" s="20">
        <f t="shared" si="743"/>
        <v>0</v>
      </c>
      <c r="AQ1556" s="109">
        <f t="shared" si="744"/>
        <v>0</v>
      </c>
      <c r="AU1556" s="109">
        <f t="shared" si="729"/>
        <v>23.666705431126385</v>
      </c>
      <c r="AV1556" s="101">
        <f t="shared" si="745"/>
        <v>86934</v>
      </c>
      <c r="AW1556" s="99">
        <f t="shared" si="746"/>
        <v>0</v>
      </c>
      <c r="AX1556" s="1">
        <f t="shared" si="747"/>
        <v>0</v>
      </c>
      <c r="AY1556" s="29">
        <f t="shared" si="748"/>
        <v>0</v>
      </c>
      <c r="AZ1556" s="1">
        <f t="shared" si="730"/>
        <v>0</v>
      </c>
      <c r="CB1556" s="20">
        <f t="shared" si="739"/>
        <v>0</v>
      </c>
      <c r="CC1556" s="173">
        <f t="shared" si="731"/>
        <v>0</v>
      </c>
    </row>
    <row r="1557" spans="10:81" x14ac:dyDescent="0.25">
      <c r="J1557" s="7"/>
      <c r="K1557" s="8"/>
      <c r="L1557" s="16"/>
      <c r="M1557" s="22"/>
      <c r="N1557" s="22"/>
      <c r="O1557" s="22"/>
      <c r="P1557" s="22"/>
      <c r="Q1557" s="1">
        <f t="shared" si="732"/>
        <v>0.60744618579017706</v>
      </c>
      <c r="R1557" s="12">
        <f t="shared" ca="1" si="749"/>
        <v>45812</v>
      </c>
      <c r="S1557" s="88">
        <f t="shared" si="758"/>
        <v>0</v>
      </c>
      <c r="T1557" s="19">
        <f t="shared" si="750"/>
        <v>0</v>
      </c>
      <c r="U1557" s="19">
        <f t="shared" si="751"/>
        <v>0</v>
      </c>
      <c r="V1557" s="19">
        <f t="shared" si="737"/>
        <v>0</v>
      </c>
      <c r="W1557" s="20">
        <f t="shared" ca="1" si="752"/>
        <v>0</v>
      </c>
      <c r="X1557" s="19">
        <f t="shared" ca="1" si="753"/>
        <v>0</v>
      </c>
      <c r="Y1557" s="19">
        <f t="shared" ca="1" si="754"/>
        <v>0</v>
      </c>
      <c r="Z1557" s="20">
        <f t="shared" ca="1" si="755"/>
        <v>0</v>
      </c>
      <c r="AA1557" s="1">
        <f t="shared" si="733"/>
        <v>5432.58</v>
      </c>
      <c r="AB1557" s="91"/>
      <c r="AC1557" s="92"/>
      <c r="AD1557" s="101">
        <f t="shared" si="734"/>
        <v>86934</v>
      </c>
      <c r="AE1557" s="103">
        <f t="shared" si="735"/>
        <v>0</v>
      </c>
      <c r="AG1557" s="1">
        <f t="shared" si="756"/>
        <v>0</v>
      </c>
      <c r="AH1557" s="1">
        <f t="shared" si="757"/>
        <v>0</v>
      </c>
      <c r="AI1557" s="1">
        <f t="shared" si="736"/>
        <v>5432.58</v>
      </c>
      <c r="AJ1557" s="20">
        <f t="shared" si="738"/>
        <v>0</v>
      </c>
      <c r="AK1557" s="100">
        <f t="shared" si="740"/>
        <v>0</v>
      </c>
      <c r="AL1557" s="100">
        <f t="shared" si="741"/>
        <v>0</v>
      </c>
      <c r="AN1557" s="100">
        <f t="shared" si="742"/>
        <v>2507.1042121132168</v>
      </c>
      <c r="AO1557" s="20">
        <f t="shared" si="743"/>
        <v>0</v>
      </c>
      <c r="AQ1557" s="109">
        <f t="shared" si="744"/>
        <v>0</v>
      </c>
      <c r="AU1557" s="109">
        <f t="shared" si="729"/>
        <v>23.664628202650814</v>
      </c>
      <c r="AV1557" s="101">
        <f t="shared" si="745"/>
        <v>86964</v>
      </c>
      <c r="AW1557" s="99">
        <f t="shared" si="746"/>
        <v>0</v>
      </c>
      <c r="AX1557" s="1">
        <f t="shared" si="747"/>
        <v>0</v>
      </c>
      <c r="AY1557" s="29">
        <f t="shared" si="748"/>
        <v>0</v>
      </c>
      <c r="AZ1557" s="1">
        <f t="shared" si="730"/>
        <v>0</v>
      </c>
      <c r="CB1557" s="20">
        <f t="shared" si="739"/>
        <v>0</v>
      </c>
      <c r="CC1557" s="173">
        <f t="shared" si="731"/>
        <v>0</v>
      </c>
    </row>
    <row r="1558" spans="10:81" x14ac:dyDescent="0.25">
      <c r="J1558" s="9"/>
      <c r="K1558" s="10"/>
      <c r="L1558" s="17"/>
      <c r="M1558" s="23"/>
      <c r="N1558" s="23"/>
      <c r="O1558" s="23"/>
      <c r="P1558" s="23"/>
      <c r="Q1558" s="1">
        <f t="shared" si="732"/>
        <v>0.60744618579017706</v>
      </c>
      <c r="R1558" s="12">
        <f t="shared" ca="1" si="749"/>
        <v>45842</v>
      </c>
      <c r="S1558" s="88">
        <f t="shared" si="758"/>
        <v>0</v>
      </c>
      <c r="T1558" s="19">
        <f t="shared" si="750"/>
        <v>0</v>
      </c>
      <c r="U1558" s="19">
        <f t="shared" si="751"/>
        <v>0</v>
      </c>
      <c r="V1558" s="19">
        <f t="shared" si="737"/>
        <v>0</v>
      </c>
      <c r="W1558" s="20">
        <f t="shared" ca="1" si="752"/>
        <v>0</v>
      </c>
      <c r="X1558" s="19">
        <f t="shared" ca="1" si="753"/>
        <v>0</v>
      </c>
      <c r="Y1558" s="19">
        <f t="shared" ca="1" si="754"/>
        <v>0</v>
      </c>
      <c r="Z1558" s="20">
        <f t="shared" ca="1" si="755"/>
        <v>0</v>
      </c>
      <c r="AA1558" s="1">
        <f t="shared" si="733"/>
        <v>5432.58</v>
      </c>
      <c r="AB1558" s="93"/>
      <c r="AC1558" s="94"/>
      <c r="AD1558" s="101">
        <f t="shared" si="734"/>
        <v>86964</v>
      </c>
      <c r="AE1558" s="103">
        <f t="shared" si="735"/>
        <v>0</v>
      </c>
      <c r="AG1558" s="1">
        <f t="shared" si="756"/>
        <v>0</v>
      </c>
      <c r="AH1558" s="1">
        <f t="shared" si="757"/>
        <v>0</v>
      </c>
      <c r="AI1558" s="1">
        <f t="shared" si="736"/>
        <v>5432.58</v>
      </c>
      <c r="AJ1558" s="20">
        <f t="shared" si="738"/>
        <v>0</v>
      </c>
      <c r="AK1558" s="100">
        <f t="shared" si="740"/>
        <v>0</v>
      </c>
      <c r="AL1558" s="100">
        <f t="shared" si="741"/>
        <v>0</v>
      </c>
      <c r="AN1558" s="100">
        <f t="shared" si="742"/>
        <v>2505.8357451418806</v>
      </c>
      <c r="AO1558" s="20">
        <f t="shared" si="743"/>
        <v>0</v>
      </c>
      <c r="AQ1558" s="109">
        <f t="shared" si="744"/>
        <v>0</v>
      </c>
      <c r="AU1558" s="109">
        <f t="shared" si="729"/>
        <v>23.662551156493745</v>
      </c>
      <c r="AV1558" s="101">
        <f t="shared" si="745"/>
        <v>86994</v>
      </c>
      <c r="AW1558" s="99">
        <f t="shared" si="746"/>
        <v>0</v>
      </c>
      <c r="AX1558" s="1">
        <f t="shared" si="747"/>
        <v>0</v>
      </c>
      <c r="AY1558" s="29">
        <f t="shared" si="748"/>
        <v>0</v>
      </c>
      <c r="AZ1558" s="1">
        <f t="shared" si="730"/>
        <v>0</v>
      </c>
      <c r="CB1558" s="20">
        <f t="shared" si="739"/>
        <v>0</v>
      </c>
      <c r="CC1558" s="173">
        <f t="shared" si="731"/>
        <v>0</v>
      </c>
    </row>
    <row r="1559" spans="10:81" x14ac:dyDescent="0.25">
      <c r="J1559" s="7"/>
      <c r="K1559" s="8"/>
      <c r="L1559" s="16"/>
      <c r="M1559" s="22"/>
      <c r="N1559" s="22"/>
      <c r="O1559" s="22"/>
      <c r="P1559" s="22"/>
      <c r="Q1559" s="1">
        <f t="shared" si="732"/>
        <v>0.60744618579017706</v>
      </c>
      <c r="R1559" s="12">
        <f t="shared" ca="1" si="749"/>
        <v>45872</v>
      </c>
      <c r="S1559" s="88">
        <f t="shared" si="758"/>
        <v>0</v>
      </c>
      <c r="T1559" s="19">
        <f t="shared" si="750"/>
        <v>0</v>
      </c>
      <c r="U1559" s="19">
        <f t="shared" si="751"/>
        <v>0</v>
      </c>
      <c r="V1559" s="19">
        <f t="shared" si="737"/>
        <v>0</v>
      </c>
      <c r="W1559" s="20">
        <f t="shared" ca="1" si="752"/>
        <v>0</v>
      </c>
      <c r="X1559" s="19">
        <f t="shared" ca="1" si="753"/>
        <v>0</v>
      </c>
      <c r="Y1559" s="19">
        <f t="shared" ca="1" si="754"/>
        <v>0</v>
      </c>
      <c r="Z1559" s="20">
        <f t="shared" ca="1" si="755"/>
        <v>0</v>
      </c>
      <c r="AA1559" s="1">
        <f t="shared" si="733"/>
        <v>5432.58</v>
      </c>
      <c r="AB1559" s="91"/>
      <c r="AC1559" s="92"/>
      <c r="AD1559" s="101">
        <f t="shared" si="734"/>
        <v>86994</v>
      </c>
      <c r="AE1559" s="103">
        <f t="shared" si="735"/>
        <v>0</v>
      </c>
      <c r="AG1559" s="1">
        <f t="shared" si="756"/>
        <v>0</v>
      </c>
      <c r="AH1559" s="1">
        <f t="shared" si="757"/>
        <v>0</v>
      </c>
      <c r="AI1559" s="1">
        <f t="shared" si="736"/>
        <v>5432.58</v>
      </c>
      <c r="AJ1559" s="20">
        <f t="shared" si="738"/>
        <v>0</v>
      </c>
      <c r="AK1559" s="100">
        <f t="shared" si="740"/>
        <v>0</v>
      </c>
      <c r="AL1559" s="100">
        <f t="shared" si="741"/>
        <v>0</v>
      </c>
      <c r="AN1559" s="100">
        <f t="shared" si="742"/>
        <v>2504.5679199501919</v>
      </c>
      <c r="AO1559" s="20">
        <f t="shared" si="743"/>
        <v>0</v>
      </c>
      <c r="AQ1559" s="109">
        <f t="shared" si="744"/>
        <v>0</v>
      </c>
      <c r="AU1559" s="109">
        <f t="shared" si="729"/>
        <v>23.660474292639176</v>
      </c>
      <c r="AV1559" s="101">
        <f t="shared" si="745"/>
        <v>87024</v>
      </c>
      <c r="AW1559" s="99">
        <f t="shared" si="746"/>
        <v>0</v>
      </c>
      <c r="AX1559" s="1">
        <f t="shared" si="747"/>
        <v>0</v>
      </c>
      <c r="AY1559" s="29">
        <f t="shared" si="748"/>
        <v>0</v>
      </c>
      <c r="AZ1559" s="1">
        <f t="shared" si="730"/>
        <v>0</v>
      </c>
      <c r="CB1559" s="20">
        <f t="shared" si="739"/>
        <v>0</v>
      </c>
      <c r="CC1559" s="173">
        <f t="shared" si="731"/>
        <v>0</v>
      </c>
    </row>
    <row r="1560" spans="10:81" x14ac:dyDescent="0.25">
      <c r="J1560" s="9"/>
      <c r="K1560" s="10"/>
      <c r="L1560" s="17"/>
      <c r="M1560" s="23"/>
      <c r="N1560" s="23"/>
      <c r="O1560" s="23"/>
      <c r="P1560" s="23"/>
      <c r="Q1560" s="1">
        <f t="shared" si="732"/>
        <v>0.60744618579017706</v>
      </c>
      <c r="R1560" s="12">
        <f t="shared" ca="1" si="749"/>
        <v>45902</v>
      </c>
      <c r="S1560" s="88">
        <f t="shared" si="758"/>
        <v>0</v>
      </c>
      <c r="T1560" s="19">
        <f t="shared" si="750"/>
        <v>0</v>
      </c>
      <c r="U1560" s="19">
        <f t="shared" si="751"/>
        <v>0</v>
      </c>
      <c r="V1560" s="19">
        <f t="shared" si="737"/>
        <v>0</v>
      </c>
      <c r="W1560" s="20">
        <f t="shared" ca="1" si="752"/>
        <v>0</v>
      </c>
      <c r="X1560" s="19">
        <f t="shared" ca="1" si="753"/>
        <v>0</v>
      </c>
      <c r="Y1560" s="19">
        <f t="shared" ca="1" si="754"/>
        <v>0</v>
      </c>
      <c r="Z1560" s="20">
        <f t="shared" ca="1" si="755"/>
        <v>0</v>
      </c>
      <c r="AA1560" s="1">
        <f t="shared" si="733"/>
        <v>5432.58</v>
      </c>
      <c r="AB1560" s="93"/>
      <c r="AC1560" s="94"/>
      <c r="AD1560" s="101">
        <f t="shared" si="734"/>
        <v>87024</v>
      </c>
      <c r="AE1560" s="103">
        <f t="shared" si="735"/>
        <v>0</v>
      </c>
      <c r="AG1560" s="1">
        <f t="shared" si="756"/>
        <v>0</v>
      </c>
      <c r="AH1560" s="1">
        <f t="shared" si="757"/>
        <v>0</v>
      </c>
      <c r="AI1560" s="1">
        <f t="shared" si="736"/>
        <v>5432.58</v>
      </c>
      <c r="AJ1560" s="20">
        <f t="shared" si="738"/>
        <v>0</v>
      </c>
      <c r="AK1560" s="100">
        <f t="shared" si="740"/>
        <v>0</v>
      </c>
      <c r="AL1560" s="100">
        <f t="shared" si="741"/>
        <v>0</v>
      </c>
      <c r="AN1560" s="100">
        <f t="shared" si="742"/>
        <v>2503.3007362134435</v>
      </c>
      <c r="AO1560" s="20">
        <f t="shared" si="743"/>
        <v>0</v>
      </c>
      <c r="AQ1560" s="109">
        <f t="shared" si="744"/>
        <v>0</v>
      </c>
      <c r="AU1560" s="109">
        <f t="shared" si="729"/>
        <v>23.658397611071095</v>
      </c>
      <c r="AV1560" s="101">
        <f t="shared" si="745"/>
        <v>87054</v>
      </c>
      <c r="AW1560" s="99">
        <f t="shared" si="746"/>
        <v>0</v>
      </c>
      <c r="AX1560" s="1">
        <f t="shared" si="747"/>
        <v>0</v>
      </c>
      <c r="AY1560" s="29">
        <f t="shared" si="748"/>
        <v>0</v>
      </c>
      <c r="AZ1560" s="1">
        <f t="shared" si="730"/>
        <v>0</v>
      </c>
      <c r="CB1560" s="20">
        <f t="shared" si="739"/>
        <v>0</v>
      </c>
      <c r="CC1560" s="173">
        <f t="shared" si="731"/>
        <v>0</v>
      </c>
    </row>
    <row r="1561" spans="10:81" x14ac:dyDescent="0.25">
      <c r="J1561" s="7"/>
      <c r="K1561" s="8"/>
      <c r="L1561" s="16"/>
      <c r="M1561" s="22"/>
      <c r="N1561" s="22"/>
      <c r="O1561" s="22"/>
      <c r="P1561" s="22"/>
      <c r="Q1561" s="1">
        <f t="shared" si="732"/>
        <v>0.60744618579017706</v>
      </c>
      <c r="R1561" s="12">
        <f t="shared" ca="1" si="749"/>
        <v>45932</v>
      </c>
      <c r="S1561" s="88">
        <f t="shared" si="758"/>
        <v>0</v>
      </c>
      <c r="T1561" s="19">
        <f t="shared" si="750"/>
        <v>0</v>
      </c>
      <c r="U1561" s="19">
        <f t="shared" si="751"/>
        <v>0</v>
      </c>
      <c r="V1561" s="19">
        <f t="shared" si="737"/>
        <v>0</v>
      </c>
      <c r="W1561" s="20">
        <f t="shared" ca="1" si="752"/>
        <v>0</v>
      </c>
      <c r="X1561" s="19">
        <f t="shared" ca="1" si="753"/>
        <v>0</v>
      </c>
      <c r="Y1561" s="19">
        <f t="shared" ca="1" si="754"/>
        <v>0</v>
      </c>
      <c r="Z1561" s="20">
        <f t="shared" ca="1" si="755"/>
        <v>0</v>
      </c>
      <c r="AA1561" s="1">
        <f t="shared" si="733"/>
        <v>5432.58</v>
      </c>
      <c r="AB1561" s="91"/>
      <c r="AC1561" s="92"/>
      <c r="AD1561" s="101">
        <f t="shared" si="734"/>
        <v>87054</v>
      </c>
      <c r="AE1561" s="103">
        <f t="shared" si="735"/>
        <v>0</v>
      </c>
      <c r="AG1561" s="1">
        <f t="shared" si="756"/>
        <v>0</v>
      </c>
      <c r="AH1561" s="1">
        <f t="shared" si="757"/>
        <v>0</v>
      </c>
      <c r="AI1561" s="1">
        <f t="shared" si="736"/>
        <v>5432.58</v>
      </c>
      <c r="AJ1561" s="20">
        <f t="shared" si="738"/>
        <v>0</v>
      </c>
      <c r="AK1561" s="100">
        <f t="shared" si="740"/>
        <v>0</v>
      </c>
      <c r="AL1561" s="100">
        <f t="shared" si="741"/>
        <v>0</v>
      </c>
      <c r="AN1561" s="100">
        <f t="shared" si="742"/>
        <v>2502.0341936070895</v>
      </c>
      <c r="AO1561" s="20">
        <f t="shared" si="743"/>
        <v>0</v>
      </c>
      <c r="AQ1561" s="109">
        <f t="shared" si="744"/>
        <v>0</v>
      </c>
      <c r="AU1561" s="109">
        <f t="shared" si="729"/>
        <v>23.656321111773508</v>
      </c>
      <c r="AV1561" s="101">
        <f t="shared" si="745"/>
        <v>87084</v>
      </c>
      <c r="AW1561" s="99">
        <f t="shared" si="746"/>
        <v>0</v>
      </c>
      <c r="AX1561" s="1">
        <f t="shared" si="747"/>
        <v>0</v>
      </c>
      <c r="AY1561" s="29">
        <f t="shared" si="748"/>
        <v>0</v>
      </c>
      <c r="AZ1561" s="1">
        <f t="shared" si="730"/>
        <v>0</v>
      </c>
      <c r="CB1561" s="20">
        <f t="shared" si="739"/>
        <v>0</v>
      </c>
      <c r="CC1561" s="173">
        <f t="shared" si="731"/>
        <v>0</v>
      </c>
    </row>
    <row r="1562" spans="10:81" x14ac:dyDescent="0.25">
      <c r="J1562" s="9"/>
      <c r="K1562" s="10"/>
      <c r="L1562" s="17"/>
      <c r="M1562" s="23"/>
      <c r="N1562" s="23"/>
      <c r="O1562" s="23"/>
      <c r="P1562" s="23"/>
      <c r="Q1562" s="1">
        <f t="shared" si="732"/>
        <v>0.60744618579017706</v>
      </c>
      <c r="R1562" s="12">
        <f t="shared" ca="1" si="749"/>
        <v>45962</v>
      </c>
      <c r="S1562" s="88">
        <f t="shared" si="758"/>
        <v>0</v>
      </c>
      <c r="T1562" s="19">
        <f t="shared" si="750"/>
        <v>0</v>
      </c>
      <c r="U1562" s="19">
        <f t="shared" si="751"/>
        <v>0</v>
      </c>
      <c r="V1562" s="19">
        <f t="shared" si="737"/>
        <v>0</v>
      </c>
      <c r="W1562" s="20">
        <f t="shared" ca="1" si="752"/>
        <v>0</v>
      </c>
      <c r="X1562" s="19">
        <f t="shared" ca="1" si="753"/>
        <v>0</v>
      </c>
      <c r="Y1562" s="19">
        <f t="shared" ca="1" si="754"/>
        <v>0</v>
      </c>
      <c r="Z1562" s="20">
        <f t="shared" ca="1" si="755"/>
        <v>0</v>
      </c>
      <c r="AA1562" s="1">
        <f t="shared" si="733"/>
        <v>5432.58</v>
      </c>
      <c r="AB1562" s="93"/>
      <c r="AC1562" s="94"/>
      <c r="AD1562" s="101">
        <f t="shared" si="734"/>
        <v>87084</v>
      </c>
      <c r="AE1562" s="103">
        <f t="shared" si="735"/>
        <v>0</v>
      </c>
      <c r="AG1562" s="1">
        <f t="shared" si="756"/>
        <v>0</v>
      </c>
      <c r="AH1562" s="1">
        <f t="shared" si="757"/>
        <v>0</v>
      </c>
      <c r="AI1562" s="1">
        <f t="shared" si="736"/>
        <v>5432.58</v>
      </c>
      <c r="AJ1562" s="20">
        <f t="shared" si="738"/>
        <v>0</v>
      </c>
      <c r="AK1562" s="100">
        <f t="shared" si="740"/>
        <v>0</v>
      </c>
      <c r="AL1562" s="100">
        <f t="shared" si="741"/>
        <v>0</v>
      </c>
      <c r="AN1562" s="100">
        <f t="shared" si="742"/>
        <v>2500.7682918067535</v>
      </c>
      <c r="AO1562" s="20">
        <f t="shared" si="743"/>
        <v>0</v>
      </c>
      <c r="AQ1562" s="109">
        <f t="shared" si="744"/>
        <v>0</v>
      </c>
      <c r="AU1562" s="109">
        <f t="shared" si="729"/>
        <v>23.654244794730428</v>
      </c>
      <c r="AV1562" s="101">
        <f t="shared" si="745"/>
        <v>87114</v>
      </c>
      <c r="AW1562" s="99">
        <f t="shared" si="746"/>
        <v>0</v>
      </c>
      <c r="AX1562" s="1">
        <f t="shared" si="747"/>
        <v>0</v>
      </c>
      <c r="AY1562" s="29">
        <f t="shared" si="748"/>
        <v>0</v>
      </c>
      <c r="AZ1562" s="1">
        <f t="shared" si="730"/>
        <v>0</v>
      </c>
      <c r="CB1562" s="20">
        <f t="shared" si="739"/>
        <v>0</v>
      </c>
      <c r="CC1562" s="173">
        <f t="shared" si="731"/>
        <v>0</v>
      </c>
    </row>
    <row r="1563" spans="10:81" x14ac:dyDescent="0.25">
      <c r="J1563" s="7"/>
      <c r="K1563" s="8"/>
      <c r="L1563" s="16"/>
      <c r="M1563" s="22"/>
      <c r="N1563" s="22"/>
      <c r="O1563" s="22"/>
      <c r="P1563" s="22"/>
      <c r="Q1563" s="1">
        <f t="shared" si="732"/>
        <v>0.60744618579017706</v>
      </c>
      <c r="R1563" s="12">
        <f t="shared" ca="1" si="749"/>
        <v>45992</v>
      </c>
      <c r="S1563" s="88">
        <f t="shared" si="758"/>
        <v>0</v>
      </c>
      <c r="T1563" s="19">
        <f t="shared" si="750"/>
        <v>0</v>
      </c>
      <c r="U1563" s="19">
        <f t="shared" si="751"/>
        <v>0</v>
      </c>
      <c r="V1563" s="19">
        <f t="shared" si="737"/>
        <v>0</v>
      </c>
      <c r="W1563" s="20">
        <f t="shared" ca="1" si="752"/>
        <v>0</v>
      </c>
      <c r="X1563" s="19">
        <f t="shared" ca="1" si="753"/>
        <v>0</v>
      </c>
      <c r="Y1563" s="19">
        <f t="shared" ca="1" si="754"/>
        <v>0</v>
      </c>
      <c r="Z1563" s="20">
        <f t="shared" ca="1" si="755"/>
        <v>0</v>
      </c>
      <c r="AA1563" s="1">
        <f t="shared" si="733"/>
        <v>5432.58</v>
      </c>
      <c r="AB1563" s="91"/>
      <c r="AC1563" s="92"/>
      <c r="AD1563" s="101">
        <f t="shared" si="734"/>
        <v>87114</v>
      </c>
      <c r="AE1563" s="103">
        <f t="shared" si="735"/>
        <v>0</v>
      </c>
      <c r="AG1563" s="1">
        <f t="shared" si="756"/>
        <v>0</v>
      </c>
      <c r="AH1563" s="1">
        <f t="shared" si="757"/>
        <v>0</v>
      </c>
      <c r="AI1563" s="1">
        <f t="shared" si="736"/>
        <v>5432.58</v>
      </c>
      <c r="AJ1563" s="20">
        <f t="shared" si="738"/>
        <v>0</v>
      </c>
      <c r="AK1563" s="100">
        <f t="shared" si="740"/>
        <v>0</v>
      </c>
      <c r="AL1563" s="100">
        <f t="shared" si="741"/>
        <v>0</v>
      </c>
      <c r="AN1563" s="100">
        <f t="shared" si="742"/>
        <v>2499.5030304882193</v>
      </c>
      <c r="AO1563" s="20">
        <f t="shared" si="743"/>
        <v>0</v>
      </c>
      <c r="AQ1563" s="109">
        <f t="shared" si="744"/>
        <v>0</v>
      </c>
      <c r="AU1563" s="109">
        <f t="shared" si="729"/>
        <v>23.652168659925824</v>
      </c>
      <c r="AV1563" s="101">
        <f t="shared" si="745"/>
        <v>87144</v>
      </c>
      <c r="AW1563" s="99">
        <f t="shared" si="746"/>
        <v>0</v>
      </c>
      <c r="AX1563" s="1">
        <f t="shared" si="747"/>
        <v>0</v>
      </c>
      <c r="AY1563" s="29">
        <f t="shared" si="748"/>
        <v>0</v>
      </c>
      <c r="AZ1563" s="1">
        <f t="shared" si="730"/>
        <v>0</v>
      </c>
      <c r="CB1563" s="20">
        <f t="shared" si="739"/>
        <v>0</v>
      </c>
      <c r="CC1563" s="173">
        <f t="shared" si="731"/>
        <v>0</v>
      </c>
    </row>
    <row r="1564" spans="10:81" x14ac:dyDescent="0.25">
      <c r="J1564" s="9"/>
      <c r="K1564" s="10"/>
      <c r="L1564" s="17"/>
      <c r="M1564" s="23"/>
      <c r="N1564" s="23"/>
      <c r="O1564" s="23"/>
      <c r="P1564" s="23"/>
      <c r="Q1564" s="1">
        <f t="shared" si="732"/>
        <v>0.60744618579017706</v>
      </c>
      <c r="R1564" s="12">
        <f t="shared" ca="1" si="749"/>
        <v>46022</v>
      </c>
      <c r="S1564" s="88">
        <f t="shared" si="758"/>
        <v>0</v>
      </c>
      <c r="T1564" s="19">
        <f t="shared" si="750"/>
        <v>0</v>
      </c>
      <c r="U1564" s="19">
        <f t="shared" si="751"/>
        <v>0</v>
      </c>
      <c r="V1564" s="19">
        <f t="shared" si="737"/>
        <v>0</v>
      </c>
      <c r="W1564" s="20">
        <f t="shared" ca="1" si="752"/>
        <v>0</v>
      </c>
      <c r="X1564" s="19">
        <f t="shared" ca="1" si="753"/>
        <v>0</v>
      </c>
      <c r="Y1564" s="19">
        <f t="shared" ca="1" si="754"/>
        <v>0</v>
      </c>
      <c r="Z1564" s="20">
        <f t="shared" ca="1" si="755"/>
        <v>0</v>
      </c>
      <c r="AA1564" s="1">
        <f t="shared" si="733"/>
        <v>5432.58</v>
      </c>
      <c r="AB1564" s="93"/>
      <c r="AC1564" s="94"/>
      <c r="AD1564" s="101">
        <f t="shared" si="734"/>
        <v>87144</v>
      </c>
      <c r="AE1564" s="103">
        <f t="shared" si="735"/>
        <v>0</v>
      </c>
      <c r="AG1564" s="1">
        <f t="shared" si="756"/>
        <v>0</v>
      </c>
      <c r="AH1564" s="1">
        <f t="shared" si="757"/>
        <v>0</v>
      </c>
      <c r="AI1564" s="1">
        <f t="shared" si="736"/>
        <v>5432.58</v>
      </c>
      <c r="AJ1564" s="20">
        <f t="shared" si="738"/>
        <v>0</v>
      </c>
      <c r="AK1564" s="100">
        <f t="shared" si="740"/>
        <v>0</v>
      </c>
      <c r="AL1564" s="100">
        <f t="shared" si="741"/>
        <v>0</v>
      </c>
      <c r="AN1564" s="100">
        <f t="shared" si="742"/>
        <v>2498.2384093274345</v>
      </c>
      <c r="AO1564" s="20">
        <f t="shared" si="743"/>
        <v>0</v>
      </c>
      <c r="AQ1564" s="109">
        <f t="shared" si="744"/>
        <v>0</v>
      </c>
      <c r="AU1564" s="109">
        <f t="shared" si="729"/>
        <v>23.650092707343742</v>
      </c>
      <c r="AV1564" s="101">
        <f t="shared" si="745"/>
        <v>87174</v>
      </c>
      <c r="AW1564" s="99">
        <f t="shared" si="746"/>
        <v>0</v>
      </c>
      <c r="AX1564" s="1">
        <f t="shared" si="747"/>
        <v>0</v>
      </c>
      <c r="AY1564" s="29">
        <f t="shared" si="748"/>
        <v>0</v>
      </c>
      <c r="AZ1564" s="1">
        <f t="shared" si="730"/>
        <v>0</v>
      </c>
      <c r="CB1564" s="20">
        <f t="shared" si="739"/>
        <v>0</v>
      </c>
      <c r="CC1564" s="173">
        <f t="shared" si="731"/>
        <v>0</v>
      </c>
    </row>
    <row r="1565" spans="10:81" x14ac:dyDescent="0.25">
      <c r="J1565" s="7"/>
      <c r="K1565" s="8"/>
      <c r="L1565" s="16"/>
      <c r="M1565" s="22"/>
      <c r="N1565" s="22"/>
      <c r="O1565" s="22"/>
      <c r="P1565" s="22"/>
      <c r="Q1565" s="1">
        <f t="shared" si="732"/>
        <v>0.60744618579017706</v>
      </c>
      <c r="R1565" s="12">
        <f t="shared" ca="1" si="749"/>
        <v>46052</v>
      </c>
      <c r="S1565" s="88">
        <f t="shared" si="758"/>
        <v>0</v>
      </c>
      <c r="T1565" s="19">
        <f t="shared" si="750"/>
        <v>0</v>
      </c>
      <c r="U1565" s="19">
        <f t="shared" si="751"/>
        <v>0</v>
      </c>
      <c r="V1565" s="19">
        <f t="shared" si="737"/>
        <v>0</v>
      </c>
      <c r="W1565" s="20">
        <f t="shared" ca="1" si="752"/>
        <v>0</v>
      </c>
      <c r="X1565" s="19">
        <f t="shared" ca="1" si="753"/>
        <v>0</v>
      </c>
      <c r="Y1565" s="19">
        <f t="shared" ca="1" si="754"/>
        <v>0</v>
      </c>
      <c r="Z1565" s="20">
        <f t="shared" ca="1" si="755"/>
        <v>0</v>
      </c>
      <c r="AA1565" s="1">
        <f t="shared" si="733"/>
        <v>5432.58</v>
      </c>
      <c r="AB1565" s="91"/>
      <c r="AC1565" s="92"/>
      <c r="AD1565" s="101">
        <f t="shared" si="734"/>
        <v>87174</v>
      </c>
      <c r="AE1565" s="103">
        <f t="shared" si="735"/>
        <v>0</v>
      </c>
      <c r="AG1565" s="1">
        <f t="shared" si="756"/>
        <v>0</v>
      </c>
      <c r="AH1565" s="1">
        <f t="shared" si="757"/>
        <v>0</v>
      </c>
      <c r="AI1565" s="1">
        <f t="shared" si="736"/>
        <v>5432.58</v>
      </c>
      <c r="AJ1565" s="20">
        <f t="shared" si="738"/>
        <v>0</v>
      </c>
      <c r="AK1565" s="100">
        <f t="shared" si="740"/>
        <v>0</v>
      </c>
      <c r="AL1565" s="100">
        <f t="shared" si="741"/>
        <v>0</v>
      </c>
      <c r="AN1565" s="100">
        <f t="shared" si="742"/>
        <v>2496.9744280005148</v>
      </c>
      <c r="AO1565" s="20">
        <f t="shared" si="743"/>
        <v>0</v>
      </c>
      <c r="AQ1565" s="109">
        <f t="shared" si="744"/>
        <v>0</v>
      </c>
      <c r="AU1565" s="109">
        <f t="shared" si="729"/>
        <v>23.648016936968169</v>
      </c>
      <c r="AV1565" s="101">
        <f t="shared" si="745"/>
        <v>87204</v>
      </c>
      <c r="AW1565" s="99">
        <f t="shared" si="746"/>
        <v>0</v>
      </c>
      <c r="AX1565" s="1">
        <f t="shared" si="747"/>
        <v>0</v>
      </c>
      <c r="AY1565" s="29">
        <f t="shared" si="748"/>
        <v>0</v>
      </c>
      <c r="AZ1565" s="1">
        <f t="shared" si="730"/>
        <v>0</v>
      </c>
      <c r="CB1565" s="20">
        <f t="shared" si="739"/>
        <v>0</v>
      </c>
      <c r="CC1565" s="173">
        <f t="shared" si="731"/>
        <v>0</v>
      </c>
    </row>
    <row r="1566" spans="10:81" x14ac:dyDescent="0.25">
      <c r="J1566" s="9"/>
      <c r="K1566" s="10"/>
      <c r="L1566" s="17"/>
      <c r="M1566" s="23"/>
      <c r="N1566" s="23"/>
      <c r="O1566" s="23"/>
      <c r="P1566" s="23"/>
      <c r="Q1566" s="1">
        <f t="shared" si="732"/>
        <v>0.60744618579017706</v>
      </c>
      <c r="R1566" s="12">
        <f t="shared" ca="1" si="749"/>
        <v>46082</v>
      </c>
      <c r="S1566" s="88">
        <f t="shared" si="758"/>
        <v>0</v>
      </c>
      <c r="T1566" s="19">
        <f t="shared" si="750"/>
        <v>0</v>
      </c>
      <c r="U1566" s="19">
        <f t="shared" si="751"/>
        <v>0</v>
      </c>
      <c r="V1566" s="19">
        <f t="shared" si="737"/>
        <v>0</v>
      </c>
      <c r="W1566" s="20">
        <f t="shared" ca="1" si="752"/>
        <v>0</v>
      </c>
      <c r="X1566" s="19">
        <f t="shared" ca="1" si="753"/>
        <v>0</v>
      </c>
      <c r="Y1566" s="19">
        <f t="shared" ca="1" si="754"/>
        <v>0</v>
      </c>
      <c r="Z1566" s="20">
        <f t="shared" ca="1" si="755"/>
        <v>0</v>
      </c>
      <c r="AA1566" s="1">
        <f t="shared" si="733"/>
        <v>5432.58</v>
      </c>
      <c r="AB1566" s="93"/>
      <c r="AC1566" s="94"/>
      <c r="AD1566" s="101">
        <f t="shared" si="734"/>
        <v>87204</v>
      </c>
      <c r="AE1566" s="103">
        <f t="shared" si="735"/>
        <v>0</v>
      </c>
      <c r="AG1566" s="1">
        <f t="shared" si="756"/>
        <v>0</v>
      </c>
      <c r="AH1566" s="1">
        <f t="shared" si="757"/>
        <v>0</v>
      </c>
      <c r="AI1566" s="1">
        <f t="shared" si="736"/>
        <v>5432.58</v>
      </c>
      <c r="AJ1566" s="20">
        <f t="shared" si="738"/>
        <v>0</v>
      </c>
      <c r="AK1566" s="100">
        <f t="shared" si="740"/>
        <v>0</v>
      </c>
      <c r="AL1566" s="100">
        <f t="shared" si="741"/>
        <v>0</v>
      </c>
      <c r="AN1566" s="100">
        <f t="shared" si="742"/>
        <v>2495.7110861837341</v>
      </c>
      <c r="AO1566" s="20">
        <f t="shared" si="743"/>
        <v>0</v>
      </c>
      <c r="AQ1566" s="109">
        <f t="shared" si="744"/>
        <v>0</v>
      </c>
      <c r="AU1566" s="109">
        <f t="shared" si="729"/>
        <v>23.645941348783111</v>
      </c>
      <c r="AV1566" s="101">
        <f t="shared" si="745"/>
        <v>87234</v>
      </c>
      <c r="AW1566" s="99">
        <f t="shared" si="746"/>
        <v>0</v>
      </c>
      <c r="AX1566" s="1">
        <f t="shared" si="747"/>
        <v>0</v>
      </c>
      <c r="AY1566" s="29">
        <f t="shared" si="748"/>
        <v>0</v>
      </c>
      <c r="AZ1566" s="1">
        <f t="shared" si="730"/>
        <v>0</v>
      </c>
      <c r="CB1566" s="20">
        <f t="shared" si="739"/>
        <v>0</v>
      </c>
      <c r="CC1566" s="173">
        <f t="shared" si="731"/>
        <v>0</v>
      </c>
    </row>
    <row r="1567" spans="10:81" x14ac:dyDescent="0.25">
      <c r="J1567" s="7"/>
      <c r="K1567" s="8"/>
      <c r="L1567" s="16"/>
      <c r="M1567" s="22"/>
      <c r="N1567" s="22"/>
      <c r="O1567" s="22"/>
      <c r="P1567" s="22"/>
      <c r="Q1567" s="1">
        <f t="shared" si="732"/>
        <v>0.60744618579017706</v>
      </c>
      <c r="R1567" s="12">
        <f t="shared" ca="1" si="749"/>
        <v>46112</v>
      </c>
      <c r="S1567" s="88">
        <f t="shared" si="758"/>
        <v>0</v>
      </c>
      <c r="T1567" s="19">
        <f t="shared" si="750"/>
        <v>0</v>
      </c>
      <c r="U1567" s="19">
        <f t="shared" si="751"/>
        <v>0</v>
      </c>
      <c r="V1567" s="19">
        <f t="shared" si="737"/>
        <v>0</v>
      </c>
      <c r="W1567" s="20">
        <f t="shared" ca="1" si="752"/>
        <v>0</v>
      </c>
      <c r="X1567" s="19">
        <f t="shared" ca="1" si="753"/>
        <v>0</v>
      </c>
      <c r="Y1567" s="19">
        <f t="shared" ca="1" si="754"/>
        <v>0</v>
      </c>
      <c r="Z1567" s="20">
        <f t="shared" ca="1" si="755"/>
        <v>0</v>
      </c>
      <c r="AA1567" s="1">
        <f t="shared" si="733"/>
        <v>5432.58</v>
      </c>
      <c r="AB1567" s="91"/>
      <c r="AC1567" s="92"/>
      <c r="AD1567" s="101">
        <f t="shared" si="734"/>
        <v>87234</v>
      </c>
      <c r="AE1567" s="103">
        <f t="shared" si="735"/>
        <v>0</v>
      </c>
      <c r="AG1567" s="1">
        <f t="shared" si="756"/>
        <v>0</v>
      </c>
      <c r="AH1567" s="1">
        <f t="shared" si="757"/>
        <v>0</v>
      </c>
      <c r="AI1567" s="1">
        <f t="shared" si="736"/>
        <v>5432.58</v>
      </c>
      <c r="AJ1567" s="20">
        <f t="shared" si="738"/>
        <v>0</v>
      </c>
      <c r="AK1567" s="100">
        <f t="shared" si="740"/>
        <v>0</v>
      </c>
      <c r="AL1567" s="100">
        <f t="shared" si="741"/>
        <v>0</v>
      </c>
      <c r="AN1567" s="100">
        <f t="shared" si="742"/>
        <v>2494.4483835535339</v>
      </c>
      <c r="AO1567" s="20">
        <f t="shared" si="743"/>
        <v>0</v>
      </c>
      <c r="AQ1567" s="109">
        <f t="shared" si="744"/>
        <v>0</v>
      </c>
      <c r="AU1567" s="109">
        <f t="shared" ref="AU1567:AU1630" si="759">(($AT$27/(1+((1+$AM$27)^(ROW()-29)*30)-1))/292)*0.32</f>
        <v>23.643865942772582</v>
      </c>
      <c r="AV1567" s="101">
        <f t="shared" si="745"/>
        <v>87264</v>
      </c>
      <c r="AW1567" s="99">
        <f t="shared" si="746"/>
        <v>0</v>
      </c>
      <c r="AX1567" s="1">
        <f t="shared" si="747"/>
        <v>0</v>
      </c>
      <c r="AY1567" s="29">
        <f t="shared" si="748"/>
        <v>0</v>
      </c>
      <c r="AZ1567" s="1">
        <f t="shared" ref="AZ1567:AZ1630" si="760">AY1567/360</f>
        <v>0</v>
      </c>
      <c r="CB1567" s="20">
        <f t="shared" si="739"/>
        <v>0</v>
      </c>
      <c r="CC1567" s="173">
        <f t="shared" ref="CC1567:CC1630" si="761">AJ1567+U1567+T1567</f>
        <v>0</v>
      </c>
    </row>
    <row r="1568" spans="10:81" x14ac:dyDescent="0.25">
      <c r="J1568" s="9"/>
      <c r="K1568" s="10"/>
      <c r="L1568" s="17"/>
      <c r="M1568" s="23"/>
      <c r="N1568" s="23"/>
      <c r="O1568" s="23"/>
      <c r="P1568" s="23"/>
      <c r="Q1568" s="1">
        <f t="shared" ref="Q1568:Q1631" si="762">IF(M1568=0,Q1567,(M1568*1200)/O1567)</f>
        <v>0.60744618579017706</v>
      </c>
      <c r="R1568" s="12">
        <f t="shared" ca="1" si="749"/>
        <v>46142</v>
      </c>
      <c r="S1568" s="88">
        <f t="shared" si="758"/>
        <v>0</v>
      </c>
      <c r="T1568" s="19">
        <f t="shared" si="750"/>
        <v>0</v>
      </c>
      <c r="U1568" s="19">
        <f t="shared" si="751"/>
        <v>0</v>
      </c>
      <c r="V1568" s="19">
        <f t="shared" si="737"/>
        <v>0</v>
      </c>
      <c r="W1568" s="20">
        <f t="shared" ca="1" si="752"/>
        <v>0</v>
      </c>
      <c r="X1568" s="19">
        <f t="shared" ca="1" si="753"/>
        <v>0</v>
      </c>
      <c r="Y1568" s="19">
        <f t="shared" ca="1" si="754"/>
        <v>0</v>
      </c>
      <c r="Z1568" s="20">
        <f t="shared" ca="1" si="755"/>
        <v>0</v>
      </c>
      <c r="AA1568" s="1">
        <f t="shared" ref="AA1568:AA1631" si="763">IF(S1568=0,AA1567,N1568)</f>
        <v>5432.58</v>
      </c>
      <c r="AB1568" s="93"/>
      <c r="AC1568" s="94"/>
      <c r="AD1568" s="101">
        <f t="shared" ref="AD1568:AD1631" si="764">IF(M1568=0,AD1567+30,K1568)</f>
        <v>87264</v>
      </c>
      <c r="AE1568" s="103">
        <f t="shared" ref="AE1568:AE1631" si="765">IF(V1568=0,0,R1568)</f>
        <v>0</v>
      </c>
      <c r="AG1568" s="1">
        <f t="shared" si="756"/>
        <v>0</v>
      </c>
      <c r="AH1568" s="1">
        <f t="shared" si="757"/>
        <v>0</v>
      </c>
      <c r="AI1568" s="1">
        <f t="shared" ref="AI1568:AI1631" si="766">IF(M1568-1=0,IF(M1568=0,IF(V1568=0,N1568,AI1567),AA1568),AA1568)</f>
        <v>5432.58</v>
      </c>
      <c r="AJ1568" s="20">
        <f t="shared" si="738"/>
        <v>0</v>
      </c>
      <c r="AK1568" s="100">
        <f t="shared" si="740"/>
        <v>0</v>
      </c>
      <c r="AL1568" s="100">
        <f t="shared" si="741"/>
        <v>0</v>
      </c>
      <c r="AN1568" s="100">
        <f t="shared" si="742"/>
        <v>2493.1863197865182</v>
      </c>
      <c r="AO1568" s="20">
        <f t="shared" si="743"/>
        <v>0</v>
      </c>
      <c r="AQ1568" s="109">
        <f t="shared" si="744"/>
        <v>0</v>
      </c>
      <c r="AU1568" s="109">
        <f t="shared" si="759"/>
        <v>23.641790718920589</v>
      </c>
      <c r="AV1568" s="101">
        <f t="shared" si="745"/>
        <v>87294</v>
      </c>
      <c r="AW1568" s="99">
        <f t="shared" si="746"/>
        <v>0</v>
      </c>
      <c r="AX1568" s="1">
        <f t="shared" si="747"/>
        <v>0</v>
      </c>
      <c r="AY1568" s="29">
        <f t="shared" si="748"/>
        <v>0</v>
      </c>
      <c r="AZ1568" s="1">
        <f t="shared" si="760"/>
        <v>0</v>
      </c>
      <c r="CB1568" s="20">
        <f t="shared" si="739"/>
        <v>0</v>
      </c>
      <c r="CC1568" s="173">
        <f t="shared" si="761"/>
        <v>0</v>
      </c>
    </row>
    <row r="1569" spans="10:81" x14ac:dyDescent="0.25">
      <c r="J1569" s="7"/>
      <c r="K1569" s="8"/>
      <c r="L1569" s="16"/>
      <c r="M1569" s="22"/>
      <c r="N1569" s="22"/>
      <c r="O1569" s="22"/>
      <c r="P1569" s="22"/>
      <c r="Q1569" s="1">
        <f t="shared" si="762"/>
        <v>0.60744618579017706</v>
      </c>
      <c r="R1569" s="12">
        <f t="shared" ca="1" si="749"/>
        <v>46172</v>
      </c>
      <c r="S1569" s="88">
        <f t="shared" si="758"/>
        <v>0</v>
      </c>
      <c r="T1569" s="19">
        <f t="shared" si="750"/>
        <v>0</v>
      </c>
      <c r="U1569" s="19">
        <f t="shared" si="751"/>
        <v>0</v>
      </c>
      <c r="V1569" s="19">
        <f t="shared" si="737"/>
        <v>0</v>
      </c>
      <c r="W1569" s="20">
        <f t="shared" ca="1" si="752"/>
        <v>0</v>
      </c>
      <c r="X1569" s="19">
        <f t="shared" ca="1" si="753"/>
        <v>0</v>
      </c>
      <c r="Y1569" s="19">
        <f t="shared" ca="1" si="754"/>
        <v>0</v>
      </c>
      <c r="Z1569" s="20">
        <f t="shared" ca="1" si="755"/>
        <v>0</v>
      </c>
      <c r="AA1569" s="1">
        <f t="shared" si="763"/>
        <v>5432.58</v>
      </c>
      <c r="AB1569" s="91"/>
      <c r="AC1569" s="92"/>
      <c r="AD1569" s="101">
        <f t="shared" si="764"/>
        <v>87294</v>
      </c>
      <c r="AE1569" s="103">
        <f t="shared" si="765"/>
        <v>0</v>
      </c>
      <c r="AG1569" s="1">
        <f t="shared" si="756"/>
        <v>0</v>
      </c>
      <c r="AH1569" s="1">
        <f t="shared" si="757"/>
        <v>0</v>
      </c>
      <c r="AI1569" s="1">
        <f t="shared" si="766"/>
        <v>5432.58</v>
      </c>
      <c r="AJ1569" s="20">
        <f t="shared" si="738"/>
        <v>0</v>
      </c>
      <c r="AK1569" s="100">
        <f t="shared" si="740"/>
        <v>0</v>
      </c>
      <c r="AL1569" s="100">
        <f t="shared" si="741"/>
        <v>0</v>
      </c>
      <c r="AN1569" s="100">
        <f t="shared" si="742"/>
        <v>2491.9248945594545</v>
      </c>
      <c r="AO1569" s="20">
        <f t="shared" si="743"/>
        <v>0</v>
      </c>
      <c r="AQ1569" s="109">
        <f t="shared" si="744"/>
        <v>0</v>
      </c>
      <c r="AU1569" s="109">
        <f t="shared" si="759"/>
        <v>23.639715677211154</v>
      </c>
      <c r="AV1569" s="101">
        <f t="shared" si="745"/>
        <v>87324</v>
      </c>
      <c r="AW1569" s="99">
        <f t="shared" si="746"/>
        <v>0</v>
      </c>
      <c r="AX1569" s="1">
        <f t="shared" si="747"/>
        <v>0</v>
      </c>
      <c r="AY1569" s="29">
        <f t="shared" si="748"/>
        <v>0</v>
      </c>
      <c r="AZ1569" s="1">
        <f t="shared" si="760"/>
        <v>0</v>
      </c>
      <c r="CB1569" s="20">
        <f t="shared" si="739"/>
        <v>0</v>
      </c>
      <c r="CC1569" s="173">
        <f t="shared" si="761"/>
        <v>0</v>
      </c>
    </row>
    <row r="1570" spans="10:81" x14ac:dyDescent="0.25">
      <c r="J1570" s="9"/>
      <c r="K1570" s="10"/>
      <c r="L1570" s="17"/>
      <c r="M1570" s="23"/>
      <c r="N1570" s="23"/>
      <c r="O1570" s="23"/>
      <c r="P1570" s="23"/>
      <c r="Q1570" s="1">
        <f t="shared" si="762"/>
        <v>0.60744618579017706</v>
      </c>
      <c r="R1570" s="12">
        <f t="shared" ca="1" si="749"/>
        <v>46202</v>
      </c>
      <c r="S1570" s="88">
        <f t="shared" si="758"/>
        <v>0</v>
      </c>
      <c r="T1570" s="19">
        <f t="shared" si="750"/>
        <v>0</v>
      </c>
      <c r="U1570" s="19">
        <f t="shared" si="751"/>
        <v>0</v>
      </c>
      <c r="V1570" s="19">
        <f t="shared" ref="V1570:V1633" si="767">IF(ISERROR(IF(V1569+U1570+T1570+(V1569*Q1570/1200)-AA1570-P1570&lt;0,0,V1569+U1570+T1570-AA1570-P1570)),0,IF(V1569+U1570+T1570+(V1569*Q1570/1200)-AA1570-CB1570&lt;0,0,V1569+U1570+T1570-AA1570-CB1570))</f>
        <v>0</v>
      </c>
      <c r="W1570" s="20">
        <f t="shared" ca="1" si="752"/>
        <v>0</v>
      </c>
      <c r="X1570" s="19">
        <f t="shared" ca="1" si="753"/>
        <v>0</v>
      </c>
      <c r="Y1570" s="19">
        <f t="shared" ca="1" si="754"/>
        <v>0</v>
      </c>
      <c r="Z1570" s="20">
        <f t="shared" ca="1" si="755"/>
        <v>0</v>
      </c>
      <c r="AA1570" s="1">
        <f t="shared" si="763"/>
        <v>5432.58</v>
      </c>
      <c r="AB1570" s="93"/>
      <c r="AC1570" s="94"/>
      <c r="AD1570" s="101">
        <f t="shared" si="764"/>
        <v>87324</v>
      </c>
      <c r="AE1570" s="103">
        <f t="shared" si="765"/>
        <v>0</v>
      </c>
      <c r="AG1570" s="1">
        <f t="shared" si="756"/>
        <v>0</v>
      </c>
      <c r="AH1570" s="1">
        <f t="shared" si="757"/>
        <v>0</v>
      </c>
      <c r="AI1570" s="1">
        <f t="shared" si="766"/>
        <v>5432.58</v>
      </c>
      <c r="AJ1570" s="20">
        <f t="shared" si="738"/>
        <v>0</v>
      </c>
      <c r="AK1570" s="100">
        <f t="shared" si="740"/>
        <v>0</v>
      </c>
      <c r="AL1570" s="100">
        <f t="shared" si="741"/>
        <v>0</v>
      </c>
      <c r="AN1570" s="100">
        <f t="shared" si="742"/>
        <v>2490.6641075492753</v>
      </c>
      <c r="AO1570" s="20">
        <f t="shared" si="743"/>
        <v>0</v>
      </c>
      <c r="AQ1570" s="109">
        <f t="shared" si="744"/>
        <v>0</v>
      </c>
      <c r="AU1570" s="109">
        <f t="shared" si="759"/>
        <v>23.63764081762827</v>
      </c>
      <c r="AV1570" s="101">
        <f t="shared" si="745"/>
        <v>87354</v>
      </c>
      <c r="AW1570" s="99">
        <f t="shared" si="746"/>
        <v>0</v>
      </c>
      <c r="AX1570" s="1">
        <f t="shared" si="747"/>
        <v>0</v>
      </c>
      <c r="AY1570" s="29">
        <f t="shared" si="748"/>
        <v>0</v>
      </c>
      <c r="AZ1570" s="1">
        <f t="shared" si="760"/>
        <v>0</v>
      </c>
      <c r="CB1570" s="20">
        <f t="shared" si="739"/>
        <v>0</v>
      </c>
      <c r="CC1570" s="173">
        <f t="shared" si="761"/>
        <v>0</v>
      </c>
    </row>
    <row r="1571" spans="10:81" x14ac:dyDescent="0.25">
      <c r="J1571" s="7"/>
      <c r="K1571" s="8"/>
      <c r="L1571" s="16"/>
      <c r="M1571" s="22"/>
      <c r="N1571" s="22"/>
      <c r="O1571" s="22"/>
      <c r="P1571" s="22"/>
      <c r="Q1571" s="1">
        <f t="shared" si="762"/>
        <v>0.60744618579017706</v>
      </c>
      <c r="R1571" s="12">
        <f t="shared" ca="1" si="749"/>
        <v>46232</v>
      </c>
      <c r="S1571" s="88">
        <f t="shared" si="758"/>
        <v>0</v>
      </c>
      <c r="T1571" s="19">
        <f t="shared" si="750"/>
        <v>0</v>
      </c>
      <c r="U1571" s="19">
        <f t="shared" si="751"/>
        <v>0</v>
      </c>
      <c r="V1571" s="19">
        <f t="shared" si="767"/>
        <v>0</v>
      </c>
      <c r="W1571" s="20">
        <f t="shared" ca="1" si="752"/>
        <v>0</v>
      </c>
      <c r="X1571" s="19">
        <f t="shared" ca="1" si="753"/>
        <v>0</v>
      </c>
      <c r="Y1571" s="19">
        <f t="shared" ca="1" si="754"/>
        <v>0</v>
      </c>
      <c r="Z1571" s="20">
        <f t="shared" ca="1" si="755"/>
        <v>0</v>
      </c>
      <c r="AA1571" s="1">
        <f t="shared" si="763"/>
        <v>5432.58</v>
      </c>
      <c r="AB1571" s="91"/>
      <c r="AC1571" s="92"/>
      <c r="AD1571" s="101">
        <f t="shared" si="764"/>
        <v>87354</v>
      </c>
      <c r="AE1571" s="103">
        <f t="shared" si="765"/>
        <v>0</v>
      </c>
      <c r="AG1571" s="1">
        <f t="shared" si="756"/>
        <v>0</v>
      </c>
      <c r="AH1571" s="1">
        <f t="shared" si="757"/>
        <v>0</v>
      </c>
      <c r="AI1571" s="1">
        <f t="shared" si="766"/>
        <v>5432.58</v>
      </c>
      <c r="AJ1571" s="20">
        <f t="shared" si="738"/>
        <v>0</v>
      </c>
      <c r="AK1571" s="100">
        <f t="shared" si="740"/>
        <v>0</v>
      </c>
      <c r="AL1571" s="100">
        <f t="shared" si="741"/>
        <v>0</v>
      </c>
      <c r="AN1571" s="100">
        <f t="shared" si="742"/>
        <v>2489.4039584330735</v>
      </c>
      <c r="AO1571" s="20">
        <f t="shared" si="743"/>
        <v>0</v>
      </c>
      <c r="AQ1571" s="109">
        <f t="shared" si="744"/>
        <v>0</v>
      </c>
      <c r="AU1571" s="109">
        <f t="shared" si="759"/>
        <v>23.635566140155969</v>
      </c>
      <c r="AV1571" s="101">
        <f t="shared" si="745"/>
        <v>87384</v>
      </c>
      <c r="AW1571" s="99">
        <f t="shared" si="746"/>
        <v>0</v>
      </c>
      <c r="AX1571" s="1">
        <f t="shared" si="747"/>
        <v>0</v>
      </c>
      <c r="AY1571" s="29">
        <f t="shared" si="748"/>
        <v>0</v>
      </c>
      <c r="AZ1571" s="1">
        <f t="shared" si="760"/>
        <v>0</v>
      </c>
      <c r="CB1571" s="20">
        <f t="shared" si="739"/>
        <v>0</v>
      </c>
      <c r="CC1571" s="173">
        <f t="shared" si="761"/>
        <v>0</v>
      </c>
    </row>
    <row r="1572" spans="10:81" x14ac:dyDescent="0.25">
      <c r="J1572" s="9"/>
      <c r="K1572" s="10"/>
      <c r="L1572" s="17"/>
      <c r="M1572" s="23"/>
      <c r="N1572" s="23"/>
      <c r="O1572" s="23"/>
      <c r="P1572" s="23"/>
      <c r="Q1572" s="1">
        <f t="shared" si="762"/>
        <v>0.60744618579017706</v>
      </c>
      <c r="R1572" s="12">
        <f t="shared" ca="1" si="749"/>
        <v>46262</v>
      </c>
      <c r="S1572" s="88">
        <f t="shared" si="758"/>
        <v>0</v>
      </c>
      <c r="T1572" s="19">
        <f t="shared" si="750"/>
        <v>0</v>
      </c>
      <c r="U1572" s="19">
        <f t="shared" si="751"/>
        <v>0</v>
      </c>
      <c r="V1572" s="19">
        <f t="shared" si="767"/>
        <v>0</v>
      </c>
      <c r="W1572" s="20">
        <f t="shared" ca="1" si="752"/>
        <v>0</v>
      </c>
      <c r="X1572" s="19">
        <f t="shared" ca="1" si="753"/>
        <v>0</v>
      </c>
      <c r="Y1572" s="19">
        <f t="shared" ca="1" si="754"/>
        <v>0</v>
      </c>
      <c r="Z1572" s="20">
        <f t="shared" ca="1" si="755"/>
        <v>0</v>
      </c>
      <c r="AA1572" s="1">
        <f t="shared" si="763"/>
        <v>5432.58</v>
      </c>
      <c r="AB1572" s="93"/>
      <c r="AC1572" s="94"/>
      <c r="AD1572" s="101">
        <f t="shared" si="764"/>
        <v>87384</v>
      </c>
      <c r="AE1572" s="103">
        <f t="shared" si="765"/>
        <v>0</v>
      </c>
      <c r="AG1572" s="1">
        <f t="shared" si="756"/>
        <v>0</v>
      </c>
      <c r="AH1572" s="1">
        <f t="shared" si="757"/>
        <v>0</v>
      </c>
      <c r="AI1572" s="1">
        <f t="shared" si="766"/>
        <v>5432.58</v>
      </c>
      <c r="AJ1572" s="20">
        <f t="shared" si="738"/>
        <v>0</v>
      </c>
      <c r="AK1572" s="100">
        <f t="shared" si="740"/>
        <v>0</v>
      </c>
      <c r="AL1572" s="100">
        <f t="shared" si="741"/>
        <v>0</v>
      </c>
      <c r="AN1572" s="100">
        <f t="shared" si="742"/>
        <v>2488.1444468881091</v>
      </c>
      <c r="AO1572" s="20">
        <f t="shared" si="743"/>
        <v>0</v>
      </c>
      <c r="AQ1572" s="109">
        <f t="shared" si="744"/>
        <v>0</v>
      </c>
      <c r="AU1572" s="109">
        <f t="shared" si="759"/>
        <v>23.633491644778271</v>
      </c>
      <c r="AV1572" s="101">
        <f t="shared" si="745"/>
        <v>87414</v>
      </c>
      <c r="AW1572" s="99">
        <f t="shared" si="746"/>
        <v>0</v>
      </c>
      <c r="AX1572" s="1">
        <f t="shared" si="747"/>
        <v>0</v>
      </c>
      <c r="AY1572" s="29">
        <f t="shared" si="748"/>
        <v>0</v>
      </c>
      <c r="AZ1572" s="1">
        <f t="shared" si="760"/>
        <v>0</v>
      </c>
      <c r="CB1572" s="20">
        <f t="shared" si="739"/>
        <v>0</v>
      </c>
      <c r="CC1572" s="173">
        <f t="shared" si="761"/>
        <v>0</v>
      </c>
    </row>
    <row r="1573" spans="10:81" x14ac:dyDescent="0.25">
      <c r="J1573" s="7"/>
      <c r="K1573" s="8"/>
      <c r="L1573" s="16"/>
      <c r="M1573" s="22"/>
      <c r="N1573" s="22"/>
      <c r="O1573" s="22"/>
      <c r="P1573" s="22"/>
      <c r="Q1573" s="1">
        <f t="shared" si="762"/>
        <v>0.60744618579017706</v>
      </c>
      <c r="R1573" s="12">
        <f t="shared" ca="1" si="749"/>
        <v>46292</v>
      </c>
      <c r="S1573" s="88">
        <f t="shared" si="758"/>
        <v>0</v>
      </c>
      <c r="T1573" s="19">
        <f t="shared" si="750"/>
        <v>0</v>
      </c>
      <c r="U1573" s="19">
        <f t="shared" si="751"/>
        <v>0</v>
      </c>
      <c r="V1573" s="19">
        <f t="shared" si="767"/>
        <v>0</v>
      </c>
      <c r="W1573" s="20">
        <f t="shared" ca="1" si="752"/>
        <v>0</v>
      </c>
      <c r="X1573" s="19">
        <f t="shared" ca="1" si="753"/>
        <v>0</v>
      </c>
      <c r="Y1573" s="19">
        <f t="shared" ca="1" si="754"/>
        <v>0</v>
      </c>
      <c r="Z1573" s="20">
        <f t="shared" ca="1" si="755"/>
        <v>0</v>
      </c>
      <c r="AA1573" s="1">
        <f t="shared" si="763"/>
        <v>5432.58</v>
      </c>
      <c r="AB1573" s="91"/>
      <c r="AC1573" s="92"/>
      <c r="AD1573" s="101">
        <f t="shared" si="764"/>
        <v>87414</v>
      </c>
      <c r="AE1573" s="103">
        <f t="shared" si="765"/>
        <v>0</v>
      </c>
      <c r="AG1573" s="1">
        <f t="shared" si="756"/>
        <v>0</v>
      </c>
      <c r="AH1573" s="1">
        <f t="shared" si="757"/>
        <v>0</v>
      </c>
      <c r="AI1573" s="1">
        <f t="shared" si="766"/>
        <v>5432.58</v>
      </c>
      <c r="AJ1573" s="20">
        <f t="shared" si="738"/>
        <v>0</v>
      </c>
      <c r="AK1573" s="100">
        <f t="shared" si="740"/>
        <v>0</v>
      </c>
      <c r="AL1573" s="100">
        <f t="shared" si="741"/>
        <v>0</v>
      </c>
      <c r="AN1573" s="100">
        <f t="shared" si="742"/>
        <v>2486.8855725918024</v>
      </c>
      <c r="AO1573" s="20">
        <f t="shared" si="743"/>
        <v>0</v>
      </c>
      <c r="AQ1573" s="109">
        <f t="shared" si="744"/>
        <v>0</v>
      </c>
      <c r="AU1573" s="109">
        <f t="shared" si="759"/>
        <v>23.631417331479174</v>
      </c>
      <c r="AV1573" s="101">
        <f t="shared" si="745"/>
        <v>87444</v>
      </c>
      <c r="AW1573" s="99">
        <f t="shared" si="746"/>
        <v>0</v>
      </c>
      <c r="AX1573" s="1">
        <f t="shared" si="747"/>
        <v>0</v>
      </c>
      <c r="AY1573" s="29">
        <f t="shared" si="748"/>
        <v>0</v>
      </c>
      <c r="AZ1573" s="1">
        <f t="shared" si="760"/>
        <v>0</v>
      </c>
      <c r="CB1573" s="20">
        <f t="shared" si="739"/>
        <v>0</v>
      </c>
      <c r="CC1573" s="173">
        <f t="shared" si="761"/>
        <v>0</v>
      </c>
    </row>
    <row r="1574" spans="10:81" x14ac:dyDescent="0.25">
      <c r="J1574" s="9"/>
      <c r="K1574" s="10"/>
      <c r="L1574" s="17"/>
      <c r="M1574" s="23"/>
      <c r="N1574" s="23"/>
      <c r="O1574" s="23"/>
      <c r="P1574" s="23"/>
      <c r="Q1574" s="1">
        <f t="shared" si="762"/>
        <v>0.60744618579017706</v>
      </c>
      <c r="R1574" s="12">
        <f t="shared" ca="1" si="749"/>
        <v>46322</v>
      </c>
      <c r="S1574" s="88">
        <f t="shared" si="758"/>
        <v>0</v>
      </c>
      <c r="T1574" s="19">
        <f t="shared" si="750"/>
        <v>0</v>
      </c>
      <c r="U1574" s="19">
        <f t="shared" si="751"/>
        <v>0</v>
      </c>
      <c r="V1574" s="19">
        <f t="shared" si="767"/>
        <v>0</v>
      </c>
      <c r="W1574" s="20">
        <f t="shared" ca="1" si="752"/>
        <v>0</v>
      </c>
      <c r="X1574" s="19">
        <f t="shared" ca="1" si="753"/>
        <v>0</v>
      </c>
      <c r="Y1574" s="19">
        <f t="shared" ca="1" si="754"/>
        <v>0</v>
      </c>
      <c r="Z1574" s="20">
        <f t="shared" ca="1" si="755"/>
        <v>0</v>
      </c>
      <c r="AA1574" s="1">
        <f t="shared" si="763"/>
        <v>5432.58</v>
      </c>
      <c r="AB1574" s="93"/>
      <c r="AC1574" s="94"/>
      <c r="AD1574" s="101">
        <f t="shared" si="764"/>
        <v>87444</v>
      </c>
      <c r="AE1574" s="103">
        <f t="shared" si="765"/>
        <v>0</v>
      </c>
      <c r="AG1574" s="1">
        <f t="shared" si="756"/>
        <v>0</v>
      </c>
      <c r="AH1574" s="1">
        <f t="shared" si="757"/>
        <v>0</v>
      </c>
      <c r="AI1574" s="1">
        <f t="shared" si="766"/>
        <v>5432.58</v>
      </c>
      <c r="AJ1574" s="20">
        <f t="shared" si="738"/>
        <v>0</v>
      </c>
      <c r="AK1574" s="100">
        <f t="shared" si="740"/>
        <v>0</v>
      </c>
      <c r="AL1574" s="100">
        <f t="shared" si="741"/>
        <v>0</v>
      </c>
      <c r="AN1574" s="100">
        <f t="shared" si="742"/>
        <v>2485.6273352217386</v>
      </c>
      <c r="AO1574" s="20">
        <f t="shared" si="743"/>
        <v>0</v>
      </c>
      <c r="AQ1574" s="109">
        <f t="shared" si="744"/>
        <v>0</v>
      </c>
      <c r="AU1574" s="109">
        <f t="shared" si="759"/>
        <v>23.629343200242712</v>
      </c>
      <c r="AV1574" s="101">
        <f t="shared" si="745"/>
        <v>87474</v>
      </c>
      <c r="AW1574" s="99">
        <f t="shared" si="746"/>
        <v>0</v>
      </c>
      <c r="AX1574" s="1">
        <f t="shared" si="747"/>
        <v>0</v>
      </c>
      <c r="AY1574" s="29">
        <f t="shared" si="748"/>
        <v>0</v>
      </c>
      <c r="AZ1574" s="1">
        <f t="shared" si="760"/>
        <v>0</v>
      </c>
      <c r="CB1574" s="20">
        <f t="shared" si="739"/>
        <v>0</v>
      </c>
      <c r="CC1574" s="173">
        <f t="shared" si="761"/>
        <v>0</v>
      </c>
    </row>
    <row r="1575" spans="10:81" x14ac:dyDescent="0.25">
      <c r="J1575" s="7"/>
      <c r="K1575" s="8"/>
      <c r="L1575" s="16"/>
      <c r="M1575" s="22"/>
      <c r="N1575" s="22"/>
      <c r="O1575" s="22"/>
      <c r="P1575" s="22"/>
      <c r="Q1575" s="1">
        <f t="shared" si="762"/>
        <v>0.60744618579017706</v>
      </c>
      <c r="R1575" s="12">
        <f t="shared" ca="1" si="749"/>
        <v>46352</v>
      </c>
      <c r="S1575" s="88">
        <f t="shared" si="758"/>
        <v>0</v>
      </c>
      <c r="T1575" s="19">
        <f t="shared" si="750"/>
        <v>0</v>
      </c>
      <c r="U1575" s="19">
        <f t="shared" si="751"/>
        <v>0</v>
      </c>
      <c r="V1575" s="19">
        <f t="shared" si="767"/>
        <v>0</v>
      </c>
      <c r="W1575" s="20">
        <f t="shared" ca="1" si="752"/>
        <v>0</v>
      </c>
      <c r="X1575" s="19">
        <f t="shared" ca="1" si="753"/>
        <v>0</v>
      </c>
      <c r="Y1575" s="19">
        <f t="shared" ca="1" si="754"/>
        <v>0</v>
      </c>
      <c r="Z1575" s="20">
        <f t="shared" ca="1" si="755"/>
        <v>0</v>
      </c>
      <c r="AA1575" s="1">
        <f t="shared" si="763"/>
        <v>5432.58</v>
      </c>
      <c r="AB1575" s="91"/>
      <c r="AC1575" s="92"/>
      <c r="AD1575" s="101">
        <f t="shared" si="764"/>
        <v>87474</v>
      </c>
      <c r="AE1575" s="103">
        <f t="shared" si="765"/>
        <v>0</v>
      </c>
      <c r="AG1575" s="1">
        <f t="shared" si="756"/>
        <v>0</v>
      </c>
      <c r="AH1575" s="1">
        <f t="shared" si="757"/>
        <v>0</v>
      </c>
      <c r="AI1575" s="1">
        <f t="shared" si="766"/>
        <v>5432.58</v>
      </c>
      <c r="AJ1575" s="20">
        <f t="shared" si="738"/>
        <v>0</v>
      </c>
      <c r="AK1575" s="100">
        <f t="shared" si="740"/>
        <v>0</v>
      </c>
      <c r="AL1575" s="100">
        <f t="shared" si="741"/>
        <v>0</v>
      </c>
      <c r="AN1575" s="100">
        <f t="shared" si="742"/>
        <v>2484.3697344556658</v>
      </c>
      <c r="AO1575" s="20">
        <f t="shared" si="743"/>
        <v>0</v>
      </c>
      <c r="AQ1575" s="109">
        <f t="shared" si="744"/>
        <v>0</v>
      </c>
      <c r="AU1575" s="109">
        <f t="shared" si="759"/>
        <v>23.627269251052898</v>
      </c>
      <c r="AV1575" s="101">
        <f t="shared" si="745"/>
        <v>87504</v>
      </c>
      <c r="AW1575" s="99">
        <f t="shared" si="746"/>
        <v>0</v>
      </c>
      <c r="AX1575" s="1">
        <f t="shared" si="747"/>
        <v>0</v>
      </c>
      <c r="AY1575" s="29">
        <f t="shared" si="748"/>
        <v>0</v>
      </c>
      <c r="AZ1575" s="1">
        <f t="shared" si="760"/>
        <v>0</v>
      </c>
      <c r="CB1575" s="20">
        <f t="shared" si="739"/>
        <v>0</v>
      </c>
      <c r="CC1575" s="173">
        <f t="shared" si="761"/>
        <v>0</v>
      </c>
    </row>
    <row r="1576" spans="10:81" x14ac:dyDescent="0.25">
      <c r="J1576" s="9"/>
      <c r="K1576" s="10"/>
      <c r="L1576" s="17"/>
      <c r="M1576" s="23"/>
      <c r="N1576" s="23"/>
      <c r="O1576" s="23"/>
      <c r="P1576" s="23"/>
      <c r="Q1576" s="1">
        <f t="shared" si="762"/>
        <v>0.60744618579017706</v>
      </c>
      <c r="R1576" s="12">
        <f t="shared" ca="1" si="749"/>
        <v>46382</v>
      </c>
      <c r="S1576" s="88">
        <f t="shared" si="758"/>
        <v>0</v>
      </c>
      <c r="T1576" s="19">
        <f t="shared" si="750"/>
        <v>0</v>
      </c>
      <c r="U1576" s="19">
        <f t="shared" si="751"/>
        <v>0</v>
      </c>
      <c r="V1576" s="19">
        <f t="shared" si="767"/>
        <v>0</v>
      </c>
      <c r="W1576" s="20">
        <f t="shared" ca="1" si="752"/>
        <v>0</v>
      </c>
      <c r="X1576" s="19">
        <f t="shared" ca="1" si="753"/>
        <v>0</v>
      </c>
      <c r="Y1576" s="19">
        <f t="shared" ca="1" si="754"/>
        <v>0</v>
      </c>
      <c r="Z1576" s="20">
        <f t="shared" ca="1" si="755"/>
        <v>0</v>
      </c>
      <c r="AA1576" s="1">
        <f t="shared" si="763"/>
        <v>5432.58</v>
      </c>
      <c r="AB1576" s="93"/>
      <c r="AC1576" s="94"/>
      <c r="AD1576" s="101">
        <f t="shared" si="764"/>
        <v>87504</v>
      </c>
      <c r="AE1576" s="103">
        <f t="shared" si="765"/>
        <v>0</v>
      </c>
      <c r="AG1576" s="1">
        <f t="shared" si="756"/>
        <v>0</v>
      </c>
      <c r="AH1576" s="1">
        <f t="shared" si="757"/>
        <v>0</v>
      </c>
      <c r="AI1576" s="1">
        <f t="shared" si="766"/>
        <v>5432.58</v>
      </c>
      <c r="AJ1576" s="20">
        <f t="shared" ref="AJ1576:AJ1639" si="768">IF(ISERROR(IF(V1575+U1576+T1576+(V1575*Q1576/1200)-AA1576-P1576&lt;0,V1575,-(U1576+T1576-AA1576+P1576-AH1576))),0,IF(V1575+U1576+T1576+(V1575*Q1576/1200)-AA1576-P1576&lt;0,0,-(U1576+T1576-AA1576-AH1576)))</f>
        <v>0</v>
      </c>
      <c r="AK1576" s="100">
        <f t="shared" si="740"/>
        <v>0</v>
      </c>
      <c r="AL1576" s="100">
        <f t="shared" si="741"/>
        <v>0</v>
      </c>
      <c r="AN1576" s="100">
        <f t="shared" si="742"/>
        <v>2483.1127699714939</v>
      </c>
      <c r="AO1576" s="20">
        <f t="shared" si="743"/>
        <v>0</v>
      </c>
      <c r="AQ1576" s="109">
        <f t="shared" si="744"/>
        <v>0</v>
      </c>
      <c r="AU1576" s="109">
        <f t="shared" si="759"/>
        <v>23.625195483893762</v>
      </c>
      <c r="AV1576" s="101">
        <f t="shared" si="745"/>
        <v>87534</v>
      </c>
      <c r="AW1576" s="99">
        <f t="shared" si="746"/>
        <v>0</v>
      </c>
      <c r="AX1576" s="1">
        <f t="shared" si="747"/>
        <v>0</v>
      </c>
      <c r="AY1576" s="29">
        <f t="shared" si="748"/>
        <v>0</v>
      </c>
      <c r="AZ1576" s="1">
        <f t="shared" si="760"/>
        <v>0</v>
      </c>
      <c r="CB1576" s="20">
        <f t="shared" si="739"/>
        <v>0</v>
      </c>
      <c r="CC1576" s="173">
        <f t="shared" si="761"/>
        <v>0</v>
      </c>
    </row>
    <row r="1577" spans="10:81" x14ac:dyDescent="0.25">
      <c r="J1577" s="7"/>
      <c r="K1577" s="8"/>
      <c r="L1577" s="16"/>
      <c r="M1577" s="22"/>
      <c r="N1577" s="22"/>
      <c r="O1577" s="22"/>
      <c r="P1577" s="22"/>
      <c r="Q1577" s="1">
        <f t="shared" si="762"/>
        <v>0.60744618579017706</v>
      </c>
      <c r="R1577" s="12">
        <f t="shared" ca="1" si="749"/>
        <v>46412</v>
      </c>
      <c r="S1577" s="88">
        <f t="shared" si="758"/>
        <v>0</v>
      </c>
      <c r="T1577" s="19">
        <f t="shared" si="750"/>
        <v>0</v>
      </c>
      <c r="U1577" s="19">
        <f t="shared" si="751"/>
        <v>0</v>
      </c>
      <c r="V1577" s="19">
        <f t="shared" si="767"/>
        <v>0</v>
      </c>
      <c r="W1577" s="20">
        <f t="shared" ca="1" si="752"/>
        <v>0</v>
      </c>
      <c r="X1577" s="19">
        <f t="shared" ca="1" si="753"/>
        <v>0</v>
      </c>
      <c r="Y1577" s="19">
        <f t="shared" ca="1" si="754"/>
        <v>0</v>
      </c>
      <c r="Z1577" s="20">
        <f t="shared" ca="1" si="755"/>
        <v>0</v>
      </c>
      <c r="AA1577" s="1">
        <f t="shared" si="763"/>
        <v>5432.58</v>
      </c>
      <c r="AB1577" s="91"/>
      <c r="AC1577" s="92"/>
      <c r="AD1577" s="101">
        <f t="shared" si="764"/>
        <v>87534</v>
      </c>
      <c r="AE1577" s="103">
        <f t="shared" si="765"/>
        <v>0</v>
      </c>
      <c r="AG1577" s="1">
        <f t="shared" si="756"/>
        <v>0</v>
      </c>
      <c r="AH1577" s="1">
        <f t="shared" si="757"/>
        <v>0</v>
      </c>
      <c r="AI1577" s="1">
        <f t="shared" si="766"/>
        <v>5432.58</v>
      </c>
      <c r="AJ1577" s="20">
        <f t="shared" si="768"/>
        <v>0</v>
      </c>
      <c r="AK1577" s="100">
        <f t="shared" si="740"/>
        <v>0</v>
      </c>
      <c r="AL1577" s="100">
        <f t="shared" si="741"/>
        <v>0</v>
      </c>
      <c r="AN1577" s="100">
        <f t="shared" si="742"/>
        <v>2481.8564414472967</v>
      </c>
      <c r="AO1577" s="20">
        <f t="shared" si="743"/>
        <v>0</v>
      </c>
      <c r="AQ1577" s="109">
        <f t="shared" si="744"/>
        <v>0</v>
      </c>
      <c r="AU1577" s="109">
        <f t="shared" si="759"/>
        <v>23.623121898749325</v>
      </c>
      <c r="AV1577" s="101">
        <f t="shared" si="745"/>
        <v>87564</v>
      </c>
      <c r="AW1577" s="99">
        <f t="shared" si="746"/>
        <v>0</v>
      </c>
      <c r="AX1577" s="1">
        <f t="shared" si="747"/>
        <v>0</v>
      </c>
      <c r="AY1577" s="29">
        <f t="shared" si="748"/>
        <v>0</v>
      </c>
      <c r="AZ1577" s="1">
        <f t="shared" si="760"/>
        <v>0</v>
      </c>
      <c r="CB1577" s="20">
        <f t="shared" si="739"/>
        <v>0</v>
      </c>
      <c r="CC1577" s="173">
        <f t="shared" si="761"/>
        <v>0</v>
      </c>
    </row>
    <row r="1578" spans="10:81" x14ac:dyDescent="0.25">
      <c r="J1578" s="9"/>
      <c r="K1578" s="10"/>
      <c r="L1578" s="17"/>
      <c r="M1578" s="23"/>
      <c r="N1578" s="23"/>
      <c r="O1578" s="23"/>
      <c r="P1578" s="23"/>
      <c r="Q1578" s="1">
        <f t="shared" si="762"/>
        <v>0.60744618579017706</v>
      </c>
      <c r="R1578" s="12">
        <f t="shared" ca="1" si="749"/>
        <v>46442</v>
      </c>
      <c r="S1578" s="88">
        <f t="shared" si="758"/>
        <v>0</v>
      </c>
      <c r="T1578" s="19">
        <f t="shared" si="750"/>
        <v>0</v>
      </c>
      <c r="U1578" s="19">
        <f t="shared" si="751"/>
        <v>0</v>
      </c>
      <c r="V1578" s="19">
        <f t="shared" si="767"/>
        <v>0</v>
      </c>
      <c r="W1578" s="20">
        <f t="shared" ca="1" si="752"/>
        <v>0</v>
      </c>
      <c r="X1578" s="19">
        <f t="shared" ca="1" si="753"/>
        <v>0</v>
      </c>
      <c r="Y1578" s="19">
        <f t="shared" ca="1" si="754"/>
        <v>0</v>
      </c>
      <c r="Z1578" s="20">
        <f t="shared" ca="1" si="755"/>
        <v>0</v>
      </c>
      <c r="AA1578" s="1">
        <f t="shared" si="763"/>
        <v>5432.58</v>
      </c>
      <c r="AB1578" s="93"/>
      <c r="AC1578" s="94"/>
      <c r="AD1578" s="101">
        <f t="shared" si="764"/>
        <v>87564</v>
      </c>
      <c r="AE1578" s="103">
        <f t="shared" si="765"/>
        <v>0</v>
      </c>
      <c r="AG1578" s="1">
        <f t="shared" si="756"/>
        <v>0</v>
      </c>
      <c r="AH1578" s="1">
        <f t="shared" si="757"/>
        <v>0</v>
      </c>
      <c r="AI1578" s="1">
        <f t="shared" si="766"/>
        <v>5432.58</v>
      </c>
      <c r="AJ1578" s="20">
        <f t="shared" si="768"/>
        <v>0</v>
      </c>
      <c r="AK1578" s="100">
        <f t="shared" si="740"/>
        <v>0</v>
      </c>
      <c r="AL1578" s="100">
        <f t="shared" si="741"/>
        <v>0</v>
      </c>
      <c r="AN1578" s="100">
        <f t="shared" si="742"/>
        <v>2480.6007485613113</v>
      </c>
      <c r="AO1578" s="20">
        <f t="shared" si="743"/>
        <v>0</v>
      </c>
      <c r="AQ1578" s="109">
        <f t="shared" si="744"/>
        <v>0</v>
      </c>
      <c r="AU1578" s="109">
        <f t="shared" si="759"/>
        <v>23.621048495603592</v>
      </c>
      <c r="AV1578" s="101">
        <f t="shared" si="745"/>
        <v>87594</v>
      </c>
      <c r="AW1578" s="99">
        <f t="shared" si="746"/>
        <v>0</v>
      </c>
      <c r="AX1578" s="1">
        <f t="shared" si="747"/>
        <v>0</v>
      </c>
      <c r="AY1578" s="29">
        <f t="shared" si="748"/>
        <v>0</v>
      </c>
      <c r="AZ1578" s="1">
        <f t="shared" si="760"/>
        <v>0</v>
      </c>
      <c r="CB1578" s="20">
        <f t="shared" si="739"/>
        <v>0</v>
      </c>
      <c r="CC1578" s="173">
        <f t="shared" si="761"/>
        <v>0</v>
      </c>
    </row>
    <row r="1579" spans="10:81" x14ac:dyDescent="0.25">
      <c r="J1579" s="7"/>
      <c r="K1579" s="8"/>
      <c r="L1579" s="16"/>
      <c r="M1579" s="22"/>
      <c r="N1579" s="22"/>
      <c r="O1579" s="22"/>
      <c r="P1579" s="22"/>
      <c r="Q1579" s="1">
        <f t="shared" si="762"/>
        <v>0.60744618579017706</v>
      </c>
      <c r="R1579" s="12">
        <f t="shared" ca="1" si="749"/>
        <v>46472</v>
      </c>
      <c r="S1579" s="88">
        <f t="shared" si="758"/>
        <v>0</v>
      </c>
      <c r="T1579" s="19">
        <f t="shared" si="750"/>
        <v>0</v>
      </c>
      <c r="U1579" s="19">
        <f t="shared" si="751"/>
        <v>0</v>
      </c>
      <c r="V1579" s="19">
        <f t="shared" si="767"/>
        <v>0</v>
      </c>
      <c r="W1579" s="20">
        <f t="shared" ca="1" si="752"/>
        <v>0</v>
      </c>
      <c r="X1579" s="19">
        <f t="shared" ca="1" si="753"/>
        <v>0</v>
      </c>
      <c r="Y1579" s="19">
        <f t="shared" ca="1" si="754"/>
        <v>0</v>
      </c>
      <c r="Z1579" s="20">
        <f t="shared" ca="1" si="755"/>
        <v>0</v>
      </c>
      <c r="AA1579" s="1">
        <f t="shared" si="763"/>
        <v>5432.58</v>
      </c>
      <c r="AB1579" s="91"/>
      <c r="AC1579" s="92"/>
      <c r="AD1579" s="101">
        <f t="shared" si="764"/>
        <v>87594</v>
      </c>
      <c r="AE1579" s="103">
        <f t="shared" si="765"/>
        <v>0</v>
      </c>
      <c r="AG1579" s="1">
        <f t="shared" si="756"/>
        <v>0</v>
      </c>
      <c r="AH1579" s="1">
        <f t="shared" si="757"/>
        <v>0</v>
      </c>
      <c r="AI1579" s="1">
        <f t="shared" si="766"/>
        <v>5432.58</v>
      </c>
      <c r="AJ1579" s="20">
        <f t="shared" si="768"/>
        <v>0</v>
      </c>
      <c r="AK1579" s="100">
        <f t="shared" si="740"/>
        <v>0</v>
      </c>
      <c r="AL1579" s="100">
        <f t="shared" si="741"/>
        <v>0</v>
      </c>
      <c r="AN1579" s="100">
        <f t="shared" si="742"/>
        <v>2479.3456909919378</v>
      </c>
      <c r="AO1579" s="20">
        <f t="shared" si="743"/>
        <v>0</v>
      </c>
      <c r="AQ1579" s="109">
        <f t="shared" si="744"/>
        <v>0</v>
      </c>
      <c r="AU1579" s="109">
        <f t="shared" si="759"/>
        <v>23.618975274440619</v>
      </c>
      <c r="AV1579" s="101">
        <f t="shared" si="745"/>
        <v>87624</v>
      </c>
      <c r="AW1579" s="99">
        <f t="shared" si="746"/>
        <v>0</v>
      </c>
      <c r="AX1579" s="1">
        <f t="shared" si="747"/>
        <v>0</v>
      </c>
      <c r="AY1579" s="29">
        <f t="shared" si="748"/>
        <v>0</v>
      </c>
      <c r="AZ1579" s="1">
        <f t="shared" si="760"/>
        <v>0</v>
      </c>
      <c r="CB1579" s="20">
        <f t="shared" si="739"/>
        <v>0</v>
      </c>
      <c r="CC1579" s="173">
        <f t="shared" si="761"/>
        <v>0</v>
      </c>
    </row>
    <row r="1580" spans="10:81" x14ac:dyDescent="0.25">
      <c r="J1580" s="9"/>
      <c r="K1580" s="10"/>
      <c r="L1580" s="17"/>
      <c r="M1580" s="23"/>
      <c r="N1580" s="23"/>
      <c r="O1580" s="23"/>
      <c r="P1580" s="23"/>
      <c r="Q1580" s="1">
        <f t="shared" si="762"/>
        <v>0.60744618579017706</v>
      </c>
      <c r="R1580" s="12">
        <f t="shared" ca="1" si="749"/>
        <v>46502</v>
      </c>
      <c r="S1580" s="88">
        <f t="shared" si="758"/>
        <v>0</v>
      </c>
      <c r="T1580" s="19">
        <f t="shared" si="750"/>
        <v>0</v>
      </c>
      <c r="U1580" s="19">
        <f t="shared" si="751"/>
        <v>0</v>
      </c>
      <c r="V1580" s="19">
        <f t="shared" si="767"/>
        <v>0</v>
      </c>
      <c r="W1580" s="20">
        <f t="shared" ca="1" si="752"/>
        <v>0</v>
      </c>
      <c r="X1580" s="19">
        <f t="shared" ca="1" si="753"/>
        <v>0</v>
      </c>
      <c r="Y1580" s="19">
        <f t="shared" ca="1" si="754"/>
        <v>0</v>
      </c>
      <c r="Z1580" s="20">
        <f t="shared" ca="1" si="755"/>
        <v>0</v>
      </c>
      <c r="AA1580" s="1">
        <f t="shared" si="763"/>
        <v>5432.58</v>
      </c>
      <c r="AB1580" s="93"/>
      <c r="AC1580" s="94"/>
      <c r="AD1580" s="101">
        <f t="shared" si="764"/>
        <v>87624</v>
      </c>
      <c r="AE1580" s="103">
        <f t="shared" si="765"/>
        <v>0</v>
      </c>
      <c r="AG1580" s="1">
        <f t="shared" si="756"/>
        <v>0</v>
      </c>
      <c r="AH1580" s="1">
        <f t="shared" si="757"/>
        <v>0</v>
      </c>
      <c r="AI1580" s="1">
        <f t="shared" si="766"/>
        <v>5432.58</v>
      </c>
      <c r="AJ1580" s="20">
        <f t="shared" si="768"/>
        <v>0</v>
      </c>
      <c r="AK1580" s="100">
        <f t="shared" si="740"/>
        <v>0</v>
      </c>
      <c r="AL1580" s="100">
        <f t="shared" si="741"/>
        <v>0</v>
      </c>
      <c r="AN1580" s="100">
        <f t="shared" si="742"/>
        <v>2478.0912684177365</v>
      </c>
      <c r="AO1580" s="20">
        <f t="shared" si="743"/>
        <v>0</v>
      </c>
      <c r="AQ1580" s="109">
        <f t="shared" si="744"/>
        <v>0</v>
      </c>
      <c r="AU1580" s="109">
        <f t="shared" si="759"/>
        <v>23.616902235244424</v>
      </c>
      <c r="AV1580" s="101">
        <f t="shared" si="745"/>
        <v>87654</v>
      </c>
      <c r="AW1580" s="99">
        <f t="shared" si="746"/>
        <v>0</v>
      </c>
      <c r="AX1580" s="1">
        <f t="shared" si="747"/>
        <v>0</v>
      </c>
      <c r="AY1580" s="29">
        <f t="shared" si="748"/>
        <v>0</v>
      </c>
      <c r="AZ1580" s="1">
        <f t="shared" si="760"/>
        <v>0</v>
      </c>
      <c r="CB1580" s="20">
        <f t="shared" si="739"/>
        <v>0</v>
      </c>
      <c r="CC1580" s="173">
        <f t="shared" si="761"/>
        <v>0</v>
      </c>
    </row>
    <row r="1581" spans="10:81" x14ac:dyDescent="0.25">
      <c r="J1581" s="7"/>
      <c r="K1581" s="8"/>
      <c r="L1581" s="16"/>
      <c r="M1581" s="22"/>
      <c r="N1581" s="22"/>
      <c r="O1581" s="22"/>
      <c r="P1581" s="22"/>
      <c r="Q1581" s="1">
        <f t="shared" si="762"/>
        <v>0.60744618579017706</v>
      </c>
      <c r="R1581" s="12">
        <f t="shared" ca="1" si="749"/>
        <v>46532</v>
      </c>
      <c r="S1581" s="88">
        <f t="shared" si="758"/>
        <v>0</v>
      </c>
      <c r="T1581" s="19">
        <f t="shared" si="750"/>
        <v>0</v>
      </c>
      <c r="U1581" s="19">
        <f t="shared" si="751"/>
        <v>0</v>
      </c>
      <c r="V1581" s="19">
        <f t="shared" si="767"/>
        <v>0</v>
      </c>
      <c r="W1581" s="20">
        <f t="shared" ca="1" si="752"/>
        <v>0</v>
      </c>
      <c r="X1581" s="19">
        <f t="shared" ca="1" si="753"/>
        <v>0</v>
      </c>
      <c r="Y1581" s="19">
        <f t="shared" ca="1" si="754"/>
        <v>0</v>
      </c>
      <c r="Z1581" s="20">
        <f t="shared" ca="1" si="755"/>
        <v>0</v>
      </c>
      <c r="AA1581" s="1">
        <f t="shared" si="763"/>
        <v>5432.58</v>
      </c>
      <c r="AB1581" s="91"/>
      <c r="AC1581" s="92"/>
      <c r="AD1581" s="101">
        <f t="shared" si="764"/>
        <v>87654</v>
      </c>
      <c r="AE1581" s="103">
        <f t="shared" si="765"/>
        <v>0</v>
      </c>
      <c r="AG1581" s="1">
        <f t="shared" si="756"/>
        <v>0</v>
      </c>
      <c r="AH1581" s="1">
        <f t="shared" si="757"/>
        <v>0</v>
      </c>
      <c r="AI1581" s="1">
        <f t="shared" si="766"/>
        <v>5432.58</v>
      </c>
      <c r="AJ1581" s="20">
        <f t="shared" si="768"/>
        <v>0</v>
      </c>
      <c r="AK1581" s="100">
        <f t="shared" si="740"/>
        <v>0</v>
      </c>
      <c r="AL1581" s="100">
        <f t="shared" si="741"/>
        <v>0</v>
      </c>
      <c r="AN1581" s="100">
        <f t="shared" si="742"/>
        <v>2476.8374805174349</v>
      </c>
      <c r="AO1581" s="20">
        <f t="shared" si="743"/>
        <v>0</v>
      </c>
      <c r="AQ1581" s="109">
        <f t="shared" si="744"/>
        <v>0</v>
      </c>
      <c r="AU1581" s="109">
        <f t="shared" si="759"/>
        <v>23.614829377999012</v>
      </c>
      <c r="AV1581" s="101">
        <f t="shared" si="745"/>
        <v>87684</v>
      </c>
      <c r="AW1581" s="99">
        <f t="shared" si="746"/>
        <v>0</v>
      </c>
      <c r="AX1581" s="1">
        <f t="shared" si="747"/>
        <v>0</v>
      </c>
      <c r="AY1581" s="29">
        <f t="shared" si="748"/>
        <v>0</v>
      </c>
      <c r="AZ1581" s="1">
        <f t="shared" si="760"/>
        <v>0</v>
      </c>
      <c r="CB1581" s="20">
        <f t="shared" si="739"/>
        <v>0</v>
      </c>
      <c r="CC1581" s="173">
        <f t="shared" si="761"/>
        <v>0</v>
      </c>
    </row>
    <row r="1582" spans="10:81" x14ac:dyDescent="0.25">
      <c r="J1582" s="9"/>
      <c r="K1582" s="10"/>
      <c r="L1582" s="17"/>
      <c r="M1582" s="23"/>
      <c r="N1582" s="23"/>
      <c r="O1582" s="23"/>
      <c r="P1582" s="23"/>
      <c r="Q1582" s="1">
        <f t="shared" si="762"/>
        <v>0.60744618579017706</v>
      </c>
      <c r="R1582" s="12">
        <f t="shared" ca="1" si="749"/>
        <v>46562</v>
      </c>
      <c r="S1582" s="88">
        <f t="shared" si="758"/>
        <v>0</v>
      </c>
      <c r="T1582" s="19">
        <f t="shared" si="750"/>
        <v>0</v>
      </c>
      <c r="U1582" s="19">
        <f t="shared" si="751"/>
        <v>0</v>
      </c>
      <c r="V1582" s="19">
        <f t="shared" si="767"/>
        <v>0</v>
      </c>
      <c r="W1582" s="20">
        <f t="shared" ca="1" si="752"/>
        <v>0</v>
      </c>
      <c r="X1582" s="19">
        <f t="shared" ca="1" si="753"/>
        <v>0</v>
      </c>
      <c r="Y1582" s="19">
        <f t="shared" ca="1" si="754"/>
        <v>0</v>
      </c>
      <c r="Z1582" s="20">
        <f t="shared" ca="1" si="755"/>
        <v>0</v>
      </c>
      <c r="AA1582" s="1">
        <f t="shared" si="763"/>
        <v>5432.58</v>
      </c>
      <c r="AB1582" s="93"/>
      <c r="AC1582" s="94"/>
      <c r="AD1582" s="101">
        <f t="shared" si="764"/>
        <v>87684</v>
      </c>
      <c r="AE1582" s="103">
        <f t="shared" si="765"/>
        <v>0</v>
      </c>
      <c r="AG1582" s="1">
        <f t="shared" si="756"/>
        <v>0</v>
      </c>
      <c r="AH1582" s="1">
        <f t="shared" si="757"/>
        <v>0</v>
      </c>
      <c r="AI1582" s="1">
        <f t="shared" si="766"/>
        <v>5432.58</v>
      </c>
      <c r="AJ1582" s="20">
        <f t="shared" si="768"/>
        <v>0</v>
      </c>
      <c r="AK1582" s="100">
        <f t="shared" si="740"/>
        <v>0</v>
      </c>
      <c r="AL1582" s="100">
        <f t="shared" si="741"/>
        <v>0</v>
      </c>
      <c r="AN1582" s="100">
        <f t="shared" si="742"/>
        <v>2475.584326969918</v>
      </c>
      <c r="AO1582" s="20">
        <f t="shared" si="743"/>
        <v>0</v>
      </c>
      <c r="AQ1582" s="109">
        <f t="shared" si="744"/>
        <v>0</v>
      </c>
      <c r="AU1582" s="109">
        <f t="shared" si="759"/>
        <v>23.612756702688454</v>
      </c>
      <c r="AV1582" s="101">
        <f t="shared" si="745"/>
        <v>87714</v>
      </c>
      <c r="AW1582" s="99">
        <f t="shared" si="746"/>
        <v>0</v>
      </c>
      <c r="AX1582" s="1">
        <f t="shared" si="747"/>
        <v>0</v>
      </c>
      <c r="AY1582" s="29">
        <f t="shared" si="748"/>
        <v>0</v>
      </c>
      <c r="AZ1582" s="1">
        <f t="shared" si="760"/>
        <v>0</v>
      </c>
      <c r="CB1582" s="20">
        <f t="shared" ref="CB1582:CB1645" si="769">IF(O1582=0,IF(P1582&gt;0,V1581,IF(O1581=0,0,P1582)),IF(O1581=0,0,P1582))</f>
        <v>0</v>
      </c>
      <c r="CC1582" s="173">
        <f t="shared" si="761"/>
        <v>0</v>
      </c>
    </row>
    <row r="1583" spans="10:81" x14ac:dyDescent="0.25">
      <c r="J1583" s="7"/>
      <c r="K1583" s="8"/>
      <c r="L1583" s="16"/>
      <c r="M1583" s="22"/>
      <c r="N1583" s="22"/>
      <c r="O1583" s="22"/>
      <c r="P1583" s="22"/>
      <c r="Q1583" s="1">
        <f t="shared" si="762"/>
        <v>0.60744618579017706</v>
      </c>
      <c r="R1583" s="12">
        <f t="shared" ca="1" si="749"/>
        <v>46592</v>
      </c>
      <c r="S1583" s="88">
        <f t="shared" si="758"/>
        <v>0</v>
      </c>
      <c r="T1583" s="19">
        <f t="shared" si="750"/>
        <v>0</v>
      </c>
      <c r="U1583" s="19">
        <f t="shared" si="751"/>
        <v>0</v>
      </c>
      <c r="V1583" s="19">
        <f t="shared" si="767"/>
        <v>0</v>
      </c>
      <c r="W1583" s="20">
        <f t="shared" ca="1" si="752"/>
        <v>0</v>
      </c>
      <c r="X1583" s="19">
        <f t="shared" ca="1" si="753"/>
        <v>0</v>
      </c>
      <c r="Y1583" s="19">
        <f t="shared" ca="1" si="754"/>
        <v>0</v>
      </c>
      <c r="Z1583" s="20">
        <f t="shared" ca="1" si="755"/>
        <v>0</v>
      </c>
      <c r="AA1583" s="1">
        <f t="shared" si="763"/>
        <v>5432.58</v>
      </c>
      <c r="AB1583" s="91"/>
      <c r="AC1583" s="92"/>
      <c r="AD1583" s="101">
        <f t="shared" si="764"/>
        <v>87714</v>
      </c>
      <c r="AE1583" s="103">
        <f t="shared" si="765"/>
        <v>0</v>
      </c>
      <c r="AG1583" s="1">
        <f t="shared" si="756"/>
        <v>0</v>
      </c>
      <c r="AH1583" s="1">
        <f t="shared" si="757"/>
        <v>0</v>
      </c>
      <c r="AI1583" s="1">
        <f t="shared" si="766"/>
        <v>5432.58</v>
      </c>
      <c r="AJ1583" s="20">
        <f t="shared" si="768"/>
        <v>0</v>
      </c>
      <c r="AK1583" s="100">
        <f t="shared" si="740"/>
        <v>0</v>
      </c>
      <c r="AL1583" s="100">
        <f t="shared" si="741"/>
        <v>0</v>
      </c>
      <c r="AN1583" s="100">
        <f t="shared" si="742"/>
        <v>2474.3318074542367</v>
      </c>
      <c r="AO1583" s="20">
        <f t="shared" si="743"/>
        <v>0</v>
      </c>
      <c r="AQ1583" s="109">
        <f t="shared" si="744"/>
        <v>0</v>
      </c>
      <c r="AU1583" s="109">
        <f t="shared" si="759"/>
        <v>23.610684209296743</v>
      </c>
      <c r="AV1583" s="101">
        <f t="shared" si="745"/>
        <v>87744</v>
      </c>
      <c r="AW1583" s="99">
        <f t="shared" si="746"/>
        <v>0</v>
      </c>
      <c r="AX1583" s="1">
        <f t="shared" si="747"/>
        <v>0</v>
      </c>
      <c r="AY1583" s="29">
        <f t="shared" si="748"/>
        <v>0</v>
      </c>
      <c r="AZ1583" s="1">
        <f t="shared" si="760"/>
        <v>0</v>
      </c>
      <c r="CB1583" s="20">
        <f t="shared" si="769"/>
        <v>0</v>
      </c>
      <c r="CC1583" s="173">
        <f t="shared" si="761"/>
        <v>0</v>
      </c>
    </row>
    <row r="1584" spans="10:81" x14ac:dyDescent="0.25">
      <c r="J1584" s="9"/>
      <c r="K1584" s="10"/>
      <c r="L1584" s="17"/>
      <c r="M1584" s="23"/>
      <c r="N1584" s="23"/>
      <c r="O1584" s="23"/>
      <c r="P1584" s="23"/>
      <c r="Q1584" s="1">
        <f t="shared" si="762"/>
        <v>0.60744618579017706</v>
      </c>
      <c r="R1584" s="12">
        <f t="shared" ca="1" si="749"/>
        <v>46622</v>
      </c>
      <c r="S1584" s="88">
        <f t="shared" si="758"/>
        <v>0</v>
      </c>
      <c r="T1584" s="19">
        <f t="shared" si="750"/>
        <v>0</v>
      </c>
      <c r="U1584" s="19">
        <f t="shared" si="751"/>
        <v>0</v>
      </c>
      <c r="V1584" s="19">
        <f t="shared" si="767"/>
        <v>0</v>
      </c>
      <c r="W1584" s="20">
        <f t="shared" ca="1" si="752"/>
        <v>0</v>
      </c>
      <c r="X1584" s="19">
        <f t="shared" ca="1" si="753"/>
        <v>0</v>
      </c>
      <c r="Y1584" s="19">
        <f t="shared" ca="1" si="754"/>
        <v>0</v>
      </c>
      <c r="Z1584" s="20">
        <f t="shared" ca="1" si="755"/>
        <v>0</v>
      </c>
      <c r="AA1584" s="1">
        <f t="shared" si="763"/>
        <v>5432.58</v>
      </c>
      <c r="AB1584" s="93"/>
      <c r="AC1584" s="94"/>
      <c r="AD1584" s="101">
        <f t="shared" si="764"/>
        <v>87744</v>
      </c>
      <c r="AE1584" s="103">
        <f t="shared" si="765"/>
        <v>0</v>
      </c>
      <c r="AG1584" s="1">
        <f t="shared" si="756"/>
        <v>0</v>
      </c>
      <c r="AH1584" s="1">
        <f t="shared" si="757"/>
        <v>0</v>
      </c>
      <c r="AI1584" s="1">
        <f t="shared" si="766"/>
        <v>5432.58</v>
      </c>
      <c r="AJ1584" s="20">
        <f t="shared" si="768"/>
        <v>0</v>
      </c>
      <c r="AK1584" s="100">
        <f t="shared" si="740"/>
        <v>0</v>
      </c>
      <c r="AL1584" s="100">
        <f t="shared" si="741"/>
        <v>0</v>
      </c>
      <c r="AN1584" s="100">
        <f t="shared" si="742"/>
        <v>2473.079921649603</v>
      </c>
      <c r="AO1584" s="20">
        <f t="shared" si="743"/>
        <v>0</v>
      </c>
      <c r="AQ1584" s="109">
        <f t="shared" si="744"/>
        <v>0</v>
      </c>
      <c r="AU1584" s="109">
        <f t="shared" si="759"/>
        <v>23.608611897807943</v>
      </c>
      <c r="AV1584" s="101">
        <f t="shared" si="745"/>
        <v>87774</v>
      </c>
      <c r="AW1584" s="99">
        <f t="shared" si="746"/>
        <v>0</v>
      </c>
      <c r="AX1584" s="1">
        <f t="shared" si="747"/>
        <v>0</v>
      </c>
      <c r="AY1584" s="29">
        <f t="shared" si="748"/>
        <v>0</v>
      </c>
      <c r="AZ1584" s="1">
        <f t="shared" si="760"/>
        <v>0</v>
      </c>
      <c r="CB1584" s="20">
        <f t="shared" si="769"/>
        <v>0</v>
      </c>
      <c r="CC1584" s="173">
        <f t="shared" si="761"/>
        <v>0</v>
      </c>
    </row>
    <row r="1585" spans="10:81" x14ac:dyDescent="0.25">
      <c r="J1585" s="7"/>
      <c r="K1585" s="8"/>
      <c r="L1585" s="16"/>
      <c r="M1585" s="22"/>
      <c r="N1585" s="22"/>
      <c r="O1585" s="22"/>
      <c r="P1585" s="22"/>
      <c r="Q1585" s="1">
        <f t="shared" si="762"/>
        <v>0.60744618579017706</v>
      </c>
      <c r="R1585" s="12">
        <f t="shared" ca="1" si="749"/>
        <v>46652</v>
      </c>
      <c r="S1585" s="88">
        <f t="shared" si="758"/>
        <v>0</v>
      </c>
      <c r="T1585" s="19">
        <f t="shared" si="750"/>
        <v>0</v>
      </c>
      <c r="U1585" s="19">
        <f t="shared" si="751"/>
        <v>0</v>
      </c>
      <c r="V1585" s="19">
        <f t="shared" si="767"/>
        <v>0</v>
      </c>
      <c r="W1585" s="20">
        <f t="shared" ca="1" si="752"/>
        <v>0</v>
      </c>
      <c r="X1585" s="19">
        <f t="shared" ca="1" si="753"/>
        <v>0</v>
      </c>
      <c r="Y1585" s="19">
        <f t="shared" ca="1" si="754"/>
        <v>0</v>
      </c>
      <c r="Z1585" s="20">
        <f t="shared" ca="1" si="755"/>
        <v>0</v>
      </c>
      <c r="AA1585" s="1">
        <f t="shared" si="763"/>
        <v>5432.58</v>
      </c>
      <c r="AB1585" s="91"/>
      <c r="AC1585" s="92"/>
      <c r="AD1585" s="101">
        <f t="shared" si="764"/>
        <v>87774</v>
      </c>
      <c r="AE1585" s="103">
        <f t="shared" si="765"/>
        <v>0</v>
      </c>
      <c r="AG1585" s="1">
        <f t="shared" si="756"/>
        <v>0</v>
      </c>
      <c r="AH1585" s="1">
        <f t="shared" si="757"/>
        <v>0</v>
      </c>
      <c r="AI1585" s="1">
        <f t="shared" si="766"/>
        <v>5432.58</v>
      </c>
      <c r="AJ1585" s="20">
        <f t="shared" si="768"/>
        <v>0</v>
      </c>
      <c r="AK1585" s="100">
        <f t="shared" si="740"/>
        <v>0</v>
      </c>
      <c r="AL1585" s="100">
        <f t="shared" si="741"/>
        <v>0</v>
      </c>
      <c r="AN1585" s="100">
        <f t="shared" si="742"/>
        <v>2471.8286692353909</v>
      </c>
      <c r="AO1585" s="20">
        <f t="shared" si="743"/>
        <v>0</v>
      </c>
      <c r="AQ1585" s="109">
        <f t="shared" si="744"/>
        <v>0</v>
      </c>
      <c r="AU1585" s="109">
        <f t="shared" si="759"/>
        <v>23.606539768206073</v>
      </c>
      <c r="AV1585" s="101">
        <f t="shared" si="745"/>
        <v>87804</v>
      </c>
      <c r="AW1585" s="99">
        <f t="shared" si="746"/>
        <v>0</v>
      </c>
      <c r="AX1585" s="1">
        <f t="shared" si="747"/>
        <v>0</v>
      </c>
      <c r="AY1585" s="29">
        <f t="shared" si="748"/>
        <v>0</v>
      </c>
      <c r="AZ1585" s="1">
        <f t="shared" si="760"/>
        <v>0</v>
      </c>
      <c r="CB1585" s="20">
        <f t="shared" si="769"/>
        <v>0</v>
      </c>
      <c r="CC1585" s="173">
        <f t="shared" si="761"/>
        <v>0</v>
      </c>
    </row>
    <row r="1586" spans="10:81" x14ac:dyDescent="0.25">
      <c r="J1586" s="9"/>
      <c r="K1586" s="10"/>
      <c r="L1586" s="17"/>
      <c r="M1586" s="23"/>
      <c r="N1586" s="23"/>
      <c r="O1586" s="23"/>
      <c r="P1586" s="23"/>
      <c r="Q1586" s="1">
        <f t="shared" si="762"/>
        <v>0.60744618579017706</v>
      </c>
      <c r="R1586" s="12">
        <f t="shared" ca="1" si="749"/>
        <v>46682</v>
      </c>
      <c r="S1586" s="88">
        <f t="shared" si="758"/>
        <v>0</v>
      </c>
      <c r="T1586" s="19">
        <f t="shared" si="750"/>
        <v>0</v>
      </c>
      <c r="U1586" s="19">
        <f t="shared" si="751"/>
        <v>0</v>
      </c>
      <c r="V1586" s="19">
        <f t="shared" si="767"/>
        <v>0</v>
      </c>
      <c r="W1586" s="20">
        <f t="shared" ca="1" si="752"/>
        <v>0</v>
      </c>
      <c r="X1586" s="19">
        <f t="shared" ca="1" si="753"/>
        <v>0</v>
      </c>
      <c r="Y1586" s="19">
        <f t="shared" ca="1" si="754"/>
        <v>0</v>
      </c>
      <c r="Z1586" s="20">
        <f t="shared" ca="1" si="755"/>
        <v>0</v>
      </c>
      <c r="AA1586" s="1">
        <f t="shared" si="763"/>
        <v>5432.58</v>
      </c>
      <c r="AB1586" s="93"/>
      <c r="AC1586" s="94"/>
      <c r="AD1586" s="101">
        <f t="shared" si="764"/>
        <v>87804</v>
      </c>
      <c r="AE1586" s="103">
        <f t="shared" si="765"/>
        <v>0</v>
      </c>
      <c r="AG1586" s="1">
        <f t="shared" si="756"/>
        <v>0</v>
      </c>
      <c r="AH1586" s="1">
        <f t="shared" si="757"/>
        <v>0</v>
      </c>
      <c r="AI1586" s="1">
        <f t="shared" si="766"/>
        <v>5432.58</v>
      </c>
      <c r="AJ1586" s="20">
        <f t="shared" si="768"/>
        <v>0</v>
      </c>
      <c r="AK1586" s="100">
        <f t="shared" si="740"/>
        <v>0</v>
      </c>
      <c r="AL1586" s="100">
        <f t="shared" si="741"/>
        <v>0</v>
      </c>
      <c r="AN1586" s="100">
        <f t="shared" si="742"/>
        <v>2470.5780498911386</v>
      </c>
      <c r="AO1586" s="20">
        <f t="shared" si="743"/>
        <v>0</v>
      </c>
      <c r="AQ1586" s="109">
        <f t="shared" si="744"/>
        <v>0</v>
      </c>
      <c r="AU1586" s="109">
        <f t="shared" si="759"/>
        <v>23.604467820475161</v>
      </c>
      <c r="AV1586" s="101">
        <f t="shared" si="745"/>
        <v>87834</v>
      </c>
      <c r="AW1586" s="99">
        <f t="shared" si="746"/>
        <v>0</v>
      </c>
      <c r="AX1586" s="1">
        <f t="shared" si="747"/>
        <v>0</v>
      </c>
      <c r="AY1586" s="29">
        <f t="shared" si="748"/>
        <v>0</v>
      </c>
      <c r="AZ1586" s="1">
        <f t="shared" si="760"/>
        <v>0</v>
      </c>
      <c r="CB1586" s="20">
        <f t="shared" si="769"/>
        <v>0</v>
      </c>
      <c r="CC1586" s="173">
        <f t="shared" si="761"/>
        <v>0</v>
      </c>
    </row>
    <row r="1587" spans="10:81" x14ac:dyDescent="0.25">
      <c r="J1587" s="7"/>
      <c r="K1587" s="8"/>
      <c r="L1587" s="16"/>
      <c r="M1587" s="22"/>
      <c r="N1587" s="22"/>
      <c r="O1587" s="22"/>
      <c r="P1587" s="22"/>
      <c r="Q1587" s="1">
        <f t="shared" si="762"/>
        <v>0.60744618579017706</v>
      </c>
      <c r="R1587" s="12">
        <f t="shared" ca="1" si="749"/>
        <v>46712</v>
      </c>
      <c r="S1587" s="88">
        <f t="shared" si="758"/>
        <v>0</v>
      </c>
      <c r="T1587" s="19">
        <f t="shared" si="750"/>
        <v>0</v>
      </c>
      <c r="U1587" s="19">
        <f t="shared" si="751"/>
        <v>0</v>
      </c>
      <c r="V1587" s="19">
        <f t="shared" si="767"/>
        <v>0</v>
      </c>
      <c r="W1587" s="20">
        <f t="shared" ca="1" si="752"/>
        <v>0</v>
      </c>
      <c r="X1587" s="19">
        <f t="shared" ca="1" si="753"/>
        <v>0</v>
      </c>
      <c r="Y1587" s="19">
        <f t="shared" ca="1" si="754"/>
        <v>0</v>
      </c>
      <c r="Z1587" s="20">
        <f t="shared" ca="1" si="755"/>
        <v>0</v>
      </c>
      <c r="AA1587" s="1">
        <f t="shared" si="763"/>
        <v>5432.58</v>
      </c>
      <c r="AB1587" s="91"/>
      <c r="AC1587" s="92"/>
      <c r="AD1587" s="101">
        <f t="shared" si="764"/>
        <v>87834</v>
      </c>
      <c r="AE1587" s="103">
        <f t="shared" si="765"/>
        <v>0</v>
      </c>
      <c r="AG1587" s="1">
        <f t="shared" si="756"/>
        <v>0</v>
      </c>
      <c r="AH1587" s="1">
        <f t="shared" si="757"/>
        <v>0</v>
      </c>
      <c r="AI1587" s="1">
        <f t="shared" si="766"/>
        <v>5432.58</v>
      </c>
      <c r="AJ1587" s="20">
        <f t="shared" si="768"/>
        <v>0</v>
      </c>
      <c r="AK1587" s="100">
        <f t="shared" si="740"/>
        <v>0</v>
      </c>
      <c r="AL1587" s="100">
        <f t="shared" si="741"/>
        <v>0</v>
      </c>
      <c r="AN1587" s="100">
        <f t="shared" si="742"/>
        <v>2469.328063296542</v>
      </c>
      <c r="AO1587" s="20">
        <f t="shared" si="743"/>
        <v>0</v>
      </c>
      <c r="AQ1587" s="109">
        <f t="shared" si="744"/>
        <v>0</v>
      </c>
      <c r="AU1587" s="109">
        <f t="shared" si="759"/>
        <v>23.602396054599264</v>
      </c>
      <c r="AV1587" s="101">
        <f t="shared" si="745"/>
        <v>87864</v>
      </c>
      <c r="AW1587" s="99">
        <f t="shared" si="746"/>
        <v>0</v>
      </c>
      <c r="AX1587" s="1">
        <f t="shared" si="747"/>
        <v>0</v>
      </c>
      <c r="AY1587" s="29">
        <f t="shared" si="748"/>
        <v>0</v>
      </c>
      <c r="AZ1587" s="1">
        <f t="shared" si="760"/>
        <v>0</v>
      </c>
      <c r="CB1587" s="20">
        <f t="shared" si="769"/>
        <v>0</v>
      </c>
      <c r="CC1587" s="173">
        <f t="shared" si="761"/>
        <v>0</v>
      </c>
    </row>
    <row r="1588" spans="10:81" x14ac:dyDescent="0.25">
      <c r="J1588" s="9"/>
      <c r="K1588" s="10"/>
      <c r="L1588" s="17"/>
      <c r="M1588" s="23"/>
      <c r="N1588" s="23"/>
      <c r="O1588" s="23"/>
      <c r="P1588" s="23"/>
      <c r="Q1588" s="1">
        <f t="shared" si="762"/>
        <v>0.60744618579017706</v>
      </c>
      <c r="R1588" s="12">
        <f t="shared" ca="1" si="749"/>
        <v>46742</v>
      </c>
      <c r="S1588" s="88">
        <f t="shared" si="758"/>
        <v>0</v>
      </c>
      <c r="T1588" s="19">
        <f t="shared" si="750"/>
        <v>0</v>
      </c>
      <c r="U1588" s="19">
        <f t="shared" si="751"/>
        <v>0</v>
      </c>
      <c r="V1588" s="19">
        <f t="shared" si="767"/>
        <v>0</v>
      </c>
      <c r="W1588" s="20">
        <f t="shared" ca="1" si="752"/>
        <v>0</v>
      </c>
      <c r="X1588" s="19">
        <f t="shared" ca="1" si="753"/>
        <v>0</v>
      </c>
      <c r="Y1588" s="19">
        <f t="shared" ca="1" si="754"/>
        <v>0</v>
      </c>
      <c r="Z1588" s="20">
        <f t="shared" ca="1" si="755"/>
        <v>0</v>
      </c>
      <c r="AA1588" s="1">
        <f t="shared" si="763"/>
        <v>5432.58</v>
      </c>
      <c r="AB1588" s="93"/>
      <c r="AC1588" s="94"/>
      <c r="AD1588" s="101">
        <f t="shared" si="764"/>
        <v>87864</v>
      </c>
      <c r="AE1588" s="103">
        <f t="shared" si="765"/>
        <v>0</v>
      </c>
      <c r="AG1588" s="1">
        <f t="shared" si="756"/>
        <v>0</v>
      </c>
      <c r="AH1588" s="1">
        <f t="shared" si="757"/>
        <v>0</v>
      </c>
      <c r="AI1588" s="1">
        <f t="shared" si="766"/>
        <v>5432.58</v>
      </c>
      <c r="AJ1588" s="20">
        <f t="shared" si="768"/>
        <v>0</v>
      </c>
      <c r="AK1588" s="100">
        <f t="shared" si="740"/>
        <v>0</v>
      </c>
      <c r="AL1588" s="100">
        <f t="shared" si="741"/>
        <v>0</v>
      </c>
      <c r="AN1588" s="100">
        <f t="shared" si="742"/>
        <v>2468.078709131466</v>
      </c>
      <c r="AO1588" s="20">
        <f t="shared" si="743"/>
        <v>0</v>
      </c>
      <c r="AQ1588" s="109">
        <f t="shared" si="744"/>
        <v>0</v>
      </c>
      <c r="AU1588" s="109">
        <f t="shared" si="759"/>
        <v>23.600324470562409</v>
      </c>
      <c r="AV1588" s="101">
        <f t="shared" si="745"/>
        <v>87894</v>
      </c>
      <c r="AW1588" s="99">
        <f t="shared" si="746"/>
        <v>0</v>
      </c>
      <c r="AX1588" s="1">
        <f t="shared" si="747"/>
        <v>0</v>
      </c>
      <c r="AY1588" s="29">
        <f t="shared" si="748"/>
        <v>0</v>
      </c>
      <c r="AZ1588" s="1">
        <f t="shared" si="760"/>
        <v>0</v>
      </c>
      <c r="CB1588" s="20">
        <f t="shared" si="769"/>
        <v>0</v>
      </c>
      <c r="CC1588" s="173">
        <f t="shared" si="761"/>
        <v>0</v>
      </c>
    </row>
    <row r="1589" spans="10:81" x14ac:dyDescent="0.25">
      <c r="J1589" s="7"/>
      <c r="K1589" s="8"/>
      <c r="L1589" s="16"/>
      <c r="M1589" s="22"/>
      <c r="N1589" s="22"/>
      <c r="O1589" s="22"/>
      <c r="P1589" s="22"/>
      <c r="Q1589" s="1">
        <f t="shared" si="762"/>
        <v>0.60744618579017706</v>
      </c>
      <c r="R1589" s="12">
        <f t="shared" ca="1" si="749"/>
        <v>46772</v>
      </c>
      <c r="S1589" s="88">
        <f t="shared" si="758"/>
        <v>0</v>
      </c>
      <c r="T1589" s="19">
        <f t="shared" si="750"/>
        <v>0</v>
      </c>
      <c r="U1589" s="19">
        <f t="shared" si="751"/>
        <v>0</v>
      </c>
      <c r="V1589" s="19">
        <f t="shared" si="767"/>
        <v>0</v>
      </c>
      <c r="W1589" s="20">
        <f t="shared" ca="1" si="752"/>
        <v>0</v>
      </c>
      <c r="X1589" s="19">
        <f t="shared" ca="1" si="753"/>
        <v>0</v>
      </c>
      <c r="Y1589" s="19">
        <f t="shared" ca="1" si="754"/>
        <v>0</v>
      </c>
      <c r="Z1589" s="20">
        <f t="shared" ca="1" si="755"/>
        <v>0</v>
      </c>
      <c r="AA1589" s="1">
        <f t="shared" si="763"/>
        <v>5432.58</v>
      </c>
      <c r="AB1589" s="91"/>
      <c r="AC1589" s="92"/>
      <c r="AD1589" s="101">
        <f t="shared" si="764"/>
        <v>87894</v>
      </c>
      <c r="AE1589" s="103">
        <f t="shared" si="765"/>
        <v>0</v>
      </c>
      <c r="AG1589" s="1">
        <f t="shared" si="756"/>
        <v>0</v>
      </c>
      <c r="AH1589" s="1">
        <f t="shared" si="757"/>
        <v>0</v>
      </c>
      <c r="AI1589" s="1">
        <f t="shared" si="766"/>
        <v>5432.58</v>
      </c>
      <c r="AJ1589" s="20">
        <f t="shared" si="768"/>
        <v>0</v>
      </c>
      <c r="AK1589" s="100">
        <f t="shared" si="740"/>
        <v>0</v>
      </c>
      <c r="AL1589" s="100">
        <f t="shared" si="741"/>
        <v>0</v>
      </c>
      <c r="AN1589" s="100">
        <f t="shared" si="742"/>
        <v>2466.8299870759311</v>
      </c>
      <c r="AO1589" s="20">
        <f t="shared" si="743"/>
        <v>0</v>
      </c>
      <c r="AQ1589" s="109">
        <f t="shared" si="744"/>
        <v>0</v>
      </c>
      <c r="AU1589" s="109">
        <f t="shared" si="759"/>
        <v>23.598253068348633</v>
      </c>
      <c r="AV1589" s="101">
        <f t="shared" si="745"/>
        <v>87924</v>
      </c>
      <c r="AW1589" s="99">
        <f t="shared" si="746"/>
        <v>0</v>
      </c>
      <c r="AX1589" s="1">
        <f t="shared" si="747"/>
        <v>0</v>
      </c>
      <c r="AY1589" s="29">
        <f t="shared" si="748"/>
        <v>0</v>
      </c>
      <c r="AZ1589" s="1">
        <f t="shared" si="760"/>
        <v>0</v>
      </c>
      <c r="CB1589" s="20">
        <f t="shared" si="769"/>
        <v>0</v>
      </c>
      <c r="CC1589" s="173">
        <f t="shared" si="761"/>
        <v>0</v>
      </c>
    </row>
    <row r="1590" spans="10:81" x14ac:dyDescent="0.25">
      <c r="J1590" s="9"/>
      <c r="K1590" s="10"/>
      <c r="L1590" s="17"/>
      <c r="M1590" s="23"/>
      <c r="N1590" s="23"/>
      <c r="O1590" s="23"/>
      <c r="P1590" s="23"/>
      <c r="Q1590" s="1">
        <f t="shared" si="762"/>
        <v>0.60744618579017706</v>
      </c>
      <c r="R1590" s="12">
        <f t="shared" ca="1" si="749"/>
        <v>46802</v>
      </c>
      <c r="S1590" s="88">
        <f t="shared" si="758"/>
        <v>0</v>
      </c>
      <c r="T1590" s="19">
        <f t="shared" si="750"/>
        <v>0</v>
      </c>
      <c r="U1590" s="19">
        <f t="shared" si="751"/>
        <v>0</v>
      </c>
      <c r="V1590" s="19">
        <f t="shared" si="767"/>
        <v>0</v>
      </c>
      <c r="W1590" s="20">
        <f t="shared" ca="1" si="752"/>
        <v>0</v>
      </c>
      <c r="X1590" s="19">
        <f t="shared" ca="1" si="753"/>
        <v>0</v>
      </c>
      <c r="Y1590" s="19">
        <f t="shared" ca="1" si="754"/>
        <v>0</v>
      </c>
      <c r="Z1590" s="20">
        <f t="shared" ca="1" si="755"/>
        <v>0</v>
      </c>
      <c r="AA1590" s="1">
        <f t="shared" si="763"/>
        <v>5432.58</v>
      </c>
      <c r="AB1590" s="93"/>
      <c r="AC1590" s="94"/>
      <c r="AD1590" s="101">
        <f t="shared" si="764"/>
        <v>87924</v>
      </c>
      <c r="AE1590" s="103">
        <f t="shared" si="765"/>
        <v>0</v>
      </c>
      <c r="AG1590" s="1">
        <f t="shared" si="756"/>
        <v>0</v>
      </c>
      <c r="AH1590" s="1">
        <f t="shared" si="757"/>
        <v>0</v>
      </c>
      <c r="AI1590" s="1">
        <f t="shared" si="766"/>
        <v>5432.58</v>
      </c>
      <c r="AJ1590" s="20">
        <f t="shared" si="768"/>
        <v>0</v>
      </c>
      <c r="AK1590" s="100">
        <f t="shared" ref="AK1590:AK1653" si="770">IF(ISERROR(AJ1590/(1+(Q1590)/1200)^(ROW()-29)),0,AJ1590/(1+(Q1590)/1200)^(ROW()-29))</f>
        <v>0</v>
      </c>
      <c r="AL1590" s="100">
        <f t="shared" ref="AL1590:AL1653" si="771">IF(ISERROR((Q1590/1200)*O1590),0,(Q1590/1200)*O1590)</f>
        <v>0</v>
      </c>
      <c r="AN1590" s="100">
        <f t="shared" ref="AN1590:AN1653" si="772">IF(ISERROR(AA1590/(1+(Q1590)/1200)^(ROW()-29)),0,AA1590/(1+(Q1590)/1200)^(ROW()-29))</f>
        <v>2465.5818968101212</v>
      </c>
      <c r="AO1590" s="20">
        <f t="shared" ref="AO1590:AO1653" si="773">IF(ISERROR(V1589+U1590+T1590+(V1589*Q1590/1200)-AA1590-P1590),0,IF(V1589+U1590+T1590+(V1589*Q1590/1200)-AA1590-P1590&lt;0,V1589,-(U1590+T1590-AA1590+P1590-AH1590)))</f>
        <v>0</v>
      </c>
      <c r="AQ1590" s="109">
        <f t="shared" ref="AQ1590:AQ1653" si="774">AO1590/(1+((1+$AM$27)^((ROW()-29)*30)-1))</f>
        <v>0</v>
      </c>
      <c r="AU1590" s="109">
        <f t="shared" si="759"/>
        <v>23.596181847941981</v>
      </c>
      <c r="AV1590" s="101">
        <f t="shared" ref="AV1590:AV1653" si="775">AD1591</f>
        <v>87954</v>
      </c>
      <c r="AW1590" s="99">
        <f t="shared" ref="AW1590:AW1653" si="776">IF(AJ1591&lt;0,0,AJ1591)</f>
        <v>0</v>
      </c>
      <c r="AX1590" s="1">
        <f t="shared" ref="AX1590:AX1653" si="777">IF(AG1590&gt;0,AA1590,0)</f>
        <v>0</v>
      </c>
      <c r="AY1590" s="29">
        <f t="shared" ref="AY1590:AY1653" si="778">AE1590</f>
        <v>0</v>
      </c>
      <c r="AZ1590" s="1">
        <f t="shared" si="760"/>
        <v>0</v>
      </c>
      <c r="CB1590" s="20">
        <f t="shared" si="769"/>
        <v>0</v>
      </c>
      <c r="CC1590" s="173">
        <f t="shared" si="761"/>
        <v>0</v>
      </c>
    </row>
    <row r="1591" spans="10:81" x14ac:dyDescent="0.25">
      <c r="J1591" s="7"/>
      <c r="K1591" s="8"/>
      <c r="L1591" s="16"/>
      <c r="M1591" s="22"/>
      <c r="N1591" s="22"/>
      <c r="O1591" s="22"/>
      <c r="P1591" s="22"/>
      <c r="Q1591" s="1">
        <f t="shared" si="762"/>
        <v>0.60744618579017706</v>
      </c>
      <c r="R1591" s="12">
        <f t="shared" ref="R1591:R1654" ca="1" si="779">IF(ROW()&gt;$T$20,R1590+30,DAYS360(K1590,K1591)+R1590)</f>
        <v>46832</v>
      </c>
      <c r="S1591" s="88">
        <f t="shared" si="758"/>
        <v>0</v>
      </c>
      <c r="T1591" s="19">
        <f t="shared" ref="T1591:T1654" si="780">IF(ISERROR((previousBalance*Q1591/1200)*(IF(ROW()-30&lt;$G$22,$G$21,0))),0,(previousBalance*Q1591/1200)*(IF(ROW()-30&lt;$G$22,$G$21,0)))</f>
        <v>0</v>
      </c>
      <c r="U1591" s="19">
        <f t="shared" ref="U1591:U1654" si="781">AA1591*(IF(ROW()-30&lt;$H$22,$H$21,0))</f>
        <v>0</v>
      </c>
      <c r="V1591" s="19">
        <f t="shared" si="767"/>
        <v>0</v>
      </c>
      <c r="W1591" s="20">
        <f t="shared" ref="W1591:W1654" ca="1" si="782">(T1591)/(1+((1+$T$12)^$R1591-1))</f>
        <v>0</v>
      </c>
      <c r="X1591" s="19">
        <f t="shared" ref="X1591:X1654" ca="1" si="783">(U1591)/(1+((1+$T$12)^$R1591-1))</f>
        <v>0</v>
      </c>
      <c r="Y1591" s="19">
        <f t="shared" ref="Y1591:Y1654" ca="1" si="784">P1591/(1+((1+$T$12)^$R1591-1))</f>
        <v>0</v>
      </c>
      <c r="Z1591" s="20">
        <f t="shared" ref="Z1591:Z1654" ca="1" si="785">W1591+X1591</f>
        <v>0</v>
      </c>
      <c r="AA1591" s="1">
        <f t="shared" si="763"/>
        <v>5432.58</v>
      </c>
      <c r="AB1591" s="91"/>
      <c r="AC1591" s="92"/>
      <c r="AD1591" s="101">
        <f t="shared" si="764"/>
        <v>87954</v>
      </c>
      <c r="AE1591" s="103">
        <f t="shared" si="765"/>
        <v>0</v>
      </c>
      <c r="AG1591" s="1">
        <f t="shared" ref="AG1591:AG1654" si="786">AE1591/360</f>
        <v>0</v>
      </c>
      <c r="AH1591" s="1">
        <f t="shared" ref="AH1591:AH1654" si="787">IF(ISERROR(IF(V1590+U1591+T1591+(V1590*Q1591/1200)-AA1591-P1591&lt;0,0,(V1590*Q1591/1200))),0,IF(V1590+U1591+T1591+(V1590*Q1591/1200)-AA1591-P1591&lt;0,0,(V1590*Q1591/1200)))</f>
        <v>0</v>
      </c>
      <c r="AI1591" s="1">
        <f t="shared" si="766"/>
        <v>5432.58</v>
      </c>
      <c r="AJ1591" s="20">
        <f t="shared" si="768"/>
        <v>0</v>
      </c>
      <c r="AK1591" s="100">
        <f t="shared" si="770"/>
        <v>0</v>
      </c>
      <c r="AL1591" s="100">
        <f t="shared" si="771"/>
        <v>0</v>
      </c>
      <c r="AN1591" s="100">
        <f t="shared" si="772"/>
        <v>2464.3344380143853</v>
      </c>
      <c r="AO1591" s="20">
        <f t="shared" si="773"/>
        <v>0</v>
      </c>
      <c r="AQ1591" s="109">
        <f t="shared" si="774"/>
        <v>0</v>
      </c>
      <c r="AU1591" s="109">
        <f t="shared" si="759"/>
        <v>23.594110809326494</v>
      </c>
      <c r="AV1591" s="101">
        <f t="shared" si="775"/>
        <v>87984</v>
      </c>
      <c r="AW1591" s="99">
        <f t="shared" si="776"/>
        <v>0</v>
      </c>
      <c r="AX1591" s="1">
        <f t="shared" si="777"/>
        <v>0</v>
      </c>
      <c r="AY1591" s="29">
        <f t="shared" si="778"/>
        <v>0</v>
      </c>
      <c r="AZ1591" s="1">
        <f t="shared" si="760"/>
        <v>0</v>
      </c>
      <c r="CB1591" s="20">
        <f t="shared" si="769"/>
        <v>0</v>
      </c>
      <c r="CC1591" s="173">
        <f t="shared" si="761"/>
        <v>0</v>
      </c>
    </row>
    <row r="1592" spans="10:81" x14ac:dyDescent="0.25">
      <c r="J1592" s="9"/>
      <c r="K1592" s="10"/>
      <c r="L1592" s="17"/>
      <c r="M1592" s="23"/>
      <c r="N1592" s="23"/>
      <c r="O1592" s="23"/>
      <c r="P1592" s="23"/>
      <c r="Q1592" s="1">
        <f t="shared" si="762"/>
        <v>0.60744618579017706</v>
      </c>
      <c r="R1592" s="12">
        <f t="shared" ca="1" si="779"/>
        <v>46862</v>
      </c>
      <c r="S1592" s="88">
        <f t="shared" si="758"/>
        <v>0</v>
      </c>
      <c r="T1592" s="19">
        <f t="shared" si="780"/>
        <v>0</v>
      </c>
      <c r="U1592" s="19">
        <f t="shared" si="781"/>
        <v>0</v>
      </c>
      <c r="V1592" s="19">
        <f t="shared" si="767"/>
        <v>0</v>
      </c>
      <c r="W1592" s="20">
        <f t="shared" ca="1" si="782"/>
        <v>0</v>
      </c>
      <c r="X1592" s="19">
        <f t="shared" ca="1" si="783"/>
        <v>0</v>
      </c>
      <c r="Y1592" s="19">
        <f t="shared" ca="1" si="784"/>
        <v>0</v>
      </c>
      <c r="Z1592" s="20">
        <f t="shared" ca="1" si="785"/>
        <v>0</v>
      </c>
      <c r="AA1592" s="1">
        <f t="shared" si="763"/>
        <v>5432.58</v>
      </c>
      <c r="AB1592" s="93"/>
      <c r="AC1592" s="94"/>
      <c r="AD1592" s="101">
        <f t="shared" si="764"/>
        <v>87984</v>
      </c>
      <c r="AE1592" s="103">
        <f t="shared" si="765"/>
        <v>0</v>
      </c>
      <c r="AG1592" s="1">
        <f t="shared" si="786"/>
        <v>0</v>
      </c>
      <c r="AH1592" s="1">
        <f t="shared" si="787"/>
        <v>0</v>
      </c>
      <c r="AI1592" s="1">
        <f t="shared" si="766"/>
        <v>5432.58</v>
      </c>
      <c r="AJ1592" s="20">
        <f t="shared" si="768"/>
        <v>0</v>
      </c>
      <c r="AK1592" s="100">
        <f t="shared" si="770"/>
        <v>0</v>
      </c>
      <c r="AL1592" s="100">
        <f t="shared" si="771"/>
        <v>0</v>
      </c>
      <c r="AN1592" s="100">
        <f t="shared" si="772"/>
        <v>2463.0876103692299</v>
      </c>
      <c r="AO1592" s="20">
        <f t="shared" si="773"/>
        <v>0</v>
      </c>
      <c r="AQ1592" s="109">
        <f t="shared" si="774"/>
        <v>0</v>
      </c>
      <c r="AU1592" s="109">
        <f t="shared" si="759"/>
        <v>23.592039952486228</v>
      </c>
      <c r="AV1592" s="101">
        <f t="shared" si="775"/>
        <v>88014</v>
      </c>
      <c r="AW1592" s="99">
        <f t="shared" si="776"/>
        <v>0</v>
      </c>
      <c r="AX1592" s="1">
        <f t="shared" si="777"/>
        <v>0</v>
      </c>
      <c r="AY1592" s="29">
        <f t="shared" si="778"/>
        <v>0</v>
      </c>
      <c r="AZ1592" s="1">
        <f t="shared" si="760"/>
        <v>0</v>
      </c>
      <c r="CB1592" s="20">
        <f t="shared" si="769"/>
        <v>0</v>
      </c>
      <c r="CC1592" s="173">
        <f t="shared" si="761"/>
        <v>0</v>
      </c>
    </row>
    <row r="1593" spans="10:81" x14ac:dyDescent="0.25">
      <c r="J1593" s="7"/>
      <c r="K1593" s="8"/>
      <c r="L1593" s="16"/>
      <c r="M1593" s="22"/>
      <c r="N1593" s="22"/>
      <c r="O1593" s="22"/>
      <c r="P1593" s="22"/>
      <c r="Q1593" s="1">
        <f t="shared" si="762"/>
        <v>0.60744618579017706</v>
      </c>
      <c r="R1593" s="12">
        <f t="shared" ca="1" si="779"/>
        <v>46892</v>
      </c>
      <c r="S1593" s="88">
        <f t="shared" si="758"/>
        <v>0</v>
      </c>
      <c r="T1593" s="19">
        <f t="shared" si="780"/>
        <v>0</v>
      </c>
      <c r="U1593" s="19">
        <f t="shared" si="781"/>
        <v>0</v>
      </c>
      <c r="V1593" s="19">
        <f t="shared" si="767"/>
        <v>0</v>
      </c>
      <c r="W1593" s="20">
        <f t="shared" ca="1" si="782"/>
        <v>0</v>
      </c>
      <c r="X1593" s="19">
        <f t="shared" ca="1" si="783"/>
        <v>0</v>
      </c>
      <c r="Y1593" s="19">
        <f t="shared" ca="1" si="784"/>
        <v>0</v>
      </c>
      <c r="Z1593" s="20">
        <f t="shared" ca="1" si="785"/>
        <v>0</v>
      </c>
      <c r="AA1593" s="1">
        <f t="shared" si="763"/>
        <v>5432.58</v>
      </c>
      <c r="AB1593" s="91"/>
      <c r="AC1593" s="92"/>
      <c r="AD1593" s="101">
        <f t="shared" si="764"/>
        <v>88014</v>
      </c>
      <c r="AE1593" s="103">
        <f t="shared" si="765"/>
        <v>0</v>
      </c>
      <c r="AG1593" s="1">
        <f t="shared" si="786"/>
        <v>0</v>
      </c>
      <c r="AH1593" s="1">
        <f t="shared" si="787"/>
        <v>0</v>
      </c>
      <c r="AI1593" s="1">
        <f t="shared" si="766"/>
        <v>5432.58</v>
      </c>
      <c r="AJ1593" s="20">
        <f t="shared" si="768"/>
        <v>0</v>
      </c>
      <c r="AK1593" s="100">
        <f t="shared" si="770"/>
        <v>0</v>
      </c>
      <c r="AL1593" s="100">
        <f t="shared" si="771"/>
        <v>0</v>
      </c>
      <c r="AN1593" s="100">
        <f t="shared" si="772"/>
        <v>2461.8414135553257</v>
      </c>
      <c r="AO1593" s="20">
        <f t="shared" si="773"/>
        <v>0</v>
      </c>
      <c r="AQ1593" s="109">
        <f t="shared" si="774"/>
        <v>0</v>
      </c>
      <c r="AU1593" s="109">
        <f t="shared" si="759"/>
        <v>23.589969277405217</v>
      </c>
      <c r="AV1593" s="101">
        <f t="shared" si="775"/>
        <v>88044</v>
      </c>
      <c r="AW1593" s="99">
        <f t="shared" si="776"/>
        <v>0</v>
      </c>
      <c r="AX1593" s="1">
        <f t="shared" si="777"/>
        <v>0</v>
      </c>
      <c r="AY1593" s="29">
        <f t="shared" si="778"/>
        <v>0</v>
      </c>
      <c r="AZ1593" s="1">
        <f t="shared" si="760"/>
        <v>0</v>
      </c>
      <c r="CB1593" s="20">
        <f t="shared" si="769"/>
        <v>0</v>
      </c>
      <c r="CC1593" s="173">
        <f t="shared" si="761"/>
        <v>0</v>
      </c>
    </row>
    <row r="1594" spans="10:81" x14ac:dyDescent="0.25">
      <c r="J1594" s="9"/>
      <c r="K1594" s="10"/>
      <c r="L1594" s="17"/>
      <c r="M1594" s="23"/>
      <c r="N1594" s="23"/>
      <c r="O1594" s="23"/>
      <c r="P1594" s="23"/>
      <c r="Q1594" s="1">
        <f t="shared" si="762"/>
        <v>0.60744618579017706</v>
      </c>
      <c r="R1594" s="12">
        <f t="shared" ca="1" si="779"/>
        <v>46922</v>
      </c>
      <c r="S1594" s="88">
        <f t="shared" si="758"/>
        <v>0</v>
      </c>
      <c r="T1594" s="19">
        <f t="shared" si="780"/>
        <v>0</v>
      </c>
      <c r="U1594" s="19">
        <f t="shared" si="781"/>
        <v>0</v>
      </c>
      <c r="V1594" s="19">
        <f t="shared" si="767"/>
        <v>0</v>
      </c>
      <c r="W1594" s="20">
        <f t="shared" ca="1" si="782"/>
        <v>0</v>
      </c>
      <c r="X1594" s="19">
        <f t="shared" ca="1" si="783"/>
        <v>0</v>
      </c>
      <c r="Y1594" s="19">
        <f t="shared" ca="1" si="784"/>
        <v>0</v>
      </c>
      <c r="Z1594" s="20">
        <f t="shared" ca="1" si="785"/>
        <v>0</v>
      </c>
      <c r="AA1594" s="1">
        <f t="shared" si="763"/>
        <v>5432.58</v>
      </c>
      <c r="AB1594" s="93"/>
      <c r="AC1594" s="94"/>
      <c r="AD1594" s="101">
        <f t="shared" si="764"/>
        <v>88044</v>
      </c>
      <c r="AE1594" s="103">
        <f t="shared" si="765"/>
        <v>0</v>
      </c>
      <c r="AG1594" s="1">
        <f t="shared" si="786"/>
        <v>0</v>
      </c>
      <c r="AH1594" s="1">
        <f t="shared" si="787"/>
        <v>0</v>
      </c>
      <c r="AI1594" s="1">
        <f t="shared" si="766"/>
        <v>5432.58</v>
      </c>
      <c r="AJ1594" s="20">
        <f t="shared" si="768"/>
        <v>0</v>
      </c>
      <c r="AK1594" s="100">
        <f t="shared" si="770"/>
        <v>0</v>
      </c>
      <c r="AL1594" s="100">
        <f t="shared" si="771"/>
        <v>0</v>
      </c>
      <c r="AN1594" s="100">
        <f t="shared" si="772"/>
        <v>2460.5958472535044</v>
      </c>
      <c r="AO1594" s="20">
        <f t="shared" si="773"/>
        <v>0</v>
      </c>
      <c r="AQ1594" s="109">
        <f t="shared" si="774"/>
        <v>0</v>
      </c>
      <c r="AU1594" s="109">
        <f t="shared" si="759"/>
        <v>23.587898784067505</v>
      </c>
      <c r="AV1594" s="101">
        <f t="shared" si="775"/>
        <v>88074</v>
      </c>
      <c r="AW1594" s="99">
        <f t="shared" si="776"/>
        <v>0</v>
      </c>
      <c r="AX1594" s="1">
        <f t="shared" si="777"/>
        <v>0</v>
      </c>
      <c r="AY1594" s="29">
        <f t="shared" si="778"/>
        <v>0</v>
      </c>
      <c r="AZ1594" s="1">
        <f t="shared" si="760"/>
        <v>0</v>
      </c>
      <c r="CB1594" s="20">
        <f t="shared" si="769"/>
        <v>0</v>
      </c>
      <c r="CC1594" s="173">
        <f t="shared" si="761"/>
        <v>0</v>
      </c>
    </row>
    <row r="1595" spans="10:81" x14ac:dyDescent="0.25">
      <c r="J1595" s="7"/>
      <c r="K1595" s="8"/>
      <c r="L1595" s="16"/>
      <c r="M1595" s="22"/>
      <c r="N1595" s="22"/>
      <c r="O1595" s="22"/>
      <c r="P1595" s="22"/>
      <c r="Q1595" s="1">
        <f t="shared" si="762"/>
        <v>0.60744618579017706</v>
      </c>
      <c r="R1595" s="12">
        <f t="shared" ca="1" si="779"/>
        <v>46952</v>
      </c>
      <c r="S1595" s="88">
        <f t="shared" si="758"/>
        <v>0</v>
      </c>
      <c r="T1595" s="19">
        <f t="shared" si="780"/>
        <v>0</v>
      </c>
      <c r="U1595" s="19">
        <f t="shared" si="781"/>
        <v>0</v>
      </c>
      <c r="V1595" s="19">
        <f t="shared" si="767"/>
        <v>0</v>
      </c>
      <c r="W1595" s="20">
        <f t="shared" ca="1" si="782"/>
        <v>0</v>
      </c>
      <c r="X1595" s="19">
        <f t="shared" ca="1" si="783"/>
        <v>0</v>
      </c>
      <c r="Y1595" s="19">
        <f t="shared" ca="1" si="784"/>
        <v>0</v>
      </c>
      <c r="Z1595" s="20">
        <f t="shared" ca="1" si="785"/>
        <v>0</v>
      </c>
      <c r="AA1595" s="1">
        <f t="shared" si="763"/>
        <v>5432.58</v>
      </c>
      <c r="AB1595" s="91"/>
      <c r="AC1595" s="92"/>
      <c r="AD1595" s="101">
        <f t="shared" si="764"/>
        <v>88074</v>
      </c>
      <c r="AE1595" s="103">
        <f t="shared" si="765"/>
        <v>0</v>
      </c>
      <c r="AG1595" s="1">
        <f t="shared" si="786"/>
        <v>0</v>
      </c>
      <c r="AH1595" s="1">
        <f t="shared" si="787"/>
        <v>0</v>
      </c>
      <c r="AI1595" s="1">
        <f t="shared" si="766"/>
        <v>5432.58</v>
      </c>
      <c r="AJ1595" s="20">
        <f t="shared" si="768"/>
        <v>0</v>
      </c>
      <c r="AK1595" s="100">
        <f t="shared" si="770"/>
        <v>0</v>
      </c>
      <c r="AL1595" s="100">
        <f t="shared" si="771"/>
        <v>0</v>
      </c>
      <c r="AN1595" s="100">
        <f t="shared" si="772"/>
        <v>2459.3509111447588</v>
      </c>
      <c r="AO1595" s="20">
        <f t="shared" si="773"/>
        <v>0</v>
      </c>
      <c r="AQ1595" s="109">
        <f t="shared" si="774"/>
        <v>0</v>
      </c>
      <c r="AU1595" s="109">
        <f t="shared" si="759"/>
        <v>23.585828472457152</v>
      </c>
      <c r="AV1595" s="101">
        <f t="shared" si="775"/>
        <v>88104</v>
      </c>
      <c r="AW1595" s="99">
        <f t="shared" si="776"/>
        <v>0</v>
      </c>
      <c r="AX1595" s="1">
        <f t="shared" si="777"/>
        <v>0</v>
      </c>
      <c r="AY1595" s="29">
        <f t="shared" si="778"/>
        <v>0</v>
      </c>
      <c r="AZ1595" s="1">
        <f t="shared" si="760"/>
        <v>0</v>
      </c>
      <c r="CB1595" s="20">
        <f t="shared" si="769"/>
        <v>0</v>
      </c>
      <c r="CC1595" s="173">
        <f t="shared" si="761"/>
        <v>0</v>
      </c>
    </row>
    <row r="1596" spans="10:81" x14ac:dyDescent="0.25">
      <c r="J1596" s="9"/>
      <c r="K1596" s="10"/>
      <c r="L1596" s="17"/>
      <c r="M1596" s="23"/>
      <c r="N1596" s="23"/>
      <c r="O1596" s="23"/>
      <c r="P1596" s="23"/>
      <c r="Q1596" s="1">
        <f t="shared" si="762"/>
        <v>0.60744618579017706</v>
      </c>
      <c r="R1596" s="12">
        <f t="shared" ca="1" si="779"/>
        <v>46982</v>
      </c>
      <c r="S1596" s="88">
        <f t="shared" si="758"/>
        <v>0</v>
      </c>
      <c r="T1596" s="19">
        <f t="shared" si="780"/>
        <v>0</v>
      </c>
      <c r="U1596" s="19">
        <f t="shared" si="781"/>
        <v>0</v>
      </c>
      <c r="V1596" s="19">
        <f t="shared" si="767"/>
        <v>0</v>
      </c>
      <c r="W1596" s="20">
        <f t="shared" ca="1" si="782"/>
        <v>0</v>
      </c>
      <c r="X1596" s="19">
        <f t="shared" ca="1" si="783"/>
        <v>0</v>
      </c>
      <c r="Y1596" s="19">
        <f t="shared" ca="1" si="784"/>
        <v>0</v>
      </c>
      <c r="Z1596" s="20">
        <f t="shared" ca="1" si="785"/>
        <v>0</v>
      </c>
      <c r="AA1596" s="1">
        <f t="shared" si="763"/>
        <v>5432.58</v>
      </c>
      <c r="AB1596" s="93"/>
      <c r="AC1596" s="94"/>
      <c r="AD1596" s="101">
        <f t="shared" si="764"/>
        <v>88104</v>
      </c>
      <c r="AE1596" s="103">
        <f t="shared" si="765"/>
        <v>0</v>
      </c>
      <c r="AG1596" s="1">
        <f t="shared" si="786"/>
        <v>0</v>
      </c>
      <c r="AH1596" s="1">
        <f t="shared" si="787"/>
        <v>0</v>
      </c>
      <c r="AI1596" s="1">
        <f t="shared" si="766"/>
        <v>5432.58</v>
      </c>
      <c r="AJ1596" s="20">
        <f t="shared" si="768"/>
        <v>0</v>
      </c>
      <c r="AK1596" s="100">
        <f t="shared" si="770"/>
        <v>0</v>
      </c>
      <c r="AL1596" s="100">
        <f t="shared" si="771"/>
        <v>0</v>
      </c>
      <c r="AN1596" s="100">
        <f t="shared" si="772"/>
        <v>2458.1066049102433</v>
      </c>
      <c r="AO1596" s="20">
        <f t="shared" si="773"/>
        <v>0</v>
      </c>
      <c r="AQ1596" s="109">
        <f t="shared" si="774"/>
        <v>0</v>
      </c>
      <c r="AU1596" s="109">
        <f t="shared" si="759"/>
        <v>23.583758342558198</v>
      </c>
      <c r="AV1596" s="101">
        <f t="shared" si="775"/>
        <v>88134</v>
      </c>
      <c r="AW1596" s="99">
        <f t="shared" si="776"/>
        <v>0</v>
      </c>
      <c r="AX1596" s="1">
        <f t="shared" si="777"/>
        <v>0</v>
      </c>
      <c r="AY1596" s="29">
        <f t="shared" si="778"/>
        <v>0</v>
      </c>
      <c r="AZ1596" s="1">
        <f t="shared" si="760"/>
        <v>0</v>
      </c>
      <c r="CB1596" s="20">
        <f t="shared" si="769"/>
        <v>0</v>
      </c>
      <c r="CC1596" s="173">
        <f t="shared" si="761"/>
        <v>0</v>
      </c>
    </row>
    <row r="1597" spans="10:81" x14ac:dyDescent="0.25">
      <c r="J1597" s="7"/>
      <c r="K1597" s="8"/>
      <c r="L1597" s="16"/>
      <c r="M1597" s="22"/>
      <c r="N1597" s="22"/>
      <c r="O1597" s="22"/>
      <c r="P1597" s="22"/>
      <c r="Q1597" s="1">
        <f t="shared" si="762"/>
        <v>0.60744618579017706</v>
      </c>
      <c r="R1597" s="12">
        <f t="shared" ca="1" si="779"/>
        <v>47012</v>
      </c>
      <c r="S1597" s="88">
        <f t="shared" si="758"/>
        <v>0</v>
      </c>
      <c r="T1597" s="19">
        <f t="shared" si="780"/>
        <v>0</v>
      </c>
      <c r="U1597" s="19">
        <f t="shared" si="781"/>
        <v>0</v>
      </c>
      <c r="V1597" s="19">
        <f t="shared" si="767"/>
        <v>0</v>
      </c>
      <c r="W1597" s="20">
        <f t="shared" ca="1" si="782"/>
        <v>0</v>
      </c>
      <c r="X1597" s="19">
        <f t="shared" ca="1" si="783"/>
        <v>0</v>
      </c>
      <c r="Y1597" s="19">
        <f t="shared" ca="1" si="784"/>
        <v>0</v>
      </c>
      <c r="Z1597" s="20">
        <f t="shared" ca="1" si="785"/>
        <v>0</v>
      </c>
      <c r="AA1597" s="1">
        <f t="shared" si="763"/>
        <v>5432.58</v>
      </c>
      <c r="AB1597" s="91"/>
      <c r="AC1597" s="92"/>
      <c r="AD1597" s="101">
        <f t="shared" si="764"/>
        <v>88134</v>
      </c>
      <c r="AE1597" s="103">
        <f t="shared" si="765"/>
        <v>0</v>
      </c>
      <c r="AG1597" s="1">
        <f t="shared" si="786"/>
        <v>0</v>
      </c>
      <c r="AH1597" s="1">
        <f t="shared" si="787"/>
        <v>0</v>
      </c>
      <c r="AI1597" s="1">
        <f t="shared" si="766"/>
        <v>5432.58</v>
      </c>
      <c r="AJ1597" s="20">
        <f t="shared" si="768"/>
        <v>0</v>
      </c>
      <c r="AK1597" s="100">
        <f t="shared" si="770"/>
        <v>0</v>
      </c>
      <c r="AL1597" s="100">
        <f t="shared" si="771"/>
        <v>0</v>
      </c>
      <c r="AN1597" s="100">
        <f t="shared" si="772"/>
        <v>2456.8629282312736</v>
      </c>
      <c r="AO1597" s="20">
        <f t="shared" si="773"/>
        <v>0</v>
      </c>
      <c r="AQ1597" s="109">
        <f t="shared" si="774"/>
        <v>0</v>
      </c>
      <c r="AU1597" s="109">
        <f t="shared" si="759"/>
        <v>23.581688394354693</v>
      </c>
      <c r="AV1597" s="101">
        <f t="shared" si="775"/>
        <v>88164</v>
      </c>
      <c r="AW1597" s="99">
        <f t="shared" si="776"/>
        <v>0</v>
      </c>
      <c r="AX1597" s="1">
        <f t="shared" si="777"/>
        <v>0</v>
      </c>
      <c r="AY1597" s="29">
        <f t="shared" si="778"/>
        <v>0</v>
      </c>
      <c r="AZ1597" s="1">
        <f t="shared" si="760"/>
        <v>0</v>
      </c>
      <c r="CB1597" s="20">
        <f t="shared" si="769"/>
        <v>0</v>
      </c>
      <c r="CC1597" s="173">
        <f t="shared" si="761"/>
        <v>0</v>
      </c>
    </row>
    <row r="1598" spans="10:81" x14ac:dyDescent="0.25">
      <c r="J1598" s="9"/>
      <c r="K1598" s="10"/>
      <c r="L1598" s="17"/>
      <c r="M1598" s="23"/>
      <c r="N1598" s="23"/>
      <c r="O1598" s="23"/>
      <c r="P1598" s="23"/>
      <c r="Q1598" s="1">
        <f t="shared" si="762"/>
        <v>0.60744618579017706</v>
      </c>
      <c r="R1598" s="12">
        <f t="shared" ca="1" si="779"/>
        <v>47042</v>
      </c>
      <c r="S1598" s="88">
        <f t="shared" si="758"/>
        <v>0</v>
      </c>
      <c r="T1598" s="19">
        <f t="shared" si="780"/>
        <v>0</v>
      </c>
      <c r="U1598" s="19">
        <f t="shared" si="781"/>
        <v>0</v>
      </c>
      <c r="V1598" s="19">
        <f t="shared" si="767"/>
        <v>0</v>
      </c>
      <c r="W1598" s="20">
        <f t="shared" ca="1" si="782"/>
        <v>0</v>
      </c>
      <c r="X1598" s="19">
        <f t="shared" ca="1" si="783"/>
        <v>0</v>
      </c>
      <c r="Y1598" s="19">
        <f t="shared" ca="1" si="784"/>
        <v>0</v>
      </c>
      <c r="Z1598" s="20">
        <f t="shared" ca="1" si="785"/>
        <v>0</v>
      </c>
      <c r="AA1598" s="1">
        <f t="shared" si="763"/>
        <v>5432.58</v>
      </c>
      <c r="AB1598" s="93"/>
      <c r="AC1598" s="94"/>
      <c r="AD1598" s="101">
        <f t="shared" si="764"/>
        <v>88164</v>
      </c>
      <c r="AE1598" s="103">
        <f t="shared" si="765"/>
        <v>0</v>
      </c>
      <c r="AG1598" s="1">
        <f t="shared" si="786"/>
        <v>0</v>
      </c>
      <c r="AH1598" s="1">
        <f t="shared" si="787"/>
        <v>0</v>
      </c>
      <c r="AI1598" s="1">
        <f t="shared" si="766"/>
        <v>5432.58</v>
      </c>
      <c r="AJ1598" s="20">
        <f t="shared" si="768"/>
        <v>0</v>
      </c>
      <c r="AK1598" s="100">
        <f t="shared" si="770"/>
        <v>0</v>
      </c>
      <c r="AL1598" s="100">
        <f t="shared" si="771"/>
        <v>0</v>
      </c>
      <c r="AN1598" s="100">
        <f t="shared" si="772"/>
        <v>2455.619880789327</v>
      </c>
      <c r="AO1598" s="20">
        <f t="shared" si="773"/>
        <v>0</v>
      </c>
      <c r="AQ1598" s="109">
        <f t="shared" si="774"/>
        <v>0</v>
      </c>
      <c r="AU1598" s="109">
        <f t="shared" si="759"/>
        <v>23.579618627830691</v>
      </c>
      <c r="AV1598" s="101">
        <f t="shared" si="775"/>
        <v>88194</v>
      </c>
      <c r="AW1598" s="99">
        <f t="shared" si="776"/>
        <v>0</v>
      </c>
      <c r="AX1598" s="1">
        <f t="shared" si="777"/>
        <v>0</v>
      </c>
      <c r="AY1598" s="29">
        <f t="shared" si="778"/>
        <v>0</v>
      </c>
      <c r="AZ1598" s="1">
        <f t="shared" si="760"/>
        <v>0</v>
      </c>
      <c r="CB1598" s="20">
        <f t="shared" si="769"/>
        <v>0</v>
      </c>
      <c r="CC1598" s="173">
        <f t="shared" si="761"/>
        <v>0</v>
      </c>
    </row>
    <row r="1599" spans="10:81" x14ac:dyDescent="0.25">
      <c r="J1599" s="7"/>
      <c r="K1599" s="8"/>
      <c r="L1599" s="16"/>
      <c r="M1599" s="22"/>
      <c r="N1599" s="22"/>
      <c r="O1599" s="22"/>
      <c r="P1599" s="22"/>
      <c r="Q1599" s="1">
        <f t="shared" si="762"/>
        <v>0.60744618579017706</v>
      </c>
      <c r="R1599" s="12">
        <f t="shared" ca="1" si="779"/>
        <v>47072</v>
      </c>
      <c r="S1599" s="88">
        <f t="shared" si="758"/>
        <v>0</v>
      </c>
      <c r="T1599" s="19">
        <f t="shared" si="780"/>
        <v>0</v>
      </c>
      <c r="U1599" s="19">
        <f t="shared" si="781"/>
        <v>0</v>
      </c>
      <c r="V1599" s="19">
        <f t="shared" si="767"/>
        <v>0</v>
      </c>
      <c r="W1599" s="20">
        <f t="shared" ca="1" si="782"/>
        <v>0</v>
      </c>
      <c r="X1599" s="19">
        <f t="shared" ca="1" si="783"/>
        <v>0</v>
      </c>
      <c r="Y1599" s="19">
        <f t="shared" ca="1" si="784"/>
        <v>0</v>
      </c>
      <c r="Z1599" s="20">
        <f t="shared" ca="1" si="785"/>
        <v>0</v>
      </c>
      <c r="AA1599" s="1">
        <f t="shared" si="763"/>
        <v>5432.58</v>
      </c>
      <c r="AB1599" s="91"/>
      <c r="AC1599" s="92"/>
      <c r="AD1599" s="101">
        <f t="shared" si="764"/>
        <v>88194</v>
      </c>
      <c r="AE1599" s="103">
        <f t="shared" si="765"/>
        <v>0</v>
      </c>
      <c r="AG1599" s="1">
        <f t="shared" si="786"/>
        <v>0</v>
      </c>
      <c r="AH1599" s="1">
        <f t="shared" si="787"/>
        <v>0</v>
      </c>
      <c r="AI1599" s="1">
        <f t="shared" si="766"/>
        <v>5432.58</v>
      </c>
      <c r="AJ1599" s="20">
        <f t="shared" si="768"/>
        <v>0</v>
      </c>
      <c r="AK1599" s="100">
        <f t="shared" si="770"/>
        <v>0</v>
      </c>
      <c r="AL1599" s="100">
        <f t="shared" si="771"/>
        <v>0</v>
      </c>
      <c r="AN1599" s="100">
        <f t="shared" si="772"/>
        <v>2454.3774622660408</v>
      </c>
      <c r="AO1599" s="20">
        <f t="shared" si="773"/>
        <v>0</v>
      </c>
      <c r="AQ1599" s="109">
        <f t="shared" si="774"/>
        <v>0</v>
      </c>
      <c r="AU1599" s="109">
        <f t="shared" si="759"/>
        <v>23.577549042970258</v>
      </c>
      <c r="AV1599" s="101">
        <f t="shared" si="775"/>
        <v>88224</v>
      </c>
      <c r="AW1599" s="99">
        <f t="shared" si="776"/>
        <v>0</v>
      </c>
      <c r="AX1599" s="1">
        <f t="shared" si="777"/>
        <v>0</v>
      </c>
      <c r="AY1599" s="29">
        <f t="shared" si="778"/>
        <v>0</v>
      </c>
      <c r="AZ1599" s="1">
        <f t="shared" si="760"/>
        <v>0</v>
      </c>
      <c r="CB1599" s="20">
        <f t="shared" si="769"/>
        <v>0</v>
      </c>
      <c r="CC1599" s="173">
        <f t="shared" si="761"/>
        <v>0</v>
      </c>
    </row>
    <row r="1600" spans="10:81" x14ac:dyDescent="0.25">
      <c r="J1600" s="9"/>
      <c r="K1600" s="10"/>
      <c r="L1600" s="17"/>
      <c r="M1600" s="23"/>
      <c r="N1600" s="23"/>
      <c r="O1600" s="23"/>
      <c r="P1600" s="23"/>
      <c r="Q1600" s="1">
        <f t="shared" si="762"/>
        <v>0.60744618579017706</v>
      </c>
      <c r="R1600" s="12">
        <f t="shared" ca="1" si="779"/>
        <v>47102</v>
      </c>
      <c r="S1600" s="88">
        <f t="shared" si="758"/>
        <v>0</v>
      </c>
      <c r="T1600" s="19">
        <f t="shared" si="780"/>
        <v>0</v>
      </c>
      <c r="U1600" s="19">
        <f t="shared" si="781"/>
        <v>0</v>
      </c>
      <c r="V1600" s="19">
        <f t="shared" si="767"/>
        <v>0</v>
      </c>
      <c r="W1600" s="20">
        <f t="shared" ca="1" si="782"/>
        <v>0</v>
      </c>
      <c r="X1600" s="19">
        <f t="shared" ca="1" si="783"/>
        <v>0</v>
      </c>
      <c r="Y1600" s="19">
        <f t="shared" ca="1" si="784"/>
        <v>0</v>
      </c>
      <c r="Z1600" s="20">
        <f t="shared" ca="1" si="785"/>
        <v>0</v>
      </c>
      <c r="AA1600" s="1">
        <f t="shared" si="763"/>
        <v>5432.58</v>
      </c>
      <c r="AB1600" s="93"/>
      <c r="AC1600" s="94"/>
      <c r="AD1600" s="101">
        <f t="shared" si="764"/>
        <v>88224</v>
      </c>
      <c r="AE1600" s="103">
        <f t="shared" si="765"/>
        <v>0</v>
      </c>
      <c r="AG1600" s="1">
        <f t="shared" si="786"/>
        <v>0</v>
      </c>
      <c r="AH1600" s="1">
        <f t="shared" si="787"/>
        <v>0</v>
      </c>
      <c r="AI1600" s="1">
        <f t="shared" si="766"/>
        <v>5432.58</v>
      </c>
      <c r="AJ1600" s="20">
        <f t="shared" si="768"/>
        <v>0</v>
      </c>
      <c r="AK1600" s="100">
        <f t="shared" si="770"/>
        <v>0</v>
      </c>
      <c r="AL1600" s="100">
        <f t="shared" si="771"/>
        <v>0</v>
      </c>
      <c r="AN1600" s="100">
        <f t="shared" si="772"/>
        <v>2453.135672343215</v>
      </c>
      <c r="AO1600" s="20">
        <f t="shared" si="773"/>
        <v>0</v>
      </c>
      <c r="AQ1600" s="109">
        <f t="shared" si="774"/>
        <v>0</v>
      </c>
      <c r="AU1600" s="109">
        <f t="shared" si="759"/>
        <v>23.575479639757443</v>
      </c>
      <c r="AV1600" s="101">
        <f t="shared" si="775"/>
        <v>88254</v>
      </c>
      <c r="AW1600" s="99">
        <f t="shared" si="776"/>
        <v>0</v>
      </c>
      <c r="AX1600" s="1">
        <f t="shared" si="777"/>
        <v>0</v>
      </c>
      <c r="AY1600" s="29">
        <f t="shared" si="778"/>
        <v>0</v>
      </c>
      <c r="AZ1600" s="1">
        <f t="shared" si="760"/>
        <v>0</v>
      </c>
      <c r="CB1600" s="20">
        <f t="shared" si="769"/>
        <v>0</v>
      </c>
      <c r="CC1600" s="173">
        <f t="shared" si="761"/>
        <v>0</v>
      </c>
    </row>
    <row r="1601" spans="10:81" x14ac:dyDescent="0.25">
      <c r="J1601" s="7"/>
      <c r="K1601" s="8"/>
      <c r="L1601" s="16"/>
      <c r="M1601" s="22"/>
      <c r="N1601" s="22"/>
      <c r="O1601" s="22"/>
      <c r="P1601" s="22"/>
      <c r="Q1601" s="1">
        <f t="shared" si="762"/>
        <v>0.60744618579017706</v>
      </c>
      <c r="R1601" s="12">
        <f t="shared" ca="1" si="779"/>
        <v>47132</v>
      </c>
      <c r="S1601" s="88">
        <f t="shared" si="758"/>
        <v>0</v>
      </c>
      <c r="T1601" s="19">
        <f t="shared" si="780"/>
        <v>0</v>
      </c>
      <c r="U1601" s="19">
        <f t="shared" si="781"/>
        <v>0</v>
      </c>
      <c r="V1601" s="19">
        <f t="shared" si="767"/>
        <v>0</v>
      </c>
      <c r="W1601" s="20">
        <f t="shared" ca="1" si="782"/>
        <v>0</v>
      </c>
      <c r="X1601" s="19">
        <f t="shared" ca="1" si="783"/>
        <v>0</v>
      </c>
      <c r="Y1601" s="19">
        <f t="shared" ca="1" si="784"/>
        <v>0</v>
      </c>
      <c r="Z1601" s="20">
        <f t="shared" ca="1" si="785"/>
        <v>0</v>
      </c>
      <c r="AA1601" s="1">
        <f t="shared" si="763"/>
        <v>5432.58</v>
      </c>
      <c r="AB1601" s="91"/>
      <c r="AC1601" s="92"/>
      <c r="AD1601" s="101">
        <f t="shared" si="764"/>
        <v>88254</v>
      </c>
      <c r="AE1601" s="103">
        <f t="shared" si="765"/>
        <v>0</v>
      </c>
      <c r="AG1601" s="1">
        <f t="shared" si="786"/>
        <v>0</v>
      </c>
      <c r="AH1601" s="1">
        <f t="shared" si="787"/>
        <v>0</v>
      </c>
      <c r="AI1601" s="1">
        <f t="shared" si="766"/>
        <v>5432.58</v>
      </c>
      <c r="AJ1601" s="20">
        <f t="shared" si="768"/>
        <v>0</v>
      </c>
      <c r="AK1601" s="100">
        <f t="shared" si="770"/>
        <v>0</v>
      </c>
      <c r="AL1601" s="100">
        <f t="shared" si="771"/>
        <v>0</v>
      </c>
      <c r="AN1601" s="100">
        <f t="shared" si="772"/>
        <v>2451.8945107028094</v>
      </c>
      <c r="AO1601" s="20">
        <f t="shared" si="773"/>
        <v>0</v>
      </c>
      <c r="AQ1601" s="109">
        <f t="shared" si="774"/>
        <v>0</v>
      </c>
      <c r="AU1601" s="109">
        <f t="shared" si="759"/>
        <v>23.573410418176291</v>
      </c>
      <c r="AV1601" s="101">
        <f t="shared" si="775"/>
        <v>88284</v>
      </c>
      <c r="AW1601" s="99">
        <f t="shared" si="776"/>
        <v>0</v>
      </c>
      <c r="AX1601" s="1">
        <f t="shared" si="777"/>
        <v>0</v>
      </c>
      <c r="AY1601" s="29">
        <f t="shared" si="778"/>
        <v>0</v>
      </c>
      <c r="AZ1601" s="1">
        <f t="shared" si="760"/>
        <v>0</v>
      </c>
      <c r="CB1601" s="20">
        <f t="shared" si="769"/>
        <v>0</v>
      </c>
      <c r="CC1601" s="173">
        <f t="shared" si="761"/>
        <v>0</v>
      </c>
    </row>
    <row r="1602" spans="10:81" x14ac:dyDescent="0.25">
      <c r="J1602" s="9"/>
      <c r="K1602" s="10"/>
      <c r="L1602" s="17"/>
      <c r="M1602" s="23"/>
      <c r="N1602" s="23"/>
      <c r="O1602" s="23"/>
      <c r="P1602" s="23"/>
      <c r="Q1602" s="1">
        <f t="shared" si="762"/>
        <v>0.60744618579017706</v>
      </c>
      <c r="R1602" s="12">
        <f t="shared" ca="1" si="779"/>
        <v>47162</v>
      </c>
      <c r="S1602" s="88">
        <f t="shared" si="758"/>
        <v>0</v>
      </c>
      <c r="T1602" s="19">
        <f t="shared" si="780"/>
        <v>0</v>
      </c>
      <c r="U1602" s="19">
        <f t="shared" si="781"/>
        <v>0</v>
      </c>
      <c r="V1602" s="19">
        <f t="shared" si="767"/>
        <v>0</v>
      </c>
      <c r="W1602" s="20">
        <f t="shared" ca="1" si="782"/>
        <v>0</v>
      </c>
      <c r="X1602" s="19">
        <f t="shared" ca="1" si="783"/>
        <v>0</v>
      </c>
      <c r="Y1602" s="19">
        <f t="shared" ca="1" si="784"/>
        <v>0</v>
      </c>
      <c r="Z1602" s="20">
        <f t="shared" ca="1" si="785"/>
        <v>0</v>
      </c>
      <c r="AA1602" s="1">
        <f t="shared" si="763"/>
        <v>5432.58</v>
      </c>
      <c r="AB1602" s="93"/>
      <c r="AC1602" s="94"/>
      <c r="AD1602" s="101">
        <f t="shared" si="764"/>
        <v>88284</v>
      </c>
      <c r="AE1602" s="103">
        <f t="shared" si="765"/>
        <v>0</v>
      </c>
      <c r="AG1602" s="1">
        <f t="shared" si="786"/>
        <v>0</v>
      </c>
      <c r="AH1602" s="1">
        <f t="shared" si="787"/>
        <v>0</v>
      </c>
      <c r="AI1602" s="1">
        <f t="shared" si="766"/>
        <v>5432.58</v>
      </c>
      <c r="AJ1602" s="20">
        <f t="shared" si="768"/>
        <v>0</v>
      </c>
      <c r="AK1602" s="100">
        <f t="shared" si="770"/>
        <v>0</v>
      </c>
      <c r="AL1602" s="100">
        <f t="shared" si="771"/>
        <v>0</v>
      </c>
      <c r="AN1602" s="100">
        <f t="shared" si="772"/>
        <v>2450.6539770269455</v>
      </c>
      <c r="AO1602" s="20">
        <f t="shared" si="773"/>
        <v>0</v>
      </c>
      <c r="AQ1602" s="109">
        <f t="shared" si="774"/>
        <v>0</v>
      </c>
      <c r="AU1602" s="109">
        <f t="shared" si="759"/>
        <v>23.571341378210878</v>
      </c>
      <c r="AV1602" s="101">
        <f t="shared" si="775"/>
        <v>88314</v>
      </c>
      <c r="AW1602" s="99">
        <f t="shared" si="776"/>
        <v>0</v>
      </c>
      <c r="AX1602" s="1">
        <f t="shared" si="777"/>
        <v>0</v>
      </c>
      <c r="AY1602" s="29">
        <f t="shared" si="778"/>
        <v>0</v>
      </c>
      <c r="AZ1602" s="1">
        <f t="shared" si="760"/>
        <v>0</v>
      </c>
      <c r="CB1602" s="20">
        <f t="shared" si="769"/>
        <v>0</v>
      </c>
      <c r="CC1602" s="173">
        <f t="shared" si="761"/>
        <v>0</v>
      </c>
    </row>
    <row r="1603" spans="10:81" x14ac:dyDescent="0.25">
      <c r="J1603" s="7"/>
      <c r="K1603" s="8"/>
      <c r="L1603" s="16"/>
      <c r="M1603" s="22"/>
      <c r="N1603" s="22"/>
      <c r="O1603" s="22"/>
      <c r="P1603" s="22"/>
      <c r="Q1603" s="1">
        <f t="shared" si="762"/>
        <v>0.60744618579017706</v>
      </c>
      <c r="R1603" s="12">
        <f t="shared" ca="1" si="779"/>
        <v>47192</v>
      </c>
      <c r="S1603" s="88">
        <f t="shared" ref="S1603:S1666" si="788">N1603+M1603</f>
        <v>0</v>
      </c>
      <c r="T1603" s="19">
        <f t="shared" si="780"/>
        <v>0</v>
      </c>
      <c r="U1603" s="19">
        <f t="shared" si="781"/>
        <v>0</v>
      </c>
      <c r="V1603" s="19">
        <f t="shared" si="767"/>
        <v>0</v>
      </c>
      <c r="W1603" s="20">
        <f t="shared" ca="1" si="782"/>
        <v>0</v>
      </c>
      <c r="X1603" s="19">
        <f t="shared" ca="1" si="783"/>
        <v>0</v>
      </c>
      <c r="Y1603" s="19">
        <f t="shared" ca="1" si="784"/>
        <v>0</v>
      </c>
      <c r="Z1603" s="20">
        <f t="shared" ca="1" si="785"/>
        <v>0</v>
      </c>
      <c r="AA1603" s="1">
        <f t="shared" si="763"/>
        <v>5432.58</v>
      </c>
      <c r="AB1603" s="91"/>
      <c r="AC1603" s="92"/>
      <c r="AD1603" s="101">
        <f t="shared" si="764"/>
        <v>88314</v>
      </c>
      <c r="AE1603" s="103">
        <f t="shared" si="765"/>
        <v>0</v>
      </c>
      <c r="AG1603" s="1">
        <f t="shared" si="786"/>
        <v>0</v>
      </c>
      <c r="AH1603" s="1">
        <f t="shared" si="787"/>
        <v>0</v>
      </c>
      <c r="AI1603" s="1">
        <f t="shared" si="766"/>
        <v>5432.58</v>
      </c>
      <c r="AJ1603" s="20">
        <f t="shared" si="768"/>
        <v>0</v>
      </c>
      <c r="AK1603" s="100">
        <f t="shared" si="770"/>
        <v>0</v>
      </c>
      <c r="AL1603" s="100">
        <f t="shared" si="771"/>
        <v>0</v>
      </c>
      <c r="AN1603" s="100">
        <f t="shared" si="772"/>
        <v>2449.4140709979042</v>
      </c>
      <c r="AO1603" s="20">
        <f t="shared" si="773"/>
        <v>0</v>
      </c>
      <c r="AQ1603" s="109">
        <f t="shared" si="774"/>
        <v>0</v>
      </c>
      <c r="AU1603" s="109">
        <f t="shared" si="759"/>
        <v>23.569272519845246</v>
      </c>
      <c r="AV1603" s="101">
        <f t="shared" si="775"/>
        <v>88344</v>
      </c>
      <c r="AW1603" s="99">
        <f t="shared" si="776"/>
        <v>0</v>
      </c>
      <c r="AX1603" s="1">
        <f t="shared" si="777"/>
        <v>0</v>
      </c>
      <c r="AY1603" s="29">
        <f t="shared" si="778"/>
        <v>0</v>
      </c>
      <c r="AZ1603" s="1">
        <f t="shared" si="760"/>
        <v>0</v>
      </c>
      <c r="CB1603" s="20">
        <f t="shared" si="769"/>
        <v>0</v>
      </c>
      <c r="CC1603" s="173">
        <f t="shared" si="761"/>
        <v>0</v>
      </c>
    </row>
    <row r="1604" spans="10:81" x14ac:dyDescent="0.25">
      <c r="J1604" s="9"/>
      <c r="K1604" s="10"/>
      <c r="L1604" s="17"/>
      <c r="M1604" s="23"/>
      <c r="N1604" s="23"/>
      <c r="O1604" s="23"/>
      <c r="P1604" s="23"/>
      <c r="Q1604" s="1">
        <f t="shared" si="762"/>
        <v>0.60744618579017706</v>
      </c>
      <c r="R1604" s="12">
        <f t="shared" ca="1" si="779"/>
        <v>47222</v>
      </c>
      <c r="S1604" s="88">
        <f t="shared" si="788"/>
        <v>0</v>
      </c>
      <c r="T1604" s="19">
        <f t="shared" si="780"/>
        <v>0</v>
      </c>
      <c r="U1604" s="19">
        <f t="shared" si="781"/>
        <v>0</v>
      </c>
      <c r="V1604" s="19">
        <f t="shared" si="767"/>
        <v>0</v>
      </c>
      <c r="W1604" s="20">
        <f t="shared" ca="1" si="782"/>
        <v>0</v>
      </c>
      <c r="X1604" s="19">
        <f t="shared" ca="1" si="783"/>
        <v>0</v>
      </c>
      <c r="Y1604" s="19">
        <f t="shared" ca="1" si="784"/>
        <v>0</v>
      </c>
      <c r="Z1604" s="20">
        <f t="shared" ca="1" si="785"/>
        <v>0</v>
      </c>
      <c r="AA1604" s="1">
        <f t="shared" si="763"/>
        <v>5432.58</v>
      </c>
      <c r="AB1604" s="93"/>
      <c r="AC1604" s="94"/>
      <c r="AD1604" s="101">
        <f t="shared" si="764"/>
        <v>88344</v>
      </c>
      <c r="AE1604" s="103">
        <f t="shared" si="765"/>
        <v>0</v>
      </c>
      <c r="AG1604" s="1">
        <f t="shared" si="786"/>
        <v>0</v>
      </c>
      <c r="AH1604" s="1">
        <f t="shared" si="787"/>
        <v>0</v>
      </c>
      <c r="AI1604" s="1">
        <f t="shared" si="766"/>
        <v>5432.58</v>
      </c>
      <c r="AJ1604" s="20">
        <f t="shared" si="768"/>
        <v>0</v>
      </c>
      <c r="AK1604" s="100">
        <f t="shared" si="770"/>
        <v>0</v>
      </c>
      <c r="AL1604" s="100">
        <f t="shared" si="771"/>
        <v>0</v>
      </c>
      <c r="AN1604" s="100">
        <f t="shared" si="772"/>
        <v>2448.1747922981299</v>
      </c>
      <c r="AO1604" s="20">
        <f t="shared" si="773"/>
        <v>0</v>
      </c>
      <c r="AQ1604" s="109">
        <f t="shared" si="774"/>
        <v>0</v>
      </c>
      <c r="AU1604" s="109">
        <f t="shared" si="759"/>
        <v>23.567203843063467</v>
      </c>
      <c r="AV1604" s="101">
        <f t="shared" si="775"/>
        <v>88374</v>
      </c>
      <c r="AW1604" s="99">
        <f t="shared" si="776"/>
        <v>0</v>
      </c>
      <c r="AX1604" s="1">
        <f t="shared" si="777"/>
        <v>0</v>
      </c>
      <c r="AY1604" s="29">
        <f t="shared" si="778"/>
        <v>0</v>
      </c>
      <c r="AZ1604" s="1">
        <f t="shared" si="760"/>
        <v>0</v>
      </c>
      <c r="CB1604" s="20">
        <f t="shared" si="769"/>
        <v>0</v>
      </c>
      <c r="CC1604" s="173">
        <f t="shared" si="761"/>
        <v>0</v>
      </c>
    </row>
    <row r="1605" spans="10:81" x14ac:dyDescent="0.25">
      <c r="J1605" s="7"/>
      <c r="K1605" s="8"/>
      <c r="L1605" s="16"/>
      <c r="M1605" s="22"/>
      <c r="N1605" s="22"/>
      <c r="O1605" s="22"/>
      <c r="P1605" s="22"/>
      <c r="Q1605" s="1">
        <f t="shared" si="762"/>
        <v>0.60744618579017706</v>
      </c>
      <c r="R1605" s="12">
        <f t="shared" ca="1" si="779"/>
        <v>47252</v>
      </c>
      <c r="S1605" s="88">
        <f t="shared" si="788"/>
        <v>0</v>
      </c>
      <c r="T1605" s="19">
        <f t="shared" si="780"/>
        <v>0</v>
      </c>
      <c r="U1605" s="19">
        <f t="shared" si="781"/>
        <v>0</v>
      </c>
      <c r="V1605" s="19">
        <f t="shared" si="767"/>
        <v>0</v>
      </c>
      <c r="W1605" s="20">
        <f t="shared" ca="1" si="782"/>
        <v>0</v>
      </c>
      <c r="X1605" s="19">
        <f t="shared" ca="1" si="783"/>
        <v>0</v>
      </c>
      <c r="Y1605" s="19">
        <f t="shared" ca="1" si="784"/>
        <v>0</v>
      </c>
      <c r="Z1605" s="20">
        <f t="shared" ca="1" si="785"/>
        <v>0</v>
      </c>
      <c r="AA1605" s="1">
        <f t="shared" si="763"/>
        <v>5432.58</v>
      </c>
      <c r="AB1605" s="91"/>
      <c r="AC1605" s="92"/>
      <c r="AD1605" s="101">
        <f t="shared" si="764"/>
        <v>88374</v>
      </c>
      <c r="AE1605" s="103">
        <f t="shared" si="765"/>
        <v>0</v>
      </c>
      <c r="AG1605" s="1">
        <f t="shared" si="786"/>
        <v>0</v>
      </c>
      <c r="AH1605" s="1">
        <f t="shared" si="787"/>
        <v>0</v>
      </c>
      <c r="AI1605" s="1">
        <f t="shared" si="766"/>
        <v>5432.58</v>
      </c>
      <c r="AJ1605" s="20">
        <f t="shared" si="768"/>
        <v>0</v>
      </c>
      <c r="AK1605" s="100">
        <f t="shared" si="770"/>
        <v>0</v>
      </c>
      <c r="AL1605" s="100">
        <f t="shared" si="771"/>
        <v>0</v>
      </c>
      <c r="AN1605" s="100">
        <f t="shared" si="772"/>
        <v>2446.9361406102253</v>
      </c>
      <c r="AO1605" s="20">
        <f t="shared" si="773"/>
        <v>0</v>
      </c>
      <c r="AQ1605" s="109">
        <f t="shared" si="774"/>
        <v>0</v>
      </c>
      <c r="AU1605" s="109">
        <f t="shared" si="759"/>
        <v>23.565135347849601</v>
      </c>
      <c r="AV1605" s="101">
        <f t="shared" si="775"/>
        <v>88404</v>
      </c>
      <c r="AW1605" s="99">
        <f t="shared" si="776"/>
        <v>0</v>
      </c>
      <c r="AX1605" s="1">
        <f t="shared" si="777"/>
        <v>0</v>
      </c>
      <c r="AY1605" s="29">
        <f t="shared" si="778"/>
        <v>0</v>
      </c>
      <c r="AZ1605" s="1">
        <f t="shared" si="760"/>
        <v>0</v>
      </c>
      <c r="CB1605" s="20">
        <f t="shared" si="769"/>
        <v>0</v>
      </c>
      <c r="CC1605" s="173">
        <f t="shared" si="761"/>
        <v>0</v>
      </c>
    </row>
    <row r="1606" spans="10:81" x14ac:dyDescent="0.25">
      <c r="J1606" s="9"/>
      <c r="K1606" s="10"/>
      <c r="L1606" s="17"/>
      <c r="M1606" s="23"/>
      <c r="N1606" s="23"/>
      <c r="O1606" s="23"/>
      <c r="P1606" s="23"/>
      <c r="Q1606" s="1">
        <f t="shared" si="762"/>
        <v>0.60744618579017706</v>
      </c>
      <c r="R1606" s="12">
        <f t="shared" ca="1" si="779"/>
        <v>47282</v>
      </c>
      <c r="S1606" s="88">
        <f t="shared" si="788"/>
        <v>0</v>
      </c>
      <c r="T1606" s="19">
        <f t="shared" si="780"/>
        <v>0</v>
      </c>
      <c r="U1606" s="19">
        <f t="shared" si="781"/>
        <v>0</v>
      </c>
      <c r="V1606" s="19">
        <f t="shared" si="767"/>
        <v>0</v>
      </c>
      <c r="W1606" s="20">
        <f t="shared" ca="1" si="782"/>
        <v>0</v>
      </c>
      <c r="X1606" s="19">
        <f t="shared" ca="1" si="783"/>
        <v>0</v>
      </c>
      <c r="Y1606" s="19">
        <f t="shared" ca="1" si="784"/>
        <v>0</v>
      </c>
      <c r="Z1606" s="20">
        <f t="shared" ca="1" si="785"/>
        <v>0</v>
      </c>
      <c r="AA1606" s="1">
        <f t="shared" si="763"/>
        <v>5432.58</v>
      </c>
      <c r="AB1606" s="93"/>
      <c r="AC1606" s="94"/>
      <c r="AD1606" s="101">
        <f t="shared" si="764"/>
        <v>88404</v>
      </c>
      <c r="AE1606" s="103">
        <f t="shared" si="765"/>
        <v>0</v>
      </c>
      <c r="AG1606" s="1">
        <f t="shared" si="786"/>
        <v>0</v>
      </c>
      <c r="AH1606" s="1">
        <f t="shared" si="787"/>
        <v>0</v>
      </c>
      <c r="AI1606" s="1">
        <f t="shared" si="766"/>
        <v>5432.58</v>
      </c>
      <c r="AJ1606" s="20">
        <f t="shared" si="768"/>
        <v>0</v>
      </c>
      <c r="AK1606" s="100">
        <f t="shared" si="770"/>
        <v>0</v>
      </c>
      <c r="AL1606" s="100">
        <f t="shared" si="771"/>
        <v>0</v>
      </c>
      <c r="AN1606" s="100">
        <f t="shared" si="772"/>
        <v>2445.6981156169531</v>
      </c>
      <c r="AO1606" s="20">
        <f t="shared" si="773"/>
        <v>0</v>
      </c>
      <c r="AQ1606" s="109">
        <f t="shared" si="774"/>
        <v>0</v>
      </c>
      <c r="AU1606" s="109">
        <f t="shared" si="759"/>
        <v>23.563067034187721</v>
      </c>
      <c r="AV1606" s="101">
        <f t="shared" si="775"/>
        <v>88434</v>
      </c>
      <c r="AW1606" s="99">
        <f t="shared" si="776"/>
        <v>0</v>
      </c>
      <c r="AX1606" s="1">
        <f t="shared" si="777"/>
        <v>0</v>
      </c>
      <c r="AY1606" s="29">
        <f t="shared" si="778"/>
        <v>0</v>
      </c>
      <c r="AZ1606" s="1">
        <f t="shared" si="760"/>
        <v>0</v>
      </c>
      <c r="CB1606" s="20">
        <f t="shared" si="769"/>
        <v>0</v>
      </c>
      <c r="CC1606" s="173">
        <f t="shared" si="761"/>
        <v>0</v>
      </c>
    </row>
    <row r="1607" spans="10:81" x14ac:dyDescent="0.25">
      <c r="J1607" s="7"/>
      <c r="K1607" s="8"/>
      <c r="L1607" s="16"/>
      <c r="M1607" s="22"/>
      <c r="N1607" s="22"/>
      <c r="O1607" s="22"/>
      <c r="P1607" s="22"/>
      <c r="Q1607" s="1">
        <f t="shared" si="762"/>
        <v>0.60744618579017706</v>
      </c>
      <c r="R1607" s="12">
        <f t="shared" ca="1" si="779"/>
        <v>47312</v>
      </c>
      <c r="S1607" s="88">
        <f t="shared" si="788"/>
        <v>0</v>
      </c>
      <c r="T1607" s="19">
        <f t="shared" si="780"/>
        <v>0</v>
      </c>
      <c r="U1607" s="19">
        <f t="shared" si="781"/>
        <v>0</v>
      </c>
      <c r="V1607" s="19">
        <f t="shared" si="767"/>
        <v>0</v>
      </c>
      <c r="W1607" s="20">
        <f t="shared" ca="1" si="782"/>
        <v>0</v>
      </c>
      <c r="X1607" s="19">
        <f t="shared" ca="1" si="783"/>
        <v>0</v>
      </c>
      <c r="Y1607" s="19">
        <f t="shared" ca="1" si="784"/>
        <v>0</v>
      </c>
      <c r="Z1607" s="20">
        <f t="shared" ca="1" si="785"/>
        <v>0</v>
      </c>
      <c r="AA1607" s="1">
        <f t="shared" si="763"/>
        <v>5432.58</v>
      </c>
      <c r="AB1607" s="91"/>
      <c r="AC1607" s="92"/>
      <c r="AD1607" s="101">
        <f t="shared" si="764"/>
        <v>88434</v>
      </c>
      <c r="AE1607" s="103">
        <f t="shared" si="765"/>
        <v>0</v>
      </c>
      <c r="AG1607" s="1">
        <f t="shared" si="786"/>
        <v>0</v>
      </c>
      <c r="AH1607" s="1">
        <f t="shared" si="787"/>
        <v>0</v>
      </c>
      <c r="AI1607" s="1">
        <f t="shared" si="766"/>
        <v>5432.58</v>
      </c>
      <c r="AJ1607" s="20">
        <f t="shared" si="768"/>
        <v>0</v>
      </c>
      <c r="AK1607" s="100">
        <f t="shared" si="770"/>
        <v>0</v>
      </c>
      <c r="AL1607" s="100">
        <f t="shared" si="771"/>
        <v>0</v>
      </c>
      <c r="AN1607" s="100">
        <f t="shared" si="772"/>
        <v>2444.4607170012396</v>
      </c>
      <c r="AO1607" s="20">
        <f t="shared" si="773"/>
        <v>0</v>
      </c>
      <c r="AQ1607" s="109">
        <f t="shared" si="774"/>
        <v>0</v>
      </c>
      <c r="AU1607" s="109">
        <f t="shared" si="759"/>
        <v>23.560998902061876</v>
      </c>
      <c r="AV1607" s="101">
        <f t="shared" si="775"/>
        <v>88464</v>
      </c>
      <c r="AW1607" s="99">
        <f t="shared" si="776"/>
        <v>0</v>
      </c>
      <c r="AX1607" s="1">
        <f t="shared" si="777"/>
        <v>0</v>
      </c>
      <c r="AY1607" s="29">
        <f t="shared" si="778"/>
        <v>0</v>
      </c>
      <c r="AZ1607" s="1">
        <f t="shared" si="760"/>
        <v>0</v>
      </c>
      <c r="CB1607" s="20">
        <f t="shared" si="769"/>
        <v>0</v>
      </c>
      <c r="CC1607" s="173">
        <f t="shared" si="761"/>
        <v>0</v>
      </c>
    </row>
    <row r="1608" spans="10:81" x14ac:dyDescent="0.25">
      <c r="J1608" s="9"/>
      <c r="K1608" s="10"/>
      <c r="L1608" s="17"/>
      <c r="M1608" s="23"/>
      <c r="N1608" s="23"/>
      <c r="O1608" s="23"/>
      <c r="P1608" s="23"/>
      <c r="Q1608" s="1">
        <f t="shared" si="762"/>
        <v>0.60744618579017706</v>
      </c>
      <c r="R1608" s="12">
        <f t="shared" ca="1" si="779"/>
        <v>47342</v>
      </c>
      <c r="S1608" s="88">
        <f t="shared" si="788"/>
        <v>0</v>
      </c>
      <c r="T1608" s="19">
        <f t="shared" si="780"/>
        <v>0</v>
      </c>
      <c r="U1608" s="19">
        <f t="shared" si="781"/>
        <v>0</v>
      </c>
      <c r="V1608" s="19">
        <f t="shared" si="767"/>
        <v>0</v>
      </c>
      <c r="W1608" s="20">
        <f t="shared" ca="1" si="782"/>
        <v>0</v>
      </c>
      <c r="X1608" s="19">
        <f t="shared" ca="1" si="783"/>
        <v>0</v>
      </c>
      <c r="Y1608" s="19">
        <f t="shared" ca="1" si="784"/>
        <v>0</v>
      </c>
      <c r="Z1608" s="20">
        <f t="shared" ca="1" si="785"/>
        <v>0</v>
      </c>
      <c r="AA1608" s="1">
        <f t="shared" si="763"/>
        <v>5432.58</v>
      </c>
      <c r="AB1608" s="93"/>
      <c r="AC1608" s="94"/>
      <c r="AD1608" s="101">
        <f t="shared" si="764"/>
        <v>88464</v>
      </c>
      <c r="AE1608" s="103">
        <f t="shared" si="765"/>
        <v>0</v>
      </c>
      <c r="AG1608" s="1">
        <f t="shared" si="786"/>
        <v>0</v>
      </c>
      <c r="AH1608" s="1">
        <f t="shared" si="787"/>
        <v>0</v>
      </c>
      <c r="AI1608" s="1">
        <f t="shared" si="766"/>
        <v>5432.58</v>
      </c>
      <c r="AJ1608" s="20">
        <f t="shared" si="768"/>
        <v>0</v>
      </c>
      <c r="AK1608" s="100">
        <f t="shared" si="770"/>
        <v>0</v>
      </c>
      <c r="AL1608" s="100">
        <f t="shared" si="771"/>
        <v>0</v>
      </c>
      <c r="AN1608" s="100">
        <f t="shared" si="772"/>
        <v>2443.2239444461688</v>
      </c>
      <c r="AO1608" s="20">
        <f t="shared" si="773"/>
        <v>0</v>
      </c>
      <c r="AQ1608" s="109">
        <f t="shared" si="774"/>
        <v>0</v>
      </c>
      <c r="AU1608" s="109">
        <f t="shared" si="759"/>
        <v>23.558930951456137</v>
      </c>
      <c r="AV1608" s="101">
        <f t="shared" si="775"/>
        <v>88494</v>
      </c>
      <c r="AW1608" s="99">
        <f t="shared" si="776"/>
        <v>0</v>
      </c>
      <c r="AX1608" s="1">
        <f t="shared" si="777"/>
        <v>0</v>
      </c>
      <c r="AY1608" s="29">
        <f t="shared" si="778"/>
        <v>0</v>
      </c>
      <c r="AZ1608" s="1">
        <f t="shared" si="760"/>
        <v>0</v>
      </c>
      <c r="CB1608" s="20">
        <f t="shared" si="769"/>
        <v>0</v>
      </c>
      <c r="CC1608" s="173">
        <f t="shared" si="761"/>
        <v>0</v>
      </c>
    </row>
    <row r="1609" spans="10:81" x14ac:dyDescent="0.25">
      <c r="J1609" s="7"/>
      <c r="K1609" s="8"/>
      <c r="L1609" s="16"/>
      <c r="M1609" s="22"/>
      <c r="N1609" s="22"/>
      <c r="O1609" s="22"/>
      <c r="P1609" s="22"/>
      <c r="Q1609" s="1">
        <f t="shared" si="762"/>
        <v>0.60744618579017706</v>
      </c>
      <c r="R1609" s="12">
        <f t="shared" ca="1" si="779"/>
        <v>47372</v>
      </c>
      <c r="S1609" s="88">
        <f t="shared" si="788"/>
        <v>0</v>
      </c>
      <c r="T1609" s="19">
        <f t="shared" si="780"/>
        <v>0</v>
      </c>
      <c r="U1609" s="19">
        <f t="shared" si="781"/>
        <v>0</v>
      </c>
      <c r="V1609" s="19">
        <f t="shared" si="767"/>
        <v>0</v>
      </c>
      <c r="W1609" s="20">
        <f t="shared" ca="1" si="782"/>
        <v>0</v>
      </c>
      <c r="X1609" s="19">
        <f t="shared" ca="1" si="783"/>
        <v>0</v>
      </c>
      <c r="Y1609" s="19">
        <f t="shared" ca="1" si="784"/>
        <v>0</v>
      </c>
      <c r="Z1609" s="20">
        <f t="shared" ca="1" si="785"/>
        <v>0</v>
      </c>
      <c r="AA1609" s="1">
        <f t="shared" si="763"/>
        <v>5432.58</v>
      </c>
      <c r="AB1609" s="91"/>
      <c r="AC1609" s="92"/>
      <c r="AD1609" s="101">
        <f t="shared" si="764"/>
        <v>88494</v>
      </c>
      <c r="AE1609" s="103">
        <f t="shared" si="765"/>
        <v>0</v>
      </c>
      <c r="AG1609" s="1">
        <f t="shared" si="786"/>
        <v>0</v>
      </c>
      <c r="AH1609" s="1">
        <f t="shared" si="787"/>
        <v>0</v>
      </c>
      <c r="AI1609" s="1">
        <f t="shared" si="766"/>
        <v>5432.58</v>
      </c>
      <c r="AJ1609" s="20">
        <f t="shared" si="768"/>
        <v>0</v>
      </c>
      <c r="AK1609" s="100">
        <f t="shared" si="770"/>
        <v>0</v>
      </c>
      <c r="AL1609" s="100">
        <f t="shared" si="771"/>
        <v>0</v>
      </c>
      <c r="AN1609" s="100">
        <f t="shared" si="772"/>
        <v>2441.9877976349849</v>
      </c>
      <c r="AO1609" s="20">
        <f t="shared" si="773"/>
        <v>0</v>
      </c>
      <c r="AQ1609" s="109">
        <f t="shared" si="774"/>
        <v>0</v>
      </c>
      <c r="AU1609" s="109">
        <f t="shared" si="759"/>
        <v>23.556863182354579</v>
      </c>
      <c r="AV1609" s="101">
        <f t="shared" si="775"/>
        <v>88524</v>
      </c>
      <c r="AW1609" s="99">
        <f t="shared" si="776"/>
        <v>0</v>
      </c>
      <c r="AX1609" s="1">
        <f t="shared" si="777"/>
        <v>0</v>
      </c>
      <c r="AY1609" s="29">
        <f t="shared" si="778"/>
        <v>0</v>
      </c>
      <c r="AZ1609" s="1">
        <f t="shared" si="760"/>
        <v>0</v>
      </c>
      <c r="CB1609" s="20">
        <f t="shared" si="769"/>
        <v>0</v>
      </c>
      <c r="CC1609" s="173">
        <f t="shared" si="761"/>
        <v>0</v>
      </c>
    </row>
    <row r="1610" spans="10:81" x14ac:dyDescent="0.25">
      <c r="J1610" s="9"/>
      <c r="K1610" s="10"/>
      <c r="L1610" s="17"/>
      <c r="M1610" s="23"/>
      <c r="N1610" s="23"/>
      <c r="O1610" s="23"/>
      <c r="P1610" s="23"/>
      <c r="Q1610" s="1">
        <f t="shared" si="762"/>
        <v>0.60744618579017706</v>
      </c>
      <c r="R1610" s="12">
        <f t="shared" ca="1" si="779"/>
        <v>47402</v>
      </c>
      <c r="S1610" s="88">
        <f t="shared" si="788"/>
        <v>0</v>
      </c>
      <c r="T1610" s="19">
        <f t="shared" si="780"/>
        <v>0</v>
      </c>
      <c r="U1610" s="19">
        <f t="shared" si="781"/>
        <v>0</v>
      </c>
      <c r="V1610" s="19">
        <f t="shared" si="767"/>
        <v>0</v>
      </c>
      <c r="W1610" s="20">
        <f t="shared" ca="1" si="782"/>
        <v>0</v>
      </c>
      <c r="X1610" s="19">
        <f t="shared" ca="1" si="783"/>
        <v>0</v>
      </c>
      <c r="Y1610" s="19">
        <f t="shared" ca="1" si="784"/>
        <v>0</v>
      </c>
      <c r="Z1610" s="20">
        <f t="shared" ca="1" si="785"/>
        <v>0</v>
      </c>
      <c r="AA1610" s="1">
        <f t="shared" si="763"/>
        <v>5432.58</v>
      </c>
      <c r="AB1610" s="93"/>
      <c r="AC1610" s="94"/>
      <c r="AD1610" s="101">
        <f t="shared" si="764"/>
        <v>88524</v>
      </c>
      <c r="AE1610" s="103">
        <f t="shared" si="765"/>
        <v>0</v>
      </c>
      <c r="AG1610" s="1">
        <f t="shared" si="786"/>
        <v>0</v>
      </c>
      <c r="AH1610" s="1">
        <f t="shared" si="787"/>
        <v>0</v>
      </c>
      <c r="AI1610" s="1">
        <f t="shared" si="766"/>
        <v>5432.58</v>
      </c>
      <c r="AJ1610" s="20">
        <f t="shared" si="768"/>
        <v>0</v>
      </c>
      <c r="AK1610" s="100">
        <f t="shared" si="770"/>
        <v>0</v>
      </c>
      <c r="AL1610" s="100">
        <f t="shared" si="771"/>
        <v>0</v>
      </c>
      <c r="AN1610" s="100">
        <f t="shared" si="772"/>
        <v>2440.7522762510953</v>
      </c>
      <c r="AO1610" s="20">
        <f t="shared" si="773"/>
        <v>0</v>
      </c>
      <c r="AQ1610" s="109">
        <f t="shared" si="774"/>
        <v>0</v>
      </c>
      <c r="AU1610" s="109">
        <f t="shared" si="759"/>
        <v>23.554795594741265</v>
      </c>
      <c r="AV1610" s="101">
        <f t="shared" si="775"/>
        <v>88554</v>
      </c>
      <c r="AW1610" s="99">
        <f t="shared" si="776"/>
        <v>0</v>
      </c>
      <c r="AX1610" s="1">
        <f t="shared" si="777"/>
        <v>0</v>
      </c>
      <c r="AY1610" s="29">
        <f t="shared" si="778"/>
        <v>0</v>
      </c>
      <c r="AZ1610" s="1">
        <f t="shared" si="760"/>
        <v>0</v>
      </c>
      <c r="CB1610" s="20">
        <f t="shared" si="769"/>
        <v>0</v>
      </c>
      <c r="CC1610" s="173">
        <f t="shared" si="761"/>
        <v>0</v>
      </c>
    </row>
    <row r="1611" spans="10:81" x14ac:dyDescent="0.25">
      <c r="J1611" s="7"/>
      <c r="K1611" s="8"/>
      <c r="L1611" s="16"/>
      <c r="M1611" s="22"/>
      <c r="N1611" s="22"/>
      <c r="O1611" s="22"/>
      <c r="P1611" s="22"/>
      <c r="Q1611" s="1">
        <f t="shared" si="762"/>
        <v>0.60744618579017706</v>
      </c>
      <c r="R1611" s="12">
        <f t="shared" ca="1" si="779"/>
        <v>47432</v>
      </c>
      <c r="S1611" s="88">
        <f t="shared" si="788"/>
        <v>0</v>
      </c>
      <c r="T1611" s="19">
        <f t="shared" si="780"/>
        <v>0</v>
      </c>
      <c r="U1611" s="19">
        <f t="shared" si="781"/>
        <v>0</v>
      </c>
      <c r="V1611" s="19">
        <f t="shared" si="767"/>
        <v>0</v>
      </c>
      <c r="W1611" s="20">
        <f t="shared" ca="1" si="782"/>
        <v>0</v>
      </c>
      <c r="X1611" s="19">
        <f t="shared" ca="1" si="783"/>
        <v>0</v>
      </c>
      <c r="Y1611" s="19">
        <f t="shared" ca="1" si="784"/>
        <v>0</v>
      </c>
      <c r="Z1611" s="20">
        <f t="shared" ca="1" si="785"/>
        <v>0</v>
      </c>
      <c r="AA1611" s="1">
        <f t="shared" si="763"/>
        <v>5432.58</v>
      </c>
      <c r="AB1611" s="91"/>
      <c r="AC1611" s="92"/>
      <c r="AD1611" s="101">
        <f t="shared" si="764"/>
        <v>88554</v>
      </c>
      <c r="AE1611" s="103">
        <f t="shared" si="765"/>
        <v>0</v>
      </c>
      <c r="AG1611" s="1">
        <f t="shared" si="786"/>
        <v>0</v>
      </c>
      <c r="AH1611" s="1">
        <f t="shared" si="787"/>
        <v>0</v>
      </c>
      <c r="AI1611" s="1">
        <f t="shared" si="766"/>
        <v>5432.58</v>
      </c>
      <c r="AJ1611" s="20">
        <f t="shared" si="768"/>
        <v>0</v>
      </c>
      <c r="AK1611" s="100">
        <f t="shared" si="770"/>
        <v>0</v>
      </c>
      <c r="AL1611" s="100">
        <f t="shared" si="771"/>
        <v>0</v>
      </c>
      <c r="AN1611" s="100">
        <f t="shared" si="772"/>
        <v>2439.5173799780646</v>
      </c>
      <c r="AO1611" s="20">
        <f t="shared" si="773"/>
        <v>0</v>
      </c>
      <c r="AQ1611" s="109">
        <f t="shared" si="774"/>
        <v>0</v>
      </c>
      <c r="AU1611" s="109">
        <f t="shared" si="759"/>
        <v>23.552728188600273</v>
      </c>
      <c r="AV1611" s="101">
        <f t="shared" si="775"/>
        <v>88584</v>
      </c>
      <c r="AW1611" s="99">
        <f t="shared" si="776"/>
        <v>0</v>
      </c>
      <c r="AX1611" s="1">
        <f t="shared" si="777"/>
        <v>0</v>
      </c>
      <c r="AY1611" s="29">
        <f t="shared" si="778"/>
        <v>0</v>
      </c>
      <c r="AZ1611" s="1">
        <f t="shared" si="760"/>
        <v>0</v>
      </c>
      <c r="CB1611" s="20">
        <f t="shared" si="769"/>
        <v>0</v>
      </c>
      <c r="CC1611" s="173">
        <f t="shared" si="761"/>
        <v>0</v>
      </c>
    </row>
    <row r="1612" spans="10:81" x14ac:dyDescent="0.25">
      <c r="J1612" s="9"/>
      <c r="K1612" s="10"/>
      <c r="L1612" s="17"/>
      <c r="M1612" s="23"/>
      <c r="N1612" s="23"/>
      <c r="O1612" s="23"/>
      <c r="P1612" s="23"/>
      <c r="Q1612" s="1">
        <f t="shared" si="762"/>
        <v>0.60744618579017706</v>
      </c>
      <c r="R1612" s="12">
        <f t="shared" ca="1" si="779"/>
        <v>47462</v>
      </c>
      <c r="S1612" s="88">
        <f t="shared" si="788"/>
        <v>0</v>
      </c>
      <c r="T1612" s="19">
        <f t="shared" si="780"/>
        <v>0</v>
      </c>
      <c r="U1612" s="19">
        <f t="shared" si="781"/>
        <v>0</v>
      </c>
      <c r="V1612" s="19">
        <f t="shared" si="767"/>
        <v>0</v>
      </c>
      <c r="W1612" s="20">
        <f t="shared" ca="1" si="782"/>
        <v>0</v>
      </c>
      <c r="X1612" s="19">
        <f t="shared" ca="1" si="783"/>
        <v>0</v>
      </c>
      <c r="Y1612" s="19">
        <f t="shared" ca="1" si="784"/>
        <v>0</v>
      </c>
      <c r="Z1612" s="20">
        <f t="shared" ca="1" si="785"/>
        <v>0</v>
      </c>
      <c r="AA1612" s="1">
        <f t="shared" si="763"/>
        <v>5432.58</v>
      </c>
      <c r="AB1612" s="93"/>
      <c r="AC1612" s="94"/>
      <c r="AD1612" s="101">
        <f t="shared" si="764"/>
        <v>88584</v>
      </c>
      <c r="AE1612" s="103">
        <f t="shared" si="765"/>
        <v>0</v>
      </c>
      <c r="AG1612" s="1">
        <f t="shared" si="786"/>
        <v>0</v>
      </c>
      <c r="AH1612" s="1">
        <f t="shared" si="787"/>
        <v>0</v>
      </c>
      <c r="AI1612" s="1">
        <f t="shared" si="766"/>
        <v>5432.58</v>
      </c>
      <c r="AJ1612" s="20">
        <f t="shared" si="768"/>
        <v>0</v>
      </c>
      <c r="AK1612" s="100">
        <f t="shared" si="770"/>
        <v>0</v>
      </c>
      <c r="AL1612" s="100">
        <f t="shared" si="771"/>
        <v>0</v>
      </c>
      <c r="AN1612" s="100">
        <f t="shared" si="772"/>
        <v>2438.2831084996192</v>
      </c>
      <c r="AO1612" s="20">
        <f t="shared" si="773"/>
        <v>0</v>
      </c>
      <c r="AQ1612" s="109">
        <f t="shared" si="774"/>
        <v>0</v>
      </c>
      <c r="AU1612" s="109">
        <f t="shared" si="759"/>
        <v>23.550660963915661</v>
      </c>
      <c r="AV1612" s="101">
        <f t="shared" si="775"/>
        <v>88614</v>
      </c>
      <c r="AW1612" s="99">
        <f t="shared" si="776"/>
        <v>0</v>
      </c>
      <c r="AX1612" s="1">
        <f t="shared" si="777"/>
        <v>0</v>
      </c>
      <c r="AY1612" s="29">
        <f t="shared" si="778"/>
        <v>0</v>
      </c>
      <c r="AZ1612" s="1">
        <f t="shared" si="760"/>
        <v>0</v>
      </c>
      <c r="CB1612" s="20">
        <f t="shared" si="769"/>
        <v>0</v>
      </c>
      <c r="CC1612" s="173">
        <f t="shared" si="761"/>
        <v>0</v>
      </c>
    </row>
    <row r="1613" spans="10:81" x14ac:dyDescent="0.25">
      <c r="J1613" s="7"/>
      <c r="K1613" s="8"/>
      <c r="L1613" s="16"/>
      <c r="M1613" s="22"/>
      <c r="N1613" s="22"/>
      <c r="O1613" s="22"/>
      <c r="P1613" s="22"/>
      <c r="Q1613" s="1">
        <f t="shared" si="762"/>
        <v>0.60744618579017706</v>
      </c>
      <c r="R1613" s="12">
        <f t="shared" ca="1" si="779"/>
        <v>47492</v>
      </c>
      <c r="S1613" s="88">
        <f t="shared" si="788"/>
        <v>0</v>
      </c>
      <c r="T1613" s="19">
        <f t="shared" si="780"/>
        <v>0</v>
      </c>
      <c r="U1613" s="19">
        <f t="shared" si="781"/>
        <v>0</v>
      </c>
      <c r="V1613" s="19">
        <f t="shared" si="767"/>
        <v>0</v>
      </c>
      <c r="W1613" s="20">
        <f t="shared" ca="1" si="782"/>
        <v>0</v>
      </c>
      <c r="X1613" s="19">
        <f t="shared" ca="1" si="783"/>
        <v>0</v>
      </c>
      <c r="Y1613" s="19">
        <f t="shared" ca="1" si="784"/>
        <v>0</v>
      </c>
      <c r="Z1613" s="20">
        <f t="shared" ca="1" si="785"/>
        <v>0</v>
      </c>
      <c r="AA1613" s="1">
        <f t="shared" si="763"/>
        <v>5432.58</v>
      </c>
      <c r="AB1613" s="91"/>
      <c r="AC1613" s="92"/>
      <c r="AD1613" s="101">
        <f t="shared" si="764"/>
        <v>88614</v>
      </c>
      <c r="AE1613" s="103">
        <f t="shared" si="765"/>
        <v>0</v>
      </c>
      <c r="AG1613" s="1">
        <f t="shared" si="786"/>
        <v>0</v>
      </c>
      <c r="AH1613" s="1">
        <f t="shared" si="787"/>
        <v>0</v>
      </c>
      <c r="AI1613" s="1">
        <f t="shared" si="766"/>
        <v>5432.58</v>
      </c>
      <c r="AJ1613" s="20">
        <f t="shared" si="768"/>
        <v>0</v>
      </c>
      <c r="AK1613" s="100">
        <f t="shared" si="770"/>
        <v>0</v>
      </c>
      <c r="AL1613" s="100">
        <f t="shared" si="771"/>
        <v>0</v>
      </c>
      <c r="AN1613" s="100">
        <f t="shared" si="772"/>
        <v>2437.0494614996433</v>
      </c>
      <c r="AO1613" s="20">
        <f t="shared" si="773"/>
        <v>0</v>
      </c>
      <c r="AQ1613" s="109">
        <f t="shared" si="774"/>
        <v>0</v>
      </c>
      <c r="AU1613" s="109">
        <f t="shared" si="759"/>
        <v>23.548593920671511</v>
      </c>
      <c r="AV1613" s="101">
        <f t="shared" si="775"/>
        <v>88644</v>
      </c>
      <c r="AW1613" s="99">
        <f t="shared" si="776"/>
        <v>0</v>
      </c>
      <c r="AX1613" s="1">
        <f t="shared" si="777"/>
        <v>0</v>
      </c>
      <c r="AY1613" s="29">
        <f t="shared" si="778"/>
        <v>0</v>
      </c>
      <c r="AZ1613" s="1">
        <f t="shared" si="760"/>
        <v>0</v>
      </c>
      <c r="CB1613" s="20">
        <f t="shared" si="769"/>
        <v>0</v>
      </c>
      <c r="CC1613" s="173">
        <f t="shared" si="761"/>
        <v>0</v>
      </c>
    </row>
    <row r="1614" spans="10:81" x14ac:dyDescent="0.25">
      <c r="J1614" s="9"/>
      <c r="K1614" s="10"/>
      <c r="L1614" s="17"/>
      <c r="M1614" s="23"/>
      <c r="N1614" s="23"/>
      <c r="O1614" s="23"/>
      <c r="P1614" s="23"/>
      <c r="Q1614" s="1">
        <f t="shared" si="762"/>
        <v>0.60744618579017706</v>
      </c>
      <c r="R1614" s="12">
        <f t="shared" ca="1" si="779"/>
        <v>47522</v>
      </c>
      <c r="S1614" s="88">
        <f t="shared" si="788"/>
        <v>0</v>
      </c>
      <c r="T1614" s="19">
        <f t="shared" si="780"/>
        <v>0</v>
      </c>
      <c r="U1614" s="19">
        <f t="shared" si="781"/>
        <v>0</v>
      </c>
      <c r="V1614" s="19">
        <f t="shared" si="767"/>
        <v>0</v>
      </c>
      <c r="W1614" s="20">
        <f t="shared" ca="1" si="782"/>
        <v>0</v>
      </c>
      <c r="X1614" s="19">
        <f t="shared" ca="1" si="783"/>
        <v>0</v>
      </c>
      <c r="Y1614" s="19">
        <f t="shared" ca="1" si="784"/>
        <v>0</v>
      </c>
      <c r="Z1614" s="20">
        <f t="shared" ca="1" si="785"/>
        <v>0</v>
      </c>
      <c r="AA1614" s="1">
        <f t="shared" si="763"/>
        <v>5432.58</v>
      </c>
      <c r="AB1614" s="93"/>
      <c r="AC1614" s="94"/>
      <c r="AD1614" s="101">
        <f t="shared" si="764"/>
        <v>88644</v>
      </c>
      <c r="AE1614" s="103">
        <f t="shared" si="765"/>
        <v>0</v>
      </c>
      <c r="AG1614" s="1">
        <f t="shared" si="786"/>
        <v>0</v>
      </c>
      <c r="AH1614" s="1">
        <f t="shared" si="787"/>
        <v>0</v>
      </c>
      <c r="AI1614" s="1">
        <f t="shared" si="766"/>
        <v>5432.58</v>
      </c>
      <c r="AJ1614" s="20">
        <f t="shared" si="768"/>
        <v>0</v>
      </c>
      <c r="AK1614" s="100">
        <f t="shared" si="770"/>
        <v>0</v>
      </c>
      <c r="AL1614" s="100">
        <f t="shared" si="771"/>
        <v>0</v>
      </c>
      <c r="AN1614" s="100">
        <f t="shared" si="772"/>
        <v>2435.8164386621843</v>
      </c>
      <c r="AO1614" s="20">
        <f t="shared" si="773"/>
        <v>0</v>
      </c>
      <c r="AQ1614" s="109">
        <f t="shared" si="774"/>
        <v>0</v>
      </c>
      <c r="AU1614" s="109">
        <f t="shared" si="759"/>
        <v>23.546527058851904</v>
      </c>
      <c r="AV1614" s="101">
        <f t="shared" si="775"/>
        <v>88674</v>
      </c>
      <c r="AW1614" s="99">
        <f t="shared" si="776"/>
        <v>0</v>
      </c>
      <c r="AX1614" s="1">
        <f t="shared" si="777"/>
        <v>0</v>
      </c>
      <c r="AY1614" s="29">
        <f t="shared" si="778"/>
        <v>0</v>
      </c>
      <c r="AZ1614" s="1">
        <f t="shared" si="760"/>
        <v>0</v>
      </c>
      <c r="CB1614" s="20">
        <f t="shared" si="769"/>
        <v>0</v>
      </c>
      <c r="CC1614" s="173">
        <f t="shared" si="761"/>
        <v>0</v>
      </c>
    </row>
    <row r="1615" spans="10:81" x14ac:dyDescent="0.25">
      <c r="J1615" s="7"/>
      <c r="K1615" s="8"/>
      <c r="L1615" s="16"/>
      <c r="M1615" s="22"/>
      <c r="N1615" s="22"/>
      <c r="O1615" s="22"/>
      <c r="P1615" s="22"/>
      <c r="Q1615" s="1">
        <f t="shared" si="762"/>
        <v>0.60744618579017706</v>
      </c>
      <c r="R1615" s="12">
        <f t="shared" ca="1" si="779"/>
        <v>47552</v>
      </c>
      <c r="S1615" s="88">
        <f t="shared" si="788"/>
        <v>0</v>
      </c>
      <c r="T1615" s="19">
        <f t="shared" si="780"/>
        <v>0</v>
      </c>
      <c r="U1615" s="19">
        <f t="shared" si="781"/>
        <v>0</v>
      </c>
      <c r="V1615" s="19">
        <f t="shared" si="767"/>
        <v>0</v>
      </c>
      <c r="W1615" s="20">
        <f t="shared" ca="1" si="782"/>
        <v>0</v>
      </c>
      <c r="X1615" s="19">
        <f t="shared" ca="1" si="783"/>
        <v>0</v>
      </c>
      <c r="Y1615" s="19">
        <f t="shared" ca="1" si="784"/>
        <v>0</v>
      </c>
      <c r="Z1615" s="20">
        <f t="shared" ca="1" si="785"/>
        <v>0</v>
      </c>
      <c r="AA1615" s="1">
        <f t="shared" si="763"/>
        <v>5432.58</v>
      </c>
      <c r="AB1615" s="91"/>
      <c r="AC1615" s="92"/>
      <c r="AD1615" s="101">
        <f t="shared" si="764"/>
        <v>88674</v>
      </c>
      <c r="AE1615" s="103">
        <f t="shared" si="765"/>
        <v>0</v>
      </c>
      <c r="AG1615" s="1">
        <f t="shared" si="786"/>
        <v>0</v>
      </c>
      <c r="AH1615" s="1">
        <f t="shared" si="787"/>
        <v>0</v>
      </c>
      <c r="AI1615" s="1">
        <f t="shared" si="766"/>
        <v>5432.58</v>
      </c>
      <c r="AJ1615" s="20">
        <f t="shared" si="768"/>
        <v>0</v>
      </c>
      <c r="AK1615" s="100">
        <f t="shared" si="770"/>
        <v>0</v>
      </c>
      <c r="AL1615" s="100">
        <f t="shared" si="771"/>
        <v>0</v>
      </c>
      <c r="AN1615" s="100">
        <f t="shared" si="772"/>
        <v>2434.584039671448</v>
      </c>
      <c r="AO1615" s="20">
        <f t="shared" si="773"/>
        <v>0</v>
      </c>
      <c r="AQ1615" s="109">
        <f t="shared" si="774"/>
        <v>0</v>
      </c>
      <c r="AU1615" s="109">
        <f t="shared" si="759"/>
        <v>23.54446037844091</v>
      </c>
      <c r="AV1615" s="101">
        <f t="shared" si="775"/>
        <v>88704</v>
      </c>
      <c r="AW1615" s="99">
        <f t="shared" si="776"/>
        <v>0</v>
      </c>
      <c r="AX1615" s="1">
        <f t="shared" si="777"/>
        <v>0</v>
      </c>
      <c r="AY1615" s="29">
        <f t="shared" si="778"/>
        <v>0</v>
      </c>
      <c r="AZ1615" s="1">
        <f t="shared" si="760"/>
        <v>0</v>
      </c>
      <c r="CB1615" s="20">
        <f t="shared" si="769"/>
        <v>0</v>
      </c>
      <c r="CC1615" s="173">
        <f t="shared" si="761"/>
        <v>0</v>
      </c>
    </row>
    <row r="1616" spans="10:81" x14ac:dyDescent="0.25">
      <c r="J1616" s="9"/>
      <c r="K1616" s="10"/>
      <c r="L1616" s="17"/>
      <c r="M1616" s="23"/>
      <c r="N1616" s="23"/>
      <c r="O1616" s="23"/>
      <c r="P1616" s="23"/>
      <c r="Q1616" s="1">
        <f t="shared" si="762"/>
        <v>0.60744618579017706</v>
      </c>
      <c r="R1616" s="12">
        <f t="shared" ca="1" si="779"/>
        <v>47582</v>
      </c>
      <c r="S1616" s="88">
        <f t="shared" si="788"/>
        <v>0</v>
      </c>
      <c r="T1616" s="19">
        <f t="shared" si="780"/>
        <v>0</v>
      </c>
      <c r="U1616" s="19">
        <f t="shared" si="781"/>
        <v>0</v>
      </c>
      <c r="V1616" s="19">
        <f t="shared" si="767"/>
        <v>0</v>
      </c>
      <c r="W1616" s="20">
        <f t="shared" ca="1" si="782"/>
        <v>0</v>
      </c>
      <c r="X1616" s="19">
        <f t="shared" ca="1" si="783"/>
        <v>0</v>
      </c>
      <c r="Y1616" s="19">
        <f t="shared" ca="1" si="784"/>
        <v>0</v>
      </c>
      <c r="Z1616" s="20">
        <f t="shared" ca="1" si="785"/>
        <v>0</v>
      </c>
      <c r="AA1616" s="1">
        <f t="shared" si="763"/>
        <v>5432.58</v>
      </c>
      <c r="AB1616" s="93"/>
      <c r="AC1616" s="94"/>
      <c r="AD1616" s="101">
        <f t="shared" si="764"/>
        <v>88704</v>
      </c>
      <c r="AE1616" s="103">
        <f t="shared" si="765"/>
        <v>0</v>
      </c>
      <c r="AG1616" s="1">
        <f t="shared" si="786"/>
        <v>0</v>
      </c>
      <c r="AH1616" s="1">
        <f t="shared" si="787"/>
        <v>0</v>
      </c>
      <c r="AI1616" s="1">
        <f t="shared" si="766"/>
        <v>5432.58</v>
      </c>
      <c r="AJ1616" s="20">
        <f t="shared" si="768"/>
        <v>0</v>
      </c>
      <c r="AK1616" s="100">
        <f t="shared" si="770"/>
        <v>0</v>
      </c>
      <c r="AL1616" s="100">
        <f t="shared" si="771"/>
        <v>0</v>
      </c>
      <c r="AN1616" s="100">
        <f t="shared" si="772"/>
        <v>2433.3522642117982</v>
      </c>
      <c r="AO1616" s="20">
        <f t="shared" si="773"/>
        <v>0</v>
      </c>
      <c r="AQ1616" s="109">
        <f t="shared" si="774"/>
        <v>0</v>
      </c>
      <c r="AU1616" s="109">
        <f t="shared" si="759"/>
        <v>23.542393879422612</v>
      </c>
      <c r="AV1616" s="101">
        <f t="shared" si="775"/>
        <v>88734</v>
      </c>
      <c r="AW1616" s="99">
        <f t="shared" si="776"/>
        <v>0</v>
      </c>
      <c r="AX1616" s="1">
        <f t="shared" si="777"/>
        <v>0</v>
      </c>
      <c r="AY1616" s="29">
        <f t="shared" si="778"/>
        <v>0</v>
      </c>
      <c r="AZ1616" s="1">
        <f t="shared" si="760"/>
        <v>0</v>
      </c>
      <c r="CB1616" s="20">
        <f t="shared" si="769"/>
        <v>0</v>
      </c>
      <c r="CC1616" s="173">
        <f t="shared" si="761"/>
        <v>0</v>
      </c>
    </row>
    <row r="1617" spans="10:81" x14ac:dyDescent="0.25">
      <c r="J1617" s="7"/>
      <c r="K1617" s="8"/>
      <c r="L1617" s="16"/>
      <c r="M1617" s="22"/>
      <c r="N1617" s="22"/>
      <c r="O1617" s="22"/>
      <c r="P1617" s="22"/>
      <c r="Q1617" s="1">
        <f t="shared" si="762"/>
        <v>0.60744618579017706</v>
      </c>
      <c r="R1617" s="12">
        <f t="shared" ca="1" si="779"/>
        <v>47612</v>
      </c>
      <c r="S1617" s="88">
        <f t="shared" si="788"/>
        <v>0</v>
      </c>
      <c r="T1617" s="19">
        <f t="shared" si="780"/>
        <v>0</v>
      </c>
      <c r="U1617" s="19">
        <f t="shared" si="781"/>
        <v>0</v>
      </c>
      <c r="V1617" s="19">
        <f t="shared" si="767"/>
        <v>0</v>
      </c>
      <c r="W1617" s="20">
        <f t="shared" ca="1" si="782"/>
        <v>0</v>
      </c>
      <c r="X1617" s="19">
        <f t="shared" ca="1" si="783"/>
        <v>0</v>
      </c>
      <c r="Y1617" s="19">
        <f t="shared" ca="1" si="784"/>
        <v>0</v>
      </c>
      <c r="Z1617" s="20">
        <f t="shared" ca="1" si="785"/>
        <v>0</v>
      </c>
      <c r="AA1617" s="1">
        <f t="shared" si="763"/>
        <v>5432.58</v>
      </c>
      <c r="AB1617" s="91"/>
      <c r="AC1617" s="92"/>
      <c r="AD1617" s="101">
        <f t="shared" si="764"/>
        <v>88734</v>
      </c>
      <c r="AE1617" s="103">
        <f t="shared" si="765"/>
        <v>0</v>
      </c>
      <c r="AG1617" s="1">
        <f t="shared" si="786"/>
        <v>0</v>
      </c>
      <c r="AH1617" s="1">
        <f t="shared" si="787"/>
        <v>0</v>
      </c>
      <c r="AI1617" s="1">
        <f t="shared" si="766"/>
        <v>5432.58</v>
      </c>
      <c r="AJ1617" s="20">
        <f t="shared" si="768"/>
        <v>0</v>
      </c>
      <c r="AK1617" s="100">
        <f t="shared" si="770"/>
        <v>0</v>
      </c>
      <c r="AL1617" s="100">
        <f t="shared" si="771"/>
        <v>0</v>
      </c>
      <c r="AN1617" s="100">
        <f t="shared" si="772"/>
        <v>2432.1211119677605</v>
      </c>
      <c r="AO1617" s="20">
        <f t="shared" si="773"/>
        <v>0</v>
      </c>
      <c r="AQ1617" s="109">
        <f t="shared" si="774"/>
        <v>0</v>
      </c>
      <c r="AU1617" s="109">
        <f t="shared" si="759"/>
        <v>23.54032756178108</v>
      </c>
      <c r="AV1617" s="101">
        <f t="shared" si="775"/>
        <v>88764</v>
      </c>
      <c r="AW1617" s="99">
        <f t="shared" si="776"/>
        <v>0</v>
      </c>
      <c r="AX1617" s="1">
        <f t="shared" si="777"/>
        <v>0</v>
      </c>
      <c r="AY1617" s="29">
        <f t="shared" si="778"/>
        <v>0</v>
      </c>
      <c r="AZ1617" s="1">
        <f t="shared" si="760"/>
        <v>0</v>
      </c>
      <c r="CB1617" s="20">
        <f t="shared" si="769"/>
        <v>0</v>
      </c>
      <c r="CC1617" s="173">
        <f t="shared" si="761"/>
        <v>0</v>
      </c>
    </row>
    <row r="1618" spans="10:81" x14ac:dyDescent="0.25">
      <c r="J1618" s="9"/>
      <c r="K1618" s="10"/>
      <c r="L1618" s="17"/>
      <c r="M1618" s="23"/>
      <c r="N1618" s="23"/>
      <c r="O1618" s="23"/>
      <c r="P1618" s="23"/>
      <c r="Q1618" s="1">
        <f t="shared" si="762"/>
        <v>0.60744618579017706</v>
      </c>
      <c r="R1618" s="12">
        <f t="shared" ca="1" si="779"/>
        <v>47642</v>
      </c>
      <c r="S1618" s="88">
        <f t="shared" si="788"/>
        <v>0</v>
      </c>
      <c r="T1618" s="19">
        <f t="shared" si="780"/>
        <v>0</v>
      </c>
      <c r="U1618" s="19">
        <f t="shared" si="781"/>
        <v>0</v>
      </c>
      <c r="V1618" s="19">
        <f t="shared" si="767"/>
        <v>0</v>
      </c>
      <c r="W1618" s="20">
        <f t="shared" ca="1" si="782"/>
        <v>0</v>
      </c>
      <c r="X1618" s="19">
        <f t="shared" ca="1" si="783"/>
        <v>0</v>
      </c>
      <c r="Y1618" s="19">
        <f t="shared" ca="1" si="784"/>
        <v>0</v>
      </c>
      <c r="Z1618" s="20">
        <f t="shared" ca="1" si="785"/>
        <v>0</v>
      </c>
      <c r="AA1618" s="1">
        <f t="shared" si="763"/>
        <v>5432.58</v>
      </c>
      <c r="AB1618" s="93"/>
      <c r="AC1618" s="94"/>
      <c r="AD1618" s="101">
        <f t="shared" si="764"/>
        <v>88764</v>
      </c>
      <c r="AE1618" s="103">
        <f t="shared" si="765"/>
        <v>0</v>
      </c>
      <c r="AG1618" s="1">
        <f t="shared" si="786"/>
        <v>0</v>
      </c>
      <c r="AH1618" s="1">
        <f t="shared" si="787"/>
        <v>0</v>
      </c>
      <c r="AI1618" s="1">
        <f t="shared" si="766"/>
        <v>5432.58</v>
      </c>
      <c r="AJ1618" s="20">
        <f t="shared" si="768"/>
        <v>0</v>
      </c>
      <c r="AK1618" s="100">
        <f t="shared" si="770"/>
        <v>0</v>
      </c>
      <c r="AL1618" s="100">
        <f t="shared" si="771"/>
        <v>0</v>
      </c>
      <c r="AN1618" s="100">
        <f t="shared" si="772"/>
        <v>2430.8905826240207</v>
      </c>
      <c r="AO1618" s="20">
        <f t="shared" si="773"/>
        <v>0</v>
      </c>
      <c r="AQ1618" s="109">
        <f t="shared" si="774"/>
        <v>0</v>
      </c>
      <c r="AU1618" s="109">
        <f t="shared" si="759"/>
        <v>23.538261425500391</v>
      </c>
      <c r="AV1618" s="101">
        <f t="shared" si="775"/>
        <v>88794</v>
      </c>
      <c r="AW1618" s="99">
        <f t="shared" si="776"/>
        <v>0</v>
      </c>
      <c r="AX1618" s="1">
        <f t="shared" si="777"/>
        <v>0</v>
      </c>
      <c r="AY1618" s="29">
        <f t="shared" si="778"/>
        <v>0</v>
      </c>
      <c r="AZ1618" s="1">
        <f t="shared" si="760"/>
        <v>0</v>
      </c>
      <c r="CB1618" s="20">
        <f t="shared" si="769"/>
        <v>0</v>
      </c>
      <c r="CC1618" s="173">
        <f t="shared" si="761"/>
        <v>0</v>
      </c>
    </row>
    <row r="1619" spans="10:81" x14ac:dyDescent="0.25">
      <c r="J1619" s="7"/>
      <c r="K1619" s="8"/>
      <c r="L1619" s="16"/>
      <c r="M1619" s="22"/>
      <c r="N1619" s="22"/>
      <c r="O1619" s="22"/>
      <c r="P1619" s="22"/>
      <c r="Q1619" s="1">
        <f t="shared" si="762"/>
        <v>0.60744618579017706</v>
      </c>
      <c r="R1619" s="12">
        <f t="shared" ca="1" si="779"/>
        <v>47672</v>
      </c>
      <c r="S1619" s="88">
        <f t="shared" si="788"/>
        <v>0</v>
      </c>
      <c r="T1619" s="19">
        <f t="shared" si="780"/>
        <v>0</v>
      </c>
      <c r="U1619" s="19">
        <f t="shared" si="781"/>
        <v>0</v>
      </c>
      <c r="V1619" s="19">
        <f t="shared" si="767"/>
        <v>0</v>
      </c>
      <c r="W1619" s="20">
        <f t="shared" ca="1" si="782"/>
        <v>0</v>
      </c>
      <c r="X1619" s="19">
        <f t="shared" ca="1" si="783"/>
        <v>0</v>
      </c>
      <c r="Y1619" s="19">
        <f t="shared" ca="1" si="784"/>
        <v>0</v>
      </c>
      <c r="Z1619" s="20">
        <f t="shared" ca="1" si="785"/>
        <v>0</v>
      </c>
      <c r="AA1619" s="1">
        <f t="shared" si="763"/>
        <v>5432.58</v>
      </c>
      <c r="AB1619" s="91"/>
      <c r="AC1619" s="92"/>
      <c r="AD1619" s="101">
        <f t="shared" si="764"/>
        <v>88794</v>
      </c>
      <c r="AE1619" s="103">
        <f t="shared" si="765"/>
        <v>0</v>
      </c>
      <c r="AG1619" s="1">
        <f t="shared" si="786"/>
        <v>0</v>
      </c>
      <c r="AH1619" s="1">
        <f t="shared" si="787"/>
        <v>0</v>
      </c>
      <c r="AI1619" s="1">
        <f t="shared" si="766"/>
        <v>5432.58</v>
      </c>
      <c r="AJ1619" s="20">
        <f t="shared" si="768"/>
        <v>0</v>
      </c>
      <c r="AK1619" s="100">
        <f t="shared" si="770"/>
        <v>0</v>
      </c>
      <c r="AL1619" s="100">
        <f t="shared" si="771"/>
        <v>0</v>
      </c>
      <c r="AN1619" s="100">
        <f t="shared" si="772"/>
        <v>2429.6606758654211</v>
      </c>
      <c r="AO1619" s="20">
        <f t="shared" si="773"/>
        <v>0</v>
      </c>
      <c r="AQ1619" s="109">
        <f t="shared" si="774"/>
        <v>0</v>
      </c>
      <c r="AU1619" s="109">
        <f t="shared" si="759"/>
        <v>23.536195470564657</v>
      </c>
      <c r="AV1619" s="101">
        <f t="shared" si="775"/>
        <v>88824</v>
      </c>
      <c r="AW1619" s="99">
        <f t="shared" si="776"/>
        <v>0</v>
      </c>
      <c r="AX1619" s="1">
        <f t="shared" si="777"/>
        <v>0</v>
      </c>
      <c r="AY1619" s="29">
        <f t="shared" si="778"/>
        <v>0</v>
      </c>
      <c r="AZ1619" s="1">
        <f t="shared" si="760"/>
        <v>0</v>
      </c>
      <c r="CB1619" s="20">
        <f t="shared" si="769"/>
        <v>0</v>
      </c>
      <c r="CC1619" s="173">
        <f t="shared" si="761"/>
        <v>0</v>
      </c>
    </row>
    <row r="1620" spans="10:81" x14ac:dyDescent="0.25">
      <c r="J1620" s="9"/>
      <c r="K1620" s="10"/>
      <c r="L1620" s="17"/>
      <c r="M1620" s="23"/>
      <c r="N1620" s="23"/>
      <c r="O1620" s="23"/>
      <c r="P1620" s="23"/>
      <c r="Q1620" s="1">
        <f t="shared" si="762"/>
        <v>0.60744618579017706</v>
      </c>
      <c r="R1620" s="12">
        <f t="shared" ca="1" si="779"/>
        <v>47702</v>
      </c>
      <c r="S1620" s="88">
        <f t="shared" si="788"/>
        <v>0</v>
      </c>
      <c r="T1620" s="19">
        <f t="shared" si="780"/>
        <v>0</v>
      </c>
      <c r="U1620" s="19">
        <f t="shared" si="781"/>
        <v>0</v>
      </c>
      <c r="V1620" s="19">
        <f t="shared" si="767"/>
        <v>0</v>
      </c>
      <c r="W1620" s="20">
        <f t="shared" ca="1" si="782"/>
        <v>0</v>
      </c>
      <c r="X1620" s="19">
        <f t="shared" ca="1" si="783"/>
        <v>0</v>
      </c>
      <c r="Y1620" s="19">
        <f t="shared" ca="1" si="784"/>
        <v>0</v>
      </c>
      <c r="Z1620" s="20">
        <f t="shared" ca="1" si="785"/>
        <v>0</v>
      </c>
      <c r="AA1620" s="1">
        <f t="shared" si="763"/>
        <v>5432.58</v>
      </c>
      <c r="AB1620" s="93"/>
      <c r="AC1620" s="94"/>
      <c r="AD1620" s="101">
        <f t="shared" si="764"/>
        <v>88824</v>
      </c>
      <c r="AE1620" s="103">
        <f t="shared" si="765"/>
        <v>0</v>
      </c>
      <c r="AG1620" s="1">
        <f t="shared" si="786"/>
        <v>0</v>
      </c>
      <c r="AH1620" s="1">
        <f t="shared" si="787"/>
        <v>0</v>
      </c>
      <c r="AI1620" s="1">
        <f t="shared" si="766"/>
        <v>5432.58</v>
      </c>
      <c r="AJ1620" s="20">
        <f t="shared" si="768"/>
        <v>0</v>
      </c>
      <c r="AK1620" s="100">
        <f t="shared" si="770"/>
        <v>0</v>
      </c>
      <c r="AL1620" s="100">
        <f t="shared" si="771"/>
        <v>0</v>
      </c>
      <c r="AN1620" s="100">
        <f t="shared" si="772"/>
        <v>2428.4313913769665</v>
      </c>
      <c r="AO1620" s="20">
        <f t="shared" si="773"/>
        <v>0</v>
      </c>
      <c r="AQ1620" s="109">
        <f t="shared" si="774"/>
        <v>0</v>
      </c>
      <c r="AU1620" s="109">
        <f t="shared" si="759"/>
        <v>23.534129696957915</v>
      </c>
      <c r="AV1620" s="101">
        <f t="shared" si="775"/>
        <v>88854</v>
      </c>
      <c r="AW1620" s="99">
        <f t="shared" si="776"/>
        <v>0</v>
      </c>
      <c r="AX1620" s="1">
        <f t="shared" si="777"/>
        <v>0</v>
      </c>
      <c r="AY1620" s="29">
        <f t="shared" si="778"/>
        <v>0</v>
      </c>
      <c r="AZ1620" s="1">
        <f t="shared" si="760"/>
        <v>0</v>
      </c>
      <c r="CB1620" s="20">
        <f t="shared" si="769"/>
        <v>0</v>
      </c>
      <c r="CC1620" s="173">
        <f t="shared" si="761"/>
        <v>0</v>
      </c>
    </row>
    <row r="1621" spans="10:81" x14ac:dyDescent="0.25">
      <c r="J1621" s="7"/>
      <c r="K1621" s="8"/>
      <c r="L1621" s="16"/>
      <c r="M1621" s="22"/>
      <c r="N1621" s="22"/>
      <c r="O1621" s="22"/>
      <c r="P1621" s="22"/>
      <c r="Q1621" s="1">
        <f t="shared" si="762"/>
        <v>0.60744618579017706</v>
      </c>
      <c r="R1621" s="12">
        <f t="shared" ca="1" si="779"/>
        <v>47732</v>
      </c>
      <c r="S1621" s="88">
        <f t="shared" si="788"/>
        <v>0</v>
      </c>
      <c r="T1621" s="19">
        <f t="shared" si="780"/>
        <v>0</v>
      </c>
      <c r="U1621" s="19">
        <f t="shared" si="781"/>
        <v>0</v>
      </c>
      <c r="V1621" s="19">
        <f t="shared" si="767"/>
        <v>0</v>
      </c>
      <c r="W1621" s="20">
        <f t="shared" ca="1" si="782"/>
        <v>0</v>
      </c>
      <c r="X1621" s="19">
        <f t="shared" ca="1" si="783"/>
        <v>0</v>
      </c>
      <c r="Y1621" s="19">
        <f t="shared" ca="1" si="784"/>
        <v>0</v>
      </c>
      <c r="Z1621" s="20">
        <f t="shared" ca="1" si="785"/>
        <v>0</v>
      </c>
      <c r="AA1621" s="1">
        <f t="shared" si="763"/>
        <v>5432.58</v>
      </c>
      <c r="AB1621" s="91"/>
      <c r="AC1621" s="92"/>
      <c r="AD1621" s="101">
        <f t="shared" si="764"/>
        <v>88854</v>
      </c>
      <c r="AE1621" s="103">
        <f t="shared" si="765"/>
        <v>0</v>
      </c>
      <c r="AG1621" s="1">
        <f t="shared" si="786"/>
        <v>0</v>
      </c>
      <c r="AH1621" s="1">
        <f t="shared" si="787"/>
        <v>0</v>
      </c>
      <c r="AI1621" s="1">
        <f t="shared" si="766"/>
        <v>5432.58</v>
      </c>
      <c r="AJ1621" s="20">
        <f t="shared" si="768"/>
        <v>0</v>
      </c>
      <c r="AK1621" s="100">
        <f t="shared" si="770"/>
        <v>0</v>
      </c>
      <c r="AL1621" s="100">
        <f t="shared" si="771"/>
        <v>0</v>
      </c>
      <c r="AN1621" s="100">
        <f t="shared" si="772"/>
        <v>2427.2027288438198</v>
      </c>
      <c r="AO1621" s="20">
        <f t="shared" si="773"/>
        <v>0</v>
      </c>
      <c r="AQ1621" s="109">
        <f t="shared" si="774"/>
        <v>0</v>
      </c>
      <c r="AU1621" s="109">
        <f t="shared" si="759"/>
        <v>23.532064104664293</v>
      </c>
      <c r="AV1621" s="101">
        <f t="shared" si="775"/>
        <v>88884</v>
      </c>
      <c r="AW1621" s="99">
        <f t="shared" si="776"/>
        <v>0</v>
      </c>
      <c r="AX1621" s="1">
        <f t="shared" si="777"/>
        <v>0</v>
      </c>
      <c r="AY1621" s="29">
        <f t="shared" si="778"/>
        <v>0</v>
      </c>
      <c r="AZ1621" s="1">
        <f t="shared" si="760"/>
        <v>0</v>
      </c>
      <c r="CB1621" s="20">
        <f t="shared" si="769"/>
        <v>0</v>
      </c>
      <c r="CC1621" s="173">
        <f t="shared" si="761"/>
        <v>0</v>
      </c>
    </row>
    <row r="1622" spans="10:81" x14ac:dyDescent="0.25">
      <c r="J1622" s="9"/>
      <c r="K1622" s="10"/>
      <c r="L1622" s="17"/>
      <c r="M1622" s="23"/>
      <c r="N1622" s="23"/>
      <c r="O1622" s="23"/>
      <c r="P1622" s="23"/>
      <c r="Q1622" s="1">
        <f t="shared" si="762"/>
        <v>0.60744618579017706</v>
      </c>
      <c r="R1622" s="12">
        <f t="shared" ca="1" si="779"/>
        <v>47762</v>
      </c>
      <c r="S1622" s="88">
        <f t="shared" si="788"/>
        <v>0</v>
      </c>
      <c r="T1622" s="19">
        <f t="shared" si="780"/>
        <v>0</v>
      </c>
      <c r="U1622" s="19">
        <f t="shared" si="781"/>
        <v>0</v>
      </c>
      <c r="V1622" s="19">
        <f t="shared" si="767"/>
        <v>0</v>
      </c>
      <c r="W1622" s="20">
        <f t="shared" ca="1" si="782"/>
        <v>0</v>
      </c>
      <c r="X1622" s="19">
        <f t="shared" ca="1" si="783"/>
        <v>0</v>
      </c>
      <c r="Y1622" s="19">
        <f t="shared" ca="1" si="784"/>
        <v>0</v>
      </c>
      <c r="Z1622" s="20">
        <f t="shared" ca="1" si="785"/>
        <v>0</v>
      </c>
      <c r="AA1622" s="1">
        <f t="shared" si="763"/>
        <v>5432.58</v>
      </c>
      <c r="AB1622" s="93"/>
      <c r="AC1622" s="94"/>
      <c r="AD1622" s="101">
        <f t="shared" si="764"/>
        <v>88884</v>
      </c>
      <c r="AE1622" s="103">
        <f t="shared" si="765"/>
        <v>0</v>
      </c>
      <c r="AG1622" s="1">
        <f t="shared" si="786"/>
        <v>0</v>
      </c>
      <c r="AH1622" s="1">
        <f t="shared" si="787"/>
        <v>0</v>
      </c>
      <c r="AI1622" s="1">
        <f t="shared" si="766"/>
        <v>5432.58</v>
      </c>
      <c r="AJ1622" s="20">
        <f t="shared" si="768"/>
        <v>0</v>
      </c>
      <c r="AK1622" s="100">
        <f t="shared" si="770"/>
        <v>0</v>
      </c>
      <c r="AL1622" s="100">
        <f t="shared" si="771"/>
        <v>0</v>
      </c>
      <c r="AN1622" s="100">
        <f t="shared" si="772"/>
        <v>2425.9746879513032</v>
      </c>
      <c r="AO1622" s="20">
        <f t="shared" si="773"/>
        <v>0</v>
      </c>
      <c r="AQ1622" s="109">
        <f t="shared" si="774"/>
        <v>0</v>
      </c>
      <c r="AU1622" s="109">
        <f t="shared" si="759"/>
        <v>23.529998693667849</v>
      </c>
      <c r="AV1622" s="101">
        <f t="shared" si="775"/>
        <v>88914</v>
      </c>
      <c r="AW1622" s="99">
        <f t="shared" si="776"/>
        <v>0</v>
      </c>
      <c r="AX1622" s="1">
        <f t="shared" si="777"/>
        <v>0</v>
      </c>
      <c r="AY1622" s="29">
        <f t="shared" si="778"/>
        <v>0</v>
      </c>
      <c r="AZ1622" s="1">
        <f t="shared" si="760"/>
        <v>0</v>
      </c>
      <c r="CB1622" s="20">
        <f t="shared" si="769"/>
        <v>0</v>
      </c>
      <c r="CC1622" s="173">
        <f t="shared" si="761"/>
        <v>0</v>
      </c>
    </row>
    <row r="1623" spans="10:81" x14ac:dyDescent="0.25">
      <c r="J1623" s="7"/>
      <c r="K1623" s="8"/>
      <c r="L1623" s="16"/>
      <c r="M1623" s="22"/>
      <c r="N1623" s="22"/>
      <c r="O1623" s="22"/>
      <c r="P1623" s="22"/>
      <c r="Q1623" s="1">
        <f t="shared" si="762"/>
        <v>0.60744618579017706</v>
      </c>
      <c r="R1623" s="12">
        <f t="shared" ca="1" si="779"/>
        <v>47792</v>
      </c>
      <c r="S1623" s="88">
        <f t="shared" si="788"/>
        <v>0</v>
      </c>
      <c r="T1623" s="19">
        <f t="shared" si="780"/>
        <v>0</v>
      </c>
      <c r="U1623" s="19">
        <f t="shared" si="781"/>
        <v>0</v>
      </c>
      <c r="V1623" s="19">
        <f t="shared" si="767"/>
        <v>0</v>
      </c>
      <c r="W1623" s="20">
        <f t="shared" ca="1" si="782"/>
        <v>0</v>
      </c>
      <c r="X1623" s="19">
        <f t="shared" ca="1" si="783"/>
        <v>0</v>
      </c>
      <c r="Y1623" s="19">
        <f t="shared" ca="1" si="784"/>
        <v>0</v>
      </c>
      <c r="Z1623" s="20">
        <f t="shared" ca="1" si="785"/>
        <v>0</v>
      </c>
      <c r="AA1623" s="1">
        <f t="shared" si="763"/>
        <v>5432.58</v>
      </c>
      <c r="AB1623" s="91"/>
      <c r="AC1623" s="92"/>
      <c r="AD1623" s="101">
        <f t="shared" si="764"/>
        <v>88914</v>
      </c>
      <c r="AE1623" s="103">
        <f t="shared" si="765"/>
        <v>0</v>
      </c>
      <c r="AG1623" s="1">
        <f t="shared" si="786"/>
        <v>0</v>
      </c>
      <c r="AH1623" s="1">
        <f t="shared" si="787"/>
        <v>0</v>
      </c>
      <c r="AI1623" s="1">
        <f t="shared" si="766"/>
        <v>5432.58</v>
      </c>
      <c r="AJ1623" s="20">
        <f t="shared" si="768"/>
        <v>0</v>
      </c>
      <c r="AK1623" s="100">
        <f t="shared" si="770"/>
        <v>0</v>
      </c>
      <c r="AL1623" s="100">
        <f t="shared" si="771"/>
        <v>0</v>
      </c>
      <c r="AN1623" s="100">
        <f t="shared" si="772"/>
        <v>2424.7472683848982</v>
      </c>
      <c r="AO1623" s="20">
        <f t="shared" si="773"/>
        <v>0</v>
      </c>
      <c r="AQ1623" s="109">
        <f t="shared" si="774"/>
        <v>0</v>
      </c>
      <c r="AU1623" s="109">
        <f t="shared" si="759"/>
        <v>23.527933463952692</v>
      </c>
      <c r="AV1623" s="101">
        <f t="shared" si="775"/>
        <v>88944</v>
      </c>
      <c r="AW1623" s="99">
        <f t="shared" si="776"/>
        <v>0</v>
      </c>
      <c r="AX1623" s="1">
        <f t="shared" si="777"/>
        <v>0</v>
      </c>
      <c r="AY1623" s="29">
        <f t="shared" si="778"/>
        <v>0</v>
      </c>
      <c r="AZ1623" s="1">
        <f t="shared" si="760"/>
        <v>0</v>
      </c>
      <c r="CB1623" s="20">
        <f t="shared" si="769"/>
        <v>0</v>
      </c>
      <c r="CC1623" s="173">
        <f t="shared" si="761"/>
        <v>0</v>
      </c>
    </row>
    <row r="1624" spans="10:81" x14ac:dyDescent="0.25">
      <c r="J1624" s="9"/>
      <c r="K1624" s="10"/>
      <c r="L1624" s="17"/>
      <c r="M1624" s="23"/>
      <c r="N1624" s="23"/>
      <c r="O1624" s="23"/>
      <c r="P1624" s="23"/>
      <c r="Q1624" s="1">
        <f t="shared" si="762"/>
        <v>0.60744618579017706</v>
      </c>
      <c r="R1624" s="12">
        <f t="shared" ca="1" si="779"/>
        <v>47822</v>
      </c>
      <c r="S1624" s="88">
        <f t="shared" si="788"/>
        <v>0</v>
      </c>
      <c r="T1624" s="19">
        <f t="shared" si="780"/>
        <v>0</v>
      </c>
      <c r="U1624" s="19">
        <f t="shared" si="781"/>
        <v>0</v>
      </c>
      <c r="V1624" s="19">
        <f t="shared" si="767"/>
        <v>0</v>
      </c>
      <c r="W1624" s="20">
        <f t="shared" ca="1" si="782"/>
        <v>0</v>
      </c>
      <c r="X1624" s="19">
        <f t="shared" ca="1" si="783"/>
        <v>0</v>
      </c>
      <c r="Y1624" s="19">
        <f t="shared" ca="1" si="784"/>
        <v>0</v>
      </c>
      <c r="Z1624" s="20">
        <f t="shared" ca="1" si="785"/>
        <v>0</v>
      </c>
      <c r="AA1624" s="1">
        <f t="shared" si="763"/>
        <v>5432.58</v>
      </c>
      <c r="AB1624" s="93"/>
      <c r="AC1624" s="94"/>
      <c r="AD1624" s="101">
        <f t="shared" si="764"/>
        <v>88944</v>
      </c>
      <c r="AE1624" s="103">
        <f t="shared" si="765"/>
        <v>0</v>
      </c>
      <c r="AG1624" s="1">
        <f t="shared" si="786"/>
        <v>0</v>
      </c>
      <c r="AH1624" s="1">
        <f t="shared" si="787"/>
        <v>0</v>
      </c>
      <c r="AI1624" s="1">
        <f t="shared" si="766"/>
        <v>5432.58</v>
      </c>
      <c r="AJ1624" s="20">
        <f t="shared" si="768"/>
        <v>0</v>
      </c>
      <c r="AK1624" s="100">
        <f t="shared" si="770"/>
        <v>0</v>
      </c>
      <c r="AL1624" s="100">
        <f t="shared" si="771"/>
        <v>0</v>
      </c>
      <c r="AN1624" s="100">
        <f t="shared" si="772"/>
        <v>2423.5204698302459</v>
      </c>
      <c r="AO1624" s="20">
        <f t="shared" si="773"/>
        <v>0</v>
      </c>
      <c r="AQ1624" s="109">
        <f t="shared" si="774"/>
        <v>0</v>
      </c>
      <c r="AU1624" s="109">
        <f t="shared" si="759"/>
        <v>23.525868415502888</v>
      </c>
      <c r="AV1624" s="101">
        <f t="shared" si="775"/>
        <v>88974</v>
      </c>
      <c r="AW1624" s="99">
        <f t="shared" si="776"/>
        <v>0</v>
      </c>
      <c r="AX1624" s="1">
        <f t="shared" si="777"/>
        <v>0</v>
      </c>
      <c r="AY1624" s="29">
        <f t="shared" si="778"/>
        <v>0</v>
      </c>
      <c r="AZ1624" s="1">
        <f t="shared" si="760"/>
        <v>0</v>
      </c>
      <c r="CB1624" s="20">
        <f t="shared" si="769"/>
        <v>0</v>
      </c>
      <c r="CC1624" s="173">
        <f t="shared" si="761"/>
        <v>0</v>
      </c>
    </row>
    <row r="1625" spans="10:81" x14ac:dyDescent="0.25">
      <c r="J1625" s="7"/>
      <c r="K1625" s="8"/>
      <c r="L1625" s="16"/>
      <c r="M1625" s="22"/>
      <c r="N1625" s="22"/>
      <c r="O1625" s="22"/>
      <c r="P1625" s="22"/>
      <c r="Q1625" s="1">
        <f t="shared" si="762"/>
        <v>0.60744618579017706</v>
      </c>
      <c r="R1625" s="12">
        <f t="shared" ca="1" si="779"/>
        <v>47852</v>
      </c>
      <c r="S1625" s="88">
        <f t="shared" si="788"/>
        <v>0</v>
      </c>
      <c r="T1625" s="19">
        <f t="shared" si="780"/>
        <v>0</v>
      </c>
      <c r="U1625" s="19">
        <f t="shared" si="781"/>
        <v>0</v>
      </c>
      <c r="V1625" s="19">
        <f t="shared" si="767"/>
        <v>0</v>
      </c>
      <c r="W1625" s="20">
        <f t="shared" ca="1" si="782"/>
        <v>0</v>
      </c>
      <c r="X1625" s="19">
        <f t="shared" ca="1" si="783"/>
        <v>0</v>
      </c>
      <c r="Y1625" s="19">
        <f t="shared" ca="1" si="784"/>
        <v>0</v>
      </c>
      <c r="Z1625" s="20">
        <f t="shared" ca="1" si="785"/>
        <v>0</v>
      </c>
      <c r="AA1625" s="1">
        <f t="shared" si="763"/>
        <v>5432.58</v>
      </c>
      <c r="AB1625" s="91"/>
      <c r="AC1625" s="92"/>
      <c r="AD1625" s="101">
        <f t="shared" si="764"/>
        <v>88974</v>
      </c>
      <c r="AE1625" s="103">
        <f t="shared" si="765"/>
        <v>0</v>
      </c>
      <c r="AG1625" s="1">
        <f t="shared" si="786"/>
        <v>0</v>
      </c>
      <c r="AH1625" s="1">
        <f t="shared" si="787"/>
        <v>0</v>
      </c>
      <c r="AI1625" s="1">
        <f t="shared" si="766"/>
        <v>5432.58</v>
      </c>
      <c r="AJ1625" s="20">
        <f t="shared" si="768"/>
        <v>0</v>
      </c>
      <c r="AK1625" s="100">
        <f t="shared" si="770"/>
        <v>0</v>
      </c>
      <c r="AL1625" s="100">
        <f t="shared" si="771"/>
        <v>0</v>
      </c>
      <c r="AN1625" s="100">
        <f t="shared" si="772"/>
        <v>2422.2942919731449</v>
      </c>
      <c r="AO1625" s="20">
        <f t="shared" si="773"/>
        <v>0</v>
      </c>
      <c r="AQ1625" s="109">
        <f t="shared" si="774"/>
        <v>0</v>
      </c>
      <c r="AU1625" s="109">
        <f t="shared" si="759"/>
        <v>23.523803548302539</v>
      </c>
      <c r="AV1625" s="101">
        <f t="shared" si="775"/>
        <v>89004</v>
      </c>
      <c r="AW1625" s="99">
        <f t="shared" si="776"/>
        <v>0</v>
      </c>
      <c r="AX1625" s="1">
        <f t="shared" si="777"/>
        <v>0</v>
      </c>
      <c r="AY1625" s="29">
        <f t="shared" si="778"/>
        <v>0</v>
      </c>
      <c r="AZ1625" s="1">
        <f t="shared" si="760"/>
        <v>0</v>
      </c>
      <c r="CB1625" s="20">
        <f t="shared" si="769"/>
        <v>0</v>
      </c>
      <c r="CC1625" s="173">
        <f t="shared" si="761"/>
        <v>0</v>
      </c>
    </row>
    <row r="1626" spans="10:81" x14ac:dyDescent="0.25">
      <c r="J1626" s="9"/>
      <c r="K1626" s="10"/>
      <c r="L1626" s="17"/>
      <c r="M1626" s="23"/>
      <c r="N1626" s="23"/>
      <c r="O1626" s="23"/>
      <c r="P1626" s="23"/>
      <c r="Q1626" s="1">
        <f t="shared" si="762"/>
        <v>0.60744618579017706</v>
      </c>
      <c r="R1626" s="12">
        <f t="shared" ca="1" si="779"/>
        <v>47882</v>
      </c>
      <c r="S1626" s="88">
        <f t="shared" si="788"/>
        <v>0</v>
      </c>
      <c r="T1626" s="19">
        <f t="shared" si="780"/>
        <v>0</v>
      </c>
      <c r="U1626" s="19">
        <f t="shared" si="781"/>
        <v>0</v>
      </c>
      <c r="V1626" s="19">
        <f t="shared" si="767"/>
        <v>0</v>
      </c>
      <c r="W1626" s="20">
        <f t="shared" ca="1" si="782"/>
        <v>0</v>
      </c>
      <c r="X1626" s="19">
        <f t="shared" ca="1" si="783"/>
        <v>0</v>
      </c>
      <c r="Y1626" s="19">
        <f t="shared" ca="1" si="784"/>
        <v>0</v>
      </c>
      <c r="Z1626" s="20">
        <f t="shared" ca="1" si="785"/>
        <v>0</v>
      </c>
      <c r="AA1626" s="1">
        <f t="shared" si="763"/>
        <v>5432.58</v>
      </c>
      <c r="AB1626" s="93"/>
      <c r="AC1626" s="94"/>
      <c r="AD1626" s="101">
        <f t="shared" si="764"/>
        <v>89004</v>
      </c>
      <c r="AE1626" s="103">
        <f t="shared" si="765"/>
        <v>0</v>
      </c>
      <c r="AG1626" s="1">
        <f t="shared" si="786"/>
        <v>0</v>
      </c>
      <c r="AH1626" s="1">
        <f t="shared" si="787"/>
        <v>0</v>
      </c>
      <c r="AI1626" s="1">
        <f t="shared" si="766"/>
        <v>5432.58</v>
      </c>
      <c r="AJ1626" s="20">
        <f t="shared" si="768"/>
        <v>0</v>
      </c>
      <c r="AK1626" s="100">
        <f t="shared" si="770"/>
        <v>0</v>
      </c>
      <c r="AL1626" s="100">
        <f t="shared" si="771"/>
        <v>0</v>
      </c>
      <c r="AN1626" s="100">
        <f t="shared" si="772"/>
        <v>2421.0687344995549</v>
      </c>
      <c r="AO1626" s="20">
        <f t="shared" si="773"/>
        <v>0</v>
      </c>
      <c r="AQ1626" s="109">
        <f t="shared" si="774"/>
        <v>0</v>
      </c>
      <c r="AU1626" s="109">
        <f t="shared" si="759"/>
        <v>23.521738862335738</v>
      </c>
      <c r="AV1626" s="101">
        <f t="shared" si="775"/>
        <v>89034</v>
      </c>
      <c r="AW1626" s="99">
        <f t="shared" si="776"/>
        <v>0</v>
      </c>
      <c r="AX1626" s="1">
        <f t="shared" si="777"/>
        <v>0</v>
      </c>
      <c r="AY1626" s="29">
        <f t="shared" si="778"/>
        <v>0</v>
      </c>
      <c r="AZ1626" s="1">
        <f t="shared" si="760"/>
        <v>0</v>
      </c>
      <c r="CB1626" s="20">
        <f t="shared" si="769"/>
        <v>0</v>
      </c>
      <c r="CC1626" s="173">
        <f t="shared" si="761"/>
        <v>0</v>
      </c>
    </row>
    <row r="1627" spans="10:81" x14ac:dyDescent="0.25">
      <c r="J1627" s="7"/>
      <c r="K1627" s="8"/>
      <c r="L1627" s="16"/>
      <c r="M1627" s="22"/>
      <c r="N1627" s="22"/>
      <c r="O1627" s="22"/>
      <c r="P1627" s="22"/>
      <c r="Q1627" s="1">
        <f t="shared" si="762"/>
        <v>0.60744618579017706</v>
      </c>
      <c r="R1627" s="12">
        <f t="shared" ca="1" si="779"/>
        <v>47912</v>
      </c>
      <c r="S1627" s="88">
        <f t="shared" si="788"/>
        <v>0</v>
      </c>
      <c r="T1627" s="19">
        <f t="shared" si="780"/>
        <v>0</v>
      </c>
      <c r="U1627" s="19">
        <f t="shared" si="781"/>
        <v>0</v>
      </c>
      <c r="V1627" s="19">
        <f t="shared" si="767"/>
        <v>0</v>
      </c>
      <c r="W1627" s="20">
        <f t="shared" ca="1" si="782"/>
        <v>0</v>
      </c>
      <c r="X1627" s="19">
        <f t="shared" ca="1" si="783"/>
        <v>0</v>
      </c>
      <c r="Y1627" s="19">
        <f t="shared" ca="1" si="784"/>
        <v>0</v>
      </c>
      <c r="Z1627" s="20">
        <f t="shared" ca="1" si="785"/>
        <v>0</v>
      </c>
      <c r="AA1627" s="1">
        <f t="shared" si="763"/>
        <v>5432.58</v>
      </c>
      <c r="AB1627" s="91"/>
      <c r="AC1627" s="92"/>
      <c r="AD1627" s="101">
        <f t="shared" si="764"/>
        <v>89034</v>
      </c>
      <c r="AE1627" s="103">
        <f t="shared" si="765"/>
        <v>0</v>
      </c>
      <c r="AG1627" s="1">
        <f t="shared" si="786"/>
        <v>0</v>
      </c>
      <c r="AH1627" s="1">
        <f t="shared" si="787"/>
        <v>0</v>
      </c>
      <c r="AI1627" s="1">
        <f t="shared" si="766"/>
        <v>5432.58</v>
      </c>
      <c r="AJ1627" s="20">
        <f t="shared" si="768"/>
        <v>0</v>
      </c>
      <c r="AK1627" s="100">
        <f t="shared" si="770"/>
        <v>0</v>
      </c>
      <c r="AL1627" s="100">
        <f t="shared" si="771"/>
        <v>0</v>
      </c>
      <c r="AN1627" s="100">
        <f t="shared" si="772"/>
        <v>2419.8437970955933</v>
      </c>
      <c r="AO1627" s="20">
        <f t="shared" si="773"/>
        <v>0</v>
      </c>
      <c r="AQ1627" s="109">
        <f t="shared" si="774"/>
        <v>0</v>
      </c>
      <c r="AU1627" s="109">
        <f t="shared" si="759"/>
        <v>23.51967435758657</v>
      </c>
      <c r="AV1627" s="101">
        <f t="shared" si="775"/>
        <v>89064</v>
      </c>
      <c r="AW1627" s="99">
        <f t="shared" si="776"/>
        <v>0</v>
      </c>
      <c r="AX1627" s="1">
        <f t="shared" si="777"/>
        <v>0</v>
      </c>
      <c r="AY1627" s="29">
        <f t="shared" si="778"/>
        <v>0</v>
      </c>
      <c r="AZ1627" s="1">
        <f t="shared" si="760"/>
        <v>0</v>
      </c>
      <c r="CB1627" s="20">
        <f t="shared" si="769"/>
        <v>0</v>
      </c>
      <c r="CC1627" s="173">
        <f t="shared" si="761"/>
        <v>0</v>
      </c>
    </row>
    <row r="1628" spans="10:81" x14ac:dyDescent="0.25">
      <c r="J1628" s="9"/>
      <c r="K1628" s="10"/>
      <c r="L1628" s="17"/>
      <c r="M1628" s="23"/>
      <c r="N1628" s="23"/>
      <c r="O1628" s="23"/>
      <c r="P1628" s="23"/>
      <c r="Q1628" s="1">
        <f t="shared" si="762"/>
        <v>0.60744618579017706</v>
      </c>
      <c r="R1628" s="12">
        <f t="shared" ca="1" si="779"/>
        <v>47942</v>
      </c>
      <c r="S1628" s="88">
        <f t="shared" si="788"/>
        <v>0</v>
      </c>
      <c r="T1628" s="19">
        <f t="shared" si="780"/>
        <v>0</v>
      </c>
      <c r="U1628" s="19">
        <f t="shared" si="781"/>
        <v>0</v>
      </c>
      <c r="V1628" s="19">
        <f t="shared" si="767"/>
        <v>0</v>
      </c>
      <c r="W1628" s="20">
        <f t="shared" ca="1" si="782"/>
        <v>0</v>
      </c>
      <c r="X1628" s="19">
        <f t="shared" ca="1" si="783"/>
        <v>0</v>
      </c>
      <c r="Y1628" s="19">
        <f t="shared" ca="1" si="784"/>
        <v>0</v>
      </c>
      <c r="Z1628" s="20">
        <f t="shared" ca="1" si="785"/>
        <v>0</v>
      </c>
      <c r="AA1628" s="1">
        <f t="shared" si="763"/>
        <v>5432.58</v>
      </c>
      <c r="AB1628" s="93"/>
      <c r="AC1628" s="94"/>
      <c r="AD1628" s="101">
        <f t="shared" si="764"/>
        <v>89064</v>
      </c>
      <c r="AE1628" s="103">
        <f t="shared" si="765"/>
        <v>0</v>
      </c>
      <c r="AG1628" s="1">
        <f t="shared" si="786"/>
        <v>0</v>
      </c>
      <c r="AH1628" s="1">
        <f t="shared" si="787"/>
        <v>0</v>
      </c>
      <c r="AI1628" s="1">
        <f t="shared" si="766"/>
        <v>5432.58</v>
      </c>
      <c r="AJ1628" s="20">
        <f t="shared" si="768"/>
        <v>0</v>
      </c>
      <c r="AK1628" s="100">
        <f t="shared" si="770"/>
        <v>0</v>
      </c>
      <c r="AL1628" s="100">
        <f t="shared" si="771"/>
        <v>0</v>
      </c>
      <c r="AN1628" s="100">
        <f t="shared" si="772"/>
        <v>2418.6194794475359</v>
      </c>
      <c r="AO1628" s="20">
        <f t="shared" si="773"/>
        <v>0</v>
      </c>
      <c r="AQ1628" s="109">
        <f t="shared" si="774"/>
        <v>0</v>
      </c>
      <c r="AU1628" s="109">
        <f t="shared" si="759"/>
        <v>23.517610034039141</v>
      </c>
      <c r="AV1628" s="101">
        <f t="shared" si="775"/>
        <v>89094</v>
      </c>
      <c r="AW1628" s="99">
        <f t="shared" si="776"/>
        <v>0</v>
      </c>
      <c r="AX1628" s="1">
        <f t="shared" si="777"/>
        <v>0</v>
      </c>
      <c r="AY1628" s="29">
        <f t="shared" si="778"/>
        <v>0</v>
      </c>
      <c r="AZ1628" s="1">
        <f t="shared" si="760"/>
        <v>0</v>
      </c>
      <c r="CB1628" s="20">
        <f t="shared" si="769"/>
        <v>0</v>
      </c>
      <c r="CC1628" s="173">
        <f t="shared" si="761"/>
        <v>0</v>
      </c>
    </row>
    <row r="1629" spans="10:81" x14ac:dyDescent="0.25">
      <c r="J1629" s="7"/>
      <c r="K1629" s="8"/>
      <c r="L1629" s="16"/>
      <c r="M1629" s="22"/>
      <c r="N1629" s="22"/>
      <c r="O1629" s="22"/>
      <c r="P1629" s="22"/>
      <c r="Q1629" s="1">
        <f t="shared" si="762"/>
        <v>0.60744618579017706</v>
      </c>
      <c r="R1629" s="12">
        <f t="shared" ca="1" si="779"/>
        <v>47972</v>
      </c>
      <c r="S1629" s="88">
        <f t="shared" si="788"/>
        <v>0</v>
      </c>
      <c r="T1629" s="19">
        <f t="shared" si="780"/>
        <v>0</v>
      </c>
      <c r="U1629" s="19">
        <f t="shared" si="781"/>
        <v>0</v>
      </c>
      <c r="V1629" s="19">
        <f t="shared" si="767"/>
        <v>0</v>
      </c>
      <c r="W1629" s="20">
        <f t="shared" ca="1" si="782"/>
        <v>0</v>
      </c>
      <c r="X1629" s="19">
        <f t="shared" ca="1" si="783"/>
        <v>0</v>
      </c>
      <c r="Y1629" s="19">
        <f t="shared" ca="1" si="784"/>
        <v>0</v>
      </c>
      <c r="Z1629" s="20">
        <f t="shared" ca="1" si="785"/>
        <v>0</v>
      </c>
      <c r="AA1629" s="1">
        <f t="shared" si="763"/>
        <v>5432.58</v>
      </c>
      <c r="AB1629" s="91"/>
      <c r="AC1629" s="92"/>
      <c r="AD1629" s="101">
        <f t="shared" si="764"/>
        <v>89094</v>
      </c>
      <c r="AE1629" s="103">
        <f t="shared" si="765"/>
        <v>0</v>
      </c>
      <c r="AG1629" s="1">
        <f t="shared" si="786"/>
        <v>0</v>
      </c>
      <c r="AH1629" s="1">
        <f t="shared" si="787"/>
        <v>0</v>
      </c>
      <c r="AI1629" s="1">
        <f t="shared" si="766"/>
        <v>5432.58</v>
      </c>
      <c r="AJ1629" s="20">
        <f t="shared" si="768"/>
        <v>0</v>
      </c>
      <c r="AK1629" s="100">
        <f t="shared" si="770"/>
        <v>0</v>
      </c>
      <c r="AL1629" s="100">
        <f t="shared" si="771"/>
        <v>0</v>
      </c>
      <c r="AN1629" s="100">
        <f t="shared" si="772"/>
        <v>2417.3957812418189</v>
      </c>
      <c r="AO1629" s="20">
        <f t="shared" si="773"/>
        <v>0</v>
      </c>
      <c r="AQ1629" s="109">
        <f t="shared" si="774"/>
        <v>0</v>
      </c>
      <c r="AU1629" s="109">
        <f t="shared" si="759"/>
        <v>23.51554589167754</v>
      </c>
      <c r="AV1629" s="101">
        <f t="shared" si="775"/>
        <v>89124</v>
      </c>
      <c r="AW1629" s="99">
        <f t="shared" si="776"/>
        <v>0</v>
      </c>
      <c r="AX1629" s="1">
        <f t="shared" si="777"/>
        <v>0</v>
      </c>
      <c r="AY1629" s="29">
        <f t="shared" si="778"/>
        <v>0</v>
      </c>
      <c r="AZ1629" s="1">
        <f t="shared" si="760"/>
        <v>0</v>
      </c>
      <c r="CB1629" s="20">
        <f t="shared" si="769"/>
        <v>0</v>
      </c>
      <c r="CC1629" s="173">
        <f t="shared" si="761"/>
        <v>0</v>
      </c>
    </row>
    <row r="1630" spans="10:81" x14ac:dyDescent="0.25">
      <c r="J1630" s="9"/>
      <c r="K1630" s="10"/>
      <c r="L1630" s="17"/>
      <c r="M1630" s="23"/>
      <c r="N1630" s="23"/>
      <c r="O1630" s="23"/>
      <c r="P1630" s="23"/>
      <c r="Q1630" s="1">
        <f t="shared" si="762"/>
        <v>0.60744618579017706</v>
      </c>
      <c r="R1630" s="12">
        <f t="shared" ca="1" si="779"/>
        <v>48002</v>
      </c>
      <c r="S1630" s="88">
        <f t="shared" si="788"/>
        <v>0</v>
      </c>
      <c r="T1630" s="19">
        <f t="shared" si="780"/>
        <v>0</v>
      </c>
      <c r="U1630" s="19">
        <f t="shared" si="781"/>
        <v>0</v>
      </c>
      <c r="V1630" s="19">
        <f t="shared" si="767"/>
        <v>0</v>
      </c>
      <c r="W1630" s="20">
        <f t="shared" ca="1" si="782"/>
        <v>0</v>
      </c>
      <c r="X1630" s="19">
        <f t="shared" ca="1" si="783"/>
        <v>0</v>
      </c>
      <c r="Y1630" s="19">
        <f t="shared" ca="1" si="784"/>
        <v>0</v>
      </c>
      <c r="Z1630" s="20">
        <f t="shared" ca="1" si="785"/>
        <v>0</v>
      </c>
      <c r="AA1630" s="1">
        <f t="shared" si="763"/>
        <v>5432.58</v>
      </c>
      <c r="AB1630" s="93"/>
      <c r="AC1630" s="94"/>
      <c r="AD1630" s="101">
        <f t="shared" si="764"/>
        <v>89124</v>
      </c>
      <c r="AE1630" s="103">
        <f t="shared" si="765"/>
        <v>0</v>
      </c>
      <c r="AG1630" s="1">
        <f t="shared" si="786"/>
        <v>0</v>
      </c>
      <c r="AH1630" s="1">
        <f t="shared" si="787"/>
        <v>0</v>
      </c>
      <c r="AI1630" s="1">
        <f t="shared" si="766"/>
        <v>5432.58</v>
      </c>
      <c r="AJ1630" s="20">
        <f t="shared" si="768"/>
        <v>0</v>
      </c>
      <c r="AK1630" s="100">
        <f t="shared" si="770"/>
        <v>0</v>
      </c>
      <c r="AL1630" s="100">
        <f t="shared" si="771"/>
        <v>0</v>
      </c>
      <c r="AN1630" s="100">
        <f t="shared" si="772"/>
        <v>2416.1727021650349</v>
      </c>
      <c r="AO1630" s="20">
        <f t="shared" si="773"/>
        <v>0</v>
      </c>
      <c r="AQ1630" s="109">
        <f t="shared" si="774"/>
        <v>0</v>
      </c>
      <c r="AU1630" s="109">
        <f t="shared" si="759"/>
        <v>23.513481930485863</v>
      </c>
      <c r="AV1630" s="101">
        <f t="shared" si="775"/>
        <v>89154</v>
      </c>
      <c r="AW1630" s="99">
        <f t="shared" si="776"/>
        <v>0</v>
      </c>
      <c r="AX1630" s="1">
        <f t="shared" si="777"/>
        <v>0</v>
      </c>
      <c r="AY1630" s="29">
        <f t="shared" si="778"/>
        <v>0</v>
      </c>
      <c r="AZ1630" s="1">
        <f t="shared" si="760"/>
        <v>0</v>
      </c>
      <c r="CB1630" s="20">
        <f t="shared" si="769"/>
        <v>0</v>
      </c>
      <c r="CC1630" s="173">
        <f t="shared" si="761"/>
        <v>0</v>
      </c>
    </row>
    <row r="1631" spans="10:81" x14ac:dyDescent="0.25">
      <c r="J1631" s="7"/>
      <c r="K1631" s="8"/>
      <c r="L1631" s="16"/>
      <c r="M1631" s="22"/>
      <c r="N1631" s="22"/>
      <c r="O1631" s="22"/>
      <c r="P1631" s="22"/>
      <c r="Q1631" s="1">
        <f t="shared" si="762"/>
        <v>0.60744618579017706</v>
      </c>
      <c r="R1631" s="12">
        <f t="shared" ca="1" si="779"/>
        <v>48032</v>
      </c>
      <c r="S1631" s="88">
        <f t="shared" si="788"/>
        <v>0</v>
      </c>
      <c r="T1631" s="19">
        <f t="shared" si="780"/>
        <v>0</v>
      </c>
      <c r="U1631" s="19">
        <f t="shared" si="781"/>
        <v>0</v>
      </c>
      <c r="V1631" s="19">
        <f t="shared" si="767"/>
        <v>0</v>
      </c>
      <c r="W1631" s="20">
        <f t="shared" ca="1" si="782"/>
        <v>0</v>
      </c>
      <c r="X1631" s="19">
        <f t="shared" ca="1" si="783"/>
        <v>0</v>
      </c>
      <c r="Y1631" s="19">
        <f t="shared" ca="1" si="784"/>
        <v>0</v>
      </c>
      <c r="Z1631" s="20">
        <f t="shared" ca="1" si="785"/>
        <v>0</v>
      </c>
      <c r="AA1631" s="1">
        <f t="shared" si="763"/>
        <v>5432.58</v>
      </c>
      <c r="AB1631" s="91"/>
      <c r="AC1631" s="92"/>
      <c r="AD1631" s="101">
        <f t="shared" si="764"/>
        <v>89154</v>
      </c>
      <c r="AE1631" s="103">
        <f t="shared" si="765"/>
        <v>0</v>
      </c>
      <c r="AG1631" s="1">
        <f t="shared" si="786"/>
        <v>0</v>
      </c>
      <c r="AH1631" s="1">
        <f t="shared" si="787"/>
        <v>0</v>
      </c>
      <c r="AI1631" s="1">
        <f t="shared" si="766"/>
        <v>5432.58</v>
      </c>
      <c r="AJ1631" s="20">
        <f t="shared" si="768"/>
        <v>0</v>
      </c>
      <c r="AK1631" s="100">
        <f t="shared" si="770"/>
        <v>0</v>
      </c>
      <c r="AL1631" s="100">
        <f t="shared" si="771"/>
        <v>0</v>
      </c>
      <c r="AN1631" s="100">
        <f t="shared" si="772"/>
        <v>2414.9502419039368</v>
      </c>
      <c r="AO1631" s="20">
        <f t="shared" si="773"/>
        <v>0</v>
      </c>
      <c r="AQ1631" s="109">
        <f t="shared" si="774"/>
        <v>0</v>
      </c>
      <c r="AU1631" s="109">
        <f t="shared" ref="AU1631:AU1694" si="789">(($AT$27/(1+((1+$AM$27)^(ROW()-29)*30)-1))/292)*0.32</f>
        <v>23.511418150448222</v>
      </c>
      <c r="AV1631" s="101">
        <f t="shared" si="775"/>
        <v>89184</v>
      </c>
      <c r="AW1631" s="99">
        <f t="shared" si="776"/>
        <v>0</v>
      </c>
      <c r="AX1631" s="1">
        <f t="shared" si="777"/>
        <v>0</v>
      </c>
      <c r="AY1631" s="29">
        <f t="shared" si="778"/>
        <v>0</v>
      </c>
      <c r="AZ1631" s="1">
        <f t="shared" ref="AZ1631:AZ1694" si="790">AY1631/360</f>
        <v>0</v>
      </c>
      <c r="CB1631" s="20">
        <f t="shared" si="769"/>
        <v>0</v>
      </c>
      <c r="CC1631" s="173">
        <f t="shared" ref="CC1631:CC1694" si="791">AJ1631+U1631+T1631</f>
        <v>0</v>
      </c>
    </row>
    <row r="1632" spans="10:81" x14ac:dyDescent="0.25">
      <c r="J1632" s="9"/>
      <c r="K1632" s="10"/>
      <c r="L1632" s="17"/>
      <c r="M1632" s="23"/>
      <c r="N1632" s="23"/>
      <c r="O1632" s="23"/>
      <c r="P1632" s="23"/>
      <c r="Q1632" s="1">
        <f t="shared" ref="Q1632:Q1695" si="792">IF(M1632=0,Q1631,(M1632*1200)/O1631)</f>
        <v>0.60744618579017706</v>
      </c>
      <c r="R1632" s="12">
        <f t="shared" ca="1" si="779"/>
        <v>48062</v>
      </c>
      <c r="S1632" s="88">
        <f t="shared" si="788"/>
        <v>0</v>
      </c>
      <c r="T1632" s="19">
        <f t="shared" si="780"/>
        <v>0</v>
      </c>
      <c r="U1632" s="19">
        <f t="shared" si="781"/>
        <v>0</v>
      </c>
      <c r="V1632" s="19">
        <f t="shared" si="767"/>
        <v>0</v>
      </c>
      <c r="W1632" s="20">
        <f t="shared" ca="1" si="782"/>
        <v>0</v>
      </c>
      <c r="X1632" s="19">
        <f t="shared" ca="1" si="783"/>
        <v>0</v>
      </c>
      <c r="Y1632" s="19">
        <f t="shared" ca="1" si="784"/>
        <v>0</v>
      </c>
      <c r="Z1632" s="20">
        <f t="shared" ca="1" si="785"/>
        <v>0</v>
      </c>
      <c r="AA1632" s="1">
        <f t="shared" ref="AA1632:AA1695" si="793">IF(S1632=0,AA1631,N1632)</f>
        <v>5432.58</v>
      </c>
      <c r="AB1632" s="93"/>
      <c r="AC1632" s="94"/>
      <c r="AD1632" s="101">
        <f t="shared" ref="AD1632:AD1695" si="794">IF(M1632=0,AD1631+30,K1632)</f>
        <v>89184</v>
      </c>
      <c r="AE1632" s="103">
        <f t="shared" ref="AE1632:AE1695" si="795">IF(V1632=0,0,R1632)</f>
        <v>0</v>
      </c>
      <c r="AG1632" s="1">
        <f t="shared" si="786"/>
        <v>0</v>
      </c>
      <c r="AH1632" s="1">
        <f t="shared" si="787"/>
        <v>0</v>
      </c>
      <c r="AI1632" s="1">
        <f t="shared" ref="AI1632:AI1695" si="796">IF(M1632-1=0,IF(M1632=0,IF(V1632=0,N1632,AI1631),AA1632),AA1632)</f>
        <v>5432.58</v>
      </c>
      <c r="AJ1632" s="20">
        <f t="shared" si="768"/>
        <v>0</v>
      </c>
      <c r="AK1632" s="100">
        <f t="shared" si="770"/>
        <v>0</v>
      </c>
      <c r="AL1632" s="100">
        <f t="shared" si="771"/>
        <v>0</v>
      </c>
      <c r="AN1632" s="100">
        <f t="shared" si="772"/>
        <v>2413.728400145435</v>
      </c>
      <c r="AO1632" s="20">
        <f t="shared" si="773"/>
        <v>0</v>
      </c>
      <c r="AQ1632" s="109">
        <f t="shared" si="774"/>
        <v>0</v>
      </c>
      <c r="AU1632" s="109">
        <f t="shared" si="789"/>
        <v>23.509354551548697</v>
      </c>
      <c r="AV1632" s="101">
        <f t="shared" si="775"/>
        <v>89214</v>
      </c>
      <c r="AW1632" s="99">
        <f t="shared" si="776"/>
        <v>0</v>
      </c>
      <c r="AX1632" s="1">
        <f t="shared" si="777"/>
        <v>0</v>
      </c>
      <c r="AY1632" s="29">
        <f t="shared" si="778"/>
        <v>0</v>
      </c>
      <c r="AZ1632" s="1">
        <f t="shared" si="790"/>
        <v>0</v>
      </c>
      <c r="CB1632" s="20">
        <f t="shared" si="769"/>
        <v>0</v>
      </c>
      <c r="CC1632" s="173">
        <f t="shared" si="791"/>
        <v>0</v>
      </c>
    </row>
    <row r="1633" spans="10:81" x14ac:dyDescent="0.25">
      <c r="J1633" s="7"/>
      <c r="K1633" s="8"/>
      <c r="L1633" s="16"/>
      <c r="M1633" s="22"/>
      <c r="N1633" s="22"/>
      <c r="O1633" s="22"/>
      <c r="P1633" s="22"/>
      <c r="Q1633" s="1">
        <f t="shared" si="792"/>
        <v>0.60744618579017706</v>
      </c>
      <c r="R1633" s="12">
        <f t="shared" ca="1" si="779"/>
        <v>48092</v>
      </c>
      <c r="S1633" s="88">
        <f t="shared" si="788"/>
        <v>0</v>
      </c>
      <c r="T1633" s="19">
        <f t="shared" si="780"/>
        <v>0</v>
      </c>
      <c r="U1633" s="19">
        <f t="shared" si="781"/>
        <v>0</v>
      </c>
      <c r="V1633" s="19">
        <f t="shared" si="767"/>
        <v>0</v>
      </c>
      <c r="W1633" s="20">
        <f t="shared" ca="1" si="782"/>
        <v>0</v>
      </c>
      <c r="X1633" s="19">
        <f t="shared" ca="1" si="783"/>
        <v>0</v>
      </c>
      <c r="Y1633" s="19">
        <f t="shared" ca="1" si="784"/>
        <v>0</v>
      </c>
      <c r="Z1633" s="20">
        <f t="shared" ca="1" si="785"/>
        <v>0</v>
      </c>
      <c r="AA1633" s="1">
        <f t="shared" si="793"/>
        <v>5432.58</v>
      </c>
      <c r="AB1633" s="91"/>
      <c r="AC1633" s="92"/>
      <c r="AD1633" s="101">
        <f t="shared" si="794"/>
        <v>89214</v>
      </c>
      <c r="AE1633" s="103">
        <f t="shared" si="795"/>
        <v>0</v>
      </c>
      <c r="AG1633" s="1">
        <f t="shared" si="786"/>
        <v>0</v>
      </c>
      <c r="AH1633" s="1">
        <f t="shared" si="787"/>
        <v>0</v>
      </c>
      <c r="AI1633" s="1">
        <f t="shared" si="796"/>
        <v>5432.58</v>
      </c>
      <c r="AJ1633" s="20">
        <f t="shared" si="768"/>
        <v>0</v>
      </c>
      <c r="AK1633" s="100">
        <f t="shared" si="770"/>
        <v>0</v>
      </c>
      <c r="AL1633" s="100">
        <f t="shared" si="771"/>
        <v>0</v>
      </c>
      <c r="AN1633" s="100">
        <f t="shared" si="772"/>
        <v>2412.5071765765988</v>
      </c>
      <c r="AO1633" s="20">
        <f t="shared" si="773"/>
        <v>0</v>
      </c>
      <c r="AQ1633" s="109">
        <f t="shared" si="774"/>
        <v>0</v>
      </c>
      <c r="AU1633" s="109">
        <f t="shared" si="789"/>
        <v>23.507291133771407</v>
      </c>
      <c r="AV1633" s="101">
        <f t="shared" si="775"/>
        <v>89244</v>
      </c>
      <c r="AW1633" s="99">
        <f t="shared" si="776"/>
        <v>0</v>
      </c>
      <c r="AX1633" s="1">
        <f t="shared" si="777"/>
        <v>0</v>
      </c>
      <c r="AY1633" s="29">
        <f t="shared" si="778"/>
        <v>0</v>
      </c>
      <c r="AZ1633" s="1">
        <f t="shared" si="790"/>
        <v>0</v>
      </c>
      <c r="CB1633" s="20">
        <f t="shared" si="769"/>
        <v>0</v>
      </c>
      <c r="CC1633" s="173">
        <f t="shared" si="791"/>
        <v>0</v>
      </c>
    </row>
    <row r="1634" spans="10:81" x14ac:dyDescent="0.25">
      <c r="J1634" s="9"/>
      <c r="K1634" s="10"/>
      <c r="L1634" s="17"/>
      <c r="M1634" s="23"/>
      <c r="N1634" s="23"/>
      <c r="O1634" s="23"/>
      <c r="P1634" s="23"/>
      <c r="Q1634" s="1">
        <f t="shared" si="792"/>
        <v>0.60744618579017706</v>
      </c>
      <c r="R1634" s="12">
        <f t="shared" ca="1" si="779"/>
        <v>48122</v>
      </c>
      <c r="S1634" s="88">
        <f t="shared" si="788"/>
        <v>0</v>
      </c>
      <c r="T1634" s="19">
        <f t="shared" si="780"/>
        <v>0</v>
      </c>
      <c r="U1634" s="19">
        <f t="shared" si="781"/>
        <v>0</v>
      </c>
      <c r="V1634" s="19">
        <f t="shared" ref="V1634:V1697" si="797">IF(ISERROR(IF(V1633+U1634+T1634+(V1633*Q1634/1200)-AA1634-P1634&lt;0,0,V1633+U1634+T1634-AA1634-P1634)),0,IF(V1633+U1634+T1634+(V1633*Q1634/1200)-AA1634-CB1634&lt;0,0,V1633+U1634+T1634-AA1634-CB1634))</f>
        <v>0</v>
      </c>
      <c r="W1634" s="20">
        <f t="shared" ca="1" si="782"/>
        <v>0</v>
      </c>
      <c r="X1634" s="19">
        <f t="shared" ca="1" si="783"/>
        <v>0</v>
      </c>
      <c r="Y1634" s="19">
        <f t="shared" ca="1" si="784"/>
        <v>0</v>
      </c>
      <c r="Z1634" s="20">
        <f t="shared" ca="1" si="785"/>
        <v>0</v>
      </c>
      <c r="AA1634" s="1">
        <f t="shared" si="793"/>
        <v>5432.58</v>
      </c>
      <c r="AB1634" s="93"/>
      <c r="AC1634" s="94"/>
      <c r="AD1634" s="101">
        <f t="shared" si="794"/>
        <v>89244</v>
      </c>
      <c r="AE1634" s="103">
        <f t="shared" si="795"/>
        <v>0</v>
      </c>
      <c r="AG1634" s="1">
        <f t="shared" si="786"/>
        <v>0</v>
      </c>
      <c r="AH1634" s="1">
        <f t="shared" si="787"/>
        <v>0</v>
      </c>
      <c r="AI1634" s="1">
        <f t="shared" si="796"/>
        <v>5432.58</v>
      </c>
      <c r="AJ1634" s="20">
        <f t="shared" si="768"/>
        <v>0</v>
      </c>
      <c r="AK1634" s="100">
        <f t="shared" si="770"/>
        <v>0</v>
      </c>
      <c r="AL1634" s="100">
        <f t="shared" si="771"/>
        <v>0</v>
      </c>
      <c r="AN1634" s="100">
        <f t="shared" si="772"/>
        <v>2411.2865708846566</v>
      </c>
      <c r="AO1634" s="20">
        <f t="shared" si="773"/>
        <v>0</v>
      </c>
      <c r="AQ1634" s="109">
        <f t="shared" si="774"/>
        <v>0</v>
      </c>
      <c r="AU1634" s="109">
        <f t="shared" si="789"/>
        <v>23.50522789710044</v>
      </c>
      <c r="AV1634" s="101">
        <f t="shared" si="775"/>
        <v>89274</v>
      </c>
      <c r="AW1634" s="99">
        <f t="shared" si="776"/>
        <v>0</v>
      </c>
      <c r="AX1634" s="1">
        <f t="shared" si="777"/>
        <v>0</v>
      </c>
      <c r="AY1634" s="29">
        <f t="shared" si="778"/>
        <v>0</v>
      </c>
      <c r="AZ1634" s="1">
        <f t="shared" si="790"/>
        <v>0</v>
      </c>
      <c r="CB1634" s="20">
        <f t="shared" si="769"/>
        <v>0</v>
      </c>
      <c r="CC1634" s="173">
        <f t="shared" si="791"/>
        <v>0</v>
      </c>
    </row>
    <row r="1635" spans="10:81" x14ac:dyDescent="0.25">
      <c r="J1635" s="7"/>
      <c r="K1635" s="8"/>
      <c r="L1635" s="16"/>
      <c r="M1635" s="22"/>
      <c r="N1635" s="22"/>
      <c r="O1635" s="22"/>
      <c r="P1635" s="22"/>
      <c r="Q1635" s="1">
        <f t="shared" si="792"/>
        <v>0.60744618579017706</v>
      </c>
      <c r="R1635" s="12">
        <f t="shared" ca="1" si="779"/>
        <v>48152</v>
      </c>
      <c r="S1635" s="88">
        <f t="shared" si="788"/>
        <v>0</v>
      </c>
      <c r="T1635" s="19">
        <f t="shared" si="780"/>
        <v>0</v>
      </c>
      <c r="U1635" s="19">
        <f t="shared" si="781"/>
        <v>0</v>
      </c>
      <c r="V1635" s="19">
        <f t="shared" si="797"/>
        <v>0</v>
      </c>
      <c r="W1635" s="20">
        <f t="shared" ca="1" si="782"/>
        <v>0</v>
      </c>
      <c r="X1635" s="19">
        <f t="shared" ca="1" si="783"/>
        <v>0</v>
      </c>
      <c r="Y1635" s="19">
        <f t="shared" ca="1" si="784"/>
        <v>0</v>
      </c>
      <c r="Z1635" s="20">
        <f t="shared" ca="1" si="785"/>
        <v>0</v>
      </c>
      <c r="AA1635" s="1">
        <f t="shared" si="793"/>
        <v>5432.58</v>
      </c>
      <c r="AB1635" s="91"/>
      <c r="AC1635" s="92"/>
      <c r="AD1635" s="101">
        <f t="shared" si="794"/>
        <v>89274</v>
      </c>
      <c r="AE1635" s="103">
        <f t="shared" si="795"/>
        <v>0</v>
      </c>
      <c r="AG1635" s="1">
        <f t="shared" si="786"/>
        <v>0</v>
      </c>
      <c r="AH1635" s="1">
        <f t="shared" si="787"/>
        <v>0</v>
      </c>
      <c r="AI1635" s="1">
        <f t="shared" si="796"/>
        <v>5432.58</v>
      </c>
      <c r="AJ1635" s="20">
        <f t="shared" si="768"/>
        <v>0</v>
      </c>
      <c r="AK1635" s="100">
        <f t="shared" si="770"/>
        <v>0</v>
      </c>
      <c r="AL1635" s="100">
        <f t="shared" si="771"/>
        <v>0</v>
      </c>
      <c r="AN1635" s="100">
        <f t="shared" si="772"/>
        <v>2410.0665827569924</v>
      </c>
      <c r="AO1635" s="20">
        <f t="shared" si="773"/>
        <v>0</v>
      </c>
      <c r="AQ1635" s="109">
        <f t="shared" si="774"/>
        <v>0</v>
      </c>
      <c r="AU1635" s="109">
        <f t="shared" si="789"/>
        <v>23.503164841519911</v>
      </c>
      <c r="AV1635" s="101">
        <f t="shared" si="775"/>
        <v>89304</v>
      </c>
      <c r="AW1635" s="99">
        <f t="shared" si="776"/>
        <v>0</v>
      </c>
      <c r="AX1635" s="1">
        <f t="shared" si="777"/>
        <v>0</v>
      </c>
      <c r="AY1635" s="29">
        <f t="shared" si="778"/>
        <v>0</v>
      </c>
      <c r="AZ1635" s="1">
        <f t="shared" si="790"/>
        <v>0</v>
      </c>
      <c r="CB1635" s="20">
        <f t="shared" si="769"/>
        <v>0</v>
      </c>
      <c r="CC1635" s="173">
        <f t="shared" si="791"/>
        <v>0</v>
      </c>
    </row>
    <row r="1636" spans="10:81" x14ac:dyDescent="0.25">
      <c r="J1636" s="9"/>
      <c r="K1636" s="10"/>
      <c r="L1636" s="17"/>
      <c r="M1636" s="23"/>
      <c r="N1636" s="23"/>
      <c r="O1636" s="23"/>
      <c r="P1636" s="23"/>
      <c r="Q1636" s="1">
        <f t="shared" si="792"/>
        <v>0.60744618579017706</v>
      </c>
      <c r="R1636" s="12">
        <f t="shared" ca="1" si="779"/>
        <v>48182</v>
      </c>
      <c r="S1636" s="88">
        <f t="shared" si="788"/>
        <v>0</v>
      </c>
      <c r="T1636" s="19">
        <f t="shared" si="780"/>
        <v>0</v>
      </c>
      <c r="U1636" s="19">
        <f t="shared" si="781"/>
        <v>0</v>
      </c>
      <c r="V1636" s="19">
        <f t="shared" si="797"/>
        <v>0</v>
      </c>
      <c r="W1636" s="20">
        <f t="shared" ca="1" si="782"/>
        <v>0</v>
      </c>
      <c r="X1636" s="19">
        <f t="shared" ca="1" si="783"/>
        <v>0</v>
      </c>
      <c r="Y1636" s="19">
        <f t="shared" ca="1" si="784"/>
        <v>0</v>
      </c>
      <c r="Z1636" s="20">
        <f t="shared" ca="1" si="785"/>
        <v>0</v>
      </c>
      <c r="AA1636" s="1">
        <f t="shared" si="793"/>
        <v>5432.58</v>
      </c>
      <c r="AB1636" s="93"/>
      <c r="AC1636" s="94"/>
      <c r="AD1636" s="101">
        <f t="shared" si="794"/>
        <v>89304</v>
      </c>
      <c r="AE1636" s="103">
        <f t="shared" si="795"/>
        <v>0</v>
      </c>
      <c r="AG1636" s="1">
        <f t="shared" si="786"/>
        <v>0</v>
      </c>
      <c r="AH1636" s="1">
        <f t="shared" si="787"/>
        <v>0</v>
      </c>
      <c r="AI1636" s="1">
        <f t="shared" si="796"/>
        <v>5432.58</v>
      </c>
      <c r="AJ1636" s="20">
        <f t="shared" si="768"/>
        <v>0</v>
      </c>
      <c r="AK1636" s="100">
        <f t="shared" si="770"/>
        <v>0</v>
      </c>
      <c r="AL1636" s="100">
        <f t="shared" si="771"/>
        <v>0</v>
      </c>
      <c r="AN1636" s="100">
        <f t="shared" si="772"/>
        <v>2408.8472118811515</v>
      </c>
      <c r="AO1636" s="20">
        <f t="shared" si="773"/>
        <v>0</v>
      </c>
      <c r="AQ1636" s="109">
        <f t="shared" si="774"/>
        <v>0</v>
      </c>
      <c r="AU1636" s="109">
        <f t="shared" si="789"/>
        <v>23.501101967013916</v>
      </c>
      <c r="AV1636" s="101">
        <f t="shared" si="775"/>
        <v>89334</v>
      </c>
      <c r="AW1636" s="99">
        <f t="shared" si="776"/>
        <v>0</v>
      </c>
      <c r="AX1636" s="1">
        <f t="shared" si="777"/>
        <v>0</v>
      </c>
      <c r="AY1636" s="29">
        <f t="shared" si="778"/>
        <v>0</v>
      </c>
      <c r="AZ1636" s="1">
        <f t="shared" si="790"/>
        <v>0</v>
      </c>
      <c r="CB1636" s="20">
        <f t="shared" si="769"/>
        <v>0</v>
      </c>
      <c r="CC1636" s="173">
        <f t="shared" si="791"/>
        <v>0</v>
      </c>
    </row>
    <row r="1637" spans="10:81" x14ac:dyDescent="0.25">
      <c r="J1637" s="7"/>
      <c r="K1637" s="8"/>
      <c r="L1637" s="16"/>
      <c r="M1637" s="22"/>
      <c r="N1637" s="22"/>
      <c r="O1637" s="22"/>
      <c r="P1637" s="22"/>
      <c r="Q1637" s="1">
        <f t="shared" si="792"/>
        <v>0.60744618579017706</v>
      </c>
      <c r="R1637" s="12">
        <f t="shared" ca="1" si="779"/>
        <v>48212</v>
      </c>
      <c r="S1637" s="88">
        <f t="shared" si="788"/>
        <v>0</v>
      </c>
      <c r="T1637" s="19">
        <f t="shared" si="780"/>
        <v>0</v>
      </c>
      <c r="U1637" s="19">
        <f t="shared" si="781"/>
        <v>0</v>
      </c>
      <c r="V1637" s="19">
        <f t="shared" si="797"/>
        <v>0</v>
      </c>
      <c r="W1637" s="20">
        <f t="shared" ca="1" si="782"/>
        <v>0</v>
      </c>
      <c r="X1637" s="19">
        <f t="shared" ca="1" si="783"/>
        <v>0</v>
      </c>
      <c r="Y1637" s="19">
        <f t="shared" ca="1" si="784"/>
        <v>0</v>
      </c>
      <c r="Z1637" s="20">
        <f t="shared" ca="1" si="785"/>
        <v>0</v>
      </c>
      <c r="AA1637" s="1">
        <f t="shared" si="793"/>
        <v>5432.58</v>
      </c>
      <c r="AB1637" s="91"/>
      <c r="AC1637" s="92"/>
      <c r="AD1637" s="101">
        <f t="shared" si="794"/>
        <v>89334</v>
      </c>
      <c r="AE1637" s="103">
        <f t="shared" si="795"/>
        <v>0</v>
      </c>
      <c r="AG1637" s="1">
        <f t="shared" si="786"/>
        <v>0</v>
      </c>
      <c r="AH1637" s="1">
        <f t="shared" si="787"/>
        <v>0</v>
      </c>
      <c r="AI1637" s="1">
        <f t="shared" si="796"/>
        <v>5432.58</v>
      </c>
      <c r="AJ1637" s="20">
        <f t="shared" si="768"/>
        <v>0</v>
      </c>
      <c r="AK1637" s="100">
        <f t="shared" si="770"/>
        <v>0</v>
      </c>
      <c r="AL1637" s="100">
        <f t="shared" si="771"/>
        <v>0</v>
      </c>
      <c r="AN1637" s="100">
        <f t="shared" si="772"/>
        <v>2407.6284579448356</v>
      </c>
      <c r="AO1637" s="20">
        <f t="shared" si="773"/>
        <v>0</v>
      </c>
      <c r="AQ1637" s="109">
        <f t="shared" si="774"/>
        <v>0</v>
      </c>
      <c r="AU1637" s="109">
        <f t="shared" si="789"/>
        <v>23.499039273566574</v>
      </c>
      <c r="AV1637" s="101">
        <f t="shared" si="775"/>
        <v>89364</v>
      </c>
      <c r="AW1637" s="99">
        <f t="shared" si="776"/>
        <v>0</v>
      </c>
      <c r="AX1637" s="1">
        <f t="shared" si="777"/>
        <v>0</v>
      </c>
      <c r="AY1637" s="29">
        <f t="shared" si="778"/>
        <v>0</v>
      </c>
      <c r="AZ1637" s="1">
        <f t="shared" si="790"/>
        <v>0</v>
      </c>
      <c r="CB1637" s="20">
        <f t="shared" si="769"/>
        <v>0</v>
      </c>
      <c r="CC1637" s="173">
        <f t="shared" si="791"/>
        <v>0</v>
      </c>
    </row>
    <row r="1638" spans="10:81" x14ac:dyDescent="0.25">
      <c r="J1638" s="9"/>
      <c r="K1638" s="10"/>
      <c r="L1638" s="17"/>
      <c r="M1638" s="23"/>
      <c r="N1638" s="23"/>
      <c r="O1638" s="23"/>
      <c r="P1638" s="23"/>
      <c r="Q1638" s="1">
        <f t="shared" si="792"/>
        <v>0.60744618579017706</v>
      </c>
      <c r="R1638" s="12">
        <f t="shared" ca="1" si="779"/>
        <v>48242</v>
      </c>
      <c r="S1638" s="88">
        <f t="shared" si="788"/>
        <v>0</v>
      </c>
      <c r="T1638" s="19">
        <f t="shared" si="780"/>
        <v>0</v>
      </c>
      <c r="U1638" s="19">
        <f t="shared" si="781"/>
        <v>0</v>
      </c>
      <c r="V1638" s="19">
        <f t="shared" si="797"/>
        <v>0</v>
      </c>
      <c r="W1638" s="20">
        <f t="shared" ca="1" si="782"/>
        <v>0</v>
      </c>
      <c r="X1638" s="19">
        <f t="shared" ca="1" si="783"/>
        <v>0</v>
      </c>
      <c r="Y1638" s="19">
        <f t="shared" ca="1" si="784"/>
        <v>0</v>
      </c>
      <c r="Z1638" s="20">
        <f t="shared" ca="1" si="785"/>
        <v>0</v>
      </c>
      <c r="AA1638" s="1">
        <f t="shared" si="793"/>
        <v>5432.58</v>
      </c>
      <c r="AB1638" s="93"/>
      <c r="AC1638" s="94"/>
      <c r="AD1638" s="101">
        <f t="shared" si="794"/>
        <v>89364</v>
      </c>
      <c r="AE1638" s="103">
        <f t="shared" si="795"/>
        <v>0</v>
      </c>
      <c r="AG1638" s="1">
        <f t="shared" si="786"/>
        <v>0</v>
      </c>
      <c r="AH1638" s="1">
        <f t="shared" si="787"/>
        <v>0</v>
      </c>
      <c r="AI1638" s="1">
        <f t="shared" si="796"/>
        <v>5432.58</v>
      </c>
      <c r="AJ1638" s="20">
        <f t="shared" si="768"/>
        <v>0</v>
      </c>
      <c r="AK1638" s="100">
        <f t="shared" si="770"/>
        <v>0</v>
      </c>
      <c r="AL1638" s="100">
        <f t="shared" si="771"/>
        <v>0</v>
      </c>
      <c r="AN1638" s="100">
        <f t="shared" si="772"/>
        <v>2406.4103206359059</v>
      </c>
      <c r="AO1638" s="20">
        <f t="shared" si="773"/>
        <v>0</v>
      </c>
      <c r="AQ1638" s="109">
        <f t="shared" si="774"/>
        <v>0</v>
      </c>
      <c r="AU1638" s="109">
        <f t="shared" si="789"/>
        <v>23.496976761161985</v>
      </c>
      <c r="AV1638" s="101">
        <f t="shared" si="775"/>
        <v>89394</v>
      </c>
      <c r="AW1638" s="99">
        <f t="shared" si="776"/>
        <v>0</v>
      </c>
      <c r="AX1638" s="1">
        <f t="shared" si="777"/>
        <v>0</v>
      </c>
      <c r="AY1638" s="29">
        <f t="shared" si="778"/>
        <v>0</v>
      </c>
      <c r="AZ1638" s="1">
        <f t="shared" si="790"/>
        <v>0</v>
      </c>
      <c r="CB1638" s="20">
        <f t="shared" si="769"/>
        <v>0</v>
      </c>
      <c r="CC1638" s="173">
        <f t="shared" si="791"/>
        <v>0</v>
      </c>
    </row>
    <row r="1639" spans="10:81" x14ac:dyDescent="0.25">
      <c r="J1639" s="7"/>
      <c r="K1639" s="8"/>
      <c r="L1639" s="16"/>
      <c r="M1639" s="22"/>
      <c r="N1639" s="22"/>
      <c r="O1639" s="22"/>
      <c r="P1639" s="22"/>
      <c r="Q1639" s="1">
        <f t="shared" si="792"/>
        <v>0.60744618579017706</v>
      </c>
      <c r="R1639" s="12">
        <f t="shared" ca="1" si="779"/>
        <v>48272</v>
      </c>
      <c r="S1639" s="88">
        <f t="shared" si="788"/>
        <v>0</v>
      </c>
      <c r="T1639" s="19">
        <f t="shared" si="780"/>
        <v>0</v>
      </c>
      <c r="U1639" s="19">
        <f t="shared" si="781"/>
        <v>0</v>
      </c>
      <c r="V1639" s="19">
        <f t="shared" si="797"/>
        <v>0</v>
      </c>
      <c r="W1639" s="20">
        <f t="shared" ca="1" si="782"/>
        <v>0</v>
      </c>
      <c r="X1639" s="19">
        <f t="shared" ca="1" si="783"/>
        <v>0</v>
      </c>
      <c r="Y1639" s="19">
        <f t="shared" ca="1" si="784"/>
        <v>0</v>
      </c>
      <c r="Z1639" s="20">
        <f t="shared" ca="1" si="785"/>
        <v>0</v>
      </c>
      <c r="AA1639" s="1">
        <f t="shared" si="793"/>
        <v>5432.58</v>
      </c>
      <c r="AB1639" s="91"/>
      <c r="AC1639" s="92"/>
      <c r="AD1639" s="101">
        <f t="shared" si="794"/>
        <v>89394</v>
      </c>
      <c r="AE1639" s="103">
        <f t="shared" si="795"/>
        <v>0</v>
      </c>
      <c r="AG1639" s="1">
        <f t="shared" si="786"/>
        <v>0</v>
      </c>
      <c r="AH1639" s="1">
        <f t="shared" si="787"/>
        <v>0</v>
      </c>
      <c r="AI1639" s="1">
        <f t="shared" si="796"/>
        <v>5432.58</v>
      </c>
      <c r="AJ1639" s="20">
        <f t="shared" si="768"/>
        <v>0</v>
      </c>
      <c r="AK1639" s="100">
        <f t="shared" si="770"/>
        <v>0</v>
      </c>
      <c r="AL1639" s="100">
        <f t="shared" si="771"/>
        <v>0</v>
      </c>
      <c r="AN1639" s="100">
        <f t="shared" si="772"/>
        <v>2405.1927996423778</v>
      </c>
      <c r="AO1639" s="20">
        <f t="shared" si="773"/>
        <v>0</v>
      </c>
      <c r="AQ1639" s="109">
        <f t="shared" si="774"/>
        <v>0</v>
      </c>
      <c r="AU1639" s="109">
        <f t="shared" si="789"/>
        <v>23.494914429784263</v>
      </c>
      <c r="AV1639" s="101">
        <f t="shared" si="775"/>
        <v>89424</v>
      </c>
      <c r="AW1639" s="99">
        <f t="shared" si="776"/>
        <v>0</v>
      </c>
      <c r="AX1639" s="1">
        <f t="shared" si="777"/>
        <v>0</v>
      </c>
      <c r="AY1639" s="29">
        <f t="shared" si="778"/>
        <v>0</v>
      </c>
      <c r="AZ1639" s="1">
        <f t="shared" si="790"/>
        <v>0</v>
      </c>
      <c r="CB1639" s="20">
        <f t="shared" si="769"/>
        <v>0</v>
      </c>
      <c r="CC1639" s="173">
        <f t="shared" si="791"/>
        <v>0</v>
      </c>
    </row>
    <row r="1640" spans="10:81" x14ac:dyDescent="0.25">
      <c r="J1640" s="9"/>
      <c r="K1640" s="10"/>
      <c r="L1640" s="17"/>
      <c r="M1640" s="23"/>
      <c r="N1640" s="23"/>
      <c r="O1640" s="23"/>
      <c r="P1640" s="23"/>
      <c r="Q1640" s="1">
        <f t="shared" si="792"/>
        <v>0.60744618579017706</v>
      </c>
      <c r="R1640" s="12">
        <f t="shared" ca="1" si="779"/>
        <v>48302</v>
      </c>
      <c r="S1640" s="88">
        <f t="shared" si="788"/>
        <v>0</v>
      </c>
      <c r="T1640" s="19">
        <f t="shared" si="780"/>
        <v>0</v>
      </c>
      <c r="U1640" s="19">
        <f t="shared" si="781"/>
        <v>0</v>
      </c>
      <c r="V1640" s="19">
        <f t="shared" si="797"/>
        <v>0</v>
      </c>
      <c r="W1640" s="20">
        <f t="shared" ca="1" si="782"/>
        <v>0</v>
      </c>
      <c r="X1640" s="19">
        <f t="shared" ca="1" si="783"/>
        <v>0</v>
      </c>
      <c r="Y1640" s="19">
        <f t="shared" ca="1" si="784"/>
        <v>0</v>
      </c>
      <c r="Z1640" s="20">
        <f t="shared" ca="1" si="785"/>
        <v>0</v>
      </c>
      <c r="AA1640" s="1">
        <f t="shared" si="793"/>
        <v>5432.58</v>
      </c>
      <c r="AB1640" s="93"/>
      <c r="AC1640" s="94"/>
      <c r="AD1640" s="101">
        <f t="shared" si="794"/>
        <v>89424</v>
      </c>
      <c r="AE1640" s="103">
        <f t="shared" si="795"/>
        <v>0</v>
      </c>
      <c r="AG1640" s="1">
        <f t="shared" si="786"/>
        <v>0</v>
      </c>
      <c r="AH1640" s="1">
        <f t="shared" si="787"/>
        <v>0</v>
      </c>
      <c r="AI1640" s="1">
        <f t="shared" si="796"/>
        <v>5432.58</v>
      </c>
      <c r="AJ1640" s="20">
        <f t="shared" ref="AJ1640:AJ1703" si="798">IF(ISERROR(IF(V1639+U1640+T1640+(V1639*Q1640/1200)-AA1640-P1640&lt;0,V1639,-(U1640+T1640-AA1640+P1640-AH1640))),0,IF(V1639+U1640+T1640+(V1639*Q1640/1200)-AA1640-P1640&lt;0,0,-(U1640+T1640-AA1640-AH1640)))</f>
        <v>0</v>
      </c>
      <c r="AK1640" s="100">
        <f t="shared" si="770"/>
        <v>0</v>
      </c>
      <c r="AL1640" s="100">
        <f t="shared" si="771"/>
        <v>0</v>
      </c>
      <c r="AN1640" s="100">
        <f t="shared" si="772"/>
        <v>2403.9758946524294</v>
      </c>
      <c r="AO1640" s="20">
        <f t="shared" si="773"/>
        <v>0</v>
      </c>
      <c r="AQ1640" s="109">
        <f t="shared" si="774"/>
        <v>0</v>
      </c>
      <c r="AU1640" s="109">
        <f t="shared" si="789"/>
        <v>23.492852279417519</v>
      </c>
      <c r="AV1640" s="101">
        <f t="shared" si="775"/>
        <v>89454</v>
      </c>
      <c r="AW1640" s="99">
        <f t="shared" si="776"/>
        <v>0</v>
      </c>
      <c r="AX1640" s="1">
        <f t="shared" si="777"/>
        <v>0</v>
      </c>
      <c r="AY1640" s="29">
        <f t="shared" si="778"/>
        <v>0</v>
      </c>
      <c r="AZ1640" s="1">
        <f t="shared" si="790"/>
        <v>0</v>
      </c>
      <c r="CB1640" s="20">
        <f t="shared" si="769"/>
        <v>0</v>
      </c>
      <c r="CC1640" s="173">
        <f t="shared" si="791"/>
        <v>0</v>
      </c>
    </row>
    <row r="1641" spans="10:81" x14ac:dyDescent="0.25">
      <c r="J1641" s="7"/>
      <c r="K1641" s="8"/>
      <c r="L1641" s="16"/>
      <c r="M1641" s="22"/>
      <c r="N1641" s="22"/>
      <c r="O1641" s="22"/>
      <c r="P1641" s="22"/>
      <c r="Q1641" s="1">
        <f t="shared" si="792"/>
        <v>0.60744618579017706</v>
      </c>
      <c r="R1641" s="12">
        <f t="shared" ca="1" si="779"/>
        <v>48332</v>
      </c>
      <c r="S1641" s="88">
        <f t="shared" si="788"/>
        <v>0</v>
      </c>
      <c r="T1641" s="19">
        <f t="shared" si="780"/>
        <v>0</v>
      </c>
      <c r="U1641" s="19">
        <f t="shared" si="781"/>
        <v>0</v>
      </c>
      <c r="V1641" s="19">
        <f t="shared" si="797"/>
        <v>0</v>
      </c>
      <c r="W1641" s="20">
        <f t="shared" ca="1" si="782"/>
        <v>0</v>
      </c>
      <c r="X1641" s="19">
        <f t="shared" ca="1" si="783"/>
        <v>0</v>
      </c>
      <c r="Y1641" s="19">
        <f t="shared" ca="1" si="784"/>
        <v>0</v>
      </c>
      <c r="Z1641" s="20">
        <f t="shared" ca="1" si="785"/>
        <v>0</v>
      </c>
      <c r="AA1641" s="1">
        <f t="shared" si="793"/>
        <v>5432.58</v>
      </c>
      <c r="AB1641" s="91"/>
      <c r="AC1641" s="92"/>
      <c r="AD1641" s="101">
        <f t="shared" si="794"/>
        <v>89454</v>
      </c>
      <c r="AE1641" s="103">
        <f t="shared" si="795"/>
        <v>0</v>
      </c>
      <c r="AG1641" s="1">
        <f t="shared" si="786"/>
        <v>0</v>
      </c>
      <c r="AH1641" s="1">
        <f t="shared" si="787"/>
        <v>0</v>
      </c>
      <c r="AI1641" s="1">
        <f t="shared" si="796"/>
        <v>5432.58</v>
      </c>
      <c r="AJ1641" s="20">
        <f t="shared" si="798"/>
        <v>0</v>
      </c>
      <c r="AK1641" s="100">
        <f t="shared" si="770"/>
        <v>0</v>
      </c>
      <c r="AL1641" s="100">
        <f t="shared" si="771"/>
        <v>0</v>
      </c>
      <c r="AN1641" s="100">
        <f t="shared" si="772"/>
        <v>2402.7596053543921</v>
      </c>
      <c r="AO1641" s="20">
        <f t="shared" si="773"/>
        <v>0</v>
      </c>
      <c r="AQ1641" s="109">
        <f t="shared" si="774"/>
        <v>0</v>
      </c>
      <c r="AU1641" s="109">
        <f t="shared" si="789"/>
        <v>23.49079031004586</v>
      </c>
      <c r="AV1641" s="101">
        <f t="shared" si="775"/>
        <v>89484</v>
      </c>
      <c r="AW1641" s="99">
        <f t="shared" si="776"/>
        <v>0</v>
      </c>
      <c r="AX1641" s="1">
        <f t="shared" si="777"/>
        <v>0</v>
      </c>
      <c r="AY1641" s="29">
        <f t="shared" si="778"/>
        <v>0</v>
      </c>
      <c r="AZ1641" s="1">
        <f t="shared" si="790"/>
        <v>0</v>
      </c>
      <c r="CB1641" s="20">
        <f t="shared" si="769"/>
        <v>0</v>
      </c>
      <c r="CC1641" s="173">
        <f t="shared" si="791"/>
        <v>0</v>
      </c>
    </row>
    <row r="1642" spans="10:81" x14ac:dyDescent="0.25">
      <c r="J1642" s="9"/>
      <c r="K1642" s="10"/>
      <c r="L1642" s="17"/>
      <c r="M1642" s="23"/>
      <c r="N1642" s="23"/>
      <c r="O1642" s="23"/>
      <c r="P1642" s="23"/>
      <c r="Q1642" s="1">
        <f t="shared" si="792"/>
        <v>0.60744618579017706</v>
      </c>
      <c r="R1642" s="12">
        <f t="shared" ca="1" si="779"/>
        <v>48362</v>
      </c>
      <c r="S1642" s="88">
        <f t="shared" si="788"/>
        <v>0</v>
      </c>
      <c r="T1642" s="19">
        <f t="shared" si="780"/>
        <v>0</v>
      </c>
      <c r="U1642" s="19">
        <f t="shared" si="781"/>
        <v>0</v>
      </c>
      <c r="V1642" s="19">
        <f t="shared" si="797"/>
        <v>0</v>
      </c>
      <c r="W1642" s="20">
        <f t="shared" ca="1" si="782"/>
        <v>0</v>
      </c>
      <c r="X1642" s="19">
        <f t="shared" ca="1" si="783"/>
        <v>0</v>
      </c>
      <c r="Y1642" s="19">
        <f t="shared" ca="1" si="784"/>
        <v>0</v>
      </c>
      <c r="Z1642" s="20">
        <f t="shared" ca="1" si="785"/>
        <v>0</v>
      </c>
      <c r="AA1642" s="1">
        <f t="shared" si="793"/>
        <v>5432.58</v>
      </c>
      <c r="AB1642" s="93"/>
      <c r="AC1642" s="94"/>
      <c r="AD1642" s="101">
        <f t="shared" si="794"/>
        <v>89484</v>
      </c>
      <c r="AE1642" s="103">
        <f t="shared" si="795"/>
        <v>0</v>
      </c>
      <c r="AG1642" s="1">
        <f t="shared" si="786"/>
        <v>0</v>
      </c>
      <c r="AH1642" s="1">
        <f t="shared" si="787"/>
        <v>0</v>
      </c>
      <c r="AI1642" s="1">
        <f t="shared" si="796"/>
        <v>5432.58</v>
      </c>
      <c r="AJ1642" s="20">
        <f t="shared" si="798"/>
        <v>0</v>
      </c>
      <c r="AK1642" s="100">
        <f t="shared" si="770"/>
        <v>0</v>
      </c>
      <c r="AL1642" s="100">
        <f t="shared" si="771"/>
        <v>0</v>
      </c>
      <c r="AN1642" s="100">
        <f t="shared" si="772"/>
        <v>2401.5439314367604</v>
      </c>
      <c r="AO1642" s="20">
        <f t="shared" si="773"/>
        <v>0</v>
      </c>
      <c r="AQ1642" s="109">
        <f t="shared" si="774"/>
        <v>0</v>
      </c>
      <c r="AU1642" s="109">
        <f t="shared" si="789"/>
        <v>23.48872852165341</v>
      </c>
      <c r="AV1642" s="101">
        <f t="shared" si="775"/>
        <v>89514</v>
      </c>
      <c r="AW1642" s="99">
        <f t="shared" si="776"/>
        <v>0</v>
      </c>
      <c r="AX1642" s="1">
        <f t="shared" si="777"/>
        <v>0</v>
      </c>
      <c r="AY1642" s="29">
        <f t="shared" si="778"/>
        <v>0</v>
      </c>
      <c r="AZ1642" s="1">
        <f t="shared" si="790"/>
        <v>0</v>
      </c>
      <c r="CB1642" s="20">
        <f t="shared" si="769"/>
        <v>0</v>
      </c>
      <c r="CC1642" s="173">
        <f t="shared" si="791"/>
        <v>0</v>
      </c>
    </row>
    <row r="1643" spans="10:81" x14ac:dyDescent="0.25">
      <c r="J1643" s="7"/>
      <c r="K1643" s="8"/>
      <c r="L1643" s="16"/>
      <c r="M1643" s="22"/>
      <c r="N1643" s="22"/>
      <c r="O1643" s="22"/>
      <c r="P1643" s="22"/>
      <c r="Q1643" s="1">
        <f t="shared" si="792"/>
        <v>0.60744618579017706</v>
      </c>
      <c r="R1643" s="12">
        <f t="shared" ca="1" si="779"/>
        <v>48392</v>
      </c>
      <c r="S1643" s="88">
        <f t="shared" si="788"/>
        <v>0</v>
      </c>
      <c r="T1643" s="19">
        <f t="shared" si="780"/>
        <v>0</v>
      </c>
      <c r="U1643" s="19">
        <f t="shared" si="781"/>
        <v>0</v>
      </c>
      <c r="V1643" s="19">
        <f t="shared" si="797"/>
        <v>0</v>
      </c>
      <c r="W1643" s="20">
        <f t="shared" ca="1" si="782"/>
        <v>0</v>
      </c>
      <c r="X1643" s="19">
        <f t="shared" ca="1" si="783"/>
        <v>0</v>
      </c>
      <c r="Y1643" s="19">
        <f t="shared" ca="1" si="784"/>
        <v>0</v>
      </c>
      <c r="Z1643" s="20">
        <f t="shared" ca="1" si="785"/>
        <v>0</v>
      </c>
      <c r="AA1643" s="1">
        <f t="shared" si="793"/>
        <v>5432.58</v>
      </c>
      <c r="AB1643" s="91"/>
      <c r="AC1643" s="92"/>
      <c r="AD1643" s="101">
        <f t="shared" si="794"/>
        <v>89514</v>
      </c>
      <c r="AE1643" s="103">
        <f t="shared" si="795"/>
        <v>0</v>
      </c>
      <c r="AG1643" s="1">
        <f t="shared" si="786"/>
        <v>0</v>
      </c>
      <c r="AH1643" s="1">
        <f t="shared" si="787"/>
        <v>0</v>
      </c>
      <c r="AI1643" s="1">
        <f t="shared" si="796"/>
        <v>5432.58</v>
      </c>
      <c r="AJ1643" s="20">
        <f t="shared" si="798"/>
        <v>0</v>
      </c>
      <c r="AK1643" s="100">
        <f t="shared" si="770"/>
        <v>0</v>
      </c>
      <c r="AL1643" s="100">
        <f t="shared" si="771"/>
        <v>0</v>
      </c>
      <c r="AN1643" s="100">
        <f t="shared" si="772"/>
        <v>2400.3288725881803</v>
      </c>
      <c r="AO1643" s="20">
        <f t="shared" si="773"/>
        <v>0</v>
      </c>
      <c r="AQ1643" s="109">
        <f t="shared" si="774"/>
        <v>0</v>
      </c>
      <c r="AU1643" s="109">
        <f t="shared" si="789"/>
        <v>23.48666691422428</v>
      </c>
      <c r="AV1643" s="101">
        <f t="shared" si="775"/>
        <v>89544</v>
      </c>
      <c r="AW1643" s="99">
        <f t="shared" si="776"/>
        <v>0</v>
      </c>
      <c r="AX1643" s="1">
        <f t="shared" si="777"/>
        <v>0</v>
      </c>
      <c r="AY1643" s="29">
        <f t="shared" si="778"/>
        <v>0</v>
      </c>
      <c r="AZ1643" s="1">
        <f t="shared" si="790"/>
        <v>0</v>
      </c>
      <c r="CB1643" s="20">
        <f t="shared" si="769"/>
        <v>0</v>
      </c>
      <c r="CC1643" s="173">
        <f t="shared" si="791"/>
        <v>0</v>
      </c>
    </row>
    <row r="1644" spans="10:81" x14ac:dyDescent="0.25">
      <c r="J1644" s="9"/>
      <c r="K1644" s="10"/>
      <c r="L1644" s="17"/>
      <c r="M1644" s="23"/>
      <c r="N1644" s="23"/>
      <c r="O1644" s="23"/>
      <c r="P1644" s="23"/>
      <c r="Q1644" s="1">
        <f t="shared" si="792"/>
        <v>0.60744618579017706</v>
      </c>
      <c r="R1644" s="12">
        <f t="shared" ca="1" si="779"/>
        <v>48422</v>
      </c>
      <c r="S1644" s="88">
        <f t="shared" si="788"/>
        <v>0</v>
      </c>
      <c r="T1644" s="19">
        <f t="shared" si="780"/>
        <v>0</v>
      </c>
      <c r="U1644" s="19">
        <f t="shared" si="781"/>
        <v>0</v>
      </c>
      <c r="V1644" s="19">
        <f t="shared" si="797"/>
        <v>0</v>
      </c>
      <c r="W1644" s="20">
        <f t="shared" ca="1" si="782"/>
        <v>0</v>
      </c>
      <c r="X1644" s="19">
        <f t="shared" ca="1" si="783"/>
        <v>0</v>
      </c>
      <c r="Y1644" s="19">
        <f t="shared" ca="1" si="784"/>
        <v>0</v>
      </c>
      <c r="Z1644" s="20">
        <f t="shared" ca="1" si="785"/>
        <v>0</v>
      </c>
      <c r="AA1644" s="1">
        <f t="shared" si="793"/>
        <v>5432.58</v>
      </c>
      <c r="AB1644" s="93"/>
      <c r="AC1644" s="94"/>
      <c r="AD1644" s="101">
        <f t="shared" si="794"/>
        <v>89544</v>
      </c>
      <c r="AE1644" s="103">
        <f t="shared" si="795"/>
        <v>0</v>
      </c>
      <c r="AG1644" s="1">
        <f t="shared" si="786"/>
        <v>0</v>
      </c>
      <c r="AH1644" s="1">
        <f t="shared" si="787"/>
        <v>0</v>
      </c>
      <c r="AI1644" s="1">
        <f t="shared" si="796"/>
        <v>5432.58</v>
      </c>
      <c r="AJ1644" s="20">
        <f t="shared" si="798"/>
        <v>0</v>
      </c>
      <c r="AK1644" s="100">
        <f t="shared" si="770"/>
        <v>0</v>
      </c>
      <c r="AL1644" s="100">
        <f t="shared" si="771"/>
        <v>0</v>
      </c>
      <c r="AN1644" s="100">
        <f t="shared" si="772"/>
        <v>2399.1144284974589</v>
      </c>
      <c r="AO1644" s="20">
        <f t="shared" si="773"/>
        <v>0</v>
      </c>
      <c r="AQ1644" s="109">
        <f t="shared" si="774"/>
        <v>0</v>
      </c>
      <c r="AU1644" s="109">
        <f t="shared" si="789"/>
        <v>23.484605487742574</v>
      </c>
      <c r="AV1644" s="101">
        <f t="shared" si="775"/>
        <v>89574</v>
      </c>
      <c r="AW1644" s="99">
        <f t="shared" si="776"/>
        <v>0</v>
      </c>
      <c r="AX1644" s="1">
        <f t="shared" si="777"/>
        <v>0</v>
      </c>
      <c r="AY1644" s="29">
        <f t="shared" si="778"/>
        <v>0</v>
      </c>
      <c r="AZ1644" s="1">
        <f t="shared" si="790"/>
        <v>0</v>
      </c>
      <c r="CB1644" s="20">
        <f t="shared" si="769"/>
        <v>0</v>
      </c>
      <c r="CC1644" s="173">
        <f t="shared" si="791"/>
        <v>0</v>
      </c>
    </row>
    <row r="1645" spans="10:81" x14ac:dyDescent="0.25">
      <c r="J1645" s="7"/>
      <c r="K1645" s="8"/>
      <c r="L1645" s="16"/>
      <c r="M1645" s="22"/>
      <c r="N1645" s="22"/>
      <c r="O1645" s="22"/>
      <c r="P1645" s="22"/>
      <c r="Q1645" s="1">
        <f t="shared" si="792"/>
        <v>0.60744618579017706</v>
      </c>
      <c r="R1645" s="12">
        <f t="shared" ca="1" si="779"/>
        <v>48452</v>
      </c>
      <c r="S1645" s="88">
        <f t="shared" si="788"/>
        <v>0</v>
      </c>
      <c r="T1645" s="19">
        <f t="shared" si="780"/>
        <v>0</v>
      </c>
      <c r="U1645" s="19">
        <f t="shared" si="781"/>
        <v>0</v>
      </c>
      <c r="V1645" s="19">
        <f t="shared" si="797"/>
        <v>0</v>
      </c>
      <c r="W1645" s="20">
        <f t="shared" ca="1" si="782"/>
        <v>0</v>
      </c>
      <c r="X1645" s="19">
        <f t="shared" ca="1" si="783"/>
        <v>0</v>
      </c>
      <c r="Y1645" s="19">
        <f t="shared" ca="1" si="784"/>
        <v>0</v>
      </c>
      <c r="Z1645" s="20">
        <f t="shared" ca="1" si="785"/>
        <v>0</v>
      </c>
      <c r="AA1645" s="1">
        <f t="shared" si="793"/>
        <v>5432.58</v>
      </c>
      <c r="AB1645" s="91"/>
      <c r="AC1645" s="92"/>
      <c r="AD1645" s="101">
        <f t="shared" si="794"/>
        <v>89574</v>
      </c>
      <c r="AE1645" s="103">
        <f t="shared" si="795"/>
        <v>0</v>
      </c>
      <c r="AG1645" s="1">
        <f t="shared" si="786"/>
        <v>0</v>
      </c>
      <c r="AH1645" s="1">
        <f t="shared" si="787"/>
        <v>0</v>
      </c>
      <c r="AI1645" s="1">
        <f t="shared" si="796"/>
        <v>5432.58</v>
      </c>
      <c r="AJ1645" s="20">
        <f t="shared" si="798"/>
        <v>0</v>
      </c>
      <c r="AK1645" s="100">
        <f t="shared" si="770"/>
        <v>0</v>
      </c>
      <c r="AL1645" s="100">
        <f t="shared" si="771"/>
        <v>0</v>
      </c>
      <c r="AN1645" s="100">
        <f t="shared" si="772"/>
        <v>2397.900598853561</v>
      </c>
      <c r="AO1645" s="20">
        <f t="shared" si="773"/>
        <v>0</v>
      </c>
      <c r="AQ1645" s="109">
        <f t="shared" si="774"/>
        <v>0</v>
      </c>
      <c r="AU1645" s="109">
        <f t="shared" si="789"/>
        <v>23.482544242192429</v>
      </c>
      <c r="AV1645" s="101">
        <f t="shared" si="775"/>
        <v>89604</v>
      </c>
      <c r="AW1645" s="99">
        <f t="shared" si="776"/>
        <v>0</v>
      </c>
      <c r="AX1645" s="1">
        <f t="shared" si="777"/>
        <v>0</v>
      </c>
      <c r="AY1645" s="29">
        <f t="shared" si="778"/>
        <v>0</v>
      </c>
      <c r="AZ1645" s="1">
        <f t="shared" si="790"/>
        <v>0</v>
      </c>
      <c r="CB1645" s="20">
        <f t="shared" si="769"/>
        <v>0</v>
      </c>
      <c r="CC1645" s="173">
        <f t="shared" si="791"/>
        <v>0</v>
      </c>
    </row>
    <row r="1646" spans="10:81" x14ac:dyDescent="0.25">
      <c r="J1646" s="9"/>
      <c r="K1646" s="10"/>
      <c r="L1646" s="17"/>
      <c r="M1646" s="23"/>
      <c r="N1646" s="23"/>
      <c r="O1646" s="23"/>
      <c r="P1646" s="23"/>
      <c r="Q1646" s="1">
        <f t="shared" si="792"/>
        <v>0.60744618579017706</v>
      </c>
      <c r="R1646" s="12">
        <f t="shared" ca="1" si="779"/>
        <v>48482</v>
      </c>
      <c r="S1646" s="88">
        <f t="shared" si="788"/>
        <v>0</v>
      </c>
      <c r="T1646" s="19">
        <f t="shared" si="780"/>
        <v>0</v>
      </c>
      <c r="U1646" s="19">
        <f t="shared" si="781"/>
        <v>0</v>
      </c>
      <c r="V1646" s="19">
        <f t="shared" si="797"/>
        <v>0</v>
      </c>
      <c r="W1646" s="20">
        <f t="shared" ca="1" si="782"/>
        <v>0</v>
      </c>
      <c r="X1646" s="19">
        <f t="shared" ca="1" si="783"/>
        <v>0</v>
      </c>
      <c r="Y1646" s="19">
        <f t="shared" ca="1" si="784"/>
        <v>0</v>
      </c>
      <c r="Z1646" s="20">
        <f t="shared" ca="1" si="785"/>
        <v>0</v>
      </c>
      <c r="AA1646" s="1">
        <f t="shared" si="793"/>
        <v>5432.58</v>
      </c>
      <c r="AB1646" s="93"/>
      <c r="AC1646" s="94"/>
      <c r="AD1646" s="101">
        <f t="shared" si="794"/>
        <v>89604</v>
      </c>
      <c r="AE1646" s="103">
        <f t="shared" si="795"/>
        <v>0</v>
      </c>
      <c r="AG1646" s="1">
        <f t="shared" si="786"/>
        <v>0</v>
      </c>
      <c r="AH1646" s="1">
        <f t="shared" si="787"/>
        <v>0</v>
      </c>
      <c r="AI1646" s="1">
        <f t="shared" si="796"/>
        <v>5432.58</v>
      </c>
      <c r="AJ1646" s="20">
        <f t="shared" si="798"/>
        <v>0</v>
      </c>
      <c r="AK1646" s="100">
        <f t="shared" si="770"/>
        <v>0</v>
      </c>
      <c r="AL1646" s="100">
        <f t="shared" si="771"/>
        <v>0</v>
      </c>
      <c r="AN1646" s="100">
        <f t="shared" si="772"/>
        <v>2396.6873833456066</v>
      </c>
      <c r="AO1646" s="20">
        <f t="shared" si="773"/>
        <v>0</v>
      </c>
      <c r="AQ1646" s="109">
        <f t="shared" si="774"/>
        <v>0</v>
      </c>
      <c r="AU1646" s="109">
        <f t="shared" si="789"/>
        <v>23.480483177557957</v>
      </c>
      <c r="AV1646" s="101">
        <f t="shared" si="775"/>
        <v>89634</v>
      </c>
      <c r="AW1646" s="99">
        <f t="shared" si="776"/>
        <v>0</v>
      </c>
      <c r="AX1646" s="1">
        <f t="shared" si="777"/>
        <v>0</v>
      </c>
      <c r="AY1646" s="29">
        <f t="shared" si="778"/>
        <v>0</v>
      </c>
      <c r="AZ1646" s="1">
        <f t="shared" si="790"/>
        <v>0</v>
      </c>
      <c r="CB1646" s="20">
        <f t="shared" ref="CB1646:CB1709" si="799">IF(O1646=0,IF(P1646&gt;0,V1645,IF(O1645=0,0,P1646)),IF(O1645=0,0,P1646))</f>
        <v>0</v>
      </c>
      <c r="CC1646" s="173">
        <f t="shared" si="791"/>
        <v>0</v>
      </c>
    </row>
    <row r="1647" spans="10:81" x14ac:dyDescent="0.25">
      <c r="J1647" s="7"/>
      <c r="K1647" s="8"/>
      <c r="L1647" s="16"/>
      <c r="M1647" s="22"/>
      <c r="N1647" s="22"/>
      <c r="O1647" s="22"/>
      <c r="P1647" s="22"/>
      <c r="Q1647" s="1">
        <f t="shared" si="792"/>
        <v>0.60744618579017706</v>
      </c>
      <c r="R1647" s="12">
        <f t="shared" ca="1" si="779"/>
        <v>48512</v>
      </c>
      <c r="S1647" s="88">
        <f t="shared" si="788"/>
        <v>0</v>
      </c>
      <c r="T1647" s="19">
        <f t="shared" si="780"/>
        <v>0</v>
      </c>
      <c r="U1647" s="19">
        <f t="shared" si="781"/>
        <v>0</v>
      </c>
      <c r="V1647" s="19">
        <f t="shared" si="797"/>
        <v>0</v>
      </c>
      <c r="W1647" s="20">
        <f t="shared" ca="1" si="782"/>
        <v>0</v>
      </c>
      <c r="X1647" s="19">
        <f t="shared" ca="1" si="783"/>
        <v>0</v>
      </c>
      <c r="Y1647" s="19">
        <f t="shared" ca="1" si="784"/>
        <v>0</v>
      </c>
      <c r="Z1647" s="20">
        <f t="shared" ca="1" si="785"/>
        <v>0</v>
      </c>
      <c r="AA1647" s="1">
        <f t="shared" si="793"/>
        <v>5432.58</v>
      </c>
      <c r="AB1647" s="91"/>
      <c r="AC1647" s="92"/>
      <c r="AD1647" s="101">
        <f t="shared" si="794"/>
        <v>89634</v>
      </c>
      <c r="AE1647" s="103">
        <f t="shared" si="795"/>
        <v>0</v>
      </c>
      <c r="AG1647" s="1">
        <f t="shared" si="786"/>
        <v>0</v>
      </c>
      <c r="AH1647" s="1">
        <f t="shared" si="787"/>
        <v>0</v>
      </c>
      <c r="AI1647" s="1">
        <f t="shared" si="796"/>
        <v>5432.58</v>
      </c>
      <c r="AJ1647" s="20">
        <f t="shared" si="798"/>
        <v>0</v>
      </c>
      <c r="AK1647" s="100">
        <f t="shared" si="770"/>
        <v>0</v>
      </c>
      <c r="AL1647" s="100">
        <f t="shared" si="771"/>
        <v>0</v>
      </c>
      <c r="AN1647" s="100">
        <f t="shared" si="772"/>
        <v>2395.4747816628756</v>
      </c>
      <c r="AO1647" s="20">
        <f t="shared" si="773"/>
        <v>0</v>
      </c>
      <c r="AQ1647" s="109">
        <f t="shared" si="774"/>
        <v>0</v>
      </c>
      <c r="AU1647" s="109">
        <f t="shared" si="789"/>
        <v>23.478422293823282</v>
      </c>
      <c r="AV1647" s="101">
        <f t="shared" si="775"/>
        <v>89664</v>
      </c>
      <c r="AW1647" s="99">
        <f t="shared" si="776"/>
        <v>0</v>
      </c>
      <c r="AX1647" s="1">
        <f t="shared" si="777"/>
        <v>0</v>
      </c>
      <c r="AY1647" s="29">
        <f t="shared" si="778"/>
        <v>0</v>
      </c>
      <c r="AZ1647" s="1">
        <f t="shared" si="790"/>
        <v>0</v>
      </c>
      <c r="CB1647" s="20">
        <f t="shared" si="799"/>
        <v>0</v>
      </c>
      <c r="CC1647" s="173">
        <f t="shared" si="791"/>
        <v>0</v>
      </c>
    </row>
    <row r="1648" spans="10:81" x14ac:dyDescent="0.25">
      <c r="J1648" s="9"/>
      <c r="K1648" s="10"/>
      <c r="L1648" s="17"/>
      <c r="M1648" s="23"/>
      <c r="N1648" s="23"/>
      <c r="O1648" s="23"/>
      <c r="P1648" s="23"/>
      <c r="Q1648" s="1">
        <f t="shared" si="792"/>
        <v>0.60744618579017706</v>
      </c>
      <c r="R1648" s="12">
        <f t="shared" ca="1" si="779"/>
        <v>48542</v>
      </c>
      <c r="S1648" s="88">
        <f t="shared" si="788"/>
        <v>0</v>
      </c>
      <c r="T1648" s="19">
        <f t="shared" si="780"/>
        <v>0</v>
      </c>
      <c r="U1648" s="19">
        <f t="shared" si="781"/>
        <v>0</v>
      </c>
      <c r="V1648" s="19">
        <f t="shared" si="797"/>
        <v>0</v>
      </c>
      <c r="W1648" s="20">
        <f t="shared" ca="1" si="782"/>
        <v>0</v>
      </c>
      <c r="X1648" s="19">
        <f t="shared" ca="1" si="783"/>
        <v>0</v>
      </c>
      <c r="Y1648" s="19">
        <f t="shared" ca="1" si="784"/>
        <v>0</v>
      </c>
      <c r="Z1648" s="20">
        <f t="shared" ca="1" si="785"/>
        <v>0</v>
      </c>
      <c r="AA1648" s="1">
        <f t="shared" si="793"/>
        <v>5432.58</v>
      </c>
      <c r="AB1648" s="93"/>
      <c r="AC1648" s="94"/>
      <c r="AD1648" s="101">
        <f t="shared" si="794"/>
        <v>89664</v>
      </c>
      <c r="AE1648" s="103">
        <f t="shared" si="795"/>
        <v>0</v>
      </c>
      <c r="AG1648" s="1">
        <f t="shared" si="786"/>
        <v>0</v>
      </c>
      <c r="AH1648" s="1">
        <f t="shared" si="787"/>
        <v>0</v>
      </c>
      <c r="AI1648" s="1">
        <f t="shared" si="796"/>
        <v>5432.58</v>
      </c>
      <c r="AJ1648" s="20">
        <f t="shared" si="798"/>
        <v>0</v>
      </c>
      <c r="AK1648" s="100">
        <f t="shared" si="770"/>
        <v>0</v>
      </c>
      <c r="AL1648" s="100">
        <f t="shared" si="771"/>
        <v>0</v>
      </c>
      <c r="AN1648" s="100">
        <f t="shared" si="772"/>
        <v>2394.2627934948018</v>
      </c>
      <c r="AO1648" s="20">
        <f t="shared" si="773"/>
        <v>0</v>
      </c>
      <c r="AQ1648" s="109">
        <f t="shared" si="774"/>
        <v>0</v>
      </c>
      <c r="AU1648" s="109">
        <f t="shared" si="789"/>
        <v>23.47636159097252</v>
      </c>
      <c r="AV1648" s="101">
        <f t="shared" si="775"/>
        <v>89694</v>
      </c>
      <c r="AW1648" s="99">
        <f t="shared" si="776"/>
        <v>0</v>
      </c>
      <c r="AX1648" s="1">
        <f t="shared" si="777"/>
        <v>0</v>
      </c>
      <c r="AY1648" s="29">
        <f t="shared" si="778"/>
        <v>0</v>
      </c>
      <c r="AZ1648" s="1">
        <f t="shared" si="790"/>
        <v>0</v>
      </c>
      <c r="CB1648" s="20">
        <f t="shared" si="799"/>
        <v>0</v>
      </c>
      <c r="CC1648" s="173">
        <f t="shared" si="791"/>
        <v>0</v>
      </c>
    </row>
    <row r="1649" spans="10:81" x14ac:dyDescent="0.25">
      <c r="J1649" s="7"/>
      <c r="K1649" s="8"/>
      <c r="L1649" s="16"/>
      <c r="M1649" s="22"/>
      <c r="N1649" s="22"/>
      <c r="O1649" s="22"/>
      <c r="P1649" s="22"/>
      <c r="Q1649" s="1">
        <f t="shared" si="792"/>
        <v>0.60744618579017706</v>
      </c>
      <c r="R1649" s="12">
        <f t="shared" ca="1" si="779"/>
        <v>48572</v>
      </c>
      <c r="S1649" s="88">
        <f t="shared" si="788"/>
        <v>0</v>
      </c>
      <c r="T1649" s="19">
        <f t="shared" si="780"/>
        <v>0</v>
      </c>
      <c r="U1649" s="19">
        <f t="shared" si="781"/>
        <v>0</v>
      </c>
      <c r="V1649" s="19">
        <f t="shared" si="797"/>
        <v>0</v>
      </c>
      <c r="W1649" s="20">
        <f t="shared" ca="1" si="782"/>
        <v>0</v>
      </c>
      <c r="X1649" s="19">
        <f t="shared" ca="1" si="783"/>
        <v>0</v>
      </c>
      <c r="Y1649" s="19">
        <f t="shared" ca="1" si="784"/>
        <v>0</v>
      </c>
      <c r="Z1649" s="20">
        <f t="shared" ca="1" si="785"/>
        <v>0</v>
      </c>
      <c r="AA1649" s="1">
        <f t="shared" si="793"/>
        <v>5432.58</v>
      </c>
      <c r="AB1649" s="91"/>
      <c r="AC1649" s="92"/>
      <c r="AD1649" s="101">
        <f t="shared" si="794"/>
        <v>89694</v>
      </c>
      <c r="AE1649" s="103">
        <f t="shared" si="795"/>
        <v>0</v>
      </c>
      <c r="AG1649" s="1">
        <f t="shared" si="786"/>
        <v>0</v>
      </c>
      <c r="AH1649" s="1">
        <f t="shared" si="787"/>
        <v>0</v>
      </c>
      <c r="AI1649" s="1">
        <f t="shared" si="796"/>
        <v>5432.58</v>
      </c>
      <c r="AJ1649" s="20">
        <f t="shared" si="798"/>
        <v>0</v>
      </c>
      <c r="AK1649" s="100">
        <f t="shared" si="770"/>
        <v>0</v>
      </c>
      <c r="AL1649" s="100">
        <f t="shared" si="771"/>
        <v>0</v>
      </c>
      <c r="AN1649" s="100">
        <f t="shared" si="772"/>
        <v>2393.0514185309794</v>
      </c>
      <c r="AO1649" s="20">
        <f t="shared" si="773"/>
        <v>0</v>
      </c>
      <c r="AQ1649" s="109">
        <f t="shared" si="774"/>
        <v>0</v>
      </c>
      <c r="AU1649" s="109">
        <f t="shared" si="789"/>
        <v>23.474301068989799</v>
      </c>
      <c r="AV1649" s="101">
        <f t="shared" si="775"/>
        <v>89724</v>
      </c>
      <c r="AW1649" s="99">
        <f t="shared" si="776"/>
        <v>0</v>
      </c>
      <c r="AX1649" s="1">
        <f t="shared" si="777"/>
        <v>0</v>
      </c>
      <c r="AY1649" s="29">
        <f t="shared" si="778"/>
        <v>0</v>
      </c>
      <c r="AZ1649" s="1">
        <f t="shared" si="790"/>
        <v>0</v>
      </c>
      <c r="CB1649" s="20">
        <f t="shared" si="799"/>
        <v>0</v>
      </c>
      <c r="CC1649" s="173">
        <f t="shared" si="791"/>
        <v>0</v>
      </c>
    </row>
    <row r="1650" spans="10:81" x14ac:dyDescent="0.25">
      <c r="J1650" s="9"/>
      <c r="K1650" s="10"/>
      <c r="L1650" s="17"/>
      <c r="M1650" s="23"/>
      <c r="N1650" s="23"/>
      <c r="O1650" s="23"/>
      <c r="P1650" s="23"/>
      <c r="Q1650" s="1">
        <f t="shared" si="792"/>
        <v>0.60744618579017706</v>
      </c>
      <c r="R1650" s="12">
        <f t="shared" ca="1" si="779"/>
        <v>48602</v>
      </c>
      <c r="S1650" s="88">
        <f t="shared" si="788"/>
        <v>0</v>
      </c>
      <c r="T1650" s="19">
        <f t="shared" si="780"/>
        <v>0</v>
      </c>
      <c r="U1650" s="19">
        <f t="shared" si="781"/>
        <v>0</v>
      </c>
      <c r="V1650" s="19">
        <f t="shared" si="797"/>
        <v>0</v>
      </c>
      <c r="W1650" s="20">
        <f t="shared" ca="1" si="782"/>
        <v>0</v>
      </c>
      <c r="X1650" s="19">
        <f t="shared" ca="1" si="783"/>
        <v>0</v>
      </c>
      <c r="Y1650" s="19">
        <f t="shared" ca="1" si="784"/>
        <v>0</v>
      </c>
      <c r="Z1650" s="20">
        <f t="shared" ca="1" si="785"/>
        <v>0</v>
      </c>
      <c r="AA1650" s="1">
        <f t="shared" si="793"/>
        <v>5432.58</v>
      </c>
      <c r="AB1650" s="93"/>
      <c r="AC1650" s="94"/>
      <c r="AD1650" s="101">
        <f t="shared" si="794"/>
        <v>89724</v>
      </c>
      <c r="AE1650" s="103">
        <f t="shared" si="795"/>
        <v>0</v>
      </c>
      <c r="AG1650" s="1">
        <f t="shared" si="786"/>
        <v>0</v>
      </c>
      <c r="AH1650" s="1">
        <f t="shared" si="787"/>
        <v>0</v>
      </c>
      <c r="AI1650" s="1">
        <f t="shared" si="796"/>
        <v>5432.58</v>
      </c>
      <c r="AJ1650" s="20">
        <f t="shared" si="798"/>
        <v>0</v>
      </c>
      <c r="AK1650" s="100">
        <f t="shared" si="770"/>
        <v>0</v>
      </c>
      <c r="AL1650" s="100">
        <f t="shared" si="771"/>
        <v>0</v>
      </c>
      <c r="AN1650" s="100">
        <f t="shared" si="772"/>
        <v>2391.8406564611591</v>
      </c>
      <c r="AO1650" s="20">
        <f t="shared" si="773"/>
        <v>0</v>
      </c>
      <c r="AQ1650" s="109">
        <f t="shared" si="774"/>
        <v>0</v>
      </c>
      <c r="AU1650" s="109">
        <f t="shared" si="789"/>
        <v>23.472240727859234</v>
      </c>
      <c r="AV1650" s="101">
        <f t="shared" si="775"/>
        <v>89754</v>
      </c>
      <c r="AW1650" s="99">
        <f t="shared" si="776"/>
        <v>0</v>
      </c>
      <c r="AX1650" s="1">
        <f t="shared" si="777"/>
        <v>0</v>
      </c>
      <c r="AY1650" s="29">
        <f t="shared" si="778"/>
        <v>0</v>
      </c>
      <c r="AZ1650" s="1">
        <f t="shared" si="790"/>
        <v>0</v>
      </c>
      <c r="CB1650" s="20">
        <f t="shared" si="799"/>
        <v>0</v>
      </c>
      <c r="CC1650" s="173">
        <f t="shared" si="791"/>
        <v>0</v>
      </c>
    </row>
    <row r="1651" spans="10:81" x14ac:dyDescent="0.25">
      <c r="J1651" s="7"/>
      <c r="K1651" s="8"/>
      <c r="L1651" s="16"/>
      <c r="M1651" s="22"/>
      <c r="N1651" s="22"/>
      <c r="O1651" s="22"/>
      <c r="P1651" s="22"/>
      <c r="Q1651" s="1">
        <f t="shared" si="792"/>
        <v>0.60744618579017706</v>
      </c>
      <c r="R1651" s="12">
        <f t="shared" ca="1" si="779"/>
        <v>48632</v>
      </c>
      <c r="S1651" s="88">
        <f t="shared" si="788"/>
        <v>0</v>
      </c>
      <c r="T1651" s="19">
        <f t="shared" si="780"/>
        <v>0</v>
      </c>
      <c r="U1651" s="19">
        <f t="shared" si="781"/>
        <v>0</v>
      </c>
      <c r="V1651" s="19">
        <f t="shared" si="797"/>
        <v>0</v>
      </c>
      <c r="W1651" s="20">
        <f t="shared" ca="1" si="782"/>
        <v>0</v>
      </c>
      <c r="X1651" s="19">
        <f t="shared" ca="1" si="783"/>
        <v>0</v>
      </c>
      <c r="Y1651" s="19">
        <f t="shared" ca="1" si="784"/>
        <v>0</v>
      </c>
      <c r="Z1651" s="20">
        <f t="shared" ca="1" si="785"/>
        <v>0</v>
      </c>
      <c r="AA1651" s="1">
        <f t="shared" si="793"/>
        <v>5432.58</v>
      </c>
      <c r="AB1651" s="91"/>
      <c r="AC1651" s="92"/>
      <c r="AD1651" s="101">
        <f t="shared" si="794"/>
        <v>89754</v>
      </c>
      <c r="AE1651" s="103">
        <f t="shared" si="795"/>
        <v>0</v>
      </c>
      <c r="AG1651" s="1">
        <f t="shared" si="786"/>
        <v>0</v>
      </c>
      <c r="AH1651" s="1">
        <f t="shared" si="787"/>
        <v>0</v>
      </c>
      <c r="AI1651" s="1">
        <f t="shared" si="796"/>
        <v>5432.58</v>
      </c>
      <c r="AJ1651" s="20">
        <f t="shared" si="798"/>
        <v>0</v>
      </c>
      <c r="AK1651" s="100">
        <f t="shared" si="770"/>
        <v>0</v>
      </c>
      <c r="AL1651" s="100">
        <f t="shared" si="771"/>
        <v>0</v>
      </c>
      <c r="AN1651" s="100">
        <f t="shared" si="772"/>
        <v>2390.6305069752448</v>
      </c>
      <c r="AO1651" s="20">
        <f t="shared" si="773"/>
        <v>0</v>
      </c>
      <c r="AQ1651" s="109">
        <f t="shared" si="774"/>
        <v>0</v>
      </c>
      <c r="AU1651" s="109">
        <f t="shared" si="789"/>
        <v>23.470180567564984</v>
      </c>
      <c r="AV1651" s="101">
        <f t="shared" si="775"/>
        <v>89784</v>
      </c>
      <c r="AW1651" s="99">
        <f t="shared" si="776"/>
        <v>0</v>
      </c>
      <c r="AX1651" s="1">
        <f t="shared" si="777"/>
        <v>0</v>
      </c>
      <c r="AY1651" s="29">
        <f t="shared" si="778"/>
        <v>0</v>
      </c>
      <c r="AZ1651" s="1">
        <f t="shared" si="790"/>
        <v>0</v>
      </c>
      <c r="CB1651" s="20">
        <f t="shared" si="799"/>
        <v>0</v>
      </c>
      <c r="CC1651" s="173">
        <f t="shared" si="791"/>
        <v>0</v>
      </c>
    </row>
    <row r="1652" spans="10:81" x14ac:dyDescent="0.25">
      <c r="J1652" s="9"/>
      <c r="K1652" s="10"/>
      <c r="L1652" s="17"/>
      <c r="M1652" s="23"/>
      <c r="N1652" s="23"/>
      <c r="O1652" s="23"/>
      <c r="P1652" s="23"/>
      <c r="Q1652" s="1">
        <f t="shared" si="792"/>
        <v>0.60744618579017706</v>
      </c>
      <c r="R1652" s="12">
        <f t="shared" ca="1" si="779"/>
        <v>48662</v>
      </c>
      <c r="S1652" s="88">
        <f t="shared" si="788"/>
        <v>0</v>
      </c>
      <c r="T1652" s="19">
        <f t="shared" si="780"/>
        <v>0</v>
      </c>
      <c r="U1652" s="19">
        <f t="shared" si="781"/>
        <v>0</v>
      </c>
      <c r="V1652" s="19">
        <f t="shared" si="797"/>
        <v>0</v>
      </c>
      <c r="W1652" s="20">
        <f t="shared" ca="1" si="782"/>
        <v>0</v>
      </c>
      <c r="X1652" s="19">
        <f t="shared" ca="1" si="783"/>
        <v>0</v>
      </c>
      <c r="Y1652" s="19">
        <f t="shared" ca="1" si="784"/>
        <v>0</v>
      </c>
      <c r="Z1652" s="20">
        <f t="shared" ca="1" si="785"/>
        <v>0</v>
      </c>
      <c r="AA1652" s="1">
        <f t="shared" si="793"/>
        <v>5432.58</v>
      </c>
      <c r="AB1652" s="93"/>
      <c r="AC1652" s="94"/>
      <c r="AD1652" s="101">
        <f t="shared" si="794"/>
        <v>89784</v>
      </c>
      <c r="AE1652" s="103">
        <f t="shared" si="795"/>
        <v>0</v>
      </c>
      <c r="AG1652" s="1">
        <f t="shared" si="786"/>
        <v>0</v>
      </c>
      <c r="AH1652" s="1">
        <f t="shared" si="787"/>
        <v>0</v>
      </c>
      <c r="AI1652" s="1">
        <f t="shared" si="796"/>
        <v>5432.58</v>
      </c>
      <c r="AJ1652" s="20">
        <f t="shared" si="798"/>
        <v>0</v>
      </c>
      <c r="AK1652" s="100">
        <f t="shared" si="770"/>
        <v>0</v>
      </c>
      <c r="AL1652" s="100">
        <f t="shared" si="771"/>
        <v>0</v>
      </c>
      <c r="AN1652" s="100">
        <f t="shared" si="772"/>
        <v>2389.4209697633032</v>
      </c>
      <c r="AO1652" s="20">
        <f t="shared" si="773"/>
        <v>0</v>
      </c>
      <c r="AQ1652" s="109">
        <f t="shared" si="774"/>
        <v>0</v>
      </c>
      <c r="AU1652" s="109">
        <f t="shared" si="789"/>
        <v>23.468120588091143</v>
      </c>
      <c r="AV1652" s="101">
        <f t="shared" si="775"/>
        <v>89814</v>
      </c>
      <c r="AW1652" s="99">
        <f t="shared" si="776"/>
        <v>0</v>
      </c>
      <c r="AX1652" s="1">
        <f t="shared" si="777"/>
        <v>0</v>
      </c>
      <c r="AY1652" s="29">
        <f t="shared" si="778"/>
        <v>0</v>
      </c>
      <c r="AZ1652" s="1">
        <f t="shared" si="790"/>
        <v>0</v>
      </c>
      <c r="CB1652" s="20">
        <f t="shared" si="799"/>
        <v>0</v>
      </c>
      <c r="CC1652" s="173">
        <f t="shared" si="791"/>
        <v>0</v>
      </c>
    </row>
    <row r="1653" spans="10:81" x14ac:dyDescent="0.25">
      <c r="J1653" s="7"/>
      <c r="K1653" s="8"/>
      <c r="L1653" s="16"/>
      <c r="M1653" s="22"/>
      <c r="N1653" s="22"/>
      <c r="O1653" s="22"/>
      <c r="P1653" s="22"/>
      <c r="Q1653" s="1">
        <f t="shared" si="792"/>
        <v>0.60744618579017706</v>
      </c>
      <c r="R1653" s="12">
        <f t="shared" ca="1" si="779"/>
        <v>48692</v>
      </c>
      <c r="S1653" s="88">
        <f t="shared" si="788"/>
        <v>0</v>
      </c>
      <c r="T1653" s="19">
        <f t="shared" si="780"/>
        <v>0</v>
      </c>
      <c r="U1653" s="19">
        <f t="shared" si="781"/>
        <v>0</v>
      </c>
      <c r="V1653" s="19">
        <f t="shared" si="797"/>
        <v>0</v>
      </c>
      <c r="W1653" s="20">
        <f t="shared" ca="1" si="782"/>
        <v>0</v>
      </c>
      <c r="X1653" s="19">
        <f t="shared" ca="1" si="783"/>
        <v>0</v>
      </c>
      <c r="Y1653" s="19">
        <f t="shared" ca="1" si="784"/>
        <v>0</v>
      </c>
      <c r="Z1653" s="20">
        <f t="shared" ca="1" si="785"/>
        <v>0</v>
      </c>
      <c r="AA1653" s="1">
        <f t="shared" si="793"/>
        <v>5432.58</v>
      </c>
      <c r="AB1653" s="91"/>
      <c r="AC1653" s="92"/>
      <c r="AD1653" s="101">
        <f t="shared" si="794"/>
        <v>89814</v>
      </c>
      <c r="AE1653" s="103">
        <f t="shared" si="795"/>
        <v>0</v>
      </c>
      <c r="AG1653" s="1">
        <f t="shared" si="786"/>
        <v>0</v>
      </c>
      <c r="AH1653" s="1">
        <f t="shared" si="787"/>
        <v>0</v>
      </c>
      <c r="AI1653" s="1">
        <f t="shared" si="796"/>
        <v>5432.58</v>
      </c>
      <c r="AJ1653" s="20">
        <f t="shared" si="798"/>
        <v>0</v>
      </c>
      <c r="AK1653" s="100">
        <f t="shared" si="770"/>
        <v>0</v>
      </c>
      <c r="AL1653" s="100">
        <f t="shared" si="771"/>
        <v>0</v>
      </c>
      <c r="AN1653" s="100">
        <f t="shared" si="772"/>
        <v>2388.2120445155542</v>
      </c>
      <c r="AO1653" s="20">
        <f t="shared" si="773"/>
        <v>0</v>
      </c>
      <c r="AQ1653" s="109">
        <f t="shared" si="774"/>
        <v>0</v>
      </c>
      <c r="AU1653" s="109">
        <f t="shared" si="789"/>
        <v>23.466060789421853</v>
      </c>
      <c r="AV1653" s="101">
        <f t="shared" si="775"/>
        <v>89844</v>
      </c>
      <c r="AW1653" s="99">
        <f t="shared" si="776"/>
        <v>0</v>
      </c>
      <c r="AX1653" s="1">
        <f t="shared" si="777"/>
        <v>0</v>
      </c>
      <c r="AY1653" s="29">
        <f t="shared" si="778"/>
        <v>0</v>
      </c>
      <c r="AZ1653" s="1">
        <f t="shared" si="790"/>
        <v>0</v>
      </c>
      <c r="CB1653" s="20">
        <f t="shared" si="799"/>
        <v>0</v>
      </c>
      <c r="CC1653" s="173">
        <f t="shared" si="791"/>
        <v>0</v>
      </c>
    </row>
    <row r="1654" spans="10:81" x14ac:dyDescent="0.25">
      <c r="J1654" s="9"/>
      <c r="K1654" s="10"/>
      <c r="L1654" s="17"/>
      <c r="M1654" s="23"/>
      <c r="N1654" s="23"/>
      <c r="O1654" s="23"/>
      <c r="P1654" s="23"/>
      <c r="Q1654" s="1">
        <f t="shared" si="792"/>
        <v>0.60744618579017706</v>
      </c>
      <c r="R1654" s="12">
        <f t="shared" ca="1" si="779"/>
        <v>48722</v>
      </c>
      <c r="S1654" s="88">
        <f t="shared" si="788"/>
        <v>0</v>
      </c>
      <c r="T1654" s="19">
        <f t="shared" si="780"/>
        <v>0</v>
      </c>
      <c r="U1654" s="19">
        <f t="shared" si="781"/>
        <v>0</v>
      </c>
      <c r="V1654" s="19">
        <f t="shared" si="797"/>
        <v>0</v>
      </c>
      <c r="W1654" s="20">
        <f t="shared" ca="1" si="782"/>
        <v>0</v>
      </c>
      <c r="X1654" s="19">
        <f t="shared" ca="1" si="783"/>
        <v>0</v>
      </c>
      <c r="Y1654" s="19">
        <f t="shared" ca="1" si="784"/>
        <v>0</v>
      </c>
      <c r="Z1654" s="20">
        <f t="shared" ca="1" si="785"/>
        <v>0</v>
      </c>
      <c r="AA1654" s="1">
        <f t="shared" si="793"/>
        <v>5432.58</v>
      </c>
      <c r="AB1654" s="93"/>
      <c r="AC1654" s="94"/>
      <c r="AD1654" s="101">
        <f t="shared" si="794"/>
        <v>89844</v>
      </c>
      <c r="AE1654" s="103">
        <f t="shared" si="795"/>
        <v>0</v>
      </c>
      <c r="AG1654" s="1">
        <f t="shared" si="786"/>
        <v>0</v>
      </c>
      <c r="AH1654" s="1">
        <f t="shared" si="787"/>
        <v>0</v>
      </c>
      <c r="AI1654" s="1">
        <f t="shared" si="796"/>
        <v>5432.58</v>
      </c>
      <c r="AJ1654" s="20">
        <f t="shared" si="798"/>
        <v>0</v>
      </c>
      <c r="AK1654" s="100">
        <f t="shared" ref="AK1654:AK1717" si="800">IF(ISERROR(AJ1654/(1+(Q1654)/1200)^(ROW()-29)),0,AJ1654/(1+(Q1654)/1200)^(ROW()-29))</f>
        <v>0</v>
      </c>
      <c r="AL1654" s="100">
        <f t="shared" ref="AL1654:AL1717" si="801">IF(ISERROR((Q1654/1200)*O1654),0,(Q1654/1200)*O1654)</f>
        <v>0</v>
      </c>
      <c r="AN1654" s="100">
        <f t="shared" ref="AN1654:AN1717" si="802">IF(ISERROR(AA1654/(1+(Q1654)/1200)^(ROW()-29)),0,AA1654/(1+(Q1654)/1200)^(ROW()-29))</f>
        <v>2387.0037309223735</v>
      </c>
      <c r="AO1654" s="20">
        <f t="shared" ref="AO1654:AO1717" si="803">IF(ISERROR(V1653+U1654+T1654+(V1653*Q1654/1200)-AA1654-P1654),0,IF(V1653+U1654+T1654+(V1653*Q1654/1200)-AA1654-P1654&lt;0,V1653,-(U1654+T1654-AA1654+P1654-AH1654)))</f>
        <v>0</v>
      </c>
      <c r="AQ1654" s="109">
        <f t="shared" ref="AQ1654:AQ1717" si="804">AO1654/(1+((1+$AM$27)^((ROW()-29)*30)-1))</f>
        <v>0</v>
      </c>
      <c r="AU1654" s="109">
        <f t="shared" si="789"/>
        <v>23.464001171541238</v>
      </c>
      <c r="AV1654" s="101">
        <f t="shared" ref="AV1654:AV1717" si="805">AD1655</f>
        <v>89874</v>
      </c>
      <c r="AW1654" s="99">
        <f t="shared" ref="AW1654:AW1717" si="806">IF(AJ1655&lt;0,0,AJ1655)</f>
        <v>0</v>
      </c>
      <c r="AX1654" s="1">
        <f t="shared" ref="AX1654:AX1717" si="807">IF(AG1654&gt;0,AA1654,0)</f>
        <v>0</v>
      </c>
      <c r="AY1654" s="29">
        <f t="shared" ref="AY1654:AY1717" si="808">AE1654</f>
        <v>0</v>
      </c>
      <c r="AZ1654" s="1">
        <f t="shared" si="790"/>
        <v>0</v>
      </c>
      <c r="CB1654" s="20">
        <f t="shared" si="799"/>
        <v>0</v>
      </c>
      <c r="CC1654" s="173">
        <f t="shared" si="791"/>
        <v>0</v>
      </c>
    </row>
    <row r="1655" spans="10:81" x14ac:dyDescent="0.25">
      <c r="J1655" s="7"/>
      <c r="K1655" s="8"/>
      <c r="L1655" s="16"/>
      <c r="M1655" s="22"/>
      <c r="N1655" s="22"/>
      <c r="O1655" s="22"/>
      <c r="P1655" s="22"/>
      <c r="Q1655" s="1">
        <f t="shared" si="792"/>
        <v>0.60744618579017706</v>
      </c>
      <c r="R1655" s="12">
        <f t="shared" ref="R1655:R1718" ca="1" si="809">IF(ROW()&gt;$T$20,R1654+30,DAYS360(K1654,K1655)+R1654)</f>
        <v>48752</v>
      </c>
      <c r="S1655" s="88">
        <f t="shared" si="788"/>
        <v>0</v>
      </c>
      <c r="T1655" s="19">
        <f t="shared" ref="T1655:T1718" si="810">IF(ISERROR((previousBalance*Q1655/1200)*(IF(ROW()-30&lt;$G$22,$G$21,0))),0,(previousBalance*Q1655/1200)*(IF(ROW()-30&lt;$G$22,$G$21,0)))</f>
        <v>0</v>
      </c>
      <c r="U1655" s="19">
        <f t="shared" ref="U1655:U1718" si="811">AA1655*(IF(ROW()-30&lt;$H$22,$H$21,0))</f>
        <v>0</v>
      </c>
      <c r="V1655" s="19">
        <f t="shared" si="797"/>
        <v>0</v>
      </c>
      <c r="W1655" s="20">
        <f t="shared" ref="W1655:W1718" ca="1" si="812">(T1655)/(1+((1+$T$12)^$R1655-1))</f>
        <v>0</v>
      </c>
      <c r="X1655" s="19">
        <f t="shared" ref="X1655:X1718" ca="1" si="813">(U1655)/(1+((1+$T$12)^$R1655-1))</f>
        <v>0</v>
      </c>
      <c r="Y1655" s="19">
        <f t="shared" ref="Y1655:Y1718" ca="1" si="814">P1655/(1+((1+$T$12)^$R1655-1))</f>
        <v>0</v>
      </c>
      <c r="Z1655" s="20">
        <f t="shared" ref="Z1655:Z1718" ca="1" si="815">W1655+X1655</f>
        <v>0</v>
      </c>
      <c r="AA1655" s="1">
        <f t="shared" si="793"/>
        <v>5432.58</v>
      </c>
      <c r="AB1655" s="91"/>
      <c r="AC1655" s="92"/>
      <c r="AD1655" s="101">
        <f t="shared" si="794"/>
        <v>89874</v>
      </c>
      <c r="AE1655" s="103">
        <f t="shared" si="795"/>
        <v>0</v>
      </c>
      <c r="AG1655" s="1">
        <f t="shared" ref="AG1655:AG1718" si="816">AE1655/360</f>
        <v>0</v>
      </c>
      <c r="AH1655" s="1">
        <f t="shared" ref="AH1655:AH1718" si="817">IF(ISERROR(IF(V1654+U1655+T1655+(V1654*Q1655/1200)-AA1655-P1655&lt;0,0,(V1654*Q1655/1200))),0,IF(V1654+U1655+T1655+(V1654*Q1655/1200)-AA1655-P1655&lt;0,0,(V1654*Q1655/1200)))</f>
        <v>0</v>
      </c>
      <c r="AI1655" s="1">
        <f t="shared" si="796"/>
        <v>5432.58</v>
      </c>
      <c r="AJ1655" s="20">
        <f t="shared" si="798"/>
        <v>0</v>
      </c>
      <c r="AK1655" s="100">
        <f t="shared" si="800"/>
        <v>0</v>
      </c>
      <c r="AL1655" s="100">
        <f t="shared" si="801"/>
        <v>0</v>
      </c>
      <c r="AN1655" s="100">
        <f t="shared" si="802"/>
        <v>2385.7960286742973</v>
      </c>
      <c r="AO1655" s="20">
        <f t="shared" si="803"/>
        <v>0</v>
      </c>
      <c r="AQ1655" s="109">
        <f t="shared" si="804"/>
        <v>0</v>
      </c>
      <c r="AU1655" s="109">
        <f t="shared" si="789"/>
        <v>23.461941734433445</v>
      </c>
      <c r="AV1655" s="101">
        <f t="shared" si="805"/>
        <v>89904</v>
      </c>
      <c r="AW1655" s="99">
        <f t="shared" si="806"/>
        <v>0</v>
      </c>
      <c r="AX1655" s="1">
        <f t="shared" si="807"/>
        <v>0</v>
      </c>
      <c r="AY1655" s="29">
        <f t="shared" si="808"/>
        <v>0</v>
      </c>
      <c r="AZ1655" s="1">
        <f t="shared" si="790"/>
        <v>0</v>
      </c>
      <c r="CB1655" s="20">
        <f t="shared" si="799"/>
        <v>0</v>
      </c>
      <c r="CC1655" s="173">
        <f t="shared" si="791"/>
        <v>0</v>
      </c>
    </row>
    <row r="1656" spans="10:81" x14ac:dyDescent="0.25">
      <c r="J1656" s="9"/>
      <c r="K1656" s="10"/>
      <c r="L1656" s="17"/>
      <c r="M1656" s="23"/>
      <c r="N1656" s="23"/>
      <c r="O1656" s="23"/>
      <c r="P1656" s="23"/>
      <c r="Q1656" s="1">
        <f t="shared" si="792"/>
        <v>0.60744618579017706</v>
      </c>
      <c r="R1656" s="12">
        <f t="shared" ca="1" si="809"/>
        <v>48782</v>
      </c>
      <c r="S1656" s="88">
        <f t="shared" si="788"/>
        <v>0</v>
      </c>
      <c r="T1656" s="19">
        <f t="shared" si="810"/>
        <v>0</v>
      </c>
      <c r="U1656" s="19">
        <f t="shared" si="811"/>
        <v>0</v>
      </c>
      <c r="V1656" s="19">
        <f t="shared" si="797"/>
        <v>0</v>
      </c>
      <c r="W1656" s="20">
        <f t="shared" ca="1" si="812"/>
        <v>0</v>
      </c>
      <c r="X1656" s="19">
        <f t="shared" ca="1" si="813"/>
        <v>0</v>
      </c>
      <c r="Y1656" s="19">
        <f t="shared" ca="1" si="814"/>
        <v>0</v>
      </c>
      <c r="Z1656" s="20">
        <f t="shared" ca="1" si="815"/>
        <v>0</v>
      </c>
      <c r="AA1656" s="1">
        <f t="shared" si="793"/>
        <v>5432.58</v>
      </c>
      <c r="AB1656" s="93"/>
      <c r="AC1656" s="94"/>
      <c r="AD1656" s="101">
        <f t="shared" si="794"/>
        <v>89904</v>
      </c>
      <c r="AE1656" s="103">
        <f t="shared" si="795"/>
        <v>0</v>
      </c>
      <c r="AG1656" s="1">
        <f t="shared" si="816"/>
        <v>0</v>
      </c>
      <c r="AH1656" s="1">
        <f t="shared" si="817"/>
        <v>0</v>
      </c>
      <c r="AI1656" s="1">
        <f t="shared" si="796"/>
        <v>5432.58</v>
      </c>
      <c r="AJ1656" s="20">
        <f t="shared" si="798"/>
        <v>0</v>
      </c>
      <c r="AK1656" s="100">
        <f t="shared" si="800"/>
        <v>0</v>
      </c>
      <c r="AL1656" s="100">
        <f t="shared" si="801"/>
        <v>0</v>
      </c>
      <c r="AN1656" s="100">
        <f t="shared" si="802"/>
        <v>2384.5889374620147</v>
      </c>
      <c r="AO1656" s="20">
        <f t="shared" si="803"/>
        <v>0</v>
      </c>
      <c r="AQ1656" s="109">
        <f t="shared" si="804"/>
        <v>0</v>
      </c>
      <c r="AU1656" s="109">
        <f t="shared" si="789"/>
        <v>23.459882478082594</v>
      </c>
      <c r="AV1656" s="101">
        <f t="shared" si="805"/>
        <v>89934</v>
      </c>
      <c r="AW1656" s="99">
        <f t="shared" si="806"/>
        <v>0</v>
      </c>
      <c r="AX1656" s="1">
        <f t="shared" si="807"/>
        <v>0</v>
      </c>
      <c r="AY1656" s="29">
        <f t="shared" si="808"/>
        <v>0</v>
      </c>
      <c r="AZ1656" s="1">
        <f t="shared" si="790"/>
        <v>0</v>
      </c>
      <c r="CB1656" s="20">
        <f t="shared" si="799"/>
        <v>0</v>
      </c>
      <c r="CC1656" s="173">
        <f t="shared" si="791"/>
        <v>0</v>
      </c>
    </row>
    <row r="1657" spans="10:81" x14ac:dyDescent="0.25">
      <c r="J1657" s="7"/>
      <c r="K1657" s="8"/>
      <c r="L1657" s="16"/>
      <c r="M1657" s="22"/>
      <c r="N1657" s="22"/>
      <c r="O1657" s="22"/>
      <c r="P1657" s="22"/>
      <c r="Q1657" s="1">
        <f t="shared" si="792"/>
        <v>0.60744618579017706</v>
      </c>
      <c r="R1657" s="12">
        <f t="shared" ca="1" si="809"/>
        <v>48812</v>
      </c>
      <c r="S1657" s="88">
        <f t="shared" si="788"/>
        <v>0</v>
      </c>
      <c r="T1657" s="19">
        <f t="shared" si="810"/>
        <v>0</v>
      </c>
      <c r="U1657" s="19">
        <f t="shared" si="811"/>
        <v>0</v>
      </c>
      <c r="V1657" s="19">
        <f t="shared" si="797"/>
        <v>0</v>
      </c>
      <c r="W1657" s="20">
        <f t="shared" ca="1" si="812"/>
        <v>0</v>
      </c>
      <c r="X1657" s="19">
        <f t="shared" ca="1" si="813"/>
        <v>0</v>
      </c>
      <c r="Y1657" s="19">
        <f t="shared" ca="1" si="814"/>
        <v>0</v>
      </c>
      <c r="Z1657" s="20">
        <f t="shared" ca="1" si="815"/>
        <v>0</v>
      </c>
      <c r="AA1657" s="1">
        <f t="shared" si="793"/>
        <v>5432.58</v>
      </c>
      <c r="AB1657" s="91"/>
      <c r="AC1657" s="92"/>
      <c r="AD1657" s="101">
        <f t="shared" si="794"/>
        <v>89934</v>
      </c>
      <c r="AE1657" s="103">
        <f t="shared" si="795"/>
        <v>0</v>
      </c>
      <c r="AG1657" s="1">
        <f t="shared" si="816"/>
        <v>0</v>
      </c>
      <c r="AH1657" s="1">
        <f t="shared" si="817"/>
        <v>0</v>
      </c>
      <c r="AI1657" s="1">
        <f t="shared" si="796"/>
        <v>5432.58</v>
      </c>
      <c r="AJ1657" s="20">
        <f t="shared" si="798"/>
        <v>0</v>
      </c>
      <c r="AK1657" s="100">
        <f t="shared" si="800"/>
        <v>0</v>
      </c>
      <c r="AL1657" s="100">
        <f t="shared" si="801"/>
        <v>0</v>
      </c>
      <c r="AN1657" s="100">
        <f t="shared" si="802"/>
        <v>2383.3824569763733</v>
      </c>
      <c r="AO1657" s="20">
        <f t="shared" si="803"/>
        <v>0</v>
      </c>
      <c r="AQ1657" s="109">
        <f t="shared" si="804"/>
        <v>0</v>
      </c>
      <c r="AU1657" s="109">
        <f t="shared" si="789"/>
        <v>23.457823402472826</v>
      </c>
      <c r="AV1657" s="101">
        <f t="shared" si="805"/>
        <v>89964</v>
      </c>
      <c r="AW1657" s="99">
        <f t="shared" si="806"/>
        <v>0</v>
      </c>
      <c r="AX1657" s="1">
        <f t="shared" si="807"/>
        <v>0</v>
      </c>
      <c r="AY1657" s="29">
        <f t="shared" si="808"/>
        <v>0</v>
      </c>
      <c r="AZ1657" s="1">
        <f t="shared" si="790"/>
        <v>0</v>
      </c>
      <c r="CB1657" s="20">
        <f t="shared" si="799"/>
        <v>0</v>
      </c>
      <c r="CC1657" s="173">
        <f t="shared" si="791"/>
        <v>0</v>
      </c>
    </row>
    <row r="1658" spans="10:81" x14ac:dyDescent="0.25">
      <c r="J1658" s="9"/>
      <c r="K1658" s="10"/>
      <c r="L1658" s="17"/>
      <c r="M1658" s="23"/>
      <c r="N1658" s="23"/>
      <c r="O1658" s="23"/>
      <c r="P1658" s="23"/>
      <c r="Q1658" s="1">
        <f t="shared" si="792"/>
        <v>0.60744618579017706</v>
      </c>
      <c r="R1658" s="12">
        <f t="shared" ca="1" si="809"/>
        <v>48842</v>
      </c>
      <c r="S1658" s="88">
        <f t="shared" si="788"/>
        <v>0</v>
      </c>
      <c r="T1658" s="19">
        <f t="shared" si="810"/>
        <v>0</v>
      </c>
      <c r="U1658" s="19">
        <f t="shared" si="811"/>
        <v>0</v>
      </c>
      <c r="V1658" s="19">
        <f t="shared" si="797"/>
        <v>0</v>
      </c>
      <c r="W1658" s="20">
        <f t="shared" ca="1" si="812"/>
        <v>0</v>
      </c>
      <c r="X1658" s="19">
        <f t="shared" ca="1" si="813"/>
        <v>0</v>
      </c>
      <c r="Y1658" s="19">
        <f t="shared" ca="1" si="814"/>
        <v>0</v>
      </c>
      <c r="Z1658" s="20">
        <f t="shared" ca="1" si="815"/>
        <v>0</v>
      </c>
      <c r="AA1658" s="1">
        <f t="shared" si="793"/>
        <v>5432.58</v>
      </c>
      <c r="AB1658" s="93"/>
      <c r="AC1658" s="94"/>
      <c r="AD1658" s="101">
        <f t="shared" si="794"/>
        <v>89964</v>
      </c>
      <c r="AE1658" s="103">
        <f t="shared" si="795"/>
        <v>0</v>
      </c>
      <c r="AG1658" s="1">
        <f t="shared" si="816"/>
        <v>0</v>
      </c>
      <c r="AH1658" s="1">
        <f t="shared" si="817"/>
        <v>0</v>
      </c>
      <c r="AI1658" s="1">
        <f t="shared" si="796"/>
        <v>5432.58</v>
      </c>
      <c r="AJ1658" s="20">
        <f t="shared" si="798"/>
        <v>0</v>
      </c>
      <c r="AK1658" s="100">
        <f t="shared" si="800"/>
        <v>0</v>
      </c>
      <c r="AL1658" s="100">
        <f t="shared" si="801"/>
        <v>0</v>
      </c>
      <c r="AN1658" s="100">
        <f t="shared" si="802"/>
        <v>2382.1765869083765</v>
      </c>
      <c r="AO1658" s="20">
        <f t="shared" si="803"/>
        <v>0</v>
      </c>
      <c r="AQ1658" s="109">
        <f t="shared" si="804"/>
        <v>0</v>
      </c>
      <c r="AU1658" s="109">
        <f t="shared" si="789"/>
        <v>23.455764507588274</v>
      </c>
      <c r="AV1658" s="101">
        <f t="shared" si="805"/>
        <v>89994</v>
      </c>
      <c r="AW1658" s="99">
        <f t="shared" si="806"/>
        <v>0</v>
      </c>
      <c r="AX1658" s="1">
        <f t="shared" si="807"/>
        <v>0</v>
      </c>
      <c r="AY1658" s="29">
        <f t="shared" si="808"/>
        <v>0</v>
      </c>
      <c r="AZ1658" s="1">
        <f t="shared" si="790"/>
        <v>0</v>
      </c>
      <c r="CB1658" s="20">
        <f t="shared" si="799"/>
        <v>0</v>
      </c>
      <c r="CC1658" s="173">
        <f t="shared" si="791"/>
        <v>0</v>
      </c>
    </row>
    <row r="1659" spans="10:81" x14ac:dyDescent="0.25">
      <c r="J1659" s="7"/>
      <c r="K1659" s="8"/>
      <c r="L1659" s="16"/>
      <c r="M1659" s="22"/>
      <c r="N1659" s="22"/>
      <c r="O1659" s="22"/>
      <c r="P1659" s="22"/>
      <c r="Q1659" s="1">
        <f t="shared" si="792"/>
        <v>0.60744618579017706</v>
      </c>
      <c r="R1659" s="12">
        <f t="shared" ca="1" si="809"/>
        <v>48872</v>
      </c>
      <c r="S1659" s="88">
        <f t="shared" si="788"/>
        <v>0</v>
      </c>
      <c r="T1659" s="19">
        <f t="shared" si="810"/>
        <v>0</v>
      </c>
      <c r="U1659" s="19">
        <f t="shared" si="811"/>
        <v>0</v>
      </c>
      <c r="V1659" s="19">
        <f t="shared" si="797"/>
        <v>0</v>
      </c>
      <c r="W1659" s="20">
        <f t="shared" ca="1" si="812"/>
        <v>0</v>
      </c>
      <c r="X1659" s="19">
        <f t="shared" ca="1" si="813"/>
        <v>0</v>
      </c>
      <c r="Y1659" s="19">
        <f t="shared" ca="1" si="814"/>
        <v>0</v>
      </c>
      <c r="Z1659" s="20">
        <f t="shared" ca="1" si="815"/>
        <v>0</v>
      </c>
      <c r="AA1659" s="1">
        <f t="shared" si="793"/>
        <v>5432.58</v>
      </c>
      <c r="AB1659" s="91"/>
      <c r="AC1659" s="92"/>
      <c r="AD1659" s="101">
        <f t="shared" si="794"/>
        <v>89994</v>
      </c>
      <c r="AE1659" s="103">
        <f t="shared" si="795"/>
        <v>0</v>
      </c>
      <c r="AG1659" s="1">
        <f t="shared" si="816"/>
        <v>0</v>
      </c>
      <c r="AH1659" s="1">
        <f t="shared" si="817"/>
        <v>0</v>
      </c>
      <c r="AI1659" s="1">
        <f t="shared" si="796"/>
        <v>5432.58</v>
      </c>
      <c r="AJ1659" s="20">
        <f t="shared" si="798"/>
        <v>0</v>
      </c>
      <c r="AK1659" s="100">
        <f t="shared" si="800"/>
        <v>0</v>
      </c>
      <c r="AL1659" s="100">
        <f t="shared" si="801"/>
        <v>0</v>
      </c>
      <c r="AN1659" s="100">
        <f t="shared" si="802"/>
        <v>2380.9713269491826</v>
      </c>
      <c r="AO1659" s="20">
        <f t="shared" si="803"/>
        <v>0</v>
      </c>
      <c r="AQ1659" s="109">
        <f t="shared" si="804"/>
        <v>0</v>
      </c>
      <c r="AU1659" s="109">
        <f t="shared" si="789"/>
        <v>23.453705793413075</v>
      </c>
      <c r="AV1659" s="101">
        <f t="shared" si="805"/>
        <v>90024</v>
      </c>
      <c r="AW1659" s="99">
        <f t="shared" si="806"/>
        <v>0</v>
      </c>
      <c r="AX1659" s="1">
        <f t="shared" si="807"/>
        <v>0</v>
      </c>
      <c r="AY1659" s="29">
        <f t="shared" si="808"/>
        <v>0</v>
      </c>
      <c r="AZ1659" s="1">
        <f t="shared" si="790"/>
        <v>0</v>
      </c>
      <c r="CB1659" s="20">
        <f t="shared" si="799"/>
        <v>0</v>
      </c>
      <c r="CC1659" s="173">
        <f t="shared" si="791"/>
        <v>0</v>
      </c>
    </row>
    <row r="1660" spans="10:81" x14ac:dyDescent="0.25">
      <c r="J1660" s="9"/>
      <c r="K1660" s="10"/>
      <c r="L1660" s="17"/>
      <c r="M1660" s="23"/>
      <c r="N1660" s="23"/>
      <c r="O1660" s="23"/>
      <c r="P1660" s="23"/>
      <c r="Q1660" s="1">
        <f t="shared" si="792"/>
        <v>0.60744618579017706</v>
      </c>
      <c r="R1660" s="12">
        <f t="shared" ca="1" si="809"/>
        <v>48902</v>
      </c>
      <c r="S1660" s="88">
        <f t="shared" si="788"/>
        <v>0</v>
      </c>
      <c r="T1660" s="19">
        <f t="shared" si="810"/>
        <v>0</v>
      </c>
      <c r="U1660" s="19">
        <f t="shared" si="811"/>
        <v>0</v>
      </c>
      <c r="V1660" s="19">
        <f t="shared" si="797"/>
        <v>0</v>
      </c>
      <c r="W1660" s="20">
        <f t="shared" ca="1" si="812"/>
        <v>0</v>
      </c>
      <c r="X1660" s="19">
        <f t="shared" ca="1" si="813"/>
        <v>0</v>
      </c>
      <c r="Y1660" s="19">
        <f t="shared" ca="1" si="814"/>
        <v>0</v>
      </c>
      <c r="Z1660" s="20">
        <f t="shared" ca="1" si="815"/>
        <v>0</v>
      </c>
      <c r="AA1660" s="1">
        <f t="shared" si="793"/>
        <v>5432.58</v>
      </c>
      <c r="AB1660" s="93"/>
      <c r="AC1660" s="94"/>
      <c r="AD1660" s="101">
        <f t="shared" si="794"/>
        <v>90024</v>
      </c>
      <c r="AE1660" s="103">
        <f t="shared" si="795"/>
        <v>0</v>
      </c>
      <c r="AG1660" s="1">
        <f t="shared" si="816"/>
        <v>0</v>
      </c>
      <c r="AH1660" s="1">
        <f t="shared" si="817"/>
        <v>0</v>
      </c>
      <c r="AI1660" s="1">
        <f t="shared" si="796"/>
        <v>5432.58</v>
      </c>
      <c r="AJ1660" s="20">
        <f t="shared" si="798"/>
        <v>0</v>
      </c>
      <c r="AK1660" s="100">
        <f t="shared" si="800"/>
        <v>0</v>
      </c>
      <c r="AL1660" s="100">
        <f t="shared" si="801"/>
        <v>0</v>
      </c>
      <c r="AN1660" s="100">
        <f t="shared" si="802"/>
        <v>2379.7666767901105</v>
      </c>
      <c r="AO1660" s="20">
        <f t="shared" si="803"/>
        <v>0</v>
      </c>
      <c r="AQ1660" s="109">
        <f t="shared" si="804"/>
        <v>0</v>
      </c>
      <c r="AU1660" s="109">
        <f t="shared" si="789"/>
        <v>23.451647259931374</v>
      </c>
      <c r="AV1660" s="101">
        <f t="shared" si="805"/>
        <v>90054</v>
      </c>
      <c r="AW1660" s="99">
        <f t="shared" si="806"/>
        <v>0</v>
      </c>
      <c r="AX1660" s="1">
        <f t="shared" si="807"/>
        <v>0</v>
      </c>
      <c r="AY1660" s="29">
        <f t="shared" si="808"/>
        <v>0</v>
      </c>
      <c r="AZ1660" s="1">
        <f t="shared" si="790"/>
        <v>0</v>
      </c>
      <c r="CB1660" s="20">
        <f t="shared" si="799"/>
        <v>0</v>
      </c>
      <c r="CC1660" s="173">
        <f t="shared" si="791"/>
        <v>0</v>
      </c>
    </row>
    <row r="1661" spans="10:81" x14ac:dyDescent="0.25">
      <c r="J1661" s="7"/>
      <c r="K1661" s="8"/>
      <c r="L1661" s="16"/>
      <c r="M1661" s="22"/>
      <c r="N1661" s="22"/>
      <c r="O1661" s="22"/>
      <c r="P1661" s="22"/>
      <c r="Q1661" s="1">
        <f t="shared" si="792"/>
        <v>0.60744618579017706</v>
      </c>
      <c r="R1661" s="12">
        <f t="shared" ca="1" si="809"/>
        <v>48932</v>
      </c>
      <c r="S1661" s="88">
        <f t="shared" si="788"/>
        <v>0</v>
      </c>
      <c r="T1661" s="19">
        <f t="shared" si="810"/>
        <v>0</v>
      </c>
      <c r="U1661" s="19">
        <f t="shared" si="811"/>
        <v>0</v>
      </c>
      <c r="V1661" s="19">
        <f t="shared" si="797"/>
        <v>0</v>
      </c>
      <c r="W1661" s="20">
        <f t="shared" ca="1" si="812"/>
        <v>0</v>
      </c>
      <c r="X1661" s="19">
        <f t="shared" ca="1" si="813"/>
        <v>0</v>
      </c>
      <c r="Y1661" s="19">
        <f t="shared" ca="1" si="814"/>
        <v>0</v>
      </c>
      <c r="Z1661" s="20">
        <f t="shared" ca="1" si="815"/>
        <v>0</v>
      </c>
      <c r="AA1661" s="1">
        <f t="shared" si="793"/>
        <v>5432.58</v>
      </c>
      <c r="AB1661" s="91"/>
      <c r="AC1661" s="92"/>
      <c r="AD1661" s="101">
        <f t="shared" si="794"/>
        <v>90054</v>
      </c>
      <c r="AE1661" s="103">
        <f t="shared" si="795"/>
        <v>0</v>
      </c>
      <c r="AG1661" s="1">
        <f t="shared" si="816"/>
        <v>0</v>
      </c>
      <c r="AH1661" s="1">
        <f t="shared" si="817"/>
        <v>0</v>
      </c>
      <c r="AI1661" s="1">
        <f t="shared" si="796"/>
        <v>5432.58</v>
      </c>
      <c r="AJ1661" s="20">
        <f t="shared" si="798"/>
        <v>0</v>
      </c>
      <c r="AK1661" s="100">
        <f t="shared" si="800"/>
        <v>0</v>
      </c>
      <c r="AL1661" s="100">
        <f t="shared" si="801"/>
        <v>0</v>
      </c>
      <c r="AN1661" s="100">
        <f t="shared" si="802"/>
        <v>2378.5626361226305</v>
      </c>
      <c r="AO1661" s="20">
        <f t="shared" si="803"/>
        <v>0</v>
      </c>
      <c r="AQ1661" s="109">
        <f t="shared" si="804"/>
        <v>0</v>
      </c>
      <c r="AU1661" s="109">
        <f t="shared" si="789"/>
        <v>23.44958890712731</v>
      </c>
      <c r="AV1661" s="101">
        <f t="shared" si="805"/>
        <v>90084</v>
      </c>
      <c r="AW1661" s="99">
        <f t="shared" si="806"/>
        <v>0</v>
      </c>
      <c r="AX1661" s="1">
        <f t="shared" si="807"/>
        <v>0</v>
      </c>
      <c r="AY1661" s="29">
        <f t="shared" si="808"/>
        <v>0</v>
      </c>
      <c r="AZ1661" s="1">
        <f t="shared" si="790"/>
        <v>0</v>
      </c>
      <c r="CB1661" s="20">
        <f t="shared" si="799"/>
        <v>0</v>
      </c>
      <c r="CC1661" s="173">
        <f t="shared" si="791"/>
        <v>0</v>
      </c>
    </row>
    <row r="1662" spans="10:81" x14ac:dyDescent="0.25">
      <c r="J1662" s="9"/>
      <c r="K1662" s="10"/>
      <c r="L1662" s="17"/>
      <c r="M1662" s="23"/>
      <c r="N1662" s="23"/>
      <c r="O1662" s="23"/>
      <c r="P1662" s="23"/>
      <c r="Q1662" s="1">
        <f t="shared" si="792"/>
        <v>0.60744618579017706</v>
      </c>
      <c r="R1662" s="12">
        <f t="shared" ca="1" si="809"/>
        <v>48962</v>
      </c>
      <c r="S1662" s="88">
        <f t="shared" si="788"/>
        <v>0</v>
      </c>
      <c r="T1662" s="19">
        <f t="shared" si="810"/>
        <v>0</v>
      </c>
      <c r="U1662" s="19">
        <f t="shared" si="811"/>
        <v>0</v>
      </c>
      <c r="V1662" s="19">
        <f t="shared" si="797"/>
        <v>0</v>
      </c>
      <c r="W1662" s="20">
        <f t="shared" ca="1" si="812"/>
        <v>0</v>
      </c>
      <c r="X1662" s="19">
        <f t="shared" ca="1" si="813"/>
        <v>0</v>
      </c>
      <c r="Y1662" s="19">
        <f t="shared" ca="1" si="814"/>
        <v>0</v>
      </c>
      <c r="Z1662" s="20">
        <f t="shared" ca="1" si="815"/>
        <v>0</v>
      </c>
      <c r="AA1662" s="1">
        <f t="shared" si="793"/>
        <v>5432.58</v>
      </c>
      <c r="AB1662" s="93"/>
      <c r="AC1662" s="94"/>
      <c r="AD1662" s="101">
        <f t="shared" si="794"/>
        <v>90084</v>
      </c>
      <c r="AE1662" s="103">
        <f t="shared" si="795"/>
        <v>0</v>
      </c>
      <c r="AG1662" s="1">
        <f t="shared" si="816"/>
        <v>0</v>
      </c>
      <c r="AH1662" s="1">
        <f t="shared" si="817"/>
        <v>0</v>
      </c>
      <c r="AI1662" s="1">
        <f t="shared" si="796"/>
        <v>5432.58</v>
      </c>
      <c r="AJ1662" s="20">
        <f t="shared" si="798"/>
        <v>0</v>
      </c>
      <c r="AK1662" s="100">
        <f t="shared" si="800"/>
        <v>0</v>
      </c>
      <c r="AL1662" s="100">
        <f t="shared" si="801"/>
        <v>0</v>
      </c>
      <c r="AN1662" s="100">
        <f t="shared" si="802"/>
        <v>2377.3592046383719</v>
      </c>
      <c r="AO1662" s="20">
        <f t="shared" si="803"/>
        <v>0</v>
      </c>
      <c r="AQ1662" s="109">
        <f t="shared" si="804"/>
        <v>0</v>
      </c>
      <c r="AU1662" s="109">
        <f t="shared" si="789"/>
        <v>23.447530734985015</v>
      </c>
      <c r="AV1662" s="101">
        <f t="shared" si="805"/>
        <v>90114</v>
      </c>
      <c r="AW1662" s="99">
        <f t="shared" si="806"/>
        <v>0</v>
      </c>
      <c r="AX1662" s="1">
        <f t="shared" si="807"/>
        <v>0</v>
      </c>
      <c r="AY1662" s="29">
        <f t="shared" si="808"/>
        <v>0</v>
      </c>
      <c r="AZ1662" s="1">
        <f t="shared" si="790"/>
        <v>0</v>
      </c>
      <c r="CB1662" s="20">
        <f t="shared" si="799"/>
        <v>0</v>
      </c>
      <c r="CC1662" s="173">
        <f t="shared" si="791"/>
        <v>0</v>
      </c>
    </row>
    <row r="1663" spans="10:81" x14ac:dyDescent="0.25">
      <c r="J1663" s="7"/>
      <c r="K1663" s="8"/>
      <c r="L1663" s="16"/>
      <c r="M1663" s="22"/>
      <c r="N1663" s="22"/>
      <c r="O1663" s="22"/>
      <c r="P1663" s="22"/>
      <c r="Q1663" s="1">
        <f t="shared" si="792"/>
        <v>0.60744618579017706</v>
      </c>
      <c r="R1663" s="12">
        <f t="shared" ca="1" si="809"/>
        <v>48992</v>
      </c>
      <c r="S1663" s="88">
        <f t="shared" si="788"/>
        <v>0</v>
      </c>
      <c r="T1663" s="19">
        <f t="shared" si="810"/>
        <v>0</v>
      </c>
      <c r="U1663" s="19">
        <f t="shared" si="811"/>
        <v>0</v>
      </c>
      <c r="V1663" s="19">
        <f t="shared" si="797"/>
        <v>0</v>
      </c>
      <c r="W1663" s="20">
        <f t="shared" ca="1" si="812"/>
        <v>0</v>
      </c>
      <c r="X1663" s="19">
        <f t="shared" ca="1" si="813"/>
        <v>0</v>
      </c>
      <c r="Y1663" s="19">
        <f t="shared" ca="1" si="814"/>
        <v>0</v>
      </c>
      <c r="Z1663" s="20">
        <f t="shared" ca="1" si="815"/>
        <v>0</v>
      </c>
      <c r="AA1663" s="1">
        <f t="shared" si="793"/>
        <v>5432.58</v>
      </c>
      <c r="AB1663" s="91"/>
      <c r="AC1663" s="92"/>
      <c r="AD1663" s="101">
        <f t="shared" si="794"/>
        <v>90114</v>
      </c>
      <c r="AE1663" s="103">
        <f t="shared" si="795"/>
        <v>0</v>
      </c>
      <c r="AG1663" s="1">
        <f t="shared" si="816"/>
        <v>0</v>
      </c>
      <c r="AH1663" s="1">
        <f t="shared" si="817"/>
        <v>0</v>
      </c>
      <c r="AI1663" s="1">
        <f t="shared" si="796"/>
        <v>5432.58</v>
      </c>
      <c r="AJ1663" s="20">
        <f t="shared" si="798"/>
        <v>0</v>
      </c>
      <c r="AK1663" s="100">
        <f t="shared" si="800"/>
        <v>0</v>
      </c>
      <c r="AL1663" s="100">
        <f t="shared" si="801"/>
        <v>0</v>
      </c>
      <c r="AN1663" s="100">
        <f t="shared" si="802"/>
        <v>2376.1563820291176</v>
      </c>
      <c r="AO1663" s="20">
        <f t="shared" si="803"/>
        <v>0</v>
      </c>
      <c r="AQ1663" s="109">
        <f t="shared" si="804"/>
        <v>0</v>
      </c>
      <c r="AU1663" s="109">
        <f t="shared" si="789"/>
        <v>23.445472743488651</v>
      </c>
      <c r="AV1663" s="101">
        <f t="shared" si="805"/>
        <v>90144</v>
      </c>
      <c r="AW1663" s="99">
        <f t="shared" si="806"/>
        <v>0</v>
      </c>
      <c r="AX1663" s="1">
        <f t="shared" si="807"/>
        <v>0</v>
      </c>
      <c r="AY1663" s="29">
        <f t="shared" si="808"/>
        <v>0</v>
      </c>
      <c r="AZ1663" s="1">
        <f t="shared" si="790"/>
        <v>0</v>
      </c>
      <c r="CB1663" s="20">
        <f t="shared" si="799"/>
        <v>0</v>
      </c>
      <c r="CC1663" s="173">
        <f t="shared" si="791"/>
        <v>0</v>
      </c>
    </row>
    <row r="1664" spans="10:81" x14ac:dyDescent="0.25">
      <c r="J1664" s="9"/>
      <c r="K1664" s="10"/>
      <c r="L1664" s="17"/>
      <c r="M1664" s="23"/>
      <c r="N1664" s="23"/>
      <c r="O1664" s="23"/>
      <c r="P1664" s="23"/>
      <c r="Q1664" s="1">
        <f t="shared" si="792"/>
        <v>0.60744618579017706</v>
      </c>
      <c r="R1664" s="12">
        <f t="shared" ca="1" si="809"/>
        <v>49022</v>
      </c>
      <c r="S1664" s="88">
        <f t="shared" si="788"/>
        <v>0</v>
      </c>
      <c r="T1664" s="19">
        <f t="shared" si="810"/>
        <v>0</v>
      </c>
      <c r="U1664" s="19">
        <f t="shared" si="811"/>
        <v>0</v>
      </c>
      <c r="V1664" s="19">
        <f t="shared" si="797"/>
        <v>0</v>
      </c>
      <c r="W1664" s="20">
        <f t="shared" ca="1" si="812"/>
        <v>0</v>
      </c>
      <c r="X1664" s="19">
        <f t="shared" ca="1" si="813"/>
        <v>0</v>
      </c>
      <c r="Y1664" s="19">
        <f t="shared" ca="1" si="814"/>
        <v>0</v>
      </c>
      <c r="Z1664" s="20">
        <f t="shared" ca="1" si="815"/>
        <v>0</v>
      </c>
      <c r="AA1664" s="1">
        <f t="shared" si="793"/>
        <v>5432.58</v>
      </c>
      <c r="AB1664" s="93"/>
      <c r="AC1664" s="94"/>
      <c r="AD1664" s="101">
        <f t="shared" si="794"/>
        <v>90144</v>
      </c>
      <c r="AE1664" s="103">
        <f t="shared" si="795"/>
        <v>0</v>
      </c>
      <c r="AG1664" s="1">
        <f t="shared" si="816"/>
        <v>0</v>
      </c>
      <c r="AH1664" s="1">
        <f t="shared" si="817"/>
        <v>0</v>
      </c>
      <c r="AI1664" s="1">
        <f t="shared" si="796"/>
        <v>5432.58</v>
      </c>
      <c r="AJ1664" s="20">
        <f t="shared" si="798"/>
        <v>0</v>
      </c>
      <c r="AK1664" s="100">
        <f t="shared" si="800"/>
        <v>0</v>
      </c>
      <c r="AL1664" s="100">
        <f t="shared" si="801"/>
        <v>0</v>
      </c>
      <c r="AN1664" s="100">
        <f t="shared" si="802"/>
        <v>2374.9541679868094</v>
      </c>
      <c r="AO1664" s="20">
        <f t="shared" si="803"/>
        <v>0</v>
      </c>
      <c r="AQ1664" s="109">
        <f t="shared" si="804"/>
        <v>0</v>
      </c>
      <c r="AU1664" s="109">
        <f t="shared" si="789"/>
        <v>23.443414932622343</v>
      </c>
      <c r="AV1664" s="101">
        <f t="shared" si="805"/>
        <v>90174</v>
      </c>
      <c r="AW1664" s="99">
        <f t="shared" si="806"/>
        <v>0</v>
      </c>
      <c r="AX1664" s="1">
        <f t="shared" si="807"/>
        <v>0</v>
      </c>
      <c r="AY1664" s="29">
        <f t="shared" si="808"/>
        <v>0</v>
      </c>
      <c r="AZ1664" s="1">
        <f t="shared" si="790"/>
        <v>0</v>
      </c>
      <c r="CB1664" s="20">
        <f t="shared" si="799"/>
        <v>0</v>
      </c>
      <c r="CC1664" s="173">
        <f t="shared" si="791"/>
        <v>0</v>
      </c>
    </row>
    <row r="1665" spans="10:81" x14ac:dyDescent="0.25">
      <c r="J1665" s="7"/>
      <c r="K1665" s="8"/>
      <c r="L1665" s="16"/>
      <c r="M1665" s="22"/>
      <c r="N1665" s="22"/>
      <c r="O1665" s="22"/>
      <c r="P1665" s="22"/>
      <c r="Q1665" s="1">
        <f t="shared" si="792"/>
        <v>0.60744618579017706</v>
      </c>
      <c r="R1665" s="12">
        <f t="shared" ca="1" si="809"/>
        <v>49052</v>
      </c>
      <c r="S1665" s="88">
        <f t="shared" si="788"/>
        <v>0</v>
      </c>
      <c r="T1665" s="19">
        <f t="shared" si="810"/>
        <v>0</v>
      </c>
      <c r="U1665" s="19">
        <f t="shared" si="811"/>
        <v>0</v>
      </c>
      <c r="V1665" s="19">
        <f t="shared" si="797"/>
        <v>0</v>
      </c>
      <c r="W1665" s="20">
        <f t="shared" ca="1" si="812"/>
        <v>0</v>
      </c>
      <c r="X1665" s="19">
        <f t="shared" ca="1" si="813"/>
        <v>0</v>
      </c>
      <c r="Y1665" s="19">
        <f t="shared" ca="1" si="814"/>
        <v>0</v>
      </c>
      <c r="Z1665" s="20">
        <f t="shared" ca="1" si="815"/>
        <v>0</v>
      </c>
      <c r="AA1665" s="1">
        <f t="shared" si="793"/>
        <v>5432.58</v>
      </c>
      <c r="AB1665" s="91"/>
      <c r="AC1665" s="92"/>
      <c r="AD1665" s="101">
        <f t="shared" si="794"/>
        <v>90174</v>
      </c>
      <c r="AE1665" s="103">
        <f t="shared" si="795"/>
        <v>0</v>
      </c>
      <c r="AG1665" s="1">
        <f t="shared" si="816"/>
        <v>0</v>
      </c>
      <c r="AH1665" s="1">
        <f t="shared" si="817"/>
        <v>0</v>
      </c>
      <c r="AI1665" s="1">
        <f t="shared" si="796"/>
        <v>5432.58</v>
      </c>
      <c r="AJ1665" s="20">
        <f t="shared" si="798"/>
        <v>0</v>
      </c>
      <c r="AK1665" s="100">
        <f t="shared" si="800"/>
        <v>0</v>
      </c>
      <c r="AL1665" s="100">
        <f t="shared" si="801"/>
        <v>0</v>
      </c>
      <c r="AN1665" s="100">
        <f t="shared" si="802"/>
        <v>2373.7525622035419</v>
      </c>
      <c r="AO1665" s="20">
        <f t="shared" si="803"/>
        <v>0</v>
      </c>
      <c r="AQ1665" s="109">
        <f t="shared" si="804"/>
        <v>0</v>
      </c>
      <c r="AU1665" s="109">
        <f t="shared" si="789"/>
        <v>23.441357302370253</v>
      </c>
      <c r="AV1665" s="101">
        <f t="shared" si="805"/>
        <v>90204</v>
      </c>
      <c r="AW1665" s="99">
        <f t="shared" si="806"/>
        <v>0</v>
      </c>
      <c r="AX1665" s="1">
        <f t="shared" si="807"/>
        <v>0</v>
      </c>
      <c r="AY1665" s="29">
        <f t="shared" si="808"/>
        <v>0</v>
      </c>
      <c r="AZ1665" s="1">
        <f t="shared" si="790"/>
        <v>0</v>
      </c>
      <c r="CB1665" s="20">
        <f t="shared" si="799"/>
        <v>0</v>
      </c>
      <c r="CC1665" s="173">
        <f t="shared" si="791"/>
        <v>0</v>
      </c>
    </row>
    <row r="1666" spans="10:81" x14ac:dyDescent="0.25">
      <c r="J1666" s="9"/>
      <c r="K1666" s="10"/>
      <c r="L1666" s="17"/>
      <c r="M1666" s="23"/>
      <c r="N1666" s="23"/>
      <c r="O1666" s="23"/>
      <c r="P1666" s="23"/>
      <c r="Q1666" s="1">
        <f t="shared" si="792"/>
        <v>0.60744618579017706</v>
      </c>
      <c r="R1666" s="12">
        <f t="shared" ca="1" si="809"/>
        <v>49082</v>
      </c>
      <c r="S1666" s="88">
        <f t="shared" si="788"/>
        <v>0</v>
      </c>
      <c r="T1666" s="19">
        <f t="shared" si="810"/>
        <v>0</v>
      </c>
      <c r="U1666" s="19">
        <f t="shared" si="811"/>
        <v>0</v>
      </c>
      <c r="V1666" s="19">
        <f t="shared" si="797"/>
        <v>0</v>
      </c>
      <c r="W1666" s="20">
        <f t="shared" ca="1" si="812"/>
        <v>0</v>
      </c>
      <c r="X1666" s="19">
        <f t="shared" ca="1" si="813"/>
        <v>0</v>
      </c>
      <c r="Y1666" s="19">
        <f t="shared" ca="1" si="814"/>
        <v>0</v>
      </c>
      <c r="Z1666" s="20">
        <f t="shared" ca="1" si="815"/>
        <v>0</v>
      </c>
      <c r="AA1666" s="1">
        <f t="shared" si="793"/>
        <v>5432.58</v>
      </c>
      <c r="AB1666" s="93"/>
      <c r="AC1666" s="94"/>
      <c r="AD1666" s="101">
        <f t="shared" si="794"/>
        <v>90204</v>
      </c>
      <c r="AE1666" s="103">
        <f t="shared" si="795"/>
        <v>0</v>
      </c>
      <c r="AG1666" s="1">
        <f t="shared" si="816"/>
        <v>0</v>
      </c>
      <c r="AH1666" s="1">
        <f t="shared" si="817"/>
        <v>0</v>
      </c>
      <c r="AI1666" s="1">
        <f t="shared" si="796"/>
        <v>5432.58</v>
      </c>
      <c r="AJ1666" s="20">
        <f t="shared" si="798"/>
        <v>0</v>
      </c>
      <c r="AK1666" s="100">
        <f t="shared" si="800"/>
        <v>0</v>
      </c>
      <c r="AL1666" s="100">
        <f t="shared" si="801"/>
        <v>0</v>
      </c>
      <c r="AN1666" s="100">
        <f t="shared" si="802"/>
        <v>2372.551564371568</v>
      </c>
      <c r="AO1666" s="20">
        <f t="shared" si="803"/>
        <v>0</v>
      </c>
      <c r="AQ1666" s="109">
        <f t="shared" si="804"/>
        <v>0</v>
      </c>
      <c r="AU1666" s="109">
        <f t="shared" si="789"/>
        <v>23.439299852716513</v>
      </c>
      <c r="AV1666" s="101">
        <f t="shared" si="805"/>
        <v>90234</v>
      </c>
      <c r="AW1666" s="99">
        <f t="shared" si="806"/>
        <v>0</v>
      </c>
      <c r="AX1666" s="1">
        <f t="shared" si="807"/>
        <v>0</v>
      </c>
      <c r="AY1666" s="29">
        <f t="shared" si="808"/>
        <v>0</v>
      </c>
      <c r="AZ1666" s="1">
        <f t="shared" si="790"/>
        <v>0</v>
      </c>
      <c r="CB1666" s="20">
        <f t="shared" si="799"/>
        <v>0</v>
      </c>
      <c r="CC1666" s="173">
        <f t="shared" si="791"/>
        <v>0</v>
      </c>
    </row>
    <row r="1667" spans="10:81" x14ac:dyDescent="0.25">
      <c r="J1667" s="7"/>
      <c r="K1667" s="8"/>
      <c r="L1667" s="16"/>
      <c r="M1667" s="22"/>
      <c r="N1667" s="22"/>
      <c r="O1667" s="22"/>
      <c r="P1667" s="22"/>
      <c r="Q1667" s="1">
        <f t="shared" si="792"/>
        <v>0.60744618579017706</v>
      </c>
      <c r="R1667" s="12">
        <f t="shared" ca="1" si="809"/>
        <v>49112</v>
      </c>
      <c r="S1667" s="88">
        <f t="shared" ref="S1667:S1730" si="818">N1667+M1667</f>
        <v>0</v>
      </c>
      <c r="T1667" s="19">
        <f t="shared" si="810"/>
        <v>0</v>
      </c>
      <c r="U1667" s="19">
        <f t="shared" si="811"/>
        <v>0</v>
      </c>
      <c r="V1667" s="19">
        <f t="shared" si="797"/>
        <v>0</v>
      </c>
      <c r="W1667" s="20">
        <f t="shared" ca="1" si="812"/>
        <v>0</v>
      </c>
      <c r="X1667" s="19">
        <f t="shared" ca="1" si="813"/>
        <v>0</v>
      </c>
      <c r="Y1667" s="19">
        <f t="shared" ca="1" si="814"/>
        <v>0</v>
      </c>
      <c r="Z1667" s="20">
        <f t="shared" ca="1" si="815"/>
        <v>0</v>
      </c>
      <c r="AA1667" s="1">
        <f t="shared" si="793"/>
        <v>5432.58</v>
      </c>
      <c r="AB1667" s="91"/>
      <c r="AC1667" s="92"/>
      <c r="AD1667" s="101">
        <f t="shared" si="794"/>
        <v>90234</v>
      </c>
      <c r="AE1667" s="103">
        <f t="shared" si="795"/>
        <v>0</v>
      </c>
      <c r="AG1667" s="1">
        <f t="shared" si="816"/>
        <v>0</v>
      </c>
      <c r="AH1667" s="1">
        <f t="shared" si="817"/>
        <v>0</v>
      </c>
      <c r="AI1667" s="1">
        <f t="shared" si="796"/>
        <v>5432.58</v>
      </c>
      <c r="AJ1667" s="20">
        <f t="shared" si="798"/>
        <v>0</v>
      </c>
      <c r="AK1667" s="100">
        <f t="shared" si="800"/>
        <v>0</v>
      </c>
      <c r="AL1667" s="100">
        <f t="shared" si="801"/>
        <v>0</v>
      </c>
      <c r="AN1667" s="100">
        <f t="shared" si="802"/>
        <v>2371.3511741832949</v>
      </c>
      <c r="AO1667" s="20">
        <f t="shared" si="803"/>
        <v>0</v>
      </c>
      <c r="AQ1667" s="109">
        <f t="shared" si="804"/>
        <v>0</v>
      </c>
      <c r="AU1667" s="109">
        <f t="shared" si="789"/>
        <v>23.437242583645283</v>
      </c>
      <c r="AV1667" s="101">
        <f t="shared" si="805"/>
        <v>90264</v>
      </c>
      <c r="AW1667" s="99">
        <f t="shared" si="806"/>
        <v>0</v>
      </c>
      <c r="AX1667" s="1">
        <f t="shared" si="807"/>
        <v>0</v>
      </c>
      <c r="AY1667" s="29">
        <f t="shared" si="808"/>
        <v>0</v>
      </c>
      <c r="AZ1667" s="1">
        <f t="shared" si="790"/>
        <v>0</v>
      </c>
      <c r="CB1667" s="20">
        <f t="shared" si="799"/>
        <v>0</v>
      </c>
      <c r="CC1667" s="173">
        <f t="shared" si="791"/>
        <v>0</v>
      </c>
    </row>
    <row r="1668" spans="10:81" x14ac:dyDescent="0.25">
      <c r="J1668" s="9"/>
      <c r="K1668" s="10"/>
      <c r="L1668" s="17"/>
      <c r="M1668" s="23"/>
      <c r="N1668" s="23"/>
      <c r="O1668" s="23"/>
      <c r="P1668" s="23"/>
      <c r="Q1668" s="1">
        <f t="shared" si="792"/>
        <v>0.60744618579017706</v>
      </c>
      <c r="R1668" s="12">
        <f t="shared" ca="1" si="809"/>
        <v>49142</v>
      </c>
      <c r="S1668" s="88">
        <f t="shared" si="818"/>
        <v>0</v>
      </c>
      <c r="T1668" s="19">
        <f t="shared" si="810"/>
        <v>0</v>
      </c>
      <c r="U1668" s="19">
        <f t="shared" si="811"/>
        <v>0</v>
      </c>
      <c r="V1668" s="19">
        <f t="shared" si="797"/>
        <v>0</v>
      </c>
      <c r="W1668" s="20">
        <f t="shared" ca="1" si="812"/>
        <v>0</v>
      </c>
      <c r="X1668" s="19">
        <f t="shared" ca="1" si="813"/>
        <v>0</v>
      </c>
      <c r="Y1668" s="19">
        <f t="shared" ca="1" si="814"/>
        <v>0</v>
      </c>
      <c r="Z1668" s="20">
        <f t="shared" ca="1" si="815"/>
        <v>0</v>
      </c>
      <c r="AA1668" s="1">
        <f t="shared" si="793"/>
        <v>5432.58</v>
      </c>
      <c r="AB1668" s="93"/>
      <c r="AC1668" s="94"/>
      <c r="AD1668" s="101">
        <f t="shared" si="794"/>
        <v>90264</v>
      </c>
      <c r="AE1668" s="103">
        <f t="shared" si="795"/>
        <v>0</v>
      </c>
      <c r="AG1668" s="1">
        <f t="shared" si="816"/>
        <v>0</v>
      </c>
      <c r="AH1668" s="1">
        <f t="shared" si="817"/>
        <v>0</v>
      </c>
      <c r="AI1668" s="1">
        <f t="shared" si="796"/>
        <v>5432.58</v>
      </c>
      <c r="AJ1668" s="20">
        <f t="shared" si="798"/>
        <v>0</v>
      </c>
      <c r="AK1668" s="100">
        <f t="shared" si="800"/>
        <v>0</v>
      </c>
      <c r="AL1668" s="100">
        <f t="shared" si="801"/>
        <v>0</v>
      </c>
      <c r="AN1668" s="100">
        <f t="shared" si="802"/>
        <v>2370.1513913312874</v>
      </c>
      <c r="AO1668" s="20">
        <f t="shared" si="803"/>
        <v>0</v>
      </c>
      <c r="AQ1668" s="109">
        <f t="shared" si="804"/>
        <v>0</v>
      </c>
      <c r="AU1668" s="109">
        <f t="shared" si="789"/>
        <v>23.435185495140715</v>
      </c>
      <c r="AV1668" s="101">
        <f t="shared" si="805"/>
        <v>90294</v>
      </c>
      <c r="AW1668" s="99">
        <f t="shared" si="806"/>
        <v>0</v>
      </c>
      <c r="AX1668" s="1">
        <f t="shared" si="807"/>
        <v>0</v>
      </c>
      <c r="AY1668" s="29">
        <f t="shared" si="808"/>
        <v>0</v>
      </c>
      <c r="AZ1668" s="1">
        <f t="shared" si="790"/>
        <v>0</v>
      </c>
      <c r="CB1668" s="20">
        <f t="shared" si="799"/>
        <v>0</v>
      </c>
      <c r="CC1668" s="173">
        <f t="shared" si="791"/>
        <v>0</v>
      </c>
    </row>
    <row r="1669" spans="10:81" x14ac:dyDescent="0.25">
      <c r="J1669" s="7"/>
      <c r="K1669" s="8"/>
      <c r="L1669" s="16"/>
      <c r="M1669" s="22"/>
      <c r="N1669" s="22"/>
      <c r="O1669" s="22"/>
      <c r="P1669" s="22"/>
      <c r="Q1669" s="1">
        <f t="shared" si="792"/>
        <v>0.60744618579017706</v>
      </c>
      <c r="R1669" s="12">
        <f t="shared" ca="1" si="809"/>
        <v>49172</v>
      </c>
      <c r="S1669" s="88">
        <f t="shared" si="818"/>
        <v>0</v>
      </c>
      <c r="T1669" s="19">
        <f t="shared" si="810"/>
        <v>0</v>
      </c>
      <c r="U1669" s="19">
        <f t="shared" si="811"/>
        <v>0</v>
      </c>
      <c r="V1669" s="19">
        <f t="shared" si="797"/>
        <v>0</v>
      </c>
      <c r="W1669" s="20">
        <f t="shared" ca="1" si="812"/>
        <v>0</v>
      </c>
      <c r="X1669" s="19">
        <f t="shared" ca="1" si="813"/>
        <v>0</v>
      </c>
      <c r="Y1669" s="19">
        <f t="shared" ca="1" si="814"/>
        <v>0</v>
      </c>
      <c r="Z1669" s="20">
        <f t="shared" ca="1" si="815"/>
        <v>0</v>
      </c>
      <c r="AA1669" s="1">
        <f t="shared" si="793"/>
        <v>5432.58</v>
      </c>
      <c r="AB1669" s="91"/>
      <c r="AC1669" s="92"/>
      <c r="AD1669" s="101">
        <f t="shared" si="794"/>
        <v>90294</v>
      </c>
      <c r="AE1669" s="103">
        <f t="shared" si="795"/>
        <v>0</v>
      </c>
      <c r="AG1669" s="1">
        <f t="shared" si="816"/>
        <v>0</v>
      </c>
      <c r="AH1669" s="1">
        <f t="shared" si="817"/>
        <v>0</v>
      </c>
      <c r="AI1669" s="1">
        <f t="shared" si="796"/>
        <v>5432.58</v>
      </c>
      <c r="AJ1669" s="20">
        <f t="shared" si="798"/>
        <v>0</v>
      </c>
      <c r="AK1669" s="100">
        <f t="shared" si="800"/>
        <v>0</v>
      </c>
      <c r="AL1669" s="100">
        <f t="shared" si="801"/>
        <v>0</v>
      </c>
      <c r="AN1669" s="100">
        <f t="shared" si="802"/>
        <v>2368.9522155082627</v>
      </c>
      <c r="AO1669" s="20">
        <f t="shared" si="803"/>
        <v>0</v>
      </c>
      <c r="AQ1669" s="109">
        <f t="shared" si="804"/>
        <v>0</v>
      </c>
      <c r="AU1669" s="109">
        <f t="shared" si="789"/>
        <v>23.433128587186953</v>
      </c>
      <c r="AV1669" s="101">
        <f t="shared" si="805"/>
        <v>90324</v>
      </c>
      <c r="AW1669" s="99">
        <f t="shared" si="806"/>
        <v>0</v>
      </c>
      <c r="AX1669" s="1">
        <f t="shared" si="807"/>
        <v>0</v>
      </c>
      <c r="AY1669" s="29">
        <f t="shared" si="808"/>
        <v>0</v>
      </c>
      <c r="AZ1669" s="1">
        <f t="shared" si="790"/>
        <v>0</v>
      </c>
      <c r="CB1669" s="20">
        <f t="shared" si="799"/>
        <v>0</v>
      </c>
      <c r="CC1669" s="173">
        <f t="shared" si="791"/>
        <v>0</v>
      </c>
    </row>
    <row r="1670" spans="10:81" x14ac:dyDescent="0.25">
      <c r="J1670" s="9"/>
      <c r="K1670" s="10"/>
      <c r="L1670" s="17"/>
      <c r="M1670" s="23"/>
      <c r="N1670" s="23"/>
      <c r="O1670" s="23"/>
      <c r="P1670" s="23"/>
      <c r="Q1670" s="1">
        <f t="shared" si="792"/>
        <v>0.60744618579017706</v>
      </c>
      <c r="R1670" s="12">
        <f t="shared" ca="1" si="809"/>
        <v>49202</v>
      </c>
      <c r="S1670" s="88">
        <f t="shared" si="818"/>
        <v>0</v>
      </c>
      <c r="T1670" s="19">
        <f t="shared" si="810"/>
        <v>0</v>
      </c>
      <c r="U1670" s="19">
        <f t="shared" si="811"/>
        <v>0</v>
      </c>
      <c r="V1670" s="19">
        <f t="shared" si="797"/>
        <v>0</v>
      </c>
      <c r="W1670" s="20">
        <f t="shared" ca="1" si="812"/>
        <v>0</v>
      </c>
      <c r="X1670" s="19">
        <f t="shared" ca="1" si="813"/>
        <v>0</v>
      </c>
      <c r="Y1670" s="19">
        <f t="shared" ca="1" si="814"/>
        <v>0</v>
      </c>
      <c r="Z1670" s="20">
        <f t="shared" ca="1" si="815"/>
        <v>0</v>
      </c>
      <c r="AA1670" s="1">
        <f t="shared" si="793"/>
        <v>5432.58</v>
      </c>
      <c r="AB1670" s="93"/>
      <c r="AC1670" s="94"/>
      <c r="AD1670" s="101">
        <f t="shared" si="794"/>
        <v>90324</v>
      </c>
      <c r="AE1670" s="103">
        <f t="shared" si="795"/>
        <v>0</v>
      </c>
      <c r="AG1670" s="1">
        <f t="shared" si="816"/>
        <v>0</v>
      </c>
      <c r="AH1670" s="1">
        <f t="shared" si="817"/>
        <v>0</v>
      </c>
      <c r="AI1670" s="1">
        <f t="shared" si="796"/>
        <v>5432.58</v>
      </c>
      <c r="AJ1670" s="20">
        <f t="shared" si="798"/>
        <v>0</v>
      </c>
      <c r="AK1670" s="100">
        <f t="shared" si="800"/>
        <v>0</v>
      </c>
      <c r="AL1670" s="100">
        <f t="shared" si="801"/>
        <v>0</v>
      </c>
      <c r="AN1670" s="100">
        <f t="shared" si="802"/>
        <v>2367.7536464070949</v>
      </c>
      <c r="AO1670" s="20">
        <f t="shared" si="803"/>
        <v>0</v>
      </c>
      <c r="AQ1670" s="109">
        <f t="shared" si="804"/>
        <v>0</v>
      </c>
      <c r="AU1670" s="109">
        <f t="shared" si="789"/>
        <v>23.431071859768149</v>
      </c>
      <c r="AV1670" s="101">
        <f t="shared" si="805"/>
        <v>90354</v>
      </c>
      <c r="AW1670" s="99">
        <f t="shared" si="806"/>
        <v>0</v>
      </c>
      <c r="AX1670" s="1">
        <f t="shared" si="807"/>
        <v>0</v>
      </c>
      <c r="AY1670" s="29">
        <f t="shared" si="808"/>
        <v>0</v>
      </c>
      <c r="AZ1670" s="1">
        <f t="shared" si="790"/>
        <v>0</v>
      </c>
      <c r="CB1670" s="20">
        <f t="shared" si="799"/>
        <v>0</v>
      </c>
      <c r="CC1670" s="173">
        <f t="shared" si="791"/>
        <v>0</v>
      </c>
    </row>
    <row r="1671" spans="10:81" x14ac:dyDescent="0.25">
      <c r="J1671" s="7"/>
      <c r="K1671" s="8"/>
      <c r="L1671" s="16"/>
      <c r="M1671" s="22"/>
      <c r="N1671" s="22"/>
      <c r="O1671" s="22"/>
      <c r="P1671" s="22"/>
      <c r="Q1671" s="1">
        <f t="shared" si="792"/>
        <v>0.60744618579017706</v>
      </c>
      <c r="R1671" s="12">
        <f t="shared" ca="1" si="809"/>
        <v>49232</v>
      </c>
      <c r="S1671" s="88">
        <f t="shared" si="818"/>
        <v>0</v>
      </c>
      <c r="T1671" s="19">
        <f t="shared" si="810"/>
        <v>0</v>
      </c>
      <c r="U1671" s="19">
        <f t="shared" si="811"/>
        <v>0</v>
      </c>
      <c r="V1671" s="19">
        <f t="shared" si="797"/>
        <v>0</v>
      </c>
      <c r="W1671" s="20">
        <f t="shared" ca="1" si="812"/>
        <v>0</v>
      </c>
      <c r="X1671" s="19">
        <f t="shared" ca="1" si="813"/>
        <v>0</v>
      </c>
      <c r="Y1671" s="19">
        <f t="shared" ca="1" si="814"/>
        <v>0</v>
      </c>
      <c r="Z1671" s="20">
        <f t="shared" ca="1" si="815"/>
        <v>0</v>
      </c>
      <c r="AA1671" s="1">
        <f t="shared" si="793"/>
        <v>5432.58</v>
      </c>
      <c r="AB1671" s="91"/>
      <c r="AC1671" s="92"/>
      <c r="AD1671" s="101">
        <f t="shared" si="794"/>
        <v>90354</v>
      </c>
      <c r="AE1671" s="103">
        <f t="shared" si="795"/>
        <v>0</v>
      </c>
      <c r="AG1671" s="1">
        <f t="shared" si="816"/>
        <v>0</v>
      </c>
      <c r="AH1671" s="1">
        <f t="shared" si="817"/>
        <v>0</v>
      </c>
      <c r="AI1671" s="1">
        <f t="shared" si="796"/>
        <v>5432.58</v>
      </c>
      <c r="AJ1671" s="20">
        <f t="shared" si="798"/>
        <v>0</v>
      </c>
      <c r="AK1671" s="100">
        <f t="shared" si="800"/>
        <v>0</v>
      </c>
      <c r="AL1671" s="100">
        <f t="shared" si="801"/>
        <v>0</v>
      </c>
      <c r="AN1671" s="100">
        <f t="shared" si="802"/>
        <v>2366.5556837208142</v>
      </c>
      <c r="AO1671" s="20">
        <f t="shared" si="803"/>
        <v>0</v>
      </c>
      <c r="AQ1671" s="109">
        <f t="shared" si="804"/>
        <v>0</v>
      </c>
      <c r="AU1671" s="109">
        <f t="shared" si="789"/>
        <v>23.429015312868465</v>
      </c>
      <c r="AV1671" s="101">
        <f t="shared" si="805"/>
        <v>90384</v>
      </c>
      <c r="AW1671" s="99">
        <f t="shared" si="806"/>
        <v>0</v>
      </c>
      <c r="AX1671" s="1">
        <f t="shared" si="807"/>
        <v>0</v>
      </c>
      <c r="AY1671" s="29">
        <f t="shared" si="808"/>
        <v>0</v>
      </c>
      <c r="AZ1671" s="1">
        <f t="shared" si="790"/>
        <v>0</v>
      </c>
      <c r="CB1671" s="20">
        <f t="shared" si="799"/>
        <v>0</v>
      </c>
      <c r="CC1671" s="173">
        <f t="shared" si="791"/>
        <v>0</v>
      </c>
    </row>
    <row r="1672" spans="10:81" x14ac:dyDescent="0.25">
      <c r="J1672" s="9"/>
      <c r="K1672" s="10"/>
      <c r="L1672" s="17"/>
      <c r="M1672" s="23"/>
      <c r="N1672" s="23"/>
      <c r="O1672" s="23"/>
      <c r="P1672" s="23"/>
      <c r="Q1672" s="1">
        <f t="shared" si="792"/>
        <v>0.60744618579017706</v>
      </c>
      <c r="R1672" s="12">
        <f t="shared" ca="1" si="809"/>
        <v>49262</v>
      </c>
      <c r="S1672" s="88">
        <f t="shared" si="818"/>
        <v>0</v>
      </c>
      <c r="T1672" s="19">
        <f t="shared" si="810"/>
        <v>0</v>
      </c>
      <c r="U1672" s="19">
        <f t="shared" si="811"/>
        <v>0</v>
      </c>
      <c r="V1672" s="19">
        <f t="shared" si="797"/>
        <v>0</v>
      </c>
      <c r="W1672" s="20">
        <f t="shared" ca="1" si="812"/>
        <v>0</v>
      </c>
      <c r="X1672" s="19">
        <f t="shared" ca="1" si="813"/>
        <v>0</v>
      </c>
      <c r="Y1672" s="19">
        <f t="shared" ca="1" si="814"/>
        <v>0</v>
      </c>
      <c r="Z1672" s="20">
        <f t="shared" ca="1" si="815"/>
        <v>0</v>
      </c>
      <c r="AA1672" s="1">
        <f t="shared" si="793"/>
        <v>5432.58</v>
      </c>
      <c r="AB1672" s="93"/>
      <c r="AC1672" s="94"/>
      <c r="AD1672" s="101">
        <f t="shared" si="794"/>
        <v>90384</v>
      </c>
      <c r="AE1672" s="103">
        <f t="shared" si="795"/>
        <v>0</v>
      </c>
      <c r="AG1672" s="1">
        <f t="shared" si="816"/>
        <v>0</v>
      </c>
      <c r="AH1672" s="1">
        <f t="shared" si="817"/>
        <v>0</v>
      </c>
      <c r="AI1672" s="1">
        <f t="shared" si="796"/>
        <v>5432.58</v>
      </c>
      <c r="AJ1672" s="20">
        <f t="shared" si="798"/>
        <v>0</v>
      </c>
      <c r="AK1672" s="100">
        <f t="shared" si="800"/>
        <v>0</v>
      </c>
      <c r="AL1672" s="100">
        <f t="shared" si="801"/>
        <v>0</v>
      </c>
      <c r="AN1672" s="100">
        <f t="shared" si="802"/>
        <v>2365.3583271426069</v>
      </c>
      <c r="AO1672" s="20">
        <f t="shared" si="803"/>
        <v>0</v>
      </c>
      <c r="AQ1672" s="109">
        <f t="shared" si="804"/>
        <v>0</v>
      </c>
      <c r="AU1672" s="109">
        <f t="shared" si="789"/>
        <v>23.426958946472055</v>
      </c>
      <c r="AV1672" s="101">
        <f t="shared" si="805"/>
        <v>90414</v>
      </c>
      <c r="AW1672" s="99">
        <f t="shared" si="806"/>
        <v>0</v>
      </c>
      <c r="AX1672" s="1">
        <f t="shared" si="807"/>
        <v>0</v>
      </c>
      <c r="AY1672" s="29">
        <f t="shared" si="808"/>
        <v>0</v>
      </c>
      <c r="AZ1672" s="1">
        <f t="shared" si="790"/>
        <v>0</v>
      </c>
      <c r="CB1672" s="20">
        <f t="shared" si="799"/>
        <v>0</v>
      </c>
      <c r="CC1672" s="173">
        <f t="shared" si="791"/>
        <v>0</v>
      </c>
    </row>
    <row r="1673" spans="10:81" x14ac:dyDescent="0.25">
      <c r="J1673" s="7"/>
      <c r="K1673" s="8"/>
      <c r="L1673" s="16"/>
      <c r="M1673" s="22"/>
      <c r="N1673" s="22"/>
      <c r="O1673" s="22"/>
      <c r="P1673" s="22"/>
      <c r="Q1673" s="1">
        <f t="shared" si="792"/>
        <v>0.60744618579017706</v>
      </c>
      <c r="R1673" s="12">
        <f t="shared" ca="1" si="809"/>
        <v>49292</v>
      </c>
      <c r="S1673" s="88">
        <f t="shared" si="818"/>
        <v>0</v>
      </c>
      <c r="T1673" s="19">
        <f t="shared" si="810"/>
        <v>0</v>
      </c>
      <c r="U1673" s="19">
        <f t="shared" si="811"/>
        <v>0</v>
      </c>
      <c r="V1673" s="19">
        <f t="shared" si="797"/>
        <v>0</v>
      </c>
      <c r="W1673" s="20">
        <f t="shared" ca="1" si="812"/>
        <v>0</v>
      </c>
      <c r="X1673" s="19">
        <f t="shared" ca="1" si="813"/>
        <v>0</v>
      </c>
      <c r="Y1673" s="19">
        <f t="shared" ca="1" si="814"/>
        <v>0</v>
      </c>
      <c r="Z1673" s="20">
        <f t="shared" ca="1" si="815"/>
        <v>0</v>
      </c>
      <c r="AA1673" s="1">
        <f t="shared" si="793"/>
        <v>5432.58</v>
      </c>
      <c r="AB1673" s="91"/>
      <c r="AC1673" s="92"/>
      <c r="AD1673" s="101">
        <f t="shared" si="794"/>
        <v>90414</v>
      </c>
      <c r="AE1673" s="103">
        <f t="shared" si="795"/>
        <v>0</v>
      </c>
      <c r="AG1673" s="1">
        <f t="shared" si="816"/>
        <v>0</v>
      </c>
      <c r="AH1673" s="1">
        <f t="shared" si="817"/>
        <v>0</v>
      </c>
      <c r="AI1673" s="1">
        <f t="shared" si="796"/>
        <v>5432.58</v>
      </c>
      <c r="AJ1673" s="20">
        <f t="shared" si="798"/>
        <v>0</v>
      </c>
      <c r="AK1673" s="100">
        <f t="shared" si="800"/>
        <v>0</v>
      </c>
      <c r="AL1673" s="100">
        <f t="shared" si="801"/>
        <v>0</v>
      </c>
      <c r="AN1673" s="100">
        <f t="shared" si="802"/>
        <v>2364.1615763658097</v>
      </c>
      <c r="AO1673" s="20">
        <f t="shared" si="803"/>
        <v>0</v>
      </c>
      <c r="AQ1673" s="109">
        <f t="shared" si="804"/>
        <v>0</v>
      </c>
      <c r="AU1673" s="109">
        <f t="shared" si="789"/>
        <v>23.424902760563079</v>
      </c>
      <c r="AV1673" s="101">
        <f t="shared" si="805"/>
        <v>90444</v>
      </c>
      <c r="AW1673" s="99">
        <f t="shared" si="806"/>
        <v>0</v>
      </c>
      <c r="AX1673" s="1">
        <f t="shared" si="807"/>
        <v>0</v>
      </c>
      <c r="AY1673" s="29">
        <f t="shared" si="808"/>
        <v>0</v>
      </c>
      <c r="AZ1673" s="1">
        <f t="shared" si="790"/>
        <v>0</v>
      </c>
      <c r="CB1673" s="20">
        <f t="shared" si="799"/>
        <v>0</v>
      </c>
      <c r="CC1673" s="173">
        <f t="shared" si="791"/>
        <v>0</v>
      </c>
    </row>
    <row r="1674" spans="10:81" x14ac:dyDescent="0.25">
      <c r="J1674" s="9"/>
      <c r="K1674" s="10"/>
      <c r="L1674" s="17"/>
      <c r="M1674" s="23"/>
      <c r="N1674" s="23"/>
      <c r="O1674" s="23"/>
      <c r="P1674" s="23"/>
      <c r="Q1674" s="1">
        <f t="shared" si="792"/>
        <v>0.60744618579017706</v>
      </c>
      <c r="R1674" s="12">
        <f t="shared" ca="1" si="809"/>
        <v>49322</v>
      </c>
      <c r="S1674" s="88">
        <f t="shared" si="818"/>
        <v>0</v>
      </c>
      <c r="T1674" s="19">
        <f t="shared" si="810"/>
        <v>0</v>
      </c>
      <c r="U1674" s="19">
        <f t="shared" si="811"/>
        <v>0</v>
      </c>
      <c r="V1674" s="19">
        <f t="shared" si="797"/>
        <v>0</v>
      </c>
      <c r="W1674" s="20">
        <f t="shared" ca="1" si="812"/>
        <v>0</v>
      </c>
      <c r="X1674" s="19">
        <f t="shared" ca="1" si="813"/>
        <v>0</v>
      </c>
      <c r="Y1674" s="19">
        <f t="shared" ca="1" si="814"/>
        <v>0</v>
      </c>
      <c r="Z1674" s="20">
        <f t="shared" ca="1" si="815"/>
        <v>0</v>
      </c>
      <c r="AA1674" s="1">
        <f t="shared" si="793"/>
        <v>5432.58</v>
      </c>
      <c r="AB1674" s="93"/>
      <c r="AC1674" s="94"/>
      <c r="AD1674" s="101">
        <f t="shared" si="794"/>
        <v>90444</v>
      </c>
      <c r="AE1674" s="103">
        <f t="shared" si="795"/>
        <v>0</v>
      </c>
      <c r="AG1674" s="1">
        <f t="shared" si="816"/>
        <v>0</v>
      </c>
      <c r="AH1674" s="1">
        <f t="shared" si="817"/>
        <v>0</v>
      </c>
      <c r="AI1674" s="1">
        <f t="shared" si="796"/>
        <v>5432.58</v>
      </c>
      <c r="AJ1674" s="20">
        <f t="shared" si="798"/>
        <v>0</v>
      </c>
      <c r="AK1674" s="100">
        <f t="shared" si="800"/>
        <v>0</v>
      </c>
      <c r="AL1674" s="100">
        <f t="shared" si="801"/>
        <v>0</v>
      </c>
      <c r="AN1674" s="100">
        <f t="shared" si="802"/>
        <v>2362.965431083921</v>
      </c>
      <c r="AO1674" s="20">
        <f t="shared" si="803"/>
        <v>0</v>
      </c>
      <c r="AQ1674" s="109">
        <f t="shared" si="804"/>
        <v>0</v>
      </c>
      <c r="AU1674" s="109">
        <f t="shared" si="789"/>
        <v>23.422846755125679</v>
      </c>
      <c r="AV1674" s="101">
        <f t="shared" si="805"/>
        <v>90474</v>
      </c>
      <c r="AW1674" s="99">
        <f t="shared" si="806"/>
        <v>0</v>
      </c>
      <c r="AX1674" s="1">
        <f t="shared" si="807"/>
        <v>0</v>
      </c>
      <c r="AY1674" s="29">
        <f t="shared" si="808"/>
        <v>0</v>
      </c>
      <c r="AZ1674" s="1">
        <f t="shared" si="790"/>
        <v>0</v>
      </c>
      <c r="CB1674" s="20">
        <f t="shared" si="799"/>
        <v>0</v>
      </c>
      <c r="CC1674" s="173">
        <f t="shared" si="791"/>
        <v>0</v>
      </c>
    </row>
    <row r="1675" spans="10:81" x14ac:dyDescent="0.25">
      <c r="J1675" s="7"/>
      <c r="K1675" s="8"/>
      <c r="L1675" s="16"/>
      <c r="M1675" s="22"/>
      <c r="N1675" s="22"/>
      <c r="O1675" s="22"/>
      <c r="P1675" s="22"/>
      <c r="Q1675" s="1">
        <f t="shared" si="792"/>
        <v>0.60744618579017706</v>
      </c>
      <c r="R1675" s="12">
        <f t="shared" ca="1" si="809"/>
        <v>49352</v>
      </c>
      <c r="S1675" s="88">
        <f t="shared" si="818"/>
        <v>0</v>
      </c>
      <c r="T1675" s="19">
        <f t="shared" si="810"/>
        <v>0</v>
      </c>
      <c r="U1675" s="19">
        <f t="shared" si="811"/>
        <v>0</v>
      </c>
      <c r="V1675" s="19">
        <f t="shared" si="797"/>
        <v>0</v>
      </c>
      <c r="W1675" s="20">
        <f t="shared" ca="1" si="812"/>
        <v>0</v>
      </c>
      <c r="X1675" s="19">
        <f t="shared" ca="1" si="813"/>
        <v>0</v>
      </c>
      <c r="Y1675" s="19">
        <f t="shared" ca="1" si="814"/>
        <v>0</v>
      </c>
      <c r="Z1675" s="20">
        <f t="shared" ca="1" si="815"/>
        <v>0</v>
      </c>
      <c r="AA1675" s="1">
        <f t="shared" si="793"/>
        <v>5432.58</v>
      </c>
      <c r="AB1675" s="91"/>
      <c r="AC1675" s="92"/>
      <c r="AD1675" s="101">
        <f t="shared" si="794"/>
        <v>90474</v>
      </c>
      <c r="AE1675" s="103">
        <f t="shared" si="795"/>
        <v>0</v>
      </c>
      <c r="AG1675" s="1">
        <f t="shared" si="816"/>
        <v>0</v>
      </c>
      <c r="AH1675" s="1">
        <f t="shared" si="817"/>
        <v>0</v>
      </c>
      <c r="AI1675" s="1">
        <f t="shared" si="796"/>
        <v>5432.58</v>
      </c>
      <c r="AJ1675" s="20">
        <f t="shared" si="798"/>
        <v>0</v>
      </c>
      <c r="AK1675" s="100">
        <f t="shared" si="800"/>
        <v>0</v>
      </c>
      <c r="AL1675" s="100">
        <f t="shared" si="801"/>
        <v>0</v>
      </c>
      <c r="AN1675" s="100">
        <f t="shared" si="802"/>
        <v>2361.7698909905907</v>
      </c>
      <c r="AO1675" s="20">
        <f t="shared" si="803"/>
        <v>0</v>
      </c>
      <c r="AQ1675" s="109">
        <f t="shared" si="804"/>
        <v>0</v>
      </c>
      <c r="AU1675" s="109">
        <f t="shared" si="789"/>
        <v>23.420790930144047</v>
      </c>
      <c r="AV1675" s="101">
        <f t="shared" si="805"/>
        <v>90504</v>
      </c>
      <c r="AW1675" s="99">
        <f t="shared" si="806"/>
        <v>0</v>
      </c>
      <c r="AX1675" s="1">
        <f t="shared" si="807"/>
        <v>0</v>
      </c>
      <c r="AY1675" s="29">
        <f t="shared" si="808"/>
        <v>0</v>
      </c>
      <c r="AZ1675" s="1">
        <f t="shared" si="790"/>
        <v>0</v>
      </c>
      <c r="CB1675" s="20">
        <f t="shared" si="799"/>
        <v>0</v>
      </c>
      <c r="CC1675" s="173">
        <f t="shared" si="791"/>
        <v>0</v>
      </c>
    </row>
    <row r="1676" spans="10:81" x14ac:dyDescent="0.25">
      <c r="J1676" s="9"/>
      <c r="K1676" s="10"/>
      <c r="L1676" s="17"/>
      <c r="M1676" s="23"/>
      <c r="N1676" s="23"/>
      <c r="O1676" s="23"/>
      <c r="P1676" s="23"/>
      <c r="Q1676" s="1">
        <f t="shared" si="792"/>
        <v>0.60744618579017706</v>
      </c>
      <c r="R1676" s="12">
        <f t="shared" ca="1" si="809"/>
        <v>49382</v>
      </c>
      <c r="S1676" s="88">
        <f t="shared" si="818"/>
        <v>0</v>
      </c>
      <c r="T1676" s="19">
        <f t="shared" si="810"/>
        <v>0</v>
      </c>
      <c r="U1676" s="19">
        <f t="shared" si="811"/>
        <v>0</v>
      </c>
      <c r="V1676" s="19">
        <f t="shared" si="797"/>
        <v>0</v>
      </c>
      <c r="W1676" s="20">
        <f t="shared" ca="1" si="812"/>
        <v>0</v>
      </c>
      <c r="X1676" s="19">
        <f t="shared" ca="1" si="813"/>
        <v>0</v>
      </c>
      <c r="Y1676" s="19">
        <f t="shared" ca="1" si="814"/>
        <v>0</v>
      </c>
      <c r="Z1676" s="20">
        <f t="shared" ca="1" si="815"/>
        <v>0</v>
      </c>
      <c r="AA1676" s="1">
        <f t="shared" si="793"/>
        <v>5432.58</v>
      </c>
      <c r="AB1676" s="93"/>
      <c r="AC1676" s="94"/>
      <c r="AD1676" s="101">
        <f t="shared" si="794"/>
        <v>90504</v>
      </c>
      <c r="AE1676" s="103">
        <f t="shared" si="795"/>
        <v>0</v>
      </c>
      <c r="AG1676" s="1">
        <f t="shared" si="816"/>
        <v>0</v>
      </c>
      <c r="AH1676" s="1">
        <f t="shared" si="817"/>
        <v>0</v>
      </c>
      <c r="AI1676" s="1">
        <f t="shared" si="796"/>
        <v>5432.58</v>
      </c>
      <c r="AJ1676" s="20">
        <f t="shared" si="798"/>
        <v>0</v>
      </c>
      <c r="AK1676" s="100">
        <f t="shared" si="800"/>
        <v>0</v>
      </c>
      <c r="AL1676" s="100">
        <f t="shared" si="801"/>
        <v>0</v>
      </c>
      <c r="AN1676" s="100">
        <f t="shared" si="802"/>
        <v>2360.5749557796239</v>
      </c>
      <c r="AO1676" s="20">
        <f t="shared" si="803"/>
        <v>0</v>
      </c>
      <c r="AQ1676" s="109">
        <f t="shared" si="804"/>
        <v>0</v>
      </c>
      <c r="AU1676" s="109">
        <f t="shared" si="789"/>
        <v>23.41873528560231</v>
      </c>
      <c r="AV1676" s="101">
        <f t="shared" si="805"/>
        <v>90534</v>
      </c>
      <c r="AW1676" s="99">
        <f t="shared" si="806"/>
        <v>0</v>
      </c>
      <c r="AX1676" s="1">
        <f t="shared" si="807"/>
        <v>0</v>
      </c>
      <c r="AY1676" s="29">
        <f t="shared" si="808"/>
        <v>0</v>
      </c>
      <c r="AZ1676" s="1">
        <f t="shared" si="790"/>
        <v>0</v>
      </c>
      <c r="CB1676" s="20">
        <f t="shared" si="799"/>
        <v>0</v>
      </c>
      <c r="CC1676" s="173">
        <f t="shared" si="791"/>
        <v>0</v>
      </c>
    </row>
    <row r="1677" spans="10:81" x14ac:dyDescent="0.25">
      <c r="J1677" s="7"/>
      <c r="K1677" s="8"/>
      <c r="L1677" s="16"/>
      <c r="M1677" s="22"/>
      <c r="N1677" s="22"/>
      <c r="O1677" s="22"/>
      <c r="P1677" s="22"/>
      <c r="Q1677" s="1">
        <f t="shared" si="792"/>
        <v>0.60744618579017706</v>
      </c>
      <c r="R1677" s="12">
        <f t="shared" ca="1" si="809"/>
        <v>49412</v>
      </c>
      <c r="S1677" s="88">
        <f t="shared" si="818"/>
        <v>0</v>
      </c>
      <c r="T1677" s="19">
        <f t="shared" si="810"/>
        <v>0</v>
      </c>
      <c r="U1677" s="19">
        <f t="shared" si="811"/>
        <v>0</v>
      </c>
      <c r="V1677" s="19">
        <f t="shared" si="797"/>
        <v>0</v>
      </c>
      <c r="W1677" s="20">
        <f t="shared" ca="1" si="812"/>
        <v>0</v>
      </c>
      <c r="X1677" s="19">
        <f t="shared" ca="1" si="813"/>
        <v>0</v>
      </c>
      <c r="Y1677" s="19">
        <f t="shared" ca="1" si="814"/>
        <v>0</v>
      </c>
      <c r="Z1677" s="20">
        <f t="shared" ca="1" si="815"/>
        <v>0</v>
      </c>
      <c r="AA1677" s="1">
        <f t="shared" si="793"/>
        <v>5432.58</v>
      </c>
      <c r="AB1677" s="91"/>
      <c r="AC1677" s="92"/>
      <c r="AD1677" s="101">
        <f t="shared" si="794"/>
        <v>90534</v>
      </c>
      <c r="AE1677" s="103">
        <f t="shared" si="795"/>
        <v>0</v>
      </c>
      <c r="AG1677" s="1">
        <f t="shared" si="816"/>
        <v>0</v>
      </c>
      <c r="AH1677" s="1">
        <f t="shared" si="817"/>
        <v>0</v>
      </c>
      <c r="AI1677" s="1">
        <f t="shared" si="796"/>
        <v>5432.58</v>
      </c>
      <c r="AJ1677" s="20">
        <f t="shared" si="798"/>
        <v>0</v>
      </c>
      <c r="AK1677" s="100">
        <f t="shared" si="800"/>
        <v>0</v>
      </c>
      <c r="AL1677" s="100">
        <f t="shared" si="801"/>
        <v>0</v>
      </c>
      <c r="AN1677" s="100">
        <f t="shared" si="802"/>
        <v>2359.3806251449805</v>
      </c>
      <c r="AO1677" s="20">
        <f t="shared" si="803"/>
        <v>0</v>
      </c>
      <c r="AQ1677" s="109">
        <f t="shared" si="804"/>
        <v>0</v>
      </c>
      <c r="AU1677" s="109">
        <f t="shared" si="789"/>
        <v>23.416679821484646</v>
      </c>
      <c r="AV1677" s="101">
        <f t="shared" si="805"/>
        <v>90564</v>
      </c>
      <c r="AW1677" s="99">
        <f t="shared" si="806"/>
        <v>0</v>
      </c>
      <c r="AX1677" s="1">
        <f t="shared" si="807"/>
        <v>0</v>
      </c>
      <c r="AY1677" s="29">
        <f t="shared" si="808"/>
        <v>0</v>
      </c>
      <c r="AZ1677" s="1">
        <f t="shared" si="790"/>
        <v>0</v>
      </c>
      <c r="CB1677" s="20">
        <f t="shared" si="799"/>
        <v>0</v>
      </c>
      <c r="CC1677" s="173">
        <f t="shared" si="791"/>
        <v>0</v>
      </c>
    </row>
    <row r="1678" spans="10:81" x14ac:dyDescent="0.25">
      <c r="J1678" s="9"/>
      <c r="K1678" s="10"/>
      <c r="L1678" s="17"/>
      <c r="M1678" s="23"/>
      <c r="N1678" s="23"/>
      <c r="O1678" s="23"/>
      <c r="P1678" s="23"/>
      <c r="Q1678" s="1">
        <f t="shared" si="792"/>
        <v>0.60744618579017706</v>
      </c>
      <c r="R1678" s="12">
        <f t="shared" ca="1" si="809"/>
        <v>49442</v>
      </c>
      <c r="S1678" s="88">
        <f t="shared" si="818"/>
        <v>0</v>
      </c>
      <c r="T1678" s="19">
        <f t="shared" si="810"/>
        <v>0</v>
      </c>
      <c r="U1678" s="19">
        <f t="shared" si="811"/>
        <v>0</v>
      </c>
      <c r="V1678" s="19">
        <f t="shared" si="797"/>
        <v>0</v>
      </c>
      <c r="W1678" s="20">
        <f t="shared" ca="1" si="812"/>
        <v>0</v>
      </c>
      <c r="X1678" s="19">
        <f t="shared" ca="1" si="813"/>
        <v>0</v>
      </c>
      <c r="Y1678" s="19">
        <f t="shared" ca="1" si="814"/>
        <v>0</v>
      </c>
      <c r="Z1678" s="20">
        <f t="shared" ca="1" si="815"/>
        <v>0</v>
      </c>
      <c r="AA1678" s="1">
        <f t="shared" si="793"/>
        <v>5432.58</v>
      </c>
      <c r="AB1678" s="93"/>
      <c r="AC1678" s="94"/>
      <c r="AD1678" s="101">
        <f t="shared" si="794"/>
        <v>90564</v>
      </c>
      <c r="AE1678" s="103">
        <f t="shared" si="795"/>
        <v>0</v>
      </c>
      <c r="AG1678" s="1">
        <f t="shared" si="816"/>
        <v>0</v>
      </c>
      <c r="AH1678" s="1">
        <f t="shared" si="817"/>
        <v>0</v>
      </c>
      <c r="AI1678" s="1">
        <f t="shared" si="796"/>
        <v>5432.58</v>
      </c>
      <c r="AJ1678" s="20">
        <f t="shared" si="798"/>
        <v>0</v>
      </c>
      <c r="AK1678" s="100">
        <f t="shared" si="800"/>
        <v>0</v>
      </c>
      <c r="AL1678" s="100">
        <f t="shared" si="801"/>
        <v>0</v>
      </c>
      <c r="AN1678" s="100">
        <f t="shared" si="802"/>
        <v>2358.1868987807761</v>
      </c>
      <c r="AO1678" s="20">
        <f t="shared" si="803"/>
        <v>0</v>
      </c>
      <c r="AQ1678" s="109">
        <f t="shared" si="804"/>
        <v>0</v>
      </c>
      <c r="AU1678" s="109">
        <f t="shared" si="789"/>
        <v>23.414624537775222</v>
      </c>
      <c r="AV1678" s="101">
        <f t="shared" si="805"/>
        <v>90594</v>
      </c>
      <c r="AW1678" s="99">
        <f t="shared" si="806"/>
        <v>0</v>
      </c>
      <c r="AX1678" s="1">
        <f t="shared" si="807"/>
        <v>0</v>
      </c>
      <c r="AY1678" s="29">
        <f t="shared" si="808"/>
        <v>0</v>
      </c>
      <c r="AZ1678" s="1">
        <f t="shared" si="790"/>
        <v>0</v>
      </c>
      <c r="CB1678" s="20">
        <f t="shared" si="799"/>
        <v>0</v>
      </c>
      <c r="CC1678" s="173">
        <f t="shared" si="791"/>
        <v>0</v>
      </c>
    </row>
    <row r="1679" spans="10:81" x14ac:dyDescent="0.25">
      <c r="J1679" s="7"/>
      <c r="K1679" s="8"/>
      <c r="L1679" s="16"/>
      <c r="M1679" s="22"/>
      <c r="N1679" s="22"/>
      <c r="O1679" s="22"/>
      <c r="P1679" s="22"/>
      <c r="Q1679" s="1">
        <f t="shared" si="792"/>
        <v>0.60744618579017706</v>
      </c>
      <c r="R1679" s="12">
        <f t="shared" ca="1" si="809"/>
        <v>49472</v>
      </c>
      <c r="S1679" s="88">
        <f t="shared" si="818"/>
        <v>0</v>
      </c>
      <c r="T1679" s="19">
        <f t="shared" si="810"/>
        <v>0</v>
      </c>
      <c r="U1679" s="19">
        <f t="shared" si="811"/>
        <v>0</v>
      </c>
      <c r="V1679" s="19">
        <f t="shared" si="797"/>
        <v>0</v>
      </c>
      <c r="W1679" s="20">
        <f t="shared" ca="1" si="812"/>
        <v>0</v>
      </c>
      <c r="X1679" s="19">
        <f t="shared" ca="1" si="813"/>
        <v>0</v>
      </c>
      <c r="Y1679" s="19">
        <f t="shared" ca="1" si="814"/>
        <v>0</v>
      </c>
      <c r="Z1679" s="20">
        <f t="shared" ca="1" si="815"/>
        <v>0</v>
      </c>
      <c r="AA1679" s="1">
        <f t="shared" si="793"/>
        <v>5432.58</v>
      </c>
      <c r="AB1679" s="91"/>
      <c r="AC1679" s="92"/>
      <c r="AD1679" s="101">
        <f t="shared" si="794"/>
        <v>90594</v>
      </c>
      <c r="AE1679" s="103">
        <f t="shared" si="795"/>
        <v>0</v>
      </c>
      <c r="AG1679" s="1">
        <f t="shared" si="816"/>
        <v>0</v>
      </c>
      <c r="AH1679" s="1">
        <f t="shared" si="817"/>
        <v>0</v>
      </c>
      <c r="AI1679" s="1">
        <f t="shared" si="796"/>
        <v>5432.58</v>
      </c>
      <c r="AJ1679" s="20">
        <f t="shared" si="798"/>
        <v>0</v>
      </c>
      <c r="AK1679" s="100">
        <f t="shared" si="800"/>
        <v>0</v>
      </c>
      <c r="AL1679" s="100">
        <f t="shared" si="801"/>
        <v>0</v>
      </c>
      <c r="AN1679" s="100">
        <f t="shared" si="802"/>
        <v>2356.9937763812814</v>
      </c>
      <c r="AO1679" s="20">
        <f t="shared" si="803"/>
        <v>0</v>
      </c>
      <c r="AQ1679" s="109">
        <f t="shared" si="804"/>
        <v>0</v>
      </c>
      <c r="AU1679" s="109">
        <f t="shared" si="789"/>
        <v>23.412569434458202</v>
      </c>
      <c r="AV1679" s="101">
        <f t="shared" si="805"/>
        <v>90624</v>
      </c>
      <c r="AW1679" s="99">
        <f t="shared" si="806"/>
        <v>0</v>
      </c>
      <c r="AX1679" s="1">
        <f t="shared" si="807"/>
        <v>0</v>
      </c>
      <c r="AY1679" s="29">
        <f t="shared" si="808"/>
        <v>0</v>
      </c>
      <c r="AZ1679" s="1">
        <f t="shared" si="790"/>
        <v>0</v>
      </c>
      <c r="CB1679" s="20">
        <f t="shared" si="799"/>
        <v>0</v>
      </c>
      <c r="CC1679" s="173">
        <f t="shared" si="791"/>
        <v>0</v>
      </c>
    </row>
    <row r="1680" spans="10:81" x14ac:dyDescent="0.25">
      <c r="J1680" s="9"/>
      <c r="K1680" s="10"/>
      <c r="L1680" s="17"/>
      <c r="M1680" s="23"/>
      <c r="N1680" s="23"/>
      <c r="O1680" s="23"/>
      <c r="P1680" s="23"/>
      <c r="Q1680" s="1">
        <f t="shared" si="792"/>
        <v>0.60744618579017706</v>
      </c>
      <c r="R1680" s="12">
        <f t="shared" ca="1" si="809"/>
        <v>49502</v>
      </c>
      <c r="S1680" s="88">
        <f t="shared" si="818"/>
        <v>0</v>
      </c>
      <c r="T1680" s="19">
        <f t="shared" si="810"/>
        <v>0</v>
      </c>
      <c r="U1680" s="19">
        <f t="shared" si="811"/>
        <v>0</v>
      </c>
      <c r="V1680" s="19">
        <f t="shared" si="797"/>
        <v>0</v>
      </c>
      <c r="W1680" s="20">
        <f t="shared" ca="1" si="812"/>
        <v>0</v>
      </c>
      <c r="X1680" s="19">
        <f t="shared" ca="1" si="813"/>
        <v>0</v>
      </c>
      <c r="Y1680" s="19">
        <f t="shared" ca="1" si="814"/>
        <v>0</v>
      </c>
      <c r="Z1680" s="20">
        <f t="shared" ca="1" si="815"/>
        <v>0</v>
      </c>
      <c r="AA1680" s="1">
        <f t="shared" si="793"/>
        <v>5432.58</v>
      </c>
      <c r="AB1680" s="93"/>
      <c r="AC1680" s="94"/>
      <c r="AD1680" s="101">
        <f t="shared" si="794"/>
        <v>90624</v>
      </c>
      <c r="AE1680" s="103">
        <f t="shared" si="795"/>
        <v>0</v>
      </c>
      <c r="AG1680" s="1">
        <f t="shared" si="816"/>
        <v>0</v>
      </c>
      <c r="AH1680" s="1">
        <f t="shared" si="817"/>
        <v>0</v>
      </c>
      <c r="AI1680" s="1">
        <f t="shared" si="796"/>
        <v>5432.58</v>
      </c>
      <c r="AJ1680" s="20">
        <f t="shared" si="798"/>
        <v>0</v>
      </c>
      <c r="AK1680" s="100">
        <f t="shared" si="800"/>
        <v>0</v>
      </c>
      <c r="AL1680" s="100">
        <f t="shared" si="801"/>
        <v>0</v>
      </c>
      <c r="AN1680" s="100">
        <f t="shared" si="802"/>
        <v>2355.8012576409196</v>
      </c>
      <c r="AO1680" s="20">
        <f t="shared" si="803"/>
        <v>0</v>
      </c>
      <c r="AQ1680" s="109">
        <f t="shared" si="804"/>
        <v>0</v>
      </c>
      <c r="AU1680" s="109">
        <f t="shared" si="789"/>
        <v>23.41051451151775</v>
      </c>
      <c r="AV1680" s="101">
        <f t="shared" si="805"/>
        <v>90654</v>
      </c>
      <c r="AW1680" s="99">
        <f t="shared" si="806"/>
        <v>0</v>
      </c>
      <c r="AX1680" s="1">
        <f t="shared" si="807"/>
        <v>0</v>
      </c>
      <c r="AY1680" s="29">
        <f t="shared" si="808"/>
        <v>0</v>
      </c>
      <c r="AZ1680" s="1">
        <f t="shared" si="790"/>
        <v>0</v>
      </c>
      <c r="CB1680" s="20">
        <f t="shared" si="799"/>
        <v>0</v>
      </c>
      <c r="CC1680" s="173">
        <f t="shared" si="791"/>
        <v>0</v>
      </c>
    </row>
    <row r="1681" spans="10:81" x14ac:dyDescent="0.25">
      <c r="J1681" s="7"/>
      <c r="K1681" s="8"/>
      <c r="L1681" s="16"/>
      <c r="M1681" s="22"/>
      <c r="N1681" s="22"/>
      <c r="O1681" s="22"/>
      <c r="P1681" s="22"/>
      <c r="Q1681" s="1">
        <f t="shared" si="792"/>
        <v>0.60744618579017706</v>
      </c>
      <c r="R1681" s="12">
        <f t="shared" ca="1" si="809"/>
        <v>49532</v>
      </c>
      <c r="S1681" s="88">
        <f t="shared" si="818"/>
        <v>0</v>
      </c>
      <c r="T1681" s="19">
        <f t="shared" si="810"/>
        <v>0</v>
      </c>
      <c r="U1681" s="19">
        <f t="shared" si="811"/>
        <v>0</v>
      </c>
      <c r="V1681" s="19">
        <f t="shared" si="797"/>
        <v>0</v>
      </c>
      <c r="W1681" s="20">
        <f t="shared" ca="1" si="812"/>
        <v>0</v>
      </c>
      <c r="X1681" s="19">
        <f t="shared" ca="1" si="813"/>
        <v>0</v>
      </c>
      <c r="Y1681" s="19">
        <f t="shared" ca="1" si="814"/>
        <v>0</v>
      </c>
      <c r="Z1681" s="20">
        <f t="shared" ca="1" si="815"/>
        <v>0</v>
      </c>
      <c r="AA1681" s="1">
        <f t="shared" si="793"/>
        <v>5432.58</v>
      </c>
      <c r="AB1681" s="91"/>
      <c r="AC1681" s="92"/>
      <c r="AD1681" s="101">
        <f t="shared" si="794"/>
        <v>90654</v>
      </c>
      <c r="AE1681" s="103">
        <f t="shared" si="795"/>
        <v>0</v>
      </c>
      <c r="AG1681" s="1">
        <f t="shared" si="816"/>
        <v>0</v>
      </c>
      <c r="AH1681" s="1">
        <f t="shared" si="817"/>
        <v>0</v>
      </c>
      <c r="AI1681" s="1">
        <f t="shared" si="796"/>
        <v>5432.58</v>
      </c>
      <c r="AJ1681" s="20">
        <f t="shared" si="798"/>
        <v>0</v>
      </c>
      <c r="AK1681" s="100">
        <f t="shared" si="800"/>
        <v>0</v>
      </c>
      <c r="AL1681" s="100">
        <f t="shared" si="801"/>
        <v>0</v>
      </c>
      <c r="AN1681" s="100">
        <f t="shared" si="802"/>
        <v>2354.6093422542704</v>
      </c>
      <c r="AO1681" s="20">
        <f t="shared" si="803"/>
        <v>0</v>
      </c>
      <c r="AQ1681" s="109">
        <f t="shared" si="804"/>
        <v>0</v>
      </c>
      <c r="AU1681" s="109">
        <f t="shared" si="789"/>
        <v>23.408459768938041</v>
      </c>
      <c r="AV1681" s="101">
        <f t="shared" si="805"/>
        <v>90684</v>
      </c>
      <c r="AW1681" s="99">
        <f t="shared" si="806"/>
        <v>0</v>
      </c>
      <c r="AX1681" s="1">
        <f t="shared" si="807"/>
        <v>0</v>
      </c>
      <c r="AY1681" s="29">
        <f t="shared" si="808"/>
        <v>0</v>
      </c>
      <c r="AZ1681" s="1">
        <f t="shared" si="790"/>
        <v>0</v>
      </c>
      <c r="CB1681" s="20">
        <f t="shared" si="799"/>
        <v>0</v>
      </c>
      <c r="CC1681" s="173">
        <f t="shared" si="791"/>
        <v>0</v>
      </c>
    </row>
    <row r="1682" spans="10:81" x14ac:dyDescent="0.25">
      <c r="J1682" s="9"/>
      <c r="K1682" s="10"/>
      <c r="L1682" s="17"/>
      <c r="M1682" s="23"/>
      <c r="N1682" s="23"/>
      <c r="O1682" s="23"/>
      <c r="P1682" s="23"/>
      <c r="Q1682" s="1">
        <f t="shared" si="792"/>
        <v>0.60744618579017706</v>
      </c>
      <c r="R1682" s="12">
        <f t="shared" ca="1" si="809"/>
        <v>49562</v>
      </c>
      <c r="S1682" s="88">
        <f t="shared" si="818"/>
        <v>0</v>
      </c>
      <c r="T1682" s="19">
        <f t="shared" si="810"/>
        <v>0</v>
      </c>
      <c r="U1682" s="19">
        <f t="shared" si="811"/>
        <v>0</v>
      </c>
      <c r="V1682" s="19">
        <f t="shared" si="797"/>
        <v>0</v>
      </c>
      <c r="W1682" s="20">
        <f t="shared" ca="1" si="812"/>
        <v>0</v>
      </c>
      <c r="X1682" s="19">
        <f t="shared" ca="1" si="813"/>
        <v>0</v>
      </c>
      <c r="Y1682" s="19">
        <f t="shared" ca="1" si="814"/>
        <v>0</v>
      </c>
      <c r="Z1682" s="20">
        <f t="shared" ca="1" si="815"/>
        <v>0</v>
      </c>
      <c r="AA1682" s="1">
        <f t="shared" si="793"/>
        <v>5432.58</v>
      </c>
      <c r="AB1682" s="93"/>
      <c r="AC1682" s="94"/>
      <c r="AD1682" s="101">
        <f t="shared" si="794"/>
        <v>90684</v>
      </c>
      <c r="AE1682" s="103">
        <f t="shared" si="795"/>
        <v>0</v>
      </c>
      <c r="AG1682" s="1">
        <f t="shared" si="816"/>
        <v>0</v>
      </c>
      <c r="AH1682" s="1">
        <f t="shared" si="817"/>
        <v>0</v>
      </c>
      <c r="AI1682" s="1">
        <f t="shared" si="796"/>
        <v>5432.58</v>
      </c>
      <c r="AJ1682" s="20">
        <f t="shared" si="798"/>
        <v>0</v>
      </c>
      <c r="AK1682" s="100">
        <f t="shared" si="800"/>
        <v>0</v>
      </c>
      <c r="AL1682" s="100">
        <f t="shared" si="801"/>
        <v>0</v>
      </c>
      <c r="AN1682" s="100">
        <f t="shared" si="802"/>
        <v>2353.4180299160689</v>
      </c>
      <c r="AO1682" s="20">
        <f t="shared" si="803"/>
        <v>0</v>
      </c>
      <c r="AQ1682" s="109">
        <f t="shared" si="804"/>
        <v>0</v>
      </c>
      <c r="AU1682" s="109">
        <f t="shared" si="789"/>
        <v>23.406405206703226</v>
      </c>
      <c r="AV1682" s="101">
        <f t="shared" si="805"/>
        <v>90714</v>
      </c>
      <c r="AW1682" s="99">
        <f t="shared" si="806"/>
        <v>0</v>
      </c>
      <c r="AX1682" s="1">
        <f t="shared" si="807"/>
        <v>0</v>
      </c>
      <c r="AY1682" s="29">
        <f t="shared" si="808"/>
        <v>0</v>
      </c>
      <c r="AZ1682" s="1">
        <f t="shared" si="790"/>
        <v>0</v>
      </c>
      <c r="CB1682" s="20">
        <f t="shared" si="799"/>
        <v>0</v>
      </c>
      <c r="CC1682" s="173">
        <f t="shared" si="791"/>
        <v>0</v>
      </c>
    </row>
    <row r="1683" spans="10:81" x14ac:dyDescent="0.25">
      <c r="J1683" s="7"/>
      <c r="K1683" s="8"/>
      <c r="L1683" s="16"/>
      <c r="M1683" s="22"/>
      <c r="N1683" s="22"/>
      <c r="O1683" s="22"/>
      <c r="P1683" s="22"/>
      <c r="Q1683" s="1">
        <f t="shared" si="792"/>
        <v>0.60744618579017706</v>
      </c>
      <c r="R1683" s="12">
        <f t="shared" ca="1" si="809"/>
        <v>49592</v>
      </c>
      <c r="S1683" s="88">
        <f t="shared" si="818"/>
        <v>0</v>
      </c>
      <c r="T1683" s="19">
        <f t="shared" si="810"/>
        <v>0</v>
      </c>
      <c r="U1683" s="19">
        <f t="shared" si="811"/>
        <v>0</v>
      </c>
      <c r="V1683" s="19">
        <f t="shared" si="797"/>
        <v>0</v>
      </c>
      <c r="W1683" s="20">
        <f t="shared" ca="1" si="812"/>
        <v>0</v>
      </c>
      <c r="X1683" s="19">
        <f t="shared" ca="1" si="813"/>
        <v>0</v>
      </c>
      <c r="Y1683" s="19">
        <f t="shared" ca="1" si="814"/>
        <v>0</v>
      </c>
      <c r="Z1683" s="20">
        <f t="shared" ca="1" si="815"/>
        <v>0</v>
      </c>
      <c r="AA1683" s="1">
        <f t="shared" si="793"/>
        <v>5432.58</v>
      </c>
      <c r="AB1683" s="91"/>
      <c r="AC1683" s="92"/>
      <c r="AD1683" s="101">
        <f t="shared" si="794"/>
        <v>90714</v>
      </c>
      <c r="AE1683" s="103">
        <f t="shared" si="795"/>
        <v>0</v>
      </c>
      <c r="AG1683" s="1">
        <f t="shared" si="816"/>
        <v>0</v>
      </c>
      <c r="AH1683" s="1">
        <f t="shared" si="817"/>
        <v>0</v>
      </c>
      <c r="AI1683" s="1">
        <f t="shared" si="796"/>
        <v>5432.58</v>
      </c>
      <c r="AJ1683" s="20">
        <f t="shared" si="798"/>
        <v>0</v>
      </c>
      <c r="AK1683" s="100">
        <f t="shared" si="800"/>
        <v>0</v>
      </c>
      <c r="AL1683" s="100">
        <f t="shared" si="801"/>
        <v>0</v>
      </c>
      <c r="AN1683" s="100">
        <f t="shared" si="802"/>
        <v>2352.2273203212012</v>
      </c>
      <c r="AO1683" s="20">
        <f t="shared" si="803"/>
        <v>0</v>
      </c>
      <c r="AQ1683" s="109">
        <f t="shared" si="804"/>
        <v>0</v>
      </c>
      <c r="AU1683" s="109">
        <f t="shared" si="789"/>
        <v>23.404350824797497</v>
      </c>
      <c r="AV1683" s="101">
        <f t="shared" si="805"/>
        <v>90744</v>
      </c>
      <c r="AW1683" s="99">
        <f t="shared" si="806"/>
        <v>0</v>
      </c>
      <c r="AX1683" s="1">
        <f t="shared" si="807"/>
        <v>0</v>
      </c>
      <c r="AY1683" s="29">
        <f t="shared" si="808"/>
        <v>0</v>
      </c>
      <c r="AZ1683" s="1">
        <f t="shared" si="790"/>
        <v>0</v>
      </c>
      <c r="CB1683" s="20">
        <f t="shared" si="799"/>
        <v>0</v>
      </c>
      <c r="CC1683" s="173">
        <f t="shared" si="791"/>
        <v>0</v>
      </c>
    </row>
    <row r="1684" spans="10:81" x14ac:dyDescent="0.25">
      <c r="J1684" s="9"/>
      <c r="K1684" s="10"/>
      <c r="L1684" s="17"/>
      <c r="M1684" s="23"/>
      <c r="N1684" s="23"/>
      <c r="O1684" s="23"/>
      <c r="P1684" s="23"/>
      <c r="Q1684" s="1">
        <f t="shared" si="792"/>
        <v>0.60744618579017706</v>
      </c>
      <c r="R1684" s="12">
        <f t="shared" ca="1" si="809"/>
        <v>49622</v>
      </c>
      <c r="S1684" s="88">
        <f t="shared" si="818"/>
        <v>0</v>
      </c>
      <c r="T1684" s="19">
        <f t="shared" si="810"/>
        <v>0</v>
      </c>
      <c r="U1684" s="19">
        <f t="shared" si="811"/>
        <v>0</v>
      </c>
      <c r="V1684" s="19">
        <f t="shared" si="797"/>
        <v>0</v>
      </c>
      <c r="W1684" s="20">
        <f t="shared" ca="1" si="812"/>
        <v>0</v>
      </c>
      <c r="X1684" s="19">
        <f t="shared" ca="1" si="813"/>
        <v>0</v>
      </c>
      <c r="Y1684" s="19">
        <f t="shared" ca="1" si="814"/>
        <v>0</v>
      </c>
      <c r="Z1684" s="20">
        <f t="shared" ca="1" si="815"/>
        <v>0</v>
      </c>
      <c r="AA1684" s="1">
        <f t="shared" si="793"/>
        <v>5432.58</v>
      </c>
      <c r="AB1684" s="93"/>
      <c r="AC1684" s="94"/>
      <c r="AD1684" s="101">
        <f t="shared" si="794"/>
        <v>90744</v>
      </c>
      <c r="AE1684" s="103">
        <f t="shared" si="795"/>
        <v>0</v>
      </c>
      <c r="AG1684" s="1">
        <f t="shared" si="816"/>
        <v>0</v>
      </c>
      <c r="AH1684" s="1">
        <f t="shared" si="817"/>
        <v>0</v>
      </c>
      <c r="AI1684" s="1">
        <f t="shared" si="796"/>
        <v>5432.58</v>
      </c>
      <c r="AJ1684" s="20">
        <f t="shared" si="798"/>
        <v>0</v>
      </c>
      <c r="AK1684" s="100">
        <f t="shared" si="800"/>
        <v>0</v>
      </c>
      <c r="AL1684" s="100">
        <f t="shared" si="801"/>
        <v>0</v>
      </c>
      <c r="AN1684" s="100">
        <f t="shared" si="802"/>
        <v>2351.0372131647109</v>
      </c>
      <c r="AO1684" s="20">
        <f t="shared" si="803"/>
        <v>0</v>
      </c>
      <c r="AQ1684" s="109">
        <f t="shared" si="804"/>
        <v>0</v>
      </c>
      <c r="AU1684" s="109">
        <f t="shared" si="789"/>
        <v>23.402296623205014</v>
      </c>
      <c r="AV1684" s="101">
        <f t="shared" si="805"/>
        <v>90774</v>
      </c>
      <c r="AW1684" s="99">
        <f t="shared" si="806"/>
        <v>0</v>
      </c>
      <c r="AX1684" s="1">
        <f t="shared" si="807"/>
        <v>0</v>
      </c>
      <c r="AY1684" s="29">
        <f t="shared" si="808"/>
        <v>0</v>
      </c>
      <c r="AZ1684" s="1">
        <f t="shared" si="790"/>
        <v>0</v>
      </c>
      <c r="CB1684" s="20">
        <f t="shared" si="799"/>
        <v>0</v>
      </c>
      <c r="CC1684" s="173">
        <f t="shared" si="791"/>
        <v>0</v>
      </c>
    </row>
    <row r="1685" spans="10:81" x14ac:dyDescent="0.25">
      <c r="J1685" s="7"/>
      <c r="K1685" s="8"/>
      <c r="L1685" s="16"/>
      <c r="M1685" s="22"/>
      <c r="N1685" s="22"/>
      <c r="O1685" s="22"/>
      <c r="P1685" s="22"/>
      <c r="Q1685" s="1">
        <f t="shared" si="792"/>
        <v>0.60744618579017706</v>
      </c>
      <c r="R1685" s="12">
        <f t="shared" ca="1" si="809"/>
        <v>49652</v>
      </c>
      <c r="S1685" s="88">
        <f t="shared" si="818"/>
        <v>0</v>
      </c>
      <c r="T1685" s="19">
        <f t="shared" si="810"/>
        <v>0</v>
      </c>
      <c r="U1685" s="19">
        <f t="shared" si="811"/>
        <v>0</v>
      </c>
      <c r="V1685" s="19">
        <f t="shared" si="797"/>
        <v>0</v>
      </c>
      <c r="W1685" s="20">
        <f t="shared" ca="1" si="812"/>
        <v>0</v>
      </c>
      <c r="X1685" s="19">
        <f t="shared" ca="1" si="813"/>
        <v>0</v>
      </c>
      <c r="Y1685" s="19">
        <f t="shared" ca="1" si="814"/>
        <v>0</v>
      </c>
      <c r="Z1685" s="20">
        <f t="shared" ca="1" si="815"/>
        <v>0</v>
      </c>
      <c r="AA1685" s="1">
        <f t="shared" si="793"/>
        <v>5432.58</v>
      </c>
      <c r="AB1685" s="91"/>
      <c r="AC1685" s="92"/>
      <c r="AD1685" s="101">
        <f t="shared" si="794"/>
        <v>90774</v>
      </c>
      <c r="AE1685" s="103">
        <f t="shared" si="795"/>
        <v>0</v>
      </c>
      <c r="AG1685" s="1">
        <f t="shared" si="816"/>
        <v>0</v>
      </c>
      <c r="AH1685" s="1">
        <f t="shared" si="817"/>
        <v>0</v>
      </c>
      <c r="AI1685" s="1">
        <f t="shared" si="796"/>
        <v>5432.58</v>
      </c>
      <c r="AJ1685" s="20">
        <f t="shared" si="798"/>
        <v>0</v>
      </c>
      <c r="AK1685" s="100">
        <f t="shared" si="800"/>
        <v>0</v>
      </c>
      <c r="AL1685" s="100">
        <f t="shared" si="801"/>
        <v>0</v>
      </c>
      <c r="AN1685" s="100">
        <f t="shared" si="802"/>
        <v>2349.8477081417959</v>
      </c>
      <c r="AO1685" s="20">
        <f t="shared" si="803"/>
        <v>0</v>
      </c>
      <c r="AQ1685" s="109">
        <f t="shared" si="804"/>
        <v>0</v>
      </c>
      <c r="AU1685" s="109">
        <f t="shared" si="789"/>
        <v>23.400242601909969</v>
      </c>
      <c r="AV1685" s="101">
        <f t="shared" si="805"/>
        <v>90804</v>
      </c>
      <c r="AW1685" s="99">
        <f t="shared" si="806"/>
        <v>0</v>
      </c>
      <c r="AX1685" s="1">
        <f t="shared" si="807"/>
        <v>0</v>
      </c>
      <c r="AY1685" s="29">
        <f t="shared" si="808"/>
        <v>0</v>
      </c>
      <c r="AZ1685" s="1">
        <f t="shared" si="790"/>
        <v>0</v>
      </c>
      <c r="CB1685" s="20">
        <f t="shared" si="799"/>
        <v>0</v>
      </c>
      <c r="CC1685" s="173">
        <f t="shared" si="791"/>
        <v>0</v>
      </c>
    </row>
    <row r="1686" spans="10:81" x14ac:dyDescent="0.25">
      <c r="J1686" s="9"/>
      <c r="K1686" s="10"/>
      <c r="L1686" s="17"/>
      <c r="M1686" s="23"/>
      <c r="N1686" s="23"/>
      <c r="O1686" s="23"/>
      <c r="P1686" s="23"/>
      <c r="Q1686" s="1">
        <f t="shared" si="792"/>
        <v>0.60744618579017706</v>
      </c>
      <c r="R1686" s="12">
        <f t="shared" ca="1" si="809"/>
        <v>49682</v>
      </c>
      <c r="S1686" s="88">
        <f t="shared" si="818"/>
        <v>0</v>
      </c>
      <c r="T1686" s="19">
        <f t="shared" si="810"/>
        <v>0</v>
      </c>
      <c r="U1686" s="19">
        <f t="shared" si="811"/>
        <v>0</v>
      </c>
      <c r="V1686" s="19">
        <f t="shared" si="797"/>
        <v>0</v>
      </c>
      <c r="W1686" s="20">
        <f t="shared" ca="1" si="812"/>
        <v>0</v>
      </c>
      <c r="X1686" s="19">
        <f t="shared" ca="1" si="813"/>
        <v>0</v>
      </c>
      <c r="Y1686" s="19">
        <f t="shared" ca="1" si="814"/>
        <v>0</v>
      </c>
      <c r="Z1686" s="20">
        <f t="shared" ca="1" si="815"/>
        <v>0</v>
      </c>
      <c r="AA1686" s="1">
        <f t="shared" si="793"/>
        <v>5432.58</v>
      </c>
      <c r="AB1686" s="93"/>
      <c r="AC1686" s="94"/>
      <c r="AD1686" s="101">
        <f t="shared" si="794"/>
        <v>90804</v>
      </c>
      <c r="AE1686" s="103">
        <f t="shared" si="795"/>
        <v>0</v>
      </c>
      <c r="AG1686" s="1">
        <f t="shared" si="816"/>
        <v>0</v>
      </c>
      <c r="AH1686" s="1">
        <f t="shared" si="817"/>
        <v>0</v>
      </c>
      <c r="AI1686" s="1">
        <f t="shared" si="796"/>
        <v>5432.58</v>
      </c>
      <c r="AJ1686" s="20">
        <f t="shared" si="798"/>
        <v>0</v>
      </c>
      <c r="AK1686" s="100">
        <f t="shared" si="800"/>
        <v>0</v>
      </c>
      <c r="AL1686" s="100">
        <f t="shared" si="801"/>
        <v>0</v>
      </c>
      <c r="AN1686" s="100">
        <f t="shared" si="802"/>
        <v>2348.6588049478046</v>
      </c>
      <c r="AO1686" s="20">
        <f t="shared" si="803"/>
        <v>0</v>
      </c>
      <c r="AQ1686" s="109">
        <f t="shared" si="804"/>
        <v>0</v>
      </c>
      <c r="AU1686" s="109">
        <f t="shared" si="789"/>
        <v>23.39818876089652</v>
      </c>
      <c r="AV1686" s="101">
        <f t="shared" si="805"/>
        <v>90834</v>
      </c>
      <c r="AW1686" s="99">
        <f t="shared" si="806"/>
        <v>0</v>
      </c>
      <c r="AX1686" s="1">
        <f t="shared" si="807"/>
        <v>0</v>
      </c>
      <c r="AY1686" s="29">
        <f t="shared" si="808"/>
        <v>0</v>
      </c>
      <c r="AZ1686" s="1">
        <f t="shared" si="790"/>
        <v>0</v>
      </c>
      <c r="CB1686" s="20">
        <f t="shared" si="799"/>
        <v>0</v>
      </c>
      <c r="CC1686" s="173">
        <f t="shared" si="791"/>
        <v>0</v>
      </c>
    </row>
    <row r="1687" spans="10:81" x14ac:dyDescent="0.25">
      <c r="J1687" s="7"/>
      <c r="K1687" s="8"/>
      <c r="L1687" s="16"/>
      <c r="M1687" s="22"/>
      <c r="N1687" s="22"/>
      <c r="O1687" s="22"/>
      <c r="P1687" s="22"/>
      <c r="Q1687" s="1">
        <f t="shared" si="792"/>
        <v>0.60744618579017706</v>
      </c>
      <c r="R1687" s="12">
        <f t="shared" ca="1" si="809"/>
        <v>49712</v>
      </c>
      <c r="S1687" s="88">
        <f t="shared" si="818"/>
        <v>0</v>
      </c>
      <c r="T1687" s="19">
        <f t="shared" si="810"/>
        <v>0</v>
      </c>
      <c r="U1687" s="19">
        <f t="shared" si="811"/>
        <v>0</v>
      </c>
      <c r="V1687" s="19">
        <f t="shared" si="797"/>
        <v>0</v>
      </c>
      <c r="W1687" s="20">
        <f t="shared" ca="1" si="812"/>
        <v>0</v>
      </c>
      <c r="X1687" s="19">
        <f t="shared" ca="1" si="813"/>
        <v>0</v>
      </c>
      <c r="Y1687" s="19">
        <f t="shared" ca="1" si="814"/>
        <v>0</v>
      </c>
      <c r="Z1687" s="20">
        <f t="shared" ca="1" si="815"/>
        <v>0</v>
      </c>
      <c r="AA1687" s="1">
        <f t="shared" si="793"/>
        <v>5432.58</v>
      </c>
      <c r="AB1687" s="91"/>
      <c r="AC1687" s="92"/>
      <c r="AD1687" s="101">
        <f t="shared" si="794"/>
        <v>90834</v>
      </c>
      <c r="AE1687" s="103">
        <f t="shared" si="795"/>
        <v>0</v>
      </c>
      <c r="AG1687" s="1">
        <f t="shared" si="816"/>
        <v>0</v>
      </c>
      <c r="AH1687" s="1">
        <f t="shared" si="817"/>
        <v>0</v>
      </c>
      <c r="AI1687" s="1">
        <f t="shared" si="796"/>
        <v>5432.58</v>
      </c>
      <c r="AJ1687" s="20">
        <f t="shared" si="798"/>
        <v>0</v>
      </c>
      <c r="AK1687" s="100">
        <f t="shared" si="800"/>
        <v>0</v>
      </c>
      <c r="AL1687" s="100">
        <f t="shared" si="801"/>
        <v>0</v>
      </c>
      <c r="AN1687" s="100">
        <f t="shared" si="802"/>
        <v>2347.4705032782454</v>
      </c>
      <c r="AO1687" s="20">
        <f t="shared" si="803"/>
        <v>0</v>
      </c>
      <c r="AQ1687" s="109">
        <f t="shared" si="804"/>
        <v>0</v>
      </c>
      <c r="AU1687" s="109">
        <f t="shared" si="789"/>
        <v>23.396135100148836</v>
      </c>
      <c r="AV1687" s="101">
        <f t="shared" si="805"/>
        <v>90864</v>
      </c>
      <c r="AW1687" s="99">
        <f t="shared" si="806"/>
        <v>0</v>
      </c>
      <c r="AX1687" s="1">
        <f t="shared" si="807"/>
        <v>0</v>
      </c>
      <c r="AY1687" s="29">
        <f t="shared" si="808"/>
        <v>0</v>
      </c>
      <c r="AZ1687" s="1">
        <f t="shared" si="790"/>
        <v>0</v>
      </c>
      <c r="CB1687" s="20">
        <f t="shared" si="799"/>
        <v>0</v>
      </c>
      <c r="CC1687" s="173">
        <f t="shared" si="791"/>
        <v>0</v>
      </c>
    </row>
    <row r="1688" spans="10:81" x14ac:dyDescent="0.25">
      <c r="J1688" s="9"/>
      <c r="K1688" s="10"/>
      <c r="L1688" s="17"/>
      <c r="M1688" s="23"/>
      <c r="N1688" s="23"/>
      <c r="O1688" s="23"/>
      <c r="P1688" s="23"/>
      <c r="Q1688" s="1">
        <f t="shared" si="792"/>
        <v>0.60744618579017706</v>
      </c>
      <c r="R1688" s="12">
        <f t="shared" ca="1" si="809"/>
        <v>49742</v>
      </c>
      <c r="S1688" s="88">
        <f t="shared" si="818"/>
        <v>0</v>
      </c>
      <c r="T1688" s="19">
        <f t="shared" si="810"/>
        <v>0</v>
      </c>
      <c r="U1688" s="19">
        <f t="shared" si="811"/>
        <v>0</v>
      </c>
      <c r="V1688" s="19">
        <f t="shared" si="797"/>
        <v>0</v>
      </c>
      <c r="W1688" s="20">
        <f t="shared" ca="1" si="812"/>
        <v>0</v>
      </c>
      <c r="X1688" s="19">
        <f t="shared" ca="1" si="813"/>
        <v>0</v>
      </c>
      <c r="Y1688" s="19">
        <f t="shared" ca="1" si="814"/>
        <v>0</v>
      </c>
      <c r="Z1688" s="20">
        <f t="shared" ca="1" si="815"/>
        <v>0</v>
      </c>
      <c r="AA1688" s="1">
        <f t="shared" si="793"/>
        <v>5432.58</v>
      </c>
      <c r="AB1688" s="93"/>
      <c r="AC1688" s="94"/>
      <c r="AD1688" s="101">
        <f t="shared" si="794"/>
        <v>90864</v>
      </c>
      <c r="AE1688" s="103">
        <f t="shared" si="795"/>
        <v>0</v>
      </c>
      <c r="AG1688" s="1">
        <f t="shared" si="816"/>
        <v>0</v>
      </c>
      <c r="AH1688" s="1">
        <f t="shared" si="817"/>
        <v>0</v>
      </c>
      <c r="AI1688" s="1">
        <f t="shared" si="796"/>
        <v>5432.58</v>
      </c>
      <c r="AJ1688" s="20">
        <f t="shared" si="798"/>
        <v>0</v>
      </c>
      <c r="AK1688" s="100">
        <f t="shared" si="800"/>
        <v>0</v>
      </c>
      <c r="AL1688" s="100">
        <f t="shared" si="801"/>
        <v>0</v>
      </c>
      <c r="AN1688" s="100">
        <f t="shared" si="802"/>
        <v>2346.2828028287763</v>
      </c>
      <c r="AO1688" s="20">
        <f t="shared" si="803"/>
        <v>0</v>
      </c>
      <c r="AQ1688" s="109">
        <f t="shared" si="804"/>
        <v>0</v>
      </c>
      <c r="AU1688" s="109">
        <f t="shared" si="789"/>
        <v>23.394081619651114</v>
      </c>
      <c r="AV1688" s="101">
        <f t="shared" si="805"/>
        <v>90894</v>
      </c>
      <c r="AW1688" s="99">
        <f t="shared" si="806"/>
        <v>0</v>
      </c>
      <c r="AX1688" s="1">
        <f t="shared" si="807"/>
        <v>0</v>
      </c>
      <c r="AY1688" s="29">
        <f t="shared" si="808"/>
        <v>0</v>
      </c>
      <c r="AZ1688" s="1">
        <f t="shared" si="790"/>
        <v>0</v>
      </c>
      <c r="CB1688" s="20">
        <f t="shared" si="799"/>
        <v>0</v>
      </c>
      <c r="CC1688" s="173">
        <f t="shared" si="791"/>
        <v>0</v>
      </c>
    </row>
    <row r="1689" spans="10:81" x14ac:dyDescent="0.25">
      <c r="J1689" s="7"/>
      <c r="K1689" s="8"/>
      <c r="L1689" s="16"/>
      <c r="M1689" s="22"/>
      <c r="N1689" s="22"/>
      <c r="O1689" s="22"/>
      <c r="P1689" s="22"/>
      <c r="Q1689" s="1">
        <f t="shared" si="792"/>
        <v>0.60744618579017706</v>
      </c>
      <c r="R1689" s="12">
        <f t="shared" ca="1" si="809"/>
        <v>49772</v>
      </c>
      <c r="S1689" s="88">
        <f t="shared" si="818"/>
        <v>0</v>
      </c>
      <c r="T1689" s="19">
        <f t="shared" si="810"/>
        <v>0</v>
      </c>
      <c r="U1689" s="19">
        <f t="shared" si="811"/>
        <v>0</v>
      </c>
      <c r="V1689" s="19">
        <f t="shared" si="797"/>
        <v>0</v>
      </c>
      <c r="W1689" s="20">
        <f t="shared" ca="1" si="812"/>
        <v>0</v>
      </c>
      <c r="X1689" s="19">
        <f t="shared" ca="1" si="813"/>
        <v>0</v>
      </c>
      <c r="Y1689" s="19">
        <f t="shared" ca="1" si="814"/>
        <v>0</v>
      </c>
      <c r="Z1689" s="20">
        <f t="shared" ca="1" si="815"/>
        <v>0</v>
      </c>
      <c r="AA1689" s="1">
        <f t="shared" si="793"/>
        <v>5432.58</v>
      </c>
      <c r="AB1689" s="91"/>
      <c r="AC1689" s="92"/>
      <c r="AD1689" s="101">
        <f t="shared" si="794"/>
        <v>90894</v>
      </c>
      <c r="AE1689" s="103">
        <f t="shared" si="795"/>
        <v>0</v>
      </c>
      <c r="AG1689" s="1">
        <f t="shared" si="816"/>
        <v>0</v>
      </c>
      <c r="AH1689" s="1">
        <f t="shared" si="817"/>
        <v>0</v>
      </c>
      <c r="AI1689" s="1">
        <f t="shared" si="796"/>
        <v>5432.58</v>
      </c>
      <c r="AJ1689" s="20">
        <f t="shared" si="798"/>
        <v>0</v>
      </c>
      <c r="AK1689" s="100">
        <f t="shared" si="800"/>
        <v>0</v>
      </c>
      <c r="AL1689" s="100">
        <f t="shared" si="801"/>
        <v>0</v>
      </c>
      <c r="AN1689" s="100">
        <f t="shared" si="802"/>
        <v>2345.0957032952088</v>
      </c>
      <c r="AO1689" s="20">
        <f t="shared" si="803"/>
        <v>0</v>
      </c>
      <c r="AQ1689" s="109">
        <f t="shared" si="804"/>
        <v>0</v>
      </c>
      <c r="AU1689" s="109">
        <f t="shared" si="789"/>
        <v>23.392028319387524</v>
      </c>
      <c r="AV1689" s="101">
        <f t="shared" si="805"/>
        <v>90924</v>
      </c>
      <c r="AW1689" s="99">
        <f t="shared" si="806"/>
        <v>0</v>
      </c>
      <c r="AX1689" s="1">
        <f t="shared" si="807"/>
        <v>0</v>
      </c>
      <c r="AY1689" s="29">
        <f t="shared" si="808"/>
        <v>0</v>
      </c>
      <c r="AZ1689" s="1">
        <f t="shared" si="790"/>
        <v>0</v>
      </c>
      <c r="CB1689" s="20">
        <f t="shared" si="799"/>
        <v>0</v>
      </c>
      <c r="CC1689" s="173">
        <f t="shared" si="791"/>
        <v>0</v>
      </c>
    </row>
    <row r="1690" spans="10:81" x14ac:dyDescent="0.25">
      <c r="J1690" s="9"/>
      <c r="K1690" s="10"/>
      <c r="L1690" s="17"/>
      <c r="M1690" s="23"/>
      <c r="N1690" s="23"/>
      <c r="O1690" s="23"/>
      <c r="P1690" s="23"/>
      <c r="Q1690" s="1">
        <f t="shared" si="792"/>
        <v>0.60744618579017706</v>
      </c>
      <c r="R1690" s="12">
        <f t="shared" ca="1" si="809"/>
        <v>49802</v>
      </c>
      <c r="S1690" s="88">
        <f t="shared" si="818"/>
        <v>0</v>
      </c>
      <c r="T1690" s="19">
        <f t="shared" si="810"/>
        <v>0</v>
      </c>
      <c r="U1690" s="19">
        <f t="shared" si="811"/>
        <v>0</v>
      </c>
      <c r="V1690" s="19">
        <f t="shared" si="797"/>
        <v>0</v>
      </c>
      <c r="W1690" s="20">
        <f t="shared" ca="1" si="812"/>
        <v>0</v>
      </c>
      <c r="X1690" s="19">
        <f t="shared" ca="1" si="813"/>
        <v>0</v>
      </c>
      <c r="Y1690" s="19">
        <f t="shared" ca="1" si="814"/>
        <v>0</v>
      </c>
      <c r="Z1690" s="20">
        <f t="shared" ca="1" si="815"/>
        <v>0</v>
      </c>
      <c r="AA1690" s="1">
        <f t="shared" si="793"/>
        <v>5432.58</v>
      </c>
      <c r="AB1690" s="93"/>
      <c r="AC1690" s="94"/>
      <c r="AD1690" s="101">
        <f t="shared" si="794"/>
        <v>90924</v>
      </c>
      <c r="AE1690" s="103">
        <f t="shared" si="795"/>
        <v>0</v>
      </c>
      <c r="AG1690" s="1">
        <f t="shared" si="816"/>
        <v>0</v>
      </c>
      <c r="AH1690" s="1">
        <f t="shared" si="817"/>
        <v>0</v>
      </c>
      <c r="AI1690" s="1">
        <f t="shared" si="796"/>
        <v>5432.58</v>
      </c>
      <c r="AJ1690" s="20">
        <f t="shared" si="798"/>
        <v>0</v>
      </c>
      <c r="AK1690" s="100">
        <f t="shared" si="800"/>
        <v>0</v>
      </c>
      <c r="AL1690" s="100">
        <f t="shared" si="801"/>
        <v>0</v>
      </c>
      <c r="AN1690" s="100">
        <f t="shared" si="802"/>
        <v>2343.9092043735127</v>
      </c>
      <c r="AO1690" s="20">
        <f t="shared" si="803"/>
        <v>0</v>
      </c>
      <c r="AQ1690" s="109">
        <f t="shared" si="804"/>
        <v>0</v>
      </c>
      <c r="AU1690" s="109">
        <f t="shared" si="789"/>
        <v>23.389975199342253</v>
      </c>
      <c r="AV1690" s="101">
        <f t="shared" si="805"/>
        <v>90954</v>
      </c>
      <c r="AW1690" s="99">
        <f t="shared" si="806"/>
        <v>0</v>
      </c>
      <c r="AX1690" s="1">
        <f t="shared" si="807"/>
        <v>0</v>
      </c>
      <c r="AY1690" s="29">
        <f t="shared" si="808"/>
        <v>0</v>
      </c>
      <c r="AZ1690" s="1">
        <f t="shared" si="790"/>
        <v>0</v>
      </c>
      <c r="CB1690" s="20">
        <f t="shared" si="799"/>
        <v>0</v>
      </c>
      <c r="CC1690" s="173">
        <f t="shared" si="791"/>
        <v>0</v>
      </c>
    </row>
    <row r="1691" spans="10:81" x14ac:dyDescent="0.25">
      <c r="J1691" s="7"/>
      <c r="K1691" s="8"/>
      <c r="L1691" s="16"/>
      <c r="M1691" s="22"/>
      <c r="N1691" s="22"/>
      <c r="O1691" s="22"/>
      <c r="P1691" s="22"/>
      <c r="Q1691" s="1">
        <f t="shared" si="792"/>
        <v>0.60744618579017706</v>
      </c>
      <c r="R1691" s="12">
        <f t="shared" ca="1" si="809"/>
        <v>49832</v>
      </c>
      <c r="S1691" s="88">
        <f t="shared" si="818"/>
        <v>0</v>
      </c>
      <c r="T1691" s="19">
        <f t="shared" si="810"/>
        <v>0</v>
      </c>
      <c r="U1691" s="19">
        <f t="shared" si="811"/>
        <v>0</v>
      </c>
      <c r="V1691" s="19">
        <f t="shared" si="797"/>
        <v>0</v>
      </c>
      <c r="W1691" s="20">
        <f t="shared" ca="1" si="812"/>
        <v>0</v>
      </c>
      <c r="X1691" s="19">
        <f t="shared" ca="1" si="813"/>
        <v>0</v>
      </c>
      <c r="Y1691" s="19">
        <f t="shared" ca="1" si="814"/>
        <v>0</v>
      </c>
      <c r="Z1691" s="20">
        <f t="shared" ca="1" si="815"/>
        <v>0</v>
      </c>
      <c r="AA1691" s="1">
        <f t="shared" si="793"/>
        <v>5432.58</v>
      </c>
      <c r="AB1691" s="91"/>
      <c r="AC1691" s="92"/>
      <c r="AD1691" s="101">
        <f t="shared" si="794"/>
        <v>90954</v>
      </c>
      <c r="AE1691" s="103">
        <f t="shared" si="795"/>
        <v>0</v>
      </c>
      <c r="AG1691" s="1">
        <f t="shared" si="816"/>
        <v>0</v>
      </c>
      <c r="AH1691" s="1">
        <f t="shared" si="817"/>
        <v>0</v>
      </c>
      <c r="AI1691" s="1">
        <f t="shared" si="796"/>
        <v>5432.58</v>
      </c>
      <c r="AJ1691" s="20">
        <f t="shared" si="798"/>
        <v>0</v>
      </c>
      <c r="AK1691" s="100">
        <f t="shared" si="800"/>
        <v>0</v>
      </c>
      <c r="AL1691" s="100">
        <f t="shared" si="801"/>
        <v>0</v>
      </c>
      <c r="AN1691" s="100">
        <f t="shared" si="802"/>
        <v>2342.7233057598073</v>
      </c>
      <c r="AO1691" s="20">
        <f t="shared" si="803"/>
        <v>0</v>
      </c>
      <c r="AQ1691" s="109">
        <f t="shared" si="804"/>
        <v>0</v>
      </c>
      <c r="AU1691" s="109">
        <f t="shared" si="789"/>
        <v>23.387922259499469</v>
      </c>
      <c r="AV1691" s="101">
        <f t="shared" si="805"/>
        <v>90984</v>
      </c>
      <c r="AW1691" s="99">
        <f t="shared" si="806"/>
        <v>0</v>
      </c>
      <c r="AX1691" s="1">
        <f t="shared" si="807"/>
        <v>0</v>
      </c>
      <c r="AY1691" s="29">
        <f t="shared" si="808"/>
        <v>0</v>
      </c>
      <c r="AZ1691" s="1">
        <f t="shared" si="790"/>
        <v>0</v>
      </c>
      <c r="CB1691" s="20">
        <f t="shared" si="799"/>
        <v>0</v>
      </c>
      <c r="CC1691" s="173">
        <f t="shared" si="791"/>
        <v>0</v>
      </c>
    </row>
    <row r="1692" spans="10:81" x14ac:dyDescent="0.25">
      <c r="J1692" s="9"/>
      <c r="K1692" s="10"/>
      <c r="L1692" s="17"/>
      <c r="M1692" s="23"/>
      <c r="N1692" s="23"/>
      <c r="O1692" s="23"/>
      <c r="P1692" s="23"/>
      <c r="Q1692" s="1">
        <f t="shared" si="792"/>
        <v>0.60744618579017706</v>
      </c>
      <c r="R1692" s="12">
        <f t="shared" ca="1" si="809"/>
        <v>49862</v>
      </c>
      <c r="S1692" s="88">
        <f t="shared" si="818"/>
        <v>0</v>
      </c>
      <c r="T1692" s="19">
        <f t="shared" si="810"/>
        <v>0</v>
      </c>
      <c r="U1692" s="19">
        <f t="shared" si="811"/>
        <v>0</v>
      </c>
      <c r="V1692" s="19">
        <f t="shared" si="797"/>
        <v>0</v>
      </c>
      <c r="W1692" s="20">
        <f t="shared" ca="1" si="812"/>
        <v>0</v>
      </c>
      <c r="X1692" s="19">
        <f t="shared" ca="1" si="813"/>
        <v>0</v>
      </c>
      <c r="Y1692" s="19">
        <f t="shared" ca="1" si="814"/>
        <v>0</v>
      </c>
      <c r="Z1692" s="20">
        <f t="shared" ca="1" si="815"/>
        <v>0</v>
      </c>
      <c r="AA1692" s="1">
        <f t="shared" si="793"/>
        <v>5432.58</v>
      </c>
      <c r="AB1692" s="93"/>
      <c r="AC1692" s="94"/>
      <c r="AD1692" s="101">
        <f t="shared" si="794"/>
        <v>90984</v>
      </c>
      <c r="AE1692" s="103">
        <f t="shared" si="795"/>
        <v>0</v>
      </c>
      <c r="AG1692" s="1">
        <f t="shared" si="816"/>
        <v>0</v>
      </c>
      <c r="AH1692" s="1">
        <f t="shared" si="817"/>
        <v>0</v>
      </c>
      <c r="AI1692" s="1">
        <f t="shared" si="796"/>
        <v>5432.58</v>
      </c>
      <c r="AJ1692" s="20">
        <f t="shared" si="798"/>
        <v>0</v>
      </c>
      <c r="AK1692" s="100">
        <f t="shared" si="800"/>
        <v>0</v>
      </c>
      <c r="AL1692" s="100">
        <f t="shared" si="801"/>
        <v>0</v>
      </c>
      <c r="AN1692" s="100">
        <f t="shared" si="802"/>
        <v>2341.5380071503691</v>
      </c>
      <c r="AO1692" s="20">
        <f t="shared" si="803"/>
        <v>0</v>
      </c>
      <c r="AQ1692" s="109">
        <f t="shared" si="804"/>
        <v>0</v>
      </c>
      <c r="AU1692" s="109">
        <f t="shared" si="789"/>
        <v>23.38586949984338</v>
      </c>
      <c r="AV1692" s="101">
        <f t="shared" si="805"/>
        <v>91014</v>
      </c>
      <c r="AW1692" s="99">
        <f t="shared" si="806"/>
        <v>0</v>
      </c>
      <c r="AX1692" s="1">
        <f t="shared" si="807"/>
        <v>0</v>
      </c>
      <c r="AY1692" s="29">
        <f t="shared" si="808"/>
        <v>0</v>
      </c>
      <c r="AZ1692" s="1">
        <f t="shared" si="790"/>
        <v>0</v>
      </c>
      <c r="CB1692" s="20">
        <f t="shared" si="799"/>
        <v>0</v>
      </c>
      <c r="CC1692" s="173">
        <f t="shared" si="791"/>
        <v>0</v>
      </c>
    </row>
    <row r="1693" spans="10:81" x14ac:dyDescent="0.25">
      <c r="J1693" s="7"/>
      <c r="K1693" s="8"/>
      <c r="L1693" s="16"/>
      <c r="M1693" s="22"/>
      <c r="N1693" s="22"/>
      <c r="O1693" s="22"/>
      <c r="P1693" s="22"/>
      <c r="Q1693" s="1">
        <f t="shared" si="792"/>
        <v>0.60744618579017706</v>
      </c>
      <c r="R1693" s="12">
        <f t="shared" ca="1" si="809"/>
        <v>49892</v>
      </c>
      <c r="S1693" s="88">
        <f t="shared" si="818"/>
        <v>0</v>
      </c>
      <c r="T1693" s="19">
        <f t="shared" si="810"/>
        <v>0</v>
      </c>
      <c r="U1693" s="19">
        <f t="shared" si="811"/>
        <v>0</v>
      </c>
      <c r="V1693" s="19">
        <f t="shared" si="797"/>
        <v>0</v>
      </c>
      <c r="W1693" s="20">
        <f t="shared" ca="1" si="812"/>
        <v>0</v>
      </c>
      <c r="X1693" s="19">
        <f t="shared" ca="1" si="813"/>
        <v>0</v>
      </c>
      <c r="Y1693" s="19">
        <f t="shared" ca="1" si="814"/>
        <v>0</v>
      </c>
      <c r="Z1693" s="20">
        <f t="shared" ca="1" si="815"/>
        <v>0</v>
      </c>
      <c r="AA1693" s="1">
        <f t="shared" si="793"/>
        <v>5432.58</v>
      </c>
      <c r="AB1693" s="91"/>
      <c r="AC1693" s="92"/>
      <c r="AD1693" s="101">
        <f t="shared" si="794"/>
        <v>91014</v>
      </c>
      <c r="AE1693" s="103">
        <f t="shared" si="795"/>
        <v>0</v>
      </c>
      <c r="AG1693" s="1">
        <f t="shared" si="816"/>
        <v>0</v>
      </c>
      <c r="AH1693" s="1">
        <f t="shared" si="817"/>
        <v>0</v>
      </c>
      <c r="AI1693" s="1">
        <f t="shared" si="796"/>
        <v>5432.58</v>
      </c>
      <c r="AJ1693" s="20">
        <f t="shared" si="798"/>
        <v>0</v>
      </c>
      <c r="AK1693" s="100">
        <f t="shared" si="800"/>
        <v>0</v>
      </c>
      <c r="AL1693" s="100">
        <f t="shared" si="801"/>
        <v>0</v>
      </c>
      <c r="AN1693" s="100">
        <f t="shared" si="802"/>
        <v>2340.3533082416247</v>
      </c>
      <c r="AO1693" s="20">
        <f t="shared" si="803"/>
        <v>0</v>
      </c>
      <c r="AQ1693" s="109">
        <f t="shared" si="804"/>
        <v>0</v>
      </c>
      <c r="AU1693" s="109">
        <f t="shared" si="789"/>
        <v>23.383816920358154</v>
      </c>
      <c r="AV1693" s="101">
        <f t="shared" si="805"/>
        <v>91044</v>
      </c>
      <c r="AW1693" s="99">
        <f t="shared" si="806"/>
        <v>0</v>
      </c>
      <c r="AX1693" s="1">
        <f t="shared" si="807"/>
        <v>0</v>
      </c>
      <c r="AY1693" s="29">
        <f t="shared" si="808"/>
        <v>0</v>
      </c>
      <c r="AZ1693" s="1">
        <f t="shared" si="790"/>
        <v>0</v>
      </c>
      <c r="CB1693" s="20">
        <f t="shared" si="799"/>
        <v>0</v>
      </c>
      <c r="CC1693" s="173">
        <f t="shared" si="791"/>
        <v>0</v>
      </c>
    </row>
    <row r="1694" spans="10:81" x14ac:dyDescent="0.25">
      <c r="J1694" s="9"/>
      <c r="K1694" s="10"/>
      <c r="L1694" s="17"/>
      <c r="M1694" s="23"/>
      <c r="N1694" s="23"/>
      <c r="O1694" s="23"/>
      <c r="P1694" s="23"/>
      <c r="Q1694" s="1">
        <f t="shared" si="792"/>
        <v>0.60744618579017706</v>
      </c>
      <c r="R1694" s="12">
        <f t="shared" ca="1" si="809"/>
        <v>49922</v>
      </c>
      <c r="S1694" s="88">
        <f t="shared" si="818"/>
        <v>0</v>
      </c>
      <c r="T1694" s="19">
        <f t="shared" si="810"/>
        <v>0</v>
      </c>
      <c r="U1694" s="19">
        <f t="shared" si="811"/>
        <v>0</v>
      </c>
      <c r="V1694" s="19">
        <f t="shared" si="797"/>
        <v>0</v>
      </c>
      <c r="W1694" s="20">
        <f t="shared" ca="1" si="812"/>
        <v>0</v>
      </c>
      <c r="X1694" s="19">
        <f t="shared" ca="1" si="813"/>
        <v>0</v>
      </c>
      <c r="Y1694" s="19">
        <f t="shared" ca="1" si="814"/>
        <v>0</v>
      </c>
      <c r="Z1694" s="20">
        <f t="shared" ca="1" si="815"/>
        <v>0</v>
      </c>
      <c r="AA1694" s="1">
        <f t="shared" si="793"/>
        <v>5432.58</v>
      </c>
      <c r="AB1694" s="93"/>
      <c r="AC1694" s="94"/>
      <c r="AD1694" s="101">
        <f t="shared" si="794"/>
        <v>91044</v>
      </c>
      <c r="AE1694" s="103">
        <f t="shared" si="795"/>
        <v>0</v>
      </c>
      <c r="AG1694" s="1">
        <f t="shared" si="816"/>
        <v>0</v>
      </c>
      <c r="AH1694" s="1">
        <f t="shared" si="817"/>
        <v>0</v>
      </c>
      <c r="AI1694" s="1">
        <f t="shared" si="796"/>
        <v>5432.58</v>
      </c>
      <c r="AJ1694" s="20">
        <f t="shared" si="798"/>
        <v>0</v>
      </c>
      <c r="AK1694" s="100">
        <f t="shared" si="800"/>
        <v>0</v>
      </c>
      <c r="AL1694" s="100">
        <f t="shared" si="801"/>
        <v>0</v>
      </c>
      <c r="AN1694" s="100">
        <f t="shared" si="802"/>
        <v>2339.1692087301576</v>
      </c>
      <c r="AO1694" s="20">
        <f t="shared" si="803"/>
        <v>0</v>
      </c>
      <c r="AQ1694" s="109">
        <f t="shared" si="804"/>
        <v>0</v>
      </c>
      <c r="AU1694" s="109">
        <f t="shared" si="789"/>
        <v>23.381764521027982</v>
      </c>
      <c r="AV1694" s="101">
        <f t="shared" si="805"/>
        <v>91074</v>
      </c>
      <c r="AW1694" s="99">
        <f t="shared" si="806"/>
        <v>0</v>
      </c>
      <c r="AX1694" s="1">
        <f t="shared" si="807"/>
        <v>0</v>
      </c>
      <c r="AY1694" s="29">
        <f t="shared" si="808"/>
        <v>0</v>
      </c>
      <c r="AZ1694" s="1">
        <f t="shared" si="790"/>
        <v>0</v>
      </c>
      <c r="CB1694" s="20">
        <f t="shared" si="799"/>
        <v>0</v>
      </c>
      <c r="CC1694" s="173">
        <f t="shared" si="791"/>
        <v>0</v>
      </c>
    </row>
    <row r="1695" spans="10:81" x14ac:dyDescent="0.25">
      <c r="J1695" s="7"/>
      <c r="K1695" s="8"/>
      <c r="L1695" s="16"/>
      <c r="M1695" s="22"/>
      <c r="N1695" s="22"/>
      <c r="O1695" s="22"/>
      <c r="P1695" s="22"/>
      <c r="Q1695" s="1">
        <f t="shared" si="792"/>
        <v>0.60744618579017706</v>
      </c>
      <c r="R1695" s="12">
        <f t="shared" ca="1" si="809"/>
        <v>49952</v>
      </c>
      <c r="S1695" s="88">
        <f t="shared" si="818"/>
        <v>0</v>
      </c>
      <c r="T1695" s="19">
        <f t="shared" si="810"/>
        <v>0</v>
      </c>
      <c r="U1695" s="19">
        <f t="shared" si="811"/>
        <v>0</v>
      </c>
      <c r="V1695" s="19">
        <f t="shared" si="797"/>
        <v>0</v>
      </c>
      <c r="W1695" s="20">
        <f t="shared" ca="1" si="812"/>
        <v>0</v>
      </c>
      <c r="X1695" s="19">
        <f t="shared" ca="1" si="813"/>
        <v>0</v>
      </c>
      <c r="Y1695" s="19">
        <f t="shared" ca="1" si="814"/>
        <v>0</v>
      </c>
      <c r="Z1695" s="20">
        <f t="shared" ca="1" si="815"/>
        <v>0</v>
      </c>
      <c r="AA1695" s="1">
        <f t="shared" si="793"/>
        <v>5432.58</v>
      </c>
      <c r="AB1695" s="91"/>
      <c r="AC1695" s="92"/>
      <c r="AD1695" s="101">
        <f t="shared" si="794"/>
        <v>91074</v>
      </c>
      <c r="AE1695" s="103">
        <f t="shared" si="795"/>
        <v>0</v>
      </c>
      <c r="AG1695" s="1">
        <f t="shared" si="816"/>
        <v>0</v>
      </c>
      <c r="AH1695" s="1">
        <f t="shared" si="817"/>
        <v>0</v>
      </c>
      <c r="AI1695" s="1">
        <f t="shared" si="796"/>
        <v>5432.58</v>
      </c>
      <c r="AJ1695" s="20">
        <f t="shared" si="798"/>
        <v>0</v>
      </c>
      <c r="AK1695" s="100">
        <f t="shared" si="800"/>
        <v>0</v>
      </c>
      <c r="AL1695" s="100">
        <f t="shared" si="801"/>
        <v>0</v>
      </c>
      <c r="AN1695" s="100">
        <f t="shared" si="802"/>
        <v>2337.9857083127017</v>
      </c>
      <c r="AO1695" s="20">
        <f t="shared" si="803"/>
        <v>0</v>
      </c>
      <c r="AQ1695" s="109">
        <f t="shared" si="804"/>
        <v>0</v>
      </c>
      <c r="AU1695" s="109">
        <f t="shared" ref="AU1695:AU1758" si="819">(($AT$27/(1+((1+$AM$27)^(ROW()-29)*30)-1))/292)*0.32</f>
        <v>23.379712301837046</v>
      </c>
      <c r="AV1695" s="101">
        <f t="shared" si="805"/>
        <v>91104</v>
      </c>
      <c r="AW1695" s="99">
        <f t="shared" si="806"/>
        <v>0</v>
      </c>
      <c r="AX1695" s="1">
        <f t="shared" si="807"/>
        <v>0</v>
      </c>
      <c r="AY1695" s="29">
        <f t="shared" si="808"/>
        <v>0</v>
      </c>
      <c r="AZ1695" s="1">
        <f t="shared" ref="AZ1695:AZ1758" si="820">AY1695/360</f>
        <v>0</v>
      </c>
      <c r="CB1695" s="20">
        <f t="shared" si="799"/>
        <v>0</v>
      </c>
      <c r="CC1695" s="173">
        <f t="shared" ref="CC1695:CC1758" si="821">AJ1695+U1695+T1695</f>
        <v>0</v>
      </c>
    </row>
    <row r="1696" spans="10:81" x14ac:dyDescent="0.25">
      <c r="J1696" s="9"/>
      <c r="K1696" s="10"/>
      <c r="L1696" s="17"/>
      <c r="M1696" s="23"/>
      <c r="N1696" s="23"/>
      <c r="O1696" s="23"/>
      <c r="P1696" s="23"/>
      <c r="Q1696" s="1">
        <f t="shared" ref="Q1696:Q1759" si="822">IF(M1696=0,Q1695,(M1696*1200)/O1695)</f>
        <v>0.60744618579017706</v>
      </c>
      <c r="R1696" s="12">
        <f t="shared" ca="1" si="809"/>
        <v>49982</v>
      </c>
      <c r="S1696" s="88">
        <f t="shared" si="818"/>
        <v>0</v>
      </c>
      <c r="T1696" s="19">
        <f t="shared" si="810"/>
        <v>0</v>
      </c>
      <c r="U1696" s="19">
        <f t="shared" si="811"/>
        <v>0</v>
      </c>
      <c r="V1696" s="19">
        <f t="shared" si="797"/>
        <v>0</v>
      </c>
      <c r="W1696" s="20">
        <f t="shared" ca="1" si="812"/>
        <v>0</v>
      </c>
      <c r="X1696" s="19">
        <f t="shared" ca="1" si="813"/>
        <v>0</v>
      </c>
      <c r="Y1696" s="19">
        <f t="shared" ca="1" si="814"/>
        <v>0</v>
      </c>
      <c r="Z1696" s="20">
        <f t="shared" ca="1" si="815"/>
        <v>0</v>
      </c>
      <c r="AA1696" s="1">
        <f t="shared" ref="AA1696:AA1759" si="823">IF(S1696=0,AA1695,N1696)</f>
        <v>5432.58</v>
      </c>
      <c r="AB1696" s="93"/>
      <c r="AC1696" s="94"/>
      <c r="AD1696" s="101">
        <f t="shared" ref="AD1696:AD1759" si="824">IF(M1696=0,AD1695+30,K1696)</f>
        <v>91104</v>
      </c>
      <c r="AE1696" s="103">
        <f t="shared" ref="AE1696:AE1759" si="825">IF(V1696=0,0,R1696)</f>
        <v>0</v>
      </c>
      <c r="AG1696" s="1">
        <f t="shared" si="816"/>
        <v>0</v>
      </c>
      <c r="AH1696" s="1">
        <f t="shared" si="817"/>
        <v>0</v>
      </c>
      <c r="AI1696" s="1">
        <f t="shared" ref="AI1696:AI1759" si="826">IF(M1696-1=0,IF(M1696=0,IF(V1696=0,N1696,AI1695),AA1696),AA1696)</f>
        <v>5432.58</v>
      </c>
      <c r="AJ1696" s="20">
        <f t="shared" si="798"/>
        <v>0</v>
      </c>
      <c r="AK1696" s="100">
        <f t="shared" si="800"/>
        <v>0</v>
      </c>
      <c r="AL1696" s="100">
        <f t="shared" si="801"/>
        <v>0</v>
      </c>
      <c r="AN1696" s="100">
        <f t="shared" si="802"/>
        <v>2336.8028066861471</v>
      </c>
      <c r="AO1696" s="20">
        <f t="shared" si="803"/>
        <v>0</v>
      </c>
      <c r="AQ1696" s="109">
        <f t="shared" si="804"/>
        <v>0</v>
      </c>
      <c r="AU1696" s="109">
        <f t="shared" si="819"/>
        <v>23.377660262769542</v>
      </c>
      <c r="AV1696" s="101">
        <f t="shared" si="805"/>
        <v>91134</v>
      </c>
      <c r="AW1696" s="99">
        <f t="shared" si="806"/>
        <v>0</v>
      </c>
      <c r="AX1696" s="1">
        <f t="shared" si="807"/>
        <v>0</v>
      </c>
      <c r="AY1696" s="29">
        <f t="shared" si="808"/>
        <v>0</v>
      </c>
      <c r="AZ1696" s="1">
        <f t="shared" si="820"/>
        <v>0</v>
      </c>
      <c r="CB1696" s="20">
        <f t="shared" si="799"/>
        <v>0</v>
      </c>
      <c r="CC1696" s="173">
        <f t="shared" si="821"/>
        <v>0</v>
      </c>
    </row>
    <row r="1697" spans="10:81" x14ac:dyDescent="0.25">
      <c r="J1697" s="7"/>
      <c r="K1697" s="8"/>
      <c r="L1697" s="16"/>
      <c r="M1697" s="22"/>
      <c r="N1697" s="22"/>
      <c r="O1697" s="22"/>
      <c r="P1697" s="22"/>
      <c r="Q1697" s="1">
        <f t="shared" si="822"/>
        <v>0.60744618579017706</v>
      </c>
      <c r="R1697" s="12">
        <f t="shared" ca="1" si="809"/>
        <v>50012</v>
      </c>
      <c r="S1697" s="88">
        <f t="shared" si="818"/>
        <v>0</v>
      </c>
      <c r="T1697" s="19">
        <f t="shared" si="810"/>
        <v>0</v>
      </c>
      <c r="U1697" s="19">
        <f t="shared" si="811"/>
        <v>0</v>
      </c>
      <c r="V1697" s="19">
        <f t="shared" si="797"/>
        <v>0</v>
      </c>
      <c r="W1697" s="20">
        <f t="shared" ca="1" si="812"/>
        <v>0</v>
      </c>
      <c r="X1697" s="19">
        <f t="shared" ca="1" si="813"/>
        <v>0</v>
      </c>
      <c r="Y1697" s="19">
        <f t="shared" ca="1" si="814"/>
        <v>0</v>
      </c>
      <c r="Z1697" s="20">
        <f t="shared" ca="1" si="815"/>
        <v>0</v>
      </c>
      <c r="AA1697" s="1">
        <f t="shared" si="823"/>
        <v>5432.58</v>
      </c>
      <c r="AB1697" s="91"/>
      <c r="AC1697" s="92"/>
      <c r="AD1697" s="101">
        <f t="shared" si="824"/>
        <v>91134</v>
      </c>
      <c r="AE1697" s="103">
        <f t="shared" si="825"/>
        <v>0</v>
      </c>
      <c r="AG1697" s="1">
        <f t="shared" si="816"/>
        <v>0</v>
      </c>
      <c r="AH1697" s="1">
        <f t="shared" si="817"/>
        <v>0</v>
      </c>
      <c r="AI1697" s="1">
        <f t="shared" si="826"/>
        <v>5432.58</v>
      </c>
      <c r="AJ1697" s="20">
        <f t="shared" si="798"/>
        <v>0</v>
      </c>
      <c r="AK1697" s="100">
        <f t="shared" si="800"/>
        <v>0</v>
      </c>
      <c r="AL1697" s="100">
        <f t="shared" si="801"/>
        <v>0</v>
      </c>
      <c r="AN1697" s="100">
        <f t="shared" si="802"/>
        <v>2335.6205035475355</v>
      </c>
      <c r="AO1697" s="20">
        <f t="shared" si="803"/>
        <v>0</v>
      </c>
      <c r="AQ1697" s="109">
        <f t="shared" si="804"/>
        <v>0</v>
      </c>
      <c r="AU1697" s="109">
        <f t="shared" si="819"/>
        <v>23.37560840380965</v>
      </c>
      <c r="AV1697" s="101">
        <f t="shared" si="805"/>
        <v>91164</v>
      </c>
      <c r="AW1697" s="99">
        <f t="shared" si="806"/>
        <v>0</v>
      </c>
      <c r="AX1697" s="1">
        <f t="shared" si="807"/>
        <v>0</v>
      </c>
      <c r="AY1697" s="29">
        <f t="shared" si="808"/>
        <v>0</v>
      </c>
      <c r="AZ1697" s="1">
        <f t="shared" si="820"/>
        <v>0</v>
      </c>
      <c r="CB1697" s="20">
        <f t="shared" si="799"/>
        <v>0</v>
      </c>
      <c r="CC1697" s="173">
        <f t="shared" si="821"/>
        <v>0</v>
      </c>
    </row>
    <row r="1698" spans="10:81" x14ac:dyDescent="0.25">
      <c r="J1698" s="9"/>
      <c r="K1698" s="10"/>
      <c r="L1698" s="17"/>
      <c r="M1698" s="23"/>
      <c r="N1698" s="23"/>
      <c r="O1698" s="23"/>
      <c r="P1698" s="23"/>
      <c r="Q1698" s="1">
        <f t="shared" si="822"/>
        <v>0.60744618579017706</v>
      </c>
      <c r="R1698" s="12">
        <f t="shared" ca="1" si="809"/>
        <v>50042</v>
      </c>
      <c r="S1698" s="88">
        <f t="shared" si="818"/>
        <v>0</v>
      </c>
      <c r="T1698" s="19">
        <f t="shared" si="810"/>
        <v>0</v>
      </c>
      <c r="U1698" s="19">
        <f t="shared" si="811"/>
        <v>0</v>
      </c>
      <c r="V1698" s="19">
        <f t="shared" ref="V1698:V1761" si="827">IF(ISERROR(IF(V1697+U1698+T1698+(V1697*Q1698/1200)-AA1698-P1698&lt;0,0,V1697+U1698+T1698-AA1698-P1698)),0,IF(V1697+U1698+T1698+(V1697*Q1698/1200)-AA1698-CB1698&lt;0,0,V1697+U1698+T1698-AA1698-CB1698))</f>
        <v>0</v>
      </c>
      <c r="W1698" s="20">
        <f t="shared" ca="1" si="812"/>
        <v>0</v>
      </c>
      <c r="X1698" s="19">
        <f t="shared" ca="1" si="813"/>
        <v>0</v>
      </c>
      <c r="Y1698" s="19">
        <f t="shared" ca="1" si="814"/>
        <v>0</v>
      </c>
      <c r="Z1698" s="20">
        <f t="shared" ca="1" si="815"/>
        <v>0</v>
      </c>
      <c r="AA1698" s="1">
        <f t="shared" si="823"/>
        <v>5432.58</v>
      </c>
      <c r="AB1698" s="93"/>
      <c r="AC1698" s="94"/>
      <c r="AD1698" s="101">
        <f t="shared" si="824"/>
        <v>91164</v>
      </c>
      <c r="AE1698" s="103">
        <f t="shared" si="825"/>
        <v>0</v>
      </c>
      <c r="AG1698" s="1">
        <f t="shared" si="816"/>
        <v>0</v>
      </c>
      <c r="AH1698" s="1">
        <f t="shared" si="817"/>
        <v>0</v>
      </c>
      <c r="AI1698" s="1">
        <f t="shared" si="826"/>
        <v>5432.58</v>
      </c>
      <c r="AJ1698" s="20">
        <f t="shared" si="798"/>
        <v>0</v>
      </c>
      <c r="AK1698" s="100">
        <f t="shared" si="800"/>
        <v>0</v>
      </c>
      <c r="AL1698" s="100">
        <f t="shared" si="801"/>
        <v>0</v>
      </c>
      <c r="AN1698" s="100">
        <f t="shared" si="802"/>
        <v>2334.4387985940634</v>
      </c>
      <c r="AO1698" s="20">
        <f t="shared" si="803"/>
        <v>0</v>
      </c>
      <c r="AQ1698" s="109">
        <f t="shared" si="804"/>
        <v>0</v>
      </c>
      <c r="AU1698" s="109">
        <f t="shared" si="819"/>
        <v>23.373556724941576</v>
      </c>
      <c r="AV1698" s="101">
        <f t="shared" si="805"/>
        <v>91194</v>
      </c>
      <c r="AW1698" s="99">
        <f t="shared" si="806"/>
        <v>0</v>
      </c>
      <c r="AX1698" s="1">
        <f t="shared" si="807"/>
        <v>0</v>
      </c>
      <c r="AY1698" s="29">
        <f t="shared" si="808"/>
        <v>0</v>
      </c>
      <c r="AZ1698" s="1">
        <f t="shared" si="820"/>
        <v>0</v>
      </c>
      <c r="CB1698" s="20">
        <f t="shared" si="799"/>
        <v>0</v>
      </c>
      <c r="CC1698" s="173">
        <f t="shared" si="821"/>
        <v>0</v>
      </c>
    </row>
    <row r="1699" spans="10:81" x14ac:dyDescent="0.25">
      <c r="J1699" s="7"/>
      <c r="K1699" s="8"/>
      <c r="L1699" s="16"/>
      <c r="M1699" s="22"/>
      <c r="N1699" s="22"/>
      <c r="O1699" s="22"/>
      <c r="P1699" s="22"/>
      <c r="Q1699" s="1">
        <f t="shared" si="822"/>
        <v>0.60744618579017706</v>
      </c>
      <c r="R1699" s="12">
        <f t="shared" ca="1" si="809"/>
        <v>50072</v>
      </c>
      <c r="S1699" s="88">
        <f t="shared" si="818"/>
        <v>0</v>
      </c>
      <c r="T1699" s="19">
        <f t="shared" si="810"/>
        <v>0</v>
      </c>
      <c r="U1699" s="19">
        <f t="shared" si="811"/>
        <v>0</v>
      </c>
      <c r="V1699" s="19">
        <f t="shared" si="827"/>
        <v>0</v>
      </c>
      <c r="W1699" s="20">
        <f t="shared" ca="1" si="812"/>
        <v>0</v>
      </c>
      <c r="X1699" s="19">
        <f t="shared" ca="1" si="813"/>
        <v>0</v>
      </c>
      <c r="Y1699" s="19">
        <f t="shared" ca="1" si="814"/>
        <v>0</v>
      </c>
      <c r="Z1699" s="20">
        <f t="shared" ca="1" si="815"/>
        <v>0</v>
      </c>
      <c r="AA1699" s="1">
        <f t="shared" si="823"/>
        <v>5432.58</v>
      </c>
      <c r="AB1699" s="91"/>
      <c r="AC1699" s="92"/>
      <c r="AD1699" s="101">
        <f t="shared" si="824"/>
        <v>91194</v>
      </c>
      <c r="AE1699" s="103">
        <f t="shared" si="825"/>
        <v>0</v>
      </c>
      <c r="AG1699" s="1">
        <f t="shared" si="816"/>
        <v>0</v>
      </c>
      <c r="AH1699" s="1">
        <f t="shared" si="817"/>
        <v>0</v>
      </c>
      <c r="AI1699" s="1">
        <f t="shared" si="826"/>
        <v>5432.58</v>
      </c>
      <c r="AJ1699" s="20">
        <f t="shared" si="798"/>
        <v>0</v>
      </c>
      <c r="AK1699" s="100">
        <f t="shared" si="800"/>
        <v>0</v>
      </c>
      <c r="AL1699" s="100">
        <f t="shared" si="801"/>
        <v>0</v>
      </c>
      <c r="AN1699" s="100">
        <f t="shared" si="802"/>
        <v>2333.2576915230784</v>
      </c>
      <c r="AO1699" s="20">
        <f t="shared" si="803"/>
        <v>0</v>
      </c>
      <c r="AQ1699" s="109">
        <f t="shared" si="804"/>
        <v>0</v>
      </c>
      <c r="AU1699" s="109">
        <f t="shared" si="819"/>
        <v>23.371505226149502</v>
      </c>
      <c r="AV1699" s="101">
        <f t="shared" si="805"/>
        <v>91224</v>
      </c>
      <c r="AW1699" s="99">
        <f t="shared" si="806"/>
        <v>0</v>
      </c>
      <c r="AX1699" s="1">
        <f t="shared" si="807"/>
        <v>0</v>
      </c>
      <c r="AY1699" s="29">
        <f t="shared" si="808"/>
        <v>0</v>
      </c>
      <c r="AZ1699" s="1">
        <f t="shared" si="820"/>
        <v>0</v>
      </c>
      <c r="CB1699" s="20">
        <f t="shared" si="799"/>
        <v>0</v>
      </c>
      <c r="CC1699" s="173">
        <f t="shared" si="821"/>
        <v>0</v>
      </c>
    </row>
    <row r="1700" spans="10:81" x14ac:dyDescent="0.25">
      <c r="J1700" s="9"/>
      <c r="K1700" s="10"/>
      <c r="L1700" s="17"/>
      <c r="M1700" s="23"/>
      <c r="N1700" s="23"/>
      <c r="O1700" s="23"/>
      <c r="P1700" s="23"/>
      <c r="Q1700" s="1">
        <f t="shared" si="822"/>
        <v>0.60744618579017706</v>
      </c>
      <c r="R1700" s="12">
        <f t="shared" ca="1" si="809"/>
        <v>50102</v>
      </c>
      <c r="S1700" s="88">
        <f t="shared" si="818"/>
        <v>0</v>
      </c>
      <c r="T1700" s="19">
        <f t="shared" si="810"/>
        <v>0</v>
      </c>
      <c r="U1700" s="19">
        <f t="shared" si="811"/>
        <v>0</v>
      </c>
      <c r="V1700" s="19">
        <f t="shared" si="827"/>
        <v>0</v>
      </c>
      <c r="W1700" s="20">
        <f t="shared" ca="1" si="812"/>
        <v>0</v>
      </c>
      <c r="X1700" s="19">
        <f t="shared" ca="1" si="813"/>
        <v>0</v>
      </c>
      <c r="Y1700" s="19">
        <f t="shared" ca="1" si="814"/>
        <v>0</v>
      </c>
      <c r="Z1700" s="20">
        <f t="shared" ca="1" si="815"/>
        <v>0</v>
      </c>
      <c r="AA1700" s="1">
        <f t="shared" si="823"/>
        <v>5432.58</v>
      </c>
      <c r="AB1700" s="93"/>
      <c r="AC1700" s="94"/>
      <c r="AD1700" s="101">
        <f t="shared" si="824"/>
        <v>91224</v>
      </c>
      <c r="AE1700" s="103">
        <f t="shared" si="825"/>
        <v>0</v>
      </c>
      <c r="AG1700" s="1">
        <f t="shared" si="816"/>
        <v>0</v>
      </c>
      <c r="AH1700" s="1">
        <f t="shared" si="817"/>
        <v>0</v>
      </c>
      <c r="AI1700" s="1">
        <f t="shared" si="826"/>
        <v>5432.58</v>
      </c>
      <c r="AJ1700" s="20">
        <f t="shared" si="798"/>
        <v>0</v>
      </c>
      <c r="AK1700" s="100">
        <f t="shared" si="800"/>
        <v>0</v>
      </c>
      <c r="AL1700" s="100">
        <f t="shared" si="801"/>
        <v>0</v>
      </c>
      <c r="AN1700" s="100">
        <f t="shared" si="802"/>
        <v>2332.0771820320833</v>
      </c>
      <c r="AO1700" s="20">
        <f t="shared" si="803"/>
        <v>0</v>
      </c>
      <c r="AQ1700" s="109">
        <f t="shared" si="804"/>
        <v>0</v>
      </c>
      <c r="AU1700" s="109">
        <f t="shared" si="819"/>
        <v>23.369453907417633</v>
      </c>
      <c r="AV1700" s="101">
        <f t="shared" si="805"/>
        <v>91254</v>
      </c>
      <c r="AW1700" s="99">
        <f t="shared" si="806"/>
        <v>0</v>
      </c>
      <c r="AX1700" s="1">
        <f t="shared" si="807"/>
        <v>0</v>
      </c>
      <c r="AY1700" s="29">
        <f t="shared" si="808"/>
        <v>0</v>
      </c>
      <c r="AZ1700" s="1">
        <f t="shared" si="820"/>
        <v>0</v>
      </c>
      <c r="CB1700" s="20">
        <f t="shared" si="799"/>
        <v>0</v>
      </c>
      <c r="CC1700" s="173">
        <f t="shared" si="821"/>
        <v>0</v>
      </c>
    </row>
    <row r="1701" spans="10:81" x14ac:dyDescent="0.25">
      <c r="J1701" s="7"/>
      <c r="K1701" s="8"/>
      <c r="L1701" s="16"/>
      <c r="M1701" s="22"/>
      <c r="N1701" s="22"/>
      <c r="O1701" s="22"/>
      <c r="P1701" s="22"/>
      <c r="Q1701" s="1">
        <f t="shared" si="822"/>
        <v>0.60744618579017706</v>
      </c>
      <c r="R1701" s="12">
        <f t="shared" ca="1" si="809"/>
        <v>50132</v>
      </c>
      <c r="S1701" s="88">
        <f t="shared" si="818"/>
        <v>0</v>
      </c>
      <c r="T1701" s="19">
        <f t="shared" si="810"/>
        <v>0</v>
      </c>
      <c r="U1701" s="19">
        <f t="shared" si="811"/>
        <v>0</v>
      </c>
      <c r="V1701" s="19">
        <f t="shared" si="827"/>
        <v>0</v>
      </c>
      <c r="W1701" s="20">
        <f t="shared" ca="1" si="812"/>
        <v>0</v>
      </c>
      <c r="X1701" s="19">
        <f t="shared" ca="1" si="813"/>
        <v>0</v>
      </c>
      <c r="Y1701" s="19">
        <f t="shared" ca="1" si="814"/>
        <v>0</v>
      </c>
      <c r="Z1701" s="20">
        <f t="shared" ca="1" si="815"/>
        <v>0</v>
      </c>
      <c r="AA1701" s="1">
        <f t="shared" si="823"/>
        <v>5432.58</v>
      </c>
      <c r="AB1701" s="91"/>
      <c r="AC1701" s="92"/>
      <c r="AD1701" s="101">
        <f t="shared" si="824"/>
        <v>91254</v>
      </c>
      <c r="AE1701" s="103">
        <f t="shared" si="825"/>
        <v>0</v>
      </c>
      <c r="AG1701" s="1">
        <f t="shared" si="816"/>
        <v>0</v>
      </c>
      <c r="AH1701" s="1">
        <f t="shared" si="817"/>
        <v>0</v>
      </c>
      <c r="AI1701" s="1">
        <f t="shared" si="826"/>
        <v>5432.58</v>
      </c>
      <c r="AJ1701" s="20">
        <f t="shared" si="798"/>
        <v>0</v>
      </c>
      <c r="AK1701" s="100">
        <f t="shared" si="800"/>
        <v>0</v>
      </c>
      <c r="AL1701" s="100">
        <f t="shared" si="801"/>
        <v>0</v>
      </c>
      <c r="AN1701" s="100">
        <f t="shared" si="802"/>
        <v>2330.8972698187335</v>
      </c>
      <c r="AO1701" s="20">
        <f t="shared" si="803"/>
        <v>0</v>
      </c>
      <c r="AQ1701" s="109">
        <f t="shared" si="804"/>
        <v>0</v>
      </c>
      <c r="AU1701" s="109">
        <f t="shared" si="819"/>
        <v>23.367402768730162</v>
      </c>
      <c r="AV1701" s="101">
        <f t="shared" si="805"/>
        <v>91284</v>
      </c>
      <c r="AW1701" s="99">
        <f t="shared" si="806"/>
        <v>0</v>
      </c>
      <c r="AX1701" s="1">
        <f t="shared" si="807"/>
        <v>0</v>
      </c>
      <c r="AY1701" s="29">
        <f t="shared" si="808"/>
        <v>0</v>
      </c>
      <c r="AZ1701" s="1">
        <f t="shared" si="820"/>
        <v>0</v>
      </c>
      <c r="CB1701" s="20">
        <f t="shared" si="799"/>
        <v>0</v>
      </c>
      <c r="CC1701" s="173">
        <f t="shared" si="821"/>
        <v>0</v>
      </c>
    </row>
    <row r="1702" spans="10:81" x14ac:dyDescent="0.25">
      <c r="J1702" s="9"/>
      <c r="K1702" s="10"/>
      <c r="L1702" s="17"/>
      <c r="M1702" s="23"/>
      <c r="N1702" s="23"/>
      <c r="O1702" s="23"/>
      <c r="P1702" s="23"/>
      <c r="Q1702" s="1">
        <f t="shared" si="822"/>
        <v>0.60744618579017706</v>
      </c>
      <c r="R1702" s="12">
        <f t="shared" ca="1" si="809"/>
        <v>50162</v>
      </c>
      <c r="S1702" s="88">
        <f t="shared" si="818"/>
        <v>0</v>
      </c>
      <c r="T1702" s="19">
        <f t="shared" si="810"/>
        <v>0</v>
      </c>
      <c r="U1702" s="19">
        <f t="shared" si="811"/>
        <v>0</v>
      </c>
      <c r="V1702" s="19">
        <f t="shared" si="827"/>
        <v>0</v>
      </c>
      <c r="W1702" s="20">
        <f t="shared" ca="1" si="812"/>
        <v>0</v>
      </c>
      <c r="X1702" s="19">
        <f t="shared" ca="1" si="813"/>
        <v>0</v>
      </c>
      <c r="Y1702" s="19">
        <f t="shared" ca="1" si="814"/>
        <v>0</v>
      </c>
      <c r="Z1702" s="20">
        <f t="shared" ca="1" si="815"/>
        <v>0</v>
      </c>
      <c r="AA1702" s="1">
        <f t="shared" si="823"/>
        <v>5432.58</v>
      </c>
      <c r="AB1702" s="93"/>
      <c r="AC1702" s="94"/>
      <c r="AD1702" s="101">
        <f t="shared" si="824"/>
        <v>91284</v>
      </c>
      <c r="AE1702" s="103">
        <f t="shared" si="825"/>
        <v>0</v>
      </c>
      <c r="AG1702" s="1">
        <f t="shared" si="816"/>
        <v>0</v>
      </c>
      <c r="AH1702" s="1">
        <f t="shared" si="817"/>
        <v>0</v>
      </c>
      <c r="AI1702" s="1">
        <f t="shared" si="826"/>
        <v>5432.58</v>
      </c>
      <c r="AJ1702" s="20">
        <f t="shared" si="798"/>
        <v>0</v>
      </c>
      <c r="AK1702" s="100">
        <f t="shared" si="800"/>
        <v>0</v>
      </c>
      <c r="AL1702" s="100">
        <f t="shared" si="801"/>
        <v>0</v>
      </c>
      <c r="AN1702" s="100">
        <f t="shared" si="802"/>
        <v>2329.7179545808353</v>
      </c>
      <c r="AO1702" s="20">
        <f t="shared" si="803"/>
        <v>0</v>
      </c>
      <c r="AQ1702" s="109">
        <f t="shared" si="804"/>
        <v>0</v>
      </c>
      <c r="AU1702" s="109">
        <f t="shared" si="819"/>
        <v>23.365351810071274</v>
      </c>
      <c r="AV1702" s="101">
        <f t="shared" si="805"/>
        <v>91314</v>
      </c>
      <c r="AW1702" s="99">
        <f t="shared" si="806"/>
        <v>0</v>
      </c>
      <c r="AX1702" s="1">
        <f t="shared" si="807"/>
        <v>0</v>
      </c>
      <c r="AY1702" s="29">
        <f t="shared" si="808"/>
        <v>0</v>
      </c>
      <c r="AZ1702" s="1">
        <f t="shared" si="820"/>
        <v>0</v>
      </c>
      <c r="CB1702" s="20">
        <f t="shared" si="799"/>
        <v>0</v>
      </c>
      <c r="CC1702" s="173">
        <f t="shared" si="821"/>
        <v>0</v>
      </c>
    </row>
    <row r="1703" spans="10:81" x14ac:dyDescent="0.25">
      <c r="J1703" s="7"/>
      <c r="K1703" s="8"/>
      <c r="L1703" s="16"/>
      <c r="M1703" s="22"/>
      <c r="N1703" s="22"/>
      <c r="O1703" s="22"/>
      <c r="P1703" s="22"/>
      <c r="Q1703" s="1">
        <f t="shared" si="822"/>
        <v>0.60744618579017706</v>
      </c>
      <c r="R1703" s="12">
        <f t="shared" ca="1" si="809"/>
        <v>50192</v>
      </c>
      <c r="S1703" s="88">
        <f t="shared" si="818"/>
        <v>0</v>
      </c>
      <c r="T1703" s="19">
        <f t="shared" si="810"/>
        <v>0</v>
      </c>
      <c r="U1703" s="19">
        <f t="shared" si="811"/>
        <v>0</v>
      </c>
      <c r="V1703" s="19">
        <f t="shared" si="827"/>
        <v>0</v>
      </c>
      <c r="W1703" s="20">
        <f t="shared" ca="1" si="812"/>
        <v>0</v>
      </c>
      <c r="X1703" s="19">
        <f t="shared" ca="1" si="813"/>
        <v>0</v>
      </c>
      <c r="Y1703" s="19">
        <f t="shared" ca="1" si="814"/>
        <v>0</v>
      </c>
      <c r="Z1703" s="20">
        <f t="shared" ca="1" si="815"/>
        <v>0</v>
      </c>
      <c r="AA1703" s="1">
        <f t="shared" si="823"/>
        <v>5432.58</v>
      </c>
      <c r="AB1703" s="91"/>
      <c r="AC1703" s="92"/>
      <c r="AD1703" s="101">
        <f t="shared" si="824"/>
        <v>91314</v>
      </c>
      <c r="AE1703" s="103">
        <f t="shared" si="825"/>
        <v>0</v>
      </c>
      <c r="AG1703" s="1">
        <f t="shared" si="816"/>
        <v>0</v>
      </c>
      <c r="AH1703" s="1">
        <f t="shared" si="817"/>
        <v>0</v>
      </c>
      <c r="AI1703" s="1">
        <f t="shared" si="826"/>
        <v>5432.58</v>
      </c>
      <c r="AJ1703" s="20">
        <f t="shared" si="798"/>
        <v>0</v>
      </c>
      <c r="AK1703" s="100">
        <f t="shared" si="800"/>
        <v>0</v>
      </c>
      <c r="AL1703" s="100">
        <f t="shared" si="801"/>
        <v>0</v>
      </c>
      <c r="AN1703" s="100">
        <f t="shared" si="802"/>
        <v>2328.539236016351</v>
      </c>
      <c r="AO1703" s="20">
        <f t="shared" si="803"/>
        <v>0</v>
      </c>
      <c r="AQ1703" s="109">
        <f t="shared" si="804"/>
        <v>0</v>
      </c>
      <c r="AU1703" s="109">
        <f t="shared" si="819"/>
        <v>23.363301031425184</v>
      </c>
      <c r="AV1703" s="101">
        <f t="shared" si="805"/>
        <v>91344</v>
      </c>
      <c r="AW1703" s="99">
        <f t="shared" si="806"/>
        <v>0</v>
      </c>
      <c r="AX1703" s="1">
        <f t="shared" si="807"/>
        <v>0</v>
      </c>
      <c r="AY1703" s="29">
        <f t="shared" si="808"/>
        <v>0</v>
      </c>
      <c r="AZ1703" s="1">
        <f t="shared" si="820"/>
        <v>0</v>
      </c>
      <c r="CB1703" s="20">
        <f t="shared" si="799"/>
        <v>0</v>
      </c>
      <c r="CC1703" s="173">
        <f t="shared" si="821"/>
        <v>0</v>
      </c>
    </row>
    <row r="1704" spans="10:81" x14ac:dyDescent="0.25">
      <c r="J1704" s="9"/>
      <c r="K1704" s="10"/>
      <c r="L1704" s="17"/>
      <c r="M1704" s="23"/>
      <c r="N1704" s="23"/>
      <c r="O1704" s="23"/>
      <c r="P1704" s="23"/>
      <c r="Q1704" s="1">
        <f t="shared" si="822"/>
        <v>0.60744618579017706</v>
      </c>
      <c r="R1704" s="12">
        <f t="shared" ca="1" si="809"/>
        <v>50222</v>
      </c>
      <c r="S1704" s="88">
        <f t="shared" si="818"/>
        <v>0</v>
      </c>
      <c r="T1704" s="19">
        <f t="shared" si="810"/>
        <v>0</v>
      </c>
      <c r="U1704" s="19">
        <f t="shared" si="811"/>
        <v>0</v>
      </c>
      <c r="V1704" s="19">
        <f t="shared" si="827"/>
        <v>0</v>
      </c>
      <c r="W1704" s="20">
        <f t="shared" ca="1" si="812"/>
        <v>0</v>
      </c>
      <c r="X1704" s="19">
        <f t="shared" ca="1" si="813"/>
        <v>0</v>
      </c>
      <c r="Y1704" s="19">
        <f t="shared" ca="1" si="814"/>
        <v>0</v>
      </c>
      <c r="Z1704" s="20">
        <f t="shared" ca="1" si="815"/>
        <v>0</v>
      </c>
      <c r="AA1704" s="1">
        <f t="shared" si="823"/>
        <v>5432.58</v>
      </c>
      <c r="AB1704" s="93"/>
      <c r="AC1704" s="94"/>
      <c r="AD1704" s="101">
        <f t="shared" si="824"/>
        <v>91344</v>
      </c>
      <c r="AE1704" s="103">
        <f t="shared" si="825"/>
        <v>0</v>
      </c>
      <c r="AG1704" s="1">
        <f t="shared" si="816"/>
        <v>0</v>
      </c>
      <c r="AH1704" s="1">
        <f t="shared" si="817"/>
        <v>0</v>
      </c>
      <c r="AI1704" s="1">
        <f t="shared" si="826"/>
        <v>5432.58</v>
      </c>
      <c r="AJ1704" s="20">
        <f t="shared" ref="AJ1704:AJ1767" si="828">IF(ISERROR(IF(V1703+U1704+T1704+(V1703*Q1704/1200)-AA1704-P1704&lt;0,V1703,-(U1704+T1704-AA1704+P1704-AH1704))),0,IF(V1703+U1704+T1704+(V1703*Q1704/1200)-AA1704-P1704&lt;0,0,-(U1704+T1704-AA1704-AH1704)))</f>
        <v>0</v>
      </c>
      <c r="AK1704" s="100">
        <f t="shared" si="800"/>
        <v>0</v>
      </c>
      <c r="AL1704" s="100">
        <f t="shared" si="801"/>
        <v>0</v>
      </c>
      <c r="AN1704" s="100">
        <f t="shared" si="802"/>
        <v>2327.3611138233941</v>
      </c>
      <c r="AO1704" s="20">
        <f t="shared" si="803"/>
        <v>0</v>
      </c>
      <c r="AQ1704" s="109">
        <f t="shared" si="804"/>
        <v>0</v>
      </c>
      <c r="AU1704" s="109">
        <f t="shared" si="819"/>
        <v>23.361250432776096</v>
      </c>
      <c r="AV1704" s="101">
        <f t="shared" si="805"/>
        <v>91374</v>
      </c>
      <c r="AW1704" s="99">
        <f t="shared" si="806"/>
        <v>0</v>
      </c>
      <c r="AX1704" s="1">
        <f t="shared" si="807"/>
        <v>0</v>
      </c>
      <c r="AY1704" s="29">
        <f t="shared" si="808"/>
        <v>0</v>
      </c>
      <c r="AZ1704" s="1">
        <f t="shared" si="820"/>
        <v>0</v>
      </c>
      <c r="CB1704" s="20">
        <f t="shared" si="799"/>
        <v>0</v>
      </c>
      <c r="CC1704" s="173">
        <f t="shared" si="821"/>
        <v>0</v>
      </c>
    </row>
    <row r="1705" spans="10:81" x14ac:dyDescent="0.25">
      <c r="J1705" s="7"/>
      <c r="K1705" s="8"/>
      <c r="L1705" s="16"/>
      <c r="M1705" s="22"/>
      <c r="N1705" s="22"/>
      <c r="O1705" s="22"/>
      <c r="P1705" s="22"/>
      <c r="Q1705" s="1">
        <f t="shared" si="822"/>
        <v>0.60744618579017706</v>
      </c>
      <c r="R1705" s="12">
        <f t="shared" ca="1" si="809"/>
        <v>50252</v>
      </c>
      <c r="S1705" s="88">
        <f t="shared" si="818"/>
        <v>0</v>
      </c>
      <c r="T1705" s="19">
        <f t="shared" si="810"/>
        <v>0</v>
      </c>
      <c r="U1705" s="19">
        <f t="shared" si="811"/>
        <v>0</v>
      </c>
      <c r="V1705" s="19">
        <f t="shared" si="827"/>
        <v>0</v>
      </c>
      <c r="W1705" s="20">
        <f t="shared" ca="1" si="812"/>
        <v>0</v>
      </c>
      <c r="X1705" s="19">
        <f t="shared" ca="1" si="813"/>
        <v>0</v>
      </c>
      <c r="Y1705" s="19">
        <f t="shared" ca="1" si="814"/>
        <v>0</v>
      </c>
      <c r="Z1705" s="20">
        <f t="shared" ca="1" si="815"/>
        <v>0</v>
      </c>
      <c r="AA1705" s="1">
        <f t="shared" si="823"/>
        <v>5432.58</v>
      </c>
      <c r="AB1705" s="91"/>
      <c r="AC1705" s="92"/>
      <c r="AD1705" s="101">
        <f t="shared" si="824"/>
        <v>91374</v>
      </c>
      <c r="AE1705" s="103">
        <f t="shared" si="825"/>
        <v>0</v>
      </c>
      <c r="AG1705" s="1">
        <f t="shared" si="816"/>
        <v>0</v>
      </c>
      <c r="AH1705" s="1">
        <f t="shared" si="817"/>
        <v>0</v>
      </c>
      <c r="AI1705" s="1">
        <f t="shared" si="826"/>
        <v>5432.58</v>
      </c>
      <c r="AJ1705" s="20">
        <f t="shared" si="828"/>
        <v>0</v>
      </c>
      <c r="AK1705" s="100">
        <f t="shared" si="800"/>
        <v>0</v>
      </c>
      <c r="AL1705" s="100">
        <f t="shared" si="801"/>
        <v>0</v>
      </c>
      <c r="AN1705" s="100">
        <f t="shared" si="802"/>
        <v>2326.18358770023</v>
      </c>
      <c r="AO1705" s="20">
        <f t="shared" si="803"/>
        <v>0</v>
      </c>
      <c r="AQ1705" s="109">
        <f t="shared" si="804"/>
        <v>0</v>
      </c>
      <c r="AU1705" s="109">
        <f t="shared" si="819"/>
        <v>23.359200014108193</v>
      </c>
      <c r="AV1705" s="101">
        <f t="shared" si="805"/>
        <v>91404</v>
      </c>
      <c r="AW1705" s="99">
        <f t="shared" si="806"/>
        <v>0</v>
      </c>
      <c r="AX1705" s="1">
        <f t="shared" si="807"/>
        <v>0</v>
      </c>
      <c r="AY1705" s="29">
        <f t="shared" si="808"/>
        <v>0</v>
      </c>
      <c r="AZ1705" s="1">
        <f t="shared" si="820"/>
        <v>0</v>
      </c>
      <c r="CB1705" s="20">
        <f t="shared" si="799"/>
        <v>0</v>
      </c>
      <c r="CC1705" s="173">
        <f t="shared" si="821"/>
        <v>0</v>
      </c>
    </row>
    <row r="1706" spans="10:81" x14ac:dyDescent="0.25">
      <c r="J1706" s="9"/>
      <c r="K1706" s="10"/>
      <c r="L1706" s="17"/>
      <c r="M1706" s="23"/>
      <c r="N1706" s="23"/>
      <c r="O1706" s="23"/>
      <c r="P1706" s="23"/>
      <c r="Q1706" s="1">
        <f t="shared" si="822"/>
        <v>0.60744618579017706</v>
      </c>
      <c r="R1706" s="12">
        <f t="shared" ca="1" si="809"/>
        <v>50282</v>
      </c>
      <c r="S1706" s="88">
        <f t="shared" si="818"/>
        <v>0</v>
      </c>
      <c r="T1706" s="19">
        <f t="shared" si="810"/>
        <v>0</v>
      </c>
      <c r="U1706" s="19">
        <f t="shared" si="811"/>
        <v>0</v>
      </c>
      <c r="V1706" s="19">
        <f t="shared" si="827"/>
        <v>0</v>
      </c>
      <c r="W1706" s="20">
        <f t="shared" ca="1" si="812"/>
        <v>0</v>
      </c>
      <c r="X1706" s="19">
        <f t="shared" ca="1" si="813"/>
        <v>0</v>
      </c>
      <c r="Y1706" s="19">
        <f t="shared" ca="1" si="814"/>
        <v>0</v>
      </c>
      <c r="Z1706" s="20">
        <f t="shared" ca="1" si="815"/>
        <v>0</v>
      </c>
      <c r="AA1706" s="1">
        <f t="shared" si="823"/>
        <v>5432.58</v>
      </c>
      <c r="AB1706" s="93"/>
      <c r="AC1706" s="94"/>
      <c r="AD1706" s="101">
        <f t="shared" si="824"/>
        <v>91404</v>
      </c>
      <c r="AE1706" s="103">
        <f t="shared" si="825"/>
        <v>0</v>
      </c>
      <c r="AG1706" s="1">
        <f t="shared" si="816"/>
        <v>0</v>
      </c>
      <c r="AH1706" s="1">
        <f t="shared" si="817"/>
        <v>0</v>
      </c>
      <c r="AI1706" s="1">
        <f t="shared" si="826"/>
        <v>5432.58</v>
      </c>
      <c r="AJ1706" s="20">
        <f t="shared" si="828"/>
        <v>0</v>
      </c>
      <c r="AK1706" s="100">
        <f t="shared" si="800"/>
        <v>0</v>
      </c>
      <c r="AL1706" s="100">
        <f t="shared" si="801"/>
        <v>0</v>
      </c>
      <c r="AN1706" s="100">
        <f t="shared" si="802"/>
        <v>2325.0066573452782</v>
      </c>
      <c r="AO1706" s="20">
        <f t="shared" si="803"/>
        <v>0</v>
      </c>
      <c r="AQ1706" s="109">
        <f t="shared" si="804"/>
        <v>0</v>
      </c>
      <c r="AU1706" s="109">
        <f t="shared" si="819"/>
        <v>23.357149775405688</v>
      </c>
      <c r="AV1706" s="101">
        <f t="shared" si="805"/>
        <v>91434</v>
      </c>
      <c r="AW1706" s="99">
        <f t="shared" si="806"/>
        <v>0</v>
      </c>
      <c r="AX1706" s="1">
        <f t="shared" si="807"/>
        <v>0</v>
      </c>
      <c r="AY1706" s="29">
        <f t="shared" si="808"/>
        <v>0</v>
      </c>
      <c r="AZ1706" s="1">
        <f t="shared" si="820"/>
        <v>0</v>
      </c>
      <c r="CB1706" s="20">
        <f t="shared" si="799"/>
        <v>0</v>
      </c>
      <c r="CC1706" s="173">
        <f t="shared" si="821"/>
        <v>0</v>
      </c>
    </row>
    <row r="1707" spans="10:81" x14ac:dyDescent="0.25">
      <c r="J1707" s="7"/>
      <c r="K1707" s="8"/>
      <c r="L1707" s="16"/>
      <c r="M1707" s="22"/>
      <c r="N1707" s="22"/>
      <c r="O1707" s="22"/>
      <c r="P1707" s="22"/>
      <c r="Q1707" s="1">
        <f t="shared" si="822"/>
        <v>0.60744618579017706</v>
      </c>
      <c r="R1707" s="12">
        <f t="shared" ca="1" si="809"/>
        <v>50312</v>
      </c>
      <c r="S1707" s="88">
        <f t="shared" si="818"/>
        <v>0</v>
      </c>
      <c r="T1707" s="19">
        <f t="shared" si="810"/>
        <v>0</v>
      </c>
      <c r="U1707" s="19">
        <f t="shared" si="811"/>
        <v>0</v>
      </c>
      <c r="V1707" s="19">
        <f t="shared" si="827"/>
        <v>0</v>
      </c>
      <c r="W1707" s="20">
        <f t="shared" ca="1" si="812"/>
        <v>0</v>
      </c>
      <c r="X1707" s="19">
        <f t="shared" ca="1" si="813"/>
        <v>0</v>
      </c>
      <c r="Y1707" s="19">
        <f t="shared" ca="1" si="814"/>
        <v>0</v>
      </c>
      <c r="Z1707" s="20">
        <f t="shared" ca="1" si="815"/>
        <v>0</v>
      </c>
      <c r="AA1707" s="1">
        <f t="shared" si="823"/>
        <v>5432.58</v>
      </c>
      <c r="AB1707" s="91"/>
      <c r="AC1707" s="92"/>
      <c r="AD1707" s="101">
        <f t="shared" si="824"/>
        <v>91434</v>
      </c>
      <c r="AE1707" s="103">
        <f t="shared" si="825"/>
        <v>0</v>
      </c>
      <c r="AG1707" s="1">
        <f t="shared" si="816"/>
        <v>0</v>
      </c>
      <c r="AH1707" s="1">
        <f t="shared" si="817"/>
        <v>0</v>
      </c>
      <c r="AI1707" s="1">
        <f t="shared" si="826"/>
        <v>5432.58</v>
      </c>
      <c r="AJ1707" s="20">
        <f t="shared" si="828"/>
        <v>0</v>
      </c>
      <c r="AK1707" s="100">
        <f t="shared" si="800"/>
        <v>0</v>
      </c>
      <c r="AL1707" s="100">
        <f t="shared" si="801"/>
        <v>0</v>
      </c>
      <c r="AN1707" s="100">
        <f t="shared" si="802"/>
        <v>2323.8303224571118</v>
      </c>
      <c r="AO1707" s="20">
        <f t="shared" si="803"/>
        <v>0</v>
      </c>
      <c r="AQ1707" s="109">
        <f t="shared" si="804"/>
        <v>0</v>
      </c>
      <c r="AU1707" s="109">
        <f t="shared" si="819"/>
        <v>23.355099716652784</v>
      </c>
      <c r="AV1707" s="101">
        <f t="shared" si="805"/>
        <v>91464</v>
      </c>
      <c r="AW1707" s="99">
        <f t="shared" si="806"/>
        <v>0</v>
      </c>
      <c r="AX1707" s="1">
        <f t="shared" si="807"/>
        <v>0</v>
      </c>
      <c r="AY1707" s="29">
        <f t="shared" si="808"/>
        <v>0</v>
      </c>
      <c r="AZ1707" s="1">
        <f t="shared" si="820"/>
        <v>0</v>
      </c>
      <c r="CB1707" s="20">
        <f t="shared" si="799"/>
        <v>0</v>
      </c>
      <c r="CC1707" s="173">
        <f t="shared" si="821"/>
        <v>0</v>
      </c>
    </row>
    <row r="1708" spans="10:81" x14ac:dyDescent="0.25">
      <c r="J1708" s="9"/>
      <c r="K1708" s="10"/>
      <c r="L1708" s="17"/>
      <c r="M1708" s="23"/>
      <c r="N1708" s="23"/>
      <c r="O1708" s="23"/>
      <c r="P1708" s="23"/>
      <c r="Q1708" s="1">
        <f t="shared" si="822"/>
        <v>0.60744618579017706</v>
      </c>
      <c r="R1708" s="12">
        <f t="shared" ca="1" si="809"/>
        <v>50342</v>
      </c>
      <c r="S1708" s="88">
        <f t="shared" si="818"/>
        <v>0</v>
      </c>
      <c r="T1708" s="19">
        <f t="shared" si="810"/>
        <v>0</v>
      </c>
      <c r="U1708" s="19">
        <f t="shared" si="811"/>
        <v>0</v>
      </c>
      <c r="V1708" s="19">
        <f t="shared" si="827"/>
        <v>0</v>
      </c>
      <c r="W1708" s="20">
        <f t="shared" ca="1" si="812"/>
        <v>0</v>
      </c>
      <c r="X1708" s="19">
        <f t="shared" ca="1" si="813"/>
        <v>0</v>
      </c>
      <c r="Y1708" s="19">
        <f t="shared" ca="1" si="814"/>
        <v>0</v>
      </c>
      <c r="Z1708" s="20">
        <f t="shared" ca="1" si="815"/>
        <v>0</v>
      </c>
      <c r="AA1708" s="1">
        <f t="shared" si="823"/>
        <v>5432.58</v>
      </c>
      <c r="AB1708" s="93"/>
      <c r="AC1708" s="94"/>
      <c r="AD1708" s="101">
        <f t="shared" si="824"/>
        <v>91464</v>
      </c>
      <c r="AE1708" s="103">
        <f t="shared" si="825"/>
        <v>0</v>
      </c>
      <c r="AG1708" s="1">
        <f t="shared" si="816"/>
        <v>0</v>
      </c>
      <c r="AH1708" s="1">
        <f t="shared" si="817"/>
        <v>0</v>
      </c>
      <c r="AI1708" s="1">
        <f t="shared" si="826"/>
        <v>5432.58</v>
      </c>
      <c r="AJ1708" s="20">
        <f t="shared" si="828"/>
        <v>0</v>
      </c>
      <c r="AK1708" s="100">
        <f t="shared" si="800"/>
        <v>0</v>
      </c>
      <c r="AL1708" s="100">
        <f t="shared" si="801"/>
        <v>0</v>
      </c>
      <c r="AN1708" s="100">
        <f t="shared" si="802"/>
        <v>2322.654582734453</v>
      </c>
      <c r="AO1708" s="20">
        <f t="shared" si="803"/>
        <v>0</v>
      </c>
      <c r="AQ1708" s="109">
        <f t="shared" si="804"/>
        <v>0</v>
      </c>
      <c r="AU1708" s="109">
        <f t="shared" si="819"/>
        <v>23.353049837833687</v>
      </c>
      <c r="AV1708" s="101">
        <f t="shared" si="805"/>
        <v>91494</v>
      </c>
      <c r="AW1708" s="99">
        <f t="shared" si="806"/>
        <v>0</v>
      </c>
      <c r="AX1708" s="1">
        <f t="shared" si="807"/>
        <v>0</v>
      </c>
      <c r="AY1708" s="29">
        <f t="shared" si="808"/>
        <v>0</v>
      </c>
      <c r="AZ1708" s="1">
        <f t="shared" si="820"/>
        <v>0</v>
      </c>
      <c r="CB1708" s="20">
        <f t="shared" si="799"/>
        <v>0</v>
      </c>
      <c r="CC1708" s="173">
        <f t="shared" si="821"/>
        <v>0</v>
      </c>
    </row>
    <row r="1709" spans="10:81" x14ac:dyDescent="0.25">
      <c r="J1709" s="7"/>
      <c r="K1709" s="8"/>
      <c r="L1709" s="16"/>
      <c r="M1709" s="22"/>
      <c r="N1709" s="22"/>
      <c r="O1709" s="22"/>
      <c r="P1709" s="22"/>
      <c r="Q1709" s="1">
        <f t="shared" si="822"/>
        <v>0.60744618579017706</v>
      </c>
      <c r="R1709" s="12">
        <f t="shared" ca="1" si="809"/>
        <v>50372</v>
      </c>
      <c r="S1709" s="88">
        <f t="shared" si="818"/>
        <v>0</v>
      </c>
      <c r="T1709" s="19">
        <f t="shared" si="810"/>
        <v>0</v>
      </c>
      <c r="U1709" s="19">
        <f t="shared" si="811"/>
        <v>0</v>
      </c>
      <c r="V1709" s="19">
        <f t="shared" si="827"/>
        <v>0</v>
      </c>
      <c r="W1709" s="20">
        <f t="shared" ca="1" si="812"/>
        <v>0</v>
      </c>
      <c r="X1709" s="19">
        <f t="shared" ca="1" si="813"/>
        <v>0</v>
      </c>
      <c r="Y1709" s="19">
        <f t="shared" ca="1" si="814"/>
        <v>0</v>
      </c>
      <c r="Z1709" s="20">
        <f t="shared" ca="1" si="815"/>
        <v>0</v>
      </c>
      <c r="AA1709" s="1">
        <f t="shared" si="823"/>
        <v>5432.58</v>
      </c>
      <c r="AB1709" s="91"/>
      <c r="AC1709" s="92"/>
      <c r="AD1709" s="101">
        <f t="shared" si="824"/>
        <v>91494</v>
      </c>
      <c r="AE1709" s="103">
        <f t="shared" si="825"/>
        <v>0</v>
      </c>
      <c r="AG1709" s="1">
        <f t="shared" si="816"/>
        <v>0</v>
      </c>
      <c r="AH1709" s="1">
        <f t="shared" si="817"/>
        <v>0</v>
      </c>
      <c r="AI1709" s="1">
        <f t="shared" si="826"/>
        <v>5432.58</v>
      </c>
      <c r="AJ1709" s="20">
        <f t="shared" si="828"/>
        <v>0</v>
      </c>
      <c r="AK1709" s="100">
        <f t="shared" si="800"/>
        <v>0</v>
      </c>
      <c r="AL1709" s="100">
        <f t="shared" si="801"/>
        <v>0</v>
      </c>
      <c r="AN1709" s="100">
        <f t="shared" si="802"/>
        <v>2321.4794378761794</v>
      </c>
      <c r="AO1709" s="20">
        <f t="shared" si="803"/>
        <v>0</v>
      </c>
      <c r="AQ1709" s="109">
        <f t="shared" si="804"/>
        <v>0</v>
      </c>
      <c r="AU1709" s="109">
        <f t="shared" si="819"/>
        <v>23.351000138932609</v>
      </c>
      <c r="AV1709" s="101">
        <f t="shared" si="805"/>
        <v>91524</v>
      </c>
      <c r="AW1709" s="99">
        <f t="shared" si="806"/>
        <v>0</v>
      </c>
      <c r="AX1709" s="1">
        <f t="shared" si="807"/>
        <v>0</v>
      </c>
      <c r="AY1709" s="29">
        <f t="shared" si="808"/>
        <v>0</v>
      </c>
      <c r="AZ1709" s="1">
        <f t="shared" si="820"/>
        <v>0</v>
      </c>
      <c r="CB1709" s="20">
        <f t="shared" si="799"/>
        <v>0</v>
      </c>
      <c r="CC1709" s="173">
        <f t="shared" si="821"/>
        <v>0</v>
      </c>
    </row>
    <row r="1710" spans="10:81" x14ac:dyDescent="0.25">
      <c r="J1710" s="9"/>
      <c r="K1710" s="10"/>
      <c r="L1710" s="17"/>
      <c r="M1710" s="23"/>
      <c r="N1710" s="23"/>
      <c r="O1710" s="23"/>
      <c r="P1710" s="23"/>
      <c r="Q1710" s="1">
        <f t="shared" si="822"/>
        <v>0.60744618579017706</v>
      </c>
      <c r="R1710" s="12">
        <f t="shared" ca="1" si="809"/>
        <v>50402</v>
      </c>
      <c r="S1710" s="88">
        <f t="shared" si="818"/>
        <v>0</v>
      </c>
      <c r="T1710" s="19">
        <f t="shared" si="810"/>
        <v>0</v>
      </c>
      <c r="U1710" s="19">
        <f t="shared" si="811"/>
        <v>0</v>
      </c>
      <c r="V1710" s="19">
        <f t="shared" si="827"/>
        <v>0</v>
      </c>
      <c r="W1710" s="20">
        <f t="shared" ca="1" si="812"/>
        <v>0</v>
      </c>
      <c r="X1710" s="19">
        <f t="shared" ca="1" si="813"/>
        <v>0</v>
      </c>
      <c r="Y1710" s="19">
        <f t="shared" ca="1" si="814"/>
        <v>0</v>
      </c>
      <c r="Z1710" s="20">
        <f t="shared" ca="1" si="815"/>
        <v>0</v>
      </c>
      <c r="AA1710" s="1">
        <f t="shared" si="823"/>
        <v>5432.58</v>
      </c>
      <c r="AB1710" s="93"/>
      <c r="AC1710" s="94"/>
      <c r="AD1710" s="101">
        <f t="shared" si="824"/>
        <v>91524</v>
      </c>
      <c r="AE1710" s="103">
        <f t="shared" si="825"/>
        <v>0</v>
      </c>
      <c r="AG1710" s="1">
        <f t="shared" si="816"/>
        <v>0</v>
      </c>
      <c r="AH1710" s="1">
        <f t="shared" si="817"/>
        <v>0</v>
      </c>
      <c r="AI1710" s="1">
        <f t="shared" si="826"/>
        <v>5432.58</v>
      </c>
      <c r="AJ1710" s="20">
        <f t="shared" si="828"/>
        <v>0</v>
      </c>
      <c r="AK1710" s="100">
        <f t="shared" si="800"/>
        <v>0</v>
      </c>
      <c r="AL1710" s="100">
        <f t="shared" si="801"/>
        <v>0</v>
      </c>
      <c r="AN1710" s="100">
        <f t="shared" si="802"/>
        <v>2320.3048875813192</v>
      </c>
      <c r="AO1710" s="20">
        <f t="shared" si="803"/>
        <v>0</v>
      </c>
      <c r="AQ1710" s="109">
        <f t="shared" si="804"/>
        <v>0</v>
      </c>
      <c r="AU1710" s="109">
        <f t="shared" si="819"/>
        <v>23.348950619933749</v>
      </c>
      <c r="AV1710" s="101">
        <f t="shared" si="805"/>
        <v>91554</v>
      </c>
      <c r="AW1710" s="99">
        <f t="shared" si="806"/>
        <v>0</v>
      </c>
      <c r="AX1710" s="1">
        <f t="shared" si="807"/>
        <v>0</v>
      </c>
      <c r="AY1710" s="29">
        <f t="shared" si="808"/>
        <v>0</v>
      </c>
      <c r="AZ1710" s="1">
        <f t="shared" si="820"/>
        <v>0</v>
      </c>
      <c r="CB1710" s="20">
        <f t="shared" ref="CB1710:CB1773" si="829">IF(O1710=0,IF(P1710&gt;0,V1709,IF(O1709=0,0,P1710)),IF(O1709=0,0,P1710))</f>
        <v>0</v>
      </c>
      <c r="CC1710" s="173">
        <f t="shared" si="821"/>
        <v>0</v>
      </c>
    </row>
    <row r="1711" spans="10:81" x14ac:dyDescent="0.25">
      <c r="J1711" s="7"/>
      <c r="K1711" s="8"/>
      <c r="L1711" s="16"/>
      <c r="M1711" s="22"/>
      <c r="N1711" s="22"/>
      <c r="O1711" s="22"/>
      <c r="P1711" s="22"/>
      <c r="Q1711" s="1">
        <f t="shared" si="822"/>
        <v>0.60744618579017706</v>
      </c>
      <c r="R1711" s="12">
        <f t="shared" ca="1" si="809"/>
        <v>50432</v>
      </c>
      <c r="S1711" s="88">
        <f t="shared" si="818"/>
        <v>0</v>
      </c>
      <c r="T1711" s="19">
        <f t="shared" si="810"/>
        <v>0</v>
      </c>
      <c r="U1711" s="19">
        <f t="shared" si="811"/>
        <v>0</v>
      </c>
      <c r="V1711" s="19">
        <f t="shared" si="827"/>
        <v>0</v>
      </c>
      <c r="W1711" s="20">
        <f t="shared" ca="1" si="812"/>
        <v>0</v>
      </c>
      <c r="X1711" s="19">
        <f t="shared" ca="1" si="813"/>
        <v>0</v>
      </c>
      <c r="Y1711" s="19">
        <f t="shared" ca="1" si="814"/>
        <v>0</v>
      </c>
      <c r="Z1711" s="20">
        <f t="shared" ca="1" si="815"/>
        <v>0</v>
      </c>
      <c r="AA1711" s="1">
        <f t="shared" si="823"/>
        <v>5432.58</v>
      </c>
      <c r="AB1711" s="91"/>
      <c r="AC1711" s="92"/>
      <c r="AD1711" s="101">
        <f t="shared" si="824"/>
        <v>91554</v>
      </c>
      <c r="AE1711" s="103">
        <f t="shared" si="825"/>
        <v>0</v>
      </c>
      <c r="AG1711" s="1">
        <f t="shared" si="816"/>
        <v>0</v>
      </c>
      <c r="AH1711" s="1">
        <f t="shared" si="817"/>
        <v>0</v>
      </c>
      <c r="AI1711" s="1">
        <f t="shared" si="826"/>
        <v>5432.58</v>
      </c>
      <c r="AJ1711" s="20">
        <f t="shared" si="828"/>
        <v>0</v>
      </c>
      <c r="AK1711" s="100">
        <f t="shared" si="800"/>
        <v>0</v>
      </c>
      <c r="AL1711" s="100">
        <f t="shared" si="801"/>
        <v>0</v>
      </c>
      <c r="AN1711" s="100">
        <f t="shared" si="802"/>
        <v>2319.1309315490548</v>
      </c>
      <c r="AO1711" s="20">
        <f t="shared" si="803"/>
        <v>0</v>
      </c>
      <c r="AQ1711" s="109">
        <f t="shared" si="804"/>
        <v>0</v>
      </c>
      <c r="AU1711" s="109">
        <f t="shared" si="819"/>
        <v>23.346901280821324</v>
      </c>
      <c r="AV1711" s="101">
        <f t="shared" si="805"/>
        <v>91584</v>
      </c>
      <c r="AW1711" s="99">
        <f t="shared" si="806"/>
        <v>0</v>
      </c>
      <c r="AX1711" s="1">
        <f t="shared" si="807"/>
        <v>0</v>
      </c>
      <c r="AY1711" s="29">
        <f t="shared" si="808"/>
        <v>0</v>
      </c>
      <c r="AZ1711" s="1">
        <f t="shared" si="820"/>
        <v>0</v>
      </c>
      <c r="CB1711" s="20">
        <f t="shared" si="829"/>
        <v>0</v>
      </c>
      <c r="CC1711" s="173">
        <f t="shared" si="821"/>
        <v>0</v>
      </c>
    </row>
    <row r="1712" spans="10:81" x14ac:dyDescent="0.25">
      <c r="J1712" s="9"/>
      <c r="K1712" s="10"/>
      <c r="L1712" s="17"/>
      <c r="M1712" s="23"/>
      <c r="N1712" s="23"/>
      <c r="O1712" s="23"/>
      <c r="P1712" s="23"/>
      <c r="Q1712" s="1">
        <f t="shared" si="822"/>
        <v>0.60744618579017706</v>
      </c>
      <c r="R1712" s="12">
        <f t="shared" ca="1" si="809"/>
        <v>50462</v>
      </c>
      <c r="S1712" s="88">
        <f t="shared" si="818"/>
        <v>0</v>
      </c>
      <c r="T1712" s="19">
        <f t="shared" si="810"/>
        <v>0</v>
      </c>
      <c r="U1712" s="19">
        <f t="shared" si="811"/>
        <v>0</v>
      </c>
      <c r="V1712" s="19">
        <f t="shared" si="827"/>
        <v>0</v>
      </c>
      <c r="W1712" s="20">
        <f t="shared" ca="1" si="812"/>
        <v>0</v>
      </c>
      <c r="X1712" s="19">
        <f t="shared" ca="1" si="813"/>
        <v>0</v>
      </c>
      <c r="Y1712" s="19">
        <f t="shared" ca="1" si="814"/>
        <v>0</v>
      </c>
      <c r="Z1712" s="20">
        <f t="shared" ca="1" si="815"/>
        <v>0</v>
      </c>
      <c r="AA1712" s="1">
        <f t="shared" si="823"/>
        <v>5432.58</v>
      </c>
      <c r="AB1712" s="93"/>
      <c r="AC1712" s="94"/>
      <c r="AD1712" s="101">
        <f t="shared" si="824"/>
        <v>91584</v>
      </c>
      <c r="AE1712" s="103">
        <f t="shared" si="825"/>
        <v>0</v>
      </c>
      <c r="AG1712" s="1">
        <f t="shared" si="816"/>
        <v>0</v>
      </c>
      <c r="AH1712" s="1">
        <f t="shared" si="817"/>
        <v>0</v>
      </c>
      <c r="AI1712" s="1">
        <f t="shared" si="826"/>
        <v>5432.58</v>
      </c>
      <c r="AJ1712" s="20">
        <f t="shared" si="828"/>
        <v>0</v>
      </c>
      <c r="AK1712" s="100">
        <f t="shared" si="800"/>
        <v>0</v>
      </c>
      <c r="AL1712" s="100">
        <f t="shared" si="801"/>
        <v>0</v>
      </c>
      <c r="AN1712" s="100">
        <f t="shared" si="802"/>
        <v>2317.9575694787186</v>
      </c>
      <c r="AO1712" s="20">
        <f t="shared" si="803"/>
        <v>0</v>
      </c>
      <c r="AQ1712" s="109">
        <f t="shared" si="804"/>
        <v>0</v>
      </c>
      <c r="AU1712" s="109">
        <f t="shared" si="819"/>
        <v>23.344852121579542</v>
      </c>
      <c r="AV1712" s="101">
        <f t="shared" si="805"/>
        <v>91614</v>
      </c>
      <c r="AW1712" s="99">
        <f t="shared" si="806"/>
        <v>0</v>
      </c>
      <c r="AX1712" s="1">
        <f t="shared" si="807"/>
        <v>0</v>
      </c>
      <c r="AY1712" s="29">
        <f t="shared" si="808"/>
        <v>0</v>
      </c>
      <c r="AZ1712" s="1">
        <f t="shared" si="820"/>
        <v>0</v>
      </c>
      <c r="CB1712" s="20">
        <f t="shared" si="829"/>
        <v>0</v>
      </c>
      <c r="CC1712" s="173">
        <f t="shared" si="821"/>
        <v>0</v>
      </c>
    </row>
    <row r="1713" spans="10:81" x14ac:dyDescent="0.25">
      <c r="J1713" s="7"/>
      <c r="K1713" s="8"/>
      <c r="L1713" s="16"/>
      <c r="M1713" s="22"/>
      <c r="N1713" s="22"/>
      <c r="O1713" s="22"/>
      <c r="P1713" s="22"/>
      <c r="Q1713" s="1">
        <f t="shared" si="822"/>
        <v>0.60744618579017706</v>
      </c>
      <c r="R1713" s="12">
        <f t="shared" ca="1" si="809"/>
        <v>50492</v>
      </c>
      <c r="S1713" s="88">
        <f t="shared" si="818"/>
        <v>0</v>
      </c>
      <c r="T1713" s="19">
        <f t="shared" si="810"/>
        <v>0</v>
      </c>
      <c r="U1713" s="19">
        <f t="shared" si="811"/>
        <v>0</v>
      </c>
      <c r="V1713" s="19">
        <f t="shared" si="827"/>
        <v>0</v>
      </c>
      <c r="W1713" s="20">
        <f t="shared" ca="1" si="812"/>
        <v>0</v>
      </c>
      <c r="X1713" s="19">
        <f t="shared" ca="1" si="813"/>
        <v>0</v>
      </c>
      <c r="Y1713" s="19">
        <f t="shared" ca="1" si="814"/>
        <v>0</v>
      </c>
      <c r="Z1713" s="20">
        <f t="shared" ca="1" si="815"/>
        <v>0</v>
      </c>
      <c r="AA1713" s="1">
        <f t="shared" si="823"/>
        <v>5432.58</v>
      </c>
      <c r="AB1713" s="91"/>
      <c r="AC1713" s="92"/>
      <c r="AD1713" s="101">
        <f t="shared" si="824"/>
        <v>91614</v>
      </c>
      <c r="AE1713" s="103">
        <f t="shared" si="825"/>
        <v>0</v>
      </c>
      <c r="AG1713" s="1">
        <f t="shared" si="816"/>
        <v>0</v>
      </c>
      <c r="AH1713" s="1">
        <f t="shared" si="817"/>
        <v>0</v>
      </c>
      <c r="AI1713" s="1">
        <f t="shared" si="826"/>
        <v>5432.58</v>
      </c>
      <c r="AJ1713" s="20">
        <f t="shared" si="828"/>
        <v>0</v>
      </c>
      <c r="AK1713" s="100">
        <f t="shared" si="800"/>
        <v>0</v>
      </c>
      <c r="AL1713" s="100">
        <f t="shared" si="801"/>
        <v>0</v>
      </c>
      <c r="AN1713" s="100">
        <f t="shared" si="802"/>
        <v>2316.7848010697958</v>
      </c>
      <c r="AO1713" s="20">
        <f t="shared" si="803"/>
        <v>0</v>
      </c>
      <c r="AQ1713" s="109">
        <f t="shared" si="804"/>
        <v>0</v>
      </c>
      <c r="AU1713" s="109">
        <f t="shared" si="819"/>
        <v>23.342803142192615</v>
      </c>
      <c r="AV1713" s="101">
        <f t="shared" si="805"/>
        <v>91644</v>
      </c>
      <c r="AW1713" s="99">
        <f t="shared" si="806"/>
        <v>0</v>
      </c>
      <c r="AX1713" s="1">
        <f t="shared" si="807"/>
        <v>0</v>
      </c>
      <c r="AY1713" s="29">
        <f t="shared" si="808"/>
        <v>0</v>
      </c>
      <c r="AZ1713" s="1">
        <f t="shared" si="820"/>
        <v>0</v>
      </c>
      <c r="CB1713" s="20">
        <f t="shared" si="829"/>
        <v>0</v>
      </c>
      <c r="CC1713" s="173">
        <f t="shared" si="821"/>
        <v>0</v>
      </c>
    </row>
    <row r="1714" spans="10:81" x14ac:dyDescent="0.25">
      <c r="J1714" s="9"/>
      <c r="K1714" s="10"/>
      <c r="L1714" s="17"/>
      <c r="M1714" s="23"/>
      <c r="N1714" s="23"/>
      <c r="O1714" s="23"/>
      <c r="P1714" s="23"/>
      <c r="Q1714" s="1">
        <f t="shared" si="822"/>
        <v>0.60744618579017706</v>
      </c>
      <c r="R1714" s="12">
        <f t="shared" ca="1" si="809"/>
        <v>50522</v>
      </c>
      <c r="S1714" s="88">
        <f t="shared" si="818"/>
        <v>0</v>
      </c>
      <c r="T1714" s="19">
        <f t="shared" si="810"/>
        <v>0</v>
      </c>
      <c r="U1714" s="19">
        <f t="shared" si="811"/>
        <v>0</v>
      </c>
      <c r="V1714" s="19">
        <f t="shared" si="827"/>
        <v>0</v>
      </c>
      <c r="W1714" s="20">
        <f t="shared" ca="1" si="812"/>
        <v>0</v>
      </c>
      <c r="X1714" s="19">
        <f t="shared" ca="1" si="813"/>
        <v>0</v>
      </c>
      <c r="Y1714" s="19">
        <f t="shared" ca="1" si="814"/>
        <v>0</v>
      </c>
      <c r="Z1714" s="20">
        <f t="shared" ca="1" si="815"/>
        <v>0</v>
      </c>
      <c r="AA1714" s="1">
        <f t="shared" si="823"/>
        <v>5432.58</v>
      </c>
      <c r="AB1714" s="93"/>
      <c r="AC1714" s="94"/>
      <c r="AD1714" s="101">
        <f t="shared" si="824"/>
        <v>91644</v>
      </c>
      <c r="AE1714" s="103">
        <f t="shared" si="825"/>
        <v>0</v>
      </c>
      <c r="AG1714" s="1">
        <f t="shared" si="816"/>
        <v>0</v>
      </c>
      <c r="AH1714" s="1">
        <f t="shared" si="817"/>
        <v>0</v>
      </c>
      <c r="AI1714" s="1">
        <f t="shared" si="826"/>
        <v>5432.58</v>
      </c>
      <c r="AJ1714" s="20">
        <f t="shared" si="828"/>
        <v>0</v>
      </c>
      <c r="AK1714" s="100">
        <f t="shared" si="800"/>
        <v>0</v>
      </c>
      <c r="AL1714" s="100">
        <f t="shared" si="801"/>
        <v>0</v>
      </c>
      <c r="AN1714" s="100">
        <f t="shared" si="802"/>
        <v>2315.6126260219262</v>
      </c>
      <c r="AO1714" s="20">
        <f t="shared" si="803"/>
        <v>0</v>
      </c>
      <c r="AQ1714" s="109">
        <f t="shared" si="804"/>
        <v>0</v>
      </c>
      <c r="AU1714" s="109">
        <f t="shared" si="819"/>
        <v>23.340754342644765</v>
      </c>
      <c r="AV1714" s="101">
        <f t="shared" si="805"/>
        <v>91674</v>
      </c>
      <c r="AW1714" s="99">
        <f t="shared" si="806"/>
        <v>0</v>
      </c>
      <c r="AX1714" s="1">
        <f t="shared" si="807"/>
        <v>0</v>
      </c>
      <c r="AY1714" s="29">
        <f t="shared" si="808"/>
        <v>0</v>
      </c>
      <c r="AZ1714" s="1">
        <f t="shared" si="820"/>
        <v>0</v>
      </c>
      <c r="CB1714" s="20">
        <f t="shared" si="829"/>
        <v>0</v>
      </c>
      <c r="CC1714" s="173">
        <f t="shared" si="821"/>
        <v>0</v>
      </c>
    </row>
    <row r="1715" spans="10:81" x14ac:dyDescent="0.25">
      <c r="J1715" s="7"/>
      <c r="K1715" s="8"/>
      <c r="L1715" s="16"/>
      <c r="M1715" s="22"/>
      <c r="N1715" s="22"/>
      <c r="O1715" s="22"/>
      <c r="P1715" s="22"/>
      <c r="Q1715" s="1">
        <f t="shared" si="822"/>
        <v>0.60744618579017706</v>
      </c>
      <c r="R1715" s="12">
        <f t="shared" ca="1" si="809"/>
        <v>50552</v>
      </c>
      <c r="S1715" s="88">
        <f t="shared" si="818"/>
        <v>0</v>
      </c>
      <c r="T1715" s="19">
        <f t="shared" si="810"/>
        <v>0</v>
      </c>
      <c r="U1715" s="19">
        <f t="shared" si="811"/>
        <v>0</v>
      </c>
      <c r="V1715" s="19">
        <f t="shared" si="827"/>
        <v>0</v>
      </c>
      <c r="W1715" s="20">
        <f t="shared" ca="1" si="812"/>
        <v>0</v>
      </c>
      <c r="X1715" s="19">
        <f t="shared" ca="1" si="813"/>
        <v>0</v>
      </c>
      <c r="Y1715" s="19">
        <f t="shared" ca="1" si="814"/>
        <v>0</v>
      </c>
      <c r="Z1715" s="20">
        <f t="shared" ca="1" si="815"/>
        <v>0</v>
      </c>
      <c r="AA1715" s="1">
        <f t="shared" si="823"/>
        <v>5432.58</v>
      </c>
      <c r="AB1715" s="91"/>
      <c r="AC1715" s="92"/>
      <c r="AD1715" s="101">
        <f t="shared" si="824"/>
        <v>91674</v>
      </c>
      <c r="AE1715" s="103">
        <f t="shared" si="825"/>
        <v>0</v>
      </c>
      <c r="AG1715" s="1">
        <f t="shared" si="816"/>
        <v>0</v>
      </c>
      <c r="AH1715" s="1">
        <f t="shared" si="817"/>
        <v>0</v>
      </c>
      <c r="AI1715" s="1">
        <f t="shared" si="826"/>
        <v>5432.58</v>
      </c>
      <c r="AJ1715" s="20">
        <f t="shared" si="828"/>
        <v>0</v>
      </c>
      <c r="AK1715" s="100">
        <f t="shared" si="800"/>
        <v>0</v>
      </c>
      <c r="AL1715" s="100">
        <f t="shared" si="801"/>
        <v>0</v>
      </c>
      <c r="AN1715" s="100">
        <f t="shared" si="802"/>
        <v>2314.4410440348952</v>
      </c>
      <c r="AO1715" s="20">
        <f t="shared" si="803"/>
        <v>0</v>
      </c>
      <c r="AQ1715" s="109">
        <f t="shared" si="804"/>
        <v>0</v>
      </c>
      <c r="AU1715" s="109">
        <f t="shared" si="819"/>
        <v>23.338705722920203</v>
      </c>
      <c r="AV1715" s="101">
        <f t="shared" si="805"/>
        <v>91704</v>
      </c>
      <c r="AW1715" s="99">
        <f t="shared" si="806"/>
        <v>0</v>
      </c>
      <c r="AX1715" s="1">
        <f t="shared" si="807"/>
        <v>0</v>
      </c>
      <c r="AY1715" s="29">
        <f t="shared" si="808"/>
        <v>0</v>
      </c>
      <c r="AZ1715" s="1">
        <f t="shared" si="820"/>
        <v>0</v>
      </c>
      <c r="CB1715" s="20">
        <f t="shared" si="829"/>
        <v>0</v>
      </c>
      <c r="CC1715" s="173">
        <f t="shared" si="821"/>
        <v>0</v>
      </c>
    </row>
    <row r="1716" spans="10:81" x14ac:dyDescent="0.25">
      <c r="J1716" s="9"/>
      <c r="K1716" s="10"/>
      <c r="L1716" s="17"/>
      <c r="M1716" s="23"/>
      <c r="N1716" s="23"/>
      <c r="O1716" s="23"/>
      <c r="P1716" s="23"/>
      <c r="Q1716" s="1">
        <f t="shared" si="822"/>
        <v>0.60744618579017706</v>
      </c>
      <c r="R1716" s="12">
        <f t="shared" ca="1" si="809"/>
        <v>50582</v>
      </c>
      <c r="S1716" s="88">
        <f t="shared" si="818"/>
        <v>0</v>
      </c>
      <c r="T1716" s="19">
        <f t="shared" si="810"/>
        <v>0</v>
      </c>
      <c r="U1716" s="19">
        <f t="shared" si="811"/>
        <v>0</v>
      </c>
      <c r="V1716" s="19">
        <f t="shared" si="827"/>
        <v>0</v>
      </c>
      <c r="W1716" s="20">
        <f t="shared" ca="1" si="812"/>
        <v>0</v>
      </c>
      <c r="X1716" s="19">
        <f t="shared" ca="1" si="813"/>
        <v>0</v>
      </c>
      <c r="Y1716" s="19">
        <f t="shared" ca="1" si="814"/>
        <v>0</v>
      </c>
      <c r="Z1716" s="20">
        <f t="shared" ca="1" si="815"/>
        <v>0</v>
      </c>
      <c r="AA1716" s="1">
        <f t="shared" si="823"/>
        <v>5432.58</v>
      </c>
      <c r="AB1716" s="93"/>
      <c r="AC1716" s="94"/>
      <c r="AD1716" s="101">
        <f t="shared" si="824"/>
        <v>91704</v>
      </c>
      <c r="AE1716" s="103">
        <f t="shared" si="825"/>
        <v>0</v>
      </c>
      <c r="AG1716" s="1">
        <f t="shared" si="816"/>
        <v>0</v>
      </c>
      <c r="AH1716" s="1">
        <f t="shared" si="817"/>
        <v>0</v>
      </c>
      <c r="AI1716" s="1">
        <f t="shared" si="826"/>
        <v>5432.58</v>
      </c>
      <c r="AJ1716" s="20">
        <f t="shared" si="828"/>
        <v>0</v>
      </c>
      <c r="AK1716" s="100">
        <f t="shared" si="800"/>
        <v>0</v>
      </c>
      <c r="AL1716" s="100">
        <f t="shared" si="801"/>
        <v>0</v>
      </c>
      <c r="AN1716" s="100">
        <f t="shared" si="802"/>
        <v>2313.2700548086486</v>
      </c>
      <c r="AO1716" s="20">
        <f t="shared" si="803"/>
        <v>0</v>
      </c>
      <c r="AQ1716" s="109">
        <f t="shared" si="804"/>
        <v>0</v>
      </c>
      <c r="AU1716" s="109">
        <f t="shared" si="819"/>
        <v>23.336657283003138</v>
      </c>
      <c r="AV1716" s="101">
        <f t="shared" si="805"/>
        <v>91734</v>
      </c>
      <c r="AW1716" s="99">
        <f t="shared" si="806"/>
        <v>0</v>
      </c>
      <c r="AX1716" s="1">
        <f t="shared" si="807"/>
        <v>0</v>
      </c>
      <c r="AY1716" s="29">
        <f t="shared" si="808"/>
        <v>0</v>
      </c>
      <c r="AZ1716" s="1">
        <f t="shared" si="820"/>
        <v>0</v>
      </c>
      <c r="CB1716" s="20">
        <f t="shared" si="829"/>
        <v>0</v>
      </c>
      <c r="CC1716" s="173">
        <f t="shared" si="821"/>
        <v>0</v>
      </c>
    </row>
    <row r="1717" spans="10:81" x14ac:dyDescent="0.25">
      <c r="J1717" s="7"/>
      <c r="K1717" s="8"/>
      <c r="L1717" s="16"/>
      <c r="M1717" s="22"/>
      <c r="N1717" s="22"/>
      <c r="O1717" s="22"/>
      <c r="P1717" s="22"/>
      <c r="Q1717" s="1">
        <f t="shared" si="822"/>
        <v>0.60744618579017706</v>
      </c>
      <c r="R1717" s="12">
        <f t="shared" ca="1" si="809"/>
        <v>50612</v>
      </c>
      <c r="S1717" s="88">
        <f t="shared" si="818"/>
        <v>0</v>
      </c>
      <c r="T1717" s="19">
        <f t="shared" si="810"/>
        <v>0</v>
      </c>
      <c r="U1717" s="19">
        <f t="shared" si="811"/>
        <v>0</v>
      </c>
      <c r="V1717" s="19">
        <f t="shared" si="827"/>
        <v>0</v>
      </c>
      <c r="W1717" s="20">
        <f t="shared" ca="1" si="812"/>
        <v>0</v>
      </c>
      <c r="X1717" s="19">
        <f t="shared" ca="1" si="813"/>
        <v>0</v>
      </c>
      <c r="Y1717" s="19">
        <f t="shared" ca="1" si="814"/>
        <v>0</v>
      </c>
      <c r="Z1717" s="20">
        <f t="shared" ca="1" si="815"/>
        <v>0</v>
      </c>
      <c r="AA1717" s="1">
        <f t="shared" si="823"/>
        <v>5432.58</v>
      </c>
      <c r="AB1717" s="91"/>
      <c r="AC1717" s="92"/>
      <c r="AD1717" s="101">
        <f t="shared" si="824"/>
        <v>91734</v>
      </c>
      <c r="AE1717" s="103">
        <f t="shared" si="825"/>
        <v>0</v>
      </c>
      <c r="AG1717" s="1">
        <f t="shared" si="816"/>
        <v>0</v>
      </c>
      <c r="AH1717" s="1">
        <f t="shared" si="817"/>
        <v>0</v>
      </c>
      <c r="AI1717" s="1">
        <f t="shared" si="826"/>
        <v>5432.58</v>
      </c>
      <c r="AJ1717" s="20">
        <f t="shared" si="828"/>
        <v>0</v>
      </c>
      <c r="AK1717" s="100">
        <f t="shared" si="800"/>
        <v>0</v>
      </c>
      <c r="AL1717" s="100">
        <f t="shared" si="801"/>
        <v>0</v>
      </c>
      <c r="AN1717" s="100">
        <f t="shared" si="802"/>
        <v>2312.0996580432775</v>
      </c>
      <c r="AO1717" s="20">
        <f t="shared" si="803"/>
        <v>0</v>
      </c>
      <c r="AQ1717" s="109">
        <f t="shared" si="804"/>
        <v>0</v>
      </c>
      <c r="AU1717" s="109">
        <f t="shared" si="819"/>
        <v>23.334609022877807</v>
      </c>
      <c r="AV1717" s="101">
        <f t="shared" si="805"/>
        <v>91764</v>
      </c>
      <c r="AW1717" s="99">
        <f t="shared" si="806"/>
        <v>0</v>
      </c>
      <c r="AX1717" s="1">
        <f t="shared" si="807"/>
        <v>0</v>
      </c>
      <c r="AY1717" s="29">
        <f t="shared" si="808"/>
        <v>0</v>
      </c>
      <c r="AZ1717" s="1">
        <f t="shared" si="820"/>
        <v>0</v>
      </c>
      <c r="CB1717" s="20">
        <f t="shared" si="829"/>
        <v>0</v>
      </c>
      <c r="CC1717" s="173">
        <f t="shared" si="821"/>
        <v>0</v>
      </c>
    </row>
    <row r="1718" spans="10:81" x14ac:dyDescent="0.25">
      <c r="J1718" s="9"/>
      <c r="K1718" s="10"/>
      <c r="L1718" s="17"/>
      <c r="M1718" s="23"/>
      <c r="N1718" s="23"/>
      <c r="O1718" s="23"/>
      <c r="P1718" s="23"/>
      <c r="Q1718" s="1">
        <f t="shared" si="822"/>
        <v>0.60744618579017706</v>
      </c>
      <c r="R1718" s="12">
        <f t="shared" ca="1" si="809"/>
        <v>50642</v>
      </c>
      <c r="S1718" s="88">
        <f t="shared" si="818"/>
        <v>0</v>
      </c>
      <c r="T1718" s="19">
        <f t="shared" si="810"/>
        <v>0</v>
      </c>
      <c r="U1718" s="19">
        <f t="shared" si="811"/>
        <v>0</v>
      </c>
      <c r="V1718" s="19">
        <f t="shared" si="827"/>
        <v>0</v>
      </c>
      <c r="W1718" s="20">
        <f t="shared" ca="1" si="812"/>
        <v>0</v>
      </c>
      <c r="X1718" s="19">
        <f t="shared" ca="1" si="813"/>
        <v>0</v>
      </c>
      <c r="Y1718" s="19">
        <f t="shared" ca="1" si="814"/>
        <v>0</v>
      </c>
      <c r="Z1718" s="20">
        <f t="shared" ca="1" si="815"/>
        <v>0</v>
      </c>
      <c r="AA1718" s="1">
        <f t="shared" si="823"/>
        <v>5432.58</v>
      </c>
      <c r="AB1718" s="93"/>
      <c r="AC1718" s="94"/>
      <c r="AD1718" s="101">
        <f t="shared" si="824"/>
        <v>91764</v>
      </c>
      <c r="AE1718" s="103">
        <f t="shared" si="825"/>
        <v>0</v>
      </c>
      <c r="AG1718" s="1">
        <f t="shared" si="816"/>
        <v>0</v>
      </c>
      <c r="AH1718" s="1">
        <f t="shared" si="817"/>
        <v>0</v>
      </c>
      <c r="AI1718" s="1">
        <f t="shared" si="826"/>
        <v>5432.58</v>
      </c>
      <c r="AJ1718" s="20">
        <f t="shared" si="828"/>
        <v>0</v>
      </c>
      <c r="AK1718" s="100">
        <f t="shared" ref="AK1718:AK1781" si="830">IF(ISERROR(AJ1718/(1+(Q1718)/1200)^(ROW()-29)),0,AJ1718/(1+(Q1718)/1200)^(ROW()-29))</f>
        <v>0</v>
      </c>
      <c r="AL1718" s="100">
        <f t="shared" ref="AL1718:AL1781" si="831">IF(ISERROR((Q1718/1200)*O1718),0,(Q1718/1200)*O1718)</f>
        <v>0</v>
      </c>
      <c r="AN1718" s="100">
        <f t="shared" ref="AN1718:AN1781" si="832">IF(ISERROR(AA1718/(1+(Q1718)/1200)^(ROW()-29)),0,AA1718/(1+(Q1718)/1200)^(ROW()-29))</f>
        <v>2310.9298534390268</v>
      </c>
      <c r="AO1718" s="20">
        <f t="shared" ref="AO1718:AO1781" si="833">IF(ISERROR(V1717+U1718+T1718+(V1717*Q1718/1200)-AA1718-P1718),0,IF(V1717+U1718+T1718+(V1717*Q1718/1200)-AA1718-P1718&lt;0,V1717,-(U1718+T1718-AA1718+P1718-AH1718)))</f>
        <v>0</v>
      </c>
      <c r="AQ1718" s="109">
        <f t="shared" ref="AQ1718:AQ1781" si="834">AO1718/(1+((1+$AM$27)^((ROW()-29)*30)-1))</f>
        <v>0</v>
      </c>
      <c r="AU1718" s="109">
        <f t="shared" si="819"/>
        <v>23.332560942528406</v>
      </c>
      <c r="AV1718" s="101">
        <f t="shared" ref="AV1718:AV1781" si="835">AD1719</f>
        <v>91794</v>
      </c>
      <c r="AW1718" s="99">
        <f t="shared" ref="AW1718:AW1781" si="836">IF(AJ1719&lt;0,0,AJ1719)</f>
        <v>0</v>
      </c>
      <c r="AX1718" s="1">
        <f t="shared" ref="AX1718:AX1781" si="837">IF(AG1718&gt;0,AA1718,0)</f>
        <v>0</v>
      </c>
      <c r="AY1718" s="29">
        <f t="shared" ref="AY1718:AY1781" si="838">AE1718</f>
        <v>0</v>
      </c>
      <c r="AZ1718" s="1">
        <f t="shared" si="820"/>
        <v>0</v>
      </c>
      <c r="CB1718" s="20">
        <f t="shared" si="829"/>
        <v>0</v>
      </c>
      <c r="CC1718" s="173">
        <f t="shared" si="821"/>
        <v>0</v>
      </c>
    </row>
    <row r="1719" spans="10:81" x14ac:dyDescent="0.25">
      <c r="J1719" s="7"/>
      <c r="K1719" s="8"/>
      <c r="L1719" s="16"/>
      <c r="M1719" s="22"/>
      <c r="N1719" s="22"/>
      <c r="O1719" s="22"/>
      <c r="P1719" s="22"/>
      <c r="Q1719" s="1">
        <f t="shared" si="822"/>
        <v>0.60744618579017706</v>
      </c>
      <c r="R1719" s="12">
        <f t="shared" ref="R1719:R1782" ca="1" si="839">IF(ROW()&gt;$T$20,R1718+30,DAYS360(K1718,K1719)+R1718)</f>
        <v>50672</v>
      </c>
      <c r="S1719" s="88">
        <f t="shared" si="818"/>
        <v>0</v>
      </c>
      <c r="T1719" s="19">
        <f t="shared" ref="T1719:T1782" si="840">IF(ISERROR((previousBalance*Q1719/1200)*(IF(ROW()-30&lt;$G$22,$G$21,0))),0,(previousBalance*Q1719/1200)*(IF(ROW()-30&lt;$G$22,$G$21,0)))</f>
        <v>0</v>
      </c>
      <c r="U1719" s="19">
        <f t="shared" ref="U1719:U1782" si="841">AA1719*(IF(ROW()-30&lt;$H$22,$H$21,0))</f>
        <v>0</v>
      </c>
      <c r="V1719" s="19">
        <f t="shared" si="827"/>
        <v>0</v>
      </c>
      <c r="W1719" s="20">
        <f t="shared" ref="W1719:W1782" ca="1" si="842">(T1719)/(1+((1+$T$12)^$R1719-1))</f>
        <v>0</v>
      </c>
      <c r="X1719" s="19">
        <f t="shared" ref="X1719:X1782" ca="1" si="843">(U1719)/(1+((1+$T$12)^$R1719-1))</f>
        <v>0</v>
      </c>
      <c r="Y1719" s="19">
        <f t="shared" ref="Y1719:Y1782" ca="1" si="844">P1719/(1+((1+$T$12)^$R1719-1))</f>
        <v>0</v>
      </c>
      <c r="Z1719" s="20">
        <f t="shared" ref="Z1719:Z1782" ca="1" si="845">W1719+X1719</f>
        <v>0</v>
      </c>
      <c r="AA1719" s="1">
        <f t="shared" si="823"/>
        <v>5432.58</v>
      </c>
      <c r="AB1719" s="91"/>
      <c r="AC1719" s="92"/>
      <c r="AD1719" s="101">
        <f t="shared" si="824"/>
        <v>91794</v>
      </c>
      <c r="AE1719" s="103">
        <f t="shared" si="825"/>
        <v>0</v>
      </c>
      <c r="AG1719" s="1">
        <f t="shared" ref="AG1719:AG1782" si="846">AE1719/360</f>
        <v>0</v>
      </c>
      <c r="AH1719" s="1">
        <f t="shared" ref="AH1719:AH1782" si="847">IF(ISERROR(IF(V1718+U1719+T1719+(V1718*Q1719/1200)-AA1719-P1719&lt;0,0,(V1718*Q1719/1200))),0,IF(V1718+U1719+T1719+(V1718*Q1719/1200)-AA1719-P1719&lt;0,0,(V1718*Q1719/1200)))</f>
        <v>0</v>
      </c>
      <c r="AI1719" s="1">
        <f t="shared" si="826"/>
        <v>5432.58</v>
      </c>
      <c r="AJ1719" s="20">
        <f t="shared" si="828"/>
        <v>0</v>
      </c>
      <c r="AK1719" s="100">
        <f t="shared" si="830"/>
        <v>0</v>
      </c>
      <c r="AL1719" s="100">
        <f t="shared" si="831"/>
        <v>0</v>
      </c>
      <c r="AN1719" s="100">
        <f t="shared" si="832"/>
        <v>2309.7606406962936</v>
      </c>
      <c r="AO1719" s="20">
        <f t="shared" si="833"/>
        <v>0</v>
      </c>
      <c r="AQ1719" s="109">
        <f t="shared" si="834"/>
        <v>0</v>
      </c>
      <c r="AU1719" s="109">
        <f t="shared" si="819"/>
        <v>23.33051304193917</v>
      </c>
      <c r="AV1719" s="101">
        <f t="shared" si="835"/>
        <v>91824</v>
      </c>
      <c r="AW1719" s="99">
        <f t="shared" si="836"/>
        <v>0</v>
      </c>
      <c r="AX1719" s="1">
        <f t="shared" si="837"/>
        <v>0</v>
      </c>
      <c r="AY1719" s="29">
        <f t="shared" si="838"/>
        <v>0</v>
      </c>
      <c r="AZ1719" s="1">
        <f t="shared" si="820"/>
        <v>0</v>
      </c>
      <c r="CB1719" s="20">
        <f t="shared" si="829"/>
        <v>0</v>
      </c>
      <c r="CC1719" s="173">
        <f t="shared" si="821"/>
        <v>0</v>
      </c>
    </row>
    <row r="1720" spans="10:81" x14ac:dyDescent="0.25">
      <c r="J1720" s="9"/>
      <c r="K1720" s="10"/>
      <c r="L1720" s="17"/>
      <c r="M1720" s="23"/>
      <c r="N1720" s="23"/>
      <c r="O1720" s="23"/>
      <c r="P1720" s="23"/>
      <c r="Q1720" s="1">
        <f t="shared" si="822"/>
        <v>0.60744618579017706</v>
      </c>
      <c r="R1720" s="12">
        <f t="shared" ca="1" si="839"/>
        <v>50702</v>
      </c>
      <c r="S1720" s="88">
        <f t="shared" si="818"/>
        <v>0</v>
      </c>
      <c r="T1720" s="19">
        <f t="shared" si="840"/>
        <v>0</v>
      </c>
      <c r="U1720" s="19">
        <f t="shared" si="841"/>
        <v>0</v>
      </c>
      <c r="V1720" s="19">
        <f t="shared" si="827"/>
        <v>0</v>
      </c>
      <c r="W1720" s="20">
        <f t="shared" ca="1" si="842"/>
        <v>0</v>
      </c>
      <c r="X1720" s="19">
        <f t="shared" ca="1" si="843"/>
        <v>0</v>
      </c>
      <c r="Y1720" s="19">
        <f t="shared" ca="1" si="844"/>
        <v>0</v>
      </c>
      <c r="Z1720" s="20">
        <f t="shared" ca="1" si="845"/>
        <v>0</v>
      </c>
      <c r="AA1720" s="1">
        <f t="shared" si="823"/>
        <v>5432.58</v>
      </c>
      <c r="AB1720" s="93"/>
      <c r="AC1720" s="94"/>
      <c r="AD1720" s="101">
        <f t="shared" si="824"/>
        <v>91824</v>
      </c>
      <c r="AE1720" s="103">
        <f t="shared" si="825"/>
        <v>0</v>
      </c>
      <c r="AG1720" s="1">
        <f t="shared" si="846"/>
        <v>0</v>
      </c>
      <c r="AH1720" s="1">
        <f t="shared" si="847"/>
        <v>0</v>
      </c>
      <c r="AI1720" s="1">
        <f t="shared" si="826"/>
        <v>5432.58</v>
      </c>
      <c r="AJ1720" s="20">
        <f t="shared" si="828"/>
        <v>0</v>
      </c>
      <c r="AK1720" s="100">
        <f t="shared" si="830"/>
        <v>0</v>
      </c>
      <c r="AL1720" s="100">
        <f t="shared" si="831"/>
        <v>0</v>
      </c>
      <c r="AN1720" s="100">
        <f t="shared" si="832"/>
        <v>2308.5920195156273</v>
      </c>
      <c r="AO1720" s="20">
        <f t="shared" si="833"/>
        <v>0</v>
      </c>
      <c r="AQ1720" s="109">
        <f t="shared" si="834"/>
        <v>0</v>
      </c>
      <c r="AU1720" s="109">
        <f t="shared" si="819"/>
        <v>23.328465321094328</v>
      </c>
      <c r="AV1720" s="101">
        <f t="shared" si="835"/>
        <v>91854</v>
      </c>
      <c r="AW1720" s="99">
        <f t="shared" si="836"/>
        <v>0</v>
      </c>
      <c r="AX1720" s="1">
        <f t="shared" si="837"/>
        <v>0</v>
      </c>
      <c r="AY1720" s="29">
        <f t="shared" si="838"/>
        <v>0</v>
      </c>
      <c r="AZ1720" s="1">
        <f t="shared" si="820"/>
        <v>0</v>
      </c>
      <c r="CB1720" s="20">
        <f t="shared" si="829"/>
        <v>0</v>
      </c>
      <c r="CC1720" s="173">
        <f t="shared" si="821"/>
        <v>0</v>
      </c>
    </row>
    <row r="1721" spans="10:81" x14ac:dyDescent="0.25">
      <c r="J1721" s="7"/>
      <c r="K1721" s="8"/>
      <c r="L1721" s="16"/>
      <c r="M1721" s="22"/>
      <c r="N1721" s="22"/>
      <c r="O1721" s="22"/>
      <c r="P1721" s="22"/>
      <c r="Q1721" s="1">
        <f t="shared" si="822"/>
        <v>0.60744618579017706</v>
      </c>
      <c r="R1721" s="12">
        <f t="shared" ca="1" si="839"/>
        <v>50732</v>
      </c>
      <c r="S1721" s="88">
        <f t="shared" si="818"/>
        <v>0</v>
      </c>
      <c r="T1721" s="19">
        <f t="shared" si="840"/>
        <v>0</v>
      </c>
      <c r="U1721" s="19">
        <f t="shared" si="841"/>
        <v>0</v>
      </c>
      <c r="V1721" s="19">
        <f t="shared" si="827"/>
        <v>0</v>
      </c>
      <c r="W1721" s="20">
        <f t="shared" ca="1" si="842"/>
        <v>0</v>
      </c>
      <c r="X1721" s="19">
        <f t="shared" ca="1" si="843"/>
        <v>0</v>
      </c>
      <c r="Y1721" s="19">
        <f t="shared" ca="1" si="844"/>
        <v>0</v>
      </c>
      <c r="Z1721" s="20">
        <f t="shared" ca="1" si="845"/>
        <v>0</v>
      </c>
      <c r="AA1721" s="1">
        <f t="shared" si="823"/>
        <v>5432.58</v>
      </c>
      <c r="AB1721" s="91"/>
      <c r="AC1721" s="92"/>
      <c r="AD1721" s="101">
        <f t="shared" si="824"/>
        <v>91854</v>
      </c>
      <c r="AE1721" s="103">
        <f t="shared" si="825"/>
        <v>0</v>
      </c>
      <c r="AG1721" s="1">
        <f t="shared" si="846"/>
        <v>0</v>
      </c>
      <c r="AH1721" s="1">
        <f t="shared" si="847"/>
        <v>0</v>
      </c>
      <c r="AI1721" s="1">
        <f t="shared" si="826"/>
        <v>5432.58</v>
      </c>
      <c r="AJ1721" s="20">
        <f t="shared" si="828"/>
        <v>0</v>
      </c>
      <c r="AK1721" s="100">
        <f t="shared" si="830"/>
        <v>0</v>
      </c>
      <c r="AL1721" s="100">
        <f t="shared" si="831"/>
        <v>0</v>
      </c>
      <c r="AN1721" s="100">
        <f t="shared" si="832"/>
        <v>2307.4239895977248</v>
      </c>
      <c r="AO1721" s="20">
        <f t="shared" si="833"/>
        <v>0</v>
      </c>
      <c r="AQ1721" s="109">
        <f t="shared" si="834"/>
        <v>0</v>
      </c>
      <c r="AU1721" s="109">
        <f t="shared" si="819"/>
        <v>23.326417779978087</v>
      </c>
      <c r="AV1721" s="101">
        <f t="shared" si="835"/>
        <v>91884</v>
      </c>
      <c r="AW1721" s="99">
        <f t="shared" si="836"/>
        <v>0</v>
      </c>
      <c r="AX1721" s="1">
        <f t="shared" si="837"/>
        <v>0</v>
      </c>
      <c r="AY1721" s="29">
        <f t="shared" si="838"/>
        <v>0</v>
      </c>
      <c r="AZ1721" s="1">
        <f t="shared" si="820"/>
        <v>0</v>
      </c>
      <c r="CB1721" s="20">
        <f t="shared" si="829"/>
        <v>0</v>
      </c>
      <c r="CC1721" s="173">
        <f t="shared" si="821"/>
        <v>0</v>
      </c>
    </row>
    <row r="1722" spans="10:81" x14ac:dyDescent="0.25">
      <c r="J1722" s="9"/>
      <c r="K1722" s="10"/>
      <c r="L1722" s="17"/>
      <c r="M1722" s="23"/>
      <c r="N1722" s="23"/>
      <c r="O1722" s="23"/>
      <c r="P1722" s="23"/>
      <c r="Q1722" s="1">
        <f t="shared" si="822"/>
        <v>0.60744618579017706</v>
      </c>
      <c r="R1722" s="12">
        <f t="shared" ca="1" si="839"/>
        <v>50762</v>
      </c>
      <c r="S1722" s="88">
        <f t="shared" si="818"/>
        <v>0</v>
      </c>
      <c r="T1722" s="19">
        <f t="shared" si="840"/>
        <v>0</v>
      </c>
      <c r="U1722" s="19">
        <f t="shared" si="841"/>
        <v>0</v>
      </c>
      <c r="V1722" s="19">
        <f t="shared" si="827"/>
        <v>0</v>
      </c>
      <c r="W1722" s="20">
        <f t="shared" ca="1" si="842"/>
        <v>0</v>
      </c>
      <c r="X1722" s="19">
        <f t="shared" ca="1" si="843"/>
        <v>0</v>
      </c>
      <c r="Y1722" s="19">
        <f t="shared" ca="1" si="844"/>
        <v>0</v>
      </c>
      <c r="Z1722" s="20">
        <f t="shared" ca="1" si="845"/>
        <v>0</v>
      </c>
      <c r="AA1722" s="1">
        <f t="shared" si="823"/>
        <v>5432.58</v>
      </c>
      <c r="AB1722" s="93"/>
      <c r="AC1722" s="94"/>
      <c r="AD1722" s="101">
        <f t="shared" si="824"/>
        <v>91884</v>
      </c>
      <c r="AE1722" s="103">
        <f t="shared" si="825"/>
        <v>0</v>
      </c>
      <c r="AG1722" s="1">
        <f t="shared" si="846"/>
        <v>0</v>
      </c>
      <c r="AH1722" s="1">
        <f t="shared" si="847"/>
        <v>0</v>
      </c>
      <c r="AI1722" s="1">
        <f t="shared" si="826"/>
        <v>5432.58</v>
      </c>
      <c r="AJ1722" s="20">
        <f t="shared" si="828"/>
        <v>0</v>
      </c>
      <c r="AK1722" s="100">
        <f t="shared" si="830"/>
        <v>0</v>
      </c>
      <c r="AL1722" s="100">
        <f t="shared" si="831"/>
        <v>0</v>
      </c>
      <c r="AN1722" s="100">
        <f t="shared" si="832"/>
        <v>2306.2565506434398</v>
      </c>
      <c r="AO1722" s="20">
        <f t="shared" si="833"/>
        <v>0</v>
      </c>
      <c r="AQ1722" s="109">
        <f t="shared" si="834"/>
        <v>0</v>
      </c>
      <c r="AU1722" s="109">
        <f t="shared" si="819"/>
        <v>23.324370418574674</v>
      </c>
      <c r="AV1722" s="101">
        <f t="shared" si="835"/>
        <v>91914</v>
      </c>
      <c r="AW1722" s="99">
        <f t="shared" si="836"/>
        <v>0</v>
      </c>
      <c r="AX1722" s="1">
        <f t="shared" si="837"/>
        <v>0</v>
      </c>
      <c r="AY1722" s="29">
        <f t="shared" si="838"/>
        <v>0</v>
      </c>
      <c r="AZ1722" s="1">
        <f t="shared" si="820"/>
        <v>0</v>
      </c>
      <c r="CB1722" s="20">
        <f t="shared" si="829"/>
        <v>0</v>
      </c>
      <c r="CC1722" s="173">
        <f t="shared" si="821"/>
        <v>0</v>
      </c>
    </row>
    <row r="1723" spans="10:81" x14ac:dyDescent="0.25">
      <c r="J1723" s="7"/>
      <c r="K1723" s="8"/>
      <c r="L1723" s="16"/>
      <c r="M1723" s="22"/>
      <c r="N1723" s="22"/>
      <c r="O1723" s="22"/>
      <c r="P1723" s="22"/>
      <c r="Q1723" s="1">
        <f t="shared" si="822"/>
        <v>0.60744618579017706</v>
      </c>
      <c r="R1723" s="12">
        <f t="shared" ca="1" si="839"/>
        <v>50792</v>
      </c>
      <c r="S1723" s="88">
        <f t="shared" si="818"/>
        <v>0</v>
      </c>
      <c r="T1723" s="19">
        <f t="shared" si="840"/>
        <v>0</v>
      </c>
      <c r="U1723" s="19">
        <f t="shared" si="841"/>
        <v>0</v>
      </c>
      <c r="V1723" s="19">
        <f t="shared" si="827"/>
        <v>0</v>
      </c>
      <c r="W1723" s="20">
        <f t="shared" ca="1" si="842"/>
        <v>0</v>
      </c>
      <c r="X1723" s="19">
        <f t="shared" ca="1" si="843"/>
        <v>0</v>
      </c>
      <c r="Y1723" s="19">
        <f t="shared" ca="1" si="844"/>
        <v>0</v>
      </c>
      <c r="Z1723" s="20">
        <f t="shared" ca="1" si="845"/>
        <v>0</v>
      </c>
      <c r="AA1723" s="1">
        <f t="shared" si="823"/>
        <v>5432.58</v>
      </c>
      <c r="AB1723" s="91"/>
      <c r="AC1723" s="92"/>
      <c r="AD1723" s="101">
        <f t="shared" si="824"/>
        <v>91914</v>
      </c>
      <c r="AE1723" s="103">
        <f t="shared" si="825"/>
        <v>0</v>
      </c>
      <c r="AG1723" s="1">
        <f t="shared" si="846"/>
        <v>0</v>
      </c>
      <c r="AH1723" s="1">
        <f t="shared" si="847"/>
        <v>0</v>
      </c>
      <c r="AI1723" s="1">
        <f t="shared" si="826"/>
        <v>5432.58</v>
      </c>
      <c r="AJ1723" s="20">
        <f t="shared" si="828"/>
        <v>0</v>
      </c>
      <c r="AK1723" s="100">
        <f t="shared" si="830"/>
        <v>0</v>
      </c>
      <c r="AL1723" s="100">
        <f t="shared" si="831"/>
        <v>0</v>
      </c>
      <c r="AN1723" s="100">
        <f t="shared" si="832"/>
        <v>2305.0897023537736</v>
      </c>
      <c r="AO1723" s="20">
        <f t="shared" si="833"/>
        <v>0</v>
      </c>
      <c r="AQ1723" s="109">
        <f t="shared" si="834"/>
        <v>0</v>
      </c>
      <c r="AU1723" s="109">
        <f t="shared" si="819"/>
        <v>23.322323236868332</v>
      </c>
      <c r="AV1723" s="101">
        <f t="shared" si="835"/>
        <v>91944</v>
      </c>
      <c r="AW1723" s="99">
        <f t="shared" si="836"/>
        <v>0</v>
      </c>
      <c r="AX1723" s="1">
        <f t="shared" si="837"/>
        <v>0</v>
      </c>
      <c r="AY1723" s="29">
        <f t="shared" si="838"/>
        <v>0</v>
      </c>
      <c r="AZ1723" s="1">
        <f t="shared" si="820"/>
        <v>0</v>
      </c>
      <c r="CB1723" s="20">
        <f t="shared" si="829"/>
        <v>0</v>
      </c>
      <c r="CC1723" s="173">
        <f t="shared" si="821"/>
        <v>0</v>
      </c>
    </row>
    <row r="1724" spans="10:81" x14ac:dyDescent="0.25">
      <c r="J1724" s="9"/>
      <c r="K1724" s="10"/>
      <c r="L1724" s="17"/>
      <c r="M1724" s="23"/>
      <c r="N1724" s="23"/>
      <c r="O1724" s="23"/>
      <c r="P1724" s="23"/>
      <c r="Q1724" s="1">
        <f t="shared" si="822"/>
        <v>0.60744618579017706</v>
      </c>
      <c r="R1724" s="12">
        <f t="shared" ca="1" si="839"/>
        <v>50822</v>
      </c>
      <c r="S1724" s="88">
        <f t="shared" si="818"/>
        <v>0</v>
      </c>
      <c r="T1724" s="19">
        <f t="shared" si="840"/>
        <v>0</v>
      </c>
      <c r="U1724" s="19">
        <f t="shared" si="841"/>
        <v>0</v>
      </c>
      <c r="V1724" s="19">
        <f t="shared" si="827"/>
        <v>0</v>
      </c>
      <c r="W1724" s="20">
        <f t="shared" ca="1" si="842"/>
        <v>0</v>
      </c>
      <c r="X1724" s="19">
        <f t="shared" ca="1" si="843"/>
        <v>0</v>
      </c>
      <c r="Y1724" s="19">
        <f t="shared" ca="1" si="844"/>
        <v>0</v>
      </c>
      <c r="Z1724" s="20">
        <f t="shared" ca="1" si="845"/>
        <v>0</v>
      </c>
      <c r="AA1724" s="1">
        <f t="shared" si="823"/>
        <v>5432.58</v>
      </c>
      <c r="AB1724" s="93"/>
      <c r="AC1724" s="94"/>
      <c r="AD1724" s="101">
        <f t="shared" si="824"/>
        <v>91944</v>
      </c>
      <c r="AE1724" s="103">
        <f t="shared" si="825"/>
        <v>0</v>
      </c>
      <c r="AG1724" s="1">
        <f t="shared" si="846"/>
        <v>0</v>
      </c>
      <c r="AH1724" s="1">
        <f t="shared" si="847"/>
        <v>0</v>
      </c>
      <c r="AI1724" s="1">
        <f t="shared" si="826"/>
        <v>5432.58</v>
      </c>
      <c r="AJ1724" s="20">
        <f t="shared" si="828"/>
        <v>0</v>
      </c>
      <c r="AK1724" s="100">
        <f t="shared" si="830"/>
        <v>0</v>
      </c>
      <c r="AL1724" s="100">
        <f t="shared" si="831"/>
        <v>0</v>
      </c>
      <c r="AN1724" s="100">
        <f t="shared" si="832"/>
        <v>2303.9234444298804</v>
      </c>
      <c r="AO1724" s="20">
        <f t="shared" si="833"/>
        <v>0</v>
      </c>
      <c r="AQ1724" s="109">
        <f t="shared" si="834"/>
        <v>0</v>
      </c>
      <c r="AU1724" s="109">
        <f t="shared" si="819"/>
        <v>23.320276234843277</v>
      </c>
      <c r="AV1724" s="101">
        <f t="shared" si="835"/>
        <v>91974</v>
      </c>
      <c r="AW1724" s="99">
        <f t="shared" si="836"/>
        <v>0</v>
      </c>
      <c r="AX1724" s="1">
        <f t="shared" si="837"/>
        <v>0</v>
      </c>
      <c r="AY1724" s="29">
        <f t="shared" si="838"/>
        <v>0</v>
      </c>
      <c r="AZ1724" s="1">
        <f t="shared" si="820"/>
        <v>0</v>
      </c>
      <c r="CB1724" s="20">
        <f t="shared" si="829"/>
        <v>0</v>
      </c>
      <c r="CC1724" s="173">
        <f t="shared" si="821"/>
        <v>0</v>
      </c>
    </row>
    <row r="1725" spans="10:81" x14ac:dyDescent="0.25">
      <c r="J1725" s="7"/>
      <c r="K1725" s="8"/>
      <c r="L1725" s="16"/>
      <c r="M1725" s="22"/>
      <c r="N1725" s="22"/>
      <c r="O1725" s="22"/>
      <c r="P1725" s="22"/>
      <c r="Q1725" s="1">
        <f t="shared" si="822"/>
        <v>0.60744618579017706</v>
      </c>
      <c r="R1725" s="12">
        <f t="shared" ca="1" si="839"/>
        <v>50852</v>
      </c>
      <c r="S1725" s="88">
        <f t="shared" si="818"/>
        <v>0</v>
      </c>
      <c r="T1725" s="19">
        <f t="shared" si="840"/>
        <v>0</v>
      </c>
      <c r="U1725" s="19">
        <f t="shared" si="841"/>
        <v>0</v>
      </c>
      <c r="V1725" s="19">
        <f t="shared" si="827"/>
        <v>0</v>
      </c>
      <c r="W1725" s="20">
        <f t="shared" ca="1" si="842"/>
        <v>0</v>
      </c>
      <c r="X1725" s="19">
        <f t="shared" ca="1" si="843"/>
        <v>0</v>
      </c>
      <c r="Y1725" s="19">
        <f t="shared" ca="1" si="844"/>
        <v>0</v>
      </c>
      <c r="Z1725" s="20">
        <f t="shared" ca="1" si="845"/>
        <v>0</v>
      </c>
      <c r="AA1725" s="1">
        <f t="shared" si="823"/>
        <v>5432.58</v>
      </c>
      <c r="AB1725" s="91"/>
      <c r="AC1725" s="92"/>
      <c r="AD1725" s="101">
        <f t="shared" si="824"/>
        <v>91974</v>
      </c>
      <c r="AE1725" s="103">
        <f t="shared" si="825"/>
        <v>0</v>
      </c>
      <c r="AG1725" s="1">
        <f t="shared" si="846"/>
        <v>0</v>
      </c>
      <c r="AH1725" s="1">
        <f t="shared" si="847"/>
        <v>0</v>
      </c>
      <c r="AI1725" s="1">
        <f t="shared" si="826"/>
        <v>5432.58</v>
      </c>
      <c r="AJ1725" s="20">
        <f t="shared" si="828"/>
        <v>0</v>
      </c>
      <c r="AK1725" s="100">
        <f t="shared" si="830"/>
        <v>0</v>
      </c>
      <c r="AL1725" s="100">
        <f t="shared" si="831"/>
        <v>0</v>
      </c>
      <c r="AN1725" s="100">
        <f t="shared" si="832"/>
        <v>2302.7577765730653</v>
      </c>
      <c r="AO1725" s="20">
        <f t="shared" si="833"/>
        <v>0</v>
      </c>
      <c r="AQ1725" s="109">
        <f t="shared" si="834"/>
        <v>0</v>
      </c>
      <c r="AU1725" s="109">
        <f t="shared" si="819"/>
        <v>23.318229412483749</v>
      </c>
      <c r="AV1725" s="101">
        <f t="shared" si="835"/>
        <v>92004</v>
      </c>
      <c r="AW1725" s="99">
        <f t="shared" si="836"/>
        <v>0</v>
      </c>
      <c r="AX1725" s="1">
        <f t="shared" si="837"/>
        <v>0</v>
      </c>
      <c r="AY1725" s="29">
        <f t="shared" si="838"/>
        <v>0</v>
      </c>
      <c r="AZ1725" s="1">
        <f t="shared" si="820"/>
        <v>0</v>
      </c>
      <c r="CB1725" s="20">
        <f t="shared" si="829"/>
        <v>0</v>
      </c>
      <c r="CC1725" s="173">
        <f t="shared" si="821"/>
        <v>0</v>
      </c>
    </row>
    <row r="1726" spans="10:81" x14ac:dyDescent="0.25">
      <c r="J1726" s="9"/>
      <c r="K1726" s="10"/>
      <c r="L1726" s="17"/>
      <c r="M1726" s="23"/>
      <c r="N1726" s="23"/>
      <c r="O1726" s="23"/>
      <c r="P1726" s="23"/>
      <c r="Q1726" s="1">
        <f t="shared" si="822"/>
        <v>0.60744618579017706</v>
      </c>
      <c r="R1726" s="12">
        <f t="shared" ca="1" si="839"/>
        <v>50882</v>
      </c>
      <c r="S1726" s="88">
        <f t="shared" si="818"/>
        <v>0</v>
      </c>
      <c r="T1726" s="19">
        <f t="shared" si="840"/>
        <v>0</v>
      </c>
      <c r="U1726" s="19">
        <f t="shared" si="841"/>
        <v>0</v>
      </c>
      <c r="V1726" s="19">
        <f t="shared" si="827"/>
        <v>0</v>
      </c>
      <c r="W1726" s="20">
        <f t="shared" ca="1" si="842"/>
        <v>0</v>
      </c>
      <c r="X1726" s="19">
        <f t="shared" ca="1" si="843"/>
        <v>0</v>
      </c>
      <c r="Y1726" s="19">
        <f t="shared" ca="1" si="844"/>
        <v>0</v>
      </c>
      <c r="Z1726" s="20">
        <f t="shared" ca="1" si="845"/>
        <v>0</v>
      </c>
      <c r="AA1726" s="1">
        <f t="shared" si="823"/>
        <v>5432.58</v>
      </c>
      <c r="AB1726" s="93"/>
      <c r="AC1726" s="94"/>
      <c r="AD1726" s="101">
        <f t="shared" si="824"/>
        <v>92004</v>
      </c>
      <c r="AE1726" s="103">
        <f t="shared" si="825"/>
        <v>0</v>
      </c>
      <c r="AG1726" s="1">
        <f t="shared" si="846"/>
        <v>0</v>
      </c>
      <c r="AH1726" s="1">
        <f t="shared" si="847"/>
        <v>0</v>
      </c>
      <c r="AI1726" s="1">
        <f t="shared" si="826"/>
        <v>5432.58</v>
      </c>
      <c r="AJ1726" s="20">
        <f t="shared" si="828"/>
        <v>0</v>
      </c>
      <c r="AK1726" s="100">
        <f t="shared" si="830"/>
        <v>0</v>
      </c>
      <c r="AL1726" s="100">
        <f t="shared" si="831"/>
        <v>0</v>
      </c>
      <c r="AN1726" s="100">
        <f t="shared" si="832"/>
        <v>2301.5926984847843</v>
      </c>
      <c r="AO1726" s="20">
        <f t="shared" si="833"/>
        <v>0</v>
      </c>
      <c r="AQ1726" s="109">
        <f t="shared" si="834"/>
        <v>0</v>
      </c>
      <c r="AU1726" s="109">
        <f t="shared" si="819"/>
        <v>23.316182769773956</v>
      </c>
      <c r="AV1726" s="101">
        <f t="shared" si="835"/>
        <v>92034</v>
      </c>
      <c r="AW1726" s="99">
        <f t="shared" si="836"/>
        <v>0</v>
      </c>
      <c r="AX1726" s="1">
        <f t="shared" si="837"/>
        <v>0</v>
      </c>
      <c r="AY1726" s="29">
        <f t="shared" si="838"/>
        <v>0</v>
      </c>
      <c r="AZ1726" s="1">
        <f t="shared" si="820"/>
        <v>0</v>
      </c>
      <c r="CB1726" s="20">
        <f t="shared" si="829"/>
        <v>0</v>
      </c>
      <c r="CC1726" s="173">
        <f t="shared" si="821"/>
        <v>0</v>
      </c>
    </row>
    <row r="1727" spans="10:81" x14ac:dyDescent="0.25">
      <c r="J1727" s="7"/>
      <c r="K1727" s="8"/>
      <c r="L1727" s="16"/>
      <c r="M1727" s="22"/>
      <c r="N1727" s="22"/>
      <c r="O1727" s="22"/>
      <c r="P1727" s="22"/>
      <c r="Q1727" s="1">
        <f t="shared" si="822"/>
        <v>0.60744618579017706</v>
      </c>
      <c r="R1727" s="12">
        <f t="shared" ca="1" si="839"/>
        <v>50912</v>
      </c>
      <c r="S1727" s="88">
        <f t="shared" si="818"/>
        <v>0</v>
      </c>
      <c r="T1727" s="19">
        <f t="shared" si="840"/>
        <v>0</v>
      </c>
      <c r="U1727" s="19">
        <f t="shared" si="841"/>
        <v>0</v>
      </c>
      <c r="V1727" s="19">
        <f t="shared" si="827"/>
        <v>0</v>
      </c>
      <c r="W1727" s="20">
        <f t="shared" ca="1" si="842"/>
        <v>0</v>
      </c>
      <c r="X1727" s="19">
        <f t="shared" ca="1" si="843"/>
        <v>0</v>
      </c>
      <c r="Y1727" s="19">
        <f t="shared" ca="1" si="844"/>
        <v>0</v>
      </c>
      <c r="Z1727" s="20">
        <f t="shared" ca="1" si="845"/>
        <v>0</v>
      </c>
      <c r="AA1727" s="1">
        <f t="shared" si="823"/>
        <v>5432.58</v>
      </c>
      <c r="AB1727" s="91"/>
      <c r="AC1727" s="92"/>
      <c r="AD1727" s="101">
        <f t="shared" si="824"/>
        <v>92034</v>
      </c>
      <c r="AE1727" s="103">
        <f t="shared" si="825"/>
        <v>0</v>
      </c>
      <c r="AG1727" s="1">
        <f t="shared" si="846"/>
        <v>0</v>
      </c>
      <c r="AH1727" s="1">
        <f t="shared" si="847"/>
        <v>0</v>
      </c>
      <c r="AI1727" s="1">
        <f t="shared" si="826"/>
        <v>5432.58</v>
      </c>
      <c r="AJ1727" s="20">
        <f t="shared" si="828"/>
        <v>0</v>
      </c>
      <c r="AK1727" s="100">
        <f t="shared" si="830"/>
        <v>0</v>
      </c>
      <c r="AL1727" s="100">
        <f t="shared" si="831"/>
        <v>0</v>
      </c>
      <c r="AN1727" s="100">
        <f t="shared" si="832"/>
        <v>2300.428209866644</v>
      </c>
      <c r="AO1727" s="20">
        <f t="shared" si="833"/>
        <v>0</v>
      </c>
      <c r="AQ1727" s="109">
        <f t="shared" si="834"/>
        <v>0</v>
      </c>
      <c r="AU1727" s="109">
        <f t="shared" si="819"/>
        <v>23.314136306698153</v>
      </c>
      <c r="AV1727" s="101">
        <f t="shared" si="835"/>
        <v>92064</v>
      </c>
      <c r="AW1727" s="99">
        <f t="shared" si="836"/>
        <v>0</v>
      </c>
      <c r="AX1727" s="1">
        <f t="shared" si="837"/>
        <v>0</v>
      </c>
      <c r="AY1727" s="29">
        <f t="shared" si="838"/>
        <v>0</v>
      </c>
      <c r="AZ1727" s="1">
        <f t="shared" si="820"/>
        <v>0</v>
      </c>
      <c r="CB1727" s="20">
        <f t="shared" si="829"/>
        <v>0</v>
      </c>
      <c r="CC1727" s="173">
        <f t="shared" si="821"/>
        <v>0</v>
      </c>
    </row>
    <row r="1728" spans="10:81" x14ac:dyDescent="0.25">
      <c r="J1728" s="9"/>
      <c r="K1728" s="10"/>
      <c r="L1728" s="17"/>
      <c r="M1728" s="23"/>
      <c r="N1728" s="23"/>
      <c r="O1728" s="23"/>
      <c r="P1728" s="23"/>
      <c r="Q1728" s="1">
        <f t="shared" si="822"/>
        <v>0.60744618579017706</v>
      </c>
      <c r="R1728" s="12">
        <f t="shared" ca="1" si="839"/>
        <v>50942</v>
      </c>
      <c r="S1728" s="88">
        <f t="shared" si="818"/>
        <v>0</v>
      </c>
      <c r="T1728" s="19">
        <f t="shared" si="840"/>
        <v>0</v>
      </c>
      <c r="U1728" s="19">
        <f t="shared" si="841"/>
        <v>0</v>
      </c>
      <c r="V1728" s="19">
        <f t="shared" si="827"/>
        <v>0</v>
      </c>
      <c r="W1728" s="20">
        <f t="shared" ca="1" si="842"/>
        <v>0</v>
      </c>
      <c r="X1728" s="19">
        <f t="shared" ca="1" si="843"/>
        <v>0</v>
      </c>
      <c r="Y1728" s="19">
        <f t="shared" ca="1" si="844"/>
        <v>0</v>
      </c>
      <c r="Z1728" s="20">
        <f t="shared" ca="1" si="845"/>
        <v>0</v>
      </c>
      <c r="AA1728" s="1">
        <f t="shared" si="823"/>
        <v>5432.58</v>
      </c>
      <c r="AB1728" s="93"/>
      <c r="AC1728" s="94"/>
      <c r="AD1728" s="101">
        <f t="shared" si="824"/>
        <v>92064</v>
      </c>
      <c r="AE1728" s="103">
        <f t="shared" si="825"/>
        <v>0</v>
      </c>
      <c r="AG1728" s="1">
        <f t="shared" si="846"/>
        <v>0</v>
      </c>
      <c r="AH1728" s="1">
        <f t="shared" si="847"/>
        <v>0</v>
      </c>
      <c r="AI1728" s="1">
        <f t="shared" si="826"/>
        <v>5432.58</v>
      </c>
      <c r="AJ1728" s="20">
        <f t="shared" si="828"/>
        <v>0</v>
      </c>
      <c r="AK1728" s="100">
        <f t="shared" si="830"/>
        <v>0</v>
      </c>
      <c r="AL1728" s="100">
        <f t="shared" si="831"/>
        <v>0</v>
      </c>
      <c r="AN1728" s="100">
        <f t="shared" si="832"/>
        <v>2299.2643104204035</v>
      </c>
      <c r="AO1728" s="20">
        <f t="shared" si="833"/>
        <v>0</v>
      </c>
      <c r="AQ1728" s="109">
        <f t="shared" si="834"/>
        <v>0</v>
      </c>
      <c r="AU1728" s="109">
        <f t="shared" si="819"/>
        <v>23.312090023240554</v>
      </c>
      <c r="AV1728" s="101">
        <f t="shared" si="835"/>
        <v>92094</v>
      </c>
      <c r="AW1728" s="99">
        <f t="shared" si="836"/>
        <v>0</v>
      </c>
      <c r="AX1728" s="1">
        <f t="shared" si="837"/>
        <v>0</v>
      </c>
      <c r="AY1728" s="29">
        <f t="shared" si="838"/>
        <v>0</v>
      </c>
      <c r="AZ1728" s="1">
        <f t="shared" si="820"/>
        <v>0</v>
      </c>
      <c r="CB1728" s="20">
        <f t="shared" si="829"/>
        <v>0</v>
      </c>
      <c r="CC1728" s="173">
        <f t="shared" si="821"/>
        <v>0</v>
      </c>
    </row>
    <row r="1729" spans="10:81" x14ac:dyDescent="0.25">
      <c r="J1729" s="7"/>
      <c r="K1729" s="8"/>
      <c r="L1729" s="16"/>
      <c r="M1729" s="22"/>
      <c r="N1729" s="22"/>
      <c r="O1729" s="22"/>
      <c r="P1729" s="22"/>
      <c r="Q1729" s="1">
        <f t="shared" si="822"/>
        <v>0.60744618579017706</v>
      </c>
      <c r="R1729" s="12">
        <f t="shared" ca="1" si="839"/>
        <v>50972</v>
      </c>
      <c r="S1729" s="88">
        <f t="shared" si="818"/>
        <v>0</v>
      </c>
      <c r="T1729" s="19">
        <f t="shared" si="840"/>
        <v>0</v>
      </c>
      <c r="U1729" s="19">
        <f t="shared" si="841"/>
        <v>0</v>
      </c>
      <c r="V1729" s="19">
        <f t="shared" si="827"/>
        <v>0</v>
      </c>
      <c r="W1729" s="20">
        <f t="shared" ca="1" si="842"/>
        <v>0</v>
      </c>
      <c r="X1729" s="19">
        <f t="shared" ca="1" si="843"/>
        <v>0</v>
      </c>
      <c r="Y1729" s="19">
        <f t="shared" ca="1" si="844"/>
        <v>0</v>
      </c>
      <c r="Z1729" s="20">
        <f t="shared" ca="1" si="845"/>
        <v>0</v>
      </c>
      <c r="AA1729" s="1">
        <f t="shared" si="823"/>
        <v>5432.58</v>
      </c>
      <c r="AB1729" s="91"/>
      <c r="AC1729" s="92"/>
      <c r="AD1729" s="101">
        <f t="shared" si="824"/>
        <v>92094</v>
      </c>
      <c r="AE1729" s="103">
        <f t="shared" si="825"/>
        <v>0</v>
      </c>
      <c r="AG1729" s="1">
        <f t="shared" si="846"/>
        <v>0</v>
      </c>
      <c r="AH1729" s="1">
        <f t="shared" si="847"/>
        <v>0</v>
      </c>
      <c r="AI1729" s="1">
        <f t="shared" si="826"/>
        <v>5432.58</v>
      </c>
      <c r="AJ1729" s="20">
        <f t="shared" si="828"/>
        <v>0</v>
      </c>
      <c r="AK1729" s="100">
        <f t="shared" si="830"/>
        <v>0</v>
      </c>
      <c r="AL1729" s="100">
        <f t="shared" si="831"/>
        <v>0</v>
      </c>
      <c r="AN1729" s="100">
        <f t="shared" si="832"/>
        <v>2298.1009998479717</v>
      </c>
      <c r="AO1729" s="20">
        <f t="shared" si="833"/>
        <v>0</v>
      </c>
      <c r="AQ1729" s="109">
        <f t="shared" si="834"/>
        <v>0</v>
      </c>
      <c r="AU1729" s="109">
        <f t="shared" si="819"/>
        <v>23.310043919385411</v>
      </c>
      <c r="AV1729" s="101">
        <f t="shared" si="835"/>
        <v>92124</v>
      </c>
      <c r="AW1729" s="99">
        <f t="shared" si="836"/>
        <v>0</v>
      </c>
      <c r="AX1729" s="1">
        <f t="shared" si="837"/>
        <v>0</v>
      </c>
      <c r="AY1729" s="29">
        <f t="shared" si="838"/>
        <v>0</v>
      </c>
      <c r="AZ1729" s="1">
        <f t="shared" si="820"/>
        <v>0</v>
      </c>
      <c r="CB1729" s="20">
        <f t="shared" si="829"/>
        <v>0</v>
      </c>
      <c r="CC1729" s="173">
        <f t="shared" si="821"/>
        <v>0</v>
      </c>
    </row>
    <row r="1730" spans="10:81" x14ac:dyDescent="0.25">
      <c r="J1730" s="9"/>
      <c r="K1730" s="10"/>
      <c r="L1730" s="17"/>
      <c r="M1730" s="23"/>
      <c r="N1730" s="23"/>
      <c r="O1730" s="23"/>
      <c r="P1730" s="23"/>
      <c r="Q1730" s="1">
        <f t="shared" si="822"/>
        <v>0.60744618579017706</v>
      </c>
      <c r="R1730" s="12">
        <f t="shared" ca="1" si="839"/>
        <v>51002</v>
      </c>
      <c r="S1730" s="88">
        <f t="shared" si="818"/>
        <v>0</v>
      </c>
      <c r="T1730" s="19">
        <f t="shared" si="840"/>
        <v>0</v>
      </c>
      <c r="U1730" s="19">
        <f t="shared" si="841"/>
        <v>0</v>
      </c>
      <c r="V1730" s="19">
        <f t="shared" si="827"/>
        <v>0</v>
      </c>
      <c r="W1730" s="20">
        <f t="shared" ca="1" si="842"/>
        <v>0</v>
      </c>
      <c r="X1730" s="19">
        <f t="shared" ca="1" si="843"/>
        <v>0</v>
      </c>
      <c r="Y1730" s="19">
        <f t="shared" ca="1" si="844"/>
        <v>0</v>
      </c>
      <c r="Z1730" s="20">
        <f t="shared" ca="1" si="845"/>
        <v>0</v>
      </c>
      <c r="AA1730" s="1">
        <f t="shared" si="823"/>
        <v>5432.58</v>
      </c>
      <c r="AB1730" s="93"/>
      <c r="AC1730" s="94"/>
      <c r="AD1730" s="101">
        <f t="shared" si="824"/>
        <v>92124</v>
      </c>
      <c r="AE1730" s="103">
        <f t="shared" si="825"/>
        <v>0</v>
      </c>
      <c r="AG1730" s="1">
        <f t="shared" si="846"/>
        <v>0</v>
      </c>
      <c r="AH1730" s="1">
        <f t="shared" si="847"/>
        <v>0</v>
      </c>
      <c r="AI1730" s="1">
        <f t="shared" si="826"/>
        <v>5432.58</v>
      </c>
      <c r="AJ1730" s="20">
        <f t="shared" si="828"/>
        <v>0</v>
      </c>
      <c r="AK1730" s="100">
        <f t="shared" si="830"/>
        <v>0</v>
      </c>
      <c r="AL1730" s="100">
        <f t="shared" si="831"/>
        <v>0</v>
      </c>
      <c r="AN1730" s="100">
        <f t="shared" si="832"/>
        <v>2296.9382778514082</v>
      </c>
      <c r="AO1730" s="20">
        <f t="shared" si="833"/>
        <v>0</v>
      </c>
      <c r="AQ1730" s="109">
        <f t="shared" si="834"/>
        <v>0</v>
      </c>
      <c r="AU1730" s="109">
        <f t="shared" si="819"/>
        <v>23.307997995116956</v>
      </c>
      <c r="AV1730" s="101">
        <f t="shared" si="835"/>
        <v>92154</v>
      </c>
      <c r="AW1730" s="99">
        <f t="shared" si="836"/>
        <v>0</v>
      </c>
      <c r="AX1730" s="1">
        <f t="shared" si="837"/>
        <v>0</v>
      </c>
      <c r="AY1730" s="29">
        <f t="shared" si="838"/>
        <v>0</v>
      </c>
      <c r="AZ1730" s="1">
        <f t="shared" si="820"/>
        <v>0</v>
      </c>
      <c r="CB1730" s="20">
        <f t="shared" si="829"/>
        <v>0</v>
      </c>
      <c r="CC1730" s="173">
        <f t="shared" si="821"/>
        <v>0</v>
      </c>
    </row>
    <row r="1731" spans="10:81" x14ac:dyDescent="0.25">
      <c r="J1731" s="7"/>
      <c r="K1731" s="8"/>
      <c r="L1731" s="16"/>
      <c r="M1731" s="22"/>
      <c r="N1731" s="22"/>
      <c r="O1731" s="22"/>
      <c r="P1731" s="22"/>
      <c r="Q1731" s="1">
        <f t="shared" si="822"/>
        <v>0.60744618579017706</v>
      </c>
      <c r="R1731" s="12">
        <f t="shared" ca="1" si="839"/>
        <v>51032</v>
      </c>
      <c r="S1731" s="88">
        <f t="shared" ref="S1731:S1794" si="848">N1731+M1731</f>
        <v>0</v>
      </c>
      <c r="T1731" s="19">
        <f t="shared" si="840"/>
        <v>0</v>
      </c>
      <c r="U1731" s="19">
        <f t="shared" si="841"/>
        <v>0</v>
      </c>
      <c r="V1731" s="19">
        <f t="shared" si="827"/>
        <v>0</v>
      </c>
      <c r="W1731" s="20">
        <f t="shared" ca="1" si="842"/>
        <v>0</v>
      </c>
      <c r="X1731" s="19">
        <f t="shared" ca="1" si="843"/>
        <v>0</v>
      </c>
      <c r="Y1731" s="19">
        <f t="shared" ca="1" si="844"/>
        <v>0</v>
      </c>
      <c r="Z1731" s="20">
        <f t="shared" ca="1" si="845"/>
        <v>0</v>
      </c>
      <c r="AA1731" s="1">
        <f t="shared" si="823"/>
        <v>5432.58</v>
      </c>
      <c r="AB1731" s="91"/>
      <c r="AC1731" s="92"/>
      <c r="AD1731" s="101">
        <f t="shared" si="824"/>
        <v>92154</v>
      </c>
      <c r="AE1731" s="103">
        <f t="shared" si="825"/>
        <v>0</v>
      </c>
      <c r="AG1731" s="1">
        <f t="shared" si="846"/>
        <v>0</v>
      </c>
      <c r="AH1731" s="1">
        <f t="shared" si="847"/>
        <v>0</v>
      </c>
      <c r="AI1731" s="1">
        <f t="shared" si="826"/>
        <v>5432.58</v>
      </c>
      <c r="AJ1731" s="20">
        <f t="shared" si="828"/>
        <v>0</v>
      </c>
      <c r="AK1731" s="100">
        <f t="shared" si="830"/>
        <v>0</v>
      </c>
      <c r="AL1731" s="100">
        <f t="shared" si="831"/>
        <v>0</v>
      </c>
      <c r="AN1731" s="100">
        <f t="shared" si="832"/>
        <v>2295.776144132923</v>
      </c>
      <c r="AO1731" s="20">
        <f t="shared" si="833"/>
        <v>0</v>
      </c>
      <c r="AQ1731" s="109">
        <f t="shared" si="834"/>
        <v>0</v>
      </c>
      <c r="AU1731" s="109">
        <f t="shared" si="819"/>
        <v>23.30595225041942</v>
      </c>
      <c r="AV1731" s="101">
        <f t="shared" si="835"/>
        <v>92184</v>
      </c>
      <c r="AW1731" s="99">
        <f t="shared" si="836"/>
        <v>0</v>
      </c>
      <c r="AX1731" s="1">
        <f t="shared" si="837"/>
        <v>0</v>
      </c>
      <c r="AY1731" s="29">
        <f t="shared" si="838"/>
        <v>0</v>
      </c>
      <c r="AZ1731" s="1">
        <f t="shared" si="820"/>
        <v>0</v>
      </c>
      <c r="CB1731" s="20">
        <f t="shared" si="829"/>
        <v>0</v>
      </c>
      <c r="CC1731" s="173">
        <f t="shared" si="821"/>
        <v>0</v>
      </c>
    </row>
    <row r="1732" spans="10:81" x14ac:dyDescent="0.25">
      <c r="J1732" s="9"/>
      <c r="K1732" s="10"/>
      <c r="L1732" s="17"/>
      <c r="M1732" s="23"/>
      <c r="N1732" s="23"/>
      <c r="O1732" s="23"/>
      <c r="P1732" s="23"/>
      <c r="Q1732" s="1">
        <f t="shared" si="822"/>
        <v>0.60744618579017706</v>
      </c>
      <c r="R1732" s="12">
        <f t="shared" ca="1" si="839"/>
        <v>51062</v>
      </c>
      <c r="S1732" s="88">
        <f t="shared" si="848"/>
        <v>0</v>
      </c>
      <c r="T1732" s="19">
        <f t="shared" si="840"/>
        <v>0</v>
      </c>
      <c r="U1732" s="19">
        <f t="shared" si="841"/>
        <v>0</v>
      </c>
      <c r="V1732" s="19">
        <f t="shared" si="827"/>
        <v>0</v>
      </c>
      <c r="W1732" s="20">
        <f t="shared" ca="1" si="842"/>
        <v>0</v>
      </c>
      <c r="X1732" s="19">
        <f t="shared" ca="1" si="843"/>
        <v>0</v>
      </c>
      <c r="Y1732" s="19">
        <f t="shared" ca="1" si="844"/>
        <v>0</v>
      </c>
      <c r="Z1732" s="20">
        <f t="shared" ca="1" si="845"/>
        <v>0</v>
      </c>
      <c r="AA1732" s="1">
        <f t="shared" si="823"/>
        <v>5432.58</v>
      </c>
      <c r="AB1732" s="93"/>
      <c r="AC1732" s="94"/>
      <c r="AD1732" s="101">
        <f t="shared" si="824"/>
        <v>92184</v>
      </c>
      <c r="AE1732" s="103">
        <f t="shared" si="825"/>
        <v>0</v>
      </c>
      <c r="AG1732" s="1">
        <f t="shared" si="846"/>
        <v>0</v>
      </c>
      <c r="AH1732" s="1">
        <f t="shared" si="847"/>
        <v>0</v>
      </c>
      <c r="AI1732" s="1">
        <f t="shared" si="826"/>
        <v>5432.58</v>
      </c>
      <c r="AJ1732" s="20">
        <f t="shared" si="828"/>
        <v>0</v>
      </c>
      <c r="AK1732" s="100">
        <f t="shared" si="830"/>
        <v>0</v>
      </c>
      <c r="AL1732" s="100">
        <f t="shared" si="831"/>
        <v>0</v>
      </c>
      <c r="AN1732" s="100">
        <f t="shared" si="832"/>
        <v>2294.6145983948782</v>
      </c>
      <c r="AO1732" s="20">
        <f t="shared" si="833"/>
        <v>0</v>
      </c>
      <c r="AQ1732" s="109">
        <f t="shared" si="834"/>
        <v>0</v>
      </c>
      <c r="AU1732" s="109">
        <f t="shared" si="819"/>
        <v>23.303906685277049</v>
      </c>
      <c r="AV1732" s="101">
        <f t="shared" si="835"/>
        <v>92214</v>
      </c>
      <c r="AW1732" s="99">
        <f t="shared" si="836"/>
        <v>0</v>
      </c>
      <c r="AX1732" s="1">
        <f t="shared" si="837"/>
        <v>0</v>
      </c>
      <c r="AY1732" s="29">
        <f t="shared" si="838"/>
        <v>0</v>
      </c>
      <c r="AZ1732" s="1">
        <f t="shared" si="820"/>
        <v>0</v>
      </c>
      <c r="CB1732" s="20">
        <f t="shared" si="829"/>
        <v>0</v>
      </c>
      <c r="CC1732" s="173">
        <f t="shared" si="821"/>
        <v>0</v>
      </c>
    </row>
    <row r="1733" spans="10:81" x14ac:dyDescent="0.25">
      <c r="J1733" s="7"/>
      <c r="K1733" s="8"/>
      <c r="L1733" s="16"/>
      <c r="M1733" s="22"/>
      <c r="N1733" s="22"/>
      <c r="O1733" s="22"/>
      <c r="P1733" s="22"/>
      <c r="Q1733" s="1">
        <f t="shared" si="822"/>
        <v>0.60744618579017706</v>
      </c>
      <c r="R1733" s="12">
        <f t="shared" ca="1" si="839"/>
        <v>51092</v>
      </c>
      <c r="S1733" s="88">
        <f t="shared" si="848"/>
        <v>0</v>
      </c>
      <c r="T1733" s="19">
        <f t="shared" si="840"/>
        <v>0</v>
      </c>
      <c r="U1733" s="19">
        <f t="shared" si="841"/>
        <v>0</v>
      </c>
      <c r="V1733" s="19">
        <f t="shared" si="827"/>
        <v>0</v>
      </c>
      <c r="W1733" s="20">
        <f t="shared" ca="1" si="842"/>
        <v>0</v>
      </c>
      <c r="X1733" s="19">
        <f t="shared" ca="1" si="843"/>
        <v>0</v>
      </c>
      <c r="Y1733" s="19">
        <f t="shared" ca="1" si="844"/>
        <v>0</v>
      </c>
      <c r="Z1733" s="20">
        <f t="shared" ca="1" si="845"/>
        <v>0</v>
      </c>
      <c r="AA1733" s="1">
        <f t="shared" si="823"/>
        <v>5432.58</v>
      </c>
      <c r="AB1733" s="91"/>
      <c r="AC1733" s="92"/>
      <c r="AD1733" s="101">
        <f t="shared" si="824"/>
        <v>92214</v>
      </c>
      <c r="AE1733" s="103">
        <f t="shared" si="825"/>
        <v>0</v>
      </c>
      <c r="AG1733" s="1">
        <f t="shared" si="846"/>
        <v>0</v>
      </c>
      <c r="AH1733" s="1">
        <f t="shared" si="847"/>
        <v>0</v>
      </c>
      <c r="AI1733" s="1">
        <f t="shared" si="826"/>
        <v>5432.58</v>
      </c>
      <c r="AJ1733" s="20">
        <f t="shared" si="828"/>
        <v>0</v>
      </c>
      <c r="AK1733" s="100">
        <f t="shared" si="830"/>
        <v>0</v>
      </c>
      <c r="AL1733" s="100">
        <f t="shared" si="831"/>
        <v>0</v>
      </c>
      <c r="AN1733" s="100">
        <f t="shared" si="832"/>
        <v>2293.4536403397851</v>
      </c>
      <c r="AO1733" s="20">
        <f t="shared" si="833"/>
        <v>0</v>
      </c>
      <c r="AQ1733" s="109">
        <f t="shared" si="834"/>
        <v>0</v>
      </c>
      <c r="AU1733" s="109">
        <f t="shared" si="819"/>
        <v>23.30186129967408</v>
      </c>
      <c r="AV1733" s="101">
        <f t="shared" si="835"/>
        <v>92244</v>
      </c>
      <c r="AW1733" s="99">
        <f t="shared" si="836"/>
        <v>0</v>
      </c>
      <c r="AX1733" s="1">
        <f t="shared" si="837"/>
        <v>0</v>
      </c>
      <c r="AY1733" s="29">
        <f t="shared" si="838"/>
        <v>0</v>
      </c>
      <c r="AZ1733" s="1">
        <f t="shared" si="820"/>
        <v>0</v>
      </c>
      <c r="CB1733" s="20">
        <f t="shared" si="829"/>
        <v>0</v>
      </c>
      <c r="CC1733" s="173">
        <f t="shared" si="821"/>
        <v>0</v>
      </c>
    </row>
    <row r="1734" spans="10:81" x14ac:dyDescent="0.25">
      <c r="J1734" s="9"/>
      <c r="K1734" s="10"/>
      <c r="L1734" s="17"/>
      <c r="M1734" s="23"/>
      <c r="N1734" s="23"/>
      <c r="O1734" s="23"/>
      <c r="P1734" s="23"/>
      <c r="Q1734" s="1">
        <f t="shared" si="822"/>
        <v>0.60744618579017706</v>
      </c>
      <c r="R1734" s="12">
        <f t="shared" ca="1" si="839"/>
        <v>51122</v>
      </c>
      <c r="S1734" s="88">
        <f t="shared" si="848"/>
        <v>0</v>
      </c>
      <c r="T1734" s="19">
        <f t="shared" si="840"/>
        <v>0</v>
      </c>
      <c r="U1734" s="19">
        <f t="shared" si="841"/>
        <v>0</v>
      </c>
      <c r="V1734" s="19">
        <f t="shared" si="827"/>
        <v>0</v>
      </c>
      <c r="W1734" s="20">
        <f t="shared" ca="1" si="842"/>
        <v>0</v>
      </c>
      <c r="X1734" s="19">
        <f t="shared" ca="1" si="843"/>
        <v>0</v>
      </c>
      <c r="Y1734" s="19">
        <f t="shared" ca="1" si="844"/>
        <v>0</v>
      </c>
      <c r="Z1734" s="20">
        <f t="shared" ca="1" si="845"/>
        <v>0</v>
      </c>
      <c r="AA1734" s="1">
        <f t="shared" si="823"/>
        <v>5432.58</v>
      </c>
      <c r="AB1734" s="93"/>
      <c r="AC1734" s="94"/>
      <c r="AD1734" s="101">
        <f t="shared" si="824"/>
        <v>92244</v>
      </c>
      <c r="AE1734" s="103">
        <f t="shared" si="825"/>
        <v>0</v>
      </c>
      <c r="AG1734" s="1">
        <f t="shared" si="846"/>
        <v>0</v>
      </c>
      <c r="AH1734" s="1">
        <f t="shared" si="847"/>
        <v>0</v>
      </c>
      <c r="AI1734" s="1">
        <f t="shared" si="826"/>
        <v>5432.58</v>
      </c>
      <c r="AJ1734" s="20">
        <f t="shared" si="828"/>
        <v>0</v>
      </c>
      <c r="AK1734" s="100">
        <f t="shared" si="830"/>
        <v>0</v>
      </c>
      <c r="AL1734" s="100">
        <f t="shared" si="831"/>
        <v>0</v>
      </c>
      <c r="AN1734" s="100">
        <f t="shared" si="832"/>
        <v>2292.2932696703069</v>
      </c>
      <c r="AO1734" s="20">
        <f t="shared" si="833"/>
        <v>0</v>
      </c>
      <c r="AQ1734" s="109">
        <f t="shared" si="834"/>
        <v>0</v>
      </c>
      <c r="AU1734" s="109">
        <f t="shared" si="819"/>
        <v>23.29981609359476</v>
      </c>
      <c r="AV1734" s="101">
        <f t="shared" si="835"/>
        <v>92274</v>
      </c>
      <c r="AW1734" s="99">
        <f t="shared" si="836"/>
        <v>0</v>
      </c>
      <c r="AX1734" s="1">
        <f t="shared" si="837"/>
        <v>0</v>
      </c>
      <c r="AY1734" s="29">
        <f t="shared" si="838"/>
        <v>0</v>
      </c>
      <c r="AZ1734" s="1">
        <f t="shared" si="820"/>
        <v>0</v>
      </c>
      <c r="CB1734" s="20">
        <f t="shared" si="829"/>
        <v>0</v>
      </c>
      <c r="CC1734" s="173">
        <f t="shared" si="821"/>
        <v>0</v>
      </c>
    </row>
    <row r="1735" spans="10:81" x14ac:dyDescent="0.25">
      <c r="J1735" s="7"/>
      <c r="K1735" s="8"/>
      <c r="L1735" s="16"/>
      <c r="M1735" s="22"/>
      <c r="N1735" s="22"/>
      <c r="O1735" s="22"/>
      <c r="P1735" s="22"/>
      <c r="Q1735" s="1">
        <f t="shared" si="822"/>
        <v>0.60744618579017706</v>
      </c>
      <c r="R1735" s="12">
        <f t="shared" ca="1" si="839"/>
        <v>51152</v>
      </c>
      <c r="S1735" s="88">
        <f t="shared" si="848"/>
        <v>0</v>
      </c>
      <c r="T1735" s="19">
        <f t="shared" si="840"/>
        <v>0</v>
      </c>
      <c r="U1735" s="19">
        <f t="shared" si="841"/>
        <v>0</v>
      </c>
      <c r="V1735" s="19">
        <f t="shared" si="827"/>
        <v>0</v>
      </c>
      <c r="W1735" s="20">
        <f t="shared" ca="1" si="842"/>
        <v>0</v>
      </c>
      <c r="X1735" s="19">
        <f t="shared" ca="1" si="843"/>
        <v>0</v>
      </c>
      <c r="Y1735" s="19">
        <f t="shared" ca="1" si="844"/>
        <v>0</v>
      </c>
      <c r="Z1735" s="20">
        <f t="shared" ca="1" si="845"/>
        <v>0</v>
      </c>
      <c r="AA1735" s="1">
        <f t="shared" si="823"/>
        <v>5432.58</v>
      </c>
      <c r="AB1735" s="91"/>
      <c r="AC1735" s="92"/>
      <c r="AD1735" s="101">
        <f t="shared" si="824"/>
        <v>92274</v>
      </c>
      <c r="AE1735" s="103">
        <f t="shared" si="825"/>
        <v>0</v>
      </c>
      <c r="AG1735" s="1">
        <f t="shared" si="846"/>
        <v>0</v>
      </c>
      <c r="AH1735" s="1">
        <f t="shared" si="847"/>
        <v>0</v>
      </c>
      <c r="AI1735" s="1">
        <f t="shared" si="826"/>
        <v>5432.58</v>
      </c>
      <c r="AJ1735" s="20">
        <f t="shared" si="828"/>
        <v>0</v>
      </c>
      <c r="AK1735" s="100">
        <f t="shared" si="830"/>
        <v>0</v>
      </c>
      <c r="AL1735" s="100">
        <f t="shared" si="831"/>
        <v>0</v>
      </c>
      <c r="AN1735" s="100">
        <f t="shared" si="832"/>
        <v>2291.1334860892557</v>
      </c>
      <c r="AO1735" s="20">
        <f t="shared" si="833"/>
        <v>0</v>
      </c>
      <c r="AQ1735" s="109">
        <f t="shared" si="834"/>
        <v>0</v>
      </c>
      <c r="AU1735" s="109">
        <f t="shared" si="819"/>
        <v>23.297771067023319</v>
      </c>
      <c r="AV1735" s="101">
        <f t="shared" si="835"/>
        <v>92304</v>
      </c>
      <c r="AW1735" s="99">
        <f t="shared" si="836"/>
        <v>0</v>
      </c>
      <c r="AX1735" s="1">
        <f t="shared" si="837"/>
        <v>0</v>
      </c>
      <c r="AY1735" s="29">
        <f t="shared" si="838"/>
        <v>0</v>
      </c>
      <c r="AZ1735" s="1">
        <f t="shared" si="820"/>
        <v>0</v>
      </c>
      <c r="CB1735" s="20">
        <f t="shared" si="829"/>
        <v>0</v>
      </c>
      <c r="CC1735" s="173">
        <f t="shared" si="821"/>
        <v>0</v>
      </c>
    </row>
    <row r="1736" spans="10:81" x14ac:dyDescent="0.25">
      <c r="J1736" s="9"/>
      <c r="K1736" s="10"/>
      <c r="L1736" s="17"/>
      <c r="M1736" s="23"/>
      <c r="N1736" s="23"/>
      <c r="O1736" s="23"/>
      <c r="P1736" s="23"/>
      <c r="Q1736" s="1">
        <f t="shared" si="822"/>
        <v>0.60744618579017706</v>
      </c>
      <c r="R1736" s="12">
        <f t="shared" ca="1" si="839"/>
        <v>51182</v>
      </c>
      <c r="S1736" s="88">
        <f t="shared" si="848"/>
        <v>0</v>
      </c>
      <c r="T1736" s="19">
        <f t="shared" si="840"/>
        <v>0</v>
      </c>
      <c r="U1736" s="19">
        <f t="shared" si="841"/>
        <v>0</v>
      </c>
      <c r="V1736" s="19">
        <f t="shared" si="827"/>
        <v>0</v>
      </c>
      <c r="W1736" s="20">
        <f t="shared" ca="1" si="842"/>
        <v>0</v>
      </c>
      <c r="X1736" s="19">
        <f t="shared" ca="1" si="843"/>
        <v>0</v>
      </c>
      <c r="Y1736" s="19">
        <f t="shared" ca="1" si="844"/>
        <v>0</v>
      </c>
      <c r="Z1736" s="20">
        <f t="shared" ca="1" si="845"/>
        <v>0</v>
      </c>
      <c r="AA1736" s="1">
        <f t="shared" si="823"/>
        <v>5432.58</v>
      </c>
      <c r="AB1736" s="93"/>
      <c r="AC1736" s="94"/>
      <c r="AD1736" s="101">
        <f t="shared" si="824"/>
        <v>92304</v>
      </c>
      <c r="AE1736" s="103">
        <f t="shared" si="825"/>
        <v>0</v>
      </c>
      <c r="AG1736" s="1">
        <f t="shared" si="846"/>
        <v>0</v>
      </c>
      <c r="AH1736" s="1">
        <f t="shared" si="847"/>
        <v>0</v>
      </c>
      <c r="AI1736" s="1">
        <f t="shared" si="826"/>
        <v>5432.58</v>
      </c>
      <c r="AJ1736" s="20">
        <f t="shared" si="828"/>
        <v>0</v>
      </c>
      <c r="AK1736" s="100">
        <f t="shared" si="830"/>
        <v>0</v>
      </c>
      <c r="AL1736" s="100">
        <f t="shared" si="831"/>
        <v>0</v>
      </c>
      <c r="AN1736" s="100">
        <f t="shared" si="832"/>
        <v>2289.9742892995955</v>
      </c>
      <c r="AO1736" s="20">
        <f t="shared" si="833"/>
        <v>0</v>
      </c>
      <c r="AQ1736" s="109">
        <f t="shared" si="834"/>
        <v>0</v>
      </c>
      <c r="AU1736" s="109">
        <f t="shared" si="819"/>
        <v>23.295726219944019</v>
      </c>
      <c r="AV1736" s="101">
        <f t="shared" si="835"/>
        <v>92334</v>
      </c>
      <c r="AW1736" s="99">
        <f t="shared" si="836"/>
        <v>0</v>
      </c>
      <c r="AX1736" s="1">
        <f t="shared" si="837"/>
        <v>0</v>
      </c>
      <c r="AY1736" s="29">
        <f t="shared" si="838"/>
        <v>0</v>
      </c>
      <c r="AZ1736" s="1">
        <f t="shared" si="820"/>
        <v>0</v>
      </c>
      <c r="CB1736" s="20">
        <f t="shared" si="829"/>
        <v>0</v>
      </c>
      <c r="CC1736" s="173">
        <f t="shared" si="821"/>
        <v>0</v>
      </c>
    </row>
    <row r="1737" spans="10:81" x14ac:dyDescent="0.25">
      <c r="J1737" s="7"/>
      <c r="K1737" s="8"/>
      <c r="L1737" s="16"/>
      <c r="M1737" s="22"/>
      <c r="N1737" s="22"/>
      <c r="O1737" s="22"/>
      <c r="P1737" s="22"/>
      <c r="Q1737" s="1">
        <f t="shared" si="822"/>
        <v>0.60744618579017706</v>
      </c>
      <c r="R1737" s="12">
        <f t="shared" ca="1" si="839"/>
        <v>51212</v>
      </c>
      <c r="S1737" s="88">
        <f t="shared" si="848"/>
        <v>0</v>
      </c>
      <c r="T1737" s="19">
        <f t="shared" si="840"/>
        <v>0</v>
      </c>
      <c r="U1737" s="19">
        <f t="shared" si="841"/>
        <v>0</v>
      </c>
      <c r="V1737" s="19">
        <f t="shared" si="827"/>
        <v>0</v>
      </c>
      <c r="W1737" s="20">
        <f t="shared" ca="1" si="842"/>
        <v>0</v>
      </c>
      <c r="X1737" s="19">
        <f t="shared" ca="1" si="843"/>
        <v>0</v>
      </c>
      <c r="Y1737" s="19">
        <f t="shared" ca="1" si="844"/>
        <v>0</v>
      </c>
      <c r="Z1737" s="20">
        <f t="shared" ca="1" si="845"/>
        <v>0</v>
      </c>
      <c r="AA1737" s="1">
        <f t="shared" si="823"/>
        <v>5432.58</v>
      </c>
      <c r="AB1737" s="91"/>
      <c r="AC1737" s="92"/>
      <c r="AD1737" s="101">
        <f t="shared" si="824"/>
        <v>92334</v>
      </c>
      <c r="AE1737" s="103">
        <f t="shared" si="825"/>
        <v>0</v>
      </c>
      <c r="AG1737" s="1">
        <f t="shared" si="846"/>
        <v>0</v>
      </c>
      <c r="AH1737" s="1">
        <f t="shared" si="847"/>
        <v>0</v>
      </c>
      <c r="AI1737" s="1">
        <f t="shared" si="826"/>
        <v>5432.58</v>
      </c>
      <c r="AJ1737" s="20">
        <f t="shared" si="828"/>
        <v>0</v>
      </c>
      <c r="AK1737" s="100">
        <f t="shared" si="830"/>
        <v>0</v>
      </c>
      <c r="AL1737" s="100">
        <f t="shared" si="831"/>
        <v>0</v>
      </c>
      <c r="AN1737" s="100">
        <f t="shared" si="832"/>
        <v>2288.8156790044382</v>
      </c>
      <c r="AO1737" s="20">
        <f t="shared" si="833"/>
        <v>0</v>
      </c>
      <c r="AQ1737" s="109">
        <f t="shared" si="834"/>
        <v>0</v>
      </c>
      <c r="AU1737" s="109">
        <f t="shared" si="819"/>
        <v>23.293681552341095</v>
      </c>
      <c r="AV1737" s="101">
        <f t="shared" si="835"/>
        <v>92364</v>
      </c>
      <c r="AW1737" s="99">
        <f t="shared" si="836"/>
        <v>0</v>
      </c>
      <c r="AX1737" s="1">
        <f t="shared" si="837"/>
        <v>0</v>
      </c>
      <c r="AY1737" s="29">
        <f t="shared" si="838"/>
        <v>0</v>
      </c>
      <c r="AZ1737" s="1">
        <f t="shared" si="820"/>
        <v>0</v>
      </c>
      <c r="CB1737" s="20">
        <f t="shared" si="829"/>
        <v>0</v>
      </c>
      <c r="CC1737" s="173">
        <f t="shared" si="821"/>
        <v>0</v>
      </c>
    </row>
    <row r="1738" spans="10:81" x14ac:dyDescent="0.25">
      <c r="J1738" s="9"/>
      <c r="K1738" s="10"/>
      <c r="L1738" s="17"/>
      <c r="M1738" s="23"/>
      <c r="N1738" s="23"/>
      <c r="O1738" s="23"/>
      <c r="P1738" s="23"/>
      <c r="Q1738" s="1">
        <f t="shared" si="822"/>
        <v>0.60744618579017706</v>
      </c>
      <c r="R1738" s="12">
        <f t="shared" ca="1" si="839"/>
        <v>51242</v>
      </c>
      <c r="S1738" s="88">
        <f t="shared" si="848"/>
        <v>0</v>
      </c>
      <c r="T1738" s="19">
        <f t="shared" si="840"/>
        <v>0</v>
      </c>
      <c r="U1738" s="19">
        <f t="shared" si="841"/>
        <v>0</v>
      </c>
      <c r="V1738" s="19">
        <f t="shared" si="827"/>
        <v>0</v>
      </c>
      <c r="W1738" s="20">
        <f t="shared" ca="1" si="842"/>
        <v>0</v>
      </c>
      <c r="X1738" s="19">
        <f t="shared" ca="1" si="843"/>
        <v>0</v>
      </c>
      <c r="Y1738" s="19">
        <f t="shared" ca="1" si="844"/>
        <v>0</v>
      </c>
      <c r="Z1738" s="20">
        <f t="shared" ca="1" si="845"/>
        <v>0</v>
      </c>
      <c r="AA1738" s="1">
        <f t="shared" si="823"/>
        <v>5432.58</v>
      </c>
      <c r="AB1738" s="93"/>
      <c r="AC1738" s="94"/>
      <c r="AD1738" s="101">
        <f t="shared" si="824"/>
        <v>92364</v>
      </c>
      <c r="AE1738" s="103">
        <f t="shared" si="825"/>
        <v>0</v>
      </c>
      <c r="AG1738" s="1">
        <f t="shared" si="846"/>
        <v>0</v>
      </c>
      <c r="AH1738" s="1">
        <f t="shared" si="847"/>
        <v>0</v>
      </c>
      <c r="AI1738" s="1">
        <f t="shared" si="826"/>
        <v>5432.58</v>
      </c>
      <c r="AJ1738" s="20">
        <f t="shared" si="828"/>
        <v>0</v>
      </c>
      <c r="AK1738" s="100">
        <f t="shared" si="830"/>
        <v>0</v>
      </c>
      <c r="AL1738" s="100">
        <f t="shared" si="831"/>
        <v>0</v>
      </c>
      <c r="AN1738" s="100">
        <f t="shared" si="832"/>
        <v>2287.6576549070492</v>
      </c>
      <c r="AO1738" s="20">
        <f t="shared" si="833"/>
        <v>0</v>
      </c>
      <c r="AQ1738" s="109">
        <f t="shared" si="834"/>
        <v>0</v>
      </c>
      <c r="AU1738" s="109">
        <f t="shared" si="819"/>
        <v>23.291637064198785</v>
      </c>
      <c r="AV1738" s="101">
        <f t="shared" si="835"/>
        <v>92394</v>
      </c>
      <c r="AW1738" s="99">
        <f t="shared" si="836"/>
        <v>0</v>
      </c>
      <c r="AX1738" s="1">
        <f t="shared" si="837"/>
        <v>0</v>
      </c>
      <c r="AY1738" s="29">
        <f t="shared" si="838"/>
        <v>0</v>
      </c>
      <c r="AZ1738" s="1">
        <f t="shared" si="820"/>
        <v>0</v>
      </c>
      <c r="CB1738" s="20">
        <f t="shared" si="829"/>
        <v>0</v>
      </c>
      <c r="CC1738" s="173">
        <f t="shared" si="821"/>
        <v>0</v>
      </c>
    </row>
    <row r="1739" spans="10:81" x14ac:dyDescent="0.25">
      <c r="J1739" s="7"/>
      <c r="K1739" s="8"/>
      <c r="L1739" s="16"/>
      <c r="M1739" s="22"/>
      <c r="N1739" s="22"/>
      <c r="O1739" s="22"/>
      <c r="P1739" s="22"/>
      <c r="Q1739" s="1">
        <f t="shared" si="822"/>
        <v>0.60744618579017706</v>
      </c>
      <c r="R1739" s="12">
        <f t="shared" ca="1" si="839"/>
        <v>51272</v>
      </c>
      <c r="S1739" s="88">
        <f t="shared" si="848"/>
        <v>0</v>
      </c>
      <c r="T1739" s="19">
        <f t="shared" si="840"/>
        <v>0</v>
      </c>
      <c r="U1739" s="19">
        <f t="shared" si="841"/>
        <v>0</v>
      </c>
      <c r="V1739" s="19">
        <f t="shared" si="827"/>
        <v>0</v>
      </c>
      <c r="W1739" s="20">
        <f t="shared" ca="1" si="842"/>
        <v>0</v>
      </c>
      <c r="X1739" s="19">
        <f t="shared" ca="1" si="843"/>
        <v>0</v>
      </c>
      <c r="Y1739" s="19">
        <f t="shared" ca="1" si="844"/>
        <v>0</v>
      </c>
      <c r="Z1739" s="20">
        <f t="shared" ca="1" si="845"/>
        <v>0</v>
      </c>
      <c r="AA1739" s="1">
        <f t="shared" si="823"/>
        <v>5432.58</v>
      </c>
      <c r="AB1739" s="91"/>
      <c r="AC1739" s="92"/>
      <c r="AD1739" s="101">
        <f t="shared" si="824"/>
        <v>92394</v>
      </c>
      <c r="AE1739" s="103">
        <f t="shared" si="825"/>
        <v>0</v>
      </c>
      <c r="AG1739" s="1">
        <f t="shared" si="846"/>
        <v>0</v>
      </c>
      <c r="AH1739" s="1">
        <f t="shared" si="847"/>
        <v>0</v>
      </c>
      <c r="AI1739" s="1">
        <f t="shared" si="826"/>
        <v>5432.58</v>
      </c>
      <c r="AJ1739" s="20">
        <f t="shared" si="828"/>
        <v>0</v>
      </c>
      <c r="AK1739" s="100">
        <f t="shared" si="830"/>
        <v>0</v>
      </c>
      <c r="AL1739" s="100">
        <f t="shared" si="831"/>
        <v>0</v>
      </c>
      <c r="AN1739" s="100">
        <f t="shared" si="832"/>
        <v>2286.5002167108405</v>
      </c>
      <c r="AO1739" s="20">
        <f t="shared" si="833"/>
        <v>0</v>
      </c>
      <c r="AQ1739" s="109">
        <f t="shared" si="834"/>
        <v>0</v>
      </c>
      <c r="AU1739" s="109">
        <f t="shared" si="819"/>
        <v>23.289592755501367</v>
      </c>
      <c r="AV1739" s="101">
        <f t="shared" si="835"/>
        <v>92424</v>
      </c>
      <c r="AW1739" s="99">
        <f t="shared" si="836"/>
        <v>0</v>
      </c>
      <c r="AX1739" s="1">
        <f t="shared" si="837"/>
        <v>0</v>
      </c>
      <c r="AY1739" s="29">
        <f t="shared" si="838"/>
        <v>0</v>
      </c>
      <c r="AZ1739" s="1">
        <f t="shared" si="820"/>
        <v>0</v>
      </c>
      <c r="CB1739" s="20">
        <f t="shared" si="829"/>
        <v>0</v>
      </c>
      <c r="CC1739" s="173">
        <f t="shared" si="821"/>
        <v>0</v>
      </c>
    </row>
    <row r="1740" spans="10:81" x14ac:dyDescent="0.25">
      <c r="J1740" s="9"/>
      <c r="K1740" s="10"/>
      <c r="L1740" s="17"/>
      <c r="M1740" s="23"/>
      <c r="N1740" s="23"/>
      <c r="O1740" s="23"/>
      <c r="P1740" s="23"/>
      <c r="Q1740" s="1">
        <f t="shared" si="822"/>
        <v>0.60744618579017706</v>
      </c>
      <c r="R1740" s="12">
        <f t="shared" ca="1" si="839"/>
        <v>51302</v>
      </c>
      <c r="S1740" s="88">
        <f t="shared" si="848"/>
        <v>0</v>
      </c>
      <c r="T1740" s="19">
        <f t="shared" si="840"/>
        <v>0</v>
      </c>
      <c r="U1740" s="19">
        <f t="shared" si="841"/>
        <v>0</v>
      </c>
      <c r="V1740" s="19">
        <f t="shared" si="827"/>
        <v>0</v>
      </c>
      <c r="W1740" s="20">
        <f t="shared" ca="1" si="842"/>
        <v>0</v>
      </c>
      <c r="X1740" s="19">
        <f t="shared" ca="1" si="843"/>
        <v>0</v>
      </c>
      <c r="Y1740" s="19">
        <f t="shared" ca="1" si="844"/>
        <v>0</v>
      </c>
      <c r="Z1740" s="20">
        <f t="shared" ca="1" si="845"/>
        <v>0</v>
      </c>
      <c r="AA1740" s="1">
        <f t="shared" si="823"/>
        <v>5432.58</v>
      </c>
      <c r="AB1740" s="93"/>
      <c r="AC1740" s="94"/>
      <c r="AD1740" s="101">
        <f t="shared" si="824"/>
        <v>92424</v>
      </c>
      <c r="AE1740" s="103">
        <f t="shared" si="825"/>
        <v>0</v>
      </c>
      <c r="AG1740" s="1">
        <f t="shared" si="846"/>
        <v>0</v>
      </c>
      <c r="AH1740" s="1">
        <f t="shared" si="847"/>
        <v>0</v>
      </c>
      <c r="AI1740" s="1">
        <f t="shared" si="826"/>
        <v>5432.58</v>
      </c>
      <c r="AJ1740" s="20">
        <f t="shared" si="828"/>
        <v>0</v>
      </c>
      <c r="AK1740" s="100">
        <f t="shared" si="830"/>
        <v>0</v>
      </c>
      <c r="AL1740" s="100">
        <f t="shared" si="831"/>
        <v>0</v>
      </c>
      <c r="AN1740" s="100">
        <f t="shared" si="832"/>
        <v>2285.3433641193778</v>
      </c>
      <c r="AO1740" s="20">
        <f t="shared" si="833"/>
        <v>0</v>
      </c>
      <c r="AQ1740" s="109">
        <f t="shared" si="834"/>
        <v>0</v>
      </c>
      <c r="AU1740" s="109">
        <f t="shared" si="819"/>
        <v>23.287548626233072</v>
      </c>
      <c r="AV1740" s="101">
        <f t="shared" si="835"/>
        <v>92454</v>
      </c>
      <c r="AW1740" s="99">
        <f t="shared" si="836"/>
        <v>0</v>
      </c>
      <c r="AX1740" s="1">
        <f t="shared" si="837"/>
        <v>0</v>
      </c>
      <c r="AY1740" s="29">
        <f t="shared" si="838"/>
        <v>0</v>
      </c>
      <c r="AZ1740" s="1">
        <f t="shared" si="820"/>
        <v>0</v>
      </c>
      <c r="CB1740" s="20">
        <f t="shared" si="829"/>
        <v>0</v>
      </c>
      <c r="CC1740" s="173">
        <f t="shared" si="821"/>
        <v>0</v>
      </c>
    </row>
    <row r="1741" spans="10:81" x14ac:dyDescent="0.25">
      <c r="J1741" s="7"/>
      <c r="K1741" s="8"/>
      <c r="L1741" s="16"/>
      <c r="M1741" s="22"/>
      <c r="N1741" s="22"/>
      <c r="O1741" s="22"/>
      <c r="P1741" s="22"/>
      <c r="Q1741" s="1">
        <f t="shared" si="822"/>
        <v>0.60744618579017706</v>
      </c>
      <c r="R1741" s="12">
        <f t="shared" ca="1" si="839"/>
        <v>51332</v>
      </c>
      <c r="S1741" s="88">
        <f t="shared" si="848"/>
        <v>0</v>
      </c>
      <c r="T1741" s="19">
        <f t="shared" si="840"/>
        <v>0</v>
      </c>
      <c r="U1741" s="19">
        <f t="shared" si="841"/>
        <v>0</v>
      </c>
      <c r="V1741" s="19">
        <f t="shared" si="827"/>
        <v>0</v>
      </c>
      <c r="W1741" s="20">
        <f t="shared" ca="1" si="842"/>
        <v>0</v>
      </c>
      <c r="X1741" s="19">
        <f t="shared" ca="1" si="843"/>
        <v>0</v>
      </c>
      <c r="Y1741" s="19">
        <f t="shared" ca="1" si="844"/>
        <v>0</v>
      </c>
      <c r="Z1741" s="20">
        <f t="shared" ca="1" si="845"/>
        <v>0</v>
      </c>
      <c r="AA1741" s="1">
        <f t="shared" si="823"/>
        <v>5432.58</v>
      </c>
      <c r="AB1741" s="91"/>
      <c r="AC1741" s="92"/>
      <c r="AD1741" s="101">
        <f t="shared" si="824"/>
        <v>92454</v>
      </c>
      <c r="AE1741" s="103">
        <f t="shared" si="825"/>
        <v>0</v>
      </c>
      <c r="AG1741" s="1">
        <f t="shared" si="846"/>
        <v>0</v>
      </c>
      <c r="AH1741" s="1">
        <f t="shared" si="847"/>
        <v>0</v>
      </c>
      <c r="AI1741" s="1">
        <f t="shared" si="826"/>
        <v>5432.58</v>
      </c>
      <c r="AJ1741" s="20">
        <f t="shared" si="828"/>
        <v>0</v>
      </c>
      <c r="AK1741" s="100">
        <f t="shared" si="830"/>
        <v>0</v>
      </c>
      <c r="AL1741" s="100">
        <f t="shared" si="831"/>
        <v>0</v>
      </c>
      <c r="AN1741" s="100">
        <f t="shared" si="832"/>
        <v>2284.1870968363737</v>
      </c>
      <c r="AO1741" s="20">
        <f t="shared" si="833"/>
        <v>0</v>
      </c>
      <c r="AQ1741" s="109">
        <f t="shared" si="834"/>
        <v>0</v>
      </c>
      <c r="AU1741" s="109">
        <f t="shared" si="819"/>
        <v>23.285504676378135</v>
      </c>
      <c r="AV1741" s="101">
        <f t="shared" si="835"/>
        <v>92484</v>
      </c>
      <c r="AW1741" s="99">
        <f t="shared" si="836"/>
        <v>0</v>
      </c>
      <c r="AX1741" s="1">
        <f t="shared" si="837"/>
        <v>0</v>
      </c>
      <c r="AY1741" s="29">
        <f t="shared" si="838"/>
        <v>0</v>
      </c>
      <c r="AZ1741" s="1">
        <f t="shared" si="820"/>
        <v>0</v>
      </c>
      <c r="CB1741" s="20">
        <f t="shared" si="829"/>
        <v>0</v>
      </c>
      <c r="CC1741" s="173">
        <f t="shared" si="821"/>
        <v>0</v>
      </c>
    </row>
    <row r="1742" spans="10:81" x14ac:dyDescent="0.25">
      <c r="J1742" s="9"/>
      <c r="K1742" s="10"/>
      <c r="L1742" s="17"/>
      <c r="M1742" s="23"/>
      <c r="N1742" s="23"/>
      <c r="O1742" s="23"/>
      <c r="P1742" s="23"/>
      <c r="Q1742" s="1">
        <f t="shared" si="822"/>
        <v>0.60744618579017706</v>
      </c>
      <c r="R1742" s="12">
        <f t="shared" ca="1" si="839"/>
        <v>51362</v>
      </c>
      <c r="S1742" s="88">
        <f t="shared" si="848"/>
        <v>0</v>
      </c>
      <c r="T1742" s="19">
        <f t="shared" si="840"/>
        <v>0</v>
      </c>
      <c r="U1742" s="19">
        <f t="shared" si="841"/>
        <v>0</v>
      </c>
      <c r="V1742" s="19">
        <f t="shared" si="827"/>
        <v>0</v>
      </c>
      <c r="W1742" s="20">
        <f t="shared" ca="1" si="842"/>
        <v>0</v>
      </c>
      <c r="X1742" s="19">
        <f t="shared" ca="1" si="843"/>
        <v>0</v>
      </c>
      <c r="Y1742" s="19">
        <f t="shared" ca="1" si="844"/>
        <v>0</v>
      </c>
      <c r="Z1742" s="20">
        <f t="shared" ca="1" si="845"/>
        <v>0</v>
      </c>
      <c r="AA1742" s="1">
        <f t="shared" si="823"/>
        <v>5432.58</v>
      </c>
      <c r="AB1742" s="93"/>
      <c r="AC1742" s="94"/>
      <c r="AD1742" s="101">
        <f t="shared" si="824"/>
        <v>92484</v>
      </c>
      <c r="AE1742" s="103">
        <f t="shared" si="825"/>
        <v>0</v>
      </c>
      <c r="AG1742" s="1">
        <f t="shared" si="846"/>
        <v>0</v>
      </c>
      <c r="AH1742" s="1">
        <f t="shared" si="847"/>
        <v>0</v>
      </c>
      <c r="AI1742" s="1">
        <f t="shared" si="826"/>
        <v>5432.58</v>
      </c>
      <c r="AJ1742" s="20">
        <f t="shared" si="828"/>
        <v>0</v>
      </c>
      <c r="AK1742" s="100">
        <f t="shared" si="830"/>
        <v>0</v>
      </c>
      <c r="AL1742" s="100">
        <f t="shared" si="831"/>
        <v>0</v>
      </c>
      <c r="AN1742" s="100">
        <f t="shared" si="832"/>
        <v>2283.0314145656921</v>
      </c>
      <c r="AO1742" s="20">
        <f t="shared" si="833"/>
        <v>0</v>
      </c>
      <c r="AQ1742" s="109">
        <f t="shared" si="834"/>
        <v>0</v>
      </c>
      <c r="AU1742" s="109">
        <f t="shared" si="819"/>
        <v>23.283460905920847</v>
      </c>
      <c r="AV1742" s="101">
        <f t="shared" si="835"/>
        <v>92514</v>
      </c>
      <c r="AW1742" s="99">
        <f t="shared" si="836"/>
        <v>0</v>
      </c>
      <c r="AX1742" s="1">
        <f t="shared" si="837"/>
        <v>0</v>
      </c>
      <c r="AY1742" s="29">
        <f t="shared" si="838"/>
        <v>0</v>
      </c>
      <c r="AZ1742" s="1">
        <f t="shared" si="820"/>
        <v>0</v>
      </c>
      <c r="CB1742" s="20">
        <f t="shared" si="829"/>
        <v>0</v>
      </c>
      <c r="CC1742" s="173">
        <f t="shared" si="821"/>
        <v>0</v>
      </c>
    </row>
    <row r="1743" spans="10:81" x14ac:dyDescent="0.25">
      <c r="J1743" s="7"/>
      <c r="K1743" s="8"/>
      <c r="L1743" s="16"/>
      <c r="M1743" s="22"/>
      <c r="N1743" s="22"/>
      <c r="O1743" s="22"/>
      <c r="P1743" s="22"/>
      <c r="Q1743" s="1">
        <f t="shared" si="822"/>
        <v>0.60744618579017706</v>
      </c>
      <c r="R1743" s="12">
        <f t="shared" ca="1" si="839"/>
        <v>51392</v>
      </c>
      <c r="S1743" s="88">
        <f t="shared" si="848"/>
        <v>0</v>
      </c>
      <c r="T1743" s="19">
        <f t="shared" si="840"/>
        <v>0</v>
      </c>
      <c r="U1743" s="19">
        <f t="shared" si="841"/>
        <v>0</v>
      </c>
      <c r="V1743" s="19">
        <f t="shared" si="827"/>
        <v>0</v>
      </c>
      <c r="W1743" s="20">
        <f t="shared" ca="1" si="842"/>
        <v>0</v>
      </c>
      <c r="X1743" s="19">
        <f t="shared" ca="1" si="843"/>
        <v>0</v>
      </c>
      <c r="Y1743" s="19">
        <f t="shared" ca="1" si="844"/>
        <v>0</v>
      </c>
      <c r="Z1743" s="20">
        <f t="shared" ca="1" si="845"/>
        <v>0</v>
      </c>
      <c r="AA1743" s="1">
        <f t="shared" si="823"/>
        <v>5432.58</v>
      </c>
      <c r="AB1743" s="91"/>
      <c r="AC1743" s="92"/>
      <c r="AD1743" s="101">
        <f t="shared" si="824"/>
        <v>92514</v>
      </c>
      <c r="AE1743" s="103">
        <f t="shared" si="825"/>
        <v>0</v>
      </c>
      <c r="AG1743" s="1">
        <f t="shared" si="846"/>
        <v>0</v>
      </c>
      <c r="AH1743" s="1">
        <f t="shared" si="847"/>
        <v>0</v>
      </c>
      <c r="AI1743" s="1">
        <f t="shared" si="826"/>
        <v>5432.58</v>
      </c>
      <c r="AJ1743" s="20">
        <f t="shared" si="828"/>
        <v>0</v>
      </c>
      <c r="AK1743" s="100">
        <f t="shared" si="830"/>
        <v>0</v>
      </c>
      <c r="AL1743" s="100">
        <f t="shared" si="831"/>
        <v>0</v>
      </c>
      <c r="AN1743" s="100">
        <f t="shared" si="832"/>
        <v>2281.8763170113484</v>
      </c>
      <c r="AO1743" s="20">
        <f t="shared" si="833"/>
        <v>0</v>
      </c>
      <c r="AQ1743" s="109">
        <f t="shared" si="834"/>
        <v>0</v>
      </c>
      <c r="AU1743" s="109">
        <f t="shared" si="819"/>
        <v>23.281417314845434</v>
      </c>
      <c r="AV1743" s="101">
        <f t="shared" si="835"/>
        <v>92544</v>
      </c>
      <c r="AW1743" s="99">
        <f t="shared" si="836"/>
        <v>0</v>
      </c>
      <c r="AX1743" s="1">
        <f t="shared" si="837"/>
        <v>0</v>
      </c>
      <c r="AY1743" s="29">
        <f t="shared" si="838"/>
        <v>0</v>
      </c>
      <c r="AZ1743" s="1">
        <f t="shared" si="820"/>
        <v>0</v>
      </c>
      <c r="CB1743" s="20">
        <f t="shared" si="829"/>
        <v>0</v>
      </c>
      <c r="CC1743" s="173">
        <f t="shared" si="821"/>
        <v>0</v>
      </c>
    </row>
    <row r="1744" spans="10:81" x14ac:dyDescent="0.25">
      <c r="J1744" s="9"/>
      <c r="K1744" s="10"/>
      <c r="L1744" s="17"/>
      <c r="M1744" s="23"/>
      <c r="N1744" s="23"/>
      <c r="O1744" s="23"/>
      <c r="P1744" s="23"/>
      <c r="Q1744" s="1">
        <f t="shared" si="822"/>
        <v>0.60744618579017706</v>
      </c>
      <c r="R1744" s="12">
        <f t="shared" ca="1" si="839"/>
        <v>51422</v>
      </c>
      <c r="S1744" s="88">
        <f t="shared" si="848"/>
        <v>0</v>
      </c>
      <c r="T1744" s="19">
        <f t="shared" si="840"/>
        <v>0</v>
      </c>
      <c r="U1744" s="19">
        <f t="shared" si="841"/>
        <v>0</v>
      </c>
      <c r="V1744" s="19">
        <f t="shared" si="827"/>
        <v>0</v>
      </c>
      <c r="W1744" s="20">
        <f t="shared" ca="1" si="842"/>
        <v>0</v>
      </c>
      <c r="X1744" s="19">
        <f t="shared" ca="1" si="843"/>
        <v>0</v>
      </c>
      <c r="Y1744" s="19">
        <f t="shared" ca="1" si="844"/>
        <v>0</v>
      </c>
      <c r="Z1744" s="20">
        <f t="shared" ca="1" si="845"/>
        <v>0</v>
      </c>
      <c r="AA1744" s="1">
        <f t="shared" si="823"/>
        <v>5432.58</v>
      </c>
      <c r="AB1744" s="93"/>
      <c r="AC1744" s="94"/>
      <c r="AD1744" s="101">
        <f t="shared" si="824"/>
        <v>92544</v>
      </c>
      <c r="AE1744" s="103">
        <f t="shared" si="825"/>
        <v>0</v>
      </c>
      <c r="AG1744" s="1">
        <f t="shared" si="846"/>
        <v>0</v>
      </c>
      <c r="AH1744" s="1">
        <f t="shared" si="847"/>
        <v>0</v>
      </c>
      <c r="AI1744" s="1">
        <f t="shared" si="826"/>
        <v>5432.58</v>
      </c>
      <c r="AJ1744" s="20">
        <f t="shared" si="828"/>
        <v>0</v>
      </c>
      <c r="AK1744" s="100">
        <f t="shared" si="830"/>
        <v>0</v>
      </c>
      <c r="AL1744" s="100">
        <f t="shared" si="831"/>
        <v>0</v>
      </c>
      <c r="AN1744" s="100">
        <f t="shared" si="832"/>
        <v>2280.7218038775027</v>
      </c>
      <c r="AO1744" s="20">
        <f t="shared" si="833"/>
        <v>0</v>
      </c>
      <c r="AQ1744" s="109">
        <f t="shared" si="834"/>
        <v>0</v>
      </c>
      <c r="AU1744" s="109">
        <f t="shared" si="819"/>
        <v>23.279373903136165</v>
      </c>
      <c r="AV1744" s="101">
        <f t="shared" si="835"/>
        <v>92574</v>
      </c>
      <c r="AW1744" s="99">
        <f t="shared" si="836"/>
        <v>0</v>
      </c>
      <c r="AX1744" s="1">
        <f t="shared" si="837"/>
        <v>0</v>
      </c>
      <c r="AY1744" s="29">
        <f t="shared" si="838"/>
        <v>0</v>
      </c>
      <c r="AZ1744" s="1">
        <f t="shared" si="820"/>
        <v>0</v>
      </c>
      <c r="CB1744" s="20">
        <f t="shared" si="829"/>
        <v>0</v>
      </c>
      <c r="CC1744" s="173">
        <f t="shared" si="821"/>
        <v>0</v>
      </c>
    </row>
    <row r="1745" spans="10:81" x14ac:dyDescent="0.25">
      <c r="J1745" s="7"/>
      <c r="K1745" s="8"/>
      <c r="L1745" s="16"/>
      <c r="M1745" s="22"/>
      <c r="N1745" s="22"/>
      <c r="O1745" s="22"/>
      <c r="P1745" s="22"/>
      <c r="Q1745" s="1">
        <f t="shared" si="822"/>
        <v>0.60744618579017706</v>
      </c>
      <c r="R1745" s="12">
        <f t="shared" ca="1" si="839"/>
        <v>51452</v>
      </c>
      <c r="S1745" s="88">
        <f t="shared" si="848"/>
        <v>0</v>
      </c>
      <c r="T1745" s="19">
        <f t="shared" si="840"/>
        <v>0</v>
      </c>
      <c r="U1745" s="19">
        <f t="shared" si="841"/>
        <v>0</v>
      </c>
      <c r="V1745" s="19">
        <f t="shared" si="827"/>
        <v>0</v>
      </c>
      <c r="W1745" s="20">
        <f t="shared" ca="1" si="842"/>
        <v>0</v>
      </c>
      <c r="X1745" s="19">
        <f t="shared" ca="1" si="843"/>
        <v>0</v>
      </c>
      <c r="Y1745" s="19">
        <f t="shared" ca="1" si="844"/>
        <v>0</v>
      </c>
      <c r="Z1745" s="20">
        <f t="shared" ca="1" si="845"/>
        <v>0</v>
      </c>
      <c r="AA1745" s="1">
        <f t="shared" si="823"/>
        <v>5432.58</v>
      </c>
      <c r="AB1745" s="91"/>
      <c r="AC1745" s="92"/>
      <c r="AD1745" s="101">
        <f t="shared" si="824"/>
        <v>92574</v>
      </c>
      <c r="AE1745" s="103">
        <f t="shared" si="825"/>
        <v>0</v>
      </c>
      <c r="AG1745" s="1">
        <f t="shared" si="846"/>
        <v>0</v>
      </c>
      <c r="AH1745" s="1">
        <f t="shared" si="847"/>
        <v>0</v>
      </c>
      <c r="AI1745" s="1">
        <f t="shared" si="826"/>
        <v>5432.58</v>
      </c>
      <c r="AJ1745" s="20">
        <f t="shared" si="828"/>
        <v>0</v>
      </c>
      <c r="AK1745" s="100">
        <f t="shared" si="830"/>
        <v>0</v>
      </c>
      <c r="AL1745" s="100">
        <f t="shared" si="831"/>
        <v>0</v>
      </c>
      <c r="AN1745" s="100">
        <f t="shared" si="832"/>
        <v>2279.5678748684704</v>
      </c>
      <c r="AO1745" s="20">
        <f t="shared" si="833"/>
        <v>0</v>
      </c>
      <c r="AQ1745" s="109">
        <f t="shared" si="834"/>
        <v>0</v>
      </c>
      <c r="AU1745" s="109">
        <f t="shared" si="819"/>
        <v>23.277330670777282</v>
      </c>
      <c r="AV1745" s="101">
        <f t="shared" si="835"/>
        <v>92604</v>
      </c>
      <c r="AW1745" s="99">
        <f t="shared" si="836"/>
        <v>0</v>
      </c>
      <c r="AX1745" s="1">
        <f t="shared" si="837"/>
        <v>0</v>
      </c>
      <c r="AY1745" s="29">
        <f t="shared" si="838"/>
        <v>0</v>
      </c>
      <c r="AZ1745" s="1">
        <f t="shared" si="820"/>
        <v>0</v>
      </c>
      <c r="CB1745" s="20">
        <f t="shared" si="829"/>
        <v>0</v>
      </c>
      <c r="CC1745" s="173">
        <f t="shared" si="821"/>
        <v>0</v>
      </c>
    </row>
    <row r="1746" spans="10:81" x14ac:dyDescent="0.25">
      <c r="J1746" s="9"/>
      <c r="K1746" s="10"/>
      <c r="L1746" s="17"/>
      <c r="M1746" s="23"/>
      <c r="N1746" s="23"/>
      <c r="O1746" s="23"/>
      <c r="P1746" s="23"/>
      <c r="Q1746" s="1">
        <f t="shared" si="822"/>
        <v>0.60744618579017706</v>
      </c>
      <c r="R1746" s="12">
        <f t="shared" ca="1" si="839"/>
        <v>51482</v>
      </c>
      <c r="S1746" s="88">
        <f t="shared" si="848"/>
        <v>0</v>
      </c>
      <c r="T1746" s="19">
        <f t="shared" si="840"/>
        <v>0</v>
      </c>
      <c r="U1746" s="19">
        <f t="shared" si="841"/>
        <v>0</v>
      </c>
      <c r="V1746" s="19">
        <f t="shared" si="827"/>
        <v>0</v>
      </c>
      <c r="W1746" s="20">
        <f t="shared" ca="1" si="842"/>
        <v>0</v>
      </c>
      <c r="X1746" s="19">
        <f t="shared" ca="1" si="843"/>
        <v>0</v>
      </c>
      <c r="Y1746" s="19">
        <f t="shared" ca="1" si="844"/>
        <v>0</v>
      </c>
      <c r="Z1746" s="20">
        <f t="shared" ca="1" si="845"/>
        <v>0</v>
      </c>
      <c r="AA1746" s="1">
        <f t="shared" si="823"/>
        <v>5432.58</v>
      </c>
      <c r="AB1746" s="93"/>
      <c r="AC1746" s="94"/>
      <c r="AD1746" s="101">
        <f t="shared" si="824"/>
        <v>92604</v>
      </c>
      <c r="AE1746" s="103">
        <f t="shared" si="825"/>
        <v>0</v>
      </c>
      <c r="AG1746" s="1">
        <f t="shared" si="846"/>
        <v>0</v>
      </c>
      <c r="AH1746" s="1">
        <f t="shared" si="847"/>
        <v>0</v>
      </c>
      <c r="AI1746" s="1">
        <f t="shared" si="826"/>
        <v>5432.58</v>
      </c>
      <c r="AJ1746" s="20">
        <f t="shared" si="828"/>
        <v>0</v>
      </c>
      <c r="AK1746" s="100">
        <f t="shared" si="830"/>
        <v>0</v>
      </c>
      <c r="AL1746" s="100">
        <f t="shared" si="831"/>
        <v>0</v>
      </c>
      <c r="AN1746" s="100">
        <f t="shared" si="832"/>
        <v>2278.4145296887136</v>
      </c>
      <c r="AO1746" s="20">
        <f t="shared" si="833"/>
        <v>0</v>
      </c>
      <c r="AQ1746" s="109">
        <f t="shared" si="834"/>
        <v>0</v>
      </c>
      <c r="AU1746" s="109">
        <f t="shared" si="819"/>
        <v>23.275287617753062</v>
      </c>
      <c r="AV1746" s="101">
        <f t="shared" si="835"/>
        <v>92634</v>
      </c>
      <c r="AW1746" s="99">
        <f t="shared" si="836"/>
        <v>0</v>
      </c>
      <c r="AX1746" s="1">
        <f t="shared" si="837"/>
        <v>0</v>
      </c>
      <c r="AY1746" s="29">
        <f t="shared" si="838"/>
        <v>0</v>
      </c>
      <c r="AZ1746" s="1">
        <f t="shared" si="820"/>
        <v>0</v>
      </c>
      <c r="CB1746" s="20">
        <f t="shared" si="829"/>
        <v>0</v>
      </c>
      <c r="CC1746" s="173">
        <f t="shared" si="821"/>
        <v>0</v>
      </c>
    </row>
    <row r="1747" spans="10:81" x14ac:dyDescent="0.25">
      <c r="J1747" s="7"/>
      <c r="K1747" s="8"/>
      <c r="L1747" s="16"/>
      <c r="M1747" s="22"/>
      <c r="N1747" s="22"/>
      <c r="O1747" s="22"/>
      <c r="P1747" s="22"/>
      <c r="Q1747" s="1">
        <f t="shared" si="822"/>
        <v>0.60744618579017706</v>
      </c>
      <c r="R1747" s="12">
        <f t="shared" ca="1" si="839"/>
        <v>51512</v>
      </c>
      <c r="S1747" s="88">
        <f t="shared" si="848"/>
        <v>0</v>
      </c>
      <c r="T1747" s="19">
        <f t="shared" si="840"/>
        <v>0</v>
      </c>
      <c r="U1747" s="19">
        <f t="shared" si="841"/>
        <v>0</v>
      </c>
      <c r="V1747" s="19">
        <f t="shared" si="827"/>
        <v>0</v>
      </c>
      <c r="W1747" s="20">
        <f t="shared" ca="1" si="842"/>
        <v>0</v>
      </c>
      <c r="X1747" s="19">
        <f t="shared" ca="1" si="843"/>
        <v>0</v>
      </c>
      <c r="Y1747" s="19">
        <f t="shared" ca="1" si="844"/>
        <v>0</v>
      </c>
      <c r="Z1747" s="20">
        <f t="shared" ca="1" si="845"/>
        <v>0</v>
      </c>
      <c r="AA1747" s="1">
        <f t="shared" si="823"/>
        <v>5432.58</v>
      </c>
      <c r="AB1747" s="91"/>
      <c r="AC1747" s="92"/>
      <c r="AD1747" s="101">
        <f t="shared" si="824"/>
        <v>92634</v>
      </c>
      <c r="AE1747" s="103">
        <f t="shared" si="825"/>
        <v>0</v>
      </c>
      <c r="AG1747" s="1">
        <f t="shared" si="846"/>
        <v>0</v>
      </c>
      <c r="AH1747" s="1">
        <f t="shared" si="847"/>
        <v>0</v>
      </c>
      <c r="AI1747" s="1">
        <f t="shared" si="826"/>
        <v>5432.58</v>
      </c>
      <c r="AJ1747" s="20">
        <f t="shared" si="828"/>
        <v>0</v>
      </c>
      <c r="AK1747" s="100">
        <f t="shared" si="830"/>
        <v>0</v>
      </c>
      <c r="AL1747" s="100">
        <f t="shared" si="831"/>
        <v>0</v>
      </c>
      <c r="AN1747" s="100">
        <f t="shared" si="832"/>
        <v>2277.2617680428439</v>
      </c>
      <c r="AO1747" s="20">
        <f t="shared" si="833"/>
        <v>0</v>
      </c>
      <c r="AQ1747" s="109">
        <f t="shared" si="834"/>
        <v>0</v>
      </c>
      <c r="AU1747" s="109">
        <f t="shared" si="819"/>
        <v>23.273244744047751</v>
      </c>
      <c r="AV1747" s="101">
        <f t="shared" si="835"/>
        <v>92664</v>
      </c>
      <c r="AW1747" s="99">
        <f t="shared" si="836"/>
        <v>0</v>
      </c>
      <c r="AX1747" s="1">
        <f t="shared" si="837"/>
        <v>0</v>
      </c>
      <c r="AY1747" s="29">
        <f t="shared" si="838"/>
        <v>0</v>
      </c>
      <c r="AZ1747" s="1">
        <f t="shared" si="820"/>
        <v>0</v>
      </c>
      <c r="CB1747" s="20">
        <f t="shared" si="829"/>
        <v>0</v>
      </c>
      <c r="CC1747" s="173">
        <f t="shared" si="821"/>
        <v>0</v>
      </c>
    </row>
    <row r="1748" spans="10:81" x14ac:dyDescent="0.25">
      <c r="J1748" s="9"/>
      <c r="K1748" s="10"/>
      <c r="L1748" s="17"/>
      <c r="M1748" s="23"/>
      <c r="N1748" s="23"/>
      <c r="O1748" s="23"/>
      <c r="P1748" s="23"/>
      <c r="Q1748" s="1">
        <f t="shared" si="822"/>
        <v>0.60744618579017706</v>
      </c>
      <c r="R1748" s="12">
        <f t="shared" ca="1" si="839"/>
        <v>51542</v>
      </c>
      <c r="S1748" s="88">
        <f t="shared" si="848"/>
        <v>0</v>
      </c>
      <c r="T1748" s="19">
        <f t="shared" si="840"/>
        <v>0</v>
      </c>
      <c r="U1748" s="19">
        <f t="shared" si="841"/>
        <v>0</v>
      </c>
      <c r="V1748" s="19">
        <f t="shared" si="827"/>
        <v>0</v>
      </c>
      <c r="W1748" s="20">
        <f t="shared" ca="1" si="842"/>
        <v>0</v>
      </c>
      <c r="X1748" s="19">
        <f t="shared" ca="1" si="843"/>
        <v>0</v>
      </c>
      <c r="Y1748" s="19">
        <f t="shared" ca="1" si="844"/>
        <v>0</v>
      </c>
      <c r="Z1748" s="20">
        <f t="shared" ca="1" si="845"/>
        <v>0</v>
      </c>
      <c r="AA1748" s="1">
        <f t="shared" si="823"/>
        <v>5432.58</v>
      </c>
      <c r="AB1748" s="93"/>
      <c r="AC1748" s="94"/>
      <c r="AD1748" s="101">
        <f t="shared" si="824"/>
        <v>92664</v>
      </c>
      <c r="AE1748" s="103">
        <f t="shared" si="825"/>
        <v>0</v>
      </c>
      <c r="AG1748" s="1">
        <f t="shared" si="846"/>
        <v>0</v>
      </c>
      <c r="AH1748" s="1">
        <f t="shared" si="847"/>
        <v>0</v>
      </c>
      <c r="AI1748" s="1">
        <f t="shared" si="826"/>
        <v>5432.58</v>
      </c>
      <c r="AJ1748" s="20">
        <f t="shared" si="828"/>
        <v>0</v>
      </c>
      <c r="AK1748" s="100">
        <f t="shared" si="830"/>
        <v>0</v>
      </c>
      <c r="AL1748" s="100">
        <f t="shared" si="831"/>
        <v>0</v>
      </c>
      <c r="AN1748" s="100">
        <f t="shared" si="832"/>
        <v>2276.1095896356233</v>
      </c>
      <c r="AO1748" s="20">
        <f t="shared" si="833"/>
        <v>0</v>
      </c>
      <c r="AQ1748" s="109">
        <f t="shared" si="834"/>
        <v>0</v>
      </c>
      <c r="AU1748" s="109">
        <f t="shared" si="819"/>
        <v>23.271202049645616</v>
      </c>
      <c r="AV1748" s="101">
        <f t="shared" si="835"/>
        <v>92694</v>
      </c>
      <c r="AW1748" s="99">
        <f t="shared" si="836"/>
        <v>0</v>
      </c>
      <c r="AX1748" s="1">
        <f t="shared" si="837"/>
        <v>0</v>
      </c>
      <c r="AY1748" s="29">
        <f t="shared" si="838"/>
        <v>0</v>
      </c>
      <c r="AZ1748" s="1">
        <f t="shared" si="820"/>
        <v>0</v>
      </c>
      <c r="CB1748" s="20">
        <f t="shared" si="829"/>
        <v>0</v>
      </c>
      <c r="CC1748" s="173">
        <f t="shared" si="821"/>
        <v>0</v>
      </c>
    </row>
    <row r="1749" spans="10:81" x14ac:dyDescent="0.25">
      <c r="J1749" s="7"/>
      <c r="K1749" s="8"/>
      <c r="L1749" s="16"/>
      <c r="M1749" s="22"/>
      <c r="N1749" s="22"/>
      <c r="O1749" s="22"/>
      <c r="P1749" s="22"/>
      <c r="Q1749" s="1">
        <f t="shared" si="822"/>
        <v>0.60744618579017706</v>
      </c>
      <c r="R1749" s="12">
        <f t="shared" ca="1" si="839"/>
        <v>51572</v>
      </c>
      <c r="S1749" s="88">
        <f t="shared" si="848"/>
        <v>0</v>
      </c>
      <c r="T1749" s="19">
        <f t="shared" si="840"/>
        <v>0</v>
      </c>
      <c r="U1749" s="19">
        <f t="shared" si="841"/>
        <v>0</v>
      </c>
      <c r="V1749" s="19">
        <f t="shared" si="827"/>
        <v>0</v>
      </c>
      <c r="W1749" s="20">
        <f t="shared" ca="1" si="842"/>
        <v>0</v>
      </c>
      <c r="X1749" s="19">
        <f t="shared" ca="1" si="843"/>
        <v>0</v>
      </c>
      <c r="Y1749" s="19">
        <f t="shared" ca="1" si="844"/>
        <v>0</v>
      </c>
      <c r="Z1749" s="20">
        <f t="shared" ca="1" si="845"/>
        <v>0</v>
      </c>
      <c r="AA1749" s="1">
        <f t="shared" si="823"/>
        <v>5432.58</v>
      </c>
      <c r="AB1749" s="91"/>
      <c r="AC1749" s="92"/>
      <c r="AD1749" s="101">
        <f t="shared" si="824"/>
        <v>92694</v>
      </c>
      <c r="AE1749" s="103">
        <f t="shared" si="825"/>
        <v>0</v>
      </c>
      <c r="AG1749" s="1">
        <f t="shared" si="846"/>
        <v>0</v>
      </c>
      <c r="AH1749" s="1">
        <f t="shared" si="847"/>
        <v>0</v>
      </c>
      <c r="AI1749" s="1">
        <f t="shared" si="826"/>
        <v>5432.58</v>
      </c>
      <c r="AJ1749" s="20">
        <f t="shared" si="828"/>
        <v>0</v>
      </c>
      <c r="AK1749" s="100">
        <f t="shared" si="830"/>
        <v>0</v>
      </c>
      <c r="AL1749" s="100">
        <f t="shared" si="831"/>
        <v>0</v>
      </c>
      <c r="AN1749" s="100">
        <f t="shared" si="832"/>
        <v>2274.9579941719621</v>
      </c>
      <c r="AO1749" s="20">
        <f t="shared" si="833"/>
        <v>0</v>
      </c>
      <c r="AQ1749" s="109">
        <f t="shared" si="834"/>
        <v>0</v>
      </c>
      <c r="AU1749" s="109">
        <f t="shared" si="819"/>
        <v>23.269159534530928</v>
      </c>
      <c r="AV1749" s="101">
        <f t="shared" si="835"/>
        <v>92724</v>
      </c>
      <c r="AW1749" s="99">
        <f t="shared" si="836"/>
        <v>0</v>
      </c>
      <c r="AX1749" s="1">
        <f t="shared" si="837"/>
        <v>0</v>
      </c>
      <c r="AY1749" s="29">
        <f t="shared" si="838"/>
        <v>0</v>
      </c>
      <c r="AZ1749" s="1">
        <f t="shared" si="820"/>
        <v>0</v>
      </c>
      <c r="CB1749" s="20">
        <f t="shared" si="829"/>
        <v>0</v>
      </c>
      <c r="CC1749" s="173">
        <f t="shared" si="821"/>
        <v>0</v>
      </c>
    </row>
    <row r="1750" spans="10:81" x14ac:dyDescent="0.25">
      <c r="J1750" s="9"/>
      <c r="K1750" s="10"/>
      <c r="L1750" s="17"/>
      <c r="M1750" s="23"/>
      <c r="N1750" s="23"/>
      <c r="O1750" s="23"/>
      <c r="P1750" s="23"/>
      <c r="Q1750" s="1">
        <f t="shared" si="822"/>
        <v>0.60744618579017706</v>
      </c>
      <c r="R1750" s="12">
        <f t="shared" ca="1" si="839"/>
        <v>51602</v>
      </c>
      <c r="S1750" s="88">
        <f t="shared" si="848"/>
        <v>0</v>
      </c>
      <c r="T1750" s="19">
        <f t="shared" si="840"/>
        <v>0</v>
      </c>
      <c r="U1750" s="19">
        <f t="shared" si="841"/>
        <v>0</v>
      </c>
      <c r="V1750" s="19">
        <f t="shared" si="827"/>
        <v>0</v>
      </c>
      <c r="W1750" s="20">
        <f t="shared" ca="1" si="842"/>
        <v>0</v>
      </c>
      <c r="X1750" s="19">
        <f t="shared" ca="1" si="843"/>
        <v>0</v>
      </c>
      <c r="Y1750" s="19">
        <f t="shared" ca="1" si="844"/>
        <v>0</v>
      </c>
      <c r="Z1750" s="20">
        <f t="shared" ca="1" si="845"/>
        <v>0</v>
      </c>
      <c r="AA1750" s="1">
        <f t="shared" si="823"/>
        <v>5432.58</v>
      </c>
      <c r="AB1750" s="93"/>
      <c r="AC1750" s="94"/>
      <c r="AD1750" s="101">
        <f t="shared" si="824"/>
        <v>92724</v>
      </c>
      <c r="AE1750" s="103">
        <f t="shared" si="825"/>
        <v>0</v>
      </c>
      <c r="AG1750" s="1">
        <f t="shared" si="846"/>
        <v>0</v>
      </c>
      <c r="AH1750" s="1">
        <f t="shared" si="847"/>
        <v>0</v>
      </c>
      <c r="AI1750" s="1">
        <f t="shared" si="826"/>
        <v>5432.58</v>
      </c>
      <c r="AJ1750" s="20">
        <f t="shared" si="828"/>
        <v>0</v>
      </c>
      <c r="AK1750" s="100">
        <f t="shared" si="830"/>
        <v>0</v>
      </c>
      <c r="AL1750" s="100">
        <f t="shared" si="831"/>
        <v>0</v>
      </c>
      <c r="AN1750" s="100">
        <f t="shared" si="832"/>
        <v>2273.8069813569214</v>
      </c>
      <c r="AO1750" s="20">
        <f t="shared" si="833"/>
        <v>0</v>
      </c>
      <c r="AQ1750" s="109">
        <f t="shared" si="834"/>
        <v>0</v>
      </c>
      <c r="AU1750" s="109">
        <f t="shared" si="819"/>
        <v>23.267117198687938</v>
      </c>
      <c r="AV1750" s="101">
        <f t="shared" si="835"/>
        <v>92754</v>
      </c>
      <c r="AW1750" s="99">
        <f t="shared" si="836"/>
        <v>0</v>
      </c>
      <c r="AX1750" s="1">
        <f t="shared" si="837"/>
        <v>0</v>
      </c>
      <c r="AY1750" s="29">
        <f t="shared" si="838"/>
        <v>0</v>
      </c>
      <c r="AZ1750" s="1">
        <f t="shared" si="820"/>
        <v>0</v>
      </c>
      <c r="CB1750" s="20">
        <f t="shared" si="829"/>
        <v>0</v>
      </c>
      <c r="CC1750" s="173">
        <f t="shared" si="821"/>
        <v>0</v>
      </c>
    </row>
    <row r="1751" spans="10:81" x14ac:dyDescent="0.25">
      <c r="J1751" s="7"/>
      <c r="K1751" s="8"/>
      <c r="L1751" s="16"/>
      <c r="M1751" s="22"/>
      <c r="N1751" s="22"/>
      <c r="O1751" s="22"/>
      <c r="P1751" s="22"/>
      <c r="Q1751" s="1">
        <f t="shared" si="822"/>
        <v>0.60744618579017706</v>
      </c>
      <c r="R1751" s="12">
        <f t="shared" ca="1" si="839"/>
        <v>51632</v>
      </c>
      <c r="S1751" s="88">
        <f t="shared" si="848"/>
        <v>0</v>
      </c>
      <c r="T1751" s="19">
        <f t="shared" si="840"/>
        <v>0</v>
      </c>
      <c r="U1751" s="19">
        <f t="shared" si="841"/>
        <v>0</v>
      </c>
      <c r="V1751" s="19">
        <f t="shared" si="827"/>
        <v>0</v>
      </c>
      <c r="W1751" s="20">
        <f t="shared" ca="1" si="842"/>
        <v>0</v>
      </c>
      <c r="X1751" s="19">
        <f t="shared" ca="1" si="843"/>
        <v>0</v>
      </c>
      <c r="Y1751" s="19">
        <f t="shared" ca="1" si="844"/>
        <v>0</v>
      </c>
      <c r="Z1751" s="20">
        <f t="shared" ca="1" si="845"/>
        <v>0</v>
      </c>
      <c r="AA1751" s="1">
        <f t="shared" si="823"/>
        <v>5432.58</v>
      </c>
      <c r="AB1751" s="91"/>
      <c r="AC1751" s="92"/>
      <c r="AD1751" s="101">
        <f t="shared" si="824"/>
        <v>92754</v>
      </c>
      <c r="AE1751" s="103">
        <f t="shared" si="825"/>
        <v>0</v>
      </c>
      <c r="AG1751" s="1">
        <f t="shared" si="846"/>
        <v>0</v>
      </c>
      <c r="AH1751" s="1">
        <f t="shared" si="847"/>
        <v>0</v>
      </c>
      <c r="AI1751" s="1">
        <f t="shared" si="826"/>
        <v>5432.58</v>
      </c>
      <c r="AJ1751" s="20">
        <f t="shared" si="828"/>
        <v>0</v>
      </c>
      <c r="AK1751" s="100">
        <f t="shared" si="830"/>
        <v>0</v>
      </c>
      <c r="AL1751" s="100">
        <f t="shared" si="831"/>
        <v>0</v>
      </c>
      <c r="AN1751" s="100">
        <f t="shared" si="832"/>
        <v>2272.6565508957101</v>
      </c>
      <c r="AO1751" s="20">
        <f t="shared" si="833"/>
        <v>0</v>
      </c>
      <c r="AQ1751" s="109">
        <f t="shared" si="834"/>
        <v>0</v>
      </c>
      <c r="AU1751" s="109">
        <f t="shared" si="819"/>
        <v>23.265075042100907</v>
      </c>
      <c r="AV1751" s="101">
        <f t="shared" si="835"/>
        <v>92784</v>
      </c>
      <c r="AW1751" s="99">
        <f t="shared" si="836"/>
        <v>0</v>
      </c>
      <c r="AX1751" s="1">
        <f t="shared" si="837"/>
        <v>0</v>
      </c>
      <c r="AY1751" s="29">
        <f t="shared" si="838"/>
        <v>0</v>
      </c>
      <c r="AZ1751" s="1">
        <f t="shared" si="820"/>
        <v>0</v>
      </c>
      <c r="CB1751" s="20">
        <f t="shared" si="829"/>
        <v>0</v>
      </c>
      <c r="CC1751" s="173">
        <f t="shared" si="821"/>
        <v>0</v>
      </c>
    </row>
    <row r="1752" spans="10:81" x14ac:dyDescent="0.25">
      <c r="J1752" s="9"/>
      <c r="K1752" s="10"/>
      <c r="L1752" s="17"/>
      <c r="M1752" s="23"/>
      <c r="N1752" s="23"/>
      <c r="O1752" s="23"/>
      <c r="P1752" s="23"/>
      <c r="Q1752" s="1">
        <f t="shared" si="822"/>
        <v>0.60744618579017706</v>
      </c>
      <c r="R1752" s="12">
        <f t="shared" ca="1" si="839"/>
        <v>51662</v>
      </c>
      <c r="S1752" s="88">
        <f t="shared" si="848"/>
        <v>0</v>
      </c>
      <c r="T1752" s="19">
        <f t="shared" si="840"/>
        <v>0</v>
      </c>
      <c r="U1752" s="19">
        <f t="shared" si="841"/>
        <v>0</v>
      </c>
      <c r="V1752" s="19">
        <f t="shared" si="827"/>
        <v>0</v>
      </c>
      <c r="W1752" s="20">
        <f t="shared" ca="1" si="842"/>
        <v>0</v>
      </c>
      <c r="X1752" s="19">
        <f t="shared" ca="1" si="843"/>
        <v>0</v>
      </c>
      <c r="Y1752" s="19">
        <f t="shared" ca="1" si="844"/>
        <v>0</v>
      </c>
      <c r="Z1752" s="20">
        <f t="shared" ca="1" si="845"/>
        <v>0</v>
      </c>
      <c r="AA1752" s="1">
        <f t="shared" si="823"/>
        <v>5432.58</v>
      </c>
      <c r="AB1752" s="93"/>
      <c r="AC1752" s="94"/>
      <c r="AD1752" s="101">
        <f t="shared" si="824"/>
        <v>92784</v>
      </c>
      <c r="AE1752" s="103">
        <f t="shared" si="825"/>
        <v>0</v>
      </c>
      <c r="AG1752" s="1">
        <f t="shared" si="846"/>
        <v>0</v>
      </c>
      <c r="AH1752" s="1">
        <f t="shared" si="847"/>
        <v>0</v>
      </c>
      <c r="AI1752" s="1">
        <f t="shared" si="826"/>
        <v>5432.58</v>
      </c>
      <c r="AJ1752" s="20">
        <f t="shared" si="828"/>
        <v>0</v>
      </c>
      <c r="AK1752" s="100">
        <f t="shared" si="830"/>
        <v>0</v>
      </c>
      <c r="AL1752" s="100">
        <f t="shared" si="831"/>
        <v>0</v>
      </c>
      <c r="AN1752" s="100">
        <f t="shared" si="832"/>
        <v>2271.5067024936889</v>
      </c>
      <c r="AO1752" s="20">
        <f t="shared" si="833"/>
        <v>0</v>
      </c>
      <c r="AQ1752" s="109">
        <f t="shared" si="834"/>
        <v>0</v>
      </c>
      <c r="AU1752" s="109">
        <f t="shared" si="819"/>
        <v>23.263033064754119</v>
      </c>
      <c r="AV1752" s="101">
        <f t="shared" si="835"/>
        <v>92814</v>
      </c>
      <c r="AW1752" s="99">
        <f t="shared" si="836"/>
        <v>0</v>
      </c>
      <c r="AX1752" s="1">
        <f t="shared" si="837"/>
        <v>0</v>
      </c>
      <c r="AY1752" s="29">
        <f t="shared" si="838"/>
        <v>0</v>
      </c>
      <c r="AZ1752" s="1">
        <f t="shared" si="820"/>
        <v>0</v>
      </c>
      <c r="CB1752" s="20">
        <f t="shared" si="829"/>
        <v>0</v>
      </c>
      <c r="CC1752" s="173">
        <f t="shared" si="821"/>
        <v>0</v>
      </c>
    </row>
    <row r="1753" spans="10:81" x14ac:dyDescent="0.25">
      <c r="J1753" s="7"/>
      <c r="K1753" s="8"/>
      <c r="L1753" s="16"/>
      <c r="M1753" s="22"/>
      <c r="N1753" s="22"/>
      <c r="O1753" s="22"/>
      <c r="P1753" s="22"/>
      <c r="Q1753" s="1">
        <f t="shared" si="822"/>
        <v>0.60744618579017706</v>
      </c>
      <c r="R1753" s="12">
        <f t="shared" ca="1" si="839"/>
        <v>51692</v>
      </c>
      <c r="S1753" s="88">
        <f t="shared" si="848"/>
        <v>0</v>
      </c>
      <c r="T1753" s="19">
        <f t="shared" si="840"/>
        <v>0</v>
      </c>
      <c r="U1753" s="19">
        <f t="shared" si="841"/>
        <v>0</v>
      </c>
      <c r="V1753" s="19">
        <f t="shared" si="827"/>
        <v>0</v>
      </c>
      <c r="W1753" s="20">
        <f t="shared" ca="1" si="842"/>
        <v>0</v>
      </c>
      <c r="X1753" s="19">
        <f t="shared" ca="1" si="843"/>
        <v>0</v>
      </c>
      <c r="Y1753" s="19">
        <f t="shared" ca="1" si="844"/>
        <v>0</v>
      </c>
      <c r="Z1753" s="20">
        <f t="shared" ca="1" si="845"/>
        <v>0</v>
      </c>
      <c r="AA1753" s="1">
        <f t="shared" si="823"/>
        <v>5432.58</v>
      </c>
      <c r="AB1753" s="91"/>
      <c r="AC1753" s="92"/>
      <c r="AD1753" s="101">
        <f t="shared" si="824"/>
        <v>92814</v>
      </c>
      <c r="AE1753" s="103">
        <f t="shared" si="825"/>
        <v>0</v>
      </c>
      <c r="AG1753" s="1">
        <f t="shared" si="846"/>
        <v>0</v>
      </c>
      <c r="AH1753" s="1">
        <f t="shared" si="847"/>
        <v>0</v>
      </c>
      <c r="AI1753" s="1">
        <f t="shared" si="826"/>
        <v>5432.58</v>
      </c>
      <c r="AJ1753" s="20">
        <f t="shared" si="828"/>
        <v>0</v>
      </c>
      <c r="AK1753" s="100">
        <f t="shared" si="830"/>
        <v>0</v>
      </c>
      <c r="AL1753" s="100">
        <f t="shared" si="831"/>
        <v>0</v>
      </c>
      <c r="AN1753" s="100">
        <f t="shared" si="832"/>
        <v>2270.3574358563619</v>
      </c>
      <c r="AO1753" s="20">
        <f t="shared" si="833"/>
        <v>0</v>
      </c>
      <c r="AQ1753" s="109">
        <f t="shared" si="834"/>
        <v>0</v>
      </c>
      <c r="AU1753" s="109">
        <f t="shared" si="819"/>
        <v>23.26099126663183</v>
      </c>
      <c r="AV1753" s="101">
        <f t="shared" si="835"/>
        <v>92844</v>
      </c>
      <c r="AW1753" s="99">
        <f t="shared" si="836"/>
        <v>0</v>
      </c>
      <c r="AX1753" s="1">
        <f t="shared" si="837"/>
        <v>0</v>
      </c>
      <c r="AY1753" s="29">
        <f t="shared" si="838"/>
        <v>0</v>
      </c>
      <c r="AZ1753" s="1">
        <f t="shared" si="820"/>
        <v>0</v>
      </c>
      <c r="CB1753" s="20">
        <f t="shared" si="829"/>
        <v>0</v>
      </c>
      <c r="CC1753" s="173">
        <f t="shared" si="821"/>
        <v>0</v>
      </c>
    </row>
    <row r="1754" spans="10:81" x14ac:dyDescent="0.25">
      <c r="J1754" s="9"/>
      <c r="K1754" s="10"/>
      <c r="L1754" s="17"/>
      <c r="M1754" s="23"/>
      <c r="N1754" s="23"/>
      <c r="O1754" s="23"/>
      <c r="P1754" s="23"/>
      <c r="Q1754" s="1">
        <f t="shared" si="822"/>
        <v>0.60744618579017706</v>
      </c>
      <c r="R1754" s="12">
        <f t="shared" ca="1" si="839"/>
        <v>51722</v>
      </c>
      <c r="S1754" s="88">
        <f t="shared" si="848"/>
        <v>0</v>
      </c>
      <c r="T1754" s="19">
        <f t="shared" si="840"/>
        <v>0</v>
      </c>
      <c r="U1754" s="19">
        <f t="shared" si="841"/>
        <v>0</v>
      </c>
      <c r="V1754" s="19">
        <f t="shared" si="827"/>
        <v>0</v>
      </c>
      <c r="W1754" s="20">
        <f t="shared" ca="1" si="842"/>
        <v>0</v>
      </c>
      <c r="X1754" s="19">
        <f t="shared" ca="1" si="843"/>
        <v>0</v>
      </c>
      <c r="Y1754" s="19">
        <f t="shared" ca="1" si="844"/>
        <v>0</v>
      </c>
      <c r="Z1754" s="20">
        <f t="shared" ca="1" si="845"/>
        <v>0</v>
      </c>
      <c r="AA1754" s="1">
        <f t="shared" si="823"/>
        <v>5432.58</v>
      </c>
      <c r="AB1754" s="93"/>
      <c r="AC1754" s="94"/>
      <c r="AD1754" s="101">
        <f t="shared" si="824"/>
        <v>92844</v>
      </c>
      <c r="AE1754" s="103">
        <f t="shared" si="825"/>
        <v>0</v>
      </c>
      <c r="AG1754" s="1">
        <f t="shared" si="846"/>
        <v>0</v>
      </c>
      <c r="AH1754" s="1">
        <f t="shared" si="847"/>
        <v>0</v>
      </c>
      <c r="AI1754" s="1">
        <f t="shared" si="826"/>
        <v>5432.58</v>
      </c>
      <c r="AJ1754" s="20">
        <f t="shared" si="828"/>
        <v>0</v>
      </c>
      <c r="AK1754" s="100">
        <f t="shared" si="830"/>
        <v>0</v>
      </c>
      <c r="AL1754" s="100">
        <f t="shared" si="831"/>
        <v>0</v>
      </c>
      <c r="AN1754" s="100">
        <f t="shared" si="832"/>
        <v>2269.2087506893877</v>
      </c>
      <c r="AO1754" s="20">
        <f t="shared" si="833"/>
        <v>0</v>
      </c>
      <c r="AQ1754" s="109">
        <f t="shared" si="834"/>
        <v>0</v>
      </c>
      <c r="AU1754" s="109">
        <f t="shared" si="819"/>
        <v>23.258949647718307</v>
      </c>
      <c r="AV1754" s="101">
        <f t="shared" si="835"/>
        <v>92874</v>
      </c>
      <c r="AW1754" s="99">
        <f t="shared" si="836"/>
        <v>0</v>
      </c>
      <c r="AX1754" s="1">
        <f t="shared" si="837"/>
        <v>0</v>
      </c>
      <c r="AY1754" s="29">
        <f t="shared" si="838"/>
        <v>0</v>
      </c>
      <c r="AZ1754" s="1">
        <f t="shared" si="820"/>
        <v>0</v>
      </c>
      <c r="CB1754" s="20">
        <f t="shared" si="829"/>
        <v>0</v>
      </c>
      <c r="CC1754" s="173">
        <f t="shared" si="821"/>
        <v>0</v>
      </c>
    </row>
    <row r="1755" spans="10:81" x14ac:dyDescent="0.25">
      <c r="J1755" s="7"/>
      <c r="K1755" s="8"/>
      <c r="L1755" s="16"/>
      <c r="M1755" s="22"/>
      <c r="N1755" s="22"/>
      <c r="O1755" s="22"/>
      <c r="P1755" s="22"/>
      <c r="Q1755" s="1">
        <f t="shared" si="822"/>
        <v>0.60744618579017706</v>
      </c>
      <c r="R1755" s="12">
        <f t="shared" ca="1" si="839"/>
        <v>51752</v>
      </c>
      <c r="S1755" s="88">
        <f t="shared" si="848"/>
        <v>0</v>
      </c>
      <c r="T1755" s="19">
        <f t="shared" si="840"/>
        <v>0</v>
      </c>
      <c r="U1755" s="19">
        <f t="shared" si="841"/>
        <v>0</v>
      </c>
      <c r="V1755" s="19">
        <f t="shared" si="827"/>
        <v>0</v>
      </c>
      <c r="W1755" s="20">
        <f t="shared" ca="1" si="842"/>
        <v>0</v>
      </c>
      <c r="X1755" s="19">
        <f t="shared" ca="1" si="843"/>
        <v>0</v>
      </c>
      <c r="Y1755" s="19">
        <f t="shared" ca="1" si="844"/>
        <v>0</v>
      </c>
      <c r="Z1755" s="20">
        <f t="shared" ca="1" si="845"/>
        <v>0</v>
      </c>
      <c r="AA1755" s="1">
        <f t="shared" si="823"/>
        <v>5432.58</v>
      </c>
      <c r="AB1755" s="91"/>
      <c r="AC1755" s="92"/>
      <c r="AD1755" s="101">
        <f t="shared" si="824"/>
        <v>92874</v>
      </c>
      <c r="AE1755" s="103">
        <f t="shared" si="825"/>
        <v>0</v>
      </c>
      <c r="AG1755" s="1">
        <f t="shared" si="846"/>
        <v>0</v>
      </c>
      <c r="AH1755" s="1">
        <f t="shared" si="847"/>
        <v>0</v>
      </c>
      <c r="AI1755" s="1">
        <f t="shared" si="826"/>
        <v>5432.58</v>
      </c>
      <c r="AJ1755" s="20">
        <f t="shared" si="828"/>
        <v>0</v>
      </c>
      <c r="AK1755" s="100">
        <f t="shared" si="830"/>
        <v>0</v>
      </c>
      <c r="AL1755" s="100">
        <f t="shared" si="831"/>
        <v>0</v>
      </c>
      <c r="AN1755" s="100">
        <f t="shared" si="832"/>
        <v>2268.0606466985728</v>
      </c>
      <c r="AO1755" s="20">
        <f t="shared" si="833"/>
        <v>0</v>
      </c>
      <c r="AQ1755" s="109">
        <f t="shared" si="834"/>
        <v>0</v>
      </c>
      <c r="AU1755" s="109">
        <f t="shared" si="819"/>
        <v>23.256908207997821</v>
      </c>
      <c r="AV1755" s="101">
        <f t="shared" si="835"/>
        <v>92904</v>
      </c>
      <c r="AW1755" s="99">
        <f t="shared" si="836"/>
        <v>0</v>
      </c>
      <c r="AX1755" s="1">
        <f t="shared" si="837"/>
        <v>0</v>
      </c>
      <c r="AY1755" s="29">
        <f t="shared" si="838"/>
        <v>0</v>
      </c>
      <c r="AZ1755" s="1">
        <f t="shared" si="820"/>
        <v>0</v>
      </c>
      <c r="CB1755" s="20">
        <f t="shared" si="829"/>
        <v>0</v>
      </c>
      <c r="CC1755" s="173">
        <f t="shared" si="821"/>
        <v>0</v>
      </c>
    </row>
    <row r="1756" spans="10:81" x14ac:dyDescent="0.25">
      <c r="J1756" s="9"/>
      <c r="K1756" s="10"/>
      <c r="L1756" s="17"/>
      <c r="M1756" s="23"/>
      <c r="N1756" s="23"/>
      <c r="O1756" s="23"/>
      <c r="P1756" s="23"/>
      <c r="Q1756" s="1">
        <f t="shared" si="822"/>
        <v>0.60744618579017706</v>
      </c>
      <c r="R1756" s="12">
        <f t="shared" ca="1" si="839"/>
        <v>51782</v>
      </c>
      <c r="S1756" s="88">
        <f t="shared" si="848"/>
        <v>0</v>
      </c>
      <c r="T1756" s="19">
        <f t="shared" si="840"/>
        <v>0</v>
      </c>
      <c r="U1756" s="19">
        <f t="shared" si="841"/>
        <v>0</v>
      </c>
      <c r="V1756" s="19">
        <f t="shared" si="827"/>
        <v>0</v>
      </c>
      <c r="W1756" s="20">
        <f t="shared" ca="1" si="842"/>
        <v>0</v>
      </c>
      <c r="X1756" s="19">
        <f t="shared" ca="1" si="843"/>
        <v>0</v>
      </c>
      <c r="Y1756" s="19">
        <f t="shared" ca="1" si="844"/>
        <v>0</v>
      </c>
      <c r="Z1756" s="20">
        <f t="shared" ca="1" si="845"/>
        <v>0</v>
      </c>
      <c r="AA1756" s="1">
        <f t="shared" si="823"/>
        <v>5432.58</v>
      </c>
      <c r="AB1756" s="93"/>
      <c r="AC1756" s="94"/>
      <c r="AD1756" s="101">
        <f t="shared" si="824"/>
        <v>92904</v>
      </c>
      <c r="AE1756" s="103">
        <f t="shared" si="825"/>
        <v>0</v>
      </c>
      <c r="AG1756" s="1">
        <f t="shared" si="846"/>
        <v>0</v>
      </c>
      <c r="AH1756" s="1">
        <f t="shared" si="847"/>
        <v>0</v>
      </c>
      <c r="AI1756" s="1">
        <f t="shared" si="826"/>
        <v>5432.58</v>
      </c>
      <c r="AJ1756" s="20">
        <f t="shared" si="828"/>
        <v>0</v>
      </c>
      <c r="AK1756" s="100">
        <f t="shared" si="830"/>
        <v>0</v>
      </c>
      <c r="AL1756" s="100">
        <f t="shared" si="831"/>
        <v>0</v>
      </c>
      <c r="AN1756" s="100">
        <f t="shared" si="832"/>
        <v>2266.9131235898708</v>
      </c>
      <c r="AO1756" s="20">
        <f t="shared" si="833"/>
        <v>0</v>
      </c>
      <c r="AQ1756" s="109">
        <f t="shared" si="834"/>
        <v>0</v>
      </c>
      <c r="AU1756" s="109">
        <f t="shared" si="819"/>
        <v>23.254866947454669</v>
      </c>
      <c r="AV1756" s="101">
        <f t="shared" si="835"/>
        <v>92934</v>
      </c>
      <c r="AW1756" s="99">
        <f t="shared" si="836"/>
        <v>0</v>
      </c>
      <c r="AX1756" s="1">
        <f t="shared" si="837"/>
        <v>0</v>
      </c>
      <c r="AY1756" s="29">
        <f t="shared" si="838"/>
        <v>0</v>
      </c>
      <c r="AZ1756" s="1">
        <f t="shared" si="820"/>
        <v>0</v>
      </c>
      <c r="CB1756" s="20">
        <f t="shared" si="829"/>
        <v>0</v>
      </c>
      <c r="CC1756" s="173">
        <f t="shared" si="821"/>
        <v>0</v>
      </c>
    </row>
    <row r="1757" spans="10:81" x14ac:dyDescent="0.25">
      <c r="J1757" s="7"/>
      <c r="K1757" s="8"/>
      <c r="L1757" s="16"/>
      <c r="M1757" s="22"/>
      <c r="N1757" s="22"/>
      <c r="O1757" s="22"/>
      <c r="P1757" s="22"/>
      <c r="Q1757" s="1">
        <f t="shared" si="822"/>
        <v>0.60744618579017706</v>
      </c>
      <c r="R1757" s="12">
        <f t="shared" ca="1" si="839"/>
        <v>51812</v>
      </c>
      <c r="S1757" s="88">
        <f t="shared" si="848"/>
        <v>0</v>
      </c>
      <c r="T1757" s="19">
        <f t="shared" si="840"/>
        <v>0</v>
      </c>
      <c r="U1757" s="19">
        <f t="shared" si="841"/>
        <v>0</v>
      </c>
      <c r="V1757" s="19">
        <f t="shared" si="827"/>
        <v>0</v>
      </c>
      <c r="W1757" s="20">
        <f t="shared" ca="1" si="842"/>
        <v>0</v>
      </c>
      <c r="X1757" s="19">
        <f t="shared" ca="1" si="843"/>
        <v>0</v>
      </c>
      <c r="Y1757" s="19">
        <f t="shared" ca="1" si="844"/>
        <v>0</v>
      </c>
      <c r="Z1757" s="20">
        <f t="shared" ca="1" si="845"/>
        <v>0</v>
      </c>
      <c r="AA1757" s="1">
        <f t="shared" si="823"/>
        <v>5432.58</v>
      </c>
      <c r="AB1757" s="91"/>
      <c r="AC1757" s="92"/>
      <c r="AD1757" s="101">
        <f t="shared" si="824"/>
        <v>92934</v>
      </c>
      <c r="AE1757" s="103">
        <f t="shared" si="825"/>
        <v>0</v>
      </c>
      <c r="AG1757" s="1">
        <f t="shared" si="846"/>
        <v>0</v>
      </c>
      <c r="AH1757" s="1">
        <f t="shared" si="847"/>
        <v>0</v>
      </c>
      <c r="AI1757" s="1">
        <f t="shared" si="826"/>
        <v>5432.58</v>
      </c>
      <c r="AJ1757" s="20">
        <f t="shared" si="828"/>
        <v>0</v>
      </c>
      <c r="AK1757" s="100">
        <f t="shared" si="830"/>
        <v>0</v>
      </c>
      <c r="AL1757" s="100">
        <f t="shared" si="831"/>
        <v>0</v>
      </c>
      <c r="AN1757" s="100">
        <f t="shared" si="832"/>
        <v>2265.7661810693853</v>
      </c>
      <c r="AO1757" s="20">
        <f t="shared" si="833"/>
        <v>0</v>
      </c>
      <c r="AQ1757" s="109">
        <f t="shared" si="834"/>
        <v>0</v>
      </c>
      <c r="AU1757" s="109">
        <f t="shared" si="819"/>
        <v>23.252825866073096</v>
      </c>
      <c r="AV1757" s="101">
        <f t="shared" si="835"/>
        <v>92964</v>
      </c>
      <c r="AW1757" s="99">
        <f t="shared" si="836"/>
        <v>0</v>
      </c>
      <c r="AX1757" s="1">
        <f t="shared" si="837"/>
        <v>0</v>
      </c>
      <c r="AY1757" s="29">
        <f t="shared" si="838"/>
        <v>0</v>
      </c>
      <c r="AZ1757" s="1">
        <f t="shared" si="820"/>
        <v>0</v>
      </c>
      <c r="CB1757" s="20">
        <f t="shared" si="829"/>
        <v>0</v>
      </c>
      <c r="CC1757" s="173">
        <f t="shared" si="821"/>
        <v>0</v>
      </c>
    </row>
    <row r="1758" spans="10:81" x14ac:dyDescent="0.25">
      <c r="J1758" s="9"/>
      <c r="K1758" s="10"/>
      <c r="L1758" s="17"/>
      <c r="M1758" s="23"/>
      <c r="N1758" s="23"/>
      <c r="O1758" s="23"/>
      <c r="P1758" s="23"/>
      <c r="Q1758" s="1">
        <f t="shared" si="822"/>
        <v>0.60744618579017706</v>
      </c>
      <c r="R1758" s="12">
        <f t="shared" ca="1" si="839"/>
        <v>51842</v>
      </c>
      <c r="S1758" s="88">
        <f t="shared" si="848"/>
        <v>0</v>
      </c>
      <c r="T1758" s="19">
        <f t="shared" si="840"/>
        <v>0</v>
      </c>
      <c r="U1758" s="19">
        <f t="shared" si="841"/>
        <v>0</v>
      </c>
      <c r="V1758" s="19">
        <f t="shared" si="827"/>
        <v>0</v>
      </c>
      <c r="W1758" s="20">
        <f t="shared" ca="1" si="842"/>
        <v>0</v>
      </c>
      <c r="X1758" s="19">
        <f t="shared" ca="1" si="843"/>
        <v>0</v>
      </c>
      <c r="Y1758" s="19">
        <f t="shared" ca="1" si="844"/>
        <v>0</v>
      </c>
      <c r="Z1758" s="20">
        <f t="shared" ca="1" si="845"/>
        <v>0</v>
      </c>
      <c r="AA1758" s="1">
        <f t="shared" si="823"/>
        <v>5432.58</v>
      </c>
      <c r="AB1758" s="93"/>
      <c r="AC1758" s="94"/>
      <c r="AD1758" s="101">
        <f t="shared" si="824"/>
        <v>92964</v>
      </c>
      <c r="AE1758" s="103">
        <f t="shared" si="825"/>
        <v>0</v>
      </c>
      <c r="AG1758" s="1">
        <f t="shared" si="846"/>
        <v>0</v>
      </c>
      <c r="AH1758" s="1">
        <f t="shared" si="847"/>
        <v>0</v>
      </c>
      <c r="AI1758" s="1">
        <f t="shared" si="826"/>
        <v>5432.58</v>
      </c>
      <c r="AJ1758" s="20">
        <f t="shared" si="828"/>
        <v>0</v>
      </c>
      <c r="AK1758" s="100">
        <f t="shared" si="830"/>
        <v>0</v>
      </c>
      <c r="AL1758" s="100">
        <f t="shared" si="831"/>
        <v>0</v>
      </c>
      <c r="AN1758" s="100">
        <f t="shared" si="832"/>
        <v>2264.6198188433673</v>
      </c>
      <c r="AO1758" s="20">
        <f t="shared" si="833"/>
        <v>0</v>
      </c>
      <c r="AQ1758" s="109">
        <f t="shared" si="834"/>
        <v>0</v>
      </c>
      <c r="AU1758" s="109">
        <f t="shared" si="819"/>
        <v>23.250784963837386</v>
      </c>
      <c r="AV1758" s="101">
        <f t="shared" si="835"/>
        <v>92994</v>
      </c>
      <c r="AW1758" s="99">
        <f t="shared" si="836"/>
        <v>0</v>
      </c>
      <c r="AX1758" s="1">
        <f t="shared" si="837"/>
        <v>0</v>
      </c>
      <c r="AY1758" s="29">
        <f t="shared" si="838"/>
        <v>0</v>
      </c>
      <c r="AZ1758" s="1">
        <f t="shared" si="820"/>
        <v>0</v>
      </c>
      <c r="CB1758" s="20">
        <f t="shared" si="829"/>
        <v>0</v>
      </c>
      <c r="CC1758" s="173">
        <f t="shared" si="821"/>
        <v>0</v>
      </c>
    </row>
    <row r="1759" spans="10:81" x14ac:dyDescent="0.25">
      <c r="J1759" s="7"/>
      <c r="K1759" s="8"/>
      <c r="L1759" s="16"/>
      <c r="M1759" s="22"/>
      <c r="N1759" s="22"/>
      <c r="O1759" s="22"/>
      <c r="P1759" s="22"/>
      <c r="Q1759" s="1">
        <f t="shared" si="822"/>
        <v>0.60744618579017706</v>
      </c>
      <c r="R1759" s="12">
        <f t="shared" ca="1" si="839"/>
        <v>51872</v>
      </c>
      <c r="S1759" s="88">
        <f t="shared" si="848"/>
        <v>0</v>
      </c>
      <c r="T1759" s="19">
        <f t="shared" si="840"/>
        <v>0</v>
      </c>
      <c r="U1759" s="19">
        <f t="shared" si="841"/>
        <v>0</v>
      </c>
      <c r="V1759" s="19">
        <f t="shared" si="827"/>
        <v>0</v>
      </c>
      <c r="W1759" s="20">
        <f t="shared" ca="1" si="842"/>
        <v>0</v>
      </c>
      <c r="X1759" s="19">
        <f t="shared" ca="1" si="843"/>
        <v>0</v>
      </c>
      <c r="Y1759" s="19">
        <f t="shared" ca="1" si="844"/>
        <v>0</v>
      </c>
      <c r="Z1759" s="20">
        <f t="shared" ca="1" si="845"/>
        <v>0</v>
      </c>
      <c r="AA1759" s="1">
        <f t="shared" si="823"/>
        <v>5432.58</v>
      </c>
      <c r="AB1759" s="91"/>
      <c r="AC1759" s="92"/>
      <c r="AD1759" s="101">
        <f t="shared" si="824"/>
        <v>92994</v>
      </c>
      <c r="AE1759" s="103">
        <f t="shared" si="825"/>
        <v>0</v>
      </c>
      <c r="AG1759" s="1">
        <f t="shared" si="846"/>
        <v>0</v>
      </c>
      <c r="AH1759" s="1">
        <f t="shared" si="847"/>
        <v>0</v>
      </c>
      <c r="AI1759" s="1">
        <f t="shared" si="826"/>
        <v>5432.58</v>
      </c>
      <c r="AJ1759" s="20">
        <f t="shared" si="828"/>
        <v>0</v>
      </c>
      <c r="AK1759" s="100">
        <f t="shared" si="830"/>
        <v>0</v>
      </c>
      <c r="AL1759" s="100">
        <f t="shared" si="831"/>
        <v>0</v>
      </c>
      <c r="AN1759" s="100">
        <f t="shared" si="832"/>
        <v>2263.4740366182182</v>
      </c>
      <c r="AO1759" s="20">
        <f t="shared" si="833"/>
        <v>0</v>
      </c>
      <c r="AQ1759" s="109">
        <f t="shared" si="834"/>
        <v>0</v>
      </c>
      <c r="AU1759" s="109">
        <f t="shared" ref="AU1759:AU1822" si="849">(($AT$27/(1+((1+$AM$27)^(ROW()-29)*30)-1))/292)*0.32</f>
        <v>23.248744240731813</v>
      </c>
      <c r="AV1759" s="101">
        <f t="shared" si="835"/>
        <v>93024</v>
      </c>
      <c r="AW1759" s="99">
        <f t="shared" si="836"/>
        <v>0</v>
      </c>
      <c r="AX1759" s="1">
        <f t="shared" si="837"/>
        <v>0</v>
      </c>
      <c r="AY1759" s="29">
        <f t="shared" si="838"/>
        <v>0</v>
      </c>
      <c r="AZ1759" s="1">
        <f t="shared" ref="AZ1759:AZ1822" si="850">AY1759/360</f>
        <v>0</v>
      </c>
      <c r="CB1759" s="20">
        <f t="shared" si="829"/>
        <v>0</v>
      </c>
      <c r="CC1759" s="173">
        <f t="shared" ref="CC1759:CC1822" si="851">AJ1759+U1759+T1759</f>
        <v>0</v>
      </c>
    </row>
    <row r="1760" spans="10:81" x14ac:dyDescent="0.25">
      <c r="J1760" s="9"/>
      <c r="K1760" s="10"/>
      <c r="L1760" s="17"/>
      <c r="M1760" s="23"/>
      <c r="N1760" s="23"/>
      <c r="O1760" s="23"/>
      <c r="P1760" s="23"/>
      <c r="Q1760" s="1">
        <f t="shared" ref="Q1760:Q1823" si="852">IF(M1760=0,Q1759,(M1760*1200)/O1759)</f>
        <v>0.60744618579017706</v>
      </c>
      <c r="R1760" s="12">
        <f t="shared" ca="1" si="839"/>
        <v>51902</v>
      </c>
      <c r="S1760" s="88">
        <f t="shared" si="848"/>
        <v>0</v>
      </c>
      <c r="T1760" s="19">
        <f t="shared" si="840"/>
        <v>0</v>
      </c>
      <c r="U1760" s="19">
        <f t="shared" si="841"/>
        <v>0</v>
      </c>
      <c r="V1760" s="19">
        <f t="shared" si="827"/>
        <v>0</v>
      </c>
      <c r="W1760" s="20">
        <f t="shared" ca="1" si="842"/>
        <v>0</v>
      </c>
      <c r="X1760" s="19">
        <f t="shared" ca="1" si="843"/>
        <v>0</v>
      </c>
      <c r="Y1760" s="19">
        <f t="shared" ca="1" si="844"/>
        <v>0</v>
      </c>
      <c r="Z1760" s="20">
        <f t="shared" ca="1" si="845"/>
        <v>0</v>
      </c>
      <c r="AA1760" s="1">
        <f t="shared" ref="AA1760:AA1823" si="853">IF(S1760=0,AA1759,N1760)</f>
        <v>5432.58</v>
      </c>
      <c r="AB1760" s="93"/>
      <c r="AC1760" s="94"/>
      <c r="AD1760" s="101">
        <f t="shared" ref="AD1760:AD1823" si="854">IF(M1760=0,AD1759+30,K1760)</f>
        <v>93024</v>
      </c>
      <c r="AE1760" s="103">
        <f t="shared" ref="AE1760:AE1823" si="855">IF(V1760=0,0,R1760)</f>
        <v>0</v>
      </c>
      <c r="AG1760" s="1">
        <f t="shared" si="846"/>
        <v>0</v>
      </c>
      <c r="AH1760" s="1">
        <f t="shared" si="847"/>
        <v>0</v>
      </c>
      <c r="AI1760" s="1">
        <f t="shared" ref="AI1760:AI1823" si="856">IF(M1760-1=0,IF(M1760=0,IF(V1760=0,N1760,AI1759),AA1760),AA1760)</f>
        <v>5432.58</v>
      </c>
      <c r="AJ1760" s="20">
        <f t="shared" si="828"/>
        <v>0</v>
      </c>
      <c r="AK1760" s="100">
        <f t="shared" si="830"/>
        <v>0</v>
      </c>
      <c r="AL1760" s="100">
        <f t="shared" si="831"/>
        <v>0</v>
      </c>
      <c r="AN1760" s="100">
        <f t="shared" si="832"/>
        <v>2262.3288341004863</v>
      </c>
      <c r="AO1760" s="20">
        <f t="shared" si="833"/>
        <v>0</v>
      </c>
      <c r="AQ1760" s="109">
        <f t="shared" si="834"/>
        <v>0</v>
      </c>
      <c r="AU1760" s="109">
        <f t="shared" si="849"/>
        <v>23.246703696740653</v>
      </c>
      <c r="AV1760" s="101">
        <f t="shared" si="835"/>
        <v>93054</v>
      </c>
      <c r="AW1760" s="99">
        <f t="shared" si="836"/>
        <v>0</v>
      </c>
      <c r="AX1760" s="1">
        <f t="shared" si="837"/>
        <v>0</v>
      </c>
      <c r="AY1760" s="29">
        <f t="shared" si="838"/>
        <v>0</v>
      </c>
      <c r="AZ1760" s="1">
        <f t="shared" si="850"/>
        <v>0</v>
      </c>
      <c r="CB1760" s="20">
        <f t="shared" si="829"/>
        <v>0</v>
      </c>
      <c r="CC1760" s="173">
        <f t="shared" si="851"/>
        <v>0</v>
      </c>
    </row>
    <row r="1761" spans="10:81" x14ac:dyDescent="0.25">
      <c r="J1761" s="7"/>
      <c r="K1761" s="8"/>
      <c r="L1761" s="16"/>
      <c r="M1761" s="22"/>
      <c r="N1761" s="22"/>
      <c r="O1761" s="22"/>
      <c r="P1761" s="22"/>
      <c r="Q1761" s="1">
        <f t="shared" si="852"/>
        <v>0.60744618579017706</v>
      </c>
      <c r="R1761" s="12">
        <f t="shared" ca="1" si="839"/>
        <v>51932</v>
      </c>
      <c r="S1761" s="88">
        <f t="shared" si="848"/>
        <v>0</v>
      </c>
      <c r="T1761" s="19">
        <f t="shared" si="840"/>
        <v>0</v>
      </c>
      <c r="U1761" s="19">
        <f t="shared" si="841"/>
        <v>0</v>
      </c>
      <c r="V1761" s="19">
        <f t="shared" si="827"/>
        <v>0</v>
      </c>
      <c r="W1761" s="20">
        <f t="shared" ca="1" si="842"/>
        <v>0</v>
      </c>
      <c r="X1761" s="19">
        <f t="shared" ca="1" si="843"/>
        <v>0</v>
      </c>
      <c r="Y1761" s="19">
        <f t="shared" ca="1" si="844"/>
        <v>0</v>
      </c>
      <c r="Z1761" s="20">
        <f t="shared" ca="1" si="845"/>
        <v>0</v>
      </c>
      <c r="AA1761" s="1">
        <f t="shared" si="853"/>
        <v>5432.58</v>
      </c>
      <c r="AB1761" s="91"/>
      <c r="AC1761" s="92"/>
      <c r="AD1761" s="101">
        <f t="shared" si="854"/>
        <v>93054</v>
      </c>
      <c r="AE1761" s="103">
        <f t="shared" si="855"/>
        <v>0</v>
      </c>
      <c r="AG1761" s="1">
        <f t="shared" si="846"/>
        <v>0</v>
      </c>
      <c r="AH1761" s="1">
        <f t="shared" si="847"/>
        <v>0</v>
      </c>
      <c r="AI1761" s="1">
        <f t="shared" si="856"/>
        <v>5432.58</v>
      </c>
      <c r="AJ1761" s="20">
        <f t="shared" si="828"/>
        <v>0</v>
      </c>
      <c r="AK1761" s="100">
        <f t="shared" si="830"/>
        <v>0</v>
      </c>
      <c r="AL1761" s="100">
        <f t="shared" si="831"/>
        <v>0</v>
      </c>
      <c r="AN1761" s="100">
        <f t="shared" si="832"/>
        <v>2261.1842109968702</v>
      </c>
      <c r="AO1761" s="20">
        <f t="shared" si="833"/>
        <v>0</v>
      </c>
      <c r="AQ1761" s="109">
        <f t="shared" si="834"/>
        <v>0</v>
      </c>
      <c r="AU1761" s="109">
        <f t="shared" si="849"/>
        <v>23.244663331848198</v>
      </c>
      <c r="AV1761" s="101">
        <f t="shared" si="835"/>
        <v>93084</v>
      </c>
      <c r="AW1761" s="99">
        <f t="shared" si="836"/>
        <v>0</v>
      </c>
      <c r="AX1761" s="1">
        <f t="shared" si="837"/>
        <v>0</v>
      </c>
      <c r="AY1761" s="29">
        <f t="shared" si="838"/>
        <v>0</v>
      </c>
      <c r="AZ1761" s="1">
        <f t="shared" si="850"/>
        <v>0</v>
      </c>
      <c r="CB1761" s="20">
        <f t="shared" si="829"/>
        <v>0</v>
      </c>
      <c r="CC1761" s="173">
        <f t="shared" si="851"/>
        <v>0</v>
      </c>
    </row>
    <row r="1762" spans="10:81" x14ac:dyDescent="0.25">
      <c r="J1762" s="9"/>
      <c r="K1762" s="10"/>
      <c r="L1762" s="17"/>
      <c r="M1762" s="23"/>
      <c r="N1762" s="23"/>
      <c r="O1762" s="23"/>
      <c r="P1762" s="23"/>
      <c r="Q1762" s="1">
        <f t="shared" si="852"/>
        <v>0.60744618579017706</v>
      </c>
      <c r="R1762" s="12">
        <f t="shared" ca="1" si="839"/>
        <v>51962</v>
      </c>
      <c r="S1762" s="88">
        <f t="shared" si="848"/>
        <v>0</v>
      </c>
      <c r="T1762" s="19">
        <f t="shared" si="840"/>
        <v>0</v>
      </c>
      <c r="U1762" s="19">
        <f t="shared" si="841"/>
        <v>0</v>
      </c>
      <c r="V1762" s="19">
        <f t="shared" ref="V1762:V1825" si="857">IF(ISERROR(IF(V1761+U1762+T1762+(V1761*Q1762/1200)-AA1762-P1762&lt;0,0,V1761+U1762+T1762-AA1762-P1762)),0,IF(V1761+U1762+T1762+(V1761*Q1762/1200)-AA1762-CB1762&lt;0,0,V1761+U1762+T1762-AA1762-CB1762))</f>
        <v>0</v>
      </c>
      <c r="W1762" s="20">
        <f t="shared" ca="1" si="842"/>
        <v>0</v>
      </c>
      <c r="X1762" s="19">
        <f t="shared" ca="1" si="843"/>
        <v>0</v>
      </c>
      <c r="Y1762" s="19">
        <f t="shared" ca="1" si="844"/>
        <v>0</v>
      </c>
      <c r="Z1762" s="20">
        <f t="shared" ca="1" si="845"/>
        <v>0</v>
      </c>
      <c r="AA1762" s="1">
        <f t="shared" si="853"/>
        <v>5432.58</v>
      </c>
      <c r="AB1762" s="93"/>
      <c r="AC1762" s="94"/>
      <c r="AD1762" s="101">
        <f t="shared" si="854"/>
        <v>93084</v>
      </c>
      <c r="AE1762" s="103">
        <f t="shared" si="855"/>
        <v>0</v>
      </c>
      <c r="AG1762" s="1">
        <f t="shared" si="846"/>
        <v>0</v>
      </c>
      <c r="AH1762" s="1">
        <f t="shared" si="847"/>
        <v>0</v>
      </c>
      <c r="AI1762" s="1">
        <f t="shared" si="856"/>
        <v>5432.58</v>
      </c>
      <c r="AJ1762" s="20">
        <f t="shared" si="828"/>
        <v>0</v>
      </c>
      <c r="AK1762" s="100">
        <f t="shared" si="830"/>
        <v>0</v>
      </c>
      <c r="AL1762" s="100">
        <f t="shared" si="831"/>
        <v>0</v>
      </c>
      <c r="AN1762" s="100">
        <f t="shared" si="832"/>
        <v>2260.0401670142155</v>
      </c>
      <c r="AO1762" s="20">
        <f t="shared" si="833"/>
        <v>0</v>
      </c>
      <c r="AQ1762" s="109">
        <f t="shared" si="834"/>
        <v>0</v>
      </c>
      <c r="AU1762" s="109">
        <f t="shared" si="849"/>
        <v>23.242623146038714</v>
      </c>
      <c r="AV1762" s="101">
        <f t="shared" si="835"/>
        <v>93114</v>
      </c>
      <c r="AW1762" s="99">
        <f t="shared" si="836"/>
        <v>0</v>
      </c>
      <c r="AX1762" s="1">
        <f t="shared" si="837"/>
        <v>0</v>
      </c>
      <c r="AY1762" s="29">
        <f t="shared" si="838"/>
        <v>0</v>
      </c>
      <c r="AZ1762" s="1">
        <f t="shared" si="850"/>
        <v>0</v>
      </c>
      <c r="CB1762" s="20">
        <f t="shared" si="829"/>
        <v>0</v>
      </c>
      <c r="CC1762" s="173">
        <f t="shared" si="851"/>
        <v>0</v>
      </c>
    </row>
    <row r="1763" spans="10:81" x14ac:dyDescent="0.25">
      <c r="J1763" s="7"/>
      <c r="K1763" s="8"/>
      <c r="L1763" s="16"/>
      <c r="M1763" s="22"/>
      <c r="N1763" s="22"/>
      <c r="O1763" s="22"/>
      <c r="P1763" s="22"/>
      <c r="Q1763" s="1">
        <f t="shared" si="852"/>
        <v>0.60744618579017706</v>
      </c>
      <c r="R1763" s="12">
        <f t="shared" ca="1" si="839"/>
        <v>51992</v>
      </c>
      <c r="S1763" s="88">
        <f t="shared" si="848"/>
        <v>0</v>
      </c>
      <c r="T1763" s="19">
        <f t="shared" si="840"/>
        <v>0</v>
      </c>
      <c r="U1763" s="19">
        <f t="shared" si="841"/>
        <v>0</v>
      </c>
      <c r="V1763" s="19">
        <f t="shared" si="857"/>
        <v>0</v>
      </c>
      <c r="W1763" s="20">
        <f t="shared" ca="1" si="842"/>
        <v>0</v>
      </c>
      <c r="X1763" s="19">
        <f t="shared" ca="1" si="843"/>
        <v>0</v>
      </c>
      <c r="Y1763" s="19">
        <f t="shared" ca="1" si="844"/>
        <v>0</v>
      </c>
      <c r="Z1763" s="20">
        <f t="shared" ca="1" si="845"/>
        <v>0</v>
      </c>
      <c r="AA1763" s="1">
        <f t="shared" si="853"/>
        <v>5432.58</v>
      </c>
      <c r="AB1763" s="91"/>
      <c r="AC1763" s="92"/>
      <c r="AD1763" s="101">
        <f t="shared" si="854"/>
        <v>93114</v>
      </c>
      <c r="AE1763" s="103">
        <f t="shared" si="855"/>
        <v>0</v>
      </c>
      <c r="AG1763" s="1">
        <f t="shared" si="846"/>
        <v>0</v>
      </c>
      <c r="AH1763" s="1">
        <f t="shared" si="847"/>
        <v>0</v>
      </c>
      <c r="AI1763" s="1">
        <f t="shared" si="856"/>
        <v>5432.58</v>
      </c>
      <c r="AJ1763" s="20">
        <f t="shared" si="828"/>
        <v>0</v>
      </c>
      <c r="AK1763" s="100">
        <f t="shared" si="830"/>
        <v>0</v>
      </c>
      <c r="AL1763" s="100">
        <f t="shared" si="831"/>
        <v>0</v>
      </c>
      <c r="AN1763" s="100">
        <f t="shared" si="832"/>
        <v>2258.8967018595163</v>
      </c>
      <c r="AO1763" s="20">
        <f t="shared" si="833"/>
        <v>0</v>
      </c>
      <c r="AQ1763" s="109">
        <f t="shared" si="834"/>
        <v>0</v>
      </c>
      <c r="AU1763" s="109">
        <f t="shared" si="849"/>
        <v>23.24058313929649</v>
      </c>
      <c r="AV1763" s="101">
        <f t="shared" si="835"/>
        <v>93144</v>
      </c>
      <c r="AW1763" s="99">
        <f t="shared" si="836"/>
        <v>0</v>
      </c>
      <c r="AX1763" s="1">
        <f t="shared" si="837"/>
        <v>0</v>
      </c>
      <c r="AY1763" s="29">
        <f t="shared" si="838"/>
        <v>0</v>
      </c>
      <c r="AZ1763" s="1">
        <f t="shared" si="850"/>
        <v>0</v>
      </c>
      <c r="CB1763" s="20">
        <f t="shared" si="829"/>
        <v>0</v>
      </c>
      <c r="CC1763" s="173">
        <f t="shared" si="851"/>
        <v>0</v>
      </c>
    </row>
    <row r="1764" spans="10:81" x14ac:dyDescent="0.25">
      <c r="J1764" s="9"/>
      <c r="K1764" s="10"/>
      <c r="L1764" s="17"/>
      <c r="M1764" s="23"/>
      <c r="N1764" s="23"/>
      <c r="O1764" s="23"/>
      <c r="P1764" s="23"/>
      <c r="Q1764" s="1">
        <f t="shared" si="852"/>
        <v>0.60744618579017706</v>
      </c>
      <c r="R1764" s="12">
        <f t="shared" ca="1" si="839"/>
        <v>52022</v>
      </c>
      <c r="S1764" s="88">
        <f t="shared" si="848"/>
        <v>0</v>
      </c>
      <c r="T1764" s="19">
        <f t="shared" si="840"/>
        <v>0</v>
      </c>
      <c r="U1764" s="19">
        <f t="shared" si="841"/>
        <v>0</v>
      </c>
      <c r="V1764" s="19">
        <f t="shared" si="857"/>
        <v>0</v>
      </c>
      <c r="W1764" s="20">
        <f t="shared" ca="1" si="842"/>
        <v>0</v>
      </c>
      <c r="X1764" s="19">
        <f t="shared" ca="1" si="843"/>
        <v>0</v>
      </c>
      <c r="Y1764" s="19">
        <f t="shared" ca="1" si="844"/>
        <v>0</v>
      </c>
      <c r="Z1764" s="20">
        <f t="shared" ca="1" si="845"/>
        <v>0</v>
      </c>
      <c r="AA1764" s="1">
        <f t="shared" si="853"/>
        <v>5432.58</v>
      </c>
      <c r="AB1764" s="93"/>
      <c r="AC1764" s="94"/>
      <c r="AD1764" s="101">
        <f t="shared" si="854"/>
        <v>93144</v>
      </c>
      <c r="AE1764" s="103">
        <f t="shared" si="855"/>
        <v>0</v>
      </c>
      <c r="AG1764" s="1">
        <f t="shared" si="846"/>
        <v>0</v>
      </c>
      <c r="AH1764" s="1">
        <f t="shared" si="847"/>
        <v>0</v>
      </c>
      <c r="AI1764" s="1">
        <f t="shared" si="856"/>
        <v>5432.58</v>
      </c>
      <c r="AJ1764" s="20">
        <f t="shared" si="828"/>
        <v>0</v>
      </c>
      <c r="AK1764" s="100">
        <f t="shared" si="830"/>
        <v>0</v>
      </c>
      <c r="AL1764" s="100">
        <f t="shared" si="831"/>
        <v>0</v>
      </c>
      <c r="AN1764" s="100">
        <f t="shared" si="832"/>
        <v>2257.7538152399152</v>
      </c>
      <c r="AO1764" s="20">
        <f t="shared" si="833"/>
        <v>0</v>
      </c>
      <c r="AQ1764" s="109">
        <f t="shared" si="834"/>
        <v>0</v>
      </c>
      <c r="AU1764" s="109">
        <f t="shared" si="849"/>
        <v>23.23854331160581</v>
      </c>
      <c r="AV1764" s="101">
        <f t="shared" si="835"/>
        <v>93174</v>
      </c>
      <c r="AW1764" s="99">
        <f t="shared" si="836"/>
        <v>0</v>
      </c>
      <c r="AX1764" s="1">
        <f t="shared" si="837"/>
        <v>0</v>
      </c>
      <c r="AY1764" s="29">
        <f t="shared" si="838"/>
        <v>0</v>
      </c>
      <c r="AZ1764" s="1">
        <f t="shared" si="850"/>
        <v>0</v>
      </c>
      <c r="CB1764" s="20">
        <f t="shared" si="829"/>
        <v>0</v>
      </c>
      <c r="CC1764" s="173">
        <f t="shared" si="851"/>
        <v>0</v>
      </c>
    </row>
    <row r="1765" spans="10:81" x14ac:dyDescent="0.25">
      <c r="J1765" s="7"/>
      <c r="K1765" s="8"/>
      <c r="L1765" s="16"/>
      <c r="M1765" s="22"/>
      <c r="N1765" s="22"/>
      <c r="O1765" s="22"/>
      <c r="P1765" s="22"/>
      <c r="Q1765" s="1">
        <f t="shared" si="852"/>
        <v>0.60744618579017706</v>
      </c>
      <c r="R1765" s="12">
        <f t="shared" ca="1" si="839"/>
        <v>52052</v>
      </c>
      <c r="S1765" s="88">
        <f t="shared" si="848"/>
        <v>0</v>
      </c>
      <c r="T1765" s="19">
        <f t="shared" si="840"/>
        <v>0</v>
      </c>
      <c r="U1765" s="19">
        <f t="shared" si="841"/>
        <v>0</v>
      </c>
      <c r="V1765" s="19">
        <f t="shared" si="857"/>
        <v>0</v>
      </c>
      <c r="W1765" s="20">
        <f t="shared" ca="1" si="842"/>
        <v>0</v>
      </c>
      <c r="X1765" s="19">
        <f t="shared" ca="1" si="843"/>
        <v>0</v>
      </c>
      <c r="Y1765" s="19">
        <f t="shared" ca="1" si="844"/>
        <v>0</v>
      </c>
      <c r="Z1765" s="20">
        <f t="shared" ca="1" si="845"/>
        <v>0</v>
      </c>
      <c r="AA1765" s="1">
        <f t="shared" si="853"/>
        <v>5432.58</v>
      </c>
      <c r="AB1765" s="91"/>
      <c r="AC1765" s="92"/>
      <c r="AD1765" s="101">
        <f t="shared" si="854"/>
        <v>93174</v>
      </c>
      <c r="AE1765" s="103">
        <f t="shared" si="855"/>
        <v>0</v>
      </c>
      <c r="AG1765" s="1">
        <f t="shared" si="846"/>
        <v>0</v>
      </c>
      <c r="AH1765" s="1">
        <f t="shared" si="847"/>
        <v>0</v>
      </c>
      <c r="AI1765" s="1">
        <f t="shared" si="856"/>
        <v>5432.58</v>
      </c>
      <c r="AJ1765" s="20">
        <f t="shared" si="828"/>
        <v>0</v>
      </c>
      <c r="AK1765" s="100">
        <f t="shared" si="830"/>
        <v>0</v>
      </c>
      <c r="AL1765" s="100">
        <f t="shared" si="831"/>
        <v>0</v>
      </c>
      <c r="AN1765" s="100">
        <f t="shared" si="832"/>
        <v>2256.6115068627037</v>
      </c>
      <c r="AO1765" s="20">
        <f t="shared" si="833"/>
        <v>0</v>
      </c>
      <c r="AQ1765" s="109">
        <f t="shared" si="834"/>
        <v>0</v>
      </c>
      <c r="AU1765" s="109">
        <f t="shared" si="849"/>
        <v>23.236503662950941</v>
      </c>
      <c r="AV1765" s="101">
        <f t="shared" si="835"/>
        <v>93204</v>
      </c>
      <c r="AW1765" s="99">
        <f t="shared" si="836"/>
        <v>0</v>
      </c>
      <c r="AX1765" s="1">
        <f t="shared" si="837"/>
        <v>0</v>
      </c>
      <c r="AY1765" s="29">
        <f t="shared" si="838"/>
        <v>0</v>
      </c>
      <c r="AZ1765" s="1">
        <f t="shared" si="850"/>
        <v>0</v>
      </c>
      <c r="CB1765" s="20">
        <f t="shared" si="829"/>
        <v>0</v>
      </c>
      <c r="CC1765" s="173">
        <f t="shared" si="851"/>
        <v>0</v>
      </c>
    </row>
    <row r="1766" spans="10:81" x14ac:dyDescent="0.25">
      <c r="J1766" s="9"/>
      <c r="K1766" s="10"/>
      <c r="L1766" s="17"/>
      <c r="M1766" s="23"/>
      <c r="N1766" s="23"/>
      <c r="O1766" s="23"/>
      <c r="P1766" s="23"/>
      <c r="Q1766" s="1">
        <f t="shared" si="852"/>
        <v>0.60744618579017706</v>
      </c>
      <c r="R1766" s="12">
        <f t="shared" ca="1" si="839"/>
        <v>52082</v>
      </c>
      <c r="S1766" s="88">
        <f t="shared" si="848"/>
        <v>0</v>
      </c>
      <c r="T1766" s="19">
        <f t="shared" si="840"/>
        <v>0</v>
      </c>
      <c r="U1766" s="19">
        <f t="shared" si="841"/>
        <v>0</v>
      </c>
      <c r="V1766" s="19">
        <f t="shared" si="857"/>
        <v>0</v>
      </c>
      <c r="W1766" s="20">
        <f t="shared" ca="1" si="842"/>
        <v>0</v>
      </c>
      <c r="X1766" s="19">
        <f t="shared" ca="1" si="843"/>
        <v>0</v>
      </c>
      <c r="Y1766" s="19">
        <f t="shared" ca="1" si="844"/>
        <v>0</v>
      </c>
      <c r="Z1766" s="20">
        <f t="shared" ca="1" si="845"/>
        <v>0</v>
      </c>
      <c r="AA1766" s="1">
        <f t="shared" si="853"/>
        <v>5432.58</v>
      </c>
      <c r="AB1766" s="93"/>
      <c r="AC1766" s="94"/>
      <c r="AD1766" s="101">
        <f t="shared" si="854"/>
        <v>93204</v>
      </c>
      <c r="AE1766" s="103">
        <f t="shared" si="855"/>
        <v>0</v>
      </c>
      <c r="AG1766" s="1">
        <f t="shared" si="846"/>
        <v>0</v>
      </c>
      <c r="AH1766" s="1">
        <f t="shared" si="847"/>
        <v>0</v>
      </c>
      <c r="AI1766" s="1">
        <f t="shared" si="856"/>
        <v>5432.58</v>
      </c>
      <c r="AJ1766" s="20">
        <f t="shared" si="828"/>
        <v>0</v>
      </c>
      <c r="AK1766" s="100">
        <f t="shared" si="830"/>
        <v>0</v>
      </c>
      <c r="AL1766" s="100">
        <f t="shared" si="831"/>
        <v>0</v>
      </c>
      <c r="AN1766" s="100">
        <f t="shared" si="832"/>
        <v>2255.4697764353191</v>
      </c>
      <c r="AO1766" s="20">
        <f t="shared" si="833"/>
        <v>0</v>
      </c>
      <c r="AQ1766" s="109">
        <f t="shared" si="834"/>
        <v>0</v>
      </c>
      <c r="AU1766" s="109">
        <f t="shared" si="849"/>
        <v>23.234464193316214</v>
      </c>
      <c r="AV1766" s="101">
        <f t="shared" si="835"/>
        <v>93234</v>
      </c>
      <c r="AW1766" s="99">
        <f t="shared" si="836"/>
        <v>0</v>
      </c>
      <c r="AX1766" s="1">
        <f t="shared" si="837"/>
        <v>0</v>
      </c>
      <c r="AY1766" s="29">
        <f t="shared" si="838"/>
        <v>0</v>
      </c>
      <c r="AZ1766" s="1">
        <f t="shared" si="850"/>
        <v>0</v>
      </c>
      <c r="CB1766" s="20">
        <f t="shared" si="829"/>
        <v>0</v>
      </c>
      <c r="CC1766" s="173">
        <f t="shared" si="851"/>
        <v>0</v>
      </c>
    </row>
    <row r="1767" spans="10:81" x14ac:dyDescent="0.25">
      <c r="J1767" s="7"/>
      <c r="K1767" s="8"/>
      <c r="L1767" s="16"/>
      <c r="M1767" s="22"/>
      <c r="N1767" s="22"/>
      <c r="O1767" s="22"/>
      <c r="P1767" s="22"/>
      <c r="Q1767" s="1">
        <f t="shared" si="852"/>
        <v>0.60744618579017706</v>
      </c>
      <c r="R1767" s="12">
        <f t="shared" ca="1" si="839"/>
        <v>52112</v>
      </c>
      <c r="S1767" s="88">
        <f t="shared" si="848"/>
        <v>0</v>
      </c>
      <c r="T1767" s="19">
        <f t="shared" si="840"/>
        <v>0</v>
      </c>
      <c r="U1767" s="19">
        <f t="shared" si="841"/>
        <v>0</v>
      </c>
      <c r="V1767" s="19">
        <f t="shared" si="857"/>
        <v>0</v>
      </c>
      <c r="W1767" s="20">
        <f t="shared" ca="1" si="842"/>
        <v>0</v>
      </c>
      <c r="X1767" s="19">
        <f t="shared" ca="1" si="843"/>
        <v>0</v>
      </c>
      <c r="Y1767" s="19">
        <f t="shared" ca="1" si="844"/>
        <v>0</v>
      </c>
      <c r="Z1767" s="20">
        <f t="shared" ca="1" si="845"/>
        <v>0</v>
      </c>
      <c r="AA1767" s="1">
        <f t="shared" si="853"/>
        <v>5432.58</v>
      </c>
      <c r="AB1767" s="91"/>
      <c r="AC1767" s="92"/>
      <c r="AD1767" s="101">
        <f t="shared" si="854"/>
        <v>93234</v>
      </c>
      <c r="AE1767" s="103">
        <f t="shared" si="855"/>
        <v>0</v>
      </c>
      <c r="AG1767" s="1">
        <f t="shared" si="846"/>
        <v>0</v>
      </c>
      <c r="AH1767" s="1">
        <f t="shared" si="847"/>
        <v>0</v>
      </c>
      <c r="AI1767" s="1">
        <f t="shared" si="856"/>
        <v>5432.58</v>
      </c>
      <c r="AJ1767" s="20">
        <f t="shared" si="828"/>
        <v>0</v>
      </c>
      <c r="AK1767" s="100">
        <f t="shared" si="830"/>
        <v>0</v>
      </c>
      <c r="AL1767" s="100">
        <f t="shared" si="831"/>
        <v>0</v>
      </c>
      <c r="AN1767" s="100">
        <f t="shared" si="832"/>
        <v>2254.3286236653503</v>
      </c>
      <c r="AO1767" s="20">
        <f t="shared" si="833"/>
        <v>0</v>
      </c>
      <c r="AQ1767" s="109">
        <f t="shared" si="834"/>
        <v>0</v>
      </c>
      <c r="AU1767" s="109">
        <f t="shared" si="849"/>
        <v>23.232424902685857</v>
      </c>
      <c r="AV1767" s="101">
        <f t="shared" si="835"/>
        <v>93264</v>
      </c>
      <c r="AW1767" s="99">
        <f t="shared" si="836"/>
        <v>0</v>
      </c>
      <c r="AX1767" s="1">
        <f t="shared" si="837"/>
        <v>0</v>
      </c>
      <c r="AY1767" s="29">
        <f t="shared" si="838"/>
        <v>0</v>
      </c>
      <c r="AZ1767" s="1">
        <f t="shared" si="850"/>
        <v>0</v>
      </c>
      <c r="CB1767" s="20">
        <f t="shared" si="829"/>
        <v>0</v>
      </c>
      <c r="CC1767" s="173">
        <f t="shared" si="851"/>
        <v>0</v>
      </c>
    </row>
    <row r="1768" spans="10:81" x14ac:dyDescent="0.25">
      <c r="J1768" s="9"/>
      <c r="K1768" s="10"/>
      <c r="L1768" s="17"/>
      <c r="M1768" s="23"/>
      <c r="N1768" s="23"/>
      <c r="O1768" s="23"/>
      <c r="P1768" s="23"/>
      <c r="Q1768" s="1">
        <f t="shared" si="852"/>
        <v>0.60744618579017706</v>
      </c>
      <c r="R1768" s="12">
        <f t="shared" ca="1" si="839"/>
        <v>52142</v>
      </c>
      <c r="S1768" s="88">
        <f t="shared" si="848"/>
        <v>0</v>
      </c>
      <c r="T1768" s="19">
        <f t="shared" si="840"/>
        <v>0</v>
      </c>
      <c r="U1768" s="19">
        <f t="shared" si="841"/>
        <v>0</v>
      </c>
      <c r="V1768" s="19">
        <f t="shared" si="857"/>
        <v>0</v>
      </c>
      <c r="W1768" s="20">
        <f t="shared" ca="1" si="842"/>
        <v>0</v>
      </c>
      <c r="X1768" s="19">
        <f t="shared" ca="1" si="843"/>
        <v>0</v>
      </c>
      <c r="Y1768" s="19">
        <f t="shared" ca="1" si="844"/>
        <v>0</v>
      </c>
      <c r="Z1768" s="20">
        <f t="shared" ca="1" si="845"/>
        <v>0</v>
      </c>
      <c r="AA1768" s="1">
        <f t="shared" si="853"/>
        <v>5432.58</v>
      </c>
      <c r="AB1768" s="93"/>
      <c r="AC1768" s="94"/>
      <c r="AD1768" s="101">
        <f t="shared" si="854"/>
        <v>93264</v>
      </c>
      <c r="AE1768" s="103">
        <f t="shared" si="855"/>
        <v>0</v>
      </c>
      <c r="AG1768" s="1">
        <f t="shared" si="846"/>
        <v>0</v>
      </c>
      <c r="AH1768" s="1">
        <f t="shared" si="847"/>
        <v>0</v>
      </c>
      <c r="AI1768" s="1">
        <f t="shared" si="856"/>
        <v>5432.58</v>
      </c>
      <c r="AJ1768" s="20">
        <f t="shared" ref="AJ1768:AJ1831" si="858">IF(ISERROR(IF(V1767+U1768+T1768+(V1767*Q1768/1200)-AA1768-P1768&lt;0,V1767,-(U1768+T1768-AA1768+P1768-AH1768))),0,IF(V1767+U1768+T1768+(V1767*Q1768/1200)-AA1768-P1768&lt;0,0,-(U1768+T1768-AA1768-AH1768)))</f>
        <v>0</v>
      </c>
      <c r="AK1768" s="100">
        <f t="shared" si="830"/>
        <v>0</v>
      </c>
      <c r="AL1768" s="100">
        <f t="shared" si="831"/>
        <v>0</v>
      </c>
      <c r="AN1768" s="100">
        <f t="shared" si="832"/>
        <v>2253.1880482605297</v>
      </c>
      <c r="AO1768" s="20">
        <f t="shared" si="833"/>
        <v>0</v>
      </c>
      <c r="AQ1768" s="109">
        <f t="shared" si="834"/>
        <v>0</v>
      </c>
      <c r="AU1768" s="109">
        <f t="shared" si="849"/>
        <v>23.23038579104421</v>
      </c>
      <c r="AV1768" s="101">
        <f t="shared" si="835"/>
        <v>93294</v>
      </c>
      <c r="AW1768" s="99">
        <f t="shared" si="836"/>
        <v>0</v>
      </c>
      <c r="AX1768" s="1">
        <f t="shared" si="837"/>
        <v>0</v>
      </c>
      <c r="AY1768" s="29">
        <f t="shared" si="838"/>
        <v>0</v>
      </c>
      <c r="AZ1768" s="1">
        <f t="shared" si="850"/>
        <v>0</v>
      </c>
      <c r="CB1768" s="20">
        <f t="shared" si="829"/>
        <v>0</v>
      </c>
      <c r="CC1768" s="173">
        <f t="shared" si="851"/>
        <v>0</v>
      </c>
    </row>
    <row r="1769" spans="10:81" x14ac:dyDescent="0.25">
      <c r="J1769" s="7"/>
      <c r="K1769" s="8"/>
      <c r="L1769" s="16"/>
      <c r="M1769" s="22"/>
      <c r="N1769" s="22"/>
      <c r="O1769" s="22"/>
      <c r="P1769" s="22"/>
      <c r="Q1769" s="1">
        <f t="shared" si="852"/>
        <v>0.60744618579017706</v>
      </c>
      <c r="R1769" s="12">
        <f t="shared" ca="1" si="839"/>
        <v>52172</v>
      </c>
      <c r="S1769" s="88">
        <f t="shared" si="848"/>
        <v>0</v>
      </c>
      <c r="T1769" s="19">
        <f t="shared" si="840"/>
        <v>0</v>
      </c>
      <c r="U1769" s="19">
        <f t="shared" si="841"/>
        <v>0</v>
      </c>
      <c r="V1769" s="19">
        <f t="shared" si="857"/>
        <v>0</v>
      </c>
      <c r="W1769" s="20">
        <f t="shared" ca="1" si="842"/>
        <v>0</v>
      </c>
      <c r="X1769" s="19">
        <f t="shared" ca="1" si="843"/>
        <v>0</v>
      </c>
      <c r="Y1769" s="19">
        <f t="shared" ca="1" si="844"/>
        <v>0</v>
      </c>
      <c r="Z1769" s="20">
        <f t="shared" ca="1" si="845"/>
        <v>0</v>
      </c>
      <c r="AA1769" s="1">
        <f t="shared" si="853"/>
        <v>5432.58</v>
      </c>
      <c r="AB1769" s="91"/>
      <c r="AC1769" s="92"/>
      <c r="AD1769" s="101">
        <f t="shared" si="854"/>
        <v>93294</v>
      </c>
      <c r="AE1769" s="103">
        <f t="shared" si="855"/>
        <v>0</v>
      </c>
      <c r="AG1769" s="1">
        <f t="shared" si="846"/>
        <v>0</v>
      </c>
      <c r="AH1769" s="1">
        <f t="shared" si="847"/>
        <v>0</v>
      </c>
      <c r="AI1769" s="1">
        <f t="shared" si="856"/>
        <v>5432.58</v>
      </c>
      <c r="AJ1769" s="20">
        <f t="shared" si="858"/>
        <v>0</v>
      </c>
      <c r="AK1769" s="100">
        <f t="shared" si="830"/>
        <v>0</v>
      </c>
      <c r="AL1769" s="100">
        <f t="shared" si="831"/>
        <v>0</v>
      </c>
      <c r="AN1769" s="100">
        <f t="shared" si="832"/>
        <v>2252.048049928741</v>
      </c>
      <c r="AO1769" s="20">
        <f t="shared" si="833"/>
        <v>0</v>
      </c>
      <c r="AQ1769" s="109">
        <f t="shared" si="834"/>
        <v>0</v>
      </c>
      <c r="AU1769" s="109">
        <f t="shared" si="849"/>
        <v>23.228346858375531</v>
      </c>
      <c r="AV1769" s="101">
        <f t="shared" si="835"/>
        <v>93324</v>
      </c>
      <c r="AW1769" s="99">
        <f t="shared" si="836"/>
        <v>0</v>
      </c>
      <c r="AX1769" s="1">
        <f t="shared" si="837"/>
        <v>0</v>
      </c>
      <c r="AY1769" s="29">
        <f t="shared" si="838"/>
        <v>0</v>
      </c>
      <c r="AZ1769" s="1">
        <f t="shared" si="850"/>
        <v>0</v>
      </c>
      <c r="CB1769" s="20">
        <f t="shared" si="829"/>
        <v>0</v>
      </c>
      <c r="CC1769" s="173">
        <f t="shared" si="851"/>
        <v>0</v>
      </c>
    </row>
    <row r="1770" spans="10:81" x14ac:dyDescent="0.25">
      <c r="J1770" s="9"/>
      <c r="K1770" s="10"/>
      <c r="L1770" s="17"/>
      <c r="M1770" s="23"/>
      <c r="N1770" s="23"/>
      <c r="O1770" s="23"/>
      <c r="P1770" s="23"/>
      <c r="Q1770" s="1">
        <f t="shared" si="852"/>
        <v>0.60744618579017706</v>
      </c>
      <c r="R1770" s="12">
        <f t="shared" ca="1" si="839"/>
        <v>52202</v>
      </c>
      <c r="S1770" s="88">
        <f t="shared" si="848"/>
        <v>0</v>
      </c>
      <c r="T1770" s="19">
        <f t="shared" si="840"/>
        <v>0</v>
      </c>
      <c r="U1770" s="19">
        <f t="shared" si="841"/>
        <v>0</v>
      </c>
      <c r="V1770" s="19">
        <f t="shared" si="857"/>
        <v>0</v>
      </c>
      <c r="W1770" s="20">
        <f t="shared" ca="1" si="842"/>
        <v>0</v>
      </c>
      <c r="X1770" s="19">
        <f t="shared" ca="1" si="843"/>
        <v>0</v>
      </c>
      <c r="Y1770" s="19">
        <f t="shared" ca="1" si="844"/>
        <v>0</v>
      </c>
      <c r="Z1770" s="20">
        <f t="shared" ca="1" si="845"/>
        <v>0</v>
      </c>
      <c r="AA1770" s="1">
        <f t="shared" si="853"/>
        <v>5432.58</v>
      </c>
      <c r="AB1770" s="93"/>
      <c r="AC1770" s="94"/>
      <c r="AD1770" s="101">
        <f t="shared" si="854"/>
        <v>93324</v>
      </c>
      <c r="AE1770" s="103">
        <f t="shared" si="855"/>
        <v>0</v>
      </c>
      <c r="AG1770" s="1">
        <f t="shared" si="846"/>
        <v>0</v>
      </c>
      <c r="AH1770" s="1">
        <f t="shared" si="847"/>
        <v>0</v>
      </c>
      <c r="AI1770" s="1">
        <f t="shared" si="856"/>
        <v>5432.58</v>
      </c>
      <c r="AJ1770" s="20">
        <f t="shared" si="858"/>
        <v>0</v>
      </c>
      <c r="AK1770" s="100">
        <f t="shared" si="830"/>
        <v>0</v>
      </c>
      <c r="AL1770" s="100">
        <f t="shared" si="831"/>
        <v>0</v>
      </c>
      <c r="AN1770" s="100">
        <f t="shared" si="832"/>
        <v>2250.9086283780161</v>
      </c>
      <c r="AO1770" s="20">
        <f t="shared" si="833"/>
        <v>0</v>
      </c>
      <c r="AQ1770" s="109">
        <f t="shared" si="834"/>
        <v>0</v>
      </c>
      <c r="AU1770" s="109">
        <f t="shared" si="849"/>
        <v>23.226308104664124</v>
      </c>
      <c r="AV1770" s="101">
        <f t="shared" si="835"/>
        <v>93354</v>
      </c>
      <c r="AW1770" s="99">
        <f t="shared" si="836"/>
        <v>0</v>
      </c>
      <c r="AX1770" s="1">
        <f t="shared" si="837"/>
        <v>0</v>
      </c>
      <c r="AY1770" s="29">
        <f t="shared" si="838"/>
        <v>0</v>
      </c>
      <c r="AZ1770" s="1">
        <f t="shared" si="850"/>
        <v>0</v>
      </c>
      <c r="CB1770" s="20">
        <f t="shared" si="829"/>
        <v>0</v>
      </c>
      <c r="CC1770" s="173">
        <f t="shared" si="851"/>
        <v>0</v>
      </c>
    </row>
    <row r="1771" spans="10:81" x14ac:dyDescent="0.25">
      <c r="J1771" s="7"/>
      <c r="K1771" s="8"/>
      <c r="L1771" s="16"/>
      <c r="M1771" s="22"/>
      <c r="N1771" s="22"/>
      <c r="O1771" s="22"/>
      <c r="P1771" s="22"/>
      <c r="Q1771" s="1">
        <f t="shared" si="852"/>
        <v>0.60744618579017706</v>
      </c>
      <c r="R1771" s="12">
        <f t="shared" ca="1" si="839"/>
        <v>52232</v>
      </c>
      <c r="S1771" s="88">
        <f t="shared" si="848"/>
        <v>0</v>
      </c>
      <c r="T1771" s="19">
        <f t="shared" si="840"/>
        <v>0</v>
      </c>
      <c r="U1771" s="19">
        <f t="shared" si="841"/>
        <v>0</v>
      </c>
      <c r="V1771" s="19">
        <f t="shared" si="857"/>
        <v>0</v>
      </c>
      <c r="W1771" s="20">
        <f t="shared" ca="1" si="842"/>
        <v>0</v>
      </c>
      <c r="X1771" s="19">
        <f t="shared" ca="1" si="843"/>
        <v>0</v>
      </c>
      <c r="Y1771" s="19">
        <f t="shared" ca="1" si="844"/>
        <v>0</v>
      </c>
      <c r="Z1771" s="20">
        <f t="shared" ca="1" si="845"/>
        <v>0</v>
      </c>
      <c r="AA1771" s="1">
        <f t="shared" si="853"/>
        <v>5432.58</v>
      </c>
      <c r="AB1771" s="91"/>
      <c r="AC1771" s="92"/>
      <c r="AD1771" s="101">
        <f t="shared" si="854"/>
        <v>93354</v>
      </c>
      <c r="AE1771" s="103">
        <f t="shared" si="855"/>
        <v>0</v>
      </c>
      <c r="AG1771" s="1">
        <f t="shared" si="846"/>
        <v>0</v>
      </c>
      <c r="AH1771" s="1">
        <f t="shared" si="847"/>
        <v>0</v>
      </c>
      <c r="AI1771" s="1">
        <f t="shared" si="856"/>
        <v>5432.58</v>
      </c>
      <c r="AJ1771" s="20">
        <f t="shared" si="858"/>
        <v>0</v>
      </c>
      <c r="AK1771" s="100">
        <f t="shared" si="830"/>
        <v>0</v>
      </c>
      <c r="AL1771" s="100">
        <f t="shared" si="831"/>
        <v>0</v>
      </c>
      <c r="AN1771" s="100">
        <f t="shared" si="832"/>
        <v>2249.7697833165312</v>
      </c>
      <c r="AO1771" s="20">
        <f t="shared" si="833"/>
        <v>0</v>
      </c>
      <c r="AQ1771" s="109">
        <f t="shared" si="834"/>
        <v>0</v>
      </c>
      <c r="AU1771" s="109">
        <f t="shared" si="849"/>
        <v>23.224269529894279</v>
      </c>
      <c r="AV1771" s="101">
        <f t="shared" si="835"/>
        <v>93384</v>
      </c>
      <c r="AW1771" s="99">
        <f t="shared" si="836"/>
        <v>0</v>
      </c>
      <c r="AX1771" s="1">
        <f t="shared" si="837"/>
        <v>0</v>
      </c>
      <c r="AY1771" s="29">
        <f t="shared" si="838"/>
        <v>0</v>
      </c>
      <c r="AZ1771" s="1">
        <f t="shared" si="850"/>
        <v>0</v>
      </c>
      <c r="CB1771" s="20">
        <f t="shared" si="829"/>
        <v>0</v>
      </c>
      <c r="CC1771" s="173">
        <f t="shared" si="851"/>
        <v>0</v>
      </c>
    </row>
    <row r="1772" spans="10:81" x14ac:dyDescent="0.25">
      <c r="J1772" s="9"/>
      <c r="K1772" s="10"/>
      <c r="L1772" s="17"/>
      <c r="M1772" s="23"/>
      <c r="N1772" s="23"/>
      <c r="O1772" s="23"/>
      <c r="P1772" s="23"/>
      <c r="Q1772" s="1">
        <f t="shared" si="852"/>
        <v>0.60744618579017706</v>
      </c>
      <c r="R1772" s="12">
        <f t="shared" ca="1" si="839"/>
        <v>52262</v>
      </c>
      <c r="S1772" s="88">
        <f t="shared" si="848"/>
        <v>0</v>
      </c>
      <c r="T1772" s="19">
        <f t="shared" si="840"/>
        <v>0</v>
      </c>
      <c r="U1772" s="19">
        <f t="shared" si="841"/>
        <v>0</v>
      </c>
      <c r="V1772" s="19">
        <f t="shared" si="857"/>
        <v>0</v>
      </c>
      <c r="W1772" s="20">
        <f t="shared" ca="1" si="842"/>
        <v>0</v>
      </c>
      <c r="X1772" s="19">
        <f t="shared" ca="1" si="843"/>
        <v>0</v>
      </c>
      <c r="Y1772" s="19">
        <f t="shared" ca="1" si="844"/>
        <v>0</v>
      </c>
      <c r="Z1772" s="20">
        <f t="shared" ca="1" si="845"/>
        <v>0</v>
      </c>
      <c r="AA1772" s="1">
        <f t="shared" si="853"/>
        <v>5432.58</v>
      </c>
      <c r="AB1772" s="93"/>
      <c r="AC1772" s="94"/>
      <c r="AD1772" s="101">
        <f t="shared" si="854"/>
        <v>93384</v>
      </c>
      <c r="AE1772" s="103">
        <f t="shared" si="855"/>
        <v>0</v>
      </c>
      <c r="AG1772" s="1">
        <f t="shared" si="846"/>
        <v>0</v>
      </c>
      <c r="AH1772" s="1">
        <f t="shared" si="847"/>
        <v>0</v>
      </c>
      <c r="AI1772" s="1">
        <f t="shared" si="856"/>
        <v>5432.58</v>
      </c>
      <c r="AJ1772" s="20">
        <f t="shared" si="858"/>
        <v>0</v>
      </c>
      <c r="AK1772" s="100">
        <f t="shared" si="830"/>
        <v>0</v>
      </c>
      <c r="AL1772" s="100">
        <f t="shared" si="831"/>
        <v>0</v>
      </c>
      <c r="AN1772" s="100">
        <f t="shared" si="832"/>
        <v>2248.6315144526125</v>
      </c>
      <c r="AO1772" s="20">
        <f t="shared" si="833"/>
        <v>0</v>
      </c>
      <c r="AQ1772" s="109">
        <f t="shared" si="834"/>
        <v>0</v>
      </c>
      <c r="AU1772" s="109">
        <f t="shared" si="849"/>
        <v>23.222231134050293</v>
      </c>
      <c r="AV1772" s="101">
        <f t="shared" si="835"/>
        <v>93414</v>
      </c>
      <c r="AW1772" s="99">
        <f t="shared" si="836"/>
        <v>0</v>
      </c>
      <c r="AX1772" s="1">
        <f t="shared" si="837"/>
        <v>0</v>
      </c>
      <c r="AY1772" s="29">
        <f t="shared" si="838"/>
        <v>0</v>
      </c>
      <c r="AZ1772" s="1">
        <f t="shared" si="850"/>
        <v>0</v>
      </c>
      <c r="CB1772" s="20">
        <f t="shared" si="829"/>
        <v>0</v>
      </c>
      <c r="CC1772" s="173">
        <f t="shared" si="851"/>
        <v>0</v>
      </c>
    </row>
    <row r="1773" spans="10:81" x14ac:dyDescent="0.25">
      <c r="J1773" s="7"/>
      <c r="K1773" s="8"/>
      <c r="L1773" s="16"/>
      <c r="M1773" s="22"/>
      <c r="N1773" s="22"/>
      <c r="O1773" s="22"/>
      <c r="P1773" s="22"/>
      <c r="Q1773" s="1">
        <f t="shared" si="852"/>
        <v>0.60744618579017706</v>
      </c>
      <c r="R1773" s="12">
        <f t="shared" ca="1" si="839"/>
        <v>52292</v>
      </c>
      <c r="S1773" s="88">
        <f t="shared" si="848"/>
        <v>0</v>
      </c>
      <c r="T1773" s="19">
        <f t="shared" si="840"/>
        <v>0</v>
      </c>
      <c r="U1773" s="19">
        <f t="shared" si="841"/>
        <v>0</v>
      </c>
      <c r="V1773" s="19">
        <f t="shared" si="857"/>
        <v>0</v>
      </c>
      <c r="W1773" s="20">
        <f t="shared" ca="1" si="842"/>
        <v>0</v>
      </c>
      <c r="X1773" s="19">
        <f t="shared" ca="1" si="843"/>
        <v>0</v>
      </c>
      <c r="Y1773" s="19">
        <f t="shared" ca="1" si="844"/>
        <v>0</v>
      </c>
      <c r="Z1773" s="20">
        <f t="shared" ca="1" si="845"/>
        <v>0</v>
      </c>
      <c r="AA1773" s="1">
        <f t="shared" si="853"/>
        <v>5432.58</v>
      </c>
      <c r="AB1773" s="91"/>
      <c r="AC1773" s="92"/>
      <c r="AD1773" s="101">
        <f t="shared" si="854"/>
        <v>93414</v>
      </c>
      <c r="AE1773" s="103">
        <f t="shared" si="855"/>
        <v>0</v>
      </c>
      <c r="AG1773" s="1">
        <f t="shared" si="846"/>
        <v>0</v>
      </c>
      <c r="AH1773" s="1">
        <f t="shared" si="847"/>
        <v>0</v>
      </c>
      <c r="AI1773" s="1">
        <f t="shared" si="856"/>
        <v>5432.58</v>
      </c>
      <c r="AJ1773" s="20">
        <f t="shared" si="858"/>
        <v>0</v>
      </c>
      <c r="AK1773" s="100">
        <f t="shared" si="830"/>
        <v>0</v>
      </c>
      <c r="AL1773" s="100">
        <f t="shared" si="831"/>
        <v>0</v>
      </c>
      <c r="AN1773" s="100">
        <f t="shared" si="832"/>
        <v>2247.4938214947342</v>
      </c>
      <c r="AO1773" s="20">
        <f t="shared" si="833"/>
        <v>0</v>
      </c>
      <c r="AQ1773" s="109">
        <f t="shared" si="834"/>
        <v>0</v>
      </c>
      <c r="AU1773" s="109">
        <f t="shared" si="849"/>
        <v>23.22019291711646</v>
      </c>
      <c r="AV1773" s="101">
        <f t="shared" si="835"/>
        <v>93444</v>
      </c>
      <c r="AW1773" s="99">
        <f t="shared" si="836"/>
        <v>0</v>
      </c>
      <c r="AX1773" s="1">
        <f t="shared" si="837"/>
        <v>0</v>
      </c>
      <c r="AY1773" s="29">
        <f t="shared" si="838"/>
        <v>0</v>
      </c>
      <c r="AZ1773" s="1">
        <f t="shared" si="850"/>
        <v>0</v>
      </c>
      <c r="CB1773" s="20">
        <f t="shared" si="829"/>
        <v>0</v>
      </c>
      <c r="CC1773" s="173">
        <f t="shared" si="851"/>
        <v>0</v>
      </c>
    </row>
    <row r="1774" spans="10:81" x14ac:dyDescent="0.25">
      <c r="J1774" s="9"/>
      <c r="K1774" s="10"/>
      <c r="L1774" s="17"/>
      <c r="M1774" s="23"/>
      <c r="N1774" s="23"/>
      <c r="O1774" s="23"/>
      <c r="P1774" s="23"/>
      <c r="Q1774" s="1">
        <f t="shared" si="852"/>
        <v>0.60744618579017706</v>
      </c>
      <c r="R1774" s="12">
        <f t="shared" ca="1" si="839"/>
        <v>52322</v>
      </c>
      <c r="S1774" s="88">
        <f t="shared" si="848"/>
        <v>0</v>
      </c>
      <c r="T1774" s="19">
        <f t="shared" si="840"/>
        <v>0</v>
      </c>
      <c r="U1774" s="19">
        <f t="shared" si="841"/>
        <v>0</v>
      </c>
      <c r="V1774" s="19">
        <f t="shared" si="857"/>
        <v>0</v>
      </c>
      <c r="W1774" s="20">
        <f t="shared" ca="1" si="842"/>
        <v>0</v>
      </c>
      <c r="X1774" s="19">
        <f t="shared" ca="1" si="843"/>
        <v>0</v>
      </c>
      <c r="Y1774" s="19">
        <f t="shared" ca="1" si="844"/>
        <v>0</v>
      </c>
      <c r="Z1774" s="20">
        <f t="shared" ca="1" si="845"/>
        <v>0</v>
      </c>
      <c r="AA1774" s="1">
        <f t="shared" si="853"/>
        <v>5432.58</v>
      </c>
      <c r="AB1774" s="93"/>
      <c r="AC1774" s="94"/>
      <c r="AD1774" s="101">
        <f t="shared" si="854"/>
        <v>93444</v>
      </c>
      <c r="AE1774" s="103">
        <f t="shared" si="855"/>
        <v>0</v>
      </c>
      <c r="AG1774" s="1">
        <f t="shared" si="846"/>
        <v>0</v>
      </c>
      <c r="AH1774" s="1">
        <f t="shared" si="847"/>
        <v>0</v>
      </c>
      <c r="AI1774" s="1">
        <f t="shared" si="856"/>
        <v>5432.58</v>
      </c>
      <c r="AJ1774" s="20">
        <f t="shared" si="858"/>
        <v>0</v>
      </c>
      <c r="AK1774" s="100">
        <f t="shared" si="830"/>
        <v>0</v>
      </c>
      <c r="AL1774" s="100">
        <f t="shared" si="831"/>
        <v>0</v>
      </c>
      <c r="AN1774" s="100">
        <f t="shared" si="832"/>
        <v>2246.3567041515162</v>
      </c>
      <c r="AO1774" s="20">
        <f t="shared" si="833"/>
        <v>0</v>
      </c>
      <c r="AQ1774" s="109">
        <f t="shared" si="834"/>
        <v>0</v>
      </c>
      <c r="AU1774" s="109">
        <f t="shared" si="849"/>
        <v>23.218154879077073</v>
      </c>
      <c r="AV1774" s="101">
        <f t="shared" si="835"/>
        <v>93474</v>
      </c>
      <c r="AW1774" s="99">
        <f t="shared" si="836"/>
        <v>0</v>
      </c>
      <c r="AX1774" s="1">
        <f t="shared" si="837"/>
        <v>0</v>
      </c>
      <c r="AY1774" s="29">
        <f t="shared" si="838"/>
        <v>0</v>
      </c>
      <c r="AZ1774" s="1">
        <f t="shared" si="850"/>
        <v>0</v>
      </c>
      <c r="CB1774" s="20">
        <f t="shared" ref="CB1774:CB1837" si="859">IF(O1774=0,IF(P1774&gt;0,V1773,IF(O1773=0,0,P1774)),IF(O1773=0,0,P1774))</f>
        <v>0</v>
      </c>
      <c r="CC1774" s="173">
        <f t="shared" si="851"/>
        <v>0</v>
      </c>
    </row>
    <row r="1775" spans="10:81" x14ac:dyDescent="0.25">
      <c r="J1775" s="7"/>
      <c r="K1775" s="8"/>
      <c r="L1775" s="16"/>
      <c r="M1775" s="22"/>
      <c r="N1775" s="22"/>
      <c r="O1775" s="22"/>
      <c r="P1775" s="22"/>
      <c r="Q1775" s="1">
        <f t="shared" si="852"/>
        <v>0.60744618579017706</v>
      </c>
      <c r="R1775" s="12">
        <f t="shared" ca="1" si="839"/>
        <v>52352</v>
      </c>
      <c r="S1775" s="88">
        <f t="shared" si="848"/>
        <v>0</v>
      </c>
      <c r="T1775" s="19">
        <f t="shared" si="840"/>
        <v>0</v>
      </c>
      <c r="U1775" s="19">
        <f t="shared" si="841"/>
        <v>0</v>
      </c>
      <c r="V1775" s="19">
        <f t="shared" si="857"/>
        <v>0</v>
      </c>
      <c r="W1775" s="20">
        <f t="shared" ca="1" si="842"/>
        <v>0</v>
      </c>
      <c r="X1775" s="19">
        <f t="shared" ca="1" si="843"/>
        <v>0</v>
      </c>
      <c r="Y1775" s="19">
        <f t="shared" ca="1" si="844"/>
        <v>0</v>
      </c>
      <c r="Z1775" s="20">
        <f t="shared" ca="1" si="845"/>
        <v>0</v>
      </c>
      <c r="AA1775" s="1">
        <f t="shared" si="853"/>
        <v>5432.58</v>
      </c>
      <c r="AB1775" s="91"/>
      <c r="AC1775" s="92"/>
      <c r="AD1775" s="101">
        <f t="shared" si="854"/>
        <v>93474</v>
      </c>
      <c r="AE1775" s="103">
        <f t="shared" si="855"/>
        <v>0</v>
      </c>
      <c r="AG1775" s="1">
        <f t="shared" si="846"/>
        <v>0</v>
      </c>
      <c r="AH1775" s="1">
        <f t="shared" si="847"/>
        <v>0</v>
      </c>
      <c r="AI1775" s="1">
        <f t="shared" si="856"/>
        <v>5432.58</v>
      </c>
      <c r="AJ1775" s="20">
        <f t="shared" si="858"/>
        <v>0</v>
      </c>
      <c r="AK1775" s="100">
        <f t="shared" si="830"/>
        <v>0</v>
      </c>
      <c r="AL1775" s="100">
        <f t="shared" si="831"/>
        <v>0</v>
      </c>
      <c r="AN1775" s="100">
        <f t="shared" si="832"/>
        <v>2245.2201621317281</v>
      </c>
      <c r="AO1775" s="20">
        <f t="shared" si="833"/>
        <v>0</v>
      </c>
      <c r="AQ1775" s="109">
        <f t="shared" si="834"/>
        <v>0</v>
      </c>
      <c r="AU1775" s="109">
        <f t="shared" si="849"/>
        <v>23.216117019916446</v>
      </c>
      <c r="AV1775" s="101">
        <f t="shared" si="835"/>
        <v>93504</v>
      </c>
      <c r="AW1775" s="99">
        <f t="shared" si="836"/>
        <v>0</v>
      </c>
      <c r="AX1775" s="1">
        <f t="shared" si="837"/>
        <v>0</v>
      </c>
      <c r="AY1775" s="29">
        <f t="shared" si="838"/>
        <v>0</v>
      </c>
      <c r="AZ1775" s="1">
        <f t="shared" si="850"/>
        <v>0</v>
      </c>
      <c r="CB1775" s="20">
        <f t="shared" si="859"/>
        <v>0</v>
      </c>
      <c r="CC1775" s="173">
        <f t="shared" si="851"/>
        <v>0</v>
      </c>
    </row>
    <row r="1776" spans="10:81" x14ac:dyDescent="0.25">
      <c r="J1776" s="9"/>
      <c r="K1776" s="10"/>
      <c r="L1776" s="17"/>
      <c r="M1776" s="23"/>
      <c r="N1776" s="23"/>
      <c r="O1776" s="23"/>
      <c r="P1776" s="23"/>
      <c r="Q1776" s="1">
        <f t="shared" si="852"/>
        <v>0.60744618579017706</v>
      </c>
      <c r="R1776" s="12">
        <f t="shared" ca="1" si="839"/>
        <v>52382</v>
      </c>
      <c r="S1776" s="88">
        <f t="shared" si="848"/>
        <v>0</v>
      </c>
      <c r="T1776" s="19">
        <f t="shared" si="840"/>
        <v>0</v>
      </c>
      <c r="U1776" s="19">
        <f t="shared" si="841"/>
        <v>0</v>
      </c>
      <c r="V1776" s="19">
        <f t="shared" si="857"/>
        <v>0</v>
      </c>
      <c r="W1776" s="20">
        <f t="shared" ca="1" si="842"/>
        <v>0</v>
      </c>
      <c r="X1776" s="19">
        <f t="shared" ca="1" si="843"/>
        <v>0</v>
      </c>
      <c r="Y1776" s="19">
        <f t="shared" ca="1" si="844"/>
        <v>0</v>
      </c>
      <c r="Z1776" s="20">
        <f t="shared" ca="1" si="845"/>
        <v>0</v>
      </c>
      <c r="AA1776" s="1">
        <f t="shared" si="853"/>
        <v>5432.58</v>
      </c>
      <c r="AB1776" s="93"/>
      <c r="AC1776" s="94"/>
      <c r="AD1776" s="101">
        <f t="shared" si="854"/>
        <v>93504</v>
      </c>
      <c r="AE1776" s="103">
        <f t="shared" si="855"/>
        <v>0</v>
      </c>
      <c r="AG1776" s="1">
        <f t="shared" si="846"/>
        <v>0</v>
      </c>
      <c r="AH1776" s="1">
        <f t="shared" si="847"/>
        <v>0</v>
      </c>
      <c r="AI1776" s="1">
        <f t="shared" si="856"/>
        <v>5432.58</v>
      </c>
      <c r="AJ1776" s="20">
        <f t="shared" si="858"/>
        <v>0</v>
      </c>
      <c r="AK1776" s="100">
        <f t="shared" si="830"/>
        <v>0</v>
      </c>
      <c r="AL1776" s="100">
        <f t="shared" si="831"/>
        <v>0</v>
      </c>
      <c r="AN1776" s="100">
        <f t="shared" si="832"/>
        <v>2244.0841951442844</v>
      </c>
      <c r="AO1776" s="20">
        <f t="shared" si="833"/>
        <v>0</v>
      </c>
      <c r="AQ1776" s="109">
        <f t="shared" si="834"/>
        <v>0</v>
      </c>
      <c r="AU1776" s="109">
        <f t="shared" si="849"/>
        <v>23.214079339618863</v>
      </c>
      <c r="AV1776" s="101">
        <f t="shared" si="835"/>
        <v>93534</v>
      </c>
      <c r="AW1776" s="99">
        <f t="shared" si="836"/>
        <v>0</v>
      </c>
      <c r="AX1776" s="1">
        <f t="shared" si="837"/>
        <v>0</v>
      </c>
      <c r="AY1776" s="29">
        <f t="shared" si="838"/>
        <v>0</v>
      </c>
      <c r="AZ1776" s="1">
        <f t="shared" si="850"/>
        <v>0</v>
      </c>
      <c r="CB1776" s="20">
        <f t="shared" si="859"/>
        <v>0</v>
      </c>
      <c r="CC1776" s="173">
        <f t="shared" si="851"/>
        <v>0</v>
      </c>
    </row>
    <row r="1777" spans="10:81" x14ac:dyDescent="0.25">
      <c r="J1777" s="7"/>
      <c r="K1777" s="8"/>
      <c r="L1777" s="16"/>
      <c r="M1777" s="22"/>
      <c r="N1777" s="22"/>
      <c r="O1777" s="22"/>
      <c r="P1777" s="22"/>
      <c r="Q1777" s="1">
        <f t="shared" si="852"/>
        <v>0.60744618579017706</v>
      </c>
      <c r="R1777" s="12">
        <f t="shared" ca="1" si="839"/>
        <v>52412</v>
      </c>
      <c r="S1777" s="88">
        <f t="shared" si="848"/>
        <v>0</v>
      </c>
      <c r="T1777" s="19">
        <f t="shared" si="840"/>
        <v>0</v>
      </c>
      <c r="U1777" s="19">
        <f t="shared" si="841"/>
        <v>0</v>
      </c>
      <c r="V1777" s="19">
        <f t="shared" si="857"/>
        <v>0</v>
      </c>
      <c r="W1777" s="20">
        <f t="shared" ca="1" si="842"/>
        <v>0</v>
      </c>
      <c r="X1777" s="19">
        <f t="shared" ca="1" si="843"/>
        <v>0</v>
      </c>
      <c r="Y1777" s="19">
        <f t="shared" ca="1" si="844"/>
        <v>0</v>
      </c>
      <c r="Z1777" s="20">
        <f t="shared" ca="1" si="845"/>
        <v>0</v>
      </c>
      <c r="AA1777" s="1">
        <f t="shared" si="853"/>
        <v>5432.58</v>
      </c>
      <c r="AB1777" s="91"/>
      <c r="AC1777" s="92"/>
      <c r="AD1777" s="101">
        <f t="shared" si="854"/>
        <v>93534</v>
      </c>
      <c r="AE1777" s="103">
        <f t="shared" si="855"/>
        <v>0</v>
      </c>
      <c r="AG1777" s="1">
        <f t="shared" si="846"/>
        <v>0</v>
      </c>
      <c r="AH1777" s="1">
        <f t="shared" si="847"/>
        <v>0</v>
      </c>
      <c r="AI1777" s="1">
        <f t="shared" si="856"/>
        <v>5432.58</v>
      </c>
      <c r="AJ1777" s="20">
        <f t="shared" si="858"/>
        <v>0</v>
      </c>
      <c r="AK1777" s="100">
        <f t="shared" si="830"/>
        <v>0</v>
      </c>
      <c r="AL1777" s="100">
        <f t="shared" si="831"/>
        <v>0</v>
      </c>
      <c r="AN1777" s="100">
        <f t="shared" si="832"/>
        <v>2242.9488028982478</v>
      </c>
      <c r="AO1777" s="20">
        <f t="shared" si="833"/>
        <v>0</v>
      </c>
      <c r="AQ1777" s="109">
        <f t="shared" si="834"/>
        <v>0</v>
      </c>
      <c r="AU1777" s="109">
        <f t="shared" si="849"/>
        <v>23.21204183816862</v>
      </c>
      <c r="AV1777" s="101">
        <f t="shared" si="835"/>
        <v>93564</v>
      </c>
      <c r="AW1777" s="99">
        <f t="shared" si="836"/>
        <v>0</v>
      </c>
      <c r="AX1777" s="1">
        <f t="shared" si="837"/>
        <v>0</v>
      </c>
      <c r="AY1777" s="29">
        <f t="shared" si="838"/>
        <v>0</v>
      </c>
      <c r="AZ1777" s="1">
        <f t="shared" si="850"/>
        <v>0</v>
      </c>
      <c r="CB1777" s="20">
        <f t="shared" si="859"/>
        <v>0</v>
      </c>
      <c r="CC1777" s="173">
        <f t="shared" si="851"/>
        <v>0</v>
      </c>
    </row>
    <row r="1778" spans="10:81" x14ac:dyDescent="0.25">
      <c r="J1778" s="9"/>
      <c r="K1778" s="10"/>
      <c r="L1778" s="17"/>
      <c r="M1778" s="23"/>
      <c r="N1778" s="23"/>
      <c r="O1778" s="23"/>
      <c r="P1778" s="23"/>
      <c r="Q1778" s="1">
        <f t="shared" si="852"/>
        <v>0.60744618579017706</v>
      </c>
      <c r="R1778" s="12">
        <f t="shared" ca="1" si="839"/>
        <v>52442</v>
      </c>
      <c r="S1778" s="88">
        <f t="shared" si="848"/>
        <v>0</v>
      </c>
      <c r="T1778" s="19">
        <f t="shared" si="840"/>
        <v>0</v>
      </c>
      <c r="U1778" s="19">
        <f t="shared" si="841"/>
        <v>0</v>
      </c>
      <c r="V1778" s="19">
        <f t="shared" si="857"/>
        <v>0</v>
      </c>
      <c r="W1778" s="20">
        <f t="shared" ca="1" si="842"/>
        <v>0</v>
      </c>
      <c r="X1778" s="19">
        <f t="shared" ca="1" si="843"/>
        <v>0</v>
      </c>
      <c r="Y1778" s="19">
        <f t="shared" ca="1" si="844"/>
        <v>0</v>
      </c>
      <c r="Z1778" s="20">
        <f t="shared" ca="1" si="845"/>
        <v>0</v>
      </c>
      <c r="AA1778" s="1">
        <f t="shared" si="853"/>
        <v>5432.58</v>
      </c>
      <c r="AB1778" s="93"/>
      <c r="AC1778" s="94"/>
      <c r="AD1778" s="101">
        <f t="shared" si="854"/>
        <v>93564</v>
      </c>
      <c r="AE1778" s="103">
        <f t="shared" si="855"/>
        <v>0</v>
      </c>
      <c r="AG1778" s="1">
        <f t="shared" si="846"/>
        <v>0</v>
      </c>
      <c r="AH1778" s="1">
        <f t="shared" si="847"/>
        <v>0</v>
      </c>
      <c r="AI1778" s="1">
        <f t="shared" si="856"/>
        <v>5432.58</v>
      </c>
      <c r="AJ1778" s="20">
        <f t="shared" si="858"/>
        <v>0</v>
      </c>
      <c r="AK1778" s="100">
        <f t="shared" si="830"/>
        <v>0</v>
      </c>
      <c r="AL1778" s="100">
        <f t="shared" si="831"/>
        <v>0</v>
      </c>
      <c r="AN1778" s="100">
        <f t="shared" si="832"/>
        <v>2241.81398510283</v>
      </c>
      <c r="AO1778" s="20">
        <f t="shared" si="833"/>
        <v>0</v>
      </c>
      <c r="AQ1778" s="109">
        <f t="shared" si="834"/>
        <v>0</v>
      </c>
      <c r="AU1778" s="109">
        <f t="shared" si="849"/>
        <v>23.210004515550033</v>
      </c>
      <c r="AV1778" s="101">
        <f t="shared" si="835"/>
        <v>93594</v>
      </c>
      <c r="AW1778" s="99">
        <f t="shared" si="836"/>
        <v>0</v>
      </c>
      <c r="AX1778" s="1">
        <f t="shared" si="837"/>
        <v>0</v>
      </c>
      <c r="AY1778" s="29">
        <f t="shared" si="838"/>
        <v>0</v>
      </c>
      <c r="AZ1778" s="1">
        <f t="shared" si="850"/>
        <v>0</v>
      </c>
      <c r="CB1778" s="20">
        <f t="shared" si="859"/>
        <v>0</v>
      </c>
      <c r="CC1778" s="173">
        <f t="shared" si="851"/>
        <v>0</v>
      </c>
    </row>
    <row r="1779" spans="10:81" x14ac:dyDescent="0.25">
      <c r="J1779" s="7"/>
      <c r="K1779" s="8"/>
      <c r="L1779" s="16"/>
      <c r="M1779" s="22"/>
      <c r="N1779" s="22"/>
      <c r="O1779" s="22"/>
      <c r="P1779" s="22"/>
      <c r="Q1779" s="1">
        <f t="shared" si="852"/>
        <v>0.60744618579017706</v>
      </c>
      <c r="R1779" s="12">
        <f t="shared" ca="1" si="839"/>
        <v>52472</v>
      </c>
      <c r="S1779" s="88">
        <f t="shared" si="848"/>
        <v>0</v>
      </c>
      <c r="T1779" s="19">
        <f t="shared" si="840"/>
        <v>0</v>
      </c>
      <c r="U1779" s="19">
        <f t="shared" si="841"/>
        <v>0</v>
      </c>
      <c r="V1779" s="19">
        <f t="shared" si="857"/>
        <v>0</v>
      </c>
      <c r="W1779" s="20">
        <f t="shared" ca="1" si="842"/>
        <v>0</v>
      </c>
      <c r="X1779" s="19">
        <f t="shared" ca="1" si="843"/>
        <v>0</v>
      </c>
      <c r="Y1779" s="19">
        <f t="shared" ca="1" si="844"/>
        <v>0</v>
      </c>
      <c r="Z1779" s="20">
        <f t="shared" ca="1" si="845"/>
        <v>0</v>
      </c>
      <c r="AA1779" s="1">
        <f t="shared" si="853"/>
        <v>5432.58</v>
      </c>
      <c r="AB1779" s="91"/>
      <c r="AC1779" s="92"/>
      <c r="AD1779" s="101">
        <f t="shared" si="854"/>
        <v>93594</v>
      </c>
      <c r="AE1779" s="103">
        <f t="shared" si="855"/>
        <v>0</v>
      </c>
      <c r="AG1779" s="1">
        <f t="shared" si="846"/>
        <v>0</v>
      </c>
      <c r="AH1779" s="1">
        <f t="shared" si="847"/>
        <v>0</v>
      </c>
      <c r="AI1779" s="1">
        <f t="shared" si="856"/>
        <v>5432.58</v>
      </c>
      <c r="AJ1779" s="20">
        <f t="shared" si="858"/>
        <v>0</v>
      </c>
      <c r="AK1779" s="100">
        <f t="shared" si="830"/>
        <v>0</v>
      </c>
      <c r="AL1779" s="100">
        <f t="shared" si="831"/>
        <v>0</v>
      </c>
      <c r="AN1779" s="100">
        <f t="shared" si="832"/>
        <v>2240.6797414673861</v>
      </c>
      <c r="AO1779" s="20">
        <f t="shared" si="833"/>
        <v>0</v>
      </c>
      <c r="AQ1779" s="109">
        <f t="shared" si="834"/>
        <v>0</v>
      </c>
      <c r="AU1779" s="109">
        <f t="shared" si="849"/>
        <v>23.207967371747404</v>
      </c>
      <c r="AV1779" s="101">
        <f t="shared" si="835"/>
        <v>93624</v>
      </c>
      <c r="AW1779" s="99">
        <f t="shared" si="836"/>
        <v>0</v>
      </c>
      <c r="AX1779" s="1">
        <f t="shared" si="837"/>
        <v>0</v>
      </c>
      <c r="AY1779" s="29">
        <f t="shared" si="838"/>
        <v>0</v>
      </c>
      <c r="AZ1779" s="1">
        <f t="shared" si="850"/>
        <v>0</v>
      </c>
      <c r="CB1779" s="20">
        <f t="shared" si="859"/>
        <v>0</v>
      </c>
      <c r="CC1779" s="173">
        <f t="shared" si="851"/>
        <v>0</v>
      </c>
    </row>
    <row r="1780" spans="10:81" x14ac:dyDescent="0.25">
      <c r="J1780" s="9"/>
      <c r="K1780" s="10"/>
      <c r="L1780" s="17"/>
      <c r="M1780" s="23"/>
      <c r="N1780" s="23"/>
      <c r="O1780" s="23"/>
      <c r="P1780" s="23"/>
      <c r="Q1780" s="1">
        <f t="shared" si="852"/>
        <v>0.60744618579017706</v>
      </c>
      <c r="R1780" s="12">
        <f t="shared" ca="1" si="839"/>
        <v>52502</v>
      </c>
      <c r="S1780" s="88">
        <f t="shared" si="848"/>
        <v>0</v>
      </c>
      <c r="T1780" s="19">
        <f t="shared" si="840"/>
        <v>0</v>
      </c>
      <c r="U1780" s="19">
        <f t="shared" si="841"/>
        <v>0</v>
      </c>
      <c r="V1780" s="19">
        <f t="shared" si="857"/>
        <v>0</v>
      </c>
      <c r="W1780" s="20">
        <f t="shared" ca="1" si="842"/>
        <v>0</v>
      </c>
      <c r="X1780" s="19">
        <f t="shared" ca="1" si="843"/>
        <v>0</v>
      </c>
      <c r="Y1780" s="19">
        <f t="shared" ca="1" si="844"/>
        <v>0</v>
      </c>
      <c r="Z1780" s="20">
        <f t="shared" ca="1" si="845"/>
        <v>0</v>
      </c>
      <c r="AA1780" s="1">
        <f t="shared" si="853"/>
        <v>5432.58</v>
      </c>
      <c r="AB1780" s="93"/>
      <c r="AC1780" s="94"/>
      <c r="AD1780" s="101">
        <f t="shared" si="854"/>
        <v>93624</v>
      </c>
      <c r="AE1780" s="103">
        <f t="shared" si="855"/>
        <v>0</v>
      </c>
      <c r="AG1780" s="1">
        <f t="shared" si="846"/>
        <v>0</v>
      </c>
      <c r="AH1780" s="1">
        <f t="shared" si="847"/>
        <v>0</v>
      </c>
      <c r="AI1780" s="1">
        <f t="shared" si="856"/>
        <v>5432.58</v>
      </c>
      <c r="AJ1780" s="20">
        <f t="shared" si="858"/>
        <v>0</v>
      </c>
      <c r="AK1780" s="100">
        <f t="shared" si="830"/>
        <v>0</v>
      </c>
      <c r="AL1780" s="100">
        <f t="shared" si="831"/>
        <v>0</v>
      </c>
      <c r="AN1780" s="100">
        <f t="shared" si="832"/>
        <v>2239.5460717014221</v>
      </c>
      <c r="AO1780" s="20">
        <f t="shared" si="833"/>
        <v>0</v>
      </c>
      <c r="AQ1780" s="109">
        <f t="shared" si="834"/>
        <v>0</v>
      </c>
      <c r="AU1780" s="109">
        <f t="shared" si="849"/>
        <v>23.205930406745033</v>
      </c>
      <c r="AV1780" s="101">
        <f t="shared" si="835"/>
        <v>93654</v>
      </c>
      <c r="AW1780" s="99">
        <f t="shared" si="836"/>
        <v>0</v>
      </c>
      <c r="AX1780" s="1">
        <f t="shared" si="837"/>
        <v>0</v>
      </c>
      <c r="AY1780" s="29">
        <f t="shared" si="838"/>
        <v>0</v>
      </c>
      <c r="AZ1780" s="1">
        <f t="shared" si="850"/>
        <v>0</v>
      </c>
      <c r="CB1780" s="20">
        <f t="shared" si="859"/>
        <v>0</v>
      </c>
      <c r="CC1780" s="173">
        <f t="shared" si="851"/>
        <v>0</v>
      </c>
    </row>
    <row r="1781" spans="10:81" x14ac:dyDescent="0.25">
      <c r="J1781" s="7"/>
      <c r="K1781" s="8"/>
      <c r="L1781" s="16"/>
      <c r="M1781" s="22"/>
      <c r="N1781" s="22"/>
      <c r="O1781" s="22"/>
      <c r="P1781" s="22"/>
      <c r="Q1781" s="1">
        <f t="shared" si="852"/>
        <v>0.60744618579017706</v>
      </c>
      <c r="R1781" s="12">
        <f t="shared" ca="1" si="839"/>
        <v>52532</v>
      </c>
      <c r="S1781" s="88">
        <f t="shared" si="848"/>
        <v>0</v>
      </c>
      <c r="T1781" s="19">
        <f t="shared" si="840"/>
        <v>0</v>
      </c>
      <c r="U1781" s="19">
        <f t="shared" si="841"/>
        <v>0</v>
      </c>
      <c r="V1781" s="19">
        <f t="shared" si="857"/>
        <v>0</v>
      </c>
      <c r="W1781" s="20">
        <f t="shared" ca="1" si="842"/>
        <v>0</v>
      </c>
      <c r="X1781" s="19">
        <f t="shared" ca="1" si="843"/>
        <v>0</v>
      </c>
      <c r="Y1781" s="19">
        <f t="shared" ca="1" si="844"/>
        <v>0</v>
      </c>
      <c r="Z1781" s="20">
        <f t="shared" ca="1" si="845"/>
        <v>0</v>
      </c>
      <c r="AA1781" s="1">
        <f t="shared" si="853"/>
        <v>5432.58</v>
      </c>
      <c r="AB1781" s="91"/>
      <c r="AC1781" s="92"/>
      <c r="AD1781" s="101">
        <f t="shared" si="854"/>
        <v>93654</v>
      </c>
      <c r="AE1781" s="103">
        <f t="shared" si="855"/>
        <v>0</v>
      </c>
      <c r="AG1781" s="1">
        <f t="shared" si="846"/>
        <v>0</v>
      </c>
      <c r="AH1781" s="1">
        <f t="shared" si="847"/>
        <v>0</v>
      </c>
      <c r="AI1781" s="1">
        <f t="shared" si="856"/>
        <v>5432.58</v>
      </c>
      <c r="AJ1781" s="20">
        <f t="shared" si="858"/>
        <v>0</v>
      </c>
      <c r="AK1781" s="100">
        <f t="shared" si="830"/>
        <v>0</v>
      </c>
      <c r="AL1781" s="100">
        <f t="shared" si="831"/>
        <v>0</v>
      </c>
      <c r="AN1781" s="100">
        <f t="shared" si="832"/>
        <v>2238.4129755145896</v>
      </c>
      <c r="AO1781" s="20">
        <f t="shared" si="833"/>
        <v>0</v>
      </c>
      <c r="AQ1781" s="109">
        <f t="shared" si="834"/>
        <v>0</v>
      </c>
      <c r="AU1781" s="109">
        <f t="shared" si="849"/>
        <v>23.203893620527243</v>
      </c>
      <c r="AV1781" s="101">
        <f t="shared" si="835"/>
        <v>93684</v>
      </c>
      <c r="AW1781" s="99">
        <f t="shared" si="836"/>
        <v>0</v>
      </c>
      <c r="AX1781" s="1">
        <f t="shared" si="837"/>
        <v>0</v>
      </c>
      <c r="AY1781" s="29">
        <f t="shared" si="838"/>
        <v>0</v>
      </c>
      <c r="AZ1781" s="1">
        <f t="shared" si="850"/>
        <v>0</v>
      </c>
      <c r="CB1781" s="20">
        <f t="shared" si="859"/>
        <v>0</v>
      </c>
      <c r="CC1781" s="173">
        <f t="shared" si="851"/>
        <v>0</v>
      </c>
    </row>
    <row r="1782" spans="10:81" x14ac:dyDescent="0.25">
      <c r="J1782" s="9"/>
      <c r="K1782" s="10"/>
      <c r="L1782" s="17"/>
      <c r="M1782" s="23"/>
      <c r="N1782" s="23"/>
      <c r="O1782" s="23"/>
      <c r="P1782" s="23"/>
      <c r="Q1782" s="1">
        <f t="shared" si="852"/>
        <v>0.60744618579017706</v>
      </c>
      <c r="R1782" s="12">
        <f t="shared" ca="1" si="839"/>
        <v>52562</v>
      </c>
      <c r="S1782" s="88">
        <f t="shared" si="848"/>
        <v>0</v>
      </c>
      <c r="T1782" s="19">
        <f t="shared" si="840"/>
        <v>0</v>
      </c>
      <c r="U1782" s="19">
        <f t="shared" si="841"/>
        <v>0</v>
      </c>
      <c r="V1782" s="19">
        <f t="shared" si="857"/>
        <v>0</v>
      </c>
      <c r="W1782" s="20">
        <f t="shared" ca="1" si="842"/>
        <v>0</v>
      </c>
      <c r="X1782" s="19">
        <f t="shared" ca="1" si="843"/>
        <v>0</v>
      </c>
      <c r="Y1782" s="19">
        <f t="shared" ca="1" si="844"/>
        <v>0</v>
      </c>
      <c r="Z1782" s="20">
        <f t="shared" ca="1" si="845"/>
        <v>0</v>
      </c>
      <c r="AA1782" s="1">
        <f t="shared" si="853"/>
        <v>5432.58</v>
      </c>
      <c r="AB1782" s="93"/>
      <c r="AC1782" s="94"/>
      <c r="AD1782" s="101">
        <f t="shared" si="854"/>
        <v>93684</v>
      </c>
      <c r="AE1782" s="103">
        <f t="shared" si="855"/>
        <v>0</v>
      </c>
      <c r="AG1782" s="1">
        <f t="shared" si="846"/>
        <v>0</v>
      </c>
      <c r="AH1782" s="1">
        <f t="shared" si="847"/>
        <v>0</v>
      </c>
      <c r="AI1782" s="1">
        <f t="shared" si="856"/>
        <v>5432.58</v>
      </c>
      <c r="AJ1782" s="20">
        <f t="shared" si="858"/>
        <v>0</v>
      </c>
      <c r="AK1782" s="100">
        <f t="shared" ref="AK1782:AK1845" si="860">IF(ISERROR(AJ1782/(1+(Q1782)/1200)^(ROW()-29)),0,AJ1782/(1+(Q1782)/1200)^(ROW()-29))</f>
        <v>0</v>
      </c>
      <c r="AL1782" s="100">
        <f t="shared" ref="AL1782:AL1845" si="861">IF(ISERROR((Q1782/1200)*O1782),0,(Q1782/1200)*O1782)</f>
        <v>0</v>
      </c>
      <c r="AN1782" s="100">
        <f t="shared" ref="AN1782:AN1845" si="862">IF(ISERROR(AA1782/(1+(Q1782)/1200)^(ROW()-29)),0,AA1782/(1+(Q1782)/1200)^(ROW()-29))</f>
        <v>2237.2804526166842</v>
      </c>
      <c r="AO1782" s="20">
        <f t="shared" ref="AO1782:AO1845" si="863">IF(ISERROR(V1781+U1782+T1782+(V1781*Q1782/1200)-AA1782-P1782),0,IF(V1781+U1782+T1782+(V1781*Q1782/1200)-AA1782-P1782&lt;0,V1781,-(U1782+T1782-AA1782+P1782-AH1782)))</f>
        <v>0</v>
      </c>
      <c r="AQ1782" s="109">
        <f t="shared" ref="AQ1782:AQ1845" si="864">AO1782/(1+((1+$AM$27)^((ROW()-29)*30)-1))</f>
        <v>0</v>
      </c>
      <c r="AU1782" s="109">
        <f t="shared" si="849"/>
        <v>23.201857013078317</v>
      </c>
      <c r="AV1782" s="101">
        <f t="shared" ref="AV1782:AV1845" si="865">AD1783</f>
        <v>93714</v>
      </c>
      <c r="AW1782" s="99">
        <f t="shared" ref="AW1782:AW1845" si="866">IF(AJ1783&lt;0,0,AJ1783)</f>
        <v>0</v>
      </c>
      <c r="AX1782" s="1">
        <f t="shared" ref="AX1782:AX1845" si="867">IF(AG1782&gt;0,AA1782,0)</f>
        <v>0</v>
      </c>
      <c r="AY1782" s="29">
        <f t="shared" ref="AY1782:AY1845" si="868">AE1782</f>
        <v>0</v>
      </c>
      <c r="AZ1782" s="1">
        <f t="shared" si="850"/>
        <v>0</v>
      </c>
      <c r="CB1782" s="20">
        <f t="shared" si="859"/>
        <v>0</v>
      </c>
      <c r="CC1782" s="173">
        <f t="shared" si="851"/>
        <v>0</v>
      </c>
    </row>
    <row r="1783" spans="10:81" x14ac:dyDescent="0.25">
      <c r="J1783" s="7"/>
      <c r="K1783" s="8"/>
      <c r="L1783" s="16"/>
      <c r="M1783" s="22"/>
      <c r="N1783" s="22"/>
      <c r="O1783" s="22"/>
      <c r="P1783" s="22"/>
      <c r="Q1783" s="1">
        <f t="shared" si="852"/>
        <v>0.60744618579017706</v>
      </c>
      <c r="R1783" s="12">
        <f t="shared" ref="R1783:R1846" ca="1" si="869">IF(ROW()&gt;$T$20,R1782+30,DAYS360(K1782,K1783)+R1782)</f>
        <v>52592</v>
      </c>
      <c r="S1783" s="88">
        <f t="shared" si="848"/>
        <v>0</v>
      </c>
      <c r="T1783" s="19">
        <f t="shared" ref="T1783:T1846" si="870">IF(ISERROR((previousBalance*Q1783/1200)*(IF(ROW()-30&lt;$G$22,$G$21,0))),0,(previousBalance*Q1783/1200)*(IF(ROW()-30&lt;$G$22,$G$21,0)))</f>
        <v>0</v>
      </c>
      <c r="U1783" s="19">
        <f t="shared" ref="U1783:U1846" si="871">AA1783*(IF(ROW()-30&lt;$H$22,$H$21,0))</f>
        <v>0</v>
      </c>
      <c r="V1783" s="19">
        <f t="shared" si="857"/>
        <v>0</v>
      </c>
      <c r="W1783" s="20">
        <f t="shared" ref="W1783:W1846" ca="1" si="872">(T1783)/(1+((1+$T$12)^$R1783-1))</f>
        <v>0</v>
      </c>
      <c r="X1783" s="19">
        <f t="shared" ref="X1783:X1846" ca="1" si="873">(U1783)/(1+((1+$T$12)^$R1783-1))</f>
        <v>0</v>
      </c>
      <c r="Y1783" s="19">
        <f t="shared" ref="Y1783:Y1846" ca="1" si="874">P1783/(1+((1+$T$12)^$R1783-1))</f>
        <v>0</v>
      </c>
      <c r="Z1783" s="20">
        <f t="shared" ref="Z1783:Z1846" ca="1" si="875">W1783+X1783</f>
        <v>0</v>
      </c>
      <c r="AA1783" s="1">
        <f t="shared" si="853"/>
        <v>5432.58</v>
      </c>
      <c r="AB1783" s="91"/>
      <c r="AC1783" s="92"/>
      <c r="AD1783" s="101">
        <f t="shared" si="854"/>
        <v>93714</v>
      </c>
      <c r="AE1783" s="103">
        <f t="shared" si="855"/>
        <v>0</v>
      </c>
      <c r="AG1783" s="1">
        <f t="shared" ref="AG1783:AG1846" si="876">AE1783/360</f>
        <v>0</v>
      </c>
      <c r="AH1783" s="1">
        <f t="shared" ref="AH1783:AH1846" si="877">IF(ISERROR(IF(V1782+U1783+T1783+(V1782*Q1783/1200)-AA1783-P1783&lt;0,0,(V1782*Q1783/1200))),0,IF(V1782+U1783+T1783+(V1782*Q1783/1200)-AA1783-P1783&lt;0,0,(V1782*Q1783/1200)))</f>
        <v>0</v>
      </c>
      <c r="AI1783" s="1">
        <f t="shared" si="856"/>
        <v>5432.58</v>
      </c>
      <c r="AJ1783" s="20">
        <f t="shared" si="858"/>
        <v>0</v>
      </c>
      <c r="AK1783" s="100">
        <f t="shared" si="860"/>
        <v>0</v>
      </c>
      <c r="AL1783" s="100">
        <f t="shared" si="861"/>
        <v>0</v>
      </c>
      <c r="AN1783" s="100">
        <f t="shared" si="862"/>
        <v>2236.1485027176545</v>
      </c>
      <c r="AO1783" s="20">
        <f t="shared" si="863"/>
        <v>0</v>
      </c>
      <c r="AQ1783" s="109">
        <f t="shared" si="864"/>
        <v>0</v>
      </c>
      <c r="AU1783" s="109">
        <f t="shared" si="849"/>
        <v>23.199820584382579</v>
      </c>
      <c r="AV1783" s="101">
        <f t="shared" si="865"/>
        <v>93744</v>
      </c>
      <c r="AW1783" s="99">
        <f t="shared" si="866"/>
        <v>0</v>
      </c>
      <c r="AX1783" s="1">
        <f t="shared" si="867"/>
        <v>0</v>
      </c>
      <c r="AY1783" s="29">
        <f t="shared" si="868"/>
        <v>0</v>
      </c>
      <c r="AZ1783" s="1">
        <f t="shared" si="850"/>
        <v>0</v>
      </c>
      <c r="CB1783" s="20">
        <f t="shared" si="859"/>
        <v>0</v>
      </c>
      <c r="CC1783" s="173">
        <f t="shared" si="851"/>
        <v>0</v>
      </c>
    </row>
    <row r="1784" spans="10:81" x14ac:dyDescent="0.25">
      <c r="J1784" s="9"/>
      <c r="K1784" s="10"/>
      <c r="L1784" s="17"/>
      <c r="M1784" s="23"/>
      <c r="N1784" s="23"/>
      <c r="O1784" s="23"/>
      <c r="P1784" s="23"/>
      <c r="Q1784" s="1">
        <f t="shared" si="852"/>
        <v>0.60744618579017706</v>
      </c>
      <c r="R1784" s="12">
        <f t="shared" ca="1" si="869"/>
        <v>52622</v>
      </c>
      <c r="S1784" s="88">
        <f t="shared" si="848"/>
        <v>0</v>
      </c>
      <c r="T1784" s="19">
        <f t="shared" si="870"/>
        <v>0</v>
      </c>
      <c r="U1784" s="19">
        <f t="shared" si="871"/>
        <v>0</v>
      </c>
      <c r="V1784" s="19">
        <f t="shared" si="857"/>
        <v>0</v>
      </c>
      <c r="W1784" s="20">
        <f t="shared" ca="1" si="872"/>
        <v>0</v>
      </c>
      <c r="X1784" s="19">
        <f t="shared" ca="1" si="873"/>
        <v>0</v>
      </c>
      <c r="Y1784" s="19">
        <f t="shared" ca="1" si="874"/>
        <v>0</v>
      </c>
      <c r="Z1784" s="20">
        <f t="shared" ca="1" si="875"/>
        <v>0</v>
      </c>
      <c r="AA1784" s="1">
        <f t="shared" si="853"/>
        <v>5432.58</v>
      </c>
      <c r="AB1784" s="93"/>
      <c r="AC1784" s="94"/>
      <c r="AD1784" s="101">
        <f t="shared" si="854"/>
        <v>93744</v>
      </c>
      <c r="AE1784" s="103">
        <f t="shared" si="855"/>
        <v>0</v>
      </c>
      <c r="AG1784" s="1">
        <f t="shared" si="876"/>
        <v>0</v>
      </c>
      <c r="AH1784" s="1">
        <f t="shared" si="877"/>
        <v>0</v>
      </c>
      <c r="AI1784" s="1">
        <f t="shared" si="856"/>
        <v>5432.58</v>
      </c>
      <c r="AJ1784" s="20">
        <f t="shared" si="858"/>
        <v>0</v>
      </c>
      <c r="AK1784" s="100">
        <f t="shared" si="860"/>
        <v>0</v>
      </c>
      <c r="AL1784" s="100">
        <f t="shared" si="861"/>
        <v>0</v>
      </c>
      <c r="AN1784" s="100">
        <f t="shared" si="862"/>
        <v>2235.0171255275895</v>
      </c>
      <c r="AO1784" s="20">
        <f t="shared" si="863"/>
        <v>0</v>
      </c>
      <c r="AQ1784" s="109">
        <f t="shared" si="864"/>
        <v>0</v>
      </c>
      <c r="AU1784" s="109">
        <f t="shared" si="849"/>
        <v>23.197784334424341</v>
      </c>
      <c r="AV1784" s="101">
        <f t="shared" si="865"/>
        <v>93774</v>
      </c>
      <c r="AW1784" s="99">
        <f t="shared" si="866"/>
        <v>0</v>
      </c>
      <c r="AX1784" s="1">
        <f t="shared" si="867"/>
        <v>0</v>
      </c>
      <c r="AY1784" s="29">
        <f t="shared" si="868"/>
        <v>0</v>
      </c>
      <c r="AZ1784" s="1">
        <f t="shared" si="850"/>
        <v>0</v>
      </c>
      <c r="CB1784" s="20">
        <f t="shared" si="859"/>
        <v>0</v>
      </c>
      <c r="CC1784" s="173">
        <f t="shared" si="851"/>
        <v>0</v>
      </c>
    </row>
    <row r="1785" spans="10:81" x14ac:dyDescent="0.25">
      <c r="J1785" s="7"/>
      <c r="K1785" s="8"/>
      <c r="L1785" s="16"/>
      <c r="M1785" s="22"/>
      <c r="N1785" s="22"/>
      <c r="O1785" s="22"/>
      <c r="P1785" s="22"/>
      <c r="Q1785" s="1">
        <f t="shared" si="852"/>
        <v>0.60744618579017706</v>
      </c>
      <c r="R1785" s="12">
        <f t="shared" ca="1" si="869"/>
        <v>52652</v>
      </c>
      <c r="S1785" s="88">
        <f t="shared" si="848"/>
        <v>0</v>
      </c>
      <c r="T1785" s="19">
        <f t="shared" si="870"/>
        <v>0</v>
      </c>
      <c r="U1785" s="19">
        <f t="shared" si="871"/>
        <v>0</v>
      </c>
      <c r="V1785" s="19">
        <f t="shared" si="857"/>
        <v>0</v>
      </c>
      <c r="W1785" s="20">
        <f t="shared" ca="1" si="872"/>
        <v>0</v>
      </c>
      <c r="X1785" s="19">
        <f t="shared" ca="1" si="873"/>
        <v>0</v>
      </c>
      <c r="Y1785" s="19">
        <f t="shared" ca="1" si="874"/>
        <v>0</v>
      </c>
      <c r="Z1785" s="20">
        <f t="shared" ca="1" si="875"/>
        <v>0</v>
      </c>
      <c r="AA1785" s="1">
        <f t="shared" si="853"/>
        <v>5432.58</v>
      </c>
      <c r="AB1785" s="91"/>
      <c r="AC1785" s="92"/>
      <c r="AD1785" s="101">
        <f t="shared" si="854"/>
        <v>93774</v>
      </c>
      <c r="AE1785" s="103">
        <f t="shared" si="855"/>
        <v>0</v>
      </c>
      <c r="AG1785" s="1">
        <f t="shared" si="876"/>
        <v>0</v>
      </c>
      <c r="AH1785" s="1">
        <f t="shared" si="877"/>
        <v>0</v>
      </c>
      <c r="AI1785" s="1">
        <f t="shared" si="856"/>
        <v>5432.58</v>
      </c>
      <c r="AJ1785" s="20">
        <f t="shared" si="858"/>
        <v>0</v>
      </c>
      <c r="AK1785" s="100">
        <f t="shared" si="860"/>
        <v>0</v>
      </c>
      <c r="AL1785" s="100">
        <f t="shared" si="861"/>
        <v>0</v>
      </c>
      <c r="AN1785" s="100">
        <f t="shared" si="862"/>
        <v>2233.8863207567288</v>
      </c>
      <c r="AO1785" s="20">
        <f t="shared" si="863"/>
        <v>0</v>
      </c>
      <c r="AQ1785" s="109">
        <f t="shared" si="864"/>
        <v>0</v>
      </c>
      <c r="AU1785" s="109">
        <f t="shared" si="849"/>
        <v>23.195748263187912</v>
      </c>
      <c r="AV1785" s="101">
        <f t="shared" si="865"/>
        <v>93804</v>
      </c>
      <c r="AW1785" s="99">
        <f t="shared" si="866"/>
        <v>0</v>
      </c>
      <c r="AX1785" s="1">
        <f t="shared" si="867"/>
        <v>0</v>
      </c>
      <c r="AY1785" s="29">
        <f t="shared" si="868"/>
        <v>0</v>
      </c>
      <c r="AZ1785" s="1">
        <f t="shared" si="850"/>
        <v>0</v>
      </c>
      <c r="CB1785" s="20">
        <f t="shared" si="859"/>
        <v>0</v>
      </c>
      <c r="CC1785" s="173">
        <f t="shared" si="851"/>
        <v>0</v>
      </c>
    </row>
    <row r="1786" spans="10:81" x14ac:dyDescent="0.25">
      <c r="J1786" s="9"/>
      <c r="K1786" s="10"/>
      <c r="L1786" s="17"/>
      <c r="M1786" s="23"/>
      <c r="N1786" s="23"/>
      <c r="O1786" s="23"/>
      <c r="P1786" s="23"/>
      <c r="Q1786" s="1">
        <f t="shared" si="852"/>
        <v>0.60744618579017706</v>
      </c>
      <c r="R1786" s="12">
        <f t="shared" ca="1" si="869"/>
        <v>52682</v>
      </c>
      <c r="S1786" s="88">
        <f t="shared" si="848"/>
        <v>0</v>
      </c>
      <c r="T1786" s="19">
        <f t="shared" si="870"/>
        <v>0</v>
      </c>
      <c r="U1786" s="19">
        <f t="shared" si="871"/>
        <v>0</v>
      </c>
      <c r="V1786" s="19">
        <f t="shared" si="857"/>
        <v>0</v>
      </c>
      <c r="W1786" s="20">
        <f t="shared" ca="1" si="872"/>
        <v>0</v>
      </c>
      <c r="X1786" s="19">
        <f t="shared" ca="1" si="873"/>
        <v>0</v>
      </c>
      <c r="Y1786" s="19">
        <f t="shared" ca="1" si="874"/>
        <v>0</v>
      </c>
      <c r="Z1786" s="20">
        <f t="shared" ca="1" si="875"/>
        <v>0</v>
      </c>
      <c r="AA1786" s="1">
        <f t="shared" si="853"/>
        <v>5432.58</v>
      </c>
      <c r="AB1786" s="93"/>
      <c r="AC1786" s="94"/>
      <c r="AD1786" s="101">
        <f t="shared" si="854"/>
        <v>93804</v>
      </c>
      <c r="AE1786" s="103">
        <f t="shared" si="855"/>
        <v>0</v>
      </c>
      <c r="AG1786" s="1">
        <f t="shared" si="876"/>
        <v>0</v>
      </c>
      <c r="AH1786" s="1">
        <f t="shared" si="877"/>
        <v>0</v>
      </c>
      <c r="AI1786" s="1">
        <f t="shared" si="856"/>
        <v>5432.58</v>
      </c>
      <c r="AJ1786" s="20">
        <f t="shared" si="858"/>
        <v>0</v>
      </c>
      <c r="AK1786" s="100">
        <f t="shared" si="860"/>
        <v>0</v>
      </c>
      <c r="AL1786" s="100">
        <f t="shared" si="861"/>
        <v>0</v>
      </c>
      <c r="AN1786" s="100">
        <f t="shared" si="862"/>
        <v>2232.7560881154573</v>
      </c>
      <c r="AO1786" s="20">
        <f t="shared" si="863"/>
        <v>0</v>
      </c>
      <c r="AQ1786" s="109">
        <f t="shared" si="864"/>
        <v>0</v>
      </c>
      <c r="AU1786" s="109">
        <f t="shared" si="849"/>
        <v>23.193712370657597</v>
      </c>
      <c r="AV1786" s="101">
        <f t="shared" si="865"/>
        <v>93834</v>
      </c>
      <c r="AW1786" s="99">
        <f t="shared" si="866"/>
        <v>0</v>
      </c>
      <c r="AX1786" s="1">
        <f t="shared" si="867"/>
        <v>0</v>
      </c>
      <c r="AY1786" s="29">
        <f t="shared" si="868"/>
        <v>0</v>
      </c>
      <c r="AZ1786" s="1">
        <f t="shared" si="850"/>
        <v>0</v>
      </c>
      <c r="CB1786" s="20">
        <f t="shared" si="859"/>
        <v>0</v>
      </c>
      <c r="CC1786" s="173">
        <f t="shared" si="851"/>
        <v>0</v>
      </c>
    </row>
    <row r="1787" spans="10:81" x14ac:dyDescent="0.25">
      <c r="J1787" s="7"/>
      <c r="K1787" s="8"/>
      <c r="L1787" s="16"/>
      <c r="M1787" s="22"/>
      <c r="N1787" s="22"/>
      <c r="O1787" s="22"/>
      <c r="P1787" s="22"/>
      <c r="Q1787" s="1">
        <f t="shared" si="852"/>
        <v>0.60744618579017706</v>
      </c>
      <c r="R1787" s="12">
        <f t="shared" ca="1" si="869"/>
        <v>52712</v>
      </c>
      <c r="S1787" s="88">
        <f t="shared" si="848"/>
        <v>0</v>
      </c>
      <c r="T1787" s="19">
        <f t="shared" si="870"/>
        <v>0</v>
      </c>
      <c r="U1787" s="19">
        <f t="shared" si="871"/>
        <v>0</v>
      </c>
      <c r="V1787" s="19">
        <f t="shared" si="857"/>
        <v>0</v>
      </c>
      <c r="W1787" s="20">
        <f t="shared" ca="1" si="872"/>
        <v>0</v>
      </c>
      <c r="X1787" s="19">
        <f t="shared" ca="1" si="873"/>
        <v>0</v>
      </c>
      <c r="Y1787" s="19">
        <f t="shared" ca="1" si="874"/>
        <v>0</v>
      </c>
      <c r="Z1787" s="20">
        <f t="shared" ca="1" si="875"/>
        <v>0</v>
      </c>
      <c r="AA1787" s="1">
        <f t="shared" si="853"/>
        <v>5432.58</v>
      </c>
      <c r="AB1787" s="91"/>
      <c r="AC1787" s="92"/>
      <c r="AD1787" s="101">
        <f t="shared" si="854"/>
        <v>93834</v>
      </c>
      <c r="AE1787" s="103">
        <f t="shared" si="855"/>
        <v>0</v>
      </c>
      <c r="AG1787" s="1">
        <f t="shared" si="876"/>
        <v>0</v>
      </c>
      <c r="AH1787" s="1">
        <f t="shared" si="877"/>
        <v>0</v>
      </c>
      <c r="AI1787" s="1">
        <f t="shared" si="856"/>
        <v>5432.58</v>
      </c>
      <c r="AJ1787" s="20">
        <f t="shared" si="858"/>
        <v>0</v>
      </c>
      <c r="AK1787" s="100">
        <f t="shared" si="860"/>
        <v>0</v>
      </c>
      <c r="AL1787" s="100">
        <f t="shared" si="861"/>
        <v>0</v>
      </c>
      <c r="AN1787" s="100">
        <f t="shared" si="862"/>
        <v>2231.6264273143056</v>
      </c>
      <c r="AO1787" s="20">
        <f t="shared" si="863"/>
        <v>0</v>
      </c>
      <c r="AQ1787" s="109">
        <f t="shared" si="864"/>
        <v>0</v>
      </c>
      <c r="AU1787" s="109">
        <f t="shared" si="849"/>
        <v>23.191676656817723</v>
      </c>
      <c r="AV1787" s="101">
        <f t="shared" si="865"/>
        <v>93864</v>
      </c>
      <c r="AW1787" s="99">
        <f t="shared" si="866"/>
        <v>0</v>
      </c>
      <c r="AX1787" s="1">
        <f t="shared" si="867"/>
        <v>0</v>
      </c>
      <c r="AY1787" s="29">
        <f t="shared" si="868"/>
        <v>0</v>
      </c>
      <c r="AZ1787" s="1">
        <f t="shared" si="850"/>
        <v>0</v>
      </c>
      <c r="CB1787" s="20">
        <f t="shared" si="859"/>
        <v>0</v>
      </c>
      <c r="CC1787" s="173">
        <f t="shared" si="851"/>
        <v>0</v>
      </c>
    </row>
    <row r="1788" spans="10:81" x14ac:dyDescent="0.25">
      <c r="J1788" s="9"/>
      <c r="K1788" s="10"/>
      <c r="L1788" s="17"/>
      <c r="M1788" s="23"/>
      <c r="N1788" s="23"/>
      <c r="O1788" s="23"/>
      <c r="P1788" s="23"/>
      <c r="Q1788" s="1">
        <f t="shared" si="852"/>
        <v>0.60744618579017706</v>
      </c>
      <c r="R1788" s="12">
        <f t="shared" ca="1" si="869"/>
        <v>52742</v>
      </c>
      <c r="S1788" s="88">
        <f t="shared" si="848"/>
        <v>0</v>
      </c>
      <c r="T1788" s="19">
        <f t="shared" si="870"/>
        <v>0</v>
      </c>
      <c r="U1788" s="19">
        <f t="shared" si="871"/>
        <v>0</v>
      </c>
      <c r="V1788" s="19">
        <f t="shared" si="857"/>
        <v>0</v>
      </c>
      <c r="W1788" s="20">
        <f t="shared" ca="1" si="872"/>
        <v>0</v>
      </c>
      <c r="X1788" s="19">
        <f t="shared" ca="1" si="873"/>
        <v>0</v>
      </c>
      <c r="Y1788" s="19">
        <f t="shared" ca="1" si="874"/>
        <v>0</v>
      </c>
      <c r="Z1788" s="20">
        <f t="shared" ca="1" si="875"/>
        <v>0</v>
      </c>
      <c r="AA1788" s="1">
        <f t="shared" si="853"/>
        <v>5432.58</v>
      </c>
      <c r="AB1788" s="93"/>
      <c r="AC1788" s="94"/>
      <c r="AD1788" s="101">
        <f t="shared" si="854"/>
        <v>93864</v>
      </c>
      <c r="AE1788" s="103">
        <f t="shared" si="855"/>
        <v>0</v>
      </c>
      <c r="AG1788" s="1">
        <f t="shared" si="876"/>
        <v>0</v>
      </c>
      <c r="AH1788" s="1">
        <f t="shared" si="877"/>
        <v>0</v>
      </c>
      <c r="AI1788" s="1">
        <f t="shared" si="856"/>
        <v>5432.58</v>
      </c>
      <c r="AJ1788" s="20">
        <f t="shared" si="858"/>
        <v>0</v>
      </c>
      <c r="AK1788" s="100">
        <f t="shared" si="860"/>
        <v>0</v>
      </c>
      <c r="AL1788" s="100">
        <f t="shared" si="861"/>
        <v>0</v>
      </c>
      <c r="AN1788" s="100">
        <f t="shared" si="862"/>
        <v>2230.4973380639544</v>
      </c>
      <c r="AO1788" s="20">
        <f t="shared" si="863"/>
        <v>0</v>
      </c>
      <c r="AQ1788" s="109">
        <f t="shared" si="864"/>
        <v>0</v>
      </c>
      <c r="AU1788" s="109">
        <f t="shared" si="849"/>
        <v>23.189641121652599</v>
      </c>
      <c r="AV1788" s="101">
        <f t="shared" si="865"/>
        <v>93894</v>
      </c>
      <c r="AW1788" s="99">
        <f t="shared" si="866"/>
        <v>0</v>
      </c>
      <c r="AX1788" s="1">
        <f t="shared" si="867"/>
        <v>0</v>
      </c>
      <c r="AY1788" s="29">
        <f t="shared" si="868"/>
        <v>0</v>
      </c>
      <c r="AZ1788" s="1">
        <f t="shared" si="850"/>
        <v>0</v>
      </c>
      <c r="CB1788" s="20">
        <f t="shared" si="859"/>
        <v>0</v>
      </c>
      <c r="CC1788" s="173">
        <f t="shared" si="851"/>
        <v>0</v>
      </c>
    </row>
    <row r="1789" spans="10:81" x14ac:dyDescent="0.25">
      <c r="J1789" s="7"/>
      <c r="K1789" s="8"/>
      <c r="L1789" s="16"/>
      <c r="M1789" s="22"/>
      <c r="N1789" s="22"/>
      <c r="O1789" s="22"/>
      <c r="P1789" s="22"/>
      <c r="Q1789" s="1">
        <f t="shared" si="852"/>
        <v>0.60744618579017706</v>
      </c>
      <c r="R1789" s="12">
        <f t="shared" ca="1" si="869"/>
        <v>52772</v>
      </c>
      <c r="S1789" s="88">
        <f t="shared" si="848"/>
        <v>0</v>
      </c>
      <c r="T1789" s="19">
        <f t="shared" si="870"/>
        <v>0</v>
      </c>
      <c r="U1789" s="19">
        <f t="shared" si="871"/>
        <v>0</v>
      </c>
      <c r="V1789" s="19">
        <f t="shared" si="857"/>
        <v>0</v>
      </c>
      <c r="W1789" s="20">
        <f t="shared" ca="1" si="872"/>
        <v>0</v>
      </c>
      <c r="X1789" s="19">
        <f t="shared" ca="1" si="873"/>
        <v>0</v>
      </c>
      <c r="Y1789" s="19">
        <f t="shared" ca="1" si="874"/>
        <v>0</v>
      </c>
      <c r="Z1789" s="20">
        <f t="shared" ca="1" si="875"/>
        <v>0</v>
      </c>
      <c r="AA1789" s="1">
        <f t="shared" si="853"/>
        <v>5432.58</v>
      </c>
      <c r="AB1789" s="91"/>
      <c r="AC1789" s="92"/>
      <c r="AD1789" s="101">
        <f t="shared" si="854"/>
        <v>93894</v>
      </c>
      <c r="AE1789" s="103">
        <f t="shared" si="855"/>
        <v>0</v>
      </c>
      <c r="AG1789" s="1">
        <f t="shared" si="876"/>
        <v>0</v>
      </c>
      <c r="AH1789" s="1">
        <f t="shared" si="877"/>
        <v>0</v>
      </c>
      <c r="AI1789" s="1">
        <f t="shared" si="856"/>
        <v>5432.58</v>
      </c>
      <c r="AJ1789" s="20">
        <f t="shared" si="858"/>
        <v>0</v>
      </c>
      <c r="AK1789" s="100">
        <f t="shared" si="860"/>
        <v>0</v>
      </c>
      <c r="AL1789" s="100">
        <f t="shared" si="861"/>
        <v>0</v>
      </c>
      <c r="AN1789" s="100">
        <f t="shared" si="862"/>
        <v>2229.3688200752254</v>
      </c>
      <c r="AO1789" s="20">
        <f t="shared" si="863"/>
        <v>0</v>
      </c>
      <c r="AQ1789" s="109">
        <f t="shared" si="864"/>
        <v>0</v>
      </c>
      <c r="AU1789" s="109">
        <f t="shared" si="849"/>
        <v>23.187605765146554</v>
      </c>
      <c r="AV1789" s="101">
        <f t="shared" si="865"/>
        <v>93924</v>
      </c>
      <c r="AW1789" s="99">
        <f t="shared" si="866"/>
        <v>0</v>
      </c>
      <c r="AX1789" s="1">
        <f t="shared" si="867"/>
        <v>0</v>
      </c>
      <c r="AY1789" s="29">
        <f t="shared" si="868"/>
        <v>0</v>
      </c>
      <c r="AZ1789" s="1">
        <f t="shared" si="850"/>
        <v>0</v>
      </c>
      <c r="CB1789" s="20">
        <f t="shared" si="859"/>
        <v>0</v>
      </c>
      <c r="CC1789" s="173">
        <f t="shared" si="851"/>
        <v>0</v>
      </c>
    </row>
    <row r="1790" spans="10:81" x14ac:dyDescent="0.25">
      <c r="J1790" s="9"/>
      <c r="K1790" s="10"/>
      <c r="L1790" s="17"/>
      <c r="M1790" s="23"/>
      <c r="N1790" s="23"/>
      <c r="O1790" s="23"/>
      <c r="P1790" s="23"/>
      <c r="Q1790" s="1">
        <f t="shared" si="852"/>
        <v>0.60744618579017706</v>
      </c>
      <c r="R1790" s="12">
        <f t="shared" ca="1" si="869"/>
        <v>52802</v>
      </c>
      <c r="S1790" s="88">
        <f t="shared" si="848"/>
        <v>0</v>
      </c>
      <c r="T1790" s="19">
        <f t="shared" si="870"/>
        <v>0</v>
      </c>
      <c r="U1790" s="19">
        <f t="shared" si="871"/>
        <v>0</v>
      </c>
      <c r="V1790" s="19">
        <f t="shared" si="857"/>
        <v>0</v>
      </c>
      <c r="W1790" s="20">
        <f t="shared" ca="1" si="872"/>
        <v>0</v>
      </c>
      <c r="X1790" s="19">
        <f t="shared" ca="1" si="873"/>
        <v>0</v>
      </c>
      <c r="Y1790" s="19">
        <f t="shared" ca="1" si="874"/>
        <v>0</v>
      </c>
      <c r="Z1790" s="20">
        <f t="shared" ca="1" si="875"/>
        <v>0</v>
      </c>
      <c r="AA1790" s="1">
        <f t="shared" si="853"/>
        <v>5432.58</v>
      </c>
      <c r="AB1790" s="93"/>
      <c r="AC1790" s="94"/>
      <c r="AD1790" s="101">
        <f t="shared" si="854"/>
        <v>93924</v>
      </c>
      <c r="AE1790" s="103">
        <f t="shared" si="855"/>
        <v>0</v>
      </c>
      <c r="AG1790" s="1">
        <f t="shared" si="876"/>
        <v>0</v>
      </c>
      <c r="AH1790" s="1">
        <f t="shared" si="877"/>
        <v>0</v>
      </c>
      <c r="AI1790" s="1">
        <f t="shared" si="856"/>
        <v>5432.58</v>
      </c>
      <c r="AJ1790" s="20">
        <f t="shared" si="858"/>
        <v>0</v>
      </c>
      <c r="AK1790" s="100">
        <f t="shared" si="860"/>
        <v>0</v>
      </c>
      <c r="AL1790" s="100">
        <f t="shared" si="861"/>
        <v>0</v>
      </c>
      <c r="AN1790" s="100">
        <f t="shared" si="862"/>
        <v>2228.240873059091</v>
      </c>
      <c r="AO1790" s="20">
        <f t="shared" si="863"/>
        <v>0</v>
      </c>
      <c r="AQ1790" s="109">
        <f t="shared" si="864"/>
        <v>0</v>
      </c>
      <c r="AU1790" s="109">
        <f t="shared" si="849"/>
        <v>23.185570587283898</v>
      </c>
      <c r="AV1790" s="101">
        <f t="shared" si="865"/>
        <v>93954</v>
      </c>
      <c r="AW1790" s="99">
        <f t="shared" si="866"/>
        <v>0</v>
      </c>
      <c r="AX1790" s="1">
        <f t="shared" si="867"/>
        <v>0</v>
      </c>
      <c r="AY1790" s="29">
        <f t="shared" si="868"/>
        <v>0</v>
      </c>
      <c r="AZ1790" s="1">
        <f t="shared" si="850"/>
        <v>0</v>
      </c>
      <c r="CB1790" s="20">
        <f t="shared" si="859"/>
        <v>0</v>
      </c>
      <c r="CC1790" s="173">
        <f t="shared" si="851"/>
        <v>0</v>
      </c>
    </row>
    <row r="1791" spans="10:81" x14ac:dyDescent="0.25">
      <c r="J1791" s="7"/>
      <c r="K1791" s="8"/>
      <c r="L1791" s="16"/>
      <c r="M1791" s="22"/>
      <c r="N1791" s="22"/>
      <c r="O1791" s="22"/>
      <c r="P1791" s="22"/>
      <c r="Q1791" s="1">
        <f t="shared" si="852"/>
        <v>0.60744618579017706</v>
      </c>
      <c r="R1791" s="12">
        <f t="shared" ca="1" si="869"/>
        <v>52832</v>
      </c>
      <c r="S1791" s="88">
        <f t="shared" si="848"/>
        <v>0</v>
      </c>
      <c r="T1791" s="19">
        <f t="shared" si="870"/>
        <v>0</v>
      </c>
      <c r="U1791" s="19">
        <f t="shared" si="871"/>
        <v>0</v>
      </c>
      <c r="V1791" s="19">
        <f t="shared" si="857"/>
        <v>0</v>
      </c>
      <c r="W1791" s="20">
        <f t="shared" ca="1" si="872"/>
        <v>0</v>
      </c>
      <c r="X1791" s="19">
        <f t="shared" ca="1" si="873"/>
        <v>0</v>
      </c>
      <c r="Y1791" s="19">
        <f t="shared" ca="1" si="874"/>
        <v>0</v>
      </c>
      <c r="Z1791" s="20">
        <f t="shared" ca="1" si="875"/>
        <v>0</v>
      </c>
      <c r="AA1791" s="1">
        <f t="shared" si="853"/>
        <v>5432.58</v>
      </c>
      <c r="AB1791" s="91"/>
      <c r="AC1791" s="92"/>
      <c r="AD1791" s="101">
        <f t="shared" si="854"/>
        <v>93954</v>
      </c>
      <c r="AE1791" s="103">
        <f t="shared" si="855"/>
        <v>0</v>
      </c>
      <c r="AG1791" s="1">
        <f t="shared" si="876"/>
        <v>0</v>
      </c>
      <c r="AH1791" s="1">
        <f t="shared" si="877"/>
        <v>0</v>
      </c>
      <c r="AI1791" s="1">
        <f t="shared" si="856"/>
        <v>5432.58</v>
      </c>
      <c r="AJ1791" s="20">
        <f t="shared" si="858"/>
        <v>0</v>
      </c>
      <c r="AK1791" s="100">
        <f t="shared" si="860"/>
        <v>0</v>
      </c>
      <c r="AL1791" s="100">
        <f t="shared" si="861"/>
        <v>0</v>
      </c>
      <c r="AN1791" s="100">
        <f t="shared" si="862"/>
        <v>2227.1134967266676</v>
      </c>
      <c r="AO1791" s="20">
        <f t="shared" si="863"/>
        <v>0</v>
      </c>
      <c r="AQ1791" s="109">
        <f t="shared" si="864"/>
        <v>0</v>
      </c>
      <c r="AU1791" s="109">
        <f t="shared" si="849"/>
        <v>23.183535588048951</v>
      </c>
      <c r="AV1791" s="101">
        <f t="shared" si="865"/>
        <v>93984</v>
      </c>
      <c r="AW1791" s="99">
        <f t="shared" si="866"/>
        <v>0</v>
      </c>
      <c r="AX1791" s="1">
        <f t="shared" si="867"/>
        <v>0</v>
      </c>
      <c r="AY1791" s="29">
        <f t="shared" si="868"/>
        <v>0</v>
      </c>
      <c r="AZ1791" s="1">
        <f t="shared" si="850"/>
        <v>0</v>
      </c>
      <c r="CB1791" s="20">
        <f t="shared" si="859"/>
        <v>0</v>
      </c>
      <c r="CC1791" s="173">
        <f t="shared" si="851"/>
        <v>0</v>
      </c>
    </row>
    <row r="1792" spans="10:81" x14ac:dyDescent="0.25">
      <c r="J1792" s="9"/>
      <c r="K1792" s="10"/>
      <c r="L1792" s="17"/>
      <c r="M1792" s="23"/>
      <c r="N1792" s="23"/>
      <c r="O1792" s="23"/>
      <c r="P1792" s="23"/>
      <c r="Q1792" s="1">
        <f t="shared" si="852"/>
        <v>0.60744618579017706</v>
      </c>
      <c r="R1792" s="12">
        <f t="shared" ca="1" si="869"/>
        <v>52862</v>
      </c>
      <c r="S1792" s="88">
        <f t="shared" si="848"/>
        <v>0</v>
      </c>
      <c r="T1792" s="19">
        <f t="shared" si="870"/>
        <v>0</v>
      </c>
      <c r="U1792" s="19">
        <f t="shared" si="871"/>
        <v>0</v>
      </c>
      <c r="V1792" s="19">
        <f t="shared" si="857"/>
        <v>0</v>
      </c>
      <c r="W1792" s="20">
        <f t="shared" ca="1" si="872"/>
        <v>0</v>
      </c>
      <c r="X1792" s="19">
        <f t="shared" ca="1" si="873"/>
        <v>0</v>
      </c>
      <c r="Y1792" s="19">
        <f t="shared" ca="1" si="874"/>
        <v>0</v>
      </c>
      <c r="Z1792" s="20">
        <f t="shared" ca="1" si="875"/>
        <v>0</v>
      </c>
      <c r="AA1792" s="1">
        <f t="shared" si="853"/>
        <v>5432.58</v>
      </c>
      <c r="AB1792" s="93"/>
      <c r="AC1792" s="94"/>
      <c r="AD1792" s="101">
        <f t="shared" si="854"/>
        <v>93984</v>
      </c>
      <c r="AE1792" s="103">
        <f t="shared" si="855"/>
        <v>0</v>
      </c>
      <c r="AG1792" s="1">
        <f t="shared" si="876"/>
        <v>0</v>
      </c>
      <c r="AH1792" s="1">
        <f t="shared" si="877"/>
        <v>0</v>
      </c>
      <c r="AI1792" s="1">
        <f t="shared" si="856"/>
        <v>5432.58</v>
      </c>
      <c r="AJ1792" s="20">
        <f t="shared" si="858"/>
        <v>0</v>
      </c>
      <c r="AK1792" s="100">
        <f t="shared" si="860"/>
        <v>0</v>
      </c>
      <c r="AL1792" s="100">
        <f t="shared" si="861"/>
        <v>0</v>
      </c>
      <c r="AN1792" s="100">
        <f t="shared" si="862"/>
        <v>2225.9866907892174</v>
      </c>
      <c r="AO1792" s="20">
        <f t="shared" si="863"/>
        <v>0</v>
      </c>
      <c r="AQ1792" s="109">
        <f t="shared" si="864"/>
        <v>0</v>
      </c>
      <c r="AU1792" s="109">
        <f t="shared" si="849"/>
        <v>23.181500767426034</v>
      </c>
      <c r="AV1792" s="101">
        <f t="shared" si="865"/>
        <v>94014</v>
      </c>
      <c r="AW1792" s="99">
        <f t="shared" si="866"/>
        <v>0</v>
      </c>
      <c r="AX1792" s="1">
        <f t="shared" si="867"/>
        <v>0</v>
      </c>
      <c r="AY1792" s="29">
        <f t="shared" si="868"/>
        <v>0</v>
      </c>
      <c r="AZ1792" s="1">
        <f t="shared" si="850"/>
        <v>0</v>
      </c>
      <c r="CB1792" s="20">
        <f t="shared" si="859"/>
        <v>0</v>
      </c>
      <c r="CC1792" s="173">
        <f t="shared" si="851"/>
        <v>0</v>
      </c>
    </row>
    <row r="1793" spans="10:81" x14ac:dyDescent="0.25">
      <c r="J1793" s="7"/>
      <c r="K1793" s="8"/>
      <c r="L1793" s="16"/>
      <c r="M1793" s="22"/>
      <c r="N1793" s="22"/>
      <c r="O1793" s="22"/>
      <c r="P1793" s="22"/>
      <c r="Q1793" s="1">
        <f t="shared" si="852"/>
        <v>0.60744618579017706</v>
      </c>
      <c r="R1793" s="12">
        <f t="shared" ca="1" si="869"/>
        <v>52892</v>
      </c>
      <c r="S1793" s="88">
        <f t="shared" si="848"/>
        <v>0</v>
      </c>
      <c r="T1793" s="19">
        <f t="shared" si="870"/>
        <v>0</v>
      </c>
      <c r="U1793" s="19">
        <f t="shared" si="871"/>
        <v>0</v>
      </c>
      <c r="V1793" s="19">
        <f t="shared" si="857"/>
        <v>0</v>
      </c>
      <c r="W1793" s="20">
        <f t="shared" ca="1" si="872"/>
        <v>0</v>
      </c>
      <c r="X1793" s="19">
        <f t="shared" ca="1" si="873"/>
        <v>0</v>
      </c>
      <c r="Y1793" s="19">
        <f t="shared" ca="1" si="874"/>
        <v>0</v>
      </c>
      <c r="Z1793" s="20">
        <f t="shared" ca="1" si="875"/>
        <v>0</v>
      </c>
      <c r="AA1793" s="1">
        <f t="shared" si="853"/>
        <v>5432.58</v>
      </c>
      <c r="AB1793" s="91"/>
      <c r="AC1793" s="92"/>
      <c r="AD1793" s="101">
        <f t="shared" si="854"/>
        <v>94014</v>
      </c>
      <c r="AE1793" s="103">
        <f t="shared" si="855"/>
        <v>0</v>
      </c>
      <c r="AG1793" s="1">
        <f t="shared" si="876"/>
        <v>0</v>
      </c>
      <c r="AH1793" s="1">
        <f t="shared" si="877"/>
        <v>0</v>
      </c>
      <c r="AI1793" s="1">
        <f t="shared" si="856"/>
        <v>5432.58</v>
      </c>
      <c r="AJ1793" s="20">
        <f t="shared" si="858"/>
        <v>0</v>
      </c>
      <c r="AK1793" s="100">
        <f t="shared" si="860"/>
        <v>0</v>
      </c>
      <c r="AL1793" s="100">
        <f t="shared" si="861"/>
        <v>0</v>
      </c>
      <c r="AN1793" s="100">
        <f t="shared" si="862"/>
        <v>2224.8604549581505</v>
      </c>
      <c r="AO1793" s="20">
        <f t="shared" si="863"/>
        <v>0</v>
      </c>
      <c r="AQ1793" s="109">
        <f t="shared" si="864"/>
        <v>0</v>
      </c>
      <c r="AU1793" s="109">
        <f t="shared" si="849"/>
        <v>23.179466125399475</v>
      </c>
      <c r="AV1793" s="101">
        <f t="shared" si="865"/>
        <v>94044</v>
      </c>
      <c r="AW1793" s="99">
        <f t="shared" si="866"/>
        <v>0</v>
      </c>
      <c r="AX1793" s="1">
        <f t="shared" si="867"/>
        <v>0</v>
      </c>
      <c r="AY1793" s="29">
        <f t="shared" si="868"/>
        <v>0</v>
      </c>
      <c r="AZ1793" s="1">
        <f t="shared" si="850"/>
        <v>0</v>
      </c>
      <c r="CB1793" s="20">
        <f t="shared" si="859"/>
        <v>0</v>
      </c>
      <c r="CC1793" s="173">
        <f t="shared" si="851"/>
        <v>0</v>
      </c>
    </row>
    <row r="1794" spans="10:81" x14ac:dyDescent="0.25">
      <c r="J1794" s="9"/>
      <c r="K1794" s="10"/>
      <c r="L1794" s="17"/>
      <c r="M1794" s="23"/>
      <c r="N1794" s="23"/>
      <c r="O1794" s="23"/>
      <c r="P1794" s="23"/>
      <c r="Q1794" s="1">
        <f t="shared" si="852"/>
        <v>0.60744618579017706</v>
      </c>
      <c r="R1794" s="12">
        <f t="shared" ca="1" si="869"/>
        <v>52922</v>
      </c>
      <c r="S1794" s="88">
        <f t="shared" si="848"/>
        <v>0</v>
      </c>
      <c r="T1794" s="19">
        <f t="shared" si="870"/>
        <v>0</v>
      </c>
      <c r="U1794" s="19">
        <f t="shared" si="871"/>
        <v>0</v>
      </c>
      <c r="V1794" s="19">
        <f t="shared" si="857"/>
        <v>0</v>
      </c>
      <c r="W1794" s="20">
        <f t="shared" ca="1" si="872"/>
        <v>0</v>
      </c>
      <c r="X1794" s="19">
        <f t="shared" ca="1" si="873"/>
        <v>0</v>
      </c>
      <c r="Y1794" s="19">
        <f t="shared" ca="1" si="874"/>
        <v>0</v>
      </c>
      <c r="Z1794" s="20">
        <f t="shared" ca="1" si="875"/>
        <v>0</v>
      </c>
      <c r="AA1794" s="1">
        <f t="shared" si="853"/>
        <v>5432.58</v>
      </c>
      <c r="AB1794" s="93"/>
      <c r="AC1794" s="94"/>
      <c r="AD1794" s="101">
        <f t="shared" si="854"/>
        <v>94044</v>
      </c>
      <c r="AE1794" s="103">
        <f t="shared" si="855"/>
        <v>0</v>
      </c>
      <c r="AG1794" s="1">
        <f t="shared" si="876"/>
        <v>0</v>
      </c>
      <c r="AH1794" s="1">
        <f t="shared" si="877"/>
        <v>0</v>
      </c>
      <c r="AI1794" s="1">
        <f t="shared" si="856"/>
        <v>5432.58</v>
      </c>
      <c r="AJ1794" s="20">
        <f t="shared" si="858"/>
        <v>0</v>
      </c>
      <c r="AK1794" s="100">
        <f t="shared" si="860"/>
        <v>0</v>
      </c>
      <c r="AL1794" s="100">
        <f t="shared" si="861"/>
        <v>0</v>
      </c>
      <c r="AN1794" s="100">
        <f t="shared" si="862"/>
        <v>2223.7347889450225</v>
      </c>
      <c r="AO1794" s="20">
        <f t="shared" si="863"/>
        <v>0</v>
      </c>
      <c r="AQ1794" s="109">
        <f t="shared" si="864"/>
        <v>0</v>
      </c>
      <c r="AU1794" s="109">
        <f t="shared" si="849"/>
        <v>23.177431661953584</v>
      </c>
      <c r="AV1794" s="101">
        <f t="shared" si="865"/>
        <v>94074</v>
      </c>
      <c r="AW1794" s="99">
        <f t="shared" si="866"/>
        <v>0</v>
      </c>
      <c r="AX1794" s="1">
        <f t="shared" si="867"/>
        <v>0</v>
      </c>
      <c r="AY1794" s="29">
        <f t="shared" si="868"/>
        <v>0</v>
      </c>
      <c r="AZ1794" s="1">
        <f t="shared" si="850"/>
        <v>0</v>
      </c>
      <c r="CB1794" s="20">
        <f t="shared" si="859"/>
        <v>0</v>
      </c>
      <c r="CC1794" s="173">
        <f t="shared" si="851"/>
        <v>0</v>
      </c>
    </row>
    <row r="1795" spans="10:81" x14ac:dyDescent="0.25">
      <c r="J1795" s="7"/>
      <c r="K1795" s="8"/>
      <c r="L1795" s="16"/>
      <c r="M1795" s="22"/>
      <c r="N1795" s="22"/>
      <c r="O1795" s="22"/>
      <c r="P1795" s="22"/>
      <c r="Q1795" s="1">
        <f t="shared" si="852"/>
        <v>0.60744618579017706</v>
      </c>
      <c r="R1795" s="12">
        <f t="shared" ca="1" si="869"/>
        <v>52952</v>
      </c>
      <c r="S1795" s="88">
        <f t="shared" ref="S1795:S1858" si="878">N1795+M1795</f>
        <v>0</v>
      </c>
      <c r="T1795" s="19">
        <f t="shared" si="870"/>
        <v>0</v>
      </c>
      <c r="U1795" s="19">
        <f t="shared" si="871"/>
        <v>0</v>
      </c>
      <c r="V1795" s="19">
        <f t="shared" si="857"/>
        <v>0</v>
      </c>
      <c r="W1795" s="20">
        <f t="shared" ca="1" si="872"/>
        <v>0</v>
      </c>
      <c r="X1795" s="19">
        <f t="shared" ca="1" si="873"/>
        <v>0</v>
      </c>
      <c r="Y1795" s="19">
        <f t="shared" ca="1" si="874"/>
        <v>0</v>
      </c>
      <c r="Z1795" s="20">
        <f t="shared" ca="1" si="875"/>
        <v>0</v>
      </c>
      <c r="AA1795" s="1">
        <f t="shared" si="853"/>
        <v>5432.58</v>
      </c>
      <c r="AB1795" s="91"/>
      <c r="AC1795" s="92"/>
      <c r="AD1795" s="101">
        <f t="shared" si="854"/>
        <v>94074</v>
      </c>
      <c r="AE1795" s="103">
        <f t="shared" si="855"/>
        <v>0</v>
      </c>
      <c r="AG1795" s="1">
        <f t="shared" si="876"/>
        <v>0</v>
      </c>
      <c r="AH1795" s="1">
        <f t="shared" si="877"/>
        <v>0</v>
      </c>
      <c r="AI1795" s="1">
        <f t="shared" si="856"/>
        <v>5432.58</v>
      </c>
      <c r="AJ1795" s="20">
        <f t="shared" si="858"/>
        <v>0</v>
      </c>
      <c r="AK1795" s="100">
        <f t="shared" si="860"/>
        <v>0</v>
      </c>
      <c r="AL1795" s="100">
        <f t="shared" si="861"/>
        <v>0</v>
      </c>
      <c r="AN1795" s="100">
        <f t="shared" si="862"/>
        <v>2222.6096924615326</v>
      </c>
      <c r="AO1795" s="20">
        <f t="shared" si="863"/>
        <v>0</v>
      </c>
      <c r="AQ1795" s="109">
        <f t="shared" si="864"/>
        <v>0</v>
      </c>
      <c r="AU1795" s="109">
        <f t="shared" si="849"/>
        <v>23.17539737707272</v>
      </c>
      <c r="AV1795" s="101">
        <f t="shared" si="865"/>
        <v>94104</v>
      </c>
      <c r="AW1795" s="99">
        <f t="shared" si="866"/>
        <v>0</v>
      </c>
      <c r="AX1795" s="1">
        <f t="shared" si="867"/>
        <v>0</v>
      </c>
      <c r="AY1795" s="29">
        <f t="shared" si="868"/>
        <v>0</v>
      </c>
      <c r="AZ1795" s="1">
        <f t="shared" si="850"/>
        <v>0</v>
      </c>
      <c r="CB1795" s="20">
        <f t="shared" si="859"/>
        <v>0</v>
      </c>
      <c r="CC1795" s="173">
        <f t="shared" si="851"/>
        <v>0</v>
      </c>
    </row>
    <row r="1796" spans="10:81" x14ac:dyDescent="0.25">
      <c r="J1796" s="9"/>
      <c r="K1796" s="10"/>
      <c r="L1796" s="17"/>
      <c r="M1796" s="23"/>
      <c r="N1796" s="23"/>
      <c r="O1796" s="23"/>
      <c r="P1796" s="23"/>
      <c r="Q1796" s="1">
        <f t="shared" si="852"/>
        <v>0.60744618579017706</v>
      </c>
      <c r="R1796" s="12">
        <f t="shared" ca="1" si="869"/>
        <v>52982</v>
      </c>
      <c r="S1796" s="88">
        <f t="shared" si="878"/>
        <v>0</v>
      </c>
      <c r="T1796" s="19">
        <f t="shared" si="870"/>
        <v>0</v>
      </c>
      <c r="U1796" s="19">
        <f t="shared" si="871"/>
        <v>0</v>
      </c>
      <c r="V1796" s="19">
        <f t="shared" si="857"/>
        <v>0</v>
      </c>
      <c r="W1796" s="20">
        <f t="shared" ca="1" si="872"/>
        <v>0</v>
      </c>
      <c r="X1796" s="19">
        <f t="shared" ca="1" si="873"/>
        <v>0</v>
      </c>
      <c r="Y1796" s="19">
        <f t="shared" ca="1" si="874"/>
        <v>0</v>
      </c>
      <c r="Z1796" s="20">
        <f t="shared" ca="1" si="875"/>
        <v>0</v>
      </c>
      <c r="AA1796" s="1">
        <f t="shared" si="853"/>
        <v>5432.58</v>
      </c>
      <c r="AB1796" s="93"/>
      <c r="AC1796" s="94"/>
      <c r="AD1796" s="101">
        <f t="shared" si="854"/>
        <v>94104</v>
      </c>
      <c r="AE1796" s="103">
        <f t="shared" si="855"/>
        <v>0</v>
      </c>
      <c r="AG1796" s="1">
        <f t="shared" si="876"/>
        <v>0</v>
      </c>
      <c r="AH1796" s="1">
        <f t="shared" si="877"/>
        <v>0</v>
      </c>
      <c r="AI1796" s="1">
        <f t="shared" si="856"/>
        <v>5432.58</v>
      </c>
      <c r="AJ1796" s="20">
        <f t="shared" si="858"/>
        <v>0</v>
      </c>
      <c r="AK1796" s="100">
        <f t="shared" si="860"/>
        <v>0</v>
      </c>
      <c r="AL1796" s="100">
        <f t="shared" si="861"/>
        <v>0</v>
      </c>
      <c r="AN1796" s="100">
        <f t="shared" si="862"/>
        <v>2221.4851652195312</v>
      </c>
      <c r="AO1796" s="20">
        <f t="shared" si="863"/>
        <v>0</v>
      </c>
      <c r="AQ1796" s="109">
        <f t="shared" si="864"/>
        <v>0</v>
      </c>
      <c r="AU1796" s="109">
        <f t="shared" si="849"/>
        <v>23.17336327074117</v>
      </c>
      <c r="AV1796" s="101">
        <f t="shared" si="865"/>
        <v>94134</v>
      </c>
      <c r="AW1796" s="99">
        <f t="shared" si="866"/>
        <v>0</v>
      </c>
      <c r="AX1796" s="1">
        <f t="shared" si="867"/>
        <v>0</v>
      </c>
      <c r="AY1796" s="29">
        <f t="shared" si="868"/>
        <v>0</v>
      </c>
      <c r="AZ1796" s="1">
        <f t="shared" si="850"/>
        <v>0</v>
      </c>
      <c r="CB1796" s="20">
        <f t="shared" si="859"/>
        <v>0</v>
      </c>
      <c r="CC1796" s="173">
        <f t="shared" si="851"/>
        <v>0</v>
      </c>
    </row>
    <row r="1797" spans="10:81" x14ac:dyDescent="0.25">
      <c r="J1797" s="7"/>
      <c r="K1797" s="8"/>
      <c r="L1797" s="16"/>
      <c r="M1797" s="22"/>
      <c r="N1797" s="22"/>
      <c r="O1797" s="22"/>
      <c r="P1797" s="22"/>
      <c r="Q1797" s="1">
        <f t="shared" si="852"/>
        <v>0.60744618579017706</v>
      </c>
      <c r="R1797" s="12">
        <f t="shared" ca="1" si="869"/>
        <v>53012</v>
      </c>
      <c r="S1797" s="88">
        <f t="shared" si="878"/>
        <v>0</v>
      </c>
      <c r="T1797" s="19">
        <f t="shared" si="870"/>
        <v>0</v>
      </c>
      <c r="U1797" s="19">
        <f t="shared" si="871"/>
        <v>0</v>
      </c>
      <c r="V1797" s="19">
        <f t="shared" si="857"/>
        <v>0</v>
      </c>
      <c r="W1797" s="20">
        <f t="shared" ca="1" si="872"/>
        <v>0</v>
      </c>
      <c r="X1797" s="19">
        <f t="shared" ca="1" si="873"/>
        <v>0</v>
      </c>
      <c r="Y1797" s="19">
        <f t="shared" ca="1" si="874"/>
        <v>0</v>
      </c>
      <c r="Z1797" s="20">
        <f t="shared" ca="1" si="875"/>
        <v>0</v>
      </c>
      <c r="AA1797" s="1">
        <f t="shared" si="853"/>
        <v>5432.58</v>
      </c>
      <c r="AB1797" s="91"/>
      <c r="AC1797" s="92"/>
      <c r="AD1797" s="101">
        <f t="shared" si="854"/>
        <v>94134</v>
      </c>
      <c r="AE1797" s="103">
        <f t="shared" si="855"/>
        <v>0</v>
      </c>
      <c r="AG1797" s="1">
        <f t="shared" si="876"/>
        <v>0</v>
      </c>
      <c r="AH1797" s="1">
        <f t="shared" si="877"/>
        <v>0</v>
      </c>
      <c r="AI1797" s="1">
        <f t="shared" si="856"/>
        <v>5432.58</v>
      </c>
      <c r="AJ1797" s="20">
        <f t="shared" si="858"/>
        <v>0</v>
      </c>
      <c r="AK1797" s="100">
        <f t="shared" si="860"/>
        <v>0</v>
      </c>
      <c r="AL1797" s="100">
        <f t="shared" si="861"/>
        <v>0</v>
      </c>
      <c r="AN1797" s="100">
        <f t="shared" si="862"/>
        <v>2220.3612069310093</v>
      </c>
      <c r="AO1797" s="20">
        <f t="shared" si="863"/>
        <v>0</v>
      </c>
      <c r="AQ1797" s="109">
        <f t="shared" si="864"/>
        <v>0</v>
      </c>
      <c r="AU1797" s="109">
        <f t="shared" si="849"/>
        <v>23.171329342943306</v>
      </c>
      <c r="AV1797" s="101">
        <f t="shared" si="865"/>
        <v>94164</v>
      </c>
      <c r="AW1797" s="99">
        <f t="shared" si="866"/>
        <v>0</v>
      </c>
      <c r="AX1797" s="1">
        <f t="shared" si="867"/>
        <v>0</v>
      </c>
      <c r="AY1797" s="29">
        <f t="shared" si="868"/>
        <v>0</v>
      </c>
      <c r="AZ1797" s="1">
        <f t="shared" si="850"/>
        <v>0</v>
      </c>
      <c r="CB1797" s="20">
        <f t="shared" si="859"/>
        <v>0</v>
      </c>
      <c r="CC1797" s="173">
        <f t="shared" si="851"/>
        <v>0</v>
      </c>
    </row>
    <row r="1798" spans="10:81" x14ac:dyDescent="0.25">
      <c r="J1798" s="9"/>
      <c r="K1798" s="10"/>
      <c r="L1798" s="17"/>
      <c r="M1798" s="23"/>
      <c r="N1798" s="23"/>
      <c r="O1798" s="23"/>
      <c r="P1798" s="23"/>
      <c r="Q1798" s="1">
        <f t="shared" si="852"/>
        <v>0.60744618579017706</v>
      </c>
      <c r="R1798" s="12">
        <f t="shared" ca="1" si="869"/>
        <v>53042</v>
      </c>
      <c r="S1798" s="88">
        <f t="shared" si="878"/>
        <v>0</v>
      </c>
      <c r="T1798" s="19">
        <f t="shared" si="870"/>
        <v>0</v>
      </c>
      <c r="U1798" s="19">
        <f t="shared" si="871"/>
        <v>0</v>
      </c>
      <c r="V1798" s="19">
        <f t="shared" si="857"/>
        <v>0</v>
      </c>
      <c r="W1798" s="20">
        <f t="shared" ca="1" si="872"/>
        <v>0</v>
      </c>
      <c r="X1798" s="19">
        <f t="shared" ca="1" si="873"/>
        <v>0</v>
      </c>
      <c r="Y1798" s="19">
        <f t="shared" ca="1" si="874"/>
        <v>0</v>
      </c>
      <c r="Z1798" s="20">
        <f t="shared" ca="1" si="875"/>
        <v>0</v>
      </c>
      <c r="AA1798" s="1">
        <f t="shared" si="853"/>
        <v>5432.58</v>
      </c>
      <c r="AB1798" s="93"/>
      <c r="AC1798" s="94"/>
      <c r="AD1798" s="101">
        <f t="shared" si="854"/>
        <v>94164</v>
      </c>
      <c r="AE1798" s="103">
        <f t="shared" si="855"/>
        <v>0</v>
      </c>
      <c r="AG1798" s="1">
        <f t="shared" si="876"/>
        <v>0</v>
      </c>
      <c r="AH1798" s="1">
        <f t="shared" si="877"/>
        <v>0</v>
      </c>
      <c r="AI1798" s="1">
        <f t="shared" si="856"/>
        <v>5432.58</v>
      </c>
      <c r="AJ1798" s="20">
        <f t="shared" si="858"/>
        <v>0</v>
      </c>
      <c r="AK1798" s="100">
        <f t="shared" si="860"/>
        <v>0</v>
      </c>
      <c r="AL1798" s="100">
        <f t="shared" si="861"/>
        <v>0</v>
      </c>
      <c r="AN1798" s="100">
        <f t="shared" si="862"/>
        <v>2219.2378173081047</v>
      </c>
      <c r="AO1798" s="20">
        <f t="shared" si="863"/>
        <v>0</v>
      </c>
      <c r="AQ1798" s="109">
        <f t="shared" si="864"/>
        <v>0</v>
      </c>
      <c r="AU1798" s="109">
        <f t="shared" si="849"/>
        <v>23.169295593663414</v>
      </c>
      <c r="AV1798" s="101">
        <f t="shared" si="865"/>
        <v>94194</v>
      </c>
      <c r="AW1798" s="99">
        <f t="shared" si="866"/>
        <v>0</v>
      </c>
      <c r="AX1798" s="1">
        <f t="shared" si="867"/>
        <v>0</v>
      </c>
      <c r="AY1798" s="29">
        <f t="shared" si="868"/>
        <v>0</v>
      </c>
      <c r="AZ1798" s="1">
        <f t="shared" si="850"/>
        <v>0</v>
      </c>
      <c r="CB1798" s="20">
        <f t="shared" si="859"/>
        <v>0</v>
      </c>
      <c r="CC1798" s="173">
        <f t="shared" si="851"/>
        <v>0</v>
      </c>
    </row>
    <row r="1799" spans="10:81" x14ac:dyDescent="0.25">
      <c r="J1799" s="7"/>
      <c r="K1799" s="8"/>
      <c r="L1799" s="16"/>
      <c r="M1799" s="22"/>
      <c r="N1799" s="22"/>
      <c r="O1799" s="22"/>
      <c r="P1799" s="22"/>
      <c r="Q1799" s="1">
        <f t="shared" si="852"/>
        <v>0.60744618579017706</v>
      </c>
      <c r="R1799" s="12">
        <f t="shared" ca="1" si="869"/>
        <v>53072</v>
      </c>
      <c r="S1799" s="88">
        <f t="shared" si="878"/>
        <v>0</v>
      </c>
      <c r="T1799" s="19">
        <f t="shared" si="870"/>
        <v>0</v>
      </c>
      <c r="U1799" s="19">
        <f t="shared" si="871"/>
        <v>0</v>
      </c>
      <c r="V1799" s="19">
        <f t="shared" si="857"/>
        <v>0</v>
      </c>
      <c r="W1799" s="20">
        <f t="shared" ca="1" si="872"/>
        <v>0</v>
      </c>
      <c r="X1799" s="19">
        <f t="shared" ca="1" si="873"/>
        <v>0</v>
      </c>
      <c r="Y1799" s="19">
        <f t="shared" ca="1" si="874"/>
        <v>0</v>
      </c>
      <c r="Z1799" s="20">
        <f t="shared" ca="1" si="875"/>
        <v>0</v>
      </c>
      <c r="AA1799" s="1">
        <f t="shared" si="853"/>
        <v>5432.58</v>
      </c>
      <c r="AB1799" s="91"/>
      <c r="AC1799" s="92"/>
      <c r="AD1799" s="101">
        <f t="shared" si="854"/>
        <v>94194</v>
      </c>
      <c r="AE1799" s="103">
        <f t="shared" si="855"/>
        <v>0</v>
      </c>
      <c r="AG1799" s="1">
        <f t="shared" si="876"/>
        <v>0</v>
      </c>
      <c r="AH1799" s="1">
        <f t="shared" si="877"/>
        <v>0</v>
      </c>
      <c r="AI1799" s="1">
        <f t="shared" si="856"/>
        <v>5432.58</v>
      </c>
      <c r="AJ1799" s="20">
        <f t="shared" si="858"/>
        <v>0</v>
      </c>
      <c r="AK1799" s="100">
        <f t="shared" si="860"/>
        <v>0</v>
      </c>
      <c r="AL1799" s="100">
        <f t="shared" si="861"/>
        <v>0</v>
      </c>
      <c r="AN1799" s="100">
        <f t="shared" si="862"/>
        <v>2218.1149960631019</v>
      </c>
      <c r="AO1799" s="20">
        <f t="shared" si="863"/>
        <v>0</v>
      </c>
      <c r="AQ1799" s="109">
        <f t="shared" si="864"/>
        <v>0</v>
      </c>
      <c r="AU1799" s="109">
        <f t="shared" si="849"/>
        <v>23.167262022885854</v>
      </c>
      <c r="AV1799" s="101">
        <f t="shared" si="865"/>
        <v>94224</v>
      </c>
      <c r="AW1799" s="99">
        <f t="shared" si="866"/>
        <v>0</v>
      </c>
      <c r="AX1799" s="1">
        <f t="shared" si="867"/>
        <v>0</v>
      </c>
      <c r="AY1799" s="29">
        <f t="shared" si="868"/>
        <v>0</v>
      </c>
      <c r="AZ1799" s="1">
        <f t="shared" si="850"/>
        <v>0</v>
      </c>
      <c r="CB1799" s="20">
        <f t="shared" si="859"/>
        <v>0</v>
      </c>
      <c r="CC1799" s="173">
        <f t="shared" si="851"/>
        <v>0</v>
      </c>
    </row>
    <row r="1800" spans="10:81" x14ac:dyDescent="0.25">
      <c r="J1800" s="9"/>
      <c r="K1800" s="10"/>
      <c r="L1800" s="17"/>
      <c r="M1800" s="23"/>
      <c r="N1800" s="23"/>
      <c r="O1800" s="23"/>
      <c r="P1800" s="23"/>
      <c r="Q1800" s="1">
        <f t="shared" si="852"/>
        <v>0.60744618579017706</v>
      </c>
      <c r="R1800" s="12">
        <f t="shared" ca="1" si="869"/>
        <v>53102</v>
      </c>
      <c r="S1800" s="88">
        <f t="shared" si="878"/>
        <v>0</v>
      </c>
      <c r="T1800" s="19">
        <f t="shared" si="870"/>
        <v>0</v>
      </c>
      <c r="U1800" s="19">
        <f t="shared" si="871"/>
        <v>0</v>
      </c>
      <c r="V1800" s="19">
        <f t="shared" si="857"/>
        <v>0</v>
      </c>
      <c r="W1800" s="20">
        <f t="shared" ca="1" si="872"/>
        <v>0</v>
      </c>
      <c r="X1800" s="19">
        <f t="shared" ca="1" si="873"/>
        <v>0</v>
      </c>
      <c r="Y1800" s="19">
        <f t="shared" ca="1" si="874"/>
        <v>0</v>
      </c>
      <c r="Z1800" s="20">
        <f t="shared" ca="1" si="875"/>
        <v>0</v>
      </c>
      <c r="AA1800" s="1">
        <f t="shared" si="853"/>
        <v>5432.58</v>
      </c>
      <c r="AB1800" s="93"/>
      <c r="AC1800" s="94"/>
      <c r="AD1800" s="101">
        <f t="shared" si="854"/>
        <v>94224</v>
      </c>
      <c r="AE1800" s="103">
        <f t="shared" si="855"/>
        <v>0</v>
      </c>
      <c r="AG1800" s="1">
        <f t="shared" si="876"/>
        <v>0</v>
      </c>
      <c r="AH1800" s="1">
        <f t="shared" si="877"/>
        <v>0</v>
      </c>
      <c r="AI1800" s="1">
        <f t="shared" si="856"/>
        <v>5432.58</v>
      </c>
      <c r="AJ1800" s="20">
        <f t="shared" si="858"/>
        <v>0</v>
      </c>
      <c r="AK1800" s="100">
        <f t="shared" si="860"/>
        <v>0</v>
      </c>
      <c r="AL1800" s="100">
        <f t="shared" si="861"/>
        <v>0</v>
      </c>
      <c r="AN1800" s="100">
        <f t="shared" si="862"/>
        <v>2216.9927429084319</v>
      </c>
      <c r="AO1800" s="20">
        <f t="shared" si="863"/>
        <v>0</v>
      </c>
      <c r="AQ1800" s="109">
        <f t="shared" si="864"/>
        <v>0</v>
      </c>
      <c r="AU1800" s="109">
        <f t="shared" si="849"/>
        <v>23.165228630594942</v>
      </c>
      <c r="AV1800" s="101">
        <f t="shared" si="865"/>
        <v>94254</v>
      </c>
      <c r="AW1800" s="99">
        <f t="shared" si="866"/>
        <v>0</v>
      </c>
      <c r="AX1800" s="1">
        <f t="shared" si="867"/>
        <v>0</v>
      </c>
      <c r="AY1800" s="29">
        <f t="shared" si="868"/>
        <v>0</v>
      </c>
      <c r="AZ1800" s="1">
        <f t="shared" si="850"/>
        <v>0</v>
      </c>
      <c r="CB1800" s="20">
        <f t="shared" si="859"/>
        <v>0</v>
      </c>
      <c r="CC1800" s="173">
        <f t="shared" si="851"/>
        <v>0</v>
      </c>
    </row>
    <row r="1801" spans="10:81" x14ac:dyDescent="0.25">
      <c r="J1801" s="7"/>
      <c r="K1801" s="8"/>
      <c r="L1801" s="16"/>
      <c r="M1801" s="22"/>
      <c r="N1801" s="22"/>
      <c r="O1801" s="22"/>
      <c r="P1801" s="22"/>
      <c r="Q1801" s="1">
        <f t="shared" si="852"/>
        <v>0.60744618579017706</v>
      </c>
      <c r="R1801" s="12">
        <f t="shared" ca="1" si="869"/>
        <v>53132</v>
      </c>
      <c r="S1801" s="88">
        <f t="shared" si="878"/>
        <v>0</v>
      </c>
      <c r="T1801" s="19">
        <f t="shared" si="870"/>
        <v>0</v>
      </c>
      <c r="U1801" s="19">
        <f t="shared" si="871"/>
        <v>0</v>
      </c>
      <c r="V1801" s="19">
        <f t="shared" si="857"/>
        <v>0</v>
      </c>
      <c r="W1801" s="20">
        <f t="shared" ca="1" si="872"/>
        <v>0</v>
      </c>
      <c r="X1801" s="19">
        <f t="shared" ca="1" si="873"/>
        <v>0</v>
      </c>
      <c r="Y1801" s="19">
        <f t="shared" ca="1" si="874"/>
        <v>0</v>
      </c>
      <c r="Z1801" s="20">
        <f t="shared" ca="1" si="875"/>
        <v>0</v>
      </c>
      <c r="AA1801" s="1">
        <f t="shared" si="853"/>
        <v>5432.58</v>
      </c>
      <c r="AB1801" s="91"/>
      <c r="AC1801" s="92"/>
      <c r="AD1801" s="101">
        <f t="shared" si="854"/>
        <v>94254</v>
      </c>
      <c r="AE1801" s="103">
        <f t="shared" si="855"/>
        <v>0</v>
      </c>
      <c r="AG1801" s="1">
        <f t="shared" si="876"/>
        <v>0</v>
      </c>
      <c r="AH1801" s="1">
        <f t="shared" si="877"/>
        <v>0</v>
      </c>
      <c r="AI1801" s="1">
        <f t="shared" si="856"/>
        <v>5432.58</v>
      </c>
      <c r="AJ1801" s="20">
        <f t="shared" si="858"/>
        <v>0</v>
      </c>
      <c r="AK1801" s="100">
        <f t="shared" si="860"/>
        <v>0</v>
      </c>
      <c r="AL1801" s="100">
        <f t="shared" si="861"/>
        <v>0</v>
      </c>
      <c r="AN1801" s="100">
        <f t="shared" si="862"/>
        <v>2215.8710575566679</v>
      </c>
      <c r="AO1801" s="20">
        <f t="shared" si="863"/>
        <v>0</v>
      </c>
      <c r="AQ1801" s="109">
        <f t="shared" si="864"/>
        <v>0</v>
      </c>
      <c r="AU1801" s="109">
        <f t="shared" si="849"/>
        <v>23.163195416775036</v>
      </c>
      <c r="AV1801" s="101">
        <f t="shared" si="865"/>
        <v>94284</v>
      </c>
      <c r="AW1801" s="99">
        <f t="shared" si="866"/>
        <v>0</v>
      </c>
      <c r="AX1801" s="1">
        <f t="shared" si="867"/>
        <v>0</v>
      </c>
      <c r="AY1801" s="29">
        <f t="shared" si="868"/>
        <v>0</v>
      </c>
      <c r="AZ1801" s="1">
        <f t="shared" si="850"/>
        <v>0</v>
      </c>
      <c r="CB1801" s="20">
        <f t="shared" si="859"/>
        <v>0</v>
      </c>
      <c r="CC1801" s="173">
        <f t="shared" si="851"/>
        <v>0</v>
      </c>
    </row>
    <row r="1802" spans="10:81" x14ac:dyDescent="0.25">
      <c r="J1802" s="9"/>
      <c r="K1802" s="10"/>
      <c r="L1802" s="17"/>
      <c r="M1802" s="23"/>
      <c r="N1802" s="23"/>
      <c r="O1802" s="23"/>
      <c r="P1802" s="23"/>
      <c r="Q1802" s="1">
        <f t="shared" si="852"/>
        <v>0.60744618579017706</v>
      </c>
      <c r="R1802" s="12">
        <f t="shared" ca="1" si="869"/>
        <v>53162</v>
      </c>
      <c r="S1802" s="88">
        <f t="shared" si="878"/>
        <v>0</v>
      </c>
      <c r="T1802" s="19">
        <f t="shared" si="870"/>
        <v>0</v>
      </c>
      <c r="U1802" s="19">
        <f t="shared" si="871"/>
        <v>0</v>
      </c>
      <c r="V1802" s="19">
        <f t="shared" si="857"/>
        <v>0</v>
      </c>
      <c r="W1802" s="20">
        <f t="shared" ca="1" si="872"/>
        <v>0</v>
      </c>
      <c r="X1802" s="19">
        <f t="shared" ca="1" si="873"/>
        <v>0</v>
      </c>
      <c r="Y1802" s="19">
        <f t="shared" ca="1" si="874"/>
        <v>0</v>
      </c>
      <c r="Z1802" s="20">
        <f t="shared" ca="1" si="875"/>
        <v>0</v>
      </c>
      <c r="AA1802" s="1">
        <f t="shared" si="853"/>
        <v>5432.58</v>
      </c>
      <c r="AB1802" s="93"/>
      <c r="AC1802" s="94"/>
      <c r="AD1802" s="101">
        <f t="shared" si="854"/>
        <v>94284</v>
      </c>
      <c r="AE1802" s="103">
        <f t="shared" si="855"/>
        <v>0</v>
      </c>
      <c r="AG1802" s="1">
        <f t="shared" si="876"/>
        <v>0</v>
      </c>
      <c r="AH1802" s="1">
        <f t="shared" si="877"/>
        <v>0</v>
      </c>
      <c r="AI1802" s="1">
        <f t="shared" si="856"/>
        <v>5432.58</v>
      </c>
      <c r="AJ1802" s="20">
        <f t="shared" si="858"/>
        <v>0</v>
      </c>
      <c r="AK1802" s="100">
        <f t="shared" si="860"/>
        <v>0</v>
      </c>
      <c r="AL1802" s="100">
        <f t="shared" si="861"/>
        <v>0</v>
      </c>
      <c r="AN1802" s="100">
        <f t="shared" si="862"/>
        <v>2214.7499397205324</v>
      </c>
      <c r="AO1802" s="20">
        <f t="shared" si="863"/>
        <v>0</v>
      </c>
      <c r="AQ1802" s="109">
        <f t="shared" si="864"/>
        <v>0</v>
      </c>
      <c r="AU1802" s="109">
        <f t="shared" si="849"/>
        <v>23.161162381410445</v>
      </c>
      <c r="AV1802" s="101">
        <f t="shared" si="865"/>
        <v>94314</v>
      </c>
      <c r="AW1802" s="99">
        <f t="shared" si="866"/>
        <v>0</v>
      </c>
      <c r="AX1802" s="1">
        <f t="shared" si="867"/>
        <v>0</v>
      </c>
      <c r="AY1802" s="29">
        <f t="shared" si="868"/>
        <v>0</v>
      </c>
      <c r="AZ1802" s="1">
        <f t="shared" si="850"/>
        <v>0</v>
      </c>
      <c r="CB1802" s="20">
        <f t="shared" si="859"/>
        <v>0</v>
      </c>
      <c r="CC1802" s="173">
        <f t="shared" si="851"/>
        <v>0</v>
      </c>
    </row>
    <row r="1803" spans="10:81" x14ac:dyDescent="0.25">
      <c r="J1803" s="7"/>
      <c r="K1803" s="8"/>
      <c r="L1803" s="16"/>
      <c r="M1803" s="22"/>
      <c r="N1803" s="22"/>
      <c r="O1803" s="22"/>
      <c r="P1803" s="22"/>
      <c r="Q1803" s="1">
        <f t="shared" si="852"/>
        <v>0.60744618579017706</v>
      </c>
      <c r="R1803" s="12">
        <f t="shared" ca="1" si="869"/>
        <v>53192</v>
      </c>
      <c r="S1803" s="88">
        <f t="shared" si="878"/>
        <v>0</v>
      </c>
      <c r="T1803" s="19">
        <f t="shared" si="870"/>
        <v>0</v>
      </c>
      <c r="U1803" s="19">
        <f t="shared" si="871"/>
        <v>0</v>
      </c>
      <c r="V1803" s="19">
        <f t="shared" si="857"/>
        <v>0</v>
      </c>
      <c r="W1803" s="20">
        <f t="shared" ca="1" si="872"/>
        <v>0</v>
      </c>
      <c r="X1803" s="19">
        <f t="shared" ca="1" si="873"/>
        <v>0</v>
      </c>
      <c r="Y1803" s="19">
        <f t="shared" ca="1" si="874"/>
        <v>0</v>
      </c>
      <c r="Z1803" s="20">
        <f t="shared" ca="1" si="875"/>
        <v>0</v>
      </c>
      <c r="AA1803" s="1">
        <f t="shared" si="853"/>
        <v>5432.58</v>
      </c>
      <c r="AB1803" s="91"/>
      <c r="AC1803" s="92"/>
      <c r="AD1803" s="101">
        <f t="shared" si="854"/>
        <v>94314</v>
      </c>
      <c r="AE1803" s="103">
        <f t="shared" si="855"/>
        <v>0</v>
      </c>
      <c r="AG1803" s="1">
        <f t="shared" si="876"/>
        <v>0</v>
      </c>
      <c r="AH1803" s="1">
        <f t="shared" si="877"/>
        <v>0</v>
      </c>
      <c r="AI1803" s="1">
        <f t="shared" si="856"/>
        <v>5432.58</v>
      </c>
      <c r="AJ1803" s="20">
        <f t="shared" si="858"/>
        <v>0</v>
      </c>
      <c r="AK1803" s="100">
        <f t="shared" si="860"/>
        <v>0</v>
      </c>
      <c r="AL1803" s="100">
        <f t="shared" si="861"/>
        <v>0</v>
      </c>
      <c r="AN1803" s="100">
        <f t="shared" si="862"/>
        <v>2213.6293891128912</v>
      </c>
      <c r="AO1803" s="20">
        <f t="shared" si="863"/>
        <v>0</v>
      </c>
      <c r="AQ1803" s="109">
        <f t="shared" si="864"/>
        <v>0</v>
      </c>
      <c r="AU1803" s="109">
        <f t="shared" si="849"/>
        <v>23.159129524485522</v>
      </c>
      <c r="AV1803" s="101">
        <f t="shared" si="865"/>
        <v>94344</v>
      </c>
      <c r="AW1803" s="99">
        <f t="shared" si="866"/>
        <v>0</v>
      </c>
      <c r="AX1803" s="1">
        <f t="shared" si="867"/>
        <v>0</v>
      </c>
      <c r="AY1803" s="29">
        <f t="shared" si="868"/>
        <v>0</v>
      </c>
      <c r="AZ1803" s="1">
        <f t="shared" si="850"/>
        <v>0</v>
      </c>
      <c r="CB1803" s="20">
        <f t="shared" si="859"/>
        <v>0</v>
      </c>
      <c r="CC1803" s="173">
        <f t="shared" si="851"/>
        <v>0</v>
      </c>
    </row>
    <row r="1804" spans="10:81" x14ac:dyDescent="0.25">
      <c r="J1804" s="9"/>
      <c r="K1804" s="10"/>
      <c r="L1804" s="17"/>
      <c r="M1804" s="23"/>
      <c r="N1804" s="23"/>
      <c r="O1804" s="23"/>
      <c r="P1804" s="23"/>
      <c r="Q1804" s="1">
        <f t="shared" si="852"/>
        <v>0.60744618579017706</v>
      </c>
      <c r="R1804" s="12">
        <f t="shared" ca="1" si="869"/>
        <v>53222</v>
      </c>
      <c r="S1804" s="88">
        <f t="shared" si="878"/>
        <v>0</v>
      </c>
      <c r="T1804" s="19">
        <f t="shared" si="870"/>
        <v>0</v>
      </c>
      <c r="U1804" s="19">
        <f t="shared" si="871"/>
        <v>0</v>
      </c>
      <c r="V1804" s="19">
        <f t="shared" si="857"/>
        <v>0</v>
      </c>
      <c r="W1804" s="20">
        <f t="shared" ca="1" si="872"/>
        <v>0</v>
      </c>
      <c r="X1804" s="19">
        <f t="shared" ca="1" si="873"/>
        <v>0</v>
      </c>
      <c r="Y1804" s="19">
        <f t="shared" ca="1" si="874"/>
        <v>0</v>
      </c>
      <c r="Z1804" s="20">
        <f t="shared" ca="1" si="875"/>
        <v>0</v>
      </c>
      <c r="AA1804" s="1">
        <f t="shared" si="853"/>
        <v>5432.58</v>
      </c>
      <c r="AB1804" s="93"/>
      <c r="AC1804" s="94"/>
      <c r="AD1804" s="101">
        <f t="shared" si="854"/>
        <v>94344</v>
      </c>
      <c r="AE1804" s="103">
        <f t="shared" si="855"/>
        <v>0</v>
      </c>
      <c r="AG1804" s="1">
        <f t="shared" si="876"/>
        <v>0</v>
      </c>
      <c r="AH1804" s="1">
        <f t="shared" si="877"/>
        <v>0</v>
      </c>
      <c r="AI1804" s="1">
        <f t="shared" si="856"/>
        <v>5432.58</v>
      </c>
      <c r="AJ1804" s="20">
        <f t="shared" si="858"/>
        <v>0</v>
      </c>
      <c r="AK1804" s="100">
        <f t="shared" si="860"/>
        <v>0</v>
      </c>
      <c r="AL1804" s="100">
        <f t="shared" si="861"/>
        <v>0</v>
      </c>
      <c r="AN1804" s="100">
        <f t="shared" si="862"/>
        <v>2212.509405446755</v>
      </c>
      <c r="AO1804" s="20">
        <f t="shared" si="863"/>
        <v>0</v>
      </c>
      <c r="AQ1804" s="109">
        <f t="shared" si="864"/>
        <v>0</v>
      </c>
      <c r="AU1804" s="109">
        <f t="shared" si="849"/>
        <v>23.157096845984597</v>
      </c>
      <c r="AV1804" s="101">
        <f t="shared" si="865"/>
        <v>94374</v>
      </c>
      <c r="AW1804" s="99">
        <f t="shared" si="866"/>
        <v>0</v>
      </c>
      <c r="AX1804" s="1">
        <f t="shared" si="867"/>
        <v>0</v>
      </c>
      <c r="AY1804" s="29">
        <f t="shared" si="868"/>
        <v>0</v>
      </c>
      <c r="AZ1804" s="1">
        <f t="shared" si="850"/>
        <v>0</v>
      </c>
      <c r="CB1804" s="20">
        <f t="shared" si="859"/>
        <v>0</v>
      </c>
      <c r="CC1804" s="173">
        <f t="shared" si="851"/>
        <v>0</v>
      </c>
    </row>
    <row r="1805" spans="10:81" x14ac:dyDescent="0.25">
      <c r="J1805" s="7"/>
      <c r="K1805" s="8"/>
      <c r="L1805" s="16"/>
      <c r="M1805" s="22"/>
      <c r="N1805" s="22"/>
      <c r="O1805" s="22"/>
      <c r="P1805" s="22"/>
      <c r="Q1805" s="1">
        <f t="shared" si="852"/>
        <v>0.60744618579017706</v>
      </c>
      <c r="R1805" s="12">
        <f t="shared" ca="1" si="869"/>
        <v>53252</v>
      </c>
      <c r="S1805" s="88">
        <f t="shared" si="878"/>
        <v>0</v>
      </c>
      <c r="T1805" s="19">
        <f t="shared" si="870"/>
        <v>0</v>
      </c>
      <c r="U1805" s="19">
        <f t="shared" si="871"/>
        <v>0</v>
      </c>
      <c r="V1805" s="19">
        <f t="shared" si="857"/>
        <v>0</v>
      </c>
      <c r="W1805" s="20">
        <f t="shared" ca="1" si="872"/>
        <v>0</v>
      </c>
      <c r="X1805" s="19">
        <f t="shared" ca="1" si="873"/>
        <v>0</v>
      </c>
      <c r="Y1805" s="19">
        <f t="shared" ca="1" si="874"/>
        <v>0</v>
      </c>
      <c r="Z1805" s="20">
        <f t="shared" ca="1" si="875"/>
        <v>0</v>
      </c>
      <c r="AA1805" s="1">
        <f t="shared" si="853"/>
        <v>5432.58</v>
      </c>
      <c r="AB1805" s="91"/>
      <c r="AC1805" s="92"/>
      <c r="AD1805" s="101">
        <f t="shared" si="854"/>
        <v>94374</v>
      </c>
      <c r="AE1805" s="103">
        <f t="shared" si="855"/>
        <v>0</v>
      </c>
      <c r="AG1805" s="1">
        <f t="shared" si="876"/>
        <v>0</v>
      </c>
      <c r="AH1805" s="1">
        <f t="shared" si="877"/>
        <v>0</v>
      </c>
      <c r="AI1805" s="1">
        <f t="shared" si="856"/>
        <v>5432.58</v>
      </c>
      <c r="AJ1805" s="20">
        <f t="shared" si="858"/>
        <v>0</v>
      </c>
      <c r="AK1805" s="100">
        <f t="shared" si="860"/>
        <v>0</v>
      </c>
      <c r="AL1805" s="100">
        <f t="shared" si="861"/>
        <v>0</v>
      </c>
      <c r="AN1805" s="100">
        <f t="shared" si="862"/>
        <v>2211.38998843528</v>
      </c>
      <c r="AO1805" s="20">
        <f t="shared" si="863"/>
        <v>0</v>
      </c>
      <c r="AQ1805" s="109">
        <f t="shared" si="864"/>
        <v>0</v>
      </c>
      <c r="AU1805" s="109">
        <f t="shared" si="849"/>
        <v>23.155064345892018</v>
      </c>
      <c r="AV1805" s="101">
        <f t="shared" si="865"/>
        <v>94404</v>
      </c>
      <c r="AW1805" s="99">
        <f t="shared" si="866"/>
        <v>0</v>
      </c>
      <c r="AX1805" s="1">
        <f t="shared" si="867"/>
        <v>0</v>
      </c>
      <c r="AY1805" s="29">
        <f t="shared" si="868"/>
        <v>0</v>
      </c>
      <c r="AZ1805" s="1">
        <f t="shared" si="850"/>
        <v>0</v>
      </c>
      <c r="CB1805" s="20">
        <f t="shared" si="859"/>
        <v>0</v>
      </c>
      <c r="CC1805" s="173">
        <f t="shared" si="851"/>
        <v>0</v>
      </c>
    </row>
    <row r="1806" spans="10:81" x14ac:dyDescent="0.25">
      <c r="J1806" s="9"/>
      <c r="K1806" s="10"/>
      <c r="L1806" s="17"/>
      <c r="M1806" s="23"/>
      <c r="N1806" s="23"/>
      <c r="O1806" s="23"/>
      <c r="P1806" s="23"/>
      <c r="Q1806" s="1">
        <f t="shared" si="852"/>
        <v>0.60744618579017706</v>
      </c>
      <c r="R1806" s="12">
        <f t="shared" ca="1" si="869"/>
        <v>53282</v>
      </c>
      <c r="S1806" s="88">
        <f t="shared" si="878"/>
        <v>0</v>
      </c>
      <c r="T1806" s="19">
        <f t="shared" si="870"/>
        <v>0</v>
      </c>
      <c r="U1806" s="19">
        <f t="shared" si="871"/>
        <v>0</v>
      </c>
      <c r="V1806" s="19">
        <f t="shared" si="857"/>
        <v>0</v>
      </c>
      <c r="W1806" s="20">
        <f t="shared" ca="1" si="872"/>
        <v>0</v>
      </c>
      <c r="X1806" s="19">
        <f t="shared" ca="1" si="873"/>
        <v>0</v>
      </c>
      <c r="Y1806" s="19">
        <f t="shared" ca="1" si="874"/>
        <v>0</v>
      </c>
      <c r="Z1806" s="20">
        <f t="shared" ca="1" si="875"/>
        <v>0</v>
      </c>
      <c r="AA1806" s="1">
        <f t="shared" si="853"/>
        <v>5432.58</v>
      </c>
      <c r="AB1806" s="93"/>
      <c r="AC1806" s="94"/>
      <c r="AD1806" s="101">
        <f t="shared" si="854"/>
        <v>94404</v>
      </c>
      <c r="AE1806" s="103">
        <f t="shared" si="855"/>
        <v>0</v>
      </c>
      <c r="AG1806" s="1">
        <f t="shared" si="876"/>
        <v>0</v>
      </c>
      <c r="AH1806" s="1">
        <f t="shared" si="877"/>
        <v>0</v>
      </c>
      <c r="AI1806" s="1">
        <f t="shared" si="856"/>
        <v>5432.58</v>
      </c>
      <c r="AJ1806" s="20">
        <f t="shared" si="858"/>
        <v>0</v>
      </c>
      <c r="AK1806" s="100">
        <f t="shared" si="860"/>
        <v>0</v>
      </c>
      <c r="AL1806" s="100">
        <f t="shared" si="861"/>
        <v>0</v>
      </c>
      <c r="AN1806" s="100">
        <f t="shared" si="862"/>
        <v>2210.2711377917676</v>
      </c>
      <c r="AO1806" s="20">
        <f t="shared" si="863"/>
        <v>0</v>
      </c>
      <c r="AQ1806" s="109">
        <f t="shared" si="864"/>
        <v>0</v>
      </c>
      <c r="AU1806" s="109">
        <f t="shared" si="849"/>
        <v>23.153032024192122</v>
      </c>
      <c r="AV1806" s="101">
        <f t="shared" si="865"/>
        <v>94434</v>
      </c>
      <c r="AW1806" s="99">
        <f t="shared" si="866"/>
        <v>0</v>
      </c>
      <c r="AX1806" s="1">
        <f t="shared" si="867"/>
        <v>0</v>
      </c>
      <c r="AY1806" s="29">
        <f t="shared" si="868"/>
        <v>0</v>
      </c>
      <c r="AZ1806" s="1">
        <f t="shared" si="850"/>
        <v>0</v>
      </c>
      <c r="CB1806" s="20">
        <f t="shared" si="859"/>
        <v>0</v>
      </c>
      <c r="CC1806" s="173">
        <f t="shared" si="851"/>
        <v>0</v>
      </c>
    </row>
    <row r="1807" spans="10:81" x14ac:dyDescent="0.25">
      <c r="J1807" s="7"/>
      <c r="K1807" s="8"/>
      <c r="L1807" s="16"/>
      <c r="M1807" s="22"/>
      <c r="N1807" s="22"/>
      <c r="O1807" s="22"/>
      <c r="P1807" s="22"/>
      <c r="Q1807" s="1">
        <f t="shared" si="852"/>
        <v>0.60744618579017706</v>
      </c>
      <c r="R1807" s="12">
        <f t="shared" ca="1" si="869"/>
        <v>53312</v>
      </c>
      <c r="S1807" s="88">
        <f t="shared" si="878"/>
        <v>0</v>
      </c>
      <c r="T1807" s="19">
        <f t="shared" si="870"/>
        <v>0</v>
      </c>
      <c r="U1807" s="19">
        <f t="shared" si="871"/>
        <v>0</v>
      </c>
      <c r="V1807" s="19">
        <f t="shared" si="857"/>
        <v>0</v>
      </c>
      <c r="W1807" s="20">
        <f t="shared" ca="1" si="872"/>
        <v>0</v>
      </c>
      <c r="X1807" s="19">
        <f t="shared" ca="1" si="873"/>
        <v>0</v>
      </c>
      <c r="Y1807" s="19">
        <f t="shared" ca="1" si="874"/>
        <v>0</v>
      </c>
      <c r="Z1807" s="20">
        <f t="shared" ca="1" si="875"/>
        <v>0</v>
      </c>
      <c r="AA1807" s="1">
        <f t="shared" si="853"/>
        <v>5432.58</v>
      </c>
      <c r="AB1807" s="91"/>
      <c r="AC1807" s="92"/>
      <c r="AD1807" s="101">
        <f t="shared" si="854"/>
        <v>94434</v>
      </c>
      <c r="AE1807" s="103">
        <f t="shared" si="855"/>
        <v>0</v>
      </c>
      <c r="AG1807" s="1">
        <f t="shared" si="876"/>
        <v>0</v>
      </c>
      <c r="AH1807" s="1">
        <f t="shared" si="877"/>
        <v>0</v>
      </c>
      <c r="AI1807" s="1">
        <f t="shared" si="856"/>
        <v>5432.58</v>
      </c>
      <c r="AJ1807" s="20">
        <f t="shared" si="858"/>
        <v>0</v>
      </c>
      <c r="AK1807" s="100">
        <f t="shared" si="860"/>
        <v>0</v>
      </c>
      <c r="AL1807" s="100">
        <f t="shared" si="861"/>
        <v>0</v>
      </c>
      <c r="AN1807" s="100">
        <f t="shared" si="862"/>
        <v>2209.1528532296666</v>
      </c>
      <c r="AO1807" s="20">
        <f t="shared" si="863"/>
        <v>0</v>
      </c>
      <c r="AQ1807" s="109">
        <f t="shared" si="864"/>
        <v>0</v>
      </c>
      <c r="AU1807" s="109">
        <f t="shared" si="849"/>
        <v>23.150999880869239</v>
      </c>
      <c r="AV1807" s="101">
        <f t="shared" si="865"/>
        <v>94464</v>
      </c>
      <c r="AW1807" s="99">
        <f t="shared" si="866"/>
        <v>0</v>
      </c>
      <c r="AX1807" s="1">
        <f t="shared" si="867"/>
        <v>0</v>
      </c>
      <c r="AY1807" s="29">
        <f t="shared" si="868"/>
        <v>0</v>
      </c>
      <c r="AZ1807" s="1">
        <f t="shared" si="850"/>
        <v>0</v>
      </c>
      <c r="CB1807" s="20">
        <f t="shared" si="859"/>
        <v>0</v>
      </c>
      <c r="CC1807" s="173">
        <f t="shared" si="851"/>
        <v>0</v>
      </c>
    </row>
    <row r="1808" spans="10:81" x14ac:dyDescent="0.25">
      <c r="J1808" s="9"/>
      <c r="K1808" s="10"/>
      <c r="L1808" s="17"/>
      <c r="M1808" s="23"/>
      <c r="N1808" s="23"/>
      <c r="O1808" s="23"/>
      <c r="P1808" s="23"/>
      <c r="Q1808" s="1">
        <f t="shared" si="852"/>
        <v>0.60744618579017706</v>
      </c>
      <c r="R1808" s="12">
        <f t="shared" ca="1" si="869"/>
        <v>53342</v>
      </c>
      <c r="S1808" s="88">
        <f t="shared" si="878"/>
        <v>0</v>
      </c>
      <c r="T1808" s="19">
        <f t="shared" si="870"/>
        <v>0</v>
      </c>
      <c r="U1808" s="19">
        <f t="shared" si="871"/>
        <v>0</v>
      </c>
      <c r="V1808" s="19">
        <f t="shared" si="857"/>
        <v>0</v>
      </c>
      <c r="W1808" s="20">
        <f t="shared" ca="1" si="872"/>
        <v>0</v>
      </c>
      <c r="X1808" s="19">
        <f t="shared" ca="1" si="873"/>
        <v>0</v>
      </c>
      <c r="Y1808" s="19">
        <f t="shared" ca="1" si="874"/>
        <v>0</v>
      </c>
      <c r="Z1808" s="20">
        <f t="shared" ca="1" si="875"/>
        <v>0</v>
      </c>
      <c r="AA1808" s="1">
        <f t="shared" si="853"/>
        <v>5432.58</v>
      </c>
      <c r="AB1808" s="93"/>
      <c r="AC1808" s="94"/>
      <c r="AD1808" s="101">
        <f t="shared" si="854"/>
        <v>94464</v>
      </c>
      <c r="AE1808" s="103">
        <f t="shared" si="855"/>
        <v>0</v>
      </c>
      <c r="AG1808" s="1">
        <f t="shared" si="876"/>
        <v>0</v>
      </c>
      <c r="AH1808" s="1">
        <f t="shared" si="877"/>
        <v>0</v>
      </c>
      <c r="AI1808" s="1">
        <f t="shared" si="856"/>
        <v>5432.58</v>
      </c>
      <c r="AJ1808" s="20">
        <f t="shared" si="858"/>
        <v>0</v>
      </c>
      <c r="AK1808" s="100">
        <f t="shared" si="860"/>
        <v>0</v>
      </c>
      <c r="AL1808" s="100">
        <f t="shared" si="861"/>
        <v>0</v>
      </c>
      <c r="AN1808" s="100">
        <f t="shared" si="862"/>
        <v>2208.0351344625665</v>
      </c>
      <c r="AO1808" s="20">
        <f t="shared" si="863"/>
        <v>0</v>
      </c>
      <c r="AQ1808" s="109">
        <f t="shared" si="864"/>
        <v>0</v>
      </c>
      <c r="AU1808" s="109">
        <f t="shared" si="849"/>
        <v>23.148967915907743</v>
      </c>
      <c r="AV1808" s="101">
        <f t="shared" si="865"/>
        <v>94494</v>
      </c>
      <c r="AW1808" s="99">
        <f t="shared" si="866"/>
        <v>0</v>
      </c>
      <c r="AX1808" s="1">
        <f t="shared" si="867"/>
        <v>0</v>
      </c>
      <c r="AY1808" s="29">
        <f t="shared" si="868"/>
        <v>0</v>
      </c>
      <c r="AZ1808" s="1">
        <f t="shared" si="850"/>
        <v>0</v>
      </c>
      <c r="CB1808" s="20">
        <f t="shared" si="859"/>
        <v>0</v>
      </c>
      <c r="CC1808" s="173">
        <f t="shared" si="851"/>
        <v>0</v>
      </c>
    </row>
    <row r="1809" spans="10:81" x14ac:dyDescent="0.25">
      <c r="J1809" s="7"/>
      <c r="K1809" s="8"/>
      <c r="L1809" s="16"/>
      <c r="M1809" s="22"/>
      <c r="N1809" s="22"/>
      <c r="O1809" s="22"/>
      <c r="P1809" s="22"/>
      <c r="Q1809" s="1">
        <f t="shared" si="852"/>
        <v>0.60744618579017706</v>
      </c>
      <c r="R1809" s="12">
        <f t="shared" ca="1" si="869"/>
        <v>53372</v>
      </c>
      <c r="S1809" s="88">
        <f t="shared" si="878"/>
        <v>0</v>
      </c>
      <c r="T1809" s="19">
        <f t="shared" si="870"/>
        <v>0</v>
      </c>
      <c r="U1809" s="19">
        <f t="shared" si="871"/>
        <v>0</v>
      </c>
      <c r="V1809" s="19">
        <f t="shared" si="857"/>
        <v>0</v>
      </c>
      <c r="W1809" s="20">
        <f t="shared" ca="1" si="872"/>
        <v>0</v>
      </c>
      <c r="X1809" s="19">
        <f t="shared" ca="1" si="873"/>
        <v>0</v>
      </c>
      <c r="Y1809" s="19">
        <f t="shared" ca="1" si="874"/>
        <v>0</v>
      </c>
      <c r="Z1809" s="20">
        <f t="shared" ca="1" si="875"/>
        <v>0</v>
      </c>
      <c r="AA1809" s="1">
        <f t="shared" si="853"/>
        <v>5432.58</v>
      </c>
      <c r="AB1809" s="91"/>
      <c r="AC1809" s="92"/>
      <c r="AD1809" s="101">
        <f t="shared" si="854"/>
        <v>94494</v>
      </c>
      <c r="AE1809" s="103">
        <f t="shared" si="855"/>
        <v>0</v>
      </c>
      <c r="AG1809" s="1">
        <f t="shared" si="876"/>
        <v>0</v>
      </c>
      <c r="AH1809" s="1">
        <f t="shared" si="877"/>
        <v>0</v>
      </c>
      <c r="AI1809" s="1">
        <f t="shared" si="856"/>
        <v>5432.58</v>
      </c>
      <c r="AJ1809" s="20">
        <f t="shared" si="858"/>
        <v>0</v>
      </c>
      <c r="AK1809" s="100">
        <f t="shared" si="860"/>
        <v>0</v>
      </c>
      <c r="AL1809" s="100">
        <f t="shared" si="861"/>
        <v>0</v>
      </c>
      <c r="AN1809" s="100">
        <f t="shared" si="862"/>
        <v>2206.9179812042039</v>
      </c>
      <c r="AO1809" s="20">
        <f t="shared" si="863"/>
        <v>0</v>
      </c>
      <c r="AQ1809" s="109">
        <f t="shared" si="864"/>
        <v>0</v>
      </c>
      <c r="AU1809" s="109">
        <f t="shared" si="849"/>
        <v>23.146936129291959</v>
      </c>
      <c r="AV1809" s="101">
        <f t="shared" si="865"/>
        <v>94524</v>
      </c>
      <c r="AW1809" s="99">
        <f t="shared" si="866"/>
        <v>0</v>
      </c>
      <c r="AX1809" s="1">
        <f t="shared" si="867"/>
        <v>0</v>
      </c>
      <c r="AY1809" s="29">
        <f t="shared" si="868"/>
        <v>0</v>
      </c>
      <c r="AZ1809" s="1">
        <f t="shared" si="850"/>
        <v>0</v>
      </c>
      <c r="CB1809" s="20">
        <f t="shared" si="859"/>
        <v>0</v>
      </c>
      <c r="CC1809" s="173">
        <f t="shared" si="851"/>
        <v>0</v>
      </c>
    </row>
    <row r="1810" spans="10:81" x14ac:dyDescent="0.25">
      <c r="J1810" s="9"/>
      <c r="K1810" s="10"/>
      <c r="L1810" s="17"/>
      <c r="M1810" s="23"/>
      <c r="N1810" s="23"/>
      <c r="O1810" s="23"/>
      <c r="P1810" s="23"/>
      <c r="Q1810" s="1">
        <f t="shared" si="852"/>
        <v>0.60744618579017706</v>
      </c>
      <c r="R1810" s="12">
        <f t="shared" ca="1" si="869"/>
        <v>53402</v>
      </c>
      <c r="S1810" s="88">
        <f t="shared" si="878"/>
        <v>0</v>
      </c>
      <c r="T1810" s="19">
        <f t="shared" si="870"/>
        <v>0</v>
      </c>
      <c r="U1810" s="19">
        <f t="shared" si="871"/>
        <v>0</v>
      </c>
      <c r="V1810" s="19">
        <f t="shared" si="857"/>
        <v>0</v>
      </c>
      <c r="W1810" s="20">
        <f t="shared" ca="1" si="872"/>
        <v>0</v>
      </c>
      <c r="X1810" s="19">
        <f t="shared" ca="1" si="873"/>
        <v>0</v>
      </c>
      <c r="Y1810" s="19">
        <f t="shared" ca="1" si="874"/>
        <v>0</v>
      </c>
      <c r="Z1810" s="20">
        <f t="shared" ca="1" si="875"/>
        <v>0</v>
      </c>
      <c r="AA1810" s="1">
        <f t="shared" si="853"/>
        <v>5432.58</v>
      </c>
      <c r="AB1810" s="93"/>
      <c r="AC1810" s="94"/>
      <c r="AD1810" s="101">
        <f t="shared" si="854"/>
        <v>94524</v>
      </c>
      <c r="AE1810" s="103">
        <f t="shared" si="855"/>
        <v>0</v>
      </c>
      <c r="AG1810" s="1">
        <f t="shared" si="876"/>
        <v>0</v>
      </c>
      <c r="AH1810" s="1">
        <f t="shared" si="877"/>
        <v>0</v>
      </c>
      <c r="AI1810" s="1">
        <f t="shared" si="856"/>
        <v>5432.58</v>
      </c>
      <c r="AJ1810" s="20">
        <f t="shared" si="858"/>
        <v>0</v>
      </c>
      <c r="AK1810" s="100">
        <f t="shared" si="860"/>
        <v>0</v>
      </c>
      <c r="AL1810" s="100">
        <f t="shared" si="861"/>
        <v>0</v>
      </c>
      <c r="AN1810" s="100">
        <f t="shared" si="862"/>
        <v>2205.8013931684618</v>
      </c>
      <c r="AO1810" s="20">
        <f t="shared" si="863"/>
        <v>0</v>
      </c>
      <c r="AQ1810" s="109">
        <f t="shared" si="864"/>
        <v>0</v>
      </c>
      <c r="AU1810" s="109">
        <f t="shared" si="849"/>
        <v>23.144904521006215</v>
      </c>
      <c r="AV1810" s="101">
        <f t="shared" si="865"/>
        <v>94554</v>
      </c>
      <c r="AW1810" s="99">
        <f t="shared" si="866"/>
        <v>0</v>
      </c>
      <c r="AX1810" s="1">
        <f t="shared" si="867"/>
        <v>0</v>
      </c>
      <c r="AY1810" s="29">
        <f t="shared" si="868"/>
        <v>0</v>
      </c>
      <c r="AZ1810" s="1">
        <f t="shared" si="850"/>
        <v>0</v>
      </c>
      <c r="CB1810" s="20">
        <f t="shared" si="859"/>
        <v>0</v>
      </c>
      <c r="CC1810" s="173">
        <f t="shared" si="851"/>
        <v>0</v>
      </c>
    </row>
    <row r="1811" spans="10:81" x14ac:dyDescent="0.25">
      <c r="J1811" s="7"/>
      <c r="K1811" s="8"/>
      <c r="L1811" s="16"/>
      <c r="M1811" s="22"/>
      <c r="N1811" s="22"/>
      <c r="O1811" s="22"/>
      <c r="P1811" s="22"/>
      <c r="Q1811" s="1">
        <f t="shared" si="852"/>
        <v>0.60744618579017706</v>
      </c>
      <c r="R1811" s="12">
        <f t="shared" ca="1" si="869"/>
        <v>53432</v>
      </c>
      <c r="S1811" s="88">
        <f t="shared" si="878"/>
        <v>0</v>
      </c>
      <c r="T1811" s="19">
        <f t="shared" si="870"/>
        <v>0</v>
      </c>
      <c r="U1811" s="19">
        <f t="shared" si="871"/>
        <v>0</v>
      </c>
      <c r="V1811" s="19">
        <f t="shared" si="857"/>
        <v>0</v>
      </c>
      <c r="W1811" s="20">
        <f t="shared" ca="1" si="872"/>
        <v>0</v>
      </c>
      <c r="X1811" s="19">
        <f t="shared" ca="1" si="873"/>
        <v>0</v>
      </c>
      <c r="Y1811" s="19">
        <f t="shared" ca="1" si="874"/>
        <v>0</v>
      </c>
      <c r="Z1811" s="20">
        <f t="shared" ca="1" si="875"/>
        <v>0</v>
      </c>
      <c r="AA1811" s="1">
        <f t="shared" si="853"/>
        <v>5432.58</v>
      </c>
      <c r="AB1811" s="91"/>
      <c r="AC1811" s="92"/>
      <c r="AD1811" s="101">
        <f t="shared" si="854"/>
        <v>94554</v>
      </c>
      <c r="AE1811" s="103">
        <f t="shared" si="855"/>
        <v>0</v>
      </c>
      <c r="AG1811" s="1">
        <f t="shared" si="876"/>
        <v>0</v>
      </c>
      <c r="AH1811" s="1">
        <f t="shared" si="877"/>
        <v>0</v>
      </c>
      <c r="AI1811" s="1">
        <f t="shared" si="856"/>
        <v>5432.58</v>
      </c>
      <c r="AJ1811" s="20">
        <f t="shared" si="858"/>
        <v>0</v>
      </c>
      <c r="AK1811" s="100">
        <f t="shared" si="860"/>
        <v>0</v>
      </c>
      <c r="AL1811" s="100">
        <f t="shared" si="861"/>
        <v>0</v>
      </c>
      <c r="AN1811" s="100">
        <f t="shared" si="862"/>
        <v>2204.685370069365</v>
      </c>
      <c r="AO1811" s="20">
        <f t="shared" si="863"/>
        <v>0</v>
      </c>
      <c r="AQ1811" s="109">
        <f t="shared" si="864"/>
        <v>0</v>
      </c>
      <c r="AU1811" s="109">
        <f t="shared" si="849"/>
        <v>23.1428730910349</v>
      </c>
      <c r="AV1811" s="101">
        <f t="shared" si="865"/>
        <v>94584</v>
      </c>
      <c r="AW1811" s="99">
        <f t="shared" si="866"/>
        <v>0</v>
      </c>
      <c r="AX1811" s="1">
        <f t="shared" si="867"/>
        <v>0</v>
      </c>
      <c r="AY1811" s="29">
        <f t="shared" si="868"/>
        <v>0</v>
      </c>
      <c r="AZ1811" s="1">
        <f t="shared" si="850"/>
        <v>0</v>
      </c>
      <c r="CB1811" s="20">
        <f t="shared" si="859"/>
        <v>0</v>
      </c>
      <c r="CC1811" s="173">
        <f t="shared" si="851"/>
        <v>0</v>
      </c>
    </row>
    <row r="1812" spans="10:81" x14ac:dyDescent="0.25">
      <c r="J1812" s="9"/>
      <c r="K1812" s="10"/>
      <c r="L1812" s="17"/>
      <c r="M1812" s="23"/>
      <c r="N1812" s="23"/>
      <c r="O1812" s="23"/>
      <c r="P1812" s="23"/>
      <c r="Q1812" s="1">
        <f t="shared" si="852"/>
        <v>0.60744618579017706</v>
      </c>
      <c r="R1812" s="12">
        <f t="shared" ca="1" si="869"/>
        <v>53462</v>
      </c>
      <c r="S1812" s="88">
        <f t="shared" si="878"/>
        <v>0</v>
      </c>
      <c r="T1812" s="19">
        <f t="shared" si="870"/>
        <v>0</v>
      </c>
      <c r="U1812" s="19">
        <f t="shared" si="871"/>
        <v>0</v>
      </c>
      <c r="V1812" s="19">
        <f t="shared" si="857"/>
        <v>0</v>
      </c>
      <c r="W1812" s="20">
        <f t="shared" ca="1" si="872"/>
        <v>0</v>
      </c>
      <c r="X1812" s="19">
        <f t="shared" ca="1" si="873"/>
        <v>0</v>
      </c>
      <c r="Y1812" s="19">
        <f t="shared" ca="1" si="874"/>
        <v>0</v>
      </c>
      <c r="Z1812" s="20">
        <f t="shared" ca="1" si="875"/>
        <v>0</v>
      </c>
      <c r="AA1812" s="1">
        <f t="shared" si="853"/>
        <v>5432.58</v>
      </c>
      <c r="AB1812" s="93"/>
      <c r="AC1812" s="94"/>
      <c r="AD1812" s="101">
        <f t="shared" si="854"/>
        <v>94584</v>
      </c>
      <c r="AE1812" s="103">
        <f t="shared" si="855"/>
        <v>0</v>
      </c>
      <c r="AG1812" s="1">
        <f t="shared" si="876"/>
        <v>0</v>
      </c>
      <c r="AH1812" s="1">
        <f t="shared" si="877"/>
        <v>0</v>
      </c>
      <c r="AI1812" s="1">
        <f t="shared" si="856"/>
        <v>5432.58</v>
      </c>
      <c r="AJ1812" s="20">
        <f t="shared" si="858"/>
        <v>0</v>
      </c>
      <c r="AK1812" s="100">
        <f t="shared" si="860"/>
        <v>0</v>
      </c>
      <c r="AL1812" s="100">
        <f t="shared" si="861"/>
        <v>0</v>
      </c>
      <c r="AN1812" s="100">
        <f t="shared" si="862"/>
        <v>2203.5699116210844</v>
      </c>
      <c r="AO1812" s="20">
        <f t="shared" si="863"/>
        <v>0</v>
      </c>
      <c r="AQ1812" s="109">
        <f t="shared" si="864"/>
        <v>0</v>
      </c>
      <c r="AU1812" s="109">
        <f t="shared" si="849"/>
        <v>23.140841839362334</v>
      </c>
      <c r="AV1812" s="101">
        <f t="shared" si="865"/>
        <v>94614</v>
      </c>
      <c r="AW1812" s="99">
        <f t="shared" si="866"/>
        <v>0</v>
      </c>
      <c r="AX1812" s="1">
        <f t="shared" si="867"/>
        <v>0</v>
      </c>
      <c r="AY1812" s="29">
        <f t="shared" si="868"/>
        <v>0</v>
      </c>
      <c r="AZ1812" s="1">
        <f t="shared" si="850"/>
        <v>0</v>
      </c>
      <c r="CB1812" s="20">
        <f t="shared" si="859"/>
        <v>0</v>
      </c>
      <c r="CC1812" s="173">
        <f t="shared" si="851"/>
        <v>0</v>
      </c>
    </row>
    <row r="1813" spans="10:81" x14ac:dyDescent="0.25">
      <c r="J1813" s="7"/>
      <c r="K1813" s="8"/>
      <c r="L1813" s="16"/>
      <c r="M1813" s="22"/>
      <c r="N1813" s="22"/>
      <c r="O1813" s="22"/>
      <c r="P1813" s="22"/>
      <c r="Q1813" s="1">
        <f t="shared" si="852"/>
        <v>0.60744618579017706</v>
      </c>
      <c r="R1813" s="12">
        <f t="shared" ca="1" si="869"/>
        <v>53492</v>
      </c>
      <c r="S1813" s="88">
        <f t="shared" si="878"/>
        <v>0</v>
      </c>
      <c r="T1813" s="19">
        <f t="shared" si="870"/>
        <v>0</v>
      </c>
      <c r="U1813" s="19">
        <f t="shared" si="871"/>
        <v>0</v>
      </c>
      <c r="V1813" s="19">
        <f t="shared" si="857"/>
        <v>0</v>
      </c>
      <c r="W1813" s="20">
        <f t="shared" ca="1" si="872"/>
        <v>0</v>
      </c>
      <c r="X1813" s="19">
        <f t="shared" ca="1" si="873"/>
        <v>0</v>
      </c>
      <c r="Y1813" s="19">
        <f t="shared" ca="1" si="874"/>
        <v>0</v>
      </c>
      <c r="Z1813" s="20">
        <f t="shared" ca="1" si="875"/>
        <v>0</v>
      </c>
      <c r="AA1813" s="1">
        <f t="shared" si="853"/>
        <v>5432.58</v>
      </c>
      <c r="AB1813" s="91"/>
      <c r="AC1813" s="92"/>
      <c r="AD1813" s="101">
        <f t="shared" si="854"/>
        <v>94614</v>
      </c>
      <c r="AE1813" s="103">
        <f t="shared" si="855"/>
        <v>0</v>
      </c>
      <c r="AG1813" s="1">
        <f t="shared" si="876"/>
        <v>0</v>
      </c>
      <c r="AH1813" s="1">
        <f t="shared" si="877"/>
        <v>0</v>
      </c>
      <c r="AI1813" s="1">
        <f t="shared" si="856"/>
        <v>5432.58</v>
      </c>
      <c r="AJ1813" s="20">
        <f t="shared" si="858"/>
        <v>0</v>
      </c>
      <c r="AK1813" s="100">
        <f t="shared" si="860"/>
        <v>0</v>
      </c>
      <c r="AL1813" s="100">
        <f t="shared" si="861"/>
        <v>0</v>
      </c>
      <c r="AN1813" s="100">
        <f t="shared" si="862"/>
        <v>2202.4550175379359</v>
      </c>
      <c r="AO1813" s="20">
        <f t="shared" si="863"/>
        <v>0</v>
      </c>
      <c r="AQ1813" s="109">
        <f t="shared" si="864"/>
        <v>0</v>
      </c>
      <c r="AU1813" s="109">
        <f t="shared" si="849"/>
        <v>23.138810765972881</v>
      </c>
      <c r="AV1813" s="101">
        <f t="shared" si="865"/>
        <v>94644</v>
      </c>
      <c r="AW1813" s="99">
        <f t="shared" si="866"/>
        <v>0</v>
      </c>
      <c r="AX1813" s="1">
        <f t="shared" si="867"/>
        <v>0</v>
      </c>
      <c r="AY1813" s="29">
        <f t="shared" si="868"/>
        <v>0</v>
      </c>
      <c r="AZ1813" s="1">
        <f t="shared" si="850"/>
        <v>0</v>
      </c>
      <c r="CB1813" s="20">
        <f t="shared" si="859"/>
        <v>0</v>
      </c>
      <c r="CC1813" s="173">
        <f t="shared" si="851"/>
        <v>0</v>
      </c>
    </row>
    <row r="1814" spans="10:81" x14ac:dyDescent="0.25">
      <c r="J1814" s="9"/>
      <c r="K1814" s="10"/>
      <c r="L1814" s="17"/>
      <c r="M1814" s="23"/>
      <c r="N1814" s="23"/>
      <c r="O1814" s="23"/>
      <c r="P1814" s="23"/>
      <c r="Q1814" s="1">
        <f t="shared" si="852"/>
        <v>0.60744618579017706</v>
      </c>
      <c r="R1814" s="12">
        <f t="shared" ca="1" si="869"/>
        <v>53522</v>
      </c>
      <c r="S1814" s="88">
        <f t="shared" si="878"/>
        <v>0</v>
      </c>
      <c r="T1814" s="19">
        <f t="shared" si="870"/>
        <v>0</v>
      </c>
      <c r="U1814" s="19">
        <f t="shared" si="871"/>
        <v>0</v>
      </c>
      <c r="V1814" s="19">
        <f t="shared" si="857"/>
        <v>0</v>
      </c>
      <c r="W1814" s="20">
        <f t="shared" ca="1" si="872"/>
        <v>0</v>
      </c>
      <c r="X1814" s="19">
        <f t="shared" ca="1" si="873"/>
        <v>0</v>
      </c>
      <c r="Y1814" s="19">
        <f t="shared" ca="1" si="874"/>
        <v>0</v>
      </c>
      <c r="Z1814" s="20">
        <f t="shared" ca="1" si="875"/>
        <v>0</v>
      </c>
      <c r="AA1814" s="1">
        <f t="shared" si="853"/>
        <v>5432.58</v>
      </c>
      <c r="AB1814" s="93"/>
      <c r="AC1814" s="94"/>
      <c r="AD1814" s="101">
        <f t="shared" si="854"/>
        <v>94644</v>
      </c>
      <c r="AE1814" s="103">
        <f t="shared" si="855"/>
        <v>0</v>
      </c>
      <c r="AG1814" s="1">
        <f t="shared" si="876"/>
        <v>0</v>
      </c>
      <c r="AH1814" s="1">
        <f t="shared" si="877"/>
        <v>0</v>
      </c>
      <c r="AI1814" s="1">
        <f t="shared" si="856"/>
        <v>5432.58</v>
      </c>
      <c r="AJ1814" s="20">
        <f t="shared" si="858"/>
        <v>0</v>
      </c>
      <c r="AK1814" s="100">
        <f t="shared" si="860"/>
        <v>0</v>
      </c>
      <c r="AL1814" s="100">
        <f t="shared" si="861"/>
        <v>0</v>
      </c>
      <c r="AN1814" s="100">
        <f t="shared" si="862"/>
        <v>2201.340687534379</v>
      </c>
      <c r="AO1814" s="20">
        <f t="shared" si="863"/>
        <v>0</v>
      </c>
      <c r="AQ1814" s="109">
        <f t="shared" si="864"/>
        <v>0</v>
      </c>
      <c r="AU1814" s="109">
        <f t="shared" si="849"/>
        <v>23.13677987085088</v>
      </c>
      <c r="AV1814" s="101">
        <f t="shared" si="865"/>
        <v>94674</v>
      </c>
      <c r="AW1814" s="99">
        <f t="shared" si="866"/>
        <v>0</v>
      </c>
      <c r="AX1814" s="1">
        <f t="shared" si="867"/>
        <v>0</v>
      </c>
      <c r="AY1814" s="29">
        <f t="shared" si="868"/>
        <v>0</v>
      </c>
      <c r="AZ1814" s="1">
        <f t="shared" si="850"/>
        <v>0</v>
      </c>
      <c r="CB1814" s="20">
        <f t="shared" si="859"/>
        <v>0</v>
      </c>
      <c r="CC1814" s="173">
        <f t="shared" si="851"/>
        <v>0</v>
      </c>
    </row>
    <row r="1815" spans="10:81" x14ac:dyDescent="0.25">
      <c r="J1815" s="7"/>
      <c r="K1815" s="8"/>
      <c r="L1815" s="16"/>
      <c r="M1815" s="22"/>
      <c r="N1815" s="22"/>
      <c r="O1815" s="22"/>
      <c r="P1815" s="22"/>
      <c r="Q1815" s="1">
        <f t="shared" si="852"/>
        <v>0.60744618579017706</v>
      </c>
      <c r="R1815" s="12">
        <f t="shared" ca="1" si="869"/>
        <v>53552</v>
      </c>
      <c r="S1815" s="88">
        <f t="shared" si="878"/>
        <v>0</v>
      </c>
      <c r="T1815" s="19">
        <f t="shared" si="870"/>
        <v>0</v>
      </c>
      <c r="U1815" s="19">
        <f t="shared" si="871"/>
        <v>0</v>
      </c>
      <c r="V1815" s="19">
        <f t="shared" si="857"/>
        <v>0</v>
      </c>
      <c r="W1815" s="20">
        <f t="shared" ca="1" si="872"/>
        <v>0</v>
      </c>
      <c r="X1815" s="19">
        <f t="shared" ca="1" si="873"/>
        <v>0</v>
      </c>
      <c r="Y1815" s="19">
        <f t="shared" ca="1" si="874"/>
        <v>0</v>
      </c>
      <c r="Z1815" s="20">
        <f t="shared" ca="1" si="875"/>
        <v>0</v>
      </c>
      <c r="AA1815" s="1">
        <f t="shared" si="853"/>
        <v>5432.58</v>
      </c>
      <c r="AB1815" s="91"/>
      <c r="AC1815" s="92"/>
      <c r="AD1815" s="101">
        <f t="shared" si="854"/>
        <v>94674</v>
      </c>
      <c r="AE1815" s="103">
        <f t="shared" si="855"/>
        <v>0</v>
      </c>
      <c r="AG1815" s="1">
        <f t="shared" si="876"/>
        <v>0</v>
      </c>
      <c r="AH1815" s="1">
        <f t="shared" si="877"/>
        <v>0</v>
      </c>
      <c r="AI1815" s="1">
        <f t="shared" si="856"/>
        <v>5432.58</v>
      </c>
      <c r="AJ1815" s="20">
        <f t="shared" si="858"/>
        <v>0</v>
      </c>
      <c r="AK1815" s="100">
        <f t="shared" si="860"/>
        <v>0</v>
      </c>
      <c r="AL1815" s="100">
        <f t="shared" si="861"/>
        <v>0</v>
      </c>
      <c r="AN1815" s="100">
        <f t="shared" si="862"/>
        <v>2200.2269213250192</v>
      </c>
      <c r="AO1815" s="20">
        <f t="shared" si="863"/>
        <v>0</v>
      </c>
      <c r="AQ1815" s="109">
        <f t="shared" si="864"/>
        <v>0</v>
      </c>
      <c r="AU1815" s="109">
        <f t="shared" si="849"/>
        <v>23.134749153980703</v>
      </c>
      <c r="AV1815" s="101">
        <f t="shared" si="865"/>
        <v>94704</v>
      </c>
      <c r="AW1815" s="99">
        <f t="shared" si="866"/>
        <v>0</v>
      </c>
      <c r="AX1815" s="1">
        <f t="shared" si="867"/>
        <v>0</v>
      </c>
      <c r="AY1815" s="29">
        <f t="shared" si="868"/>
        <v>0</v>
      </c>
      <c r="AZ1815" s="1">
        <f t="shared" si="850"/>
        <v>0</v>
      </c>
      <c r="CB1815" s="20">
        <f t="shared" si="859"/>
        <v>0</v>
      </c>
      <c r="CC1815" s="173">
        <f t="shared" si="851"/>
        <v>0</v>
      </c>
    </row>
    <row r="1816" spans="10:81" x14ac:dyDescent="0.25">
      <c r="J1816" s="9"/>
      <c r="K1816" s="10"/>
      <c r="L1816" s="17"/>
      <c r="M1816" s="23"/>
      <c r="N1816" s="23"/>
      <c r="O1816" s="23"/>
      <c r="P1816" s="23"/>
      <c r="Q1816" s="1">
        <f t="shared" si="852"/>
        <v>0.60744618579017706</v>
      </c>
      <c r="R1816" s="12">
        <f t="shared" ca="1" si="869"/>
        <v>53582</v>
      </c>
      <c r="S1816" s="88">
        <f t="shared" si="878"/>
        <v>0</v>
      </c>
      <c r="T1816" s="19">
        <f t="shared" si="870"/>
        <v>0</v>
      </c>
      <c r="U1816" s="19">
        <f t="shared" si="871"/>
        <v>0</v>
      </c>
      <c r="V1816" s="19">
        <f t="shared" si="857"/>
        <v>0</v>
      </c>
      <c r="W1816" s="20">
        <f t="shared" ca="1" si="872"/>
        <v>0</v>
      </c>
      <c r="X1816" s="19">
        <f t="shared" ca="1" si="873"/>
        <v>0</v>
      </c>
      <c r="Y1816" s="19">
        <f t="shared" ca="1" si="874"/>
        <v>0</v>
      </c>
      <c r="Z1816" s="20">
        <f t="shared" ca="1" si="875"/>
        <v>0</v>
      </c>
      <c r="AA1816" s="1">
        <f t="shared" si="853"/>
        <v>5432.58</v>
      </c>
      <c r="AB1816" s="93"/>
      <c r="AC1816" s="94"/>
      <c r="AD1816" s="101">
        <f t="shared" si="854"/>
        <v>94704</v>
      </c>
      <c r="AE1816" s="103">
        <f t="shared" si="855"/>
        <v>0</v>
      </c>
      <c r="AG1816" s="1">
        <f t="shared" si="876"/>
        <v>0</v>
      </c>
      <c r="AH1816" s="1">
        <f t="shared" si="877"/>
        <v>0</v>
      </c>
      <c r="AI1816" s="1">
        <f t="shared" si="856"/>
        <v>5432.58</v>
      </c>
      <c r="AJ1816" s="20">
        <f t="shared" si="858"/>
        <v>0</v>
      </c>
      <c r="AK1816" s="100">
        <f t="shared" si="860"/>
        <v>0</v>
      </c>
      <c r="AL1816" s="100">
        <f t="shared" si="861"/>
        <v>0</v>
      </c>
      <c r="AN1816" s="100">
        <f t="shared" si="862"/>
        <v>2199.1137186246051</v>
      </c>
      <c r="AO1816" s="20">
        <f t="shared" si="863"/>
        <v>0</v>
      </c>
      <c r="AQ1816" s="109">
        <f t="shared" si="864"/>
        <v>0</v>
      </c>
      <c r="AU1816" s="109">
        <f t="shared" si="849"/>
        <v>23.132718615346693</v>
      </c>
      <c r="AV1816" s="101">
        <f t="shared" si="865"/>
        <v>94734</v>
      </c>
      <c r="AW1816" s="99">
        <f t="shared" si="866"/>
        <v>0</v>
      </c>
      <c r="AX1816" s="1">
        <f t="shared" si="867"/>
        <v>0</v>
      </c>
      <c r="AY1816" s="29">
        <f t="shared" si="868"/>
        <v>0</v>
      </c>
      <c r="AZ1816" s="1">
        <f t="shared" si="850"/>
        <v>0</v>
      </c>
      <c r="CB1816" s="20">
        <f t="shared" si="859"/>
        <v>0</v>
      </c>
      <c r="CC1816" s="173">
        <f t="shared" si="851"/>
        <v>0</v>
      </c>
    </row>
    <row r="1817" spans="10:81" x14ac:dyDescent="0.25">
      <c r="J1817" s="7"/>
      <c r="K1817" s="8"/>
      <c r="L1817" s="16"/>
      <c r="M1817" s="22"/>
      <c r="N1817" s="22"/>
      <c r="O1817" s="22"/>
      <c r="P1817" s="22"/>
      <c r="Q1817" s="1">
        <f t="shared" si="852"/>
        <v>0.60744618579017706</v>
      </c>
      <c r="R1817" s="12">
        <f t="shared" ca="1" si="869"/>
        <v>53612</v>
      </c>
      <c r="S1817" s="88">
        <f t="shared" si="878"/>
        <v>0</v>
      </c>
      <c r="T1817" s="19">
        <f t="shared" si="870"/>
        <v>0</v>
      </c>
      <c r="U1817" s="19">
        <f t="shared" si="871"/>
        <v>0</v>
      </c>
      <c r="V1817" s="19">
        <f t="shared" si="857"/>
        <v>0</v>
      </c>
      <c r="W1817" s="20">
        <f t="shared" ca="1" si="872"/>
        <v>0</v>
      </c>
      <c r="X1817" s="19">
        <f t="shared" ca="1" si="873"/>
        <v>0</v>
      </c>
      <c r="Y1817" s="19">
        <f t="shared" ca="1" si="874"/>
        <v>0</v>
      </c>
      <c r="Z1817" s="20">
        <f t="shared" ca="1" si="875"/>
        <v>0</v>
      </c>
      <c r="AA1817" s="1">
        <f t="shared" si="853"/>
        <v>5432.58</v>
      </c>
      <c r="AB1817" s="91"/>
      <c r="AC1817" s="92"/>
      <c r="AD1817" s="101">
        <f t="shared" si="854"/>
        <v>94734</v>
      </c>
      <c r="AE1817" s="103">
        <f t="shared" si="855"/>
        <v>0</v>
      </c>
      <c r="AG1817" s="1">
        <f t="shared" si="876"/>
        <v>0</v>
      </c>
      <c r="AH1817" s="1">
        <f t="shared" si="877"/>
        <v>0</v>
      </c>
      <c r="AI1817" s="1">
        <f t="shared" si="856"/>
        <v>5432.58</v>
      </c>
      <c r="AJ1817" s="20">
        <f t="shared" si="858"/>
        <v>0</v>
      </c>
      <c r="AK1817" s="100">
        <f t="shared" si="860"/>
        <v>0</v>
      </c>
      <c r="AL1817" s="100">
        <f t="shared" si="861"/>
        <v>0</v>
      </c>
      <c r="AN1817" s="100">
        <f t="shared" si="862"/>
        <v>2198.0010791480286</v>
      </c>
      <c r="AO1817" s="20">
        <f t="shared" si="863"/>
        <v>0</v>
      </c>
      <c r="AQ1817" s="109">
        <f t="shared" si="864"/>
        <v>0</v>
      </c>
      <c r="AU1817" s="109">
        <f t="shared" si="849"/>
        <v>23.130688254933212</v>
      </c>
      <c r="AV1817" s="101">
        <f t="shared" si="865"/>
        <v>94764</v>
      </c>
      <c r="AW1817" s="99">
        <f t="shared" si="866"/>
        <v>0</v>
      </c>
      <c r="AX1817" s="1">
        <f t="shared" si="867"/>
        <v>0</v>
      </c>
      <c r="AY1817" s="29">
        <f t="shared" si="868"/>
        <v>0</v>
      </c>
      <c r="AZ1817" s="1">
        <f t="shared" si="850"/>
        <v>0</v>
      </c>
      <c r="CB1817" s="20">
        <f t="shared" si="859"/>
        <v>0</v>
      </c>
      <c r="CC1817" s="173">
        <f t="shared" si="851"/>
        <v>0</v>
      </c>
    </row>
    <row r="1818" spans="10:81" x14ac:dyDescent="0.25">
      <c r="J1818" s="9"/>
      <c r="K1818" s="10"/>
      <c r="L1818" s="17"/>
      <c r="M1818" s="23"/>
      <c r="N1818" s="23"/>
      <c r="O1818" s="23"/>
      <c r="P1818" s="23"/>
      <c r="Q1818" s="1">
        <f t="shared" si="852"/>
        <v>0.60744618579017706</v>
      </c>
      <c r="R1818" s="12">
        <f t="shared" ca="1" si="869"/>
        <v>53642</v>
      </c>
      <c r="S1818" s="88">
        <f t="shared" si="878"/>
        <v>0</v>
      </c>
      <c r="T1818" s="19">
        <f t="shared" si="870"/>
        <v>0</v>
      </c>
      <c r="U1818" s="19">
        <f t="shared" si="871"/>
        <v>0</v>
      </c>
      <c r="V1818" s="19">
        <f t="shared" si="857"/>
        <v>0</v>
      </c>
      <c r="W1818" s="20">
        <f t="shared" ca="1" si="872"/>
        <v>0</v>
      </c>
      <c r="X1818" s="19">
        <f t="shared" ca="1" si="873"/>
        <v>0</v>
      </c>
      <c r="Y1818" s="19">
        <f t="shared" ca="1" si="874"/>
        <v>0</v>
      </c>
      <c r="Z1818" s="20">
        <f t="shared" ca="1" si="875"/>
        <v>0</v>
      </c>
      <c r="AA1818" s="1">
        <f t="shared" si="853"/>
        <v>5432.58</v>
      </c>
      <c r="AB1818" s="93"/>
      <c r="AC1818" s="94"/>
      <c r="AD1818" s="101">
        <f t="shared" si="854"/>
        <v>94764</v>
      </c>
      <c r="AE1818" s="103">
        <f t="shared" si="855"/>
        <v>0</v>
      </c>
      <c r="AG1818" s="1">
        <f t="shared" si="876"/>
        <v>0</v>
      </c>
      <c r="AH1818" s="1">
        <f t="shared" si="877"/>
        <v>0</v>
      </c>
      <c r="AI1818" s="1">
        <f t="shared" si="856"/>
        <v>5432.58</v>
      </c>
      <c r="AJ1818" s="20">
        <f t="shared" si="858"/>
        <v>0</v>
      </c>
      <c r="AK1818" s="100">
        <f t="shared" si="860"/>
        <v>0</v>
      </c>
      <c r="AL1818" s="100">
        <f t="shared" si="861"/>
        <v>0</v>
      </c>
      <c r="AN1818" s="100">
        <f t="shared" si="862"/>
        <v>2196.8890026103281</v>
      </c>
      <c r="AO1818" s="20">
        <f t="shared" si="863"/>
        <v>0</v>
      </c>
      <c r="AQ1818" s="109">
        <f t="shared" si="864"/>
        <v>0</v>
      </c>
      <c r="AU1818" s="109">
        <f t="shared" si="849"/>
        <v>23.128658072724601</v>
      </c>
      <c r="AV1818" s="101">
        <f t="shared" si="865"/>
        <v>94794</v>
      </c>
      <c r="AW1818" s="99">
        <f t="shared" si="866"/>
        <v>0</v>
      </c>
      <c r="AX1818" s="1">
        <f t="shared" si="867"/>
        <v>0</v>
      </c>
      <c r="AY1818" s="29">
        <f t="shared" si="868"/>
        <v>0</v>
      </c>
      <c r="AZ1818" s="1">
        <f t="shared" si="850"/>
        <v>0</v>
      </c>
      <c r="CB1818" s="20">
        <f t="shared" si="859"/>
        <v>0</v>
      </c>
      <c r="CC1818" s="173">
        <f t="shared" si="851"/>
        <v>0</v>
      </c>
    </row>
    <row r="1819" spans="10:81" x14ac:dyDescent="0.25">
      <c r="J1819" s="7"/>
      <c r="K1819" s="8"/>
      <c r="L1819" s="16"/>
      <c r="M1819" s="22"/>
      <c r="N1819" s="22"/>
      <c r="O1819" s="22"/>
      <c r="P1819" s="22"/>
      <c r="Q1819" s="1">
        <f t="shared" si="852"/>
        <v>0.60744618579017706</v>
      </c>
      <c r="R1819" s="12">
        <f t="shared" ca="1" si="869"/>
        <v>53672</v>
      </c>
      <c r="S1819" s="88">
        <f t="shared" si="878"/>
        <v>0</v>
      </c>
      <c r="T1819" s="19">
        <f t="shared" si="870"/>
        <v>0</v>
      </c>
      <c r="U1819" s="19">
        <f t="shared" si="871"/>
        <v>0</v>
      </c>
      <c r="V1819" s="19">
        <f t="shared" si="857"/>
        <v>0</v>
      </c>
      <c r="W1819" s="20">
        <f t="shared" ca="1" si="872"/>
        <v>0</v>
      </c>
      <c r="X1819" s="19">
        <f t="shared" ca="1" si="873"/>
        <v>0</v>
      </c>
      <c r="Y1819" s="19">
        <f t="shared" ca="1" si="874"/>
        <v>0</v>
      </c>
      <c r="Z1819" s="20">
        <f t="shared" ca="1" si="875"/>
        <v>0</v>
      </c>
      <c r="AA1819" s="1">
        <f t="shared" si="853"/>
        <v>5432.58</v>
      </c>
      <c r="AB1819" s="91"/>
      <c r="AC1819" s="92"/>
      <c r="AD1819" s="101">
        <f t="shared" si="854"/>
        <v>94794</v>
      </c>
      <c r="AE1819" s="103">
        <f t="shared" si="855"/>
        <v>0</v>
      </c>
      <c r="AG1819" s="1">
        <f t="shared" si="876"/>
        <v>0</v>
      </c>
      <c r="AH1819" s="1">
        <f t="shared" si="877"/>
        <v>0</v>
      </c>
      <c r="AI1819" s="1">
        <f t="shared" si="856"/>
        <v>5432.58</v>
      </c>
      <c r="AJ1819" s="20">
        <f t="shared" si="858"/>
        <v>0</v>
      </c>
      <c r="AK1819" s="100">
        <f t="shared" si="860"/>
        <v>0</v>
      </c>
      <c r="AL1819" s="100">
        <f t="shared" si="861"/>
        <v>0</v>
      </c>
      <c r="AN1819" s="100">
        <f t="shared" si="862"/>
        <v>2195.7774887266851</v>
      </c>
      <c r="AO1819" s="20">
        <f t="shared" si="863"/>
        <v>0</v>
      </c>
      <c r="AQ1819" s="109">
        <f t="shared" si="864"/>
        <v>0</v>
      </c>
      <c r="AU1819" s="109">
        <f t="shared" si="849"/>
        <v>23.126628068705237</v>
      </c>
      <c r="AV1819" s="101">
        <f t="shared" si="865"/>
        <v>94824</v>
      </c>
      <c r="AW1819" s="99">
        <f t="shared" si="866"/>
        <v>0</v>
      </c>
      <c r="AX1819" s="1">
        <f t="shared" si="867"/>
        <v>0</v>
      </c>
      <c r="AY1819" s="29">
        <f t="shared" si="868"/>
        <v>0</v>
      </c>
      <c r="AZ1819" s="1">
        <f t="shared" si="850"/>
        <v>0</v>
      </c>
      <c r="CB1819" s="20">
        <f t="shared" si="859"/>
        <v>0</v>
      </c>
      <c r="CC1819" s="173">
        <f t="shared" si="851"/>
        <v>0</v>
      </c>
    </row>
    <row r="1820" spans="10:81" x14ac:dyDescent="0.25">
      <c r="J1820" s="9"/>
      <c r="K1820" s="10"/>
      <c r="L1820" s="17"/>
      <c r="M1820" s="23"/>
      <c r="N1820" s="23"/>
      <c r="O1820" s="23"/>
      <c r="P1820" s="23"/>
      <c r="Q1820" s="1">
        <f t="shared" si="852"/>
        <v>0.60744618579017706</v>
      </c>
      <c r="R1820" s="12">
        <f t="shared" ca="1" si="869"/>
        <v>53702</v>
      </c>
      <c r="S1820" s="88">
        <f t="shared" si="878"/>
        <v>0</v>
      </c>
      <c r="T1820" s="19">
        <f t="shared" si="870"/>
        <v>0</v>
      </c>
      <c r="U1820" s="19">
        <f t="shared" si="871"/>
        <v>0</v>
      </c>
      <c r="V1820" s="19">
        <f t="shared" si="857"/>
        <v>0</v>
      </c>
      <c r="W1820" s="20">
        <f t="shared" ca="1" si="872"/>
        <v>0</v>
      </c>
      <c r="X1820" s="19">
        <f t="shared" ca="1" si="873"/>
        <v>0</v>
      </c>
      <c r="Y1820" s="19">
        <f t="shared" ca="1" si="874"/>
        <v>0</v>
      </c>
      <c r="Z1820" s="20">
        <f t="shared" ca="1" si="875"/>
        <v>0</v>
      </c>
      <c r="AA1820" s="1">
        <f t="shared" si="853"/>
        <v>5432.58</v>
      </c>
      <c r="AB1820" s="93"/>
      <c r="AC1820" s="94"/>
      <c r="AD1820" s="101">
        <f t="shared" si="854"/>
        <v>94824</v>
      </c>
      <c r="AE1820" s="103">
        <f t="shared" si="855"/>
        <v>0</v>
      </c>
      <c r="AG1820" s="1">
        <f t="shared" si="876"/>
        <v>0</v>
      </c>
      <c r="AH1820" s="1">
        <f t="shared" si="877"/>
        <v>0</v>
      </c>
      <c r="AI1820" s="1">
        <f t="shared" si="856"/>
        <v>5432.58</v>
      </c>
      <c r="AJ1820" s="20">
        <f t="shared" si="858"/>
        <v>0</v>
      </c>
      <c r="AK1820" s="100">
        <f t="shared" si="860"/>
        <v>0</v>
      </c>
      <c r="AL1820" s="100">
        <f t="shared" si="861"/>
        <v>0</v>
      </c>
      <c r="AN1820" s="100">
        <f t="shared" si="862"/>
        <v>2194.6665372124253</v>
      </c>
      <c r="AO1820" s="20">
        <f t="shared" si="863"/>
        <v>0</v>
      </c>
      <c r="AQ1820" s="109">
        <f t="shared" si="864"/>
        <v>0</v>
      </c>
      <c r="AU1820" s="109">
        <f t="shared" si="849"/>
        <v>23.124598242859488</v>
      </c>
      <c r="AV1820" s="101">
        <f t="shared" si="865"/>
        <v>94854</v>
      </c>
      <c r="AW1820" s="99">
        <f t="shared" si="866"/>
        <v>0</v>
      </c>
      <c r="AX1820" s="1">
        <f t="shared" si="867"/>
        <v>0</v>
      </c>
      <c r="AY1820" s="29">
        <f t="shared" si="868"/>
        <v>0</v>
      </c>
      <c r="AZ1820" s="1">
        <f t="shared" si="850"/>
        <v>0</v>
      </c>
      <c r="CB1820" s="20">
        <f t="shared" si="859"/>
        <v>0</v>
      </c>
      <c r="CC1820" s="173">
        <f t="shared" si="851"/>
        <v>0</v>
      </c>
    </row>
    <row r="1821" spans="10:81" x14ac:dyDescent="0.25">
      <c r="J1821" s="7"/>
      <c r="K1821" s="8"/>
      <c r="L1821" s="16"/>
      <c r="M1821" s="22"/>
      <c r="N1821" s="22"/>
      <c r="O1821" s="22"/>
      <c r="P1821" s="22"/>
      <c r="Q1821" s="1">
        <f t="shared" si="852"/>
        <v>0.60744618579017706</v>
      </c>
      <c r="R1821" s="12">
        <f t="shared" ca="1" si="869"/>
        <v>53732</v>
      </c>
      <c r="S1821" s="88">
        <f t="shared" si="878"/>
        <v>0</v>
      </c>
      <c r="T1821" s="19">
        <f t="shared" si="870"/>
        <v>0</v>
      </c>
      <c r="U1821" s="19">
        <f t="shared" si="871"/>
        <v>0</v>
      </c>
      <c r="V1821" s="19">
        <f t="shared" si="857"/>
        <v>0</v>
      </c>
      <c r="W1821" s="20">
        <f t="shared" ca="1" si="872"/>
        <v>0</v>
      </c>
      <c r="X1821" s="19">
        <f t="shared" ca="1" si="873"/>
        <v>0</v>
      </c>
      <c r="Y1821" s="19">
        <f t="shared" ca="1" si="874"/>
        <v>0</v>
      </c>
      <c r="Z1821" s="20">
        <f t="shared" ca="1" si="875"/>
        <v>0</v>
      </c>
      <c r="AA1821" s="1">
        <f t="shared" si="853"/>
        <v>5432.58</v>
      </c>
      <c r="AB1821" s="91"/>
      <c r="AC1821" s="92"/>
      <c r="AD1821" s="101">
        <f t="shared" si="854"/>
        <v>94854</v>
      </c>
      <c r="AE1821" s="103">
        <f t="shared" si="855"/>
        <v>0</v>
      </c>
      <c r="AG1821" s="1">
        <f t="shared" si="876"/>
        <v>0</v>
      </c>
      <c r="AH1821" s="1">
        <f t="shared" si="877"/>
        <v>0</v>
      </c>
      <c r="AI1821" s="1">
        <f t="shared" si="856"/>
        <v>5432.58</v>
      </c>
      <c r="AJ1821" s="20">
        <f t="shared" si="858"/>
        <v>0</v>
      </c>
      <c r="AK1821" s="100">
        <f t="shared" si="860"/>
        <v>0</v>
      </c>
      <c r="AL1821" s="100">
        <f t="shared" si="861"/>
        <v>0</v>
      </c>
      <c r="AN1821" s="100">
        <f t="shared" si="862"/>
        <v>2193.5561477830202</v>
      </c>
      <c r="AO1821" s="20">
        <f t="shared" si="863"/>
        <v>0</v>
      </c>
      <c r="AQ1821" s="109">
        <f t="shared" si="864"/>
        <v>0</v>
      </c>
      <c r="AU1821" s="109">
        <f t="shared" si="849"/>
        <v>23.122568595171696</v>
      </c>
      <c r="AV1821" s="101">
        <f t="shared" si="865"/>
        <v>94884</v>
      </c>
      <c r="AW1821" s="99">
        <f t="shared" si="866"/>
        <v>0</v>
      </c>
      <c r="AX1821" s="1">
        <f t="shared" si="867"/>
        <v>0</v>
      </c>
      <c r="AY1821" s="29">
        <f t="shared" si="868"/>
        <v>0</v>
      </c>
      <c r="AZ1821" s="1">
        <f t="shared" si="850"/>
        <v>0</v>
      </c>
      <c r="CB1821" s="20">
        <f t="shared" si="859"/>
        <v>0</v>
      </c>
      <c r="CC1821" s="173">
        <f t="shared" si="851"/>
        <v>0</v>
      </c>
    </row>
    <row r="1822" spans="10:81" x14ac:dyDescent="0.25">
      <c r="J1822" s="9"/>
      <c r="K1822" s="10"/>
      <c r="L1822" s="17"/>
      <c r="M1822" s="23"/>
      <c r="N1822" s="23"/>
      <c r="O1822" s="23"/>
      <c r="P1822" s="23"/>
      <c r="Q1822" s="1">
        <f t="shared" si="852"/>
        <v>0.60744618579017706</v>
      </c>
      <c r="R1822" s="12">
        <f t="shared" ca="1" si="869"/>
        <v>53762</v>
      </c>
      <c r="S1822" s="88">
        <f t="shared" si="878"/>
        <v>0</v>
      </c>
      <c r="T1822" s="19">
        <f t="shared" si="870"/>
        <v>0</v>
      </c>
      <c r="U1822" s="19">
        <f t="shared" si="871"/>
        <v>0</v>
      </c>
      <c r="V1822" s="19">
        <f t="shared" si="857"/>
        <v>0</v>
      </c>
      <c r="W1822" s="20">
        <f t="shared" ca="1" si="872"/>
        <v>0</v>
      </c>
      <c r="X1822" s="19">
        <f t="shared" ca="1" si="873"/>
        <v>0</v>
      </c>
      <c r="Y1822" s="19">
        <f t="shared" ca="1" si="874"/>
        <v>0</v>
      </c>
      <c r="Z1822" s="20">
        <f t="shared" ca="1" si="875"/>
        <v>0</v>
      </c>
      <c r="AA1822" s="1">
        <f t="shared" si="853"/>
        <v>5432.58</v>
      </c>
      <c r="AB1822" s="93"/>
      <c r="AC1822" s="94"/>
      <c r="AD1822" s="101">
        <f t="shared" si="854"/>
        <v>94884</v>
      </c>
      <c r="AE1822" s="103">
        <f t="shared" si="855"/>
        <v>0</v>
      </c>
      <c r="AG1822" s="1">
        <f t="shared" si="876"/>
        <v>0</v>
      </c>
      <c r="AH1822" s="1">
        <f t="shared" si="877"/>
        <v>0</v>
      </c>
      <c r="AI1822" s="1">
        <f t="shared" si="856"/>
        <v>5432.58</v>
      </c>
      <c r="AJ1822" s="20">
        <f t="shared" si="858"/>
        <v>0</v>
      </c>
      <c r="AK1822" s="100">
        <f t="shared" si="860"/>
        <v>0</v>
      </c>
      <c r="AL1822" s="100">
        <f t="shared" si="861"/>
        <v>0</v>
      </c>
      <c r="AN1822" s="100">
        <f t="shared" si="862"/>
        <v>2192.4463201540802</v>
      </c>
      <c r="AO1822" s="20">
        <f t="shared" si="863"/>
        <v>0</v>
      </c>
      <c r="AQ1822" s="109">
        <f t="shared" si="864"/>
        <v>0</v>
      </c>
      <c r="AU1822" s="109">
        <f t="shared" si="849"/>
        <v>23.120539125626223</v>
      </c>
      <c r="AV1822" s="101">
        <f t="shared" si="865"/>
        <v>94914</v>
      </c>
      <c r="AW1822" s="99">
        <f t="shared" si="866"/>
        <v>0</v>
      </c>
      <c r="AX1822" s="1">
        <f t="shared" si="867"/>
        <v>0</v>
      </c>
      <c r="AY1822" s="29">
        <f t="shared" si="868"/>
        <v>0</v>
      </c>
      <c r="AZ1822" s="1">
        <f t="shared" si="850"/>
        <v>0</v>
      </c>
      <c r="CB1822" s="20">
        <f t="shared" si="859"/>
        <v>0</v>
      </c>
      <c r="CC1822" s="173">
        <f t="shared" si="851"/>
        <v>0</v>
      </c>
    </row>
    <row r="1823" spans="10:81" x14ac:dyDescent="0.25">
      <c r="J1823" s="7"/>
      <c r="K1823" s="8"/>
      <c r="L1823" s="16"/>
      <c r="M1823" s="22"/>
      <c r="N1823" s="22"/>
      <c r="O1823" s="22"/>
      <c r="P1823" s="22"/>
      <c r="Q1823" s="1">
        <f t="shared" si="852"/>
        <v>0.60744618579017706</v>
      </c>
      <c r="R1823" s="12">
        <f t="shared" ca="1" si="869"/>
        <v>53792</v>
      </c>
      <c r="S1823" s="88">
        <f t="shared" si="878"/>
        <v>0</v>
      </c>
      <c r="T1823" s="19">
        <f t="shared" si="870"/>
        <v>0</v>
      </c>
      <c r="U1823" s="19">
        <f t="shared" si="871"/>
        <v>0</v>
      </c>
      <c r="V1823" s="19">
        <f t="shared" si="857"/>
        <v>0</v>
      </c>
      <c r="W1823" s="20">
        <f t="shared" ca="1" si="872"/>
        <v>0</v>
      </c>
      <c r="X1823" s="19">
        <f t="shared" ca="1" si="873"/>
        <v>0</v>
      </c>
      <c r="Y1823" s="19">
        <f t="shared" ca="1" si="874"/>
        <v>0</v>
      </c>
      <c r="Z1823" s="20">
        <f t="shared" ca="1" si="875"/>
        <v>0</v>
      </c>
      <c r="AA1823" s="1">
        <f t="shared" si="853"/>
        <v>5432.58</v>
      </c>
      <c r="AB1823" s="91"/>
      <c r="AC1823" s="92"/>
      <c r="AD1823" s="101">
        <f t="shared" si="854"/>
        <v>94914</v>
      </c>
      <c r="AE1823" s="103">
        <f t="shared" si="855"/>
        <v>0</v>
      </c>
      <c r="AG1823" s="1">
        <f t="shared" si="876"/>
        <v>0</v>
      </c>
      <c r="AH1823" s="1">
        <f t="shared" si="877"/>
        <v>0</v>
      </c>
      <c r="AI1823" s="1">
        <f t="shared" si="856"/>
        <v>5432.58</v>
      </c>
      <c r="AJ1823" s="20">
        <f t="shared" si="858"/>
        <v>0</v>
      </c>
      <c r="AK1823" s="100">
        <f t="shared" si="860"/>
        <v>0</v>
      </c>
      <c r="AL1823" s="100">
        <f t="shared" si="861"/>
        <v>0</v>
      </c>
      <c r="AN1823" s="100">
        <f t="shared" si="862"/>
        <v>2191.3370540413653</v>
      </c>
      <c r="AO1823" s="20">
        <f t="shared" si="863"/>
        <v>0</v>
      </c>
      <c r="AQ1823" s="109">
        <f t="shared" si="864"/>
        <v>0</v>
      </c>
      <c r="AU1823" s="109">
        <f t="shared" ref="AU1823:AU1886" si="879">(($AT$27/(1+((1+$AM$27)^(ROW()-29)*30)-1))/292)*0.32</f>
        <v>23.118509834207444</v>
      </c>
      <c r="AV1823" s="101">
        <f t="shared" si="865"/>
        <v>94944</v>
      </c>
      <c r="AW1823" s="99">
        <f t="shared" si="866"/>
        <v>0</v>
      </c>
      <c r="AX1823" s="1">
        <f t="shared" si="867"/>
        <v>0</v>
      </c>
      <c r="AY1823" s="29">
        <f t="shared" si="868"/>
        <v>0</v>
      </c>
      <c r="AZ1823" s="1">
        <f t="shared" ref="AZ1823:AZ1886" si="880">AY1823/360</f>
        <v>0</v>
      </c>
      <c r="CB1823" s="20">
        <f t="shared" si="859"/>
        <v>0</v>
      </c>
      <c r="CC1823" s="173">
        <f t="shared" ref="CC1823:CC1886" si="881">AJ1823+U1823+T1823</f>
        <v>0</v>
      </c>
    </row>
    <row r="1824" spans="10:81" x14ac:dyDescent="0.25">
      <c r="J1824" s="9"/>
      <c r="K1824" s="10"/>
      <c r="L1824" s="17"/>
      <c r="M1824" s="23"/>
      <c r="N1824" s="23"/>
      <c r="O1824" s="23"/>
      <c r="P1824" s="23"/>
      <c r="Q1824" s="1">
        <f t="shared" ref="Q1824:Q1887" si="882">IF(M1824=0,Q1823,(M1824*1200)/O1823)</f>
        <v>0.60744618579017706</v>
      </c>
      <c r="R1824" s="12">
        <f t="shared" ca="1" si="869"/>
        <v>53822</v>
      </c>
      <c r="S1824" s="88">
        <f t="shared" si="878"/>
        <v>0</v>
      </c>
      <c r="T1824" s="19">
        <f t="shared" si="870"/>
        <v>0</v>
      </c>
      <c r="U1824" s="19">
        <f t="shared" si="871"/>
        <v>0</v>
      </c>
      <c r="V1824" s="19">
        <f t="shared" si="857"/>
        <v>0</v>
      </c>
      <c r="W1824" s="20">
        <f t="shared" ca="1" si="872"/>
        <v>0</v>
      </c>
      <c r="X1824" s="19">
        <f t="shared" ca="1" si="873"/>
        <v>0</v>
      </c>
      <c r="Y1824" s="19">
        <f t="shared" ca="1" si="874"/>
        <v>0</v>
      </c>
      <c r="Z1824" s="20">
        <f t="shared" ca="1" si="875"/>
        <v>0</v>
      </c>
      <c r="AA1824" s="1">
        <f t="shared" ref="AA1824:AA1887" si="883">IF(S1824=0,AA1823,N1824)</f>
        <v>5432.58</v>
      </c>
      <c r="AB1824" s="93"/>
      <c r="AC1824" s="94"/>
      <c r="AD1824" s="101">
        <f t="shared" ref="AD1824:AD1887" si="884">IF(M1824=0,AD1823+30,K1824)</f>
        <v>94944</v>
      </c>
      <c r="AE1824" s="103">
        <f t="shared" ref="AE1824:AE1887" si="885">IF(V1824=0,0,R1824)</f>
        <v>0</v>
      </c>
      <c r="AG1824" s="1">
        <f t="shared" si="876"/>
        <v>0</v>
      </c>
      <c r="AH1824" s="1">
        <f t="shared" si="877"/>
        <v>0</v>
      </c>
      <c r="AI1824" s="1">
        <f t="shared" ref="AI1824:AI1887" si="886">IF(M1824-1=0,IF(M1824=0,IF(V1824=0,N1824,AI1823),AA1824),AA1824)</f>
        <v>5432.58</v>
      </c>
      <c r="AJ1824" s="20">
        <f t="shared" si="858"/>
        <v>0</v>
      </c>
      <c r="AK1824" s="100">
        <f t="shared" si="860"/>
        <v>0</v>
      </c>
      <c r="AL1824" s="100">
        <f t="shared" si="861"/>
        <v>0</v>
      </c>
      <c r="AN1824" s="100">
        <f t="shared" si="862"/>
        <v>2190.2283491607755</v>
      </c>
      <c r="AO1824" s="20">
        <f t="shared" si="863"/>
        <v>0</v>
      </c>
      <c r="AQ1824" s="109">
        <f t="shared" si="864"/>
        <v>0</v>
      </c>
      <c r="AU1824" s="109">
        <f t="shared" si="879"/>
        <v>23.116480720899727</v>
      </c>
      <c r="AV1824" s="101">
        <f t="shared" si="865"/>
        <v>94974</v>
      </c>
      <c r="AW1824" s="99">
        <f t="shared" si="866"/>
        <v>0</v>
      </c>
      <c r="AX1824" s="1">
        <f t="shared" si="867"/>
        <v>0</v>
      </c>
      <c r="AY1824" s="29">
        <f t="shared" si="868"/>
        <v>0</v>
      </c>
      <c r="AZ1824" s="1">
        <f t="shared" si="880"/>
        <v>0</v>
      </c>
      <c r="CB1824" s="20">
        <f t="shared" si="859"/>
        <v>0</v>
      </c>
      <c r="CC1824" s="173">
        <f t="shared" si="881"/>
        <v>0</v>
      </c>
    </row>
    <row r="1825" spans="10:81" x14ac:dyDescent="0.25">
      <c r="J1825" s="7"/>
      <c r="K1825" s="8"/>
      <c r="L1825" s="16"/>
      <c r="M1825" s="22"/>
      <c r="N1825" s="22"/>
      <c r="O1825" s="22"/>
      <c r="P1825" s="22"/>
      <c r="Q1825" s="1">
        <f t="shared" si="882"/>
        <v>0.60744618579017706</v>
      </c>
      <c r="R1825" s="12">
        <f t="shared" ca="1" si="869"/>
        <v>53852</v>
      </c>
      <c r="S1825" s="88">
        <f t="shared" si="878"/>
        <v>0</v>
      </c>
      <c r="T1825" s="19">
        <f t="shared" si="870"/>
        <v>0</v>
      </c>
      <c r="U1825" s="19">
        <f t="shared" si="871"/>
        <v>0</v>
      </c>
      <c r="V1825" s="19">
        <f t="shared" si="857"/>
        <v>0</v>
      </c>
      <c r="W1825" s="20">
        <f t="shared" ca="1" si="872"/>
        <v>0</v>
      </c>
      <c r="X1825" s="19">
        <f t="shared" ca="1" si="873"/>
        <v>0</v>
      </c>
      <c r="Y1825" s="19">
        <f t="shared" ca="1" si="874"/>
        <v>0</v>
      </c>
      <c r="Z1825" s="20">
        <f t="shared" ca="1" si="875"/>
        <v>0</v>
      </c>
      <c r="AA1825" s="1">
        <f t="shared" si="883"/>
        <v>5432.58</v>
      </c>
      <c r="AB1825" s="91"/>
      <c r="AC1825" s="92"/>
      <c r="AD1825" s="101">
        <f t="shared" si="884"/>
        <v>94974</v>
      </c>
      <c r="AE1825" s="103">
        <f t="shared" si="885"/>
        <v>0</v>
      </c>
      <c r="AG1825" s="1">
        <f t="shared" si="876"/>
        <v>0</v>
      </c>
      <c r="AH1825" s="1">
        <f t="shared" si="877"/>
        <v>0</v>
      </c>
      <c r="AI1825" s="1">
        <f t="shared" si="886"/>
        <v>5432.58</v>
      </c>
      <c r="AJ1825" s="20">
        <f t="shared" si="858"/>
        <v>0</v>
      </c>
      <c r="AK1825" s="100">
        <f t="shared" si="860"/>
        <v>0</v>
      </c>
      <c r="AL1825" s="100">
        <f t="shared" si="861"/>
        <v>0</v>
      </c>
      <c r="AN1825" s="100">
        <f t="shared" si="862"/>
        <v>2189.1202052283566</v>
      </c>
      <c r="AO1825" s="20">
        <f t="shared" si="863"/>
        <v>0</v>
      </c>
      <c r="AQ1825" s="109">
        <f t="shared" si="864"/>
        <v>0</v>
      </c>
      <c r="AU1825" s="109">
        <f t="shared" si="879"/>
        <v>23.114451785687429</v>
      </c>
      <c r="AV1825" s="101">
        <f t="shared" si="865"/>
        <v>95004</v>
      </c>
      <c r="AW1825" s="99">
        <f t="shared" si="866"/>
        <v>0</v>
      </c>
      <c r="AX1825" s="1">
        <f t="shared" si="867"/>
        <v>0</v>
      </c>
      <c r="AY1825" s="29">
        <f t="shared" si="868"/>
        <v>0</v>
      </c>
      <c r="AZ1825" s="1">
        <f t="shared" si="880"/>
        <v>0</v>
      </c>
      <c r="CB1825" s="20">
        <f t="shared" si="859"/>
        <v>0</v>
      </c>
      <c r="CC1825" s="173">
        <f t="shared" si="881"/>
        <v>0</v>
      </c>
    </row>
    <row r="1826" spans="10:81" x14ac:dyDescent="0.25">
      <c r="J1826" s="9"/>
      <c r="K1826" s="10"/>
      <c r="L1826" s="17"/>
      <c r="M1826" s="23"/>
      <c r="N1826" s="23"/>
      <c r="O1826" s="23"/>
      <c r="P1826" s="23"/>
      <c r="Q1826" s="1">
        <f t="shared" si="882"/>
        <v>0.60744618579017706</v>
      </c>
      <c r="R1826" s="12">
        <f t="shared" ca="1" si="869"/>
        <v>53882</v>
      </c>
      <c r="S1826" s="88">
        <f t="shared" si="878"/>
        <v>0</v>
      </c>
      <c r="T1826" s="19">
        <f t="shared" si="870"/>
        <v>0</v>
      </c>
      <c r="U1826" s="19">
        <f t="shared" si="871"/>
        <v>0</v>
      </c>
      <c r="V1826" s="19">
        <f t="shared" ref="V1826:V1889" si="887">IF(ISERROR(IF(V1825+U1826+T1826+(V1825*Q1826/1200)-AA1826-P1826&lt;0,0,V1825+U1826+T1826-AA1826-P1826)),0,IF(V1825+U1826+T1826+(V1825*Q1826/1200)-AA1826-CB1826&lt;0,0,V1825+U1826+T1826-AA1826-CB1826))</f>
        <v>0</v>
      </c>
      <c r="W1826" s="20">
        <f t="shared" ca="1" si="872"/>
        <v>0</v>
      </c>
      <c r="X1826" s="19">
        <f t="shared" ca="1" si="873"/>
        <v>0</v>
      </c>
      <c r="Y1826" s="19">
        <f t="shared" ca="1" si="874"/>
        <v>0</v>
      </c>
      <c r="Z1826" s="20">
        <f t="shared" ca="1" si="875"/>
        <v>0</v>
      </c>
      <c r="AA1826" s="1">
        <f t="shared" si="883"/>
        <v>5432.58</v>
      </c>
      <c r="AB1826" s="93"/>
      <c r="AC1826" s="94"/>
      <c r="AD1826" s="101">
        <f t="shared" si="884"/>
        <v>95004</v>
      </c>
      <c r="AE1826" s="103">
        <f t="shared" si="885"/>
        <v>0</v>
      </c>
      <c r="AG1826" s="1">
        <f t="shared" si="876"/>
        <v>0</v>
      </c>
      <c r="AH1826" s="1">
        <f t="shared" si="877"/>
        <v>0</v>
      </c>
      <c r="AI1826" s="1">
        <f t="shared" si="886"/>
        <v>5432.58</v>
      </c>
      <c r="AJ1826" s="20">
        <f t="shared" si="858"/>
        <v>0</v>
      </c>
      <c r="AK1826" s="100">
        <f t="shared" si="860"/>
        <v>0</v>
      </c>
      <c r="AL1826" s="100">
        <f t="shared" si="861"/>
        <v>0</v>
      </c>
      <c r="AN1826" s="100">
        <f t="shared" si="862"/>
        <v>2188.012621960298</v>
      </c>
      <c r="AO1826" s="20">
        <f t="shared" si="863"/>
        <v>0</v>
      </c>
      <c r="AQ1826" s="109">
        <f t="shared" si="864"/>
        <v>0</v>
      </c>
      <c r="AU1826" s="109">
        <f t="shared" si="879"/>
        <v>23.112423028554918</v>
      </c>
      <c r="AV1826" s="101">
        <f t="shared" si="865"/>
        <v>95034</v>
      </c>
      <c r="AW1826" s="99">
        <f t="shared" si="866"/>
        <v>0</v>
      </c>
      <c r="AX1826" s="1">
        <f t="shared" si="867"/>
        <v>0</v>
      </c>
      <c r="AY1826" s="29">
        <f t="shared" si="868"/>
        <v>0</v>
      </c>
      <c r="AZ1826" s="1">
        <f t="shared" si="880"/>
        <v>0</v>
      </c>
      <c r="CB1826" s="20">
        <f t="shared" si="859"/>
        <v>0</v>
      </c>
      <c r="CC1826" s="173">
        <f t="shared" si="881"/>
        <v>0</v>
      </c>
    </row>
    <row r="1827" spans="10:81" x14ac:dyDescent="0.25">
      <c r="J1827" s="7"/>
      <c r="K1827" s="8"/>
      <c r="L1827" s="16"/>
      <c r="M1827" s="22"/>
      <c r="N1827" s="22"/>
      <c r="O1827" s="22"/>
      <c r="P1827" s="22"/>
      <c r="Q1827" s="1">
        <f t="shared" si="882"/>
        <v>0.60744618579017706</v>
      </c>
      <c r="R1827" s="12">
        <f t="shared" ca="1" si="869"/>
        <v>53912</v>
      </c>
      <c r="S1827" s="88">
        <f t="shared" si="878"/>
        <v>0</v>
      </c>
      <c r="T1827" s="19">
        <f t="shared" si="870"/>
        <v>0</v>
      </c>
      <c r="U1827" s="19">
        <f t="shared" si="871"/>
        <v>0</v>
      </c>
      <c r="V1827" s="19">
        <f t="shared" si="887"/>
        <v>0</v>
      </c>
      <c r="W1827" s="20">
        <f t="shared" ca="1" si="872"/>
        <v>0</v>
      </c>
      <c r="X1827" s="19">
        <f t="shared" ca="1" si="873"/>
        <v>0</v>
      </c>
      <c r="Y1827" s="19">
        <f t="shared" ca="1" si="874"/>
        <v>0</v>
      </c>
      <c r="Z1827" s="20">
        <f t="shared" ca="1" si="875"/>
        <v>0</v>
      </c>
      <c r="AA1827" s="1">
        <f t="shared" si="883"/>
        <v>5432.58</v>
      </c>
      <c r="AB1827" s="91"/>
      <c r="AC1827" s="92"/>
      <c r="AD1827" s="101">
        <f t="shared" si="884"/>
        <v>95034</v>
      </c>
      <c r="AE1827" s="103">
        <f t="shared" si="885"/>
        <v>0</v>
      </c>
      <c r="AG1827" s="1">
        <f t="shared" si="876"/>
        <v>0</v>
      </c>
      <c r="AH1827" s="1">
        <f t="shared" si="877"/>
        <v>0</v>
      </c>
      <c r="AI1827" s="1">
        <f t="shared" si="886"/>
        <v>5432.58</v>
      </c>
      <c r="AJ1827" s="20">
        <f t="shared" si="858"/>
        <v>0</v>
      </c>
      <c r="AK1827" s="100">
        <f t="shared" si="860"/>
        <v>0</v>
      </c>
      <c r="AL1827" s="100">
        <f t="shared" si="861"/>
        <v>0</v>
      </c>
      <c r="AN1827" s="100">
        <f t="shared" si="862"/>
        <v>2186.9055990729307</v>
      </c>
      <c r="AO1827" s="20">
        <f t="shared" si="863"/>
        <v>0</v>
      </c>
      <c r="AQ1827" s="109">
        <f t="shared" si="864"/>
        <v>0</v>
      </c>
      <c r="AU1827" s="109">
        <f t="shared" si="879"/>
        <v>23.110394449486581</v>
      </c>
      <c r="AV1827" s="101">
        <f t="shared" si="865"/>
        <v>95064</v>
      </c>
      <c r="AW1827" s="99">
        <f t="shared" si="866"/>
        <v>0</v>
      </c>
      <c r="AX1827" s="1">
        <f t="shared" si="867"/>
        <v>0</v>
      </c>
      <c r="AY1827" s="29">
        <f t="shared" si="868"/>
        <v>0</v>
      </c>
      <c r="AZ1827" s="1">
        <f t="shared" si="880"/>
        <v>0</v>
      </c>
      <c r="CB1827" s="20">
        <f t="shared" si="859"/>
        <v>0</v>
      </c>
      <c r="CC1827" s="173">
        <f t="shared" si="881"/>
        <v>0</v>
      </c>
    </row>
    <row r="1828" spans="10:81" x14ac:dyDescent="0.25">
      <c r="J1828" s="9"/>
      <c r="K1828" s="10"/>
      <c r="L1828" s="17"/>
      <c r="M1828" s="23"/>
      <c r="N1828" s="23"/>
      <c r="O1828" s="23"/>
      <c r="P1828" s="23"/>
      <c r="Q1828" s="1">
        <f t="shared" si="882"/>
        <v>0.60744618579017706</v>
      </c>
      <c r="R1828" s="12">
        <f t="shared" ca="1" si="869"/>
        <v>53942</v>
      </c>
      <c r="S1828" s="88">
        <f t="shared" si="878"/>
        <v>0</v>
      </c>
      <c r="T1828" s="19">
        <f t="shared" si="870"/>
        <v>0</v>
      </c>
      <c r="U1828" s="19">
        <f t="shared" si="871"/>
        <v>0</v>
      </c>
      <c r="V1828" s="19">
        <f t="shared" si="887"/>
        <v>0</v>
      </c>
      <c r="W1828" s="20">
        <f t="shared" ca="1" si="872"/>
        <v>0</v>
      </c>
      <c r="X1828" s="19">
        <f t="shared" ca="1" si="873"/>
        <v>0</v>
      </c>
      <c r="Y1828" s="19">
        <f t="shared" ca="1" si="874"/>
        <v>0</v>
      </c>
      <c r="Z1828" s="20">
        <f t="shared" ca="1" si="875"/>
        <v>0</v>
      </c>
      <c r="AA1828" s="1">
        <f t="shared" si="883"/>
        <v>5432.58</v>
      </c>
      <c r="AB1828" s="93"/>
      <c r="AC1828" s="94"/>
      <c r="AD1828" s="101">
        <f t="shared" si="884"/>
        <v>95064</v>
      </c>
      <c r="AE1828" s="103">
        <f t="shared" si="885"/>
        <v>0</v>
      </c>
      <c r="AG1828" s="1">
        <f t="shared" si="876"/>
        <v>0</v>
      </c>
      <c r="AH1828" s="1">
        <f t="shared" si="877"/>
        <v>0</v>
      </c>
      <c r="AI1828" s="1">
        <f t="shared" si="886"/>
        <v>5432.58</v>
      </c>
      <c r="AJ1828" s="20">
        <f t="shared" si="858"/>
        <v>0</v>
      </c>
      <c r="AK1828" s="100">
        <f t="shared" si="860"/>
        <v>0</v>
      </c>
      <c r="AL1828" s="100">
        <f t="shared" si="861"/>
        <v>0</v>
      </c>
      <c r="AN1828" s="100">
        <f t="shared" si="862"/>
        <v>2185.7991362827315</v>
      </c>
      <c r="AO1828" s="20">
        <f t="shared" si="863"/>
        <v>0</v>
      </c>
      <c r="AQ1828" s="109">
        <f t="shared" si="864"/>
        <v>0</v>
      </c>
      <c r="AU1828" s="109">
        <f t="shared" si="879"/>
        <v>23.108366048466785</v>
      </c>
      <c r="AV1828" s="101">
        <f t="shared" si="865"/>
        <v>95094</v>
      </c>
      <c r="AW1828" s="99">
        <f t="shared" si="866"/>
        <v>0</v>
      </c>
      <c r="AX1828" s="1">
        <f t="shared" si="867"/>
        <v>0</v>
      </c>
      <c r="AY1828" s="29">
        <f t="shared" si="868"/>
        <v>0</v>
      </c>
      <c r="AZ1828" s="1">
        <f t="shared" si="880"/>
        <v>0</v>
      </c>
      <c r="CB1828" s="20">
        <f t="shared" si="859"/>
        <v>0</v>
      </c>
      <c r="CC1828" s="173">
        <f t="shared" si="881"/>
        <v>0</v>
      </c>
    </row>
    <row r="1829" spans="10:81" x14ac:dyDescent="0.25">
      <c r="J1829" s="7"/>
      <c r="K1829" s="8"/>
      <c r="L1829" s="16"/>
      <c r="M1829" s="22"/>
      <c r="N1829" s="22"/>
      <c r="O1829" s="22"/>
      <c r="P1829" s="22"/>
      <c r="Q1829" s="1">
        <f t="shared" si="882"/>
        <v>0.60744618579017706</v>
      </c>
      <c r="R1829" s="12">
        <f t="shared" ca="1" si="869"/>
        <v>53972</v>
      </c>
      <c r="S1829" s="88">
        <f t="shared" si="878"/>
        <v>0</v>
      </c>
      <c r="T1829" s="19">
        <f t="shared" si="870"/>
        <v>0</v>
      </c>
      <c r="U1829" s="19">
        <f t="shared" si="871"/>
        <v>0</v>
      </c>
      <c r="V1829" s="19">
        <f t="shared" si="887"/>
        <v>0</v>
      </c>
      <c r="W1829" s="20">
        <f t="shared" ca="1" si="872"/>
        <v>0</v>
      </c>
      <c r="X1829" s="19">
        <f t="shared" ca="1" si="873"/>
        <v>0</v>
      </c>
      <c r="Y1829" s="19">
        <f t="shared" ca="1" si="874"/>
        <v>0</v>
      </c>
      <c r="Z1829" s="20">
        <f t="shared" ca="1" si="875"/>
        <v>0</v>
      </c>
      <c r="AA1829" s="1">
        <f t="shared" si="883"/>
        <v>5432.58</v>
      </c>
      <c r="AB1829" s="91"/>
      <c r="AC1829" s="92"/>
      <c r="AD1829" s="101">
        <f t="shared" si="884"/>
        <v>95094</v>
      </c>
      <c r="AE1829" s="103">
        <f t="shared" si="885"/>
        <v>0</v>
      </c>
      <c r="AG1829" s="1">
        <f t="shared" si="876"/>
        <v>0</v>
      </c>
      <c r="AH1829" s="1">
        <f t="shared" si="877"/>
        <v>0</v>
      </c>
      <c r="AI1829" s="1">
        <f t="shared" si="886"/>
        <v>5432.58</v>
      </c>
      <c r="AJ1829" s="20">
        <f t="shared" si="858"/>
        <v>0</v>
      </c>
      <c r="AK1829" s="100">
        <f t="shared" si="860"/>
        <v>0</v>
      </c>
      <c r="AL1829" s="100">
        <f t="shared" si="861"/>
        <v>0</v>
      </c>
      <c r="AN1829" s="100">
        <f t="shared" si="862"/>
        <v>2184.6932333063201</v>
      </c>
      <c r="AO1829" s="20">
        <f t="shared" si="863"/>
        <v>0</v>
      </c>
      <c r="AQ1829" s="109">
        <f t="shared" si="864"/>
        <v>0</v>
      </c>
      <c r="AU1829" s="109">
        <f t="shared" si="879"/>
        <v>23.106337825479876</v>
      </c>
      <c r="AV1829" s="101">
        <f t="shared" si="865"/>
        <v>95124</v>
      </c>
      <c r="AW1829" s="99">
        <f t="shared" si="866"/>
        <v>0</v>
      </c>
      <c r="AX1829" s="1">
        <f t="shared" si="867"/>
        <v>0</v>
      </c>
      <c r="AY1829" s="29">
        <f t="shared" si="868"/>
        <v>0</v>
      </c>
      <c r="AZ1829" s="1">
        <f t="shared" si="880"/>
        <v>0</v>
      </c>
      <c r="CB1829" s="20">
        <f t="shared" si="859"/>
        <v>0</v>
      </c>
      <c r="CC1829" s="173">
        <f t="shared" si="881"/>
        <v>0</v>
      </c>
    </row>
    <row r="1830" spans="10:81" x14ac:dyDescent="0.25">
      <c r="J1830" s="9"/>
      <c r="K1830" s="10"/>
      <c r="L1830" s="17"/>
      <c r="M1830" s="23"/>
      <c r="N1830" s="23"/>
      <c r="O1830" s="23"/>
      <c r="P1830" s="23"/>
      <c r="Q1830" s="1">
        <f t="shared" si="882"/>
        <v>0.60744618579017706</v>
      </c>
      <c r="R1830" s="12">
        <f t="shared" ca="1" si="869"/>
        <v>54002</v>
      </c>
      <c r="S1830" s="88">
        <f t="shared" si="878"/>
        <v>0</v>
      </c>
      <c r="T1830" s="19">
        <f t="shared" si="870"/>
        <v>0</v>
      </c>
      <c r="U1830" s="19">
        <f t="shared" si="871"/>
        <v>0</v>
      </c>
      <c r="V1830" s="19">
        <f t="shared" si="887"/>
        <v>0</v>
      </c>
      <c r="W1830" s="20">
        <f t="shared" ca="1" si="872"/>
        <v>0</v>
      </c>
      <c r="X1830" s="19">
        <f t="shared" ca="1" si="873"/>
        <v>0</v>
      </c>
      <c r="Y1830" s="19">
        <f t="shared" ca="1" si="874"/>
        <v>0</v>
      </c>
      <c r="Z1830" s="20">
        <f t="shared" ca="1" si="875"/>
        <v>0</v>
      </c>
      <c r="AA1830" s="1">
        <f t="shared" si="883"/>
        <v>5432.58</v>
      </c>
      <c r="AB1830" s="93"/>
      <c r="AC1830" s="94"/>
      <c r="AD1830" s="101">
        <f t="shared" si="884"/>
        <v>95124</v>
      </c>
      <c r="AE1830" s="103">
        <f t="shared" si="885"/>
        <v>0</v>
      </c>
      <c r="AG1830" s="1">
        <f t="shared" si="876"/>
        <v>0</v>
      </c>
      <c r="AH1830" s="1">
        <f t="shared" si="877"/>
        <v>0</v>
      </c>
      <c r="AI1830" s="1">
        <f t="shared" si="886"/>
        <v>5432.58</v>
      </c>
      <c r="AJ1830" s="20">
        <f t="shared" si="858"/>
        <v>0</v>
      </c>
      <c r="AK1830" s="100">
        <f t="shared" si="860"/>
        <v>0</v>
      </c>
      <c r="AL1830" s="100">
        <f t="shared" si="861"/>
        <v>0</v>
      </c>
      <c r="AN1830" s="100">
        <f t="shared" si="862"/>
        <v>2183.5878898604587</v>
      </c>
      <c r="AO1830" s="20">
        <f t="shared" si="863"/>
        <v>0</v>
      </c>
      <c r="AQ1830" s="109">
        <f t="shared" si="864"/>
        <v>0</v>
      </c>
      <c r="AU1830" s="109">
        <f t="shared" si="879"/>
        <v>23.104309780510256</v>
      </c>
      <c r="AV1830" s="101">
        <f t="shared" si="865"/>
        <v>95154</v>
      </c>
      <c r="AW1830" s="99">
        <f t="shared" si="866"/>
        <v>0</v>
      </c>
      <c r="AX1830" s="1">
        <f t="shared" si="867"/>
        <v>0</v>
      </c>
      <c r="AY1830" s="29">
        <f t="shared" si="868"/>
        <v>0</v>
      </c>
      <c r="AZ1830" s="1">
        <f t="shared" si="880"/>
        <v>0</v>
      </c>
      <c r="CB1830" s="20">
        <f t="shared" si="859"/>
        <v>0</v>
      </c>
      <c r="CC1830" s="173">
        <f t="shared" si="881"/>
        <v>0</v>
      </c>
    </row>
    <row r="1831" spans="10:81" x14ac:dyDescent="0.25">
      <c r="J1831" s="7"/>
      <c r="K1831" s="8"/>
      <c r="L1831" s="16"/>
      <c r="M1831" s="22"/>
      <c r="N1831" s="22"/>
      <c r="O1831" s="22"/>
      <c r="P1831" s="22"/>
      <c r="Q1831" s="1">
        <f t="shared" si="882"/>
        <v>0.60744618579017706</v>
      </c>
      <c r="R1831" s="12">
        <f t="shared" ca="1" si="869"/>
        <v>54032</v>
      </c>
      <c r="S1831" s="88">
        <f t="shared" si="878"/>
        <v>0</v>
      </c>
      <c r="T1831" s="19">
        <f t="shared" si="870"/>
        <v>0</v>
      </c>
      <c r="U1831" s="19">
        <f t="shared" si="871"/>
        <v>0</v>
      </c>
      <c r="V1831" s="19">
        <f t="shared" si="887"/>
        <v>0</v>
      </c>
      <c r="W1831" s="20">
        <f t="shared" ca="1" si="872"/>
        <v>0</v>
      </c>
      <c r="X1831" s="19">
        <f t="shared" ca="1" si="873"/>
        <v>0</v>
      </c>
      <c r="Y1831" s="19">
        <f t="shared" ca="1" si="874"/>
        <v>0</v>
      </c>
      <c r="Z1831" s="20">
        <f t="shared" ca="1" si="875"/>
        <v>0</v>
      </c>
      <c r="AA1831" s="1">
        <f t="shared" si="883"/>
        <v>5432.58</v>
      </c>
      <c r="AB1831" s="91"/>
      <c r="AC1831" s="92"/>
      <c r="AD1831" s="101">
        <f t="shared" si="884"/>
        <v>95154</v>
      </c>
      <c r="AE1831" s="103">
        <f t="shared" si="885"/>
        <v>0</v>
      </c>
      <c r="AG1831" s="1">
        <f t="shared" si="876"/>
        <v>0</v>
      </c>
      <c r="AH1831" s="1">
        <f t="shared" si="877"/>
        <v>0</v>
      </c>
      <c r="AI1831" s="1">
        <f t="shared" si="886"/>
        <v>5432.58</v>
      </c>
      <c r="AJ1831" s="20">
        <f t="shared" si="858"/>
        <v>0</v>
      </c>
      <c r="AK1831" s="100">
        <f t="shared" si="860"/>
        <v>0</v>
      </c>
      <c r="AL1831" s="100">
        <f t="shared" si="861"/>
        <v>0</v>
      </c>
      <c r="AN1831" s="100">
        <f t="shared" si="862"/>
        <v>2182.4831056620537</v>
      </c>
      <c r="AO1831" s="20">
        <f t="shared" si="863"/>
        <v>0</v>
      </c>
      <c r="AQ1831" s="109">
        <f t="shared" si="864"/>
        <v>0</v>
      </c>
      <c r="AU1831" s="109">
        <f t="shared" si="879"/>
        <v>23.102281913542296</v>
      </c>
      <c r="AV1831" s="101">
        <f t="shared" si="865"/>
        <v>95184</v>
      </c>
      <c r="AW1831" s="99">
        <f t="shared" si="866"/>
        <v>0</v>
      </c>
      <c r="AX1831" s="1">
        <f t="shared" si="867"/>
        <v>0</v>
      </c>
      <c r="AY1831" s="29">
        <f t="shared" si="868"/>
        <v>0</v>
      </c>
      <c r="AZ1831" s="1">
        <f t="shared" si="880"/>
        <v>0</v>
      </c>
      <c r="CB1831" s="20">
        <f t="shared" si="859"/>
        <v>0</v>
      </c>
      <c r="CC1831" s="173">
        <f t="shared" si="881"/>
        <v>0</v>
      </c>
    </row>
    <row r="1832" spans="10:81" x14ac:dyDescent="0.25">
      <c r="J1832" s="9"/>
      <c r="K1832" s="10"/>
      <c r="L1832" s="17"/>
      <c r="M1832" s="23"/>
      <c r="N1832" s="23"/>
      <c r="O1832" s="23"/>
      <c r="P1832" s="23"/>
      <c r="Q1832" s="1">
        <f t="shared" si="882"/>
        <v>0.60744618579017706</v>
      </c>
      <c r="R1832" s="12">
        <f t="shared" ca="1" si="869"/>
        <v>54062</v>
      </c>
      <c r="S1832" s="88">
        <f t="shared" si="878"/>
        <v>0</v>
      </c>
      <c r="T1832" s="19">
        <f t="shared" si="870"/>
        <v>0</v>
      </c>
      <c r="U1832" s="19">
        <f t="shared" si="871"/>
        <v>0</v>
      </c>
      <c r="V1832" s="19">
        <f t="shared" si="887"/>
        <v>0</v>
      </c>
      <c r="W1832" s="20">
        <f t="shared" ca="1" si="872"/>
        <v>0</v>
      </c>
      <c r="X1832" s="19">
        <f t="shared" ca="1" si="873"/>
        <v>0</v>
      </c>
      <c r="Y1832" s="19">
        <f t="shared" ca="1" si="874"/>
        <v>0</v>
      </c>
      <c r="Z1832" s="20">
        <f t="shared" ca="1" si="875"/>
        <v>0</v>
      </c>
      <c r="AA1832" s="1">
        <f t="shared" si="883"/>
        <v>5432.58</v>
      </c>
      <c r="AB1832" s="93"/>
      <c r="AC1832" s="94"/>
      <c r="AD1832" s="101">
        <f t="shared" si="884"/>
        <v>95184</v>
      </c>
      <c r="AE1832" s="103">
        <f t="shared" si="885"/>
        <v>0</v>
      </c>
      <c r="AG1832" s="1">
        <f t="shared" si="876"/>
        <v>0</v>
      </c>
      <c r="AH1832" s="1">
        <f t="shared" si="877"/>
        <v>0</v>
      </c>
      <c r="AI1832" s="1">
        <f t="shared" si="886"/>
        <v>5432.58</v>
      </c>
      <c r="AJ1832" s="20">
        <f t="shared" ref="AJ1832:AJ1895" si="888">IF(ISERROR(IF(V1831+U1832+T1832+(V1831*Q1832/1200)-AA1832-P1832&lt;0,V1831,-(U1832+T1832-AA1832+P1832-AH1832))),0,IF(V1831+U1832+T1832+(V1831*Q1832/1200)-AA1832-P1832&lt;0,0,-(U1832+T1832-AA1832-AH1832)))</f>
        <v>0</v>
      </c>
      <c r="AK1832" s="100">
        <f t="shared" si="860"/>
        <v>0</v>
      </c>
      <c r="AL1832" s="100">
        <f t="shared" si="861"/>
        <v>0</v>
      </c>
      <c r="AN1832" s="100">
        <f t="shared" si="862"/>
        <v>2181.3788804281539</v>
      </c>
      <c r="AO1832" s="20">
        <f t="shared" si="863"/>
        <v>0</v>
      </c>
      <c r="AQ1832" s="109">
        <f t="shared" si="864"/>
        <v>0</v>
      </c>
      <c r="AU1832" s="109">
        <f t="shared" si="879"/>
        <v>23.100254224560363</v>
      </c>
      <c r="AV1832" s="101">
        <f t="shared" si="865"/>
        <v>95214</v>
      </c>
      <c r="AW1832" s="99">
        <f t="shared" si="866"/>
        <v>0</v>
      </c>
      <c r="AX1832" s="1">
        <f t="shared" si="867"/>
        <v>0</v>
      </c>
      <c r="AY1832" s="29">
        <f t="shared" si="868"/>
        <v>0</v>
      </c>
      <c r="AZ1832" s="1">
        <f t="shared" si="880"/>
        <v>0</v>
      </c>
      <c r="CB1832" s="20">
        <f t="shared" si="859"/>
        <v>0</v>
      </c>
      <c r="CC1832" s="173">
        <f t="shared" si="881"/>
        <v>0</v>
      </c>
    </row>
    <row r="1833" spans="10:81" x14ac:dyDescent="0.25">
      <c r="J1833" s="7"/>
      <c r="K1833" s="8"/>
      <c r="L1833" s="16"/>
      <c r="M1833" s="22"/>
      <c r="N1833" s="22"/>
      <c r="O1833" s="22"/>
      <c r="P1833" s="22"/>
      <c r="Q1833" s="1">
        <f t="shared" si="882"/>
        <v>0.60744618579017706</v>
      </c>
      <c r="R1833" s="12">
        <f t="shared" ca="1" si="869"/>
        <v>54092</v>
      </c>
      <c r="S1833" s="88">
        <f t="shared" si="878"/>
        <v>0</v>
      </c>
      <c r="T1833" s="19">
        <f t="shared" si="870"/>
        <v>0</v>
      </c>
      <c r="U1833" s="19">
        <f t="shared" si="871"/>
        <v>0</v>
      </c>
      <c r="V1833" s="19">
        <f t="shared" si="887"/>
        <v>0</v>
      </c>
      <c r="W1833" s="20">
        <f t="shared" ca="1" si="872"/>
        <v>0</v>
      </c>
      <c r="X1833" s="19">
        <f t="shared" ca="1" si="873"/>
        <v>0</v>
      </c>
      <c r="Y1833" s="19">
        <f t="shared" ca="1" si="874"/>
        <v>0</v>
      </c>
      <c r="Z1833" s="20">
        <f t="shared" ca="1" si="875"/>
        <v>0</v>
      </c>
      <c r="AA1833" s="1">
        <f t="shared" si="883"/>
        <v>5432.58</v>
      </c>
      <c r="AB1833" s="91"/>
      <c r="AC1833" s="92"/>
      <c r="AD1833" s="101">
        <f t="shared" si="884"/>
        <v>95214</v>
      </c>
      <c r="AE1833" s="103">
        <f t="shared" si="885"/>
        <v>0</v>
      </c>
      <c r="AG1833" s="1">
        <f t="shared" si="876"/>
        <v>0</v>
      </c>
      <c r="AH1833" s="1">
        <f t="shared" si="877"/>
        <v>0</v>
      </c>
      <c r="AI1833" s="1">
        <f t="shared" si="886"/>
        <v>5432.58</v>
      </c>
      <c r="AJ1833" s="20">
        <f t="shared" si="888"/>
        <v>0</v>
      </c>
      <c r="AK1833" s="100">
        <f t="shared" si="860"/>
        <v>0</v>
      </c>
      <c r="AL1833" s="100">
        <f t="shared" si="861"/>
        <v>0</v>
      </c>
      <c r="AN1833" s="100">
        <f t="shared" si="862"/>
        <v>2180.275213875952</v>
      </c>
      <c r="AO1833" s="20">
        <f t="shared" si="863"/>
        <v>0</v>
      </c>
      <c r="AQ1833" s="109">
        <f t="shared" si="864"/>
        <v>0</v>
      </c>
      <c r="AU1833" s="109">
        <f t="shared" si="879"/>
        <v>23.098226713548847</v>
      </c>
      <c r="AV1833" s="101">
        <f t="shared" si="865"/>
        <v>95244</v>
      </c>
      <c r="AW1833" s="99">
        <f t="shared" si="866"/>
        <v>0</v>
      </c>
      <c r="AX1833" s="1">
        <f t="shared" si="867"/>
        <v>0</v>
      </c>
      <c r="AY1833" s="29">
        <f t="shared" si="868"/>
        <v>0</v>
      </c>
      <c r="AZ1833" s="1">
        <f t="shared" si="880"/>
        <v>0</v>
      </c>
      <c r="CB1833" s="20">
        <f t="shared" si="859"/>
        <v>0</v>
      </c>
      <c r="CC1833" s="173">
        <f t="shared" si="881"/>
        <v>0</v>
      </c>
    </row>
    <row r="1834" spans="10:81" x14ac:dyDescent="0.25">
      <c r="J1834" s="9"/>
      <c r="K1834" s="10"/>
      <c r="L1834" s="17"/>
      <c r="M1834" s="23"/>
      <c r="N1834" s="23"/>
      <c r="O1834" s="23"/>
      <c r="P1834" s="23"/>
      <c r="Q1834" s="1">
        <f t="shared" si="882"/>
        <v>0.60744618579017706</v>
      </c>
      <c r="R1834" s="12">
        <f t="shared" ca="1" si="869"/>
        <v>54122</v>
      </c>
      <c r="S1834" s="88">
        <f t="shared" si="878"/>
        <v>0</v>
      </c>
      <c r="T1834" s="19">
        <f t="shared" si="870"/>
        <v>0</v>
      </c>
      <c r="U1834" s="19">
        <f t="shared" si="871"/>
        <v>0</v>
      </c>
      <c r="V1834" s="19">
        <f t="shared" si="887"/>
        <v>0</v>
      </c>
      <c r="W1834" s="20">
        <f t="shared" ca="1" si="872"/>
        <v>0</v>
      </c>
      <c r="X1834" s="19">
        <f t="shared" ca="1" si="873"/>
        <v>0</v>
      </c>
      <c r="Y1834" s="19">
        <f t="shared" ca="1" si="874"/>
        <v>0</v>
      </c>
      <c r="Z1834" s="20">
        <f t="shared" ca="1" si="875"/>
        <v>0</v>
      </c>
      <c r="AA1834" s="1">
        <f t="shared" si="883"/>
        <v>5432.58</v>
      </c>
      <c r="AB1834" s="93"/>
      <c r="AC1834" s="94"/>
      <c r="AD1834" s="101">
        <f t="shared" si="884"/>
        <v>95244</v>
      </c>
      <c r="AE1834" s="103">
        <f t="shared" si="885"/>
        <v>0</v>
      </c>
      <c r="AG1834" s="1">
        <f t="shared" si="876"/>
        <v>0</v>
      </c>
      <c r="AH1834" s="1">
        <f t="shared" si="877"/>
        <v>0</v>
      </c>
      <c r="AI1834" s="1">
        <f t="shared" si="886"/>
        <v>5432.58</v>
      </c>
      <c r="AJ1834" s="20">
        <f t="shared" si="888"/>
        <v>0</v>
      </c>
      <c r="AK1834" s="100">
        <f t="shared" si="860"/>
        <v>0</v>
      </c>
      <c r="AL1834" s="100">
        <f t="shared" si="861"/>
        <v>0</v>
      </c>
      <c r="AN1834" s="100">
        <f t="shared" si="862"/>
        <v>2179.1721057227842</v>
      </c>
      <c r="AO1834" s="20">
        <f t="shared" si="863"/>
        <v>0</v>
      </c>
      <c r="AQ1834" s="109">
        <f t="shared" si="864"/>
        <v>0</v>
      </c>
      <c r="AU1834" s="109">
        <f t="shared" si="879"/>
        <v>23.096199380492116</v>
      </c>
      <c r="AV1834" s="101">
        <f t="shared" si="865"/>
        <v>95274</v>
      </c>
      <c r="AW1834" s="99">
        <f t="shared" si="866"/>
        <v>0</v>
      </c>
      <c r="AX1834" s="1">
        <f t="shared" si="867"/>
        <v>0</v>
      </c>
      <c r="AY1834" s="29">
        <f t="shared" si="868"/>
        <v>0</v>
      </c>
      <c r="AZ1834" s="1">
        <f t="shared" si="880"/>
        <v>0</v>
      </c>
      <c r="CB1834" s="20">
        <f t="shared" si="859"/>
        <v>0</v>
      </c>
      <c r="CC1834" s="173">
        <f t="shared" si="881"/>
        <v>0</v>
      </c>
    </row>
    <row r="1835" spans="10:81" x14ac:dyDescent="0.25">
      <c r="J1835" s="7"/>
      <c r="K1835" s="8"/>
      <c r="L1835" s="16"/>
      <c r="M1835" s="22"/>
      <c r="N1835" s="22"/>
      <c r="O1835" s="22"/>
      <c r="P1835" s="22"/>
      <c r="Q1835" s="1">
        <f t="shared" si="882"/>
        <v>0.60744618579017706</v>
      </c>
      <c r="R1835" s="12">
        <f t="shared" ca="1" si="869"/>
        <v>54152</v>
      </c>
      <c r="S1835" s="88">
        <f t="shared" si="878"/>
        <v>0</v>
      </c>
      <c r="T1835" s="19">
        <f t="shared" si="870"/>
        <v>0</v>
      </c>
      <c r="U1835" s="19">
        <f t="shared" si="871"/>
        <v>0</v>
      </c>
      <c r="V1835" s="19">
        <f t="shared" si="887"/>
        <v>0</v>
      </c>
      <c r="W1835" s="20">
        <f t="shared" ca="1" si="872"/>
        <v>0</v>
      </c>
      <c r="X1835" s="19">
        <f t="shared" ca="1" si="873"/>
        <v>0</v>
      </c>
      <c r="Y1835" s="19">
        <f t="shared" ca="1" si="874"/>
        <v>0</v>
      </c>
      <c r="Z1835" s="20">
        <f t="shared" ca="1" si="875"/>
        <v>0</v>
      </c>
      <c r="AA1835" s="1">
        <f t="shared" si="883"/>
        <v>5432.58</v>
      </c>
      <c r="AB1835" s="91"/>
      <c r="AC1835" s="92"/>
      <c r="AD1835" s="101">
        <f t="shared" si="884"/>
        <v>95274</v>
      </c>
      <c r="AE1835" s="103">
        <f t="shared" si="885"/>
        <v>0</v>
      </c>
      <c r="AG1835" s="1">
        <f t="shared" si="876"/>
        <v>0</v>
      </c>
      <c r="AH1835" s="1">
        <f t="shared" si="877"/>
        <v>0</v>
      </c>
      <c r="AI1835" s="1">
        <f t="shared" si="886"/>
        <v>5432.58</v>
      </c>
      <c r="AJ1835" s="20">
        <f t="shared" si="888"/>
        <v>0</v>
      </c>
      <c r="AK1835" s="100">
        <f t="shared" si="860"/>
        <v>0</v>
      </c>
      <c r="AL1835" s="100">
        <f t="shared" si="861"/>
        <v>0</v>
      </c>
      <c r="AN1835" s="100">
        <f t="shared" si="862"/>
        <v>2178.0695556861278</v>
      </c>
      <c r="AO1835" s="20">
        <f t="shared" si="863"/>
        <v>0</v>
      </c>
      <c r="AQ1835" s="109">
        <f t="shared" si="864"/>
        <v>0</v>
      </c>
      <c r="AU1835" s="109">
        <f t="shared" si="879"/>
        <v>23.09417222537455</v>
      </c>
      <c r="AV1835" s="101">
        <f t="shared" si="865"/>
        <v>95304</v>
      </c>
      <c r="AW1835" s="99">
        <f t="shared" si="866"/>
        <v>0</v>
      </c>
      <c r="AX1835" s="1">
        <f t="shared" si="867"/>
        <v>0</v>
      </c>
      <c r="AY1835" s="29">
        <f t="shared" si="868"/>
        <v>0</v>
      </c>
      <c r="AZ1835" s="1">
        <f t="shared" si="880"/>
        <v>0</v>
      </c>
      <c r="CB1835" s="20">
        <f t="shared" si="859"/>
        <v>0</v>
      </c>
      <c r="CC1835" s="173">
        <f t="shared" si="881"/>
        <v>0</v>
      </c>
    </row>
    <row r="1836" spans="10:81" x14ac:dyDescent="0.25">
      <c r="J1836" s="9"/>
      <c r="K1836" s="10"/>
      <c r="L1836" s="17"/>
      <c r="M1836" s="23"/>
      <c r="N1836" s="23"/>
      <c r="O1836" s="23"/>
      <c r="P1836" s="23"/>
      <c r="Q1836" s="1">
        <f t="shared" si="882"/>
        <v>0.60744618579017706</v>
      </c>
      <c r="R1836" s="12">
        <f t="shared" ca="1" si="869"/>
        <v>54182</v>
      </c>
      <c r="S1836" s="88">
        <f t="shared" si="878"/>
        <v>0</v>
      </c>
      <c r="T1836" s="19">
        <f t="shared" si="870"/>
        <v>0</v>
      </c>
      <c r="U1836" s="19">
        <f t="shared" si="871"/>
        <v>0</v>
      </c>
      <c r="V1836" s="19">
        <f t="shared" si="887"/>
        <v>0</v>
      </c>
      <c r="W1836" s="20">
        <f t="shared" ca="1" si="872"/>
        <v>0</v>
      </c>
      <c r="X1836" s="19">
        <f t="shared" ca="1" si="873"/>
        <v>0</v>
      </c>
      <c r="Y1836" s="19">
        <f t="shared" ca="1" si="874"/>
        <v>0</v>
      </c>
      <c r="Z1836" s="20">
        <f t="shared" ca="1" si="875"/>
        <v>0</v>
      </c>
      <c r="AA1836" s="1">
        <f t="shared" si="883"/>
        <v>5432.58</v>
      </c>
      <c r="AB1836" s="93"/>
      <c r="AC1836" s="94"/>
      <c r="AD1836" s="101">
        <f t="shared" si="884"/>
        <v>95304</v>
      </c>
      <c r="AE1836" s="103">
        <f t="shared" si="885"/>
        <v>0</v>
      </c>
      <c r="AG1836" s="1">
        <f t="shared" si="876"/>
        <v>0</v>
      </c>
      <c r="AH1836" s="1">
        <f t="shared" si="877"/>
        <v>0</v>
      </c>
      <c r="AI1836" s="1">
        <f t="shared" si="886"/>
        <v>5432.58</v>
      </c>
      <c r="AJ1836" s="20">
        <f t="shared" si="888"/>
        <v>0</v>
      </c>
      <c r="AK1836" s="100">
        <f t="shared" si="860"/>
        <v>0</v>
      </c>
      <c r="AL1836" s="100">
        <f t="shared" si="861"/>
        <v>0</v>
      </c>
      <c r="AN1836" s="100">
        <f t="shared" si="862"/>
        <v>2176.9675634836049</v>
      </c>
      <c r="AO1836" s="20">
        <f t="shared" si="863"/>
        <v>0</v>
      </c>
      <c r="AQ1836" s="109">
        <f t="shared" si="864"/>
        <v>0</v>
      </c>
      <c r="AU1836" s="109">
        <f t="shared" si="879"/>
        <v>23.092145248180554</v>
      </c>
      <c r="AV1836" s="101">
        <f t="shared" si="865"/>
        <v>95334</v>
      </c>
      <c r="AW1836" s="99">
        <f t="shared" si="866"/>
        <v>0</v>
      </c>
      <c r="AX1836" s="1">
        <f t="shared" si="867"/>
        <v>0</v>
      </c>
      <c r="AY1836" s="29">
        <f t="shared" si="868"/>
        <v>0</v>
      </c>
      <c r="AZ1836" s="1">
        <f t="shared" si="880"/>
        <v>0</v>
      </c>
      <c r="CB1836" s="20">
        <f t="shared" si="859"/>
        <v>0</v>
      </c>
      <c r="CC1836" s="173">
        <f t="shared" si="881"/>
        <v>0</v>
      </c>
    </row>
    <row r="1837" spans="10:81" x14ac:dyDescent="0.25">
      <c r="J1837" s="7"/>
      <c r="K1837" s="8"/>
      <c r="L1837" s="16"/>
      <c r="M1837" s="22"/>
      <c r="N1837" s="22"/>
      <c r="O1837" s="22"/>
      <c r="P1837" s="22"/>
      <c r="Q1837" s="1">
        <f t="shared" si="882"/>
        <v>0.60744618579017706</v>
      </c>
      <c r="R1837" s="12">
        <f t="shared" ca="1" si="869"/>
        <v>54212</v>
      </c>
      <c r="S1837" s="88">
        <f t="shared" si="878"/>
        <v>0</v>
      </c>
      <c r="T1837" s="19">
        <f t="shared" si="870"/>
        <v>0</v>
      </c>
      <c r="U1837" s="19">
        <f t="shared" si="871"/>
        <v>0</v>
      </c>
      <c r="V1837" s="19">
        <f t="shared" si="887"/>
        <v>0</v>
      </c>
      <c r="W1837" s="20">
        <f t="shared" ca="1" si="872"/>
        <v>0</v>
      </c>
      <c r="X1837" s="19">
        <f t="shared" ca="1" si="873"/>
        <v>0</v>
      </c>
      <c r="Y1837" s="19">
        <f t="shared" ca="1" si="874"/>
        <v>0</v>
      </c>
      <c r="Z1837" s="20">
        <f t="shared" ca="1" si="875"/>
        <v>0</v>
      </c>
      <c r="AA1837" s="1">
        <f t="shared" si="883"/>
        <v>5432.58</v>
      </c>
      <c r="AB1837" s="91"/>
      <c r="AC1837" s="92"/>
      <c r="AD1837" s="101">
        <f t="shared" si="884"/>
        <v>95334</v>
      </c>
      <c r="AE1837" s="103">
        <f t="shared" si="885"/>
        <v>0</v>
      </c>
      <c r="AG1837" s="1">
        <f t="shared" si="876"/>
        <v>0</v>
      </c>
      <c r="AH1837" s="1">
        <f t="shared" si="877"/>
        <v>0</v>
      </c>
      <c r="AI1837" s="1">
        <f t="shared" si="886"/>
        <v>5432.58</v>
      </c>
      <c r="AJ1837" s="20">
        <f t="shared" si="888"/>
        <v>0</v>
      </c>
      <c r="AK1837" s="100">
        <f t="shared" si="860"/>
        <v>0</v>
      </c>
      <c r="AL1837" s="100">
        <f t="shared" si="861"/>
        <v>0</v>
      </c>
      <c r="AN1837" s="100">
        <f t="shared" si="862"/>
        <v>2175.8661288329799</v>
      </c>
      <c r="AO1837" s="20">
        <f t="shared" si="863"/>
        <v>0</v>
      </c>
      <c r="AQ1837" s="109">
        <f t="shared" si="864"/>
        <v>0</v>
      </c>
      <c r="AU1837" s="109">
        <f t="shared" si="879"/>
        <v>23.090118448894486</v>
      </c>
      <c r="AV1837" s="101">
        <f t="shared" si="865"/>
        <v>95364</v>
      </c>
      <c r="AW1837" s="99">
        <f t="shared" si="866"/>
        <v>0</v>
      </c>
      <c r="AX1837" s="1">
        <f t="shared" si="867"/>
        <v>0</v>
      </c>
      <c r="AY1837" s="29">
        <f t="shared" si="868"/>
        <v>0</v>
      </c>
      <c r="AZ1837" s="1">
        <f t="shared" si="880"/>
        <v>0</v>
      </c>
      <c r="CB1837" s="20">
        <f t="shared" si="859"/>
        <v>0</v>
      </c>
      <c r="CC1837" s="173">
        <f t="shared" si="881"/>
        <v>0</v>
      </c>
    </row>
    <row r="1838" spans="10:81" x14ac:dyDescent="0.25">
      <c r="J1838" s="9"/>
      <c r="K1838" s="10"/>
      <c r="L1838" s="17"/>
      <c r="M1838" s="23"/>
      <c r="N1838" s="23"/>
      <c r="O1838" s="23"/>
      <c r="P1838" s="23"/>
      <c r="Q1838" s="1">
        <f t="shared" si="882"/>
        <v>0.60744618579017706</v>
      </c>
      <c r="R1838" s="12">
        <f t="shared" ca="1" si="869"/>
        <v>54242</v>
      </c>
      <c r="S1838" s="88">
        <f t="shared" si="878"/>
        <v>0</v>
      </c>
      <c r="T1838" s="19">
        <f t="shared" si="870"/>
        <v>0</v>
      </c>
      <c r="U1838" s="19">
        <f t="shared" si="871"/>
        <v>0</v>
      </c>
      <c r="V1838" s="19">
        <f t="shared" si="887"/>
        <v>0</v>
      </c>
      <c r="W1838" s="20">
        <f t="shared" ca="1" si="872"/>
        <v>0</v>
      </c>
      <c r="X1838" s="19">
        <f t="shared" ca="1" si="873"/>
        <v>0</v>
      </c>
      <c r="Y1838" s="19">
        <f t="shared" ca="1" si="874"/>
        <v>0</v>
      </c>
      <c r="Z1838" s="20">
        <f t="shared" ca="1" si="875"/>
        <v>0</v>
      </c>
      <c r="AA1838" s="1">
        <f t="shared" si="883"/>
        <v>5432.58</v>
      </c>
      <c r="AB1838" s="93"/>
      <c r="AC1838" s="94"/>
      <c r="AD1838" s="101">
        <f t="shared" si="884"/>
        <v>95364</v>
      </c>
      <c r="AE1838" s="103">
        <f t="shared" si="885"/>
        <v>0</v>
      </c>
      <c r="AG1838" s="1">
        <f t="shared" si="876"/>
        <v>0</v>
      </c>
      <c r="AH1838" s="1">
        <f t="shared" si="877"/>
        <v>0</v>
      </c>
      <c r="AI1838" s="1">
        <f t="shared" si="886"/>
        <v>5432.58</v>
      </c>
      <c r="AJ1838" s="20">
        <f t="shared" si="888"/>
        <v>0</v>
      </c>
      <c r="AK1838" s="100">
        <f t="shared" si="860"/>
        <v>0</v>
      </c>
      <c r="AL1838" s="100">
        <f t="shared" si="861"/>
        <v>0</v>
      </c>
      <c r="AN1838" s="100">
        <f t="shared" si="862"/>
        <v>2174.7652514521601</v>
      </c>
      <c r="AO1838" s="20">
        <f t="shared" si="863"/>
        <v>0</v>
      </c>
      <c r="AQ1838" s="109">
        <f t="shared" si="864"/>
        <v>0</v>
      </c>
      <c r="AU1838" s="109">
        <f t="shared" si="879"/>
        <v>23.08809182750074</v>
      </c>
      <c r="AV1838" s="101">
        <f t="shared" si="865"/>
        <v>95394</v>
      </c>
      <c r="AW1838" s="99">
        <f t="shared" si="866"/>
        <v>0</v>
      </c>
      <c r="AX1838" s="1">
        <f t="shared" si="867"/>
        <v>0</v>
      </c>
      <c r="AY1838" s="29">
        <f t="shared" si="868"/>
        <v>0</v>
      </c>
      <c r="AZ1838" s="1">
        <f t="shared" si="880"/>
        <v>0</v>
      </c>
      <c r="CB1838" s="20">
        <f t="shared" ref="CB1838:CB1901" si="889">IF(O1838=0,IF(P1838&gt;0,V1837,IF(O1837=0,0,P1838)),IF(O1837=0,0,P1838))</f>
        <v>0</v>
      </c>
      <c r="CC1838" s="173">
        <f t="shared" si="881"/>
        <v>0</v>
      </c>
    </row>
    <row r="1839" spans="10:81" x14ac:dyDescent="0.25">
      <c r="J1839" s="7"/>
      <c r="K1839" s="8"/>
      <c r="L1839" s="16"/>
      <c r="M1839" s="22"/>
      <c r="N1839" s="22"/>
      <c r="O1839" s="22"/>
      <c r="P1839" s="22"/>
      <c r="Q1839" s="1">
        <f t="shared" si="882"/>
        <v>0.60744618579017706</v>
      </c>
      <c r="R1839" s="12">
        <f t="shared" ca="1" si="869"/>
        <v>54272</v>
      </c>
      <c r="S1839" s="88">
        <f t="shared" si="878"/>
        <v>0</v>
      </c>
      <c r="T1839" s="19">
        <f t="shared" si="870"/>
        <v>0</v>
      </c>
      <c r="U1839" s="19">
        <f t="shared" si="871"/>
        <v>0</v>
      </c>
      <c r="V1839" s="19">
        <f t="shared" si="887"/>
        <v>0</v>
      </c>
      <c r="W1839" s="20">
        <f t="shared" ca="1" si="872"/>
        <v>0</v>
      </c>
      <c r="X1839" s="19">
        <f t="shared" ca="1" si="873"/>
        <v>0</v>
      </c>
      <c r="Y1839" s="19">
        <f t="shared" ca="1" si="874"/>
        <v>0</v>
      </c>
      <c r="Z1839" s="20">
        <f t="shared" ca="1" si="875"/>
        <v>0</v>
      </c>
      <c r="AA1839" s="1">
        <f t="shared" si="883"/>
        <v>5432.58</v>
      </c>
      <c r="AB1839" s="91"/>
      <c r="AC1839" s="92"/>
      <c r="AD1839" s="101">
        <f t="shared" si="884"/>
        <v>95394</v>
      </c>
      <c r="AE1839" s="103">
        <f t="shared" si="885"/>
        <v>0</v>
      </c>
      <c r="AG1839" s="1">
        <f t="shared" si="876"/>
        <v>0</v>
      </c>
      <c r="AH1839" s="1">
        <f t="shared" si="877"/>
        <v>0</v>
      </c>
      <c r="AI1839" s="1">
        <f t="shared" si="886"/>
        <v>5432.58</v>
      </c>
      <c r="AJ1839" s="20">
        <f t="shared" si="888"/>
        <v>0</v>
      </c>
      <c r="AK1839" s="100">
        <f t="shared" si="860"/>
        <v>0</v>
      </c>
      <c r="AL1839" s="100">
        <f t="shared" si="861"/>
        <v>0</v>
      </c>
      <c r="AN1839" s="100">
        <f t="shared" si="862"/>
        <v>2173.6649310591952</v>
      </c>
      <c r="AO1839" s="20">
        <f t="shared" si="863"/>
        <v>0</v>
      </c>
      <c r="AQ1839" s="109">
        <f t="shared" si="864"/>
        <v>0</v>
      </c>
      <c r="AU1839" s="109">
        <f t="shared" si="879"/>
        <v>23.086065383983708</v>
      </c>
      <c r="AV1839" s="101">
        <f t="shared" si="865"/>
        <v>95424</v>
      </c>
      <c r="AW1839" s="99">
        <f t="shared" si="866"/>
        <v>0</v>
      </c>
      <c r="AX1839" s="1">
        <f t="shared" si="867"/>
        <v>0</v>
      </c>
      <c r="AY1839" s="29">
        <f t="shared" si="868"/>
        <v>0</v>
      </c>
      <c r="AZ1839" s="1">
        <f t="shared" si="880"/>
        <v>0</v>
      </c>
      <c r="CB1839" s="20">
        <f t="shared" si="889"/>
        <v>0</v>
      </c>
      <c r="CC1839" s="173">
        <f t="shared" si="881"/>
        <v>0</v>
      </c>
    </row>
    <row r="1840" spans="10:81" x14ac:dyDescent="0.25">
      <c r="J1840" s="9"/>
      <c r="K1840" s="10"/>
      <c r="L1840" s="17"/>
      <c r="M1840" s="23"/>
      <c r="N1840" s="23"/>
      <c r="O1840" s="23"/>
      <c r="P1840" s="23"/>
      <c r="Q1840" s="1">
        <f t="shared" si="882"/>
        <v>0.60744618579017706</v>
      </c>
      <c r="R1840" s="12">
        <f t="shared" ca="1" si="869"/>
        <v>54302</v>
      </c>
      <c r="S1840" s="88">
        <f t="shared" si="878"/>
        <v>0</v>
      </c>
      <c r="T1840" s="19">
        <f t="shared" si="870"/>
        <v>0</v>
      </c>
      <c r="U1840" s="19">
        <f t="shared" si="871"/>
        <v>0</v>
      </c>
      <c r="V1840" s="19">
        <f t="shared" si="887"/>
        <v>0</v>
      </c>
      <c r="W1840" s="20">
        <f t="shared" ca="1" si="872"/>
        <v>0</v>
      </c>
      <c r="X1840" s="19">
        <f t="shared" ca="1" si="873"/>
        <v>0</v>
      </c>
      <c r="Y1840" s="19">
        <f t="shared" ca="1" si="874"/>
        <v>0</v>
      </c>
      <c r="Z1840" s="20">
        <f t="shared" ca="1" si="875"/>
        <v>0</v>
      </c>
      <c r="AA1840" s="1">
        <f t="shared" si="883"/>
        <v>5432.58</v>
      </c>
      <c r="AB1840" s="93"/>
      <c r="AC1840" s="94"/>
      <c r="AD1840" s="101">
        <f t="shared" si="884"/>
        <v>95424</v>
      </c>
      <c r="AE1840" s="103">
        <f t="shared" si="885"/>
        <v>0</v>
      </c>
      <c r="AG1840" s="1">
        <f t="shared" si="876"/>
        <v>0</v>
      </c>
      <c r="AH1840" s="1">
        <f t="shared" si="877"/>
        <v>0</v>
      </c>
      <c r="AI1840" s="1">
        <f t="shared" si="886"/>
        <v>5432.58</v>
      </c>
      <c r="AJ1840" s="20">
        <f t="shared" si="888"/>
        <v>0</v>
      </c>
      <c r="AK1840" s="100">
        <f t="shared" si="860"/>
        <v>0</v>
      </c>
      <c r="AL1840" s="100">
        <f t="shared" si="861"/>
        <v>0</v>
      </c>
      <c r="AN1840" s="100">
        <f t="shared" si="862"/>
        <v>2172.5651673722778</v>
      </c>
      <c r="AO1840" s="20">
        <f t="shared" si="863"/>
        <v>0</v>
      </c>
      <c r="AQ1840" s="109">
        <f t="shared" si="864"/>
        <v>0</v>
      </c>
      <c r="AU1840" s="109">
        <f t="shared" si="879"/>
        <v>23.084039118327766</v>
      </c>
      <c r="AV1840" s="101">
        <f t="shared" si="865"/>
        <v>95454</v>
      </c>
      <c r="AW1840" s="99">
        <f t="shared" si="866"/>
        <v>0</v>
      </c>
      <c r="AX1840" s="1">
        <f t="shared" si="867"/>
        <v>0</v>
      </c>
      <c r="AY1840" s="29">
        <f t="shared" si="868"/>
        <v>0</v>
      </c>
      <c r="AZ1840" s="1">
        <f t="shared" si="880"/>
        <v>0</v>
      </c>
      <c r="CB1840" s="20">
        <f t="shared" si="889"/>
        <v>0</v>
      </c>
      <c r="CC1840" s="173">
        <f t="shared" si="881"/>
        <v>0</v>
      </c>
    </row>
    <row r="1841" spans="10:81" x14ac:dyDescent="0.25">
      <c r="J1841" s="7"/>
      <c r="K1841" s="8"/>
      <c r="L1841" s="16"/>
      <c r="M1841" s="22"/>
      <c r="N1841" s="22"/>
      <c r="O1841" s="22"/>
      <c r="P1841" s="22"/>
      <c r="Q1841" s="1">
        <f t="shared" si="882"/>
        <v>0.60744618579017706</v>
      </c>
      <c r="R1841" s="12">
        <f t="shared" ca="1" si="869"/>
        <v>54332</v>
      </c>
      <c r="S1841" s="88">
        <f t="shared" si="878"/>
        <v>0</v>
      </c>
      <c r="T1841" s="19">
        <f t="shared" si="870"/>
        <v>0</v>
      </c>
      <c r="U1841" s="19">
        <f t="shared" si="871"/>
        <v>0</v>
      </c>
      <c r="V1841" s="19">
        <f t="shared" si="887"/>
        <v>0</v>
      </c>
      <c r="W1841" s="20">
        <f t="shared" ca="1" si="872"/>
        <v>0</v>
      </c>
      <c r="X1841" s="19">
        <f t="shared" ca="1" si="873"/>
        <v>0</v>
      </c>
      <c r="Y1841" s="19">
        <f t="shared" ca="1" si="874"/>
        <v>0</v>
      </c>
      <c r="Z1841" s="20">
        <f t="shared" ca="1" si="875"/>
        <v>0</v>
      </c>
      <c r="AA1841" s="1">
        <f t="shared" si="883"/>
        <v>5432.58</v>
      </c>
      <c r="AB1841" s="91"/>
      <c r="AC1841" s="92"/>
      <c r="AD1841" s="101">
        <f t="shared" si="884"/>
        <v>95454</v>
      </c>
      <c r="AE1841" s="103">
        <f t="shared" si="885"/>
        <v>0</v>
      </c>
      <c r="AG1841" s="1">
        <f t="shared" si="876"/>
        <v>0</v>
      </c>
      <c r="AH1841" s="1">
        <f t="shared" si="877"/>
        <v>0</v>
      </c>
      <c r="AI1841" s="1">
        <f t="shared" si="886"/>
        <v>5432.58</v>
      </c>
      <c r="AJ1841" s="20">
        <f t="shared" si="888"/>
        <v>0</v>
      </c>
      <c r="AK1841" s="100">
        <f t="shared" si="860"/>
        <v>0</v>
      </c>
      <c r="AL1841" s="100">
        <f t="shared" si="861"/>
        <v>0</v>
      </c>
      <c r="AN1841" s="100">
        <f t="shared" si="862"/>
        <v>2171.4659601097424</v>
      </c>
      <c r="AO1841" s="20">
        <f t="shared" si="863"/>
        <v>0</v>
      </c>
      <c r="AQ1841" s="109">
        <f t="shared" si="864"/>
        <v>0</v>
      </c>
      <c r="AU1841" s="109">
        <f t="shared" si="879"/>
        <v>23.082013030517306</v>
      </c>
      <c r="AV1841" s="101">
        <f t="shared" si="865"/>
        <v>95484</v>
      </c>
      <c r="AW1841" s="99">
        <f t="shared" si="866"/>
        <v>0</v>
      </c>
      <c r="AX1841" s="1">
        <f t="shared" si="867"/>
        <v>0</v>
      </c>
      <c r="AY1841" s="29">
        <f t="shared" si="868"/>
        <v>0</v>
      </c>
      <c r="AZ1841" s="1">
        <f t="shared" si="880"/>
        <v>0</v>
      </c>
      <c r="CB1841" s="20">
        <f t="shared" si="889"/>
        <v>0</v>
      </c>
      <c r="CC1841" s="173">
        <f t="shared" si="881"/>
        <v>0</v>
      </c>
    </row>
    <row r="1842" spans="10:81" x14ac:dyDescent="0.25">
      <c r="J1842" s="9"/>
      <c r="K1842" s="10"/>
      <c r="L1842" s="17"/>
      <c r="M1842" s="23"/>
      <c r="N1842" s="23"/>
      <c r="O1842" s="23"/>
      <c r="P1842" s="23"/>
      <c r="Q1842" s="1">
        <f t="shared" si="882"/>
        <v>0.60744618579017706</v>
      </c>
      <c r="R1842" s="12">
        <f t="shared" ca="1" si="869"/>
        <v>54362</v>
      </c>
      <c r="S1842" s="88">
        <f t="shared" si="878"/>
        <v>0</v>
      </c>
      <c r="T1842" s="19">
        <f t="shared" si="870"/>
        <v>0</v>
      </c>
      <c r="U1842" s="19">
        <f t="shared" si="871"/>
        <v>0</v>
      </c>
      <c r="V1842" s="19">
        <f t="shared" si="887"/>
        <v>0</v>
      </c>
      <c r="W1842" s="20">
        <f t="shared" ca="1" si="872"/>
        <v>0</v>
      </c>
      <c r="X1842" s="19">
        <f t="shared" ca="1" si="873"/>
        <v>0</v>
      </c>
      <c r="Y1842" s="19">
        <f t="shared" ca="1" si="874"/>
        <v>0</v>
      </c>
      <c r="Z1842" s="20">
        <f t="shared" ca="1" si="875"/>
        <v>0</v>
      </c>
      <c r="AA1842" s="1">
        <f t="shared" si="883"/>
        <v>5432.58</v>
      </c>
      <c r="AB1842" s="93"/>
      <c r="AC1842" s="94"/>
      <c r="AD1842" s="101">
        <f t="shared" si="884"/>
        <v>95484</v>
      </c>
      <c r="AE1842" s="103">
        <f t="shared" si="885"/>
        <v>0</v>
      </c>
      <c r="AG1842" s="1">
        <f t="shared" si="876"/>
        <v>0</v>
      </c>
      <c r="AH1842" s="1">
        <f t="shared" si="877"/>
        <v>0</v>
      </c>
      <c r="AI1842" s="1">
        <f t="shared" si="886"/>
        <v>5432.58</v>
      </c>
      <c r="AJ1842" s="20">
        <f t="shared" si="888"/>
        <v>0</v>
      </c>
      <c r="AK1842" s="100">
        <f t="shared" si="860"/>
        <v>0</v>
      </c>
      <c r="AL1842" s="100">
        <f t="shared" si="861"/>
        <v>0</v>
      </c>
      <c r="AN1842" s="100">
        <f t="shared" si="862"/>
        <v>2170.3673089900676</v>
      </c>
      <c r="AO1842" s="20">
        <f t="shared" si="863"/>
        <v>0</v>
      </c>
      <c r="AQ1842" s="109">
        <f t="shared" si="864"/>
        <v>0</v>
      </c>
      <c r="AU1842" s="109">
        <f t="shared" si="879"/>
        <v>23.079987120536732</v>
      </c>
      <c r="AV1842" s="101">
        <f t="shared" si="865"/>
        <v>95514</v>
      </c>
      <c r="AW1842" s="99">
        <f t="shared" si="866"/>
        <v>0</v>
      </c>
      <c r="AX1842" s="1">
        <f t="shared" si="867"/>
        <v>0</v>
      </c>
      <c r="AY1842" s="29">
        <f t="shared" si="868"/>
        <v>0</v>
      </c>
      <c r="AZ1842" s="1">
        <f t="shared" si="880"/>
        <v>0</v>
      </c>
      <c r="CB1842" s="20">
        <f t="shared" si="889"/>
        <v>0</v>
      </c>
      <c r="CC1842" s="173">
        <f t="shared" si="881"/>
        <v>0</v>
      </c>
    </row>
    <row r="1843" spans="10:81" x14ac:dyDescent="0.25">
      <c r="J1843" s="7"/>
      <c r="K1843" s="8"/>
      <c r="L1843" s="16"/>
      <c r="M1843" s="22"/>
      <c r="N1843" s="22"/>
      <c r="O1843" s="22"/>
      <c r="P1843" s="22"/>
      <c r="Q1843" s="1">
        <f t="shared" si="882"/>
        <v>0.60744618579017706</v>
      </c>
      <c r="R1843" s="12">
        <f t="shared" ca="1" si="869"/>
        <v>54392</v>
      </c>
      <c r="S1843" s="88">
        <f t="shared" si="878"/>
        <v>0</v>
      </c>
      <c r="T1843" s="19">
        <f t="shared" si="870"/>
        <v>0</v>
      </c>
      <c r="U1843" s="19">
        <f t="shared" si="871"/>
        <v>0</v>
      </c>
      <c r="V1843" s="19">
        <f t="shared" si="887"/>
        <v>0</v>
      </c>
      <c r="W1843" s="20">
        <f t="shared" ca="1" si="872"/>
        <v>0</v>
      </c>
      <c r="X1843" s="19">
        <f t="shared" ca="1" si="873"/>
        <v>0</v>
      </c>
      <c r="Y1843" s="19">
        <f t="shared" ca="1" si="874"/>
        <v>0</v>
      </c>
      <c r="Z1843" s="20">
        <f t="shared" ca="1" si="875"/>
        <v>0</v>
      </c>
      <c r="AA1843" s="1">
        <f t="shared" si="883"/>
        <v>5432.58</v>
      </c>
      <c r="AB1843" s="91"/>
      <c r="AC1843" s="92"/>
      <c r="AD1843" s="101">
        <f t="shared" si="884"/>
        <v>95514</v>
      </c>
      <c r="AE1843" s="103">
        <f t="shared" si="885"/>
        <v>0</v>
      </c>
      <c r="AG1843" s="1">
        <f t="shared" si="876"/>
        <v>0</v>
      </c>
      <c r="AH1843" s="1">
        <f t="shared" si="877"/>
        <v>0</v>
      </c>
      <c r="AI1843" s="1">
        <f t="shared" si="886"/>
        <v>5432.58</v>
      </c>
      <c r="AJ1843" s="20">
        <f t="shared" si="888"/>
        <v>0</v>
      </c>
      <c r="AK1843" s="100">
        <f t="shared" si="860"/>
        <v>0</v>
      </c>
      <c r="AL1843" s="100">
        <f t="shared" si="861"/>
        <v>0</v>
      </c>
      <c r="AN1843" s="100">
        <f t="shared" si="862"/>
        <v>2169.2692137318722</v>
      </c>
      <c r="AO1843" s="20">
        <f t="shared" si="863"/>
        <v>0</v>
      </c>
      <c r="AQ1843" s="109">
        <f t="shared" si="864"/>
        <v>0</v>
      </c>
      <c r="AU1843" s="109">
        <f t="shared" si="879"/>
        <v>23.077961388370422</v>
      </c>
      <c r="AV1843" s="101">
        <f t="shared" si="865"/>
        <v>95544</v>
      </c>
      <c r="AW1843" s="99">
        <f t="shared" si="866"/>
        <v>0</v>
      </c>
      <c r="AX1843" s="1">
        <f t="shared" si="867"/>
        <v>0</v>
      </c>
      <c r="AY1843" s="29">
        <f t="shared" si="868"/>
        <v>0</v>
      </c>
      <c r="AZ1843" s="1">
        <f t="shared" si="880"/>
        <v>0</v>
      </c>
      <c r="CB1843" s="20">
        <f t="shared" si="889"/>
        <v>0</v>
      </c>
      <c r="CC1843" s="173">
        <f t="shared" si="881"/>
        <v>0</v>
      </c>
    </row>
    <row r="1844" spans="10:81" x14ac:dyDescent="0.25">
      <c r="J1844" s="9"/>
      <c r="K1844" s="10"/>
      <c r="L1844" s="17"/>
      <c r="M1844" s="23"/>
      <c r="N1844" s="23"/>
      <c r="O1844" s="23"/>
      <c r="P1844" s="23"/>
      <c r="Q1844" s="1">
        <f t="shared" si="882"/>
        <v>0.60744618579017706</v>
      </c>
      <c r="R1844" s="12">
        <f t="shared" ca="1" si="869"/>
        <v>54422</v>
      </c>
      <c r="S1844" s="88">
        <f t="shared" si="878"/>
        <v>0</v>
      </c>
      <c r="T1844" s="19">
        <f t="shared" si="870"/>
        <v>0</v>
      </c>
      <c r="U1844" s="19">
        <f t="shared" si="871"/>
        <v>0</v>
      </c>
      <c r="V1844" s="19">
        <f t="shared" si="887"/>
        <v>0</v>
      </c>
      <c r="W1844" s="20">
        <f t="shared" ca="1" si="872"/>
        <v>0</v>
      </c>
      <c r="X1844" s="19">
        <f t="shared" ca="1" si="873"/>
        <v>0</v>
      </c>
      <c r="Y1844" s="19">
        <f t="shared" ca="1" si="874"/>
        <v>0</v>
      </c>
      <c r="Z1844" s="20">
        <f t="shared" ca="1" si="875"/>
        <v>0</v>
      </c>
      <c r="AA1844" s="1">
        <f t="shared" si="883"/>
        <v>5432.58</v>
      </c>
      <c r="AB1844" s="93"/>
      <c r="AC1844" s="94"/>
      <c r="AD1844" s="101">
        <f t="shared" si="884"/>
        <v>95544</v>
      </c>
      <c r="AE1844" s="103">
        <f t="shared" si="885"/>
        <v>0</v>
      </c>
      <c r="AG1844" s="1">
        <f t="shared" si="876"/>
        <v>0</v>
      </c>
      <c r="AH1844" s="1">
        <f t="shared" si="877"/>
        <v>0</v>
      </c>
      <c r="AI1844" s="1">
        <f t="shared" si="886"/>
        <v>5432.58</v>
      </c>
      <c r="AJ1844" s="20">
        <f t="shared" si="888"/>
        <v>0</v>
      </c>
      <c r="AK1844" s="100">
        <f t="shared" si="860"/>
        <v>0</v>
      </c>
      <c r="AL1844" s="100">
        <f t="shared" si="861"/>
        <v>0</v>
      </c>
      <c r="AN1844" s="100">
        <f t="shared" si="862"/>
        <v>2168.1716740539205</v>
      </c>
      <c r="AO1844" s="20">
        <f t="shared" si="863"/>
        <v>0</v>
      </c>
      <c r="AQ1844" s="109">
        <f t="shared" si="864"/>
        <v>0</v>
      </c>
      <c r="AU1844" s="109">
        <f t="shared" si="879"/>
        <v>23.07593583400277</v>
      </c>
      <c r="AV1844" s="101">
        <f t="shared" si="865"/>
        <v>95574</v>
      </c>
      <c r="AW1844" s="99">
        <f t="shared" si="866"/>
        <v>0</v>
      </c>
      <c r="AX1844" s="1">
        <f t="shared" si="867"/>
        <v>0</v>
      </c>
      <c r="AY1844" s="29">
        <f t="shared" si="868"/>
        <v>0</v>
      </c>
      <c r="AZ1844" s="1">
        <f t="shared" si="880"/>
        <v>0</v>
      </c>
      <c r="CB1844" s="20">
        <f t="shared" si="889"/>
        <v>0</v>
      </c>
      <c r="CC1844" s="173">
        <f t="shared" si="881"/>
        <v>0</v>
      </c>
    </row>
    <row r="1845" spans="10:81" x14ac:dyDescent="0.25">
      <c r="J1845" s="7"/>
      <c r="K1845" s="8"/>
      <c r="L1845" s="16"/>
      <c r="M1845" s="22"/>
      <c r="N1845" s="22"/>
      <c r="O1845" s="22"/>
      <c r="P1845" s="22"/>
      <c r="Q1845" s="1">
        <f t="shared" si="882"/>
        <v>0.60744618579017706</v>
      </c>
      <c r="R1845" s="12">
        <f t="shared" ca="1" si="869"/>
        <v>54452</v>
      </c>
      <c r="S1845" s="88">
        <f t="shared" si="878"/>
        <v>0</v>
      </c>
      <c r="T1845" s="19">
        <f t="shared" si="870"/>
        <v>0</v>
      </c>
      <c r="U1845" s="19">
        <f t="shared" si="871"/>
        <v>0</v>
      </c>
      <c r="V1845" s="19">
        <f t="shared" si="887"/>
        <v>0</v>
      </c>
      <c r="W1845" s="20">
        <f t="shared" ca="1" si="872"/>
        <v>0</v>
      </c>
      <c r="X1845" s="19">
        <f t="shared" ca="1" si="873"/>
        <v>0</v>
      </c>
      <c r="Y1845" s="19">
        <f t="shared" ca="1" si="874"/>
        <v>0</v>
      </c>
      <c r="Z1845" s="20">
        <f t="shared" ca="1" si="875"/>
        <v>0</v>
      </c>
      <c r="AA1845" s="1">
        <f t="shared" si="883"/>
        <v>5432.58</v>
      </c>
      <c r="AB1845" s="91"/>
      <c r="AC1845" s="92"/>
      <c r="AD1845" s="101">
        <f t="shared" si="884"/>
        <v>95574</v>
      </c>
      <c r="AE1845" s="103">
        <f t="shared" si="885"/>
        <v>0</v>
      </c>
      <c r="AG1845" s="1">
        <f t="shared" si="876"/>
        <v>0</v>
      </c>
      <c r="AH1845" s="1">
        <f t="shared" si="877"/>
        <v>0</v>
      </c>
      <c r="AI1845" s="1">
        <f t="shared" si="886"/>
        <v>5432.58</v>
      </c>
      <c r="AJ1845" s="20">
        <f t="shared" si="888"/>
        <v>0</v>
      </c>
      <c r="AK1845" s="100">
        <f t="shared" si="860"/>
        <v>0</v>
      </c>
      <c r="AL1845" s="100">
        <f t="shared" si="861"/>
        <v>0</v>
      </c>
      <c r="AN1845" s="100">
        <f t="shared" si="862"/>
        <v>2167.0746896751157</v>
      </c>
      <c r="AO1845" s="20">
        <f t="shared" si="863"/>
        <v>0</v>
      </c>
      <c r="AQ1845" s="109">
        <f t="shared" si="864"/>
        <v>0</v>
      </c>
      <c r="AU1845" s="109">
        <f t="shared" si="879"/>
        <v>23.073910457418183</v>
      </c>
      <c r="AV1845" s="101">
        <f t="shared" si="865"/>
        <v>95604</v>
      </c>
      <c r="AW1845" s="99">
        <f t="shared" si="866"/>
        <v>0</v>
      </c>
      <c r="AX1845" s="1">
        <f t="shared" si="867"/>
        <v>0</v>
      </c>
      <c r="AY1845" s="29">
        <f t="shared" si="868"/>
        <v>0</v>
      </c>
      <c r="AZ1845" s="1">
        <f t="shared" si="880"/>
        <v>0</v>
      </c>
      <c r="CB1845" s="20">
        <f t="shared" si="889"/>
        <v>0</v>
      </c>
      <c r="CC1845" s="173">
        <f t="shared" si="881"/>
        <v>0</v>
      </c>
    </row>
    <row r="1846" spans="10:81" x14ac:dyDescent="0.25">
      <c r="J1846" s="9"/>
      <c r="K1846" s="10"/>
      <c r="L1846" s="17"/>
      <c r="M1846" s="23"/>
      <c r="N1846" s="23"/>
      <c r="O1846" s="23"/>
      <c r="P1846" s="23"/>
      <c r="Q1846" s="1">
        <f t="shared" si="882"/>
        <v>0.60744618579017706</v>
      </c>
      <c r="R1846" s="12">
        <f t="shared" ca="1" si="869"/>
        <v>54482</v>
      </c>
      <c r="S1846" s="88">
        <f t="shared" si="878"/>
        <v>0</v>
      </c>
      <c r="T1846" s="19">
        <f t="shared" si="870"/>
        <v>0</v>
      </c>
      <c r="U1846" s="19">
        <f t="shared" si="871"/>
        <v>0</v>
      </c>
      <c r="V1846" s="19">
        <f t="shared" si="887"/>
        <v>0</v>
      </c>
      <c r="W1846" s="20">
        <f t="shared" ca="1" si="872"/>
        <v>0</v>
      </c>
      <c r="X1846" s="19">
        <f t="shared" ca="1" si="873"/>
        <v>0</v>
      </c>
      <c r="Y1846" s="19">
        <f t="shared" ca="1" si="874"/>
        <v>0</v>
      </c>
      <c r="Z1846" s="20">
        <f t="shared" ca="1" si="875"/>
        <v>0</v>
      </c>
      <c r="AA1846" s="1">
        <f t="shared" si="883"/>
        <v>5432.58</v>
      </c>
      <c r="AB1846" s="93"/>
      <c r="AC1846" s="94"/>
      <c r="AD1846" s="101">
        <f t="shared" si="884"/>
        <v>95604</v>
      </c>
      <c r="AE1846" s="103">
        <f t="shared" si="885"/>
        <v>0</v>
      </c>
      <c r="AG1846" s="1">
        <f t="shared" si="876"/>
        <v>0</v>
      </c>
      <c r="AH1846" s="1">
        <f t="shared" si="877"/>
        <v>0</v>
      </c>
      <c r="AI1846" s="1">
        <f t="shared" si="886"/>
        <v>5432.58</v>
      </c>
      <c r="AJ1846" s="20">
        <f t="shared" si="888"/>
        <v>0</v>
      </c>
      <c r="AK1846" s="100">
        <f t="shared" ref="AK1846:AK1909" si="890">IF(ISERROR(AJ1846/(1+(Q1846)/1200)^(ROW()-29)),0,AJ1846/(1+(Q1846)/1200)^(ROW()-29))</f>
        <v>0</v>
      </c>
      <c r="AL1846" s="100">
        <f t="shared" ref="AL1846:AL1909" si="891">IF(ISERROR((Q1846/1200)*O1846),0,(Q1846/1200)*O1846)</f>
        <v>0</v>
      </c>
      <c r="AN1846" s="100">
        <f t="shared" ref="AN1846:AN1909" si="892">IF(ISERROR(AA1846/(1+(Q1846)/1200)^(ROW()-29)),0,AA1846/(1+(Q1846)/1200)^(ROW()-29))</f>
        <v>2165.978260314505</v>
      </c>
      <c r="AO1846" s="20">
        <f t="shared" ref="AO1846:AO1909" si="893">IF(ISERROR(V1845+U1846+T1846+(V1845*Q1846/1200)-AA1846-P1846),0,IF(V1845+U1846+T1846+(V1845*Q1846/1200)-AA1846-P1846&lt;0,V1845,-(U1846+T1846-AA1846+P1846-AH1846)))</f>
        <v>0</v>
      </c>
      <c r="AQ1846" s="109">
        <f t="shared" ref="AQ1846:AQ1909" si="894">AO1846/(1+((1+$AM$27)^((ROW()-29)*30)-1))</f>
        <v>0</v>
      </c>
      <c r="AU1846" s="109">
        <f t="shared" si="879"/>
        <v>23.071885258601043</v>
      </c>
      <c r="AV1846" s="101">
        <f t="shared" ref="AV1846:AV1909" si="895">AD1847</f>
        <v>95634</v>
      </c>
      <c r="AW1846" s="99">
        <f t="shared" ref="AW1846:AW1909" si="896">IF(AJ1847&lt;0,0,AJ1847)</f>
        <v>0</v>
      </c>
      <c r="AX1846" s="1">
        <f t="shared" ref="AX1846:AX1909" si="897">IF(AG1846&gt;0,AA1846,0)</f>
        <v>0</v>
      </c>
      <c r="AY1846" s="29">
        <f t="shared" ref="AY1846:AY1909" si="898">AE1846</f>
        <v>0</v>
      </c>
      <c r="AZ1846" s="1">
        <f t="shared" si="880"/>
        <v>0</v>
      </c>
      <c r="CB1846" s="20">
        <f t="shared" si="889"/>
        <v>0</v>
      </c>
      <c r="CC1846" s="173">
        <f t="shared" si="881"/>
        <v>0</v>
      </c>
    </row>
    <row r="1847" spans="10:81" x14ac:dyDescent="0.25">
      <c r="J1847" s="7"/>
      <c r="K1847" s="8"/>
      <c r="L1847" s="16"/>
      <c r="M1847" s="22"/>
      <c r="N1847" s="22"/>
      <c r="O1847" s="22"/>
      <c r="P1847" s="22"/>
      <c r="Q1847" s="1">
        <f t="shared" si="882"/>
        <v>0.60744618579017706</v>
      </c>
      <c r="R1847" s="12">
        <f t="shared" ref="R1847:R1910" ca="1" si="899">IF(ROW()&gt;$T$20,R1846+30,DAYS360(K1846,K1847)+R1846)</f>
        <v>54512</v>
      </c>
      <c r="S1847" s="88">
        <f t="shared" si="878"/>
        <v>0</v>
      </c>
      <c r="T1847" s="19">
        <f t="shared" ref="T1847:T1910" si="900">IF(ISERROR((previousBalance*Q1847/1200)*(IF(ROW()-30&lt;$G$22,$G$21,0))),0,(previousBalance*Q1847/1200)*(IF(ROW()-30&lt;$G$22,$G$21,0)))</f>
        <v>0</v>
      </c>
      <c r="U1847" s="19">
        <f t="shared" ref="U1847:U1910" si="901">AA1847*(IF(ROW()-30&lt;$H$22,$H$21,0))</f>
        <v>0</v>
      </c>
      <c r="V1847" s="19">
        <f t="shared" si="887"/>
        <v>0</v>
      </c>
      <c r="W1847" s="20">
        <f t="shared" ref="W1847:W1910" ca="1" si="902">(T1847)/(1+((1+$T$12)^$R1847-1))</f>
        <v>0</v>
      </c>
      <c r="X1847" s="19">
        <f t="shared" ref="X1847:X1910" ca="1" si="903">(U1847)/(1+((1+$T$12)^$R1847-1))</f>
        <v>0</v>
      </c>
      <c r="Y1847" s="19">
        <f t="shared" ref="Y1847:Y1910" ca="1" si="904">P1847/(1+((1+$T$12)^$R1847-1))</f>
        <v>0</v>
      </c>
      <c r="Z1847" s="20">
        <f t="shared" ref="Z1847:Z1910" ca="1" si="905">W1847+X1847</f>
        <v>0</v>
      </c>
      <c r="AA1847" s="1">
        <f t="shared" si="883"/>
        <v>5432.58</v>
      </c>
      <c r="AB1847" s="91"/>
      <c r="AC1847" s="92"/>
      <c r="AD1847" s="101">
        <f t="shared" si="884"/>
        <v>95634</v>
      </c>
      <c r="AE1847" s="103">
        <f t="shared" si="885"/>
        <v>0</v>
      </c>
      <c r="AG1847" s="1">
        <f t="shared" ref="AG1847:AG1910" si="906">AE1847/360</f>
        <v>0</v>
      </c>
      <c r="AH1847" s="1">
        <f t="shared" ref="AH1847:AH1910" si="907">IF(ISERROR(IF(V1846+U1847+T1847+(V1846*Q1847/1200)-AA1847-P1847&lt;0,0,(V1846*Q1847/1200))),0,IF(V1846+U1847+T1847+(V1846*Q1847/1200)-AA1847-P1847&lt;0,0,(V1846*Q1847/1200)))</f>
        <v>0</v>
      </c>
      <c r="AI1847" s="1">
        <f t="shared" si="886"/>
        <v>5432.58</v>
      </c>
      <c r="AJ1847" s="20">
        <f t="shared" si="888"/>
        <v>0</v>
      </c>
      <c r="AK1847" s="100">
        <f t="shared" si="890"/>
        <v>0</v>
      </c>
      <c r="AL1847" s="100">
        <f t="shared" si="891"/>
        <v>0</v>
      </c>
      <c r="AN1847" s="100">
        <f t="shared" si="892"/>
        <v>2164.8823856912777</v>
      </c>
      <c r="AO1847" s="20">
        <f t="shared" si="893"/>
        <v>0</v>
      </c>
      <c r="AQ1847" s="109">
        <f t="shared" si="894"/>
        <v>0</v>
      </c>
      <c r="AU1847" s="109">
        <f t="shared" si="879"/>
        <v>23.06986023753575</v>
      </c>
      <c r="AV1847" s="101">
        <f t="shared" si="895"/>
        <v>95664</v>
      </c>
      <c r="AW1847" s="99">
        <f t="shared" si="896"/>
        <v>0</v>
      </c>
      <c r="AX1847" s="1">
        <f t="shared" si="897"/>
        <v>0</v>
      </c>
      <c r="AY1847" s="29">
        <f t="shared" si="898"/>
        <v>0</v>
      </c>
      <c r="AZ1847" s="1">
        <f t="shared" si="880"/>
        <v>0</v>
      </c>
      <c r="CB1847" s="20">
        <f t="shared" si="889"/>
        <v>0</v>
      </c>
      <c r="CC1847" s="173">
        <f t="shared" si="881"/>
        <v>0</v>
      </c>
    </row>
    <row r="1848" spans="10:81" x14ac:dyDescent="0.25">
      <c r="J1848" s="9"/>
      <c r="K1848" s="10"/>
      <c r="L1848" s="17"/>
      <c r="M1848" s="23"/>
      <c r="N1848" s="23"/>
      <c r="O1848" s="23"/>
      <c r="P1848" s="23"/>
      <c r="Q1848" s="1">
        <f t="shared" si="882"/>
        <v>0.60744618579017706</v>
      </c>
      <c r="R1848" s="12">
        <f t="shared" ca="1" si="899"/>
        <v>54542</v>
      </c>
      <c r="S1848" s="88">
        <f t="shared" si="878"/>
        <v>0</v>
      </c>
      <c r="T1848" s="19">
        <f t="shared" si="900"/>
        <v>0</v>
      </c>
      <c r="U1848" s="19">
        <f t="shared" si="901"/>
        <v>0</v>
      </c>
      <c r="V1848" s="19">
        <f t="shared" si="887"/>
        <v>0</v>
      </c>
      <c r="W1848" s="20">
        <f t="shared" ca="1" si="902"/>
        <v>0</v>
      </c>
      <c r="X1848" s="19">
        <f t="shared" ca="1" si="903"/>
        <v>0</v>
      </c>
      <c r="Y1848" s="19">
        <f t="shared" ca="1" si="904"/>
        <v>0</v>
      </c>
      <c r="Z1848" s="20">
        <f t="shared" ca="1" si="905"/>
        <v>0</v>
      </c>
      <c r="AA1848" s="1">
        <f t="shared" si="883"/>
        <v>5432.58</v>
      </c>
      <c r="AB1848" s="93"/>
      <c r="AC1848" s="94"/>
      <c r="AD1848" s="101">
        <f t="shared" si="884"/>
        <v>95664</v>
      </c>
      <c r="AE1848" s="103">
        <f t="shared" si="885"/>
        <v>0</v>
      </c>
      <c r="AG1848" s="1">
        <f t="shared" si="906"/>
        <v>0</v>
      </c>
      <c r="AH1848" s="1">
        <f t="shared" si="907"/>
        <v>0</v>
      </c>
      <c r="AI1848" s="1">
        <f t="shared" si="886"/>
        <v>5432.58</v>
      </c>
      <c r="AJ1848" s="20">
        <f t="shared" si="888"/>
        <v>0</v>
      </c>
      <c r="AK1848" s="100">
        <f t="shared" si="890"/>
        <v>0</v>
      </c>
      <c r="AL1848" s="100">
        <f t="shared" si="891"/>
        <v>0</v>
      </c>
      <c r="AN1848" s="100">
        <f t="shared" si="892"/>
        <v>2163.7870655247648</v>
      </c>
      <c r="AO1848" s="20">
        <f t="shared" si="893"/>
        <v>0</v>
      </c>
      <c r="AQ1848" s="109">
        <f t="shared" si="894"/>
        <v>0</v>
      </c>
      <c r="AU1848" s="109">
        <f t="shared" si="879"/>
        <v>23.06783539420671</v>
      </c>
      <c r="AV1848" s="101">
        <f t="shared" si="895"/>
        <v>95694</v>
      </c>
      <c r="AW1848" s="99">
        <f t="shared" si="896"/>
        <v>0</v>
      </c>
      <c r="AX1848" s="1">
        <f t="shared" si="897"/>
        <v>0</v>
      </c>
      <c r="AY1848" s="29">
        <f t="shared" si="898"/>
        <v>0</v>
      </c>
      <c r="AZ1848" s="1">
        <f t="shared" si="880"/>
        <v>0</v>
      </c>
      <c r="CB1848" s="20">
        <f t="shared" si="889"/>
        <v>0</v>
      </c>
      <c r="CC1848" s="173">
        <f t="shared" si="881"/>
        <v>0</v>
      </c>
    </row>
    <row r="1849" spans="10:81" x14ac:dyDescent="0.25">
      <c r="J1849" s="7"/>
      <c r="K1849" s="8"/>
      <c r="L1849" s="16"/>
      <c r="M1849" s="22"/>
      <c r="N1849" s="22"/>
      <c r="O1849" s="22"/>
      <c r="P1849" s="22"/>
      <c r="Q1849" s="1">
        <f t="shared" si="882"/>
        <v>0.60744618579017706</v>
      </c>
      <c r="R1849" s="12">
        <f t="shared" ca="1" si="899"/>
        <v>54572</v>
      </c>
      <c r="S1849" s="88">
        <f t="shared" si="878"/>
        <v>0</v>
      </c>
      <c r="T1849" s="19">
        <f t="shared" si="900"/>
        <v>0</v>
      </c>
      <c r="U1849" s="19">
        <f t="shared" si="901"/>
        <v>0</v>
      </c>
      <c r="V1849" s="19">
        <f t="shared" si="887"/>
        <v>0</v>
      </c>
      <c r="W1849" s="20">
        <f t="shared" ca="1" si="902"/>
        <v>0</v>
      </c>
      <c r="X1849" s="19">
        <f t="shared" ca="1" si="903"/>
        <v>0</v>
      </c>
      <c r="Y1849" s="19">
        <f t="shared" ca="1" si="904"/>
        <v>0</v>
      </c>
      <c r="Z1849" s="20">
        <f t="shared" ca="1" si="905"/>
        <v>0</v>
      </c>
      <c r="AA1849" s="1">
        <f t="shared" si="883"/>
        <v>5432.58</v>
      </c>
      <c r="AB1849" s="91"/>
      <c r="AC1849" s="92"/>
      <c r="AD1849" s="101">
        <f t="shared" si="884"/>
        <v>95694</v>
      </c>
      <c r="AE1849" s="103">
        <f t="shared" si="885"/>
        <v>0</v>
      </c>
      <c r="AG1849" s="1">
        <f t="shared" si="906"/>
        <v>0</v>
      </c>
      <c r="AH1849" s="1">
        <f t="shared" si="907"/>
        <v>0</v>
      </c>
      <c r="AI1849" s="1">
        <f t="shared" si="886"/>
        <v>5432.58</v>
      </c>
      <c r="AJ1849" s="20">
        <f t="shared" si="888"/>
        <v>0</v>
      </c>
      <c r="AK1849" s="100">
        <f t="shared" si="890"/>
        <v>0</v>
      </c>
      <c r="AL1849" s="100">
        <f t="shared" si="891"/>
        <v>0</v>
      </c>
      <c r="AN1849" s="100">
        <f t="shared" si="892"/>
        <v>2162.6922995344398</v>
      </c>
      <c r="AO1849" s="20">
        <f t="shared" si="893"/>
        <v>0</v>
      </c>
      <c r="AQ1849" s="109">
        <f t="shared" si="894"/>
        <v>0</v>
      </c>
      <c r="AU1849" s="109">
        <f t="shared" si="879"/>
        <v>23.065810728598308</v>
      </c>
      <c r="AV1849" s="101">
        <f t="shared" si="895"/>
        <v>95724</v>
      </c>
      <c r="AW1849" s="99">
        <f t="shared" si="896"/>
        <v>0</v>
      </c>
      <c r="AX1849" s="1">
        <f t="shared" si="897"/>
        <v>0</v>
      </c>
      <c r="AY1849" s="29">
        <f t="shared" si="898"/>
        <v>0</v>
      </c>
      <c r="AZ1849" s="1">
        <f t="shared" si="880"/>
        <v>0</v>
      </c>
      <c r="CB1849" s="20">
        <f t="shared" si="889"/>
        <v>0</v>
      </c>
      <c r="CC1849" s="173">
        <f t="shared" si="881"/>
        <v>0</v>
      </c>
    </row>
    <row r="1850" spans="10:81" x14ac:dyDescent="0.25">
      <c r="J1850" s="9"/>
      <c r="K1850" s="10"/>
      <c r="L1850" s="17"/>
      <c r="M1850" s="23"/>
      <c r="N1850" s="23"/>
      <c r="O1850" s="23"/>
      <c r="P1850" s="23"/>
      <c r="Q1850" s="1">
        <f t="shared" si="882"/>
        <v>0.60744618579017706</v>
      </c>
      <c r="R1850" s="12">
        <f t="shared" ca="1" si="899"/>
        <v>54602</v>
      </c>
      <c r="S1850" s="88">
        <f t="shared" si="878"/>
        <v>0</v>
      </c>
      <c r="T1850" s="19">
        <f t="shared" si="900"/>
        <v>0</v>
      </c>
      <c r="U1850" s="19">
        <f t="shared" si="901"/>
        <v>0</v>
      </c>
      <c r="V1850" s="19">
        <f t="shared" si="887"/>
        <v>0</v>
      </c>
      <c r="W1850" s="20">
        <f t="shared" ca="1" si="902"/>
        <v>0</v>
      </c>
      <c r="X1850" s="19">
        <f t="shared" ca="1" si="903"/>
        <v>0</v>
      </c>
      <c r="Y1850" s="19">
        <f t="shared" ca="1" si="904"/>
        <v>0</v>
      </c>
      <c r="Z1850" s="20">
        <f t="shared" ca="1" si="905"/>
        <v>0</v>
      </c>
      <c r="AA1850" s="1">
        <f t="shared" si="883"/>
        <v>5432.58</v>
      </c>
      <c r="AB1850" s="93"/>
      <c r="AC1850" s="94"/>
      <c r="AD1850" s="101">
        <f t="shared" si="884"/>
        <v>95724</v>
      </c>
      <c r="AE1850" s="103">
        <f t="shared" si="885"/>
        <v>0</v>
      </c>
      <c r="AG1850" s="1">
        <f t="shared" si="906"/>
        <v>0</v>
      </c>
      <c r="AH1850" s="1">
        <f t="shared" si="907"/>
        <v>0</v>
      </c>
      <c r="AI1850" s="1">
        <f t="shared" si="886"/>
        <v>5432.58</v>
      </c>
      <c r="AJ1850" s="20">
        <f t="shared" si="888"/>
        <v>0</v>
      </c>
      <c r="AK1850" s="100">
        <f t="shared" si="890"/>
        <v>0</v>
      </c>
      <c r="AL1850" s="100">
        <f t="shared" si="891"/>
        <v>0</v>
      </c>
      <c r="AN1850" s="100">
        <f t="shared" si="892"/>
        <v>2161.598087439917</v>
      </c>
      <c r="AO1850" s="20">
        <f t="shared" si="893"/>
        <v>0</v>
      </c>
      <c r="AQ1850" s="109">
        <f t="shared" si="894"/>
        <v>0</v>
      </c>
      <c r="AU1850" s="109">
        <f t="shared" si="879"/>
        <v>23.063786240694959</v>
      </c>
      <c r="AV1850" s="101">
        <f t="shared" si="895"/>
        <v>95754</v>
      </c>
      <c r="AW1850" s="99">
        <f t="shared" si="896"/>
        <v>0</v>
      </c>
      <c r="AX1850" s="1">
        <f t="shared" si="897"/>
        <v>0</v>
      </c>
      <c r="AY1850" s="29">
        <f t="shared" si="898"/>
        <v>0</v>
      </c>
      <c r="AZ1850" s="1">
        <f t="shared" si="880"/>
        <v>0</v>
      </c>
      <c r="CB1850" s="20">
        <f t="shared" si="889"/>
        <v>0</v>
      </c>
      <c r="CC1850" s="173">
        <f t="shared" si="881"/>
        <v>0</v>
      </c>
    </row>
    <row r="1851" spans="10:81" x14ac:dyDescent="0.25">
      <c r="J1851" s="7"/>
      <c r="K1851" s="8"/>
      <c r="L1851" s="16"/>
      <c r="M1851" s="22"/>
      <c r="N1851" s="22"/>
      <c r="O1851" s="22"/>
      <c r="P1851" s="22"/>
      <c r="Q1851" s="1">
        <f t="shared" si="882"/>
        <v>0.60744618579017706</v>
      </c>
      <c r="R1851" s="12">
        <f t="shared" ca="1" si="899"/>
        <v>54632</v>
      </c>
      <c r="S1851" s="88">
        <f t="shared" si="878"/>
        <v>0</v>
      </c>
      <c r="T1851" s="19">
        <f t="shared" si="900"/>
        <v>0</v>
      </c>
      <c r="U1851" s="19">
        <f t="shared" si="901"/>
        <v>0</v>
      </c>
      <c r="V1851" s="19">
        <f t="shared" si="887"/>
        <v>0</v>
      </c>
      <c r="W1851" s="20">
        <f t="shared" ca="1" si="902"/>
        <v>0</v>
      </c>
      <c r="X1851" s="19">
        <f t="shared" ca="1" si="903"/>
        <v>0</v>
      </c>
      <c r="Y1851" s="19">
        <f t="shared" ca="1" si="904"/>
        <v>0</v>
      </c>
      <c r="Z1851" s="20">
        <f t="shared" ca="1" si="905"/>
        <v>0</v>
      </c>
      <c r="AA1851" s="1">
        <f t="shared" si="883"/>
        <v>5432.58</v>
      </c>
      <c r="AB1851" s="91"/>
      <c r="AC1851" s="92"/>
      <c r="AD1851" s="101">
        <f t="shared" si="884"/>
        <v>95754</v>
      </c>
      <c r="AE1851" s="103">
        <f t="shared" si="885"/>
        <v>0</v>
      </c>
      <c r="AG1851" s="1">
        <f t="shared" si="906"/>
        <v>0</v>
      </c>
      <c r="AH1851" s="1">
        <f t="shared" si="907"/>
        <v>0</v>
      </c>
      <c r="AI1851" s="1">
        <f t="shared" si="886"/>
        <v>5432.58</v>
      </c>
      <c r="AJ1851" s="20">
        <f t="shared" si="888"/>
        <v>0</v>
      </c>
      <c r="AK1851" s="100">
        <f t="shared" si="890"/>
        <v>0</v>
      </c>
      <c r="AL1851" s="100">
        <f t="shared" si="891"/>
        <v>0</v>
      </c>
      <c r="AN1851" s="100">
        <f t="shared" si="892"/>
        <v>2160.5044289609536</v>
      </c>
      <c r="AO1851" s="20">
        <f t="shared" si="893"/>
        <v>0</v>
      </c>
      <c r="AQ1851" s="109">
        <f t="shared" si="894"/>
        <v>0</v>
      </c>
      <c r="AU1851" s="109">
        <f t="shared" si="879"/>
        <v>23.061761930481062</v>
      </c>
      <c r="AV1851" s="101">
        <f t="shared" si="895"/>
        <v>95784</v>
      </c>
      <c r="AW1851" s="99">
        <f t="shared" si="896"/>
        <v>0</v>
      </c>
      <c r="AX1851" s="1">
        <f t="shared" si="897"/>
        <v>0</v>
      </c>
      <c r="AY1851" s="29">
        <f t="shared" si="898"/>
        <v>0</v>
      </c>
      <c r="AZ1851" s="1">
        <f t="shared" si="880"/>
        <v>0</v>
      </c>
      <c r="CB1851" s="20">
        <f t="shared" si="889"/>
        <v>0</v>
      </c>
      <c r="CC1851" s="173">
        <f t="shared" si="881"/>
        <v>0</v>
      </c>
    </row>
    <row r="1852" spans="10:81" x14ac:dyDescent="0.25">
      <c r="J1852" s="9"/>
      <c r="K1852" s="10"/>
      <c r="L1852" s="17"/>
      <c r="M1852" s="23"/>
      <c r="N1852" s="23"/>
      <c r="O1852" s="23"/>
      <c r="P1852" s="23"/>
      <c r="Q1852" s="1">
        <f t="shared" si="882"/>
        <v>0.60744618579017706</v>
      </c>
      <c r="R1852" s="12">
        <f t="shared" ca="1" si="899"/>
        <v>54662</v>
      </c>
      <c r="S1852" s="88">
        <f t="shared" si="878"/>
        <v>0</v>
      </c>
      <c r="T1852" s="19">
        <f t="shared" si="900"/>
        <v>0</v>
      </c>
      <c r="U1852" s="19">
        <f t="shared" si="901"/>
        <v>0</v>
      </c>
      <c r="V1852" s="19">
        <f t="shared" si="887"/>
        <v>0</v>
      </c>
      <c r="W1852" s="20">
        <f t="shared" ca="1" si="902"/>
        <v>0</v>
      </c>
      <c r="X1852" s="19">
        <f t="shared" ca="1" si="903"/>
        <v>0</v>
      </c>
      <c r="Y1852" s="19">
        <f t="shared" ca="1" si="904"/>
        <v>0</v>
      </c>
      <c r="Z1852" s="20">
        <f t="shared" ca="1" si="905"/>
        <v>0</v>
      </c>
      <c r="AA1852" s="1">
        <f t="shared" si="883"/>
        <v>5432.58</v>
      </c>
      <c r="AB1852" s="93"/>
      <c r="AC1852" s="94"/>
      <c r="AD1852" s="101">
        <f t="shared" si="884"/>
        <v>95784</v>
      </c>
      <c r="AE1852" s="103">
        <f t="shared" si="885"/>
        <v>0</v>
      </c>
      <c r="AG1852" s="1">
        <f t="shared" si="906"/>
        <v>0</v>
      </c>
      <c r="AH1852" s="1">
        <f t="shared" si="907"/>
        <v>0</v>
      </c>
      <c r="AI1852" s="1">
        <f t="shared" si="886"/>
        <v>5432.58</v>
      </c>
      <c r="AJ1852" s="20">
        <f t="shared" si="888"/>
        <v>0</v>
      </c>
      <c r="AK1852" s="100">
        <f t="shared" si="890"/>
        <v>0</v>
      </c>
      <c r="AL1852" s="100">
        <f t="shared" si="891"/>
        <v>0</v>
      </c>
      <c r="AN1852" s="100">
        <f t="shared" si="892"/>
        <v>2159.4113238174496</v>
      </c>
      <c r="AO1852" s="20">
        <f t="shared" si="893"/>
        <v>0</v>
      </c>
      <c r="AQ1852" s="109">
        <f t="shared" si="894"/>
        <v>0</v>
      </c>
      <c r="AU1852" s="109">
        <f t="shared" si="879"/>
        <v>23.059737797941025</v>
      </c>
      <c r="AV1852" s="101">
        <f t="shared" si="895"/>
        <v>95814</v>
      </c>
      <c r="AW1852" s="99">
        <f t="shared" si="896"/>
        <v>0</v>
      </c>
      <c r="AX1852" s="1">
        <f t="shared" si="897"/>
        <v>0</v>
      </c>
      <c r="AY1852" s="29">
        <f t="shared" si="898"/>
        <v>0</v>
      </c>
      <c r="AZ1852" s="1">
        <f t="shared" si="880"/>
        <v>0</v>
      </c>
      <c r="CB1852" s="20">
        <f t="shared" si="889"/>
        <v>0</v>
      </c>
      <c r="CC1852" s="173">
        <f t="shared" si="881"/>
        <v>0</v>
      </c>
    </row>
    <row r="1853" spans="10:81" x14ac:dyDescent="0.25">
      <c r="J1853" s="7"/>
      <c r="K1853" s="8"/>
      <c r="L1853" s="16"/>
      <c r="M1853" s="22"/>
      <c r="N1853" s="22"/>
      <c r="O1853" s="22"/>
      <c r="P1853" s="22"/>
      <c r="Q1853" s="1">
        <f t="shared" si="882"/>
        <v>0.60744618579017706</v>
      </c>
      <c r="R1853" s="12">
        <f t="shared" ca="1" si="899"/>
        <v>54692</v>
      </c>
      <c r="S1853" s="88">
        <f t="shared" si="878"/>
        <v>0</v>
      </c>
      <c r="T1853" s="19">
        <f t="shared" si="900"/>
        <v>0</v>
      </c>
      <c r="U1853" s="19">
        <f t="shared" si="901"/>
        <v>0</v>
      </c>
      <c r="V1853" s="19">
        <f t="shared" si="887"/>
        <v>0</v>
      </c>
      <c r="W1853" s="20">
        <f t="shared" ca="1" si="902"/>
        <v>0</v>
      </c>
      <c r="X1853" s="19">
        <f t="shared" ca="1" si="903"/>
        <v>0</v>
      </c>
      <c r="Y1853" s="19">
        <f t="shared" ca="1" si="904"/>
        <v>0</v>
      </c>
      <c r="Z1853" s="20">
        <f t="shared" ca="1" si="905"/>
        <v>0</v>
      </c>
      <c r="AA1853" s="1">
        <f t="shared" si="883"/>
        <v>5432.58</v>
      </c>
      <c r="AB1853" s="91"/>
      <c r="AC1853" s="92"/>
      <c r="AD1853" s="101">
        <f t="shared" si="884"/>
        <v>95814</v>
      </c>
      <c r="AE1853" s="103">
        <f t="shared" si="885"/>
        <v>0</v>
      </c>
      <c r="AG1853" s="1">
        <f t="shared" si="906"/>
        <v>0</v>
      </c>
      <c r="AH1853" s="1">
        <f t="shared" si="907"/>
        <v>0</v>
      </c>
      <c r="AI1853" s="1">
        <f t="shared" si="886"/>
        <v>5432.58</v>
      </c>
      <c r="AJ1853" s="20">
        <f t="shared" si="888"/>
        <v>0</v>
      </c>
      <c r="AK1853" s="100">
        <f t="shared" si="890"/>
        <v>0</v>
      </c>
      <c r="AL1853" s="100">
        <f t="shared" si="891"/>
        <v>0</v>
      </c>
      <c r="AN1853" s="100">
        <f t="shared" si="892"/>
        <v>2158.3187717294441</v>
      </c>
      <c r="AO1853" s="20">
        <f t="shared" si="893"/>
        <v>0</v>
      </c>
      <c r="AQ1853" s="109">
        <f t="shared" si="894"/>
        <v>0</v>
      </c>
      <c r="AU1853" s="109">
        <f t="shared" si="879"/>
        <v>23.057713843059251</v>
      </c>
      <c r="AV1853" s="101">
        <f t="shared" si="895"/>
        <v>95844</v>
      </c>
      <c r="AW1853" s="99">
        <f t="shared" si="896"/>
        <v>0</v>
      </c>
      <c r="AX1853" s="1">
        <f t="shared" si="897"/>
        <v>0</v>
      </c>
      <c r="AY1853" s="29">
        <f t="shared" si="898"/>
        <v>0</v>
      </c>
      <c r="AZ1853" s="1">
        <f t="shared" si="880"/>
        <v>0</v>
      </c>
      <c r="CB1853" s="20">
        <f t="shared" si="889"/>
        <v>0</v>
      </c>
      <c r="CC1853" s="173">
        <f t="shared" si="881"/>
        <v>0</v>
      </c>
    </row>
    <row r="1854" spans="10:81" x14ac:dyDescent="0.25">
      <c r="J1854" s="9"/>
      <c r="K1854" s="10"/>
      <c r="L1854" s="17"/>
      <c r="M1854" s="23"/>
      <c r="N1854" s="23"/>
      <c r="O1854" s="23"/>
      <c r="P1854" s="23"/>
      <c r="Q1854" s="1">
        <f t="shared" si="882"/>
        <v>0.60744618579017706</v>
      </c>
      <c r="R1854" s="12">
        <f t="shared" ca="1" si="899"/>
        <v>54722</v>
      </c>
      <c r="S1854" s="88">
        <f t="shared" si="878"/>
        <v>0</v>
      </c>
      <c r="T1854" s="19">
        <f t="shared" si="900"/>
        <v>0</v>
      </c>
      <c r="U1854" s="19">
        <f t="shared" si="901"/>
        <v>0</v>
      </c>
      <c r="V1854" s="19">
        <f t="shared" si="887"/>
        <v>0</v>
      </c>
      <c r="W1854" s="20">
        <f t="shared" ca="1" si="902"/>
        <v>0</v>
      </c>
      <c r="X1854" s="19">
        <f t="shared" ca="1" si="903"/>
        <v>0</v>
      </c>
      <c r="Y1854" s="19">
        <f t="shared" ca="1" si="904"/>
        <v>0</v>
      </c>
      <c r="Z1854" s="20">
        <f t="shared" ca="1" si="905"/>
        <v>0</v>
      </c>
      <c r="AA1854" s="1">
        <f t="shared" si="883"/>
        <v>5432.58</v>
      </c>
      <c r="AB1854" s="93"/>
      <c r="AC1854" s="94"/>
      <c r="AD1854" s="101">
        <f t="shared" si="884"/>
        <v>95844</v>
      </c>
      <c r="AE1854" s="103">
        <f t="shared" si="885"/>
        <v>0</v>
      </c>
      <c r="AG1854" s="1">
        <f t="shared" si="906"/>
        <v>0</v>
      </c>
      <c r="AH1854" s="1">
        <f t="shared" si="907"/>
        <v>0</v>
      </c>
      <c r="AI1854" s="1">
        <f t="shared" si="886"/>
        <v>5432.58</v>
      </c>
      <c r="AJ1854" s="20">
        <f t="shared" si="888"/>
        <v>0</v>
      </c>
      <c r="AK1854" s="100">
        <f t="shared" si="890"/>
        <v>0</v>
      </c>
      <c r="AL1854" s="100">
        <f t="shared" si="891"/>
        <v>0</v>
      </c>
      <c r="AN1854" s="100">
        <f t="shared" si="892"/>
        <v>2157.2267724171193</v>
      </c>
      <c r="AO1854" s="20">
        <f t="shared" si="893"/>
        <v>0</v>
      </c>
      <c r="AQ1854" s="109">
        <f t="shared" si="894"/>
        <v>0</v>
      </c>
      <c r="AU1854" s="109">
        <f t="shared" si="879"/>
        <v>23.055690065820144</v>
      </c>
      <c r="AV1854" s="101">
        <f t="shared" si="895"/>
        <v>95874</v>
      </c>
      <c r="AW1854" s="99">
        <f t="shared" si="896"/>
        <v>0</v>
      </c>
      <c r="AX1854" s="1">
        <f t="shared" si="897"/>
        <v>0</v>
      </c>
      <c r="AY1854" s="29">
        <f t="shared" si="898"/>
        <v>0</v>
      </c>
      <c r="AZ1854" s="1">
        <f t="shared" si="880"/>
        <v>0</v>
      </c>
      <c r="CB1854" s="20">
        <f t="shared" si="889"/>
        <v>0</v>
      </c>
      <c r="CC1854" s="173">
        <f t="shared" si="881"/>
        <v>0</v>
      </c>
    </row>
    <row r="1855" spans="10:81" x14ac:dyDescent="0.25">
      <c r="J1855" s="7"/>
      <c r="K1855" s="8"/>
      <c r="L1855" s="16"/>
      <c r="M1855" s="22"/>
      <c r="N1855" s="22"/>
      <c r="O1855" s="22"/>
      <c r="P1855" s="22"/>
      <c r="Q1855" s="1">
        <f t="shared" si="882"/>
        <v>0.60744618579017706</v>
      </c>
      <c r="R1855" s="12">
        <f t="shared" ca="1" si="899"/>
        <v>54752</v>
      </c>
      <c r="S1855" s="88">
        <f t="shared" si="878"/>
        <v>0</v>
      </c>
      <c r="T1855" s="19">
        <f t="shared" si="900"/>
        <v>0</v>
      </c>
      <c r="U1855" s="19">
        <f t="shared" si="901"/>
        <v>0</v>
      </c>
      <c r="V1855" s="19">
        <f t="shared" si="887"/>
        <v>0</v>
      </c>
      <c r="W1855" s="20">
        <f t="shared" ca="1" si="902"/>
        <v>0</v>
      </c>
      <c r="X1855" s="19">
        <f t="shared" ca="1" si="903"/>
        <v>0</v>
      </c>
      <c r="Y1855" s="19">
        <f t="shared" ca="1" si="904"/>
        <v>0</v>
      </c>
      <c r="Z1855" s="20">
        <f t="shared" ca="1" si="905"/>
        <v>0</v>
      </c>
      <c r="AA1855" s="1">
        <f t="shared" si="883"/>
        <v>5432.58</v>
      </c>
      <c r="AB1855" s="91"/>
      <c r="AC1855" s="92"/>
      <c r="AD1855" s="101">
        <f t="shared" si="884"/>
        <v>95874</v>
      </c>
      <c r="AE1855" s="103">
        <f t="shared" si="885"/>
        <v>0</v>
      </c>
      <c r="AG1855" s="1">
        <f t="shared" si="906"/>
        <v>0</v>
      </c>
      <c r="AH1855" s="1">
        <f t="shared" si="907"/>
        <v>0</v>
      </c>
      <c r="AI1855" s="1">
        <f t="shared" si="886"/>
        <v>5432.58</v>
      </c>
      <c r="AJ1855" s="20">
        <f t="shared" si="888"/>
        <v>0</v>
      </c>
      <c r="AK1855" s="100">
        <f t="shared" si="890"/>
        <v>0</v>
      </c>
      <c r="AL1855" s="100">
        <f t="shared" si="891"/>
        <v>0</v>
      </c>
      <c r="AN1855" s="100">
        <f t="shared" si="892"/>
        <v>2156.1353256007997</v>
      </c>
      <c r="AO1855" s="20">
        <f t="shared" si="893"/>
        <v>0</v>
      </c>
      <c r="AQ1855" s="109">
        <f t="shared" si="894"/>
        <v>0</v>
      </c>
      <c r="AU1855" s="109">
        <f t="shared" si="879"/>
        <v>23.053666466208114</v>
      </c>
      <c r="AV1855" s="101">
        <f t="shared" si="895"/>
        <v>95904</v>
      </c>
      <c r="AW1855" s="99">
        <f t="shared" si="896"/>
        <v>0</v>
      </c>
      <c r="AX1855" s="1">
        <f t="shared" si="897"/>
        <v>0</v>
      </c>
      <c r="AY1855" s="29">
        <f t="shared" si="898"/>
        <v>0</v>
      </c>
      <c r="AZ1855" s="1">
        <f t="shared" si="880"/>
        <v>0</v>
      </c>
      <c r="CB1855" s="20">
        <f t="shared" si="889"/>
        <v>0</v>
      </c>
      <c r="CC1855" s="173">
        <f t="shared" si="881"/>
        <v>0</v>
      </c>
    </row>
    <row r="1856" spans="10:81" x14ac:dyDescent="0.25">
      <c r="J1856" s="9"/>
      <c r="K1856" s="10"/>
      <c r="L1856" s="17"/>
      <c r="M1856" s="23"/>
      <c r="N1856" s="23"/>
      <c r="O1856" s="23"/>
      <c r="P1856" s="23"/>
      <c r="Q1856" s="1">
        <f t="shared" si="882"/>
        <v>0.60744618579017706</v>
      </c>
      <c r="R1856" s="12">
        <f t="shared" ca="1" si="899"/>
        <v>54782</v>
      </c>
      <c r="S1856" s="88">
        <f t="shared" si="878"/>
        <v>0</v>
      </c>
      <c r="T1856" s="19">
        <f t="shared" si="900"/>
        <v>0</v>
      </c>
      <c r="U1856" s="19">
        <f t="shared" si="901"/>
        <v>0</v>
      </c>
      <c r="V1856" s="19">
        <f t="shared" si="887"/>
        <v>0</v>
      </c>
      <c r="W1856" s="20">
        <f t="shared" ca="1" si="902"/>
        <v>0</v>
      </c>
      <c r="X1856" s="19">
        <f t="shared" ca="1" si="903"/>
        <v>0</v>
      </c>
      <c r="Y1856" s="19">
        <f t="shared" ca="1" si="904"/>
        <v>0</v>
      </c>
      <c r="Z1856" s="20">
        <f t="shared" ca="1" si="905"/>
        <v>0</v>
      </c>
      <c r="AA1856" s="1">
        <f t="shared" si="883"/>
        <v>5432.58</v>
      </c>
      <c r="AB1856" s="93"/>
      <c r="AC1856" s="94"/>
      <c r="AD1856" s="101">
        <f t="shared" si="884"/>
        <v>95904</v>
      </c>
      <c r="AE1856" s="103">
        <f t="shared" si="885"/>
        <v>0</v>
      </c>
      <c r="AG1856" s="1">
        <f t="shared" si="906"/>
        <v>0</v>
      </c>
      <c r="AH1856" s="1">
        <f t="shared" si="907"/>
        <v>0</v>
      </c>
      <c r="AI1856" s="1">
        <f t="shared" si="886"/>
        <v>5432.58</v>
      </c>
      <c r="AJ1856" s="20">
        <f t="shared" si="888"/>
        <v>0</v>
      </c>
      <c r="AK1856" s="100">
        <f t="shared" si="890"/>
        <v>0</v>
      </c>
      <c r="AL1856" s="100">
        <f t="shared" si="891"/>
        <v>0</v>
      </c>
      <c r="AN1856" s="100">
        <f t="shared" si="892"/>
        <v>2155.0444310009493</v>
      </c>
      <c r="AO1856" s="20">
        <f t="shared" si="893"/>
        <v>0</v>
      </c>
      <c r="AQ1856" s="109">
        <f t="shared" si="894"/>
        <v>0</v>
      </c>
      <c r="AU1856" s="109">
        <f t="shared" si="879"/>
        <v>23.051643044207566</v>
      </c>
      <c r="AV1856" s="101">
        <f t="shared" si="895"/>
        <v>95934</v>
      </c>
      <c r="AW1856" s="99">
        <f t="shared" si="896"/>
        <v>0</v>
      </c>
      <c r="AX1856" s="1">
        <f t="shared" si="897"/>
        <v>0</v>
      </c>
      <c r="AY1856" s="29">
        <f t="shared" si="898"/>
        <v>0</v>
      </c>
      <c r="AZ1856" s="1">
        <f t="shared" si="880"/>
        <v>0</v>
      </c>
      <c r="CB1856" s="20">
        <f t="shared" si="889"/>
        <v>0</v>
      </c>
      <c r="CC1856" s="173">
        <f t="shared" si="881"/>
        <v>0</v>
      </c>
    </row>
    <row r="1857" spans="10:81" x14ac:dyDescent="0.25">
      <c r="J1857" s="7"/>
      <c r="K1857" s="8"/>
      <c r="L1857" s="16"/>
      <c r="M1857" s="22"/>
      <c r="N1857" s="22"/>
      <c r="O1857" s="22"/>
      <c r="P1857" s="22"/>
      <c r="Q1857" s="1">
        <f t="shared" si="882"/>
        <v>0.60744618579017706</v>
      </c>
      <c r="R1857" s="12">
        <f t="shared" ca="1" si="899"/>
        <v>54812</v>
      </c>
      <c r="S1857" s="88">
        <f t="shared" si="878"/>
        <v>0</v>
      </c>
      <c r="T1857" s="19">
        <f t="shared" si="900"/>
        <v>0</v>
      </c>
      <c r="U1857" s="19">
        <f t="shared" si="901"/>
        <v>0</v>
      </c>
      <c r="V1857" s="19">
        <f t="shared" si="887"/>
        <v>0</v>
      </c>
      <c r="W1857" s="20">
        <f t="shared" ca="1" si="902"/>
        <v>0</v>
      </c>
      <c r="X1857" s="19">
        <f t="shared" ca="1" si="903"/>
        <v>0</v>
      </c>
      <c r="Y1857" s="19">
        <f t="shared" ca="1" si="904"/>
        <v>0</v>
      </c>
      <c r="Z1857" s="20">
        <f t="shared" ca="1" si="905"/>
        <v>0</v>
      </c>
      <c r="AA1857" s="1">
        <f t="shared" si="883"/>
        <v>5432.58</v>
      </c>
      <c r="AB1857" s="91"/>
      <c r="AC1857" s="92"/>
      <c r="AD1857" s="101">
        <f t="shared" si="884"/>
        <v>95934</v>
      </c>
      <c r="AE1857" s="103">
        <f t="shared" si="885"/>
        <v>0</v>
      </c>
      <c r="AG1857" s="1">
        <f t="shared" si="906"/>
        <v>0</v>
      </c>
      <c r="AH1857" s="1">
        <f t="shared" si="907"/>
        <v>0</v>
      </c>
      <c r="AI1857" s="1">
        <f t="shared" si="886"/>
        <v>5432.58</v>
      </c>
      <c r="AJ1857" s="20">
        <f t="shared" si="888"/>
        <v>0</v>
      </c>
      <c r="AK1857" s="100">
        <f t="shared" si="890"/>
        <v>0</v>
      </c>
      <c r="AL1857" s="100">
        <f t="shared" si="891"/>
        <v>0</v>
      </c>
      <c r="AN1857" s="100">
        <f t="shared" si="892"/>
        <v>2153.9540883381756</v>
      </c>
      <c r="AO1857" s="20">
        <f t="shared" si="893"/>
        <v>0</v>
      </c>
      <c r="AQ1857" s="109">
        <f t="shared" si="894"/>
        <v>0</v>
      </c>
      <c r="AU1857" s="109">
        <f t="shared" si="879"/>
        <v>23.049619799802919</v>
      </c>
      <c r="AV1857" s="101">
        <f t="shared" si="895"/>
        <v>95964</v>
      </c>
      <c r="AW1857" s="99">
        <f t="shared" si="896"/>
        <v>0</v>
      </c>
      <c r="AX1857" s="1">
        <f t="shared" si="897"/>
        <v>0</v>
      </c>
      <c r="AY1857" s="29">
        <f t="shared" si="898"/>
        <v>0</v>
      </c>
      <c r="AZ1857" s="1">
        <f t="shared" si="880"/>
        <v>0</v>
      </c>
      <c r="CB1857" s="20">
        <f t="shared" si="889"/>
        <v>0</v>
      </c>
      <c r="CC1857" s="173">
        <f t="shared" si="881"/>
        <v>0</v>
      </c>
    </row>
    <row r="1858" spans="10:81" x14ac:dyDescent="0.25">
      <c r="J1858" s="9"/>
      <c r="K1858" s="10"/>
      <c r="L1858" s="17"/>
      <c r="M1858" s="23"/>
      <c r="N1858" s="23"/>
      <c r="O1858" s="23"/>
      <c r="P1858" s="23"/>
      <c r="Q1858" s="1">
        <f t="shared" si="882"/>
        <v>0.60744618579017706</v>
      </c>
      <c r="R1858" s="12">
        <f t="shared" ca="1" si="899"/>
        <v>54842</v>
      </c>
      <c r="S1858" s="88">
        <f t="shared" si="878"/>
        <v>0</v>
      </c>
      <c r="T1858" s="19">
        <f t="shared" si="900"/>
        <v>0</v>
      </c>
      <c r="U1858" s="19">
        <f t="shared" si="901"/>
        <v>0</v>
      </c>
      <c r="V1858" s="19">
        <f t="shared" si="887"/>
        <v>0</v>
      </c>
      <c r="W1858" s="20">
        <f t="shared" ca="1" si="902"/>
        <v>0</v>
      </c>
      <c r="X1858" s="19">
        <f t="shared" ca="1" si="903"/>
        <v>0</v>
      </c>
      <c r="Y1858" s="19">
        <f t="shared" ca="1" si="904"/>
        <v>0</v>
      </c>
      <c r="Z1858" s="20">
        <f t="shared" ca="1" si="905"/>
        <v>0</v>
      </c>
      <c r="AA1858" s="1">
        <f t="shared" si="883"/>
        <v>5432.58</v>
      </c>
      <c r="AB1858" s="93"/>
      <c r="AC1858" s="94"/>
      <c r="AD1858" s="101">
        <f t="shared" si="884"/>
        <v>95964</v>
      </c>
      <c r="AE1858" s="103">
        <f t="shared" si="885"/>
        <v>0</v>
      </c>
      <c r="AG1858" s="1">
        <f t="shared" si="906"/>
        <v>0</v>
      </c>
      <c r="AH1858" s="1">
        <f t="shared" si="907"/>
        <v>0</v>
      </c>
      <c r="AI1858" s="1">
        <f t="shared" si="886"/>
        <v>5432.58</v>
      </c>
      <c r="AJ1858" s="20">
        <f t="shared" si="888"/>
        <v>0</v>
      </c>
      <c r="AK1858" s="100">
        <f t="shared" si="890"/>
        <v>0</v>
      </c>
      <c r="AL1858" s="100">
        <f t="shared" si="891"/>
        <v>0</v>
      </c>
      <c r="AN1858" s="100">
        <f t="shared" si="892"/>
        <v>2152.8642973332267</v>
      </c>
      <c r="AO1858" s="20">
        <f t="shared" si="893"/>
        <v>0</v>
      </c>
      <c r="AQ1858" s="109">
        <f t="shared" si="894"/>
        <v>0</v>
      </c>
      <c r="AU1858" s="109">
        <f t="shared" si="879"/>
        <v>23.047596732978583</v>
      </c>
      <c r="AV1858" s="101">
        <f t="shared" si="895"/>
        <v>95994</v>
      </c>
      <c r="AW1858" s="99">
        <f t="shared" si="896"/>
        <v>0</v>
      </c>
      <c r="AX1858" s="1">
        <f t="shared" si="897"/>
        <v>0</v>
      </c>
      <c r="AY1858" s="29">
        <f t="shared" si="898"/>
        <v>0</v>
      </c>
      <c r="AZ1858" s="1">
        <f t="shared" si="880"/>
        <v>0</v>
      </c>
      <c r="CB1858" s="20">
        <f t="shared" si="889"/>
        <v>0</v>
      </c>
      <c r="CC1858" s="173">
        <f t="shared" si="881"/>
        <v>0</v>
      </c>
    </row>
    <row r="1859" spans="10:81" x14ac:dyDescent="0.25">
      <c r="J1859" s="7"/>
      <c r="K1859" s="8"/>
      <c r="L1859" s="16"/>
      <c r="M1859" s="22"/>
      <c r="N1859" s="22"/>
      <c r="O1859" s="22"/>
      <c r="P1859" s="22"/>
      <c r="Q1859" s="1">
        <f t="shared" si="882"/>
        <v>0.60744618579017706</v>
      </c>
      <c r="R1859" s="12">
        <f t="shared" ca="1" si="899"/>
        <v>54872</v>
      </c>
      <c r="S1859" s="88">
        <f t="shared" ref="S1859:S1922" si="908">N1859+M1859</f>
        <v>0</v>
      </c>
      <c r="T1859" s="19">
        <f t="shared" si="900"/>
        <v>0</v>
      </c>
      <c r="U1859" s="19">
        <f t="shared" si="901"/>
        <v>0</v>
      </c>
      <c r="V1859" s="19">
        <f t="shared" si="887"/>
        <v>0</v>
      </c>
      <c r="W1859" s="20">
        <f t="shared" ca="1" si="902"/>
        <v>0</v>
      </c>
      <c r="X1859" s="19">
        <f t="shared" ca="1" si="903"/>
        <v>0</v>
      </c>
      <c r="Y1859" s="19">
        <f t="shared" ca="1" si="904"/>
        <v>0</v>
      </c>
      <c r="Z1859" s="20">
        <f t="shared" ca="1" si="905"/>
        <v>0</v>
      </c>
      <c r="AA1859" s="1">
        <f t="shared" si="883"/>
        <v>5432.58</v>
      </c>
      <c r="AB1859" s="91"/>
      <c r="AC1859" s="92"/>
      <c r="AD1859" s="101">
        <f t="shared" si="884"/>
        <v>95994</v>
      </c>
      <c r="AE1859" s="103">
        <f t="shared" si="885"/>
        <v>0</v>
      </c>
      <c r="AG1859" s="1">
        <f t="shared" si="906"/>
        <v>0</v>
      </c>
      <c r="AH1859" s="1">
        <f t="shared" si="907"/>
        <v>0</v>
      </c>
      <c r="AI1859" s="1">
        <f t="shared" si="886"/>
        <v>5432.58</v>
      </c>
      <c r="AJ1859" s="20">
        <f t="shared" si="888"/>
        <v>0</v>
      </c>
      <c r="AK1859" s="100">
        <f t="shared" si="890"/>
        <v>0</v>
      </c>
      <c r="AL1859" s="100">
        <f t="shared" si="891"/>
        <v>0</v>
      </c>
      <c r="AN1859" s="100">
        <f t="shared" si="892"/>
        <v>2151.775057706991</v>
      </c>
      <c r="AO1859" s="20">
        <f t="shared" si="893"/>
        <v>0</v>
      </c>
      <c r="AQ1859" s="109">
        <f t="shared" si="894"/>
        <v>0</v>
      </c>
      <c r="AU1859" s="109">
        <f t="shared" si="879"/>
        <v>23.045573843718966</v>
      </c>
      <c r="AV1859" s="101">
        <f t="shared" si="895"/>
        <v>96024</v>
      </c>
      <c r="AW1859" s="99">
        <f t="shared" si="896"/>
        <v>0</v>
      </c>
      <c r="AX1859" s="1">
        <f t="shared" si="897"/>
        <v>0</v>
      </c>
      <c r="AY1859" s="29">
        <f t="shared" si="898"/>
        <v>0</v>
      </c>
      <c r="AZ1859" s="1">
        <f t="shared" si="880"/>
        <v>0</v>
      </c>
      <c r="CB1859" s="20">
        <f t="shared" si="889"/>
        <v>0</v>
      </c>
      <c r="CC1859" s="173">
        <f t="shared" si="881"/>
        <v>0</v>
      </c>
    </row>
    <row r="1860" spans="10:81" x14ac:dyDescent="0.25">
      <c r="J1860" s="9"/>
      <c r="K1860" s="10"/>
      <c r="L1860" s="17"/>
      <c r="M1860" s="23"/>
      <c r="N1860" s="23"/>
      <c r="O1860" s="23"/>
      <c r="P1860" s="23"/>
      <c r="Q1860" s="1">
        <f t="shared" si="882"/>
        <v>0.60744618579017706</v>
      </c>
      <c r="R1860" s="12">
        <f t="shared" ca="1" si="899"/>
        <v>54902</v>
      </c>
      <c r="S1860" s="88">
        <f t="shared" si="908"/>
        <v>0</v>
      </c>
      <c r="T1860" s="19">
        <f t="shared" si="900"/>
        <v>0</v>
      </c>
      <c r="U1860" s="19">
        <f t="shared" si="901"/>
        <v>0</v>
      </c>
      <c r="V1860" s="19">
        <f t="shared" si="887"/>
        <v>0</v>
      </c>
      <c r="W1860" s="20">
        <f t="shared" ca="1" si="902"/>
        <v>0</v>
      </c>
      <c r="X1860" s="19">
        <f t="shared" ca="1" si="903"/>
        <v>0</v>
      </c>
      <c r="Y1860" s="19">
        <f t="shared" ca="1" si="904"/>
        <v>0</v>
      </c>
      <c r="Z1860" s="20">
        <f t="shared" ca="1" si="905"/>
        <v>0</v>
      </c>
      <c r="AA1860" s="1">
        <f t="shared" si="883"/>
        <v>5432.58</v>
      </c>
      <c r="AB1860" s="93"/>
      <c r="AC1860" s="94"/>
      <c r="AD1860" s="101">
        <f t="shared" si="884"/>
        <v>96024</v>
      </c>
      <c r="AE1860" s="103">
        <f t="shared" si="885"/>
        <v>0</v>
      </c>
      <c r="AG1860" s="1">
        <f t="shared" si="906"/>
        <v>0</v>
      </c>
      <c r="AH1860" s="1">
        <f t="shared" si="907"/>
        <v>0</v>
      </c>
      <c r="AI1860" s="1">
        <f t="shared" si="886"/>
        <v>5432.58</v>
      </c>
      <c r="AJ1860" s="20">
        <f t="shared" si="888"/>
        <v>0</v>
      </c>
      <c r="AK1860" s="100">
        <f t="shared" si="890"/>
        <v>0</v>
      </c>
      <c r="AL1860" s="100">
        <f t="shared" si="891"/>
        <v>0</v>
      </c>
      <c r="AN1860" s="100">
        <f t="shared" si="892"/>
        <v>2150.6863691804992</v>
      </c>
      <c r="AO1860" s="20">
        <f t="shared" si="893"/>
        <v>0</v>
      </c>
      <c r="AQ1860" s="109">
        <f t="shared" si="894"/>
        <v>0</v>
      </c>
      <c r="AU1860" s="109">
        <f t="shared" si="879"/>
        <v>23.043551132008503</v>
      </c>
      <c r="AV1860" s="101">
        <f t="shared" si="895"/>
        <v>96054</v>
      </c>
      <c r="AW1860" s="99">
        <f t="shared" si="896"/>
        <v>0</v>
      </c>
      <c r="AX1860" s="1">
        <f t="shared" si="897"/>
        <v>0</v>
      </c>
      <c r="AY1860" s="29">
        <f t="shared" si="898"/>
        <v>0</v>
      </c>
      <c r="AZ1860" s="1">
        <f t="shared" si="880"/>
        <v>0</v>
      </c>
      <c r="CB1860" s="20">
        <f t="shared" si="889"/>
        <v>0</v>
      </c>
      <c r="CC1860" s="173">
        <f t="shared" si="881"/>
        <v>0</v>
      </c>
    </row>
    <row r="1861" spans="10:81" x14ac:dyDescent="0.25">
      <c r="J1861" s="7"/>
      <c r="K1861" s="8"/>
      <c r="L1861" s="16"/>
      <c r="M1861" s="22"/>
      <c r="N1861" s="22"/>
      <c r="O1861" s="22"/>
      <c r="P1861" s="22"/>
      <c r="Q1861" s="1">
        <f t="shared" si="882"/>
        <v>0.60744618579017706</v>
      </c>
      <c r="R1861" s="12">
        <f t="shared" ca="1" si="899"/>
        <v>54932</v>
      </c>
      <c r="S1861" s="88">
        <f t="shared" si="908"/>
        <v>0</v>
      </c>
      <c r="T1861" s="19">
        <f t="shared" si="900"/>
        <v>0</v>
      </c>
      <c r="U1861" s="19">
        <f t="shared" si="901"/>
        <v>0</v>
      </c>
      <c r="V1861" s="19">
        <f t="shared" si="887"/>
        <v>0</v>
      </c>
      <c r="W1861" s="20">
        <f t="shared" ca="1" si="902"/>
        <v>0</v>
      </c>
      <c r="X1861" s="19">
        <f t="shared" ca="1" si="903"/>
        <v>0</v>
      </c>
      <c r="Y1861" s="19">
        <f t="shared" ca="1" si="904"/>
        <v>0</v>
      </c>
      <c r="Z1861" s="20">
        <f t="shared" ca="1" si="905"/>
        <v>0</v>
      </c>
      <c r="AA1861" s="1">
        <f t="shared" si="883"/>
        <v>5432.58</v>
      </c>
      <c r="AB1861" s="91"/>
      <c r="AC1861" s="92"/>
      <c r="AD1861" s="101">
        <f t="shared" si="884"/>
        <v>96054</v>
      </c>
      <c r="AE1861" s="103">
        <f t="shared" si="885"/>
        <v>0</v>
      </c>
      <c r="AG1861" s="1">
        <f t="shared" si="906"/>
        <v>0</v>
      </c>
      <c r="AH1861" s="1">
        <f t="shared" si="907"/>
        <v>0</v>
      </c>
      <c r="AI1861" s="1">
        <f t="shared" si="886"/>
        <v>5432.58</v>
      </c>
      <c r="AJ1861" s="20">
        <f t="shared" si="888"/>
        <v>0</v>
      </c>
      <c r="AK1861" s="100">
        <f t="shared" si="890"/>
        <v>0</v>
      </c>
      <c r="AL1861" s="100">
        <f t="shared" si="891"/>
        <v>0</v>
      </c>
      <c r="AN1861" s="100">
        <f t="shared" si="892"/>
        <v>2149.5982314749231</v>
      </c>
      <c r="AO1861" s="20">
        <f t="shared" si="893"/>
        <v>0</v>
      </c>
      <c r="AQ1861" s="109">
        <f t="shared" si="894"/>
        <v>0</v>
      </c>
      <c r="AU1861" s="109">
        <f t="shared" si="879"/>
        <v>23.041528597831579</v>
      </c>
      <c r="AV1861" s="101">
        <f t="shared" si="895"/>
        <v>96084</v>
      </c>
      <c r="AW1861" s="99">
        <f t="shared" si="896"/>
        <v>0</v>
      </c>
      <c r="AX1861" s="1">
        <f t="shared" si="897"/>
        <v>0</v>
      </c>
      <c r="AY1861" s="29">
        <f t="shared" si="898"/>
        <v>0</v>
      </c>
      <c r="AZ1861" s="1">
        <f t="shared" si="880"/>
        <v>0</v>
      </c>
      <c r="CB1861" s="20">
        <f t="shared" si="889"/>
        <v>0</v>
      </c>
      <c r="CC1861" s="173">
        <f t="shared" si="881"/>
        <v>0</v>
      </c>
    </row>
    <row r="1862" spans="10:81" x14ac:dyDescent="0.25">
      <c r="J1862" s="9"/>
      <c r="K1862" s="10"/>
      <c r="L1862" s="17"/>
      <c r="M1862" s="23"/>
      <c r="N1862" s="23"/>
      <c r="O1862" s="23"/>
      <c r="P1862" s="23"/>
      <c r="Q1862" s="1">
        <f t="shared" si="882"/>
        <v>0.60744618579017706</v>
      </c>
      <c r="R1862" s="12">
        <f t="shared" ca="1" si="899"/>
        <v>54962</v>
      </c>
      <c r="S1862" s="88">
        <f t="shared" si="908"/>
        <v>0</v>
      </c>
      <c r="T1862" s="19">
        <f t="shared" si="900"/>
        <v>0</v>
      </c>
      <c r="U1862" s="19">
        <f t="shared" si="901"/>
        <v>0</v>
      </c>
      <c r="V1862" s="19">
        <f t="shared" si="887"/>
        <v>0</v>
      </c>
      <c r="W1862" s="20">
        <f t="shared" ca="1" si="902"/>
        <v>0</v>
      </c>
      <c r="X1862" s="19">
        <f t="shared" ca="1" si="903"/>
        <v>0</v>
      </c>
      <c r="Y1862" s="19">
        <f t="shared" ca="1" si="904"/>
        <v>0</v>
      </c>
      <c r="Z1862" s="20">
        <f t="shared" ca="1" si="905"/>
        <v>0</v>
      </c>
      <c r="AA1862" s="1">
        <f t="shared" si="883"/>
        <v>5432.58</v>
      </c>
      <c r="AB1862" s="93"/>
      <c r="AC1862" s="94"/>
      <c r="AD1862" s="101">
        <f t="shared" si="884"/>
        <v>96084</v>
      </c>
      <c r="AE1862" s="103">
        <f t="shared" si="885"/>
        <v>0</v>
      </c>
      <c r="AG1862" s="1">
        <f t="shared" si="906"/>
        <v>0</v>
      </c>
      <c r="AH1862" s="1">
        <f t="shared" si="907"/>
        <v>0</v>
      </c>
      <c r="AI1862" s="1">
        <f t="shared" si="886"/>
        <v>5432.58</v>
      </c>
      <c r="AJ1862" s="20">
        <f t="shared" si="888"/>
        <v>0</v>
      </c>
      <c r="AK1862" s="100">
        <f t="shared" si="890"/>
        <v>0</v>
      </c>
      <c r="AL1862" s="100">
        <f t="shared" si="891"/>
        <v>0</v>
      </c>
      <c r="AN1862" s="100">
        <f t="shared" si="892"/>
        <v>2148.5106443115756</v>
      </c>
      <c r="AO1862" s="20">
        <f t="shared" si="893"/>
        <v>0</v>
      </c>
      <c r="AQ1862" s="109">
        <f t="shared" si="894"/>
        <v>0</v>
      </c>
      <c r="AU1862" s="109">
        <f t="shared" si="879"/>
        <v>23.039506241172635</v>
      </c>
      <c r="AV1862" s="101">
        <f t="shared" si="895"/>
        <v>96114</v>
      </c>
      <c r="AW1862" s="99">
        <f t="shared" si="896"/>
        <v>0</v>
      </c>
      <c r="AX1862" s="1">
        <f t="shared" si="897"/>
        <v>0</v>
      </c>
      <c r="AY1862" s="29">
        <f t="shared" si="898"/>
        <v>0</v>
      </c>
      <c r="AZ1862" s="1">
        <f t="shared" si="880"/>
        <v>0</v>
      </c>
      <c r="CB1862" s="20">
        <f t="shared" si="889"/>
        <v>0</v>
      </c>
      <c r="CC1862" s="173">
        <f t="shared" si="881"/>
        <v>0</v>
      </c>
    </row>
    <row r="1863" spans="10:81" x14ac:dyDescent="0.25">
      <c r="J1863" s="7"/>
      <c r="K1863" s="8"/>
      <c r="L1863" s="16"/>
      <c r="M1863" s="22"/>
      <c r="N1863" s="22"/>
      <c r="O1863" s="22"/>
      <c r="P1863" s="22"/>
      <c r="Q1863" s="1">
        <f t="shared" si="882"/>
        <v>0.60744618579017706</v>
      </c>
      <c r="R1863" s="12">
        <f t="shared" ca="1" si="899"/>
        <v>54992</v>
      </c>
      <c r="S1863" s="88">
        <f t="shared" si="908"/>
        <v>0</v>
      </c>
      <c r="T1863" s="19">
        <f t="shared" si="900"/>
        <v>0</v>
      </c>
      <c r="U1863" s="19">
        <f t="shared" si="901"/>
        <v>0</v>
      </c>
      <c r="V1863" s="19">
        <f t="shared" si="887"/>
        <v>0</v>
      </c>
      <c r="W1863" s="20">
        <f t="shared" ca="1" si="902"/>
        <v>0</v>
      </c>
      <c r="X1863" s="19">
        <f t="shared" ca="1" si="903"/>
        <v>0</v>
      </c>
      <c r="Y1863" s="19">
        <f t="shared" ca="1" si="904"/>
        <v>0</v>
      </c>
      <c r="Z1863" s="20">
        <f t="shared" ca="1" si="905"/>
        <v>0</v>
      </c>
      <c r="AA1863" s="1">
        <f t="shared" si="883"/>
        <v>5432.58</v>
      </c>
      <c r="AB1863" s="91"/>
      <c r="AC1863" s="92"/>
      <c r="AD1863" s="101">
        <f t="shared" si="884"/>
        <v>96114</v>
      </c>
      <c r="AE1863" s="103">
        <f t="shared" si="885"/>
        <v>0</v>
      </c>
      <c r="AG1863" s="1">
        <f t="shared" si="906"/>
        <v>0</v>
      </c>
      <c r="AH1863" s="1">
        <f t="shared" si="907"/>
        <v>0</v>
      </c>
      <c r="AI1863" s="1">
        <f t="shared" si="886"/>
        <v>5432.58</v>
      </c>
      <c r="AJ1863" s="20">
        <f t="shared" si="888"/>
        <v>0</v>
      </c>
      <c r="AK1863" s="100">
        <f t="shared" si="890"/>
        <v>0</v>
      </c>
      <c r="AL1863" s="100">
        <f t="shared" si="891"/>
        <v>0</v>
      </c>
      <c r="AN1863" s="100">
        <f t="shared" si="892"/>
        <v>2147.4236074119103</v>
      </c>
      <c r="AO1863" s="20">
        <f t="shared" si="893"/>
        <v>0</v>
      </c>
      <c r="AQ1863" s="109">
        <f t="shared" si="894"/>
        <v>0</v>
      </c>
      <c r="AU1863" s="109">
        <f t="shared" si="879"/>
        <v>23.03748406201608</v>
      </c>
      <c r="AV1863" s="101">
        <f t="shared" si="895"/>
        <v>96144</v>
      </c>
      <c r="AW1863" s="99">
        <f t="shared" si="896"/>
        <v>0</v>
      </c>
      <c r="AX1863" s="1">
        <f t="shared" si="897"/>
        <v>0</v>
      </c>
      <c r="AY1863" s="29">
        <f t="shared" si="898"/>
        <v>0</v>
      </c>
      <c r="AZ1863" s="1">
        <f t="shared" si="880"/>
        <v>0</v>
      </c>
      <c r="CB1863" s="20">
        <f t="shared" si="889"/>
        <v>0</v>
      </c>
      <c r="CC1863" s="173">
        <f t="shared" si="881"/>
        <v>0</v>
      </c>
    </row>
    <row r="1864" spans="10:81" x14ac:dyDescent="0.25">
      <c r="J1864" s="9"/>
      <c r="K1864" s="10"/>
      <c r="L1864" s="17"/>
      <c r="M1864" s="23"/>
      <c r="N1864" s="23"/>
      <c r="O1864" s="23"/>
      <c r="P1864" s="23"/>
      <c r="Q1864" s="1">
        <f t="shared" si="882"/>
        <v>0.60744618579017706</v>
      </c>
      <c r="R1864" s="12">
        <f t="shared" ca="1" si="899"/>
        <v>55022</v>
      </c>
      <c r="S1864" s="88">
        <f t="shared" si="908"/>
        <v>0</v>
      </c>
      <c r="T1864" s="19">
        <f t="shared" si="900"/>
        <v>0</v>
      </c>
      <c r="U1864" s="19">
        <f t="shared" si="901"/>
        <v>0</v>
      </c>
      <c r="V1864" s="19">
        <f t="shared" si="887"/>
        <v>0</v>
      </c>
      <c r="W1864" s="20">
        <f t="shared" ca="1" si="902"/>
        <v>0</v>
      </c>
      <c r="X1864" s="19">
        <f t="shared" ca="1" si="903"/>
        <v>0</v>
      </c>
      <c r="Y1864" s="19">
        <f t="shared" ca="1" si="904"/>
        <v>0</v>
      </c>
      <c r="Z1864" s="20">
        <f t="shared" ca="1" si="905"/>
        <v>0</v>
      </c>
      <c r="AA1864" s="1">
        <f t="shared" si="883"/>
        <v>5432.58</v>
      </c>
      <c r="AB1864" s="93"/>
      <c r="AC1864" s="94"/>
      <c r="AD1864" s="101">
        <f t="shared" si="884"/>
        <v>96144</v>
      </c>
      <c r="AE1864" s="103">
        <f t="shared" si="885"/>
        <v>0</v>
      </c>
      <c r="AG1864" s="1">
        <f t="shared" si="906"/>
        <v>0</v>
      </c>
      <c r="AH1864" s="1">
        <f t="shared" si="907"/>
        <v>0</v>
      </c>
      <c r="AI1864" s="1">
        <f t="shared" si="886"/>
        <v>5432.58</v>
      </c>
      <c r="AJ1864" s="20">
        <f t="shared" si="888"/>
        <v>0</v>
      </c>
      <c r="AK1864" s="100">
        <f t="shared" si="890"/>
        <v>0</v>
      </c>
      <c r="AL1864" s="100">
        <f t="shared" si="891"/>
        <v>0</v>
      </c>
      <c r="AN1864" s="100">
        <f t="shared" si="892"/>
        <v>2146.3371204975219</v>
      </c>
      <c r="AO1864" s="20">
        <f t="shared" si="893"/>
        <v>0</v>
      </c>
      <c r="AQ1864" s="109">
        <f t="shared" si="894"/>
        <v>0</v>
      </c>
      <c r="AU1864" s="109">
        <f t="shared" si="879"/>
        <v>23.03546206034634</v>
      </c>
      <c r="AV1864" s="101">
        <f t="shared" si="895"/>
        <v>96174</v>
      </c>
      <c r="AW1864" s="99">
        <f t="shared" si="896"/>
        <v>0</v>
      </c>
      <c r="AX1864" s="1">
        <f t="shared" si="897"/>
        <v>0</v>
      </c>
      <c r="AY1864" s="29">
        <f t="shared" si="898"/>
        <v>0</v>
      </c>
      <c r="AZ1864" s="1">
        <f t="shared" si="880"/>
        <v>0</v>
      </c>
      <c r="CB1864" s="20">
        <f t="shared" si="889"/>
        <v>0</v>
      </c>
      <c r="CC1864" s="173">
        <f t="shared" si="881"/>
        <v>0</v>
      </c>
    </row>
    <row r="1865" spans="10:81" x14ac:dyDescent="0.25">
      <c r="J1865" s="7"/>
      <c r="K1865" s="8"/>
      <c r="L1865" s="16"/>
      <c r="M1865" s="22"/>
      <c r="N1865" s="22"/>
      <c r="O1865" s="22"/>
      <c r="P1865" s="22"/>
      <c r="Q1865" s="1">
        <f t="shared" si="882"/>
        <v>0.60744618579017706</v>
      </c>
      <c r="R1865" s="12">
        <f t="shared" ca="1" si="899"/>
        <v>55052</v>
      </c>
      <c r="S1865" s="88">
        <f t="shared" si="908"/>
        <v>0</v>
      </c>
      <c r="T1865" s="19">
        <f t="shared" si="900"/>
        <v>0</v>
      </c>
      <c r="U1865" s="19">
        <f t="shared" si="901"/>
        <v>0</v>
      </c>
      <c r="V1865" s="19">
        <f t="shared" si="887"/>
        <v>0</v>
      </c>
      <c r="W1865" s="20">
        <f t="shared" ca="1" si="902"/>
        <v>0</v>
      </c>
      <c r="X1865" s="19">
        <f t="shared" ca="1" si="903"/>
        <v>0</v>
      </c>
      <c r="Y1865" s="19">
        <f t="shared" ca="1" si="904"/>
        <v>0</v>
      </c>
      <c r="Z1865" s="20">
        <f t="shared" ca="1" si="905"/>
        <v>0</v>
      </c>
      <c r="AA1865" s="1">
        <f t="shared" si="883"/>
        <v>5432.58</v>
      </c>
      <c r="AB1865" s="91"/>
      <c r="AC1865" s="92"/>
      <c r="AD1865" s="101">
        <f t="shared" si="884"/>
        <v>96174</v>
      </c>
      <c r="AE1865" s="103">
        <f t="shared" si="885"/>
        <v>0</v>
      </c>
      <c r="AG1865" s="1">
        <f t="shared" si="906"/>
        <v>0</v>
      </c>
      <c r="AH1865" s="1">
        <f t="shared" si="907"/>
        <v>0</v>
      </c>
      <c r="AI1865" s="1">
        <f t="shared" si="886"/>
        <v>5432.58</v>
      </c>
      <c r="AJ1865" s="20">
        <f t="shared" si="888"/>
        <v>0</v>
      </c>
      <c r="AK1865" s="100">
        <f t="shared" si="890"/>
        <v>0</v>
      </c>
      <c r="AL1865" s="100">
        <f t="shared" si="891"/>
        <v>0</v>
      </c>
      <c r="AN1865" s="100">
        <f t="shared" si="892"/>
        <v>2145.2511832901455</v>
      </c>
      <c r="AO1865" s="20">
        <f t="shared" si="893"/>
        <v>0</v>
      </c>
      <c r="AQ1865" s="109">
        <f t="shared" si="894"/>
        <v>0</v>
      </c>
      <c r="AU1865" s="109">
        <f t="shared" si="879"/>
        <v>23.03344023614784</v>
      </c>
      <c r="AV1865" s="101">
        <f t="shared" si="895"/>
        <v>96204</v>
      </c>
      <c r="AW1865" s="99">
        <f t="shared" si="896"/>
        <v>0</v>
      </c>
      <c r="AX1865" s="1">
        <f t="shared" si="897"/>
        <v>0</v>
      </c>
      <c r="AY1865" s="29">
        <f t="shared" si="898"/>
        <v>0</v>
      </c>
      <c r="AZ1865" s="1">
        <f t="shared" si="880"/>
        <v>0</v>
      </c>
      <c r="CB1865" s="20">
        <f t="shared" si="889"/>
        <v>0</v>
      </c>
      <c r="CC1865" s="173">
        <f t="shared" si="881"/>
        <v>0</v>
      </c>
    </row>
    <row r="1866" spans="10:81" x14ac:dyDescent="0.25">
      <c r="J1866" s="9"/>
      <c r="K1866" s="10"/>
      <c r="L1866" s="17"/>
      <c r="M1866" s="23"/>
      <c r="N1866" s="23"/>
      <c r="O1866" s="23"/>
      <c r="P1866" s="23"/>
      <c r="Q1866" s="1">
        <f t="shared" si="882"/>
        <v>0.60744618579017706</v>
      </c>
      <c r="R1866" s="12">
        <f t="shared" ca="1" si="899"/>
        <v>55082</v>
      </c>
      <c r="S1866" s="88">
        <f t="shared" si="908"/>
        <v>0</v>
      </c>
      <c r="T1866" s="19">
        <f t="shared" si="900"/>
        <v>0</v>
      </c>
      <c r="U1866" s="19">
        <f t="shared" si="901"/>
        <v>0</v>
      </c>
      <c r="V1866" s="19">
        <f t="shared" si="887"/>
        <v>0</v>
      </c>
      <c r="W1866" s="20">
        <f t="shared" ca="1" si="902"/>
        <v>0</v>
      </c>
      <c r="X1866" s="19">
        <f t="shared" ca="1" si="903"/>
        <v>0</v>
      </c>
      <c r="Y1866" s="19">
        <f t="shared" ca="1" si="904"/>
        <v>0</v>
      </c>
      <c r="Z1866" s="20">
        <f t="shared" ca="1" si="905"/>
        <v>0</v>
      </c>
      <c r="AA1866" s="1">
        <f t="shared" si="883"/>
        <v>5432.58</v>
      </c>
      <c r="AB1866" s="93"/>
      <c r="AC1866" s="94"/>
      <c r="AD1866" s="101">
        <f t="shared" si="884"/>
        <v>96204</v>
      </c>
      <c r="AE1866" s="103">
        <f t="shared" si="885"/>
        <v>0</v>
      </c>
      <c r="AG1866" s="1">
        <f t="shared" si="906"/>
        <v>0</v>
      </c>
      <c r="AH1866" s="1">
        <f t="shared" si="907"/>
        <v>0</v>
      </c>
      <c r="AI1866" s="1">
        <f t="shared" si="886"/>
        <v>5432.58</v>
      </c>
      <c r="AJ1866" s="20">
        <f t="shared" si="888"/>
        <v>0</v>
      </c>
      <c r="AK1866" s="100">
        <f t="shared" si="890"/>
        <v>0</v>
      </c>
      <c r="AL1866" s="100">
        <f t="shared" si="891"/>
        <v>0</v>
      </c>
      <c r="AN1866" s="100">
        <f t="shared" si="892"/>
        <v>2144.1657955116571</v>
      </c>
      <c r="AO1866" s="20">
        <f t="shared" si="893"/>
        <v>0</v>
      </c>
      <c r="AQ1866" s="109">
        <f t="shared" si="894"/>
        <v>0</v>
      </c>
      <c r="AU1866" s="109">
        <f t="shared" si="879"/>
        <v>23.031418589404993</v>
      </c>
      <c r="AV1866" s="101">
        <f t="shared" si="895"/>
        <v>96234</v>
      </c>
      <c r="AW1866" s="99">
        <f t="shared" si="896"/>
        <v>0</v>
      </c>
      <c r="AX1866" s="1">
        <f t="shared" si="897"/>
        <v>0</v>
      </c>
      <c r="AY1866" s="29">
        <f t="shared" si="898"/>
        <v>0</v>
      </c>
      <c r="AZ1866" s="1">
        <f t="shared" si="880"/>
        <v>0</v>
      </c>
      <c r="CB1866" s="20">
        <f t="shared" si="889"/>
        <v>0</v>
      </c>
      <c r="CC1866" s="173">
        <f t="shared" si="881"/>
        <v>0</v>
      </c>
    </row>
    <row r="1867" spans="10:81" x14ac:dyDescent="0.25">
      <c r="J1867" s="7"/>
      <c r="K1867" s="8"/>
      <c r="L1867" s="16"/>
      <c r="M1867" s="22"/>
      <c r="N1867" s="22"/>
      <c r="O1867" s="22"/>
      <c r="P1867" s="22"/>
      <c r="Q1867" s="1">
        <f t="shared" si="882"/>
        <v>0.60744618579017706</v>
      </c>
      <c r="R1867" s="12">
        <f t="shared" ca="1" si="899"/>
        <v>55112</v>
      </c>
      <c r="S1867" s="88">
        <f t="shared" si="908"/>
        <v>0</v>
      </c>
      <c r="T1867" s="19">
        <f t="shared" si="900"/>
        <v>0</v>
      </c>
      <c r="U1867" s="19">
        <f t="shared" si="901"/>
        <v>0</v>
      </c>
      <c r="V1867" s="19">
        <f t="shared" si="887"/>
        <v>0</v>
      </c>
      <c r="W1867" s="20">
        <f t="shared" ca="1" si="902"/>
        <v>0</v>
      </c>
      <c r="X1867" s="19">
        <f t="shared" ca="1" si="903"/>
        <v>0</v>
      </c>
      <c r="Y1867" s="19">
        <f t="shared" ca="1" si="904"/>
        <v>0</v>
      </c>
      <c r="Z1867" s="20">
        <f t="shared" ca="1" si="905"/>
        <v>0</v>
      </c>
      <c r="AA1867" s="1">
        <f t="shared" si="883"/>
        <v>5432.58</v>
      </c>
      <c r="AB1867" s="91"/>
      <c r="AC1867" s="92"/>
      <c r="AD1867" s="101">
        <f t="shared" si="884"/>
        <v>96234</v>
      </c>
      <c r="AE1867" s="103">
        <f t="shared" si="885"/>
        <v>0</v>
      </c>
      <c r="AG1867" s="1">
        <f t="shared" si="906"/>
        <v>0</v>
      </c>
      <c r="AH1867" s="1">
        <f t="shared" si="907"/>
        <v>0</v>
      </c>
      <c r="AI1867" s="1">
        <f t="shared" si="886"/>
        <v>5432.58</v>
      </c>
      <c r="AJ1867" s="20">
        <f t="shared" si="888"/>
        <v>0</v>
      </c>
      <c r="AK1867" s="100">
        <f t="shared" si="890"/>
        <v>0</v>
      </c>
      <c r="AL1867" s="100">
        <f t="shared" si="891"/>
        <v>0</v>
      </c>
      <c r="AN1867" s="100">
        <f t="shared" si="892"/>
        <v>2143.0809568840746</v>
      </c>
      <c r="AO1867" s="20">
        <f t="shared" si="893"/>
        <v>0</v>
      </c>
      <c r="AQ1867" s="109">
        <f t="shared" si="894"/>
        <v>0</v>
      </c>
      <c r="AU1867" s="109">
        <f t="shared" si="879"/>
        <v>23.029397120102228</v>
      </c>
      <c r="AV1867" s="101">
        <f t="shared" si="895"/>
        <v>96264</v>
      </c>
      <c r="AW1867" s="99">
        <f t="shared" si="896"/>
        <v>0</v>
      </c>
      <c r="AX1867" s="1">
        <f t="shared" si="897"/>
        <v>0</v>
      </c>
      <c r="AY1867" s="29">
        <f t="shared" si="898"/>
        <v>0</v>
      </c>
      <c r="AZ1867" s="1">
        <f t="shared" si="880"/>
        <v>0</v>
      </c>
      <c r="CB1867" s="20">
        <f t="shared" si="889"/>
        <v>0</v>
      </c>
      <c r="CC1867" s="173">
        <f t="shared" si="881"/>
        <v>0</v>
      </c>
    </row>
    <row r="1868" spans="10:81" x14ac:dyDescent="0.25">
      <c r="J1868" s="9"/>
      <c r="K1868" s="10"/>
      <c r="L1868" s="17"/>
      <c r="M1868" s="23"/>
      <c r="N1868" s="23"/>
      <c r="O1868" s="23"/>
      <c r="P1868" s="23"/>
      <c r="Q1868" s="1">
        <f t="shared" si="882"/>
        <v>0.60744618579017706</v>
      </c>
      <c r="R1868" s="12">
        <f t="shared" ca="1" si="899"/>
        <v>55142</v>
      </c>
      <c r="S1868" s="88">
        <f t="shared" si="908"/>
        <v>0</v>
      </c>
      <c r="T1868" s="19">
        <f t="shared" si="900"/>
        <v>0</v>
      </c>
      <c r="U1868" s="19">
        <f t="shared" si="901"/>
        <v>0</v>
      </c>
      <c r="V1868" s="19">
        <f t="shared" si="887"/>
        <v>0</v>
      </c>
      <c r="W1868" s="20">
        <f t="shared" ca="1" si="902"/>
        <v>0</v>
      </c>
      <c r="X1868" s="19">
        <f t="shared" ca="1" si="903"/>
        <v>0</v>
      </c>
      <c r="Y1868" s="19">
        <f t="shared" ca="1" si="904"/>
        <v>0</v>
      </c>
      <c r="Z1868" s="20">
        <f t="shared" ca="1" si="905"/>
        <v>0</v>
      </c>
      <c r="AA1868" s="1">
        <f t="shared" si="883"/>
        <v>5432.58</v>
      </c>
      <c r="AB1868" s="93"/>
      <c r="AC1868" s="94"/>
      <c r="AD1868" s="101">
        <f t="shared" si="884"/>
        <v>96264</v>
      </c>
      <c r="AE1868" s="103">
        <f t="shared" si="885"/>
        <v>0</v>
      </c>
      <c r="AG1868" s="1">
        <f t="shared" si="906"/>
        <v>0</v>
      </c>
      <c r="AH1868" s="1">
        <f t="shared" si="907"/>
        <v>0</v>
      </c>
      <c r="AI1868" s="1">
        <f t="shared" si="886"/>
        <v>5432.58</v>
      </c>
      <c r="AJ1868" s="20">
        <f t="shared" si="888"/>
        <v>0</v>
      </c>
      <c r="AK1868" s="100">
        <f t="shared" si="890"/>
        <v>0</v>
      </c>
      <c r="AL1868" s="100">
        <f t="shared" si="891"/>
        <v>0</v>
      </c>
      <c r="AN1868" s="100">
        <f t="shared" si="892"/>
        <v>2141.9966671295556</v>
      </c>
      <c r="AO1868" s="20">
        <f t="shared" si="893"/>
        <v>0</v>
      </c>
      <c r="AQ1868" s="109">
        <f t="shared" si="894"/>
        <v>0</v>
      </c>
      <c r="AU1868" s="109">
        <f t="shared" si="879"/>
        <v>23.027375828223985</v>
      </c>
      <c r="AV1868" s="101">
        <f t="shared" si="895"/>
        <v>96294</v>
      </c>
      <c r="AW1868" s="99">
        <f t="shared" si="896"/>
        <v>0</v>
      </c>
      <c r="AX1868" s="1">
        <f t="shared" si="897"/>
        <v>0</v>
      </c>
      <c r="AY1868" s="29">
        <f t="shared" si="898"/>
        <v>0</v>
      </c>
      <c r="AZ1868" s="1">
        <f t="shared" si="880"/>
        <v>0</v>
      </c>
      <c r="CB1868" s="20">
        <f t="shared" si="889"/>
        <v>0</v>
      </c>
      <c r="CC1868" s="173">
        <f t="shared" si="881"/>
        <v>0</v>
      </c>
    </row>
    <row r="1869" spans="10:81" x14ac:dyDescent="0.25">
      <c r="J1869" s="7"/>
      <c r="K1869" s="8"/>
      <c r="L1869" s="16"/>
      <c r="M1869" s="22"/>
      <c r="N1869" s="22"/>
      <c r="O1869" s="22"/>
      <c r="P1869" s="22"/>
      <c r="Q1869" s="1">
        <f t="shared" si="882"/>
        <v>0.60744618579017706</v>
      </c>
      <c r="R1869" s="12">
        <f t="shared" ca="1" si="899"/>
        <v>55172</v>
      </c>
      <c r="S1869" s="88">
        <f t="shared" si="908"/>
        <v>0</v>
      </c>
      <c r="T1869" s="19">
        <f t="shared" si="900"/>
        <v>0</v>
      </c>
      <c r="U1869" s="19">
        <f t="shared" si="901"/>
        <v>0</v>
      </c>
      <c r="V1869" s="19">
        <f t="shared" si="887"/>
        <v>0</v>
      </c>
      <c r="W1869" s="20">
        <f t="shared" ca="1" si="902"/>
        <v>0</v>
      </c>
      <c r="X1869" s="19">
        <f t="shared" ca="1" si="903"/>
        <v>0</v>
      </c>
      <c r="Y1869" s="19">
        <f t="shared" ca="1" si="904"/>
        <v>0</v>
      </c>
      <c r="Z1869" s="20">
        <f t="shared" ca="1" si="905"/>
        <v>0</v>
      </c>
      <c r="AA1869" s="1">
        <f t="shared" si="883"/>
        <v>5432.58</v>
      </c>
      <c r="AB1869" s="91"/>
      <c r="AC1869" s="92"/>
      <c r="AD1869" s="101">
        <f t="shared" si="884"/>
        <v>96294</v>
      </c>
      <c r="AE1869" s="103">
        <f t="shared" si="885"/>
        <v>0</v>
      </c>
      <c r="AG1869" s="1">
        <f t="shared" si="906"/>
        <v>0</v>
      </c>
      <c r="AH1869" s="1">
        <f t="shared" si="907"/>
        <v>0</v>
      </c>
      <c r="AI1869" s="1">
        <f t="shared" si="886"/>
        <v>5432.58</v>
      </c>
      <c r="AJ1869" s="20">
        <f t="shared" si="888"/>
        <v>0</v>
      </c>
      <c r="AK1869" s="100">
        <f t="shared" si="890"/>
        <v>0</v>
      </c>
      <c r="AL1869" s="100">
        <f t="shared" si="891"/>
        <v>0</v>
      </c>
      <c r="AN1869" s="100">
        <f t="shared" si="892"/>
        <v>2140.9129259703973</v>
      </c>
      <c r="AO1869" s="20">
        <f t="shared" si="893"/>
        <v>0</v>
      </c>
      <c r="AQ1869" s="109">
        <f t="shared" si="894"/>
        <v>0</v>
      </c>
      <c r="AU1869" s="109">
        <f t="shared" si="879"/>
        <v>23.02535471375467</v>
      </c>
      <c r="AV1869" s="101">
        <f t="shared" si="895"/>
        <v>96324</v>
      </c>
      <c r="AW1869" s="99">
        <f t="shared" si="896"/>
        <v>0</v>
      </c>
      <c r="AX1869" s="1">
        <f t="shared" si="897"/>
        <v>0</v>
      </c>
      <c r="AY1869" s="29">
        <f t="shared" si="898"/>
        <v>0</v>
      </c>
      <c r="AZ1869" s="1">
        <f t="shared" si="880"/>
        <v>0</v>
      </c>
      <c r="CB1869" s="20">
        <f t="shared" si="889"/>
        <v>0</v>
      </c>
      <c r="CC1869" s="173">
        <f t="shared" si="881"/>
        <v>0</v>
      </c>
    </row>
    <row r="1870" spans="10:81" x14ac:dyDescent="0.25">
      <c r="J1870" s="9"/>
      <c r="K1870" s="10"/>
      <c r="L1870" s="17"/>
      <c r="M1870" s="23"/>
      <c r="N1870" s="23"/>
      <c r="O1870" s="23"/>
      <c r="P1870" s="23"/>
      <c r="Q1870" s="1">
        <f t="shared" si="882"/>
        <v>0.60744618579017706</v>
      </c>
      <c r="R1870" s="12">
        <f t="shared" ca="1" si="899"/>
        <v>55202</v>
      </c>
      <c r="S1870" s="88">
        <f t="shared" si="908"/>
        <v>0</v>
      </c>
      <c r="T1870" s="19">
        <f t="shared" si="900"/>
        <v>0</v>
      </c>
      <c r="U1870" s="19">
        <f t="shared" si="901"/>
        <v>0</v>
      </c>
      <c r="V1870" s="19">
        <f t="shared" si="887"/>
        <v>0</v>
      </c>
      <c r="W1870" s="20">
        <f t="shared" ca="1" si="902"/>
        <v>0</v>
      </c>
      <c r="X1870" s="19">
        <f t="shared" ca="1" si="903"/>
        <v>0</v>
      </c>
      <c r="Y1870" s="19">
        <f t="shared" ca="1" si="904"/>
        <v>0</v>
      </c>
      <c r="Z1870" s="20">
        <f t="shared" ca="1" si="905"/>
        <v>0</v>
      </c>
      <c r="AA1870" s="1">
        <f t="shared" si="883"/>
        <v>5432.58</v>
      </c>
      <c r="AB1870" s="93"/>
      <c r="AC1870" s="94"/>
      <c r="AD1870" s="101">
        <f t="shared" si="884"/>
        <v>96324</v>
      </c>
      <c r="AE1870" s="103">
        <f t="shared" si="885"/>
        <v>0</v>
      </c>
      <c r="AG1870" s="1">
        <f t="shared" si="906"/>
        <v>0</v>
      </c>
      <c r="AH1870" s="1">
        <f t="shared" si="907"/>
        <v>0</v>
      </c>
      <c r="AI1870" s="1">
        <f t="shared" si="886"/>
        <v>5432.58</v>
      </c>
      <c r="AJ1870" s="20">
        <f t="shared" si="888"/>
        <v>0</v>
      </c>
      <c r="AK1870" s="100">
        <f t="shared" si="890"/>
        <v>0</v>
      </c>
      <c r="AL1870" s="100">
        <f t="shared" si="891"/>
        <v>0</v>
      </c>
      <c r="AN1870" s="100">
        <f t="shared" si="892"/>
        <v>2139.8297331290387</v>
      </c>
      <c r="AO1870" s="20">
        <f t="shared" si="893"/>
        <v>0</v>
      </c>
      <c r="AQ1870" s="109">
        <f t="shared" si="894"/>
        <v>0</v>
      </c>
      <c r="AU1870" s="109">
        <f t="shared" si="879"/>
        <v>23.023333776678715</v>
      </c>
      <c r="AV1870" s="101">
        <f t="shared" si="895"/>
        <v>96354</v>
      </c>
      <c r="AW1870" s="99">
        <f t="shared" si="896"/>
        <v>0</v>
      </c>
      <c r="AX1870" s="1">
        <f t="shared" si="897"/>
        <v>0</v>
      </c>
      <c r="AY1870" s="29">
        <f t="shared" si="898"/>
        <v>0</v>
      </c>
      <c r="AZ1870" s="1">
        <f t="shared" si="880"/>
        <v>0</v>
      </c>
      <c r="CB1870" s="20">
        <f t="shared" si="889"/>
        <v>0</v>
      </c>
      <c r="CC1870" s="173">
        <f t="shared" si="881"/>
        <v>0</v>
      </c>
    </row>
    <row r="1871" spans="10:81" x14ac:dyDescent="0.25">
      <c r="J1871" s="7"/>
      <c r="K1871" s="8"/>
      <c r="L1871" s="16"/>
      <c r="M1871" s="22"/>
      <c r="N1871" s="22"/>
      <c r="O1871" s="22"/>
      <c r="P1871" s="22"/>
      <c r="Q1871" s="1">
        <f t="shared" si="882"/>
        <v>0.60744618579017706</v>
      </c>
      <c r="R1871" s="12">
        <f t="shared" ca="1" si="899"/>
        <v>55232</v>
      </c>
      <c r="S1871" s="88">
        <f t="shared" si="908"/>
        <v>0</v>
      </c>
      <c r="T1871" s="19">
        <f t="shared" si="900"/>
        <v>0</v>
      </c>
      <c r="U1871" s="19">
        <f t="shared" si="901"/>
        <v>0</v>
      </c>
      <c r="V1871" s="19">
        <f t="shared" si="887"/>
        <v>0</v>
      </c>
      <c r="W1871" s="20">
        <f t="shared" ca="1" si="902"/>
        <v>0</v>
      </c>
      <c r="X1871" s="19">
        <f t="shared" ca="1" si="903"/>
        <v>0</v>
      </c>
      <c r="Y1871" s="19">
        <f t="shared" ca="1" si="904"/>
        <v>0</v>
      </c>
      <c r="Z1871" s="20">
        <f t="shared" ca="1" si="905"/>
        <v>0</v>
      </c>
      <c r="AA1871" s="1">
        <f t="shared" si="883"/>
        <v>5432.58</v>
      </c>
      <c r="AB1871" s="91"/>
      <c r="AC1871" s="92"/>
      <c r="AD1871" s="101">
        <f t="shared" si="884"/>
        <v>96354</v>
      </c>
      <c r="AE1871" s="103">
        <f t="shared" si="885"/>
        <v>0</v>
      </c>
      <c r="AG1871" s="1">
        <f t="shared" si="906"/>
        <v>0</v>
      </c>
      <c r="AH1871" s="1">
        <f t="shared" si="907"/>
        <v>0</v>
      </c>
      <c r="AI1871" s="1">
        <f t="shared" si="886"/>
        <v>5432.58</v>
      </c>
      <c r="AJ1871" s="20">
        <f t="shared" si="888"/>
        <v>0</v>
      </c>
      <c r="AK1871" s="100">
        <f t="shared" si="890"/>
        <v>0</v>
      </c>
      <c r="AL1871" s="100">
        <f t="shared" si="891"/>
        <v>0</v>
      </c>
      <c r="AN1871" s="100">
        <f t="shared" si="892"/>
        <v>2138.7470883280598</v>
      </c>
      <c r="AO1871" s="20">
        <f t="shared" si="893"/>
        <v>0</v>
      </c>
      <c r="AQ1871" s="109">
        <f t="shared" si="894"/>
        <v>0</v>
      </c>
      <c r="AU1871" s="109">
        <f t="shared" si="879"/>
        <v>23.021313016980567</v>
      </c>
      <c r="AV1871" s="101">
        <f t="shared" si="895"/>
        <v>96384</v>
      </c>
      <c r="AW1871" s="99">
        <f t="shared" si="896"/>
        <v>0</v>
      </c>
      <c r="AX1871" s="1">
        <f t="shared" si="897"/>
        <v>0</v>
      </c>
      <c r="AY1871" s="29">
        <f t="shared" si="898"/>
        <v>0</v>
      </c>
      <c r="AZ1871" s="1">
        <f t="shared" si="880"/>
        <v>0</v>
      </c>
      <c r="CB1871" s="20">
        <f t="shared" si="889"/>
        <v>0</v>
      </c>
      <c r="CC1871" s="173">
        <f t="shared" si="881"/>
        <v>0</v>
      </c>
    </row>
    <row r="1872" spans="10:81" x14ac:dyDescent="0.25">
      <c r="J1872" s="9"/>
      <c r="K1872" s="10"/>
      <c r="L1872" s="17"/>
      <c r="M1872" s="23"/>
      <c r="N1872" s="23"/>
      <c r="O1872" s="23"/>
      <c r="P1872" s="23"/>
      <c r="Q1872" s="1">
        <f t="shared" si="882"/>
        <v>0.60744618579017706</v>
      </c>
      <c r="R1872" s="12">
        <f t="shared" ca="1" si="899"/>
        <v>55262</v>
      </c>
      <c r="S1872" s="88">
        <f t="shared" si="908"/>
        <v>0</v>
      </c>
      <c r="T1872" s="19">
        <f t="shared" si="900"/>
        <v>0</v>
      </c>
      <c r="U1872" s="19">
        <f t="shared" si="901"/>
        <v>0</v>
      </c>
      <c r="V1872" s="19">
        <f t="shared" si="887"/>
        <v>0</v>
      </c>
      <c r="W1872" s="20">
        <f t="shared" ca="1" si="902"/>
        <v>0</v>
      </c>
      <c r="X1872" s="19">
        <f t="shared" ca="1" si="903"/>
        <v>0</v>
      </c>
      <c r="Y1872" s="19">
        <f t="shared" ca="1" si="904"/>
        <v>0</v>
      </c>
      <c r="Z1872" s="20">
        <f t="shared" ca="1" si="905"/>
        <v>0</v>
      </c>
      <c r="AA1872" s="1">
        <f t="shared" si="883"/>
        <v>5432.58</v>
      </c>
      <c r="AB1872" s="93"/>
      <c r="AC1872" s="94"/>
      <c r="AD1872" s="101">
        <f t="shared" si="884"/>
        <v>96384</v>
      </c>
      <c r="AE1872" s="103">
        <f t="shared" si="885"/>
        <v>0</v>
      </c>
      <c r="AG1872" s="1">
        <f t="shared" si="906"/>
        <v>0</v>
      </c>
      <c r="AH1872" s="1">
        <f t="shared" si="907"/>
        <v>0</v>
      </c>
      <c r="AI1872" s="1">
        <f t="shared" si="886"/>
        <v>5432.58</v>
      </c>
      <c r="AJ1872" s="20">
        <f t="shared" si="888"/>
        <v>0</v>
      </c>
      <c r="AK1872" s="100">
        <f t="shared" si="890"/>
        <v>0</v>
      </c>
      <c r="AL1872" s="100">
        <f t="shared" si="891"/>
        <v>0</v>
      </c>
      <c r="AN1872" s="100">
        <f t="shared" si="892"/>
        <v>2137.6649912901794</v>
      </c>
      <c r="AO1872" s="20">
        <f t="shared" si="893"/>
        <v>0</v>
      </c>
      <c r="AQ1872" s="109">
        <f t="shared" si="894"/>
        <v>0</v>
      </c>
      <c r="AU1872" s="109">
        <f t="shared" si="879"/>
        <v>23.019292434644637</v>
      </c>
      <c r="AV1872" s="101">
        <f t="shared" si="895"/>
        <v>96414</v>
      </c>
      <c r="AW1872" s="99">
        <f t="shared" si="896"/>
        <v>0</v>
      </c>
      <c r="AX1872" s="1">
        <f t="shared" si="897"/>
        <v>0</v>
      </c>
      <c r="AY1872" s="29">
        <f t="shared" si="898"/>
        <v>0</v>
      </c>
      <c r="AZ1872" s="1">
        <f t="shared" si="880"/>
        <v>0</v>
      </c>
      <c r="CB1872" s="20">
        <f t="shared" si="889"/>
        <v>0</v>
      </c>
      <c r="CC1872" s="173">
        <f t="shared" si="881"/>
        <v>0</v>
      </c>
    </row>
    <row r="1873" spans="10:81" x14ac:dyDescent="0.25">
      <c r="J1873" s="7"/>
      <c r="K1873" s="8"/>
      <c r="L1873" s="16"/>
      <c r="M1873" s="22"/>
      <c r="N1873" s="22"/>
      <c r="O1873" s="22"/>
      <c r="P1873" s="22"/>
      <c r="Q1873" s="1">
        <f t="shared" si="882"/>
        <v>0.60744618579017706</v>
      </c>
      <c r="R1873" s="12">
        <f t="shared" ca="1" si="899"/>
        <v>55292</v>
      </c>
      <c r="S1873" s="88">
        <f t="shared" si="908"/>
        <v>0</v>
      </c>
      <c r="T1873" s="19">
        <f t="shared" si="900"/>
        <v>0</v>
      </c>
      <c r="U1873" s="19">
        <f t="shared" si="901"/>
        <v>0</v>
      </c>
      <c r="V1873" s="19">
        <f t="shared" si="887"/>
        <v>0</v>
      </c>
      <c r="W1873" s="20">
        <f t="shared" ca="1" si="902"/>
        <v>0</v>
      </c>
      <c r="X1873" s="19">
        <f t="shared" ca="1" si="903"/>
        <v>0</v>
      </c>
      <c r="Y1873" s="19">
        <f t="shared" ca="1" si="904"/>
        <v>0</v>
      </c>
      <c r="Z1873" s="20">
        <f t="shared" ca="1" si="905"/>
        <v>0</v>
      </c>
      <c r="AA1873" s="1">
        <f t="shared" si="883"/>
        <v>5432.58</v>
      </c>
      <c r="AB1873" s="91"/>
      <c r="AC1873" s="92"/>
      <c r="AD1873" s="101">
        <f t="shared" si="884"/>
        <v>96414</v>
      </c>
      <c r="AE1873" s="103">
        <f t="shared" si="885"/>
        <v>0</v>
      </c>
      <c r="AG1873" s="1">
        <f t="shared" si="906"/>
        <v>0</v>
      </c>
      <c r="AH1873" s="1">
        <f t="shared" si="907"/>
        <v>0</v>
      </c>
      <c r="AI1873" s="1">
        <f t="shared" si="886"/>
        <v>5432.58</v>
      </c>
      <c r="AJ1873" s="20">
        <f t="shared" si="888"/>
        <v>0</v>
      </c>
      <c r="AK1873" s="100">
        <f t="shared" si="890"/>
        <v>0</v>
      </c>
      <c r="AL1873" s="100">
        <f t="shared" si="891"/>
        <v>0</v>
      </c>
      <c r="AN1873" s="100">
        <f t="shared" si="892"/>
        <v>2136.5834417382571</v>
      </c>
      <c r="AO1873" s="20">
        <f t="shared" si="893"/>
        <v>0</v>
      </c>
      <c r="AQ1873" s="109">
        <f t="shared" si="894"/>
        <v>0</v>
      </c>
      <c r="AU1873" s="109">
        <f t="shared" si="879"/>
        <v>23.017272029655366</v>
      </c>
      <c r="AV1873" s="101">
        <f t="shared" si="895"/>
        <v>96444</v>
      </c>
      <c r="AW1873" s="99">
        <f t="shared" si="896"/>
        <v>0</v>
      </c>
      <c r="AX1873" s="1">
        <f t="shared" si="897"/>
        <v>0</v>
      </c>
      <c r="AY1873" s="29">
        <f t="shared" si="898"/>
        <v>0</v>
      </c>
      <c r="AZ1873" s="1">
        <f t="shared" si="880"/>
        <v>0</v>
      </c>
      <c r="CB1873" s="20">
        <f t="shared" si="889"/>
        <v>0</v>
      </c>
      <c r="CC1873" s="173">
        <f t="shared" si="881"/>
        <v>0</v>
      </c>
    </row>
    <row r="1874" spans="10:81" x14ac:dyDescent="0.25">
      <c r="J1874" s="9"/>
      <c r="K1874" s="10"/>
      <c r="L1874" s="17"/>
      <c r="M1874" s="23"/>
      <c r="N1874" s="23"/>
      <c r="O1874" s="23"/>
      <c r="P1874" s="23"/>
      <c r="Q1874" s="1">
        <f t="shared" si="882"/>
        <v>0.60744618579017706</v>
      </c>
      <c r="R1874" s="12">
        <f t="shared" ca="1" si="899"/>
        <v>55322</v>
      </c>
      <c r="S1874" s="88">
        <f t="shared" si="908"/>
        <v>0</v>
      </c>
      <c r="T1874" s="19">
        <f t="shared" si="900"/>
        <v>0</v>
      </c>
      <c r="U1874" s="19">
        <f t="shared" si="901"/>
        <v>0</v>
      </c>
      <c r="V1874" s="19">
        <f t="shared" si="887"/>
        <v>0</v>
      </c>
      <c r="W1874" s="20">
        <f t="shared" ca="1" si="902"/>
        <v>0</v>
      </c>
      <c r="X1874" s="19">
        <f t="shared" ca="1" si="903"/>
        <v>0</v>
      </c>
      <c r="Y1874" s="19">
        <f t="shared" ca="1" si="904"/>
        <v>0</v>
      </c>
      <c r="Z1874" s="20">
        <f t="shared" ca="1" si="905"/>
        <v>0</v>
      </c>
      <c r="AA1874" s="1">
        <f t="shared" si="883"/>
        <v>5432.58</v>
      </c>
      <c r="AB1874" s="93"/>
      <c r="AC1874" s="94"/>
      <c r="AD1874" s="101">
        <f t="shared" si="884"/>
        <v>96444</v>
      </c>
      <c r="AE1874" s="103">
        <f t="shared" si="885"/>
        <v>0</v>
      </c>
      <c r="AG1874" s="1">
        <f t="shared" si="906"/>
        <v>0</v>
      </c>
      <c r="AH1874" s="1">
        <f t="shared" si="907"/>
        <v>0</v>
      </c>
      <c r="AI1874" s="1">
        <f t="shared" si="886"/>
        <v>5432.58</v>
      </c>
      <c r="AJ1874" s="20">
        <f t="shared" si="888"/>
        <v>0</v>
      </c>
      <c r="AK1874" s="100">
        <f t="shared" si="890"/>
        <v>0</v>
      </c>
      <c r="AL1874" s="100">
        <f t="shared" si="891"/>
        <v>0</v>
      </c>
      <c r="AN1874" s="100">
        <f t="shared" si="892"/>
        <v>2135.5024393952935</v>
      </c>
      <c r="AO1874" s="20">
        <f t="shared" si="893"/>
        <v>0</v>
      </c>
      <c r="AQ1874" s="109">
        <f t="shared" si="894"/>
        <v>0</v>
      </c>
      <c r="AU1874" s="109">
        <f t="shared" si="879"/>
        <v>23.015251801997188</v>
      </c>
      <c r="AV1874" s="101">
        <f t="shared" si="895"/>
        <v>96474</v>
      </c>
      <c r="AW1874" s="99">
        <f t="shared" si="896"/>
        <v>0</v>
      </c>
      <c r="AX1874" s="1">
        <f t="shared" si="897"/>
        <v>0</v>
      </c>
      <c r="AY1874" s="29">
        <f t="shared" si="898"/>
        <v>0</v>
      </c>
      <c r="AZ1874" s="1">
        <f t="shared" si="880"/>
        <v>0</v>
      </c>
      <c r="CB1874" s="20">
        <f t="shared" si="889"/>
        <v>0</v>
      </c>
      <c r="CC1874" s="173">
        <f t="shared" si="881"/>
        <v>0</v>
      </c>
    </row>
    <row r="1875" spans="10:81" x14ac:dyDescent="0.25">
      <c r="J1875" s="7"/>
      <c r="K1875" s="8"/>
      <c r="L1875" s="16"/>
      <c r="M1875" s="22"/>
      <c r="N1875" s="22"/>
      <c r="O1875" s="22"/>
      <c r="P1875" s="22"/>
      <c r="Q1875" s="1">
        <f t="shared" si="882"/>
        <v>0.60744618579017706</v>
      </c>
      <c r="R1875" s="12">
        <f t="shared" ca="1" si="899"/>
        <v>55352</v>
      </c>
      <c r="S1875" s="88">
        <f t="shared" si="908"/>
        <v>0</v>
      </c>
      <c r="T1875" s="19">
        <f t="shared" si="900"/>
        <v>0</v>
      </c>
      <c r="U1875" s="19">
        <f t="shared" si="901"/>
        <v>0</v>
      </c>
      <c r="V1875" s="19">
        <f t="shared" si="887"/>
        <v>0</v>
      </c>
      <c r="W1875" s="20">
        <f t="shared" ca="1" si="902"/>
        <v>0</v>
      </c>
      <c r="X1875" s="19">
        <f t="shared" ca="1" si="903"/>
        <v>0</v>
      </c>
      <c r="Y1875" s="19">
        <f t="shared" ca="1" si="904"/>
        <v>0</v>
      </c>
      <c r="Z1875" s="20">
        <f t="shared" ca="1" si="905"/>
        <v>0</v>
      </c>
      <c r="AA1875" s="1">
        <f t="shared" si="883"/>
        <v>5432.58</v>
      </c>
      <c r="AB1875" s="91"/>
      <c r="AC1875" s="92"/>
      <c r="AD1875" s="101">
        <f t="shared" si="884"/>
        <v>96474</v>
      </c>
      <c r="AE1875" s="103">
        <f t="shared" si="885"/>
        <v>0</v>
      </c>
      <c r="AG1875" s="1">
        <f t="shared" si="906"/>
        <v>0</v>
      </c>
      <c r="AH1875" s="1">
        <f t="shared" si="907"/>
        <v>0</v>
      </c>
      <c r="AI1875" s="1">
        <f t="shared" si="886"/>
        <v>5432.58</v>
      </c>
      <c r="AJ1875" s="20">
        <f t="shared" si="888"/>
        <v>0</v>
      </c>
      <c r="AK1875" s="100">
        <f t="shared" si="890"/>
        <v>0</v>
      </c>
      <c r="AL1875" s="100">
        <f t="shared" si="891"/>
        <v>0</v>
      </c>
      <c r="AN1875" s="100">
        <f t="shared" si="892"/>
        <v>2134.4219839844277</v>
      </c>
      <c r="AO1875" s="20">
        <f t="shared" si="893"/>
        <v>0</v>
      </c>
      <c r="AQ1875" s="109">
        <f t="shared" si="894"/>
        <v>0</v>
      </c>
      <c r="AU1875" s="109">
        <f t="shared" si="879"/>
        <v>23.013231751654548</v>
      </c>
      <c r="AV1875" s="101">
        <f t="shared" si="895"/>
        <v>96504</v>
      </c>
      <c r="AW1875" s="99">
        <f t="shared" si="896"/>
        <v>0</v>
      </c>
      <c r="AX1875" s="1">
        <f t="shared" si="897"/>
        <v>0</v>
      </c>
      <c r="AY1875" s="29">
        <f t="shared" si="898"/>
        <v>0</v>
      </c>
      <c r="AZ1875" s="1">
        <f t="shared" si="880"/>
        <v>0</v>
      </c>
      <c r="CB1875" s="20">
        <f t="shared" si="889"/>
        <v>0</v>
      </c>
      <c r="CC1875" s="173">
        <f t="shared" si="881"/>
        <v>0</v>
      </c>
    </row>
    <row r="1876" spans="10:81" x14ac:dyDescent="0.25">
      <c r="J1876" s="9"/>
      <c r="K1876" s="10"/>
      <c r="L1876" s="17"/>
      <c r="M1876" s="23"/>
      <c r="N1876" s="23"/>
      <c r="O1876" s="23"/>
      <c r="P1876" s="23"/>
      <c r="Q1876" s="1">
        <f t="shared" si="882"/>
        <v>0.60744618579017706</v>
      </c>
      <c r="R1876" s="12">
        <f t="shared" ca="1" si="899"/>
        <v>55382</v>
      </c>
      <c r="S1876" s="88">
        <f t="shared" si="908"/>
        <v>0</v>
      </c>
      <c r="T1876" s="19">
        <f t="shared" si="900"/>
        <v>0</v>
      </c>
      <c r="U1876" s="19">
        <f t="shared" si="901"/>
        <v>0</v>
      </c>
      <c r="V1876" s="19">
        <f t="shared" si="887"/>
        <v>0</v>
      </c>
      <c r="W1876" s="20">
        <f t="shared" ca="1" si="902"/>
        <v>0</v>
      </c>
      <c r="X1876" s="19">
        <f t="shared" ca="1" si="903"/>
        <v>0</v>
      </c>
      <c r="Y1876" s="19">
        <f t="shared" ca="1" si="904"/>
        <v>0</v>
      </c>
      <c r="Z1876" s="20">
        <f t="shared" ca="1" si="905"/>
        <v>0</v>
      </c>
      <c r="AA1876" s="1">
        <f t="shared" si="883"/>
        <v>5432.58</v>
      </c>
      <c r="AB1876" s="93"/>
      <c r="AC1876" s="94"/>
      <c r="AD1876" s="101">
        <f t="shared" si="884"/>
        <v>96504</v>
      </c>
      <c r="AE1876" s="103">
        <f t="shared" si="885"/>
        <v>0</v>
      </c>
      <c r="AG1876" s="1">
        <f t="shared" si="906"/>
        <v>0</v>
      </c>
      <c r="AH1876" s="1">
        <f t="shared" si="907"/>
        <v>0</v>
      </c>
      <c r="AI1876" s="1">
        <f t="shared" si="886"/>
        <v>5432.58</v>
      </c>
      <c r="AJ1876" s="20">
        <f t="shared" si="888"/>
        <v>0</v>
      </c>
      <c r="AK1876" s="100">
        <f t="shared" si="890"/>
        <v>0</v>
      </c>
      <c r="AL1876" s="100">
        <f t="shared" si="891"/>
        <v>0</v>
      </c>
      <c r="AN1876" s="100">
        <f t="shared" si="892"/>
        <v>2133.3420752289417</v>
      </c>
      <c r="AO1876" s="20">
        <f t="shared" si="893"/>
        <v>0</v>
      </c>
      <c r="AQ1876" s="109">
        <f t="shared" si="894"/>
        <v>0</v>
      </c>
      <c r="AU1876" s="109">
        <f t="shared" si="879"/>
        <v>23.011211878611871</v>
      </c>
      <c r="AV1876" s="101">
        <f t="shared" si="895"/>
        <v>96534</v>
      </c>
      <c r="AW1876" s="99">
        <f t="shared" si="896"/>
        <v>0</v>
      </c>
      <c r="AX1876" s="1">
        <f t="shared" si="897"/>
        <v>0</v>
      </c>
      <c r="AY1876" s="29">
        <f t="shared" si="898"/>
        <v>0</v>
      </c>
      <c r="AZ1876" s="1">
        <f t="shared" si="880"/>
        <v>0</v>
      </c>
      <c r="CB1876" s="20">
        <f t="shared" si="889"/>
        <v>0</v>
      </c>
      <c r="CC1876" s="173">
        <f t="shared" si="881"/>
        <v>0</v>
      </c>
    </row>
    <row r="1877" spans="10:81" x14ac:dyDescent="0.25">
      <c r="J1877" s="7"/>
      <c r="K1877" s="8"/>
      <c r="L1877" s="16"/>
      <c r="M1877" s="22"/>
      <c r="N1877" s="22"/>
      <c r="O1877" s="22"/>
      <c r="P1877" s="22"/>
      <c r="Q1877" s="1">
        <f t="shared" si="882"/>
        <v>0.60744618579017706</v>
      </c>
      <c r="R1877" s="12">
        <f t="shared" ca="1" si="899"/>
        <v>55412</v>
      </c>
      <c r="S1877" s="88">
        <f t="shared" si="908"/>
        <v>0</v>
      </c>
      <c r="T1877" s="19">
        <f t="shared" si="900"/>
        <v>0</v>
      </c>
      <c r="U1877" s="19">
        <f t="shared" si="901"/>
        <v>0</v>
      </c>
      <c r="V1877" s="19">
        <f t="shared" si="887"/>
        <v>0</v>
      </c>
      <c r="W1877" s="20">
        <f t="shared" ca="1" si="902"/>
        <v>0</v>
      </c>
      <c r="X1877" s="19">
        <f t="shared" ca="1" si="903"/>
        <v>0</v>
      </c>
      <c r="Y1877" s="19">
        <f t="shared" ca="1" si="904"/>
        <v>0</v>
      </c>
      <c r="Z1877" s="20">
        <f t="shared" ca="1" si="905"/>
        <v>0</v>
      </c>
      <c r="AA1877" s="1">
        <f t="shared" si="883"/>
        <v>5432.58</v>
      </c>
      <c r="AB1877" s="91"/>
      <c r="AC1877" s="92"/>
      <c r="AD1877" s="101">
        <f t="shared" si="884"/>
        <v>96534</v>
      </c>
      <c r="AE1877" s="103">
        <f t="shared" si="885"/>
        <v>0</v>
      </c>
      <c r="AG1877" s="1">
        <f t="shared" si="906"/>
        <v>0</v>
      </c>
      <c r="AH1877" s="1">
        <f t="shared" si="907"/>
        <v>0</v>
      </c>
      <c r="AI1877" s="1">
        <f t="shared" si="886"/>
        <v>5432.58</v>
      </c>
      <c r="AJ1877" s="20">
        <f t="shared" si="888"/>
        <v>0</v>
      </c>
      <c r="AK1877" s="100">
        <f t="shared" si="890"/>
        <v>0</v>
      </c>
      <c r="AL1877" s="100">
        <f t="shared" si="891"/>
        <v>0</v>
      </c>
      <c r="AN1877" s="100">
        <f t="shared" si="892"/>
        <v>2132.262712852254</v>
      </c>
      <c r="AO1877" s="20">
        <f t="shared" si="893"/>
        <v>0</v>
      </c>
      <c r="AQ1877" s="109">
        <f t="shared" si="894"/>
        <v>0</v>
      </c>
      <c r="AU1877" s="109">
        <f t="shared" si="879"/>
        <v>23.009192182853603</v>
      </c>
      <c r="AV1877" s="101">
        <f t="shared" si="895"/>
        <v>96564</v>
      </c>
      <c r="AW1877" s="99">
        <f t="shared" si="896"/>
        <v>0</v>
      </c>
      <c r="AX1877" s="1">
        <f t="shared" si="897"/>
        <v>0</v>
      </c>
      <c r="AY1877" s="29">
        <f t="shared" si="898"/>
        <v>0</v>
      </c>
      <c r="AZ1877" s="1">
        <f t="shared" si="880"/>
        <v>0</v>
      </c>
      <c r="CB1877" s="20">
        <f t="shared" si="889"/>
        <v>0</v>
      </c>
      <c r="CC1877" s="173">
        <f t="shared" si="881"/>
        <v>0</v>
      </c>
    </row>
    <row r="1878" spans="10:81" x14ac:dyDescent="0.25">
      <c r="J1878" s="9"/>
      <c r="K1878" s="10"/>
      <c r="L1878" s="17"/>
      <c r="M1878" s="23"/>
      <c r="N1878" s="23"/>
      <c r="O1878" s="23"/>
      <c r="P1878" s="23"/>
      <c r="Q1878" s="1">
        <f t="shared" si="882"/>
        <v>0.60744618579017706</v>
      </c>
      <c r="R1878" s="12">
        <f t="shared" ca="1" si="899"/>
        <v>55442</v>
      </c>
      <c r="S1878" s="88">
        <f t="shared" si="908"/>
        <v>0</v>
      </c>
      <c r="T1878" s="19">
        <f t="shared" si="900"/>
        <v>0</v>
      </c>
      <c r="U1878" s="19">
        <f t="shared" si="901"/>
        <v>0</v>
      </c>
      <c r="V1878" s="19">
        <f t="shared" si="887"/>
        <v>0</v>
      </c>
      <c r="W1878" s="20">
        <f t="shared" ca="1" si="902"/>
        <v>0</v>
      </c>
      <c r="X1878" s="19">
        <f t="shared" ca="1" si="903"/>
        <v>0</v>
      </c>
      <c r="Y1878" s="19">
        <f t="shared" ca="1" si="904"/>
        <v>0</v>
      </c>
      <c r="Z1878" s="20">
        <f t="shared" ca="1" si="905"/>
        <v>0</v>
      </c>
      <c r="AA1878" s="1">
        <f t="shared" si="883"/>
        <v>5432.58</v>
      </c>
      <c r="AB1878" s="93"/>
      <c r="AC1878" s="94"/>
      <c r="AD1878" s="101">
        <f t="shared" si="884"/>
        <v>96564</v>
      </c>
      <c r="AE1878" s="103">
        <f t="shared" si="885"/>
        <v>0</v>
      </c>
      <c r="AG1878" s="1">
        <f t="shared" si="906"/>
        <v>0</v>
      </c>
      <c r="AH1878" s="1">
        <f t="shared" si="907"/>
        <v>0</v>
      </c>
      <c r="AI1878" s="1">
        <f t="shared" si="886"/>
        <v>5432.58</v>
      </c>
      <c r="AJ1878" s="20">
        <f t="shared" si="888"/>
        <v>0</v>
      </c>
      <c r="AK1878" s="100">
        <f t="shared" si="890"/>
        <v>0</v>
      </c>
      <c r="AL1878" s="100">
        <f t="shared" si="891"/>
        <v>0</v>
      </c>
      <c r="AN1878" s="100">
        <f t="shared" si="892"/>
        <v>2131.1838965779252</v>
      </c>
      <c r="AO1878" s="20">
        <f t="shared" si="893"/>
        <v>0</v>
      </c>
      <c r="AQ1878" s="109">
        <f t="shared" si="894"/>
        <v>0</v>
      </c>
      <c r="AU1878" s="109">
        <f t="shared" si="879"/>
        <v>23.007172664364184</v>
      </c>
      <c r="AV1878" s="101">
        <f t="shared" si="895"/>
        <v>96594</v>
      </c>
      <c r="AW1878" s="99">
        <f t="shared" si="896"/>
        <v>0</v>
      </c>
      <c r="AX1878" s="1">
        <f t="shared" si="897"/>
        <v>0</v>
      </c>
      <c r="AY1878" s="29">
        <f t="shared" si="898"/>
        <v>0</v>
      </c>
      <c r="AZ1878" s="1">
        <f t="shared" si="880"/>
        <v>0</v>
      </c>
      <c r="CB1878" s="20">
        <f t="shared" si="889"/>
        <v>0</v>
      </c>
      <c r="CC1878" s="173">
        <f t="shared" si="881"/>
        <v>0</v>
      </c>
    </row>
    <row r="1879" spans="10:81" x14ac:dyDescent="0.25">
      <c r="J1879" s="7"/>
      <c r="K1879" s="8"/>
      <c r="L1879" s="16"/>
      <c r="M1879" s="22"/>
      <c r="N1879" s="22"/>
      <c r="O1879" s="22"/>
      <c r="P1879" s="22"/>
      <c r="Q1879" s="1">
        <f t="shared" si="882"/>
        <v>0.60744618579017706</v>
      </c>
      <c r="R1879" s="12">
        <f t="shared" ca="1" si="899"/>
        <v>55472</v>
      </c>
      <c r="S1879" s="88">
        <f t="shared" si="908"/>
        <v>0</v>
      </c>
      <c r="T1879" s="19">
        <f t="shared" si="900"/>
        <v>0</v>
      </c>
      <c r="U1879" s="19">
        <f t="shared" si="901"/>
        <v>0</v>
      </c>
      <c r="V1879" s="19">
        <f t="shared" si="887"/>
        <v>0</v>
      </c>
      <c r="W1879" s="20">
        <f t="shared" ca="1" si="902"/>
        <v>0</v>
      </c>
      <c r="X1879" s="19">
        <f t="shared" ca="1" si="903"/>
        <v>0</v>
      </c>
      <c r="Y1879" s="19">
        <f t="shared" ca="1" si="904"/>
        <v>0</v>
      </c>
      <c r="Z1879" s="20">
        <f t="shared" ca="1" si="905"/>
        <v>0</v>
      </c>
      <c r="AA1879" s="1">
        <f t="shared" si="883"/>
        <v>5432.58</v>
      </c>
      <c r="AB1879" s="91"/>
      <c r="AC1879" s="92"/>
      <c r="AD1879" s="101">
        <f t="shared" si="884"/>
        <v>96594</v>
      </c>
      <c r="AE1879" s="103">
        <f t="shared" si="885"/>
        <v>0</v>
      </c>
      <c r="AG1879" s="1">
        <f t="shared" si="906"/>
        <v>0</v>
      </c>
      <c r="AH1879" s="1">
        <f t="shared" si="907"/>
        <v>0</v>
      </c>
      <c r="AI1879" s="1">
        <f t="shared" si="886"/>
        <v>5432.58</v>
      </c>
      <c r="AJ1879" s="20">
        <f t="shared" si="888"/>
        <v>0</v>
      </c>
      <c r="AK1879" s="100">
        <f t="shared" si="890"/>
        <v>0</v>
      </c>
      <c r="AL1879" s="100">
        <f t="shared" si="891"/>
        <v>0</v>
      </c>
      <c r="AN1879" s="100">
        <f t="shared" si="892"/>
        <v>2130.1056261296562</v>
      </c>
      <c r="AO1879" s="20">
        <f t="shared" si="893"/>
        <v>0</v>
      </c>
      <c r="AQ1879" s="109">
        <f t="shared" si="894"/>
        <v>0</v>
      </c>
      <c r="AU1879" s="109">
        <f t="shared" si="879"/>
        <v>23.005153323128035</v>
      </c>
      <c r="AV1879" s="101">
        <f t="shared" si="895"/>
        <v>96624</v>
      </c>
      <c r="AW1879" s="99">
        <f t="shared" si="896"/>
        <v>0</v>
      </c>
      <c r="AX1879" s="1">
        <f t="shared" si="897"/>
        <v>0</v>
      </c>
      <c r="AY1879" s="29">
        <f t="shared" si="898"/>
        <v>0</v>
      </c>
      <c r="AZ1879" s="1">
        <f t="shared" si="880"/>
        <v>0</v>
      </c>
      <c r="CB1879" s="20">
        <f t="shared" si="889"/>
        <v>0</v>
      </c>
      <c r="CC1879" s="173">
        <f t="shared" si="881"/>
        <v>0</v>
      </c>
    </row>
    <row r="1880" spans="10:81" x14ac:dyDescent="0.25">
      <c r="J1880" s="9"/>
      <c r="K1880" s="10"/>
      <c r="L1880" s="17"/>
      <c r="M1880" s="23"/>
      <c r="N1880" s="23"/>
      <c r="O1880" s="23"/>
      <c r="P1880" s="23"/>
      <c r="Q1880" s="1">
        <f t="shared" si="882"/>
        <v>0.60744618579017706</v>
      </c>
      <c r="R1880" s="12">
        <f t="shared" ca="1" si="899"/>
        <v>55502</v>
      </c>
      <c r="S1880" s="88">
        <f t="shared" si="908"/>
        <v>0</v>
      </c>
      <c r="T1880" s="19">
        <f t="shared" si="900"/>
        <v>0</v>
      </c>
      <c r="U1880" s="19">
        <f t="shared" si="901"/>
        <v>0</v>
      </c>
      <c r="V1880" s="19">
        <f t="shared" si="887"/>
        <v>0</v>
      </c>
      <c r="W1880" s="20">
        <f t="shared" ca="1" si="902"/>
        <v>0</v>
      </c>
      <c r="X1880" s="19">
        <f t="shared" ca="1" si="903"/>
        <v>0</v>
      </c>
      <c r="Y1880" s="19">
        <f t="shared" ca="1" si="904"/>
        <v>0</v>
      </c>
      <c r="Z1880" s="20">
        <f t="shared" ca="1" si="905"/>
        <v>0</v>
      </c>
      <c r="AA1880" s="1">
        <f t="shared" si="883"/>
        <v>5432.58</v>
      </c>
      <c r="AB1880" s="93"/>
      <c r="AC1880" s="94"/>
      <c r="AD1880" s="101">
        <f t="shared" si="884"/>
        <v>96624</v>
      </c>
      <c r="AE1880" s="103">
        <f t="shared" si="885"/>
        <v>0</v>
      </c>
      <c r="AG1880" s="1">
        <f t="shared" si="906"/>
        <v>0</v>
      </c>
      <c r="AH1880" s="1">
        <f t="shared" si="907"/>
        <v>0</v>
      </c>
      <c r="AI1880" s="1">
        <f t="shared" si="886"/>
        <v>5432.58</v>
      </c>
      <c r="AJ1880" s="20">
        <f t="shared" si="888"/>
        <v>0</v>
      </c>
      <c r="AK1880" s="100">
        <f t="shared" si="890"/>
        <v>0</v>
      </c>
      <c r="AL1880" s="100">
        <f t="shared" si="891"/>
        <v>0</v>
      </c>
      <c r="AN1880" s="100">
        <f t="shared" si="892"/>
        <v>2129.0279012312867</v>
      </c>
      <c r="AO1880" s="20">
        <f t="shared" si="893"/>
        <v>0</v>
      </c>
      <c r="AQ1880" s="109">
        <f t="shared" si="894"/>
        <v>0</v>
      </c>
      <c r="AU1880" s="109">
        <f t="shared" si="879"/>
        <v>23.00313415912964</v>
      </c>
      <c r="AV1880" s="101">
        <f t="shared" si="895"/>
        <v>96654</v>
      </c>
      <c r="AW1880" s="99">
        <f t="shared" si="896"/>
        <v>0</v>
      </c>
      <c r="AX1880" s="1">
        <f t="shared" si="897"/>
        <v>0</v>
      </c>
      <c r="AY1880" s="29">
        <f t="shared" si="898"/>
        <v>0</v>
      </c>
      <c r="AZ1880" s="1">
        <f t="shared" si="880"/>
        <v>0</v>
      </c>
      <c r="CB1880" s="20">
        <f t="shared" si="889"/>
        <v>0</v>
      </c>
      <c r="CC1880" s="173">
        <f t="shared" si="881"/>
        <v>0</v>
      </c>
    </row>
    <row r="1881" spans="10:81" x14ac:dyDescent="0.25">
      <c r="J1881" s="7"/>
      <c r="K1881" s="8"/>
      <c r="L1881" s="16"/>
      <c r="M1881" s="22"/>
      <c r="N1881" s="22"/>
      <c r="O1881" s="22"/>
      <c r="P1881" s="22"/>
      <c r="Q1881" s="1">
        <f t="shared" si="882"/>
        <v>0.60744618579017706</v>
      </c>
      <c r="R1881" s="12">
        <f t="shared" ca="1" si="899"/>
        <v>55532</v>
      </c>
      <c r="S1881" s="88">
        <f t="shared" si="908"/>
        <v>0</v>
      </c>
      <c r="T1881" s="19">
        <f t="shared" si="900"/>
        <v>0</v>
      </c>
      <c r="U1881" s="19">
        <f t="shared" si="901"/>
        <v>0</v>
      </c>
      <c r="V1881" s="19">
        <f t="shared" si="887"/>
        <v>0</v>
      </c>
      <c r="W1881" s="20">
        <f t="shared" ca="1" si="902"/>
        <v>0</v>
      </c>
      <c r="X1881" s="19">
        <f t="shared" ca="1" si="903"/>
        <v>0</v>
      </c>
      <c r="Y1881" s="19">
        <f t="shared" ca="1" si="904"/>
        <v>0</v>
      </c>
      <c r="Z1881" s="20">
        <f t="shared" ca="1" si="905"/>
        <v>0</v>
      </c>
      <c r="AA1881" s="1">
        <f t="shared" si="883"/>
        <v>5432.58</v>
      </c>
      <c r="AB1881" s="91"/>
      <c r="AC1881" s="92"/>
      <c r="AD1881" s="101">
        <f t="shared" si="884"/>
        <v>96654</v>
      </c>
      <c r="AE1881" s="103">
        <f t="shared" si="885"/>
        <v>0</v>
      </c>
      <c r="AG1881" s="1">
        <f t="shared" si="906"/>
        <v>0</v>
      </c>
      <c r="AH1881" s="1">
        <f t="shared" si="907"/>
        <v>0</v>
      </c>
      <c r="AI1881" s="1">
        <f t="shared" si="886"/>
        <v>5432.58</v>
      </c>
      <c r="AJ1881" s="20">
        <f t="shared" si="888"/>
        <v>0</v>
      </c>
      <c r="AK1881" s="100">
        <f t="shared" si="890"/>
        <v>0</v>
      </c>
      <c r="AL1881" s="100">
        <f t="shared" si="891"/>
        <v>0</v>
      </c>
      <c r="AN1881" s="100">
        <f t="shared" si="892"/>
        <v>2127.950721606795</v>
      </c>
      <c r="AO1881" s="20">
        <f t="shared" si="893"/>
        <v>0</v>
      </c>
      <c r="AQ1881" s="109">
        <f t="shared" si="894"/>
        <v>0</v>
      </c>
      <c r="AU1881" s="109">
        <f t="shared" si="879"/>
        <v>23.001115172353398</v>
      </c>
      <c r="AV1881" s="101">
        <f t="shared" si="895"/>
        <v>96684</v>
      </c>
      <c r="AW1881" s="99">
        <f t="shared" si="896"/>
        <v>0</v>
      </c>
      <c r="AX1881" s="1">
        <f t="shared" si="897"/>
        <v>0</v>
      </c>
      <c r="AY1881" s="29">
        <f t="shared" si="898"/>
        <v>0</v>
      </c>
      <c r="AZ1881" s="1">
        <f t="shared" si="880"/>
        <v>0</v>
      </c>
      <c r="CB1881" s="20">
        <f t="shared" si="889"/>
        <v>0</v>
      </c>
      <c r="CC1881" s="173">
        <f t="shared" si="881"/>
        <v>0</v>
      </c>
    </row>
    <row r="1882" spans="10:81" x14ac:dyDescent="0.25">
      <c r="J1882" s="9"/>
      <c r="K1882" s="10"/>
      <c r="L1882" s="17"/>
      <c r="M1882" s="23"/>
      <c r="N1882" s="23"/>
      <c r="O1882" s="23"/>
      <c r="P1882" s="23"/>
      <c r="Q1882" s="1">
        <f t="shared" si="882"/>
        <v>0.60744618579017706</v>
      </c>
      <c r="R1882" s="12">
        <f t="shared" ca="1" si="899"/>
        <v>55562</v>
      </c>
      <c r="S1882" s="88">
        <f t="shared" si="908"/>
        <v>0</v>
      </c>
      <c r="T1882" s="19">
        <f t="shared" si="900"/>
        <v>0</v>
      </c>
      <c r="U1882" s="19">
        <f t="shared" si="901"/>
        <v>0</v>
      </c>
      <c r="V1882" s="19">
        <f t="shared" si="887"/>
        <v>0</v>
      </c>
      <c r="W1882" s="20">
        <f t="shared" ca="1" si="902"/>
        <v>0</v>
      </c>
      <c r="X1882" s="19">
        <f t="shared" ca="1" si="903"/>
        <v>0</v>
      </c>
      <c r="Y1882" s="19">
        <f t="shared" ca="1" si="904"/>
        <v>0</v>
      </c>
      <c r="Z1882" s="20">
        <f t="shared" ca="1" si="905"/>
        <v>0</v>
      </c>
      <c r="AA1882" s="1">
        <f t="shared" si="883"/>
        <v>5432.58</v>
      </c>
      <c r="AB1882" s="93"/>
      <c r="AC1882" s="94"/>
      <c r="AD1882" s="101">
        <f t="shared" si="884"/>
        <v>96684</v>
      </c>
      <c r="AE1882" s="103">
        <f t="shared" si="885"/>
        <v>0</v>
      </c>
      <c r="AG1882" s="1">
        <f t="shared" si="906"/>
        <v>0</v>
      </c>
      <c r="AH1882" s="1">
        <f t="shared" si="907"/>
        <v>0</v>
      </c>
      <c r="AI1882" s="1">
        <f t="shared" si="886"/>
        <v>5432.58</v>
      </c>
      <c r="AJ1882" s="20">
        <f t="shared" si="888"/>
        <v>0</v>
      </c>
      <c r="AK1882" s="100">
        <f t="shared" si="890"/>
        <v>0</v>
      </c>
      <c r="AL1882" s="100">
        <f t="shared" si="891"/>
        <v>0</v>
      </c>
      <c r="AN1882" s="100">
        <f t="shared" si="892"/>
        <v>2126.8740869803009</v>
      </c>
      <c r="AO1882" s="20">
        <f t="shared" si="893"/>
        <v>0</v>
      </c>
      <c r="AQ1882" s="109">
        <f t="shared" si="894"/>
        <v>0</v>
      </c>
      <c r="AU1882" s="109">
        <f t="shared" si="879"/>
        <v>22.999096362783781</v>
      </c>
      <c r="AV1882" s="101">
        <f t="shared" si="895"/>
        <v>96714</v>
      </c>
      <c r="AW1882" s="99">
        <f t="shared" si="896"/>
        <v>0</v>
      </c>
      <c r="AX1882" s="1">
        <f t="shared" si="897"/>
        <v>0</v>
      </c>
      <c r="AY1882" s="29">
        <f t="shared" si="898"/>
        <v>0</v>
      </c>
      <c r="AZ1882" s="1">
        <f t="shared" si="880"/>
        <v>0</v>
      </c>
      <c r="CB1882" s="20">
        <f t="shared" si="889"/>
        <v>0</v>
      </c>
      <c r="CC1882" s="173">
        <f t="shared" si="881"/>
        <v>0</v>
      </c>
    </row>
    <row r="1883" spans="10:81" x14ac:dyDescent="0.25">
      <c r="J1883" s="7"/>
      <c r="K1883" s="8"/>
      <c r="L1883" s="16"/>
      <c r="M1883" s="22"/>
      <c r="N1883" s="22"/>
      <c r="O1883" s="22"/>
      <c r="P1883" s="22"/>
      <c r="Q1883" s="1">
        <f t="shared" si="882"/>
        <v>0.60744618579017706</v>
      </c>
      <c r="R1883" s="12">
        <f t="shared" ca="1" si="899"/>
        <v>55592</v>
      </c>
      <c r="S1883" s="88">
        <f t="shared" si="908"/>
        <v>0</v>
      </c>
      <c r="T1883" s="19">
        <f t="shared" si="900"/>
        <v>0</v>
      </c>
      <c r="U1883" s="19">
        <f t="shared" si="901"/>
        <v>0</v>
      </c>
      <c r="V1883" s="19">
        <f t="shared" si="887"/>
        <v>0</v>
      </c>
      <c r="W1883" s="20">
        <f t="shared" ca="1" si="902"/>
        <v>0</v>
      </c>
      <c r="X1883" s="19">
        <f t="shared" ca="1" si="903"/>
        <v>0</v>
      </c>
      <c r="Y1883" s="19">
        <f t="shared" ca="1" si="904"/>
        <v>0</v>
      </c>
      <c r="Z1883" s="20">
        <f t="shared" ca="1" si="905"/>
        <v>0</v>
      </c>
      <c r="AA1883" s="1">
        <f t="shared" si="883"/>
        <v>5432.58</v>
      </c>
      <c r="AB1883" s="91"/>
      <c r="AC1883" s="92"/>
      <c r="AD1883" s="101">
        <f t="shared" si="884"/>
        <v>96714</v>
      </c>
      <c r="AE1883" s="103">
        <f t="shared" si="885"/>
        <v>0</v>
      </c>
      <c r="AG1883" s="1">
        <f t="shared" si="906"/>
        <v>0</v>
      </c>
      <c r="AH1883" s="1">
        <f t="shared" si="907"/>
        <v>0</v>
      </c>
      <c r="AI1883" s="1">
        <f t="shared" si="886"/>
        <v>5432.58</v>
      </c>
      <c r="AJ1883" s="20">
        <f t="shared" si="888"/>
        <v>0</v>
      </c>
      <c r="AK1883" s="100">
        <f t="shared" si="890"/>
        <v>0</v>
      </c>
      <c r="AL1883" s="100">
        <f t="shared" si="891"/>
        <v>0</v>
      </c>
      <c r="AN1883" s="100">
        <f t="shared" si="892"/>
        <v>2125.7979970760643</v>
      </c>
      <c r="AO1883" s="20">
        <f t="shared" si="893"/>
        <v>0</v>
      </c>
      <c r="AQ1883" s="109">
        <f t="shared" si="894"/>
        <v>0</v>
      </c>
      <c r="AU1883" s="109">
        <f t="shared" si="879"/>
        <v>22.997077730405227</v>
      </c>
      <c r="AV1883" s="101">
        <f t="shared" si="895"/>
        <v>96744</v>
      </c>
      <c r="AW1883" s="99">
        <f t="shared" si="896"/>
        <v>0</v>
      </c>
      <c r="AX1883" s="1">
        <f t="shared" si="897"/>
        <v>0</v>
      </c>
      <c r="AY1883" s="29">
        <f t="shared" si="898"/>
        <v>0</v>
      </c>
      <c r="AZ1883" s="1">
        <f t="shared" si="880"/>
        <v>0</v>
      </c>
      <c r="CB1883" s="20">
        <f t="shared" si="889"/>
        <v>0</v>
      </c>
      <c r="CC1883" s="173">
        <f t="shared" si="881"/>
        <v>0</v>
      </c>
    </row>
    <row r="1884" spans="10:81" x14ac:dyDescent="0.25">
      <c r="J1884" s="9"/>
      <c r="K1884" s="10"/>
      <c r="L1884" s="17"/>
      <c r="M1884" s="23"/>
      <c r="N1884" s="23"/>
      <c r="O1884" s="23"/>
      <c r="P1884" s="23"/>
      <c r="Q1884" s="1">
        <f t="shared" si="882"/>
        <v>0.60744618579017706</v>
      </c>
      <c r="R1884" s="12">
        <f t="shared" ca="1" si="899"/>
        <v>55622</v>
      </c>
      <c r="S1884" s="88">
        <f t="shared" si="908"/>
        <v>0</v>
      </c>
      <c r="T1884" s="19">
        <f t="shared" si="900"/>
        <v>0</v>
      </c>
      <c r="U1884" s="19">
        <f t="shared" si="901"/>
        <v>0</v>
      </c>
      <c r="V1884" s="19">
        <f t="shared" si="887"/>
        <v>0</v>
      </c>
      <c r="W1884" s="20">
        <f t="shared" ca="1" si="902"/>
        <v>0</v>
      </c>
      <c r="X1884" s="19">
        <f t="shared" ca="1" si="903"/>
        <v>0</v>
      </c>
      <c r="Y1884" s="19">
        <f t="shared" ca="1" si="904"/>
        <v>0</v>
      </c>
      <c r="Z1884" s="20">
        <f t="shared" ca="1" si="905"/>
        <v>0</v>
      </c>
      <c r="AA1884" s="1">
        <f t="shared" si="883"/>
        <v>5432.58</v>
      </c>
      <c r="AB1884" s="93"/>
      <c r="AC1884" s="94"/>
      <c r="AD1884" s="101">
        <f t="shared" si="884"/>
        <v>96744</v>
      </c>
      <c r="AE1884" s="103">
        <f t="shared" si="885"/>
        <v>0</v>
      </c>
      <c r="AG1884" s="1">
        <f t="shared" si="906"/>
        <v>0</v>
      </c>
      <c r="AH1884" s="1">
        <f t="shared" si="907"/>
        <v>0</v>
      </c>
      <c r="AI1884" s="1">
        <f t="shared" si="886"/>
        <v>5432.58</v>
      </c>
      <c r="AJ1884" s="20">
        <f t="shared" si="888"/>
        <v>0</v>
      </c>
      <c r="AK1884" s="100">
        <f t="shared" si="890"/>
        <v>0</v>
      </c>
      <c r="AL1884" s="100">
        <f t="shared" si="891"/>
        <v>0</v>
      </c>
      <c r="AN1884" s="100">
        <f t="shared" si="892"/>
        <v>2124.7224516184815</v>
      </c>
      <c r="AO1884" s="20">
        <f t="shared" si="893"/>
        <v>0</v>
      </c>
      <c r="AQ1884" s="109">
        <f t="shared" si="894"/>
        <v>0</v>
      </c>
      <c r="AU1884" s="109">
        <f t="shared" si="879"/>
        <v>22.995059275202181</v>
      </c>
      <c r="AV1884" s="101">
        <f t="shared" si="895"/>
        <v>96774</v>
      </c>
      <c r="AW1884" s="99">
        <f t="shared" si="896"/>
        <v>0</v>
      </c>
      <c r="AX1884" s="1">
        <f t="shared" si="897"/>
        <v>0</v>
      </c>
      <c r="AY1884" s="29">
        <f t="shared" si="898"/>
        <v>0</v>
      </c>
      <c r="AZ1884" s="1">
        <f t="shared" si="880"/>
        <v>0</v>
      </c>
      <c r="CB1884" s="20">
        <f t="shared" si="889"/>
        <v>0</v>
      </c>
      <c r="CC1884" s="173">
        <f t="shared" si="881"/>
        <v>0</v>
      </c>
    </row>
    <row r="1885" spans="10:81" x14ac:dyDescent="0.25">
      <c r="J1885" s="7"/>
      <c r="K1885" s="8"/>
      <c r="L1885" s="16"/>
      <c r="M1885" s="22"/>
      <c r="N1885" s="22"/>
      <c r="O1885" s="22"/>
      <c r="P1885" s="22"/>
      <c r="Q1885" s="1">
        <f t="shared" si="882"/>
        <v>0.60744618579017706</v>
      </c>
      <c r="R1885" s="12">
        <f t="shared" ca="1" si="899"/>
        <v>55652</v>
      </c>
      <c r="S1885" s="88">
        <f t="shared" si="908"/>
        <v>0</v>
      </c>
      <c r="T1885" s="19">
        <f t="shared" si="900"/>
        <v>0</v>
      </c>
      <c r="U1885" s="19">
        <f t="shared" si="901"/>
        <v>0</v>
      </c>
      <c r="V1885" s="19">
        <f t="shared" si="887"/>
        <v>0</v>
      </c>
      <c r="W1885" s="20">
        <f t="shared" ca="1" si="902"/>
        <v>0</v>
      </c>
      <c r="X1885" s="19">
        <f t="shared" ca="1" si="903"/>
        <v>0</v>
      </c>
      <c r="Y1885" s="19">
        <f t="shared" ca="1" si="904"/>
        <v>0</v>
      </c>
      <c r="Z1885" s="20">
        <f t="shared" ca="1" si="905"/>
        <v>0</v>
      </c>
      <c r="AA1885" s="1">
        <f t="shared" si="883"/>
        <v>5432.58</v>
      </c>
      <c r="AB1885" s="91"/>
      <c r="AC1885" s="92"/>
      <c r="AD1885" s="101">
        <f t="shared" si="884"/>
        <v>96774</v>
      </c>
      <c r="AE1885" s="103">
        <f t="shared" si="885"/>
        <v>0</v>
      </c>
      <c r="AG1885" s="1">
        <f t="shared" si="906"/>
        <v>0</v>
      </c>
      <c r="AH1885" s="1">
        <f t="shared" si="907"/>
        <v>0</v>
      </c>
      <c r="AI1885" s="1">
        <f t="shared" si="886"/>
        <v>5432.58</v>
      </c>
      <c r="AJ1885" s="20">
        <f t="shared" si="888"/>
        <v>0</v>
      </c>
      <c r="AK1885" s="100">
        <f t="shared" si="890"/>
        <v>0</v>
      </c>
      <c r="AL1885" s="100">
        <f t="shared" si="891"/>
        <v>0</v>
      </c>
      <c r="AN1885" s="100">
        <f t="shared" si="892"/>
        <v>2123.6474503320924</v>
      </c>
      <c r="AO1885" s="20">
        <f t="shared" si="893"/>
        <v>0</v>
      </c>
      <c r="AQ1885" s="109">
        <f t="shared" si="894"/>
        <v>0</v>
      </c>
      <c r="AU1885" s="109">
        <f t="shared" si="879"/>
        <v>22.993040997159095</v>
      </c>
      <c r="AV1885" s="101">
        <f t="shared" si="895"/>
        <v>96804</v>
      </c>
      <c r="AW1885" s="99">
        <f t="shared" si="896"/>
        <v>0</v>
      </c>
      <c r="AX1885" s="1">
        <f t="shared" si="897"/>
        <v>0</v>
      </c>
      <c r="AY1885" s="29">
        <f t="shared" si="898"/>
        <v>0</v>
      </c>
      <c r="AZ1885" s="1">
        <f t="shared" si="880"/>
        <v>0</v>
      </c>
      <c r="CB1885" s="20">
        <f t="shared" si="889"/>
        <v>0</v>
      </c>
      <c r="CC1885" s="173">
        <f t="shared" si="881"/>
        <v>0</v>
      </c>
    </row>
    <row r="1886" spans="10:81" x14ac:dyDescent="0.25">
      <c r="J1886" s="9"/>
      <c r="K1886" s="10"/>
      <c r="L1886" s="17"/>
      <c r="M1886" s="23"/>
      <c r="N1886" s="23"/>
      <c r="O1886" s="23"/>
      <c r="P1886" s="23"/>
      <c r="Q1886" s="1">
        <f t="shared" si="882"/>
        <v>0.60744618579017706</v>
      </c>
      <c r="R1886" s="12">
        <f t="shared" ca="1" si="899"/>
        <v>55682</v>
      </c>
      <c r="S1886" s="88">
        <f t="shared" si="908"/>
        <v>0</v>
      </c>
      <c r="T1886" s="19">
        <f t="shared" si="900"/>
        <v>0</v>
      </c>
      <c r="U1886" s="19">
        <f t="shared" si="901"/>
        <v>0</v>
      </c>
      <c r="V1886" s="19">
        <f t="shared" si="887"/>
        <v>0</v>
      </c>
      <c r="W1886" s="20">
        <f t="shared" ca="1" si="902"/>
        <v>0</v>
      </c>
      <c r="X1886" s="19">
        <f t="shared" ca="1" si="903"/>
        <v>0</v>
      </c>
      <c r="Y1886" s="19">
        <f t="shared" ca="1" si="904"/>
        <v>0</v>
      </c>
      <c r="Z1886" s="20">
        <f t="shared" ca="1" si="905"/>
        <v>0</v>
      </c>
      <c r="AA1886" s="1">
        <f t="shared" si="883"/>
        <v>5432.58</v>
      </c>
      <c r="AB1886" s="93"/>
      <c r="AC1886" s="94"/>
      <c r="AD1886" s="101">
        <f t="shared" si="884"/>
        <v>96804</v>
      </c>
      <c r="AE1886" s="103">
        <f t="shared" si="885"/>
        <v>0</v>
      </c>
      <c r="AG1886" s="1">
        <f t="shared" si="906"/>
        <v>0</v>
      </c>
      <c r="AH1886" s="1">
        <f t="shared" si="907"/>
        <v>0</v>
      </c>
      <c r="AI1886" s="1">
        <f t="shared" si="886"/>
        <v>5432.58</v>
      </c>
      <c r="AJ1886" s="20">
        <f t="shared" si="888"/>
        <v>0</v>
      </c>
      <c r="AK1886" s="100">
        <f t="shared" si="890"/>
        <v>0</v>
      </c>
      <c r="AL1886" s="100">
        <f t="shared" si="891"/>
        <v>0</v>
      </c>
      <c r="AN1886" s="100">
        <f t="shared" si="892"/>
        <v>2122.5729929415729</v>
      </c>
      <c r="AO1886" s="20">
        <f t="shared" si="893"/>
        <v>0</v>
      </c>
      <c r="AQ1886" s="109">
        <f t="shared" si="894"/>
        <v>0</v>
      </c>
      <c r="AU1886" s="109">
        <f t="shared" si="879"/>
        <v>22.991022896260429</v>
      </c>
      <c r="AV1886" s="101">
        <f t="shared" si="895"/>
        <v>96834</v>
      </c>
      <c r="AW1886" s="99">
        <f t="shared" si="896"/>
        <v>0</v>
      </c>
      <c r="AX1886" s="1">
        <f t="shared" si="897"/>
        <v>0</v>
      </c>
      <c r="AY1886" s="29">
        <f t="shared" si="898"/>
        <v>0</v>
      </c>
      <c r="AZ1886" s="1">
        <f t="shared" si="880"/>
        <v>0</v>
      </c>
      <c r="CB1886" s="20">
        <f t="shared" si="889"/>
        <v>0</v>
      </c>
      <c r="CC1886" s="173">
        <f t="shared" si="881"/>
        <v>0</v>
      </c>
    </row>
    <row r="1887" spans="10:81" x14ac:dyDescent="0.25">
      <c r="J1887" s="7"/>
      <c r="K1887" s="8"/>
      <c r="L1887" s="16"/>
      <c r="M1887" s="22"/>
      <c r="N1887" s="22"/>
      <c r="O1887" s="22"/>
      <c r="P1887" s="22"/>
      <c r="Q1887" s="1">
        <f t="shared" si="882"/>
        <v>0.60744618579017706</v>
      </c>
      <c r="R1887" s="12">
        <f t="shared" ca="1" si="899"/>
        <v>55712</v>
      </c>
      <c r="S1887" s="88">
        <f t="shared" si="908"/>
        <v>0</v>
      </c>
      <c r="T1887" s="19">
        <f t="shared" si="900"/>
        <v>0</v>
      </c>
      <c r="U1887" s="19">
        <f t="shared" si="901"/>
        <v>0</v>
      </c>
      <c r="V1887" s="19">
        <f t="shared" si="887"/>
        <v>0</v>
      </c>
      <c r="W1887" s="20">
        <f t="shared" ca="1" si="902"/>
        <v>0</v>
      </c>
      <c r="X1887" s="19">
        <f t="shared" ca="1" si="903"/>
        <v>0</v>
      </c>
      <c r="Y1887" s="19">
        <f t="shared" ca="1" si="904"/>
        <v>0</v>
      </c>
      <c r="Z1887" s="20">
        <f t="shared" ca="1" si="905"/>
        <v>0</v>
      </c>
      <c r="AA1887" s="1">
        <f t="shared" si="883"/>
        <v>5432.58</v>
      </c>
      <c r="AB1887" s="91"/>
      <c r="AC1887" s="92"/>
      <c r="AD1887" s="101">
        <f t="shared" si="884"/>
        <v>96834</v>
      </c>
      <c r="AE1887" s="103">
        <f t="shared" si="885"/>
        <v>0</v>
      </c>
      <c r="AG1887" s="1">
        <f t="shared" si="906"/>
        <v>0</v>
      </c>
      <c r="AH1887" s="1">
        <f t="shared" si="907"/>
        <v>0</v>
      </c>
      <c r="AI1887" s="1">
        <f t="shared" si="886"/>
        <v>5432.58</v>
      </c>
      <c r="AJ1887" s="20">
        <f t="shared" si="888"/>
        <v>0</v>
      </c>
      <c r="AK1887" s="100">
        <f t="shared" si="890"/>
        <v>0</v>
      </c>
      <c r="AL1887" s="100">
        <f t="shared" si="891"/>
        <v>0</v>
      </c>
      <c r="AN1887" s="100">
        <f t="shared" si="892"/>
        <v>2121.4990791717387</v>
      </c>
      <c r="AO1887" s="20">
        <f t="shared" si="893"/>
        <v>0</v>
      </c>
      <c r="AQ1887" s="109">
        <f t="shared" si="894"/>
        <v>0</v>
      </c>
      <c r="AU1887" s="109">
        <f t="shared" ref="AU1887:AU1950" si="909">(($AT$27/(1+((1+$AM$27)^(ROW()-29)*30)-1))/292)*0.32</f>
        <v>22.98900497249063</v>
      </c>
      <c r="AV1887" s="101">
        <f t="shared" si="895"/>
        <v>96864</v>
      </c>
      <c r="AW1887" s="99">
        <f t="shared" si="896"/>
        <v>0</v>
      </c>
      <c r="AX1887" s="1">
        <f t="shared" si="897"/>
        <v>0</v>
      </c>
      <c r="AY1887" s="29">
        <f t="shared" si="898"/>
        <v>0</v>
      </c>
      <c r="AZ1887" s="1">
        <f t="shared" ref="AZ1887:AZ1950" si="910">AY1887/360</f>
        <v>0</v>
      </c>
      <c r="CB1887" s="20">
        <f t="shared" si="889"/>
        <v>0</v>
      </c>
      <c r="CC1887" s="173">
        <f t="shared" ref="CC1887:CC1950" si="911">AJ1887+U1887+T1887</f>
        <v>0</v>
      </c>
    </row>
    <row r="1888" spans="10:81" x14ac:dyDescent="0.25">
      <c r="J1888" s="9"/>
      <c r="K1888" s="10"/>
      <c r="L1888" s="17"/>
      <c r="M1888" s="23"/>
      <c r="N1888" s="23"/>
      <c r="O1888" s="23"/>
      <c r="P1888" s="23"/>
      <c r="Q1888" s="1">
        <f t="shared" ref="Q1888:Q1951" si="912">IF(M1888=0,Q1887,(M1888*1200)/O1887)</f>
        <v>0.60744618579017706</v>
      </c>
      <c r="R1888" s="12">
        <f t="shared" ca="1" si="899"/>
        <v>55742</v>
      </c>
      <c r="S1888" s="88">
        <f t="shared" si="908"/>
        <v>0</v>
      </c>
      <c r="T1888" s="19">
        <f t="shared" si="900"/>
        <v>0</v>
      </c>
      <c r="U1888" s="19">
        <f t="shared" si="901"/>
        <v>0</v>
      </c>
      <c r="V1888" s="19">
        <f t="shared" si="887"/>
        <v>0</v>
      </c>
      <c r="W1888" s="20">
        <f t="shared" ca="1" si="902"/>
        <v>0</v>
      </c>
      <c r="X1888" s="19">
        <f t="shared" ca="1" si="903"/>
        <v>0</v>
      </c>
      <c r="Y1888" s="19">
        <f t="shared" ca="1" si="904"/>
        <v>0</v>
      </c>
      <c r="Z1888" s="20">
        <f t="shared" ca="1" si="905"/>
        <v>0</v>
      </c>
      <c r="AA1888" s="1">
        <f t="shared" ref="AA1888:AA1951" si="913">IF(S1888=0,AA1887,N1888)</f>
        <v>5432.58</v>
      </c>
      <c r="AB1888" s="93"/>
      <c r="AC1888" s="94"/>
      <c r="AD1888" s="101">
        <f t="shared" ref="AD1888:AD1951" si="914">IF(M1888=0,AD1887+30,K1888)</f>
        <v>96864</v>
      </c>
      <c r="AE1888" s="103">
        <f t="shared" ref="AE1888:AE1951" si="915">IF(V1888=0,0,R1888)</f>
        <v>0</v>
      </c>
      <c r="AG1888" s="1">
        <f t="shared" si="906"/>
        <v>0</v>
      </c>
      <c r="AH1888" s="1">
        <f t="shared" si="907"/>
        <v>0</v>
      </c>
      <c r="AI1888" s="1">
        <f t="shared" ref="AI1888:AI1951" si="916">IF(M1888-1=0,IF(M1888=0,IF(V1888=0,N1888,AI1887),AA1888),AA1888)</f>
        <v>5432.58</v>
      </c>
      <c r="AJ1888" s="20">
        <f t="shared" si="888"/>
        <v>0</v>
      </c>
      <c r="AK1888" s="100">
        <f t="shared" si="890"/>
        <v>0</v>
      </c>
      <c r="AL1888" s="100">
        <f t="shared" si="891"/>
        <v>0</v>
      </c>
      <c r="AN1888" s="100">
        <f t="shared" si="892"/>
        <v>2120.4257087475467</v>
      </c>
      <c r="AO1888" s="20">
        <f t="shared" si="893"/>
        <v>0</v>
      </c>
      <c r="AQ1888" s="109">
        <f t="shared" si="894"/>
        <v>0</v>
      </c>
      <c r="AU1888" s="109">
        <f t="shared" si="909"/>
        <v>22.986987225834138</v>
      </c>
      <c r="AV1888" s="101">
        <f t="shared" si="895"/>
        <v>96894</v>
      </c>
      <c r="AW1888" s="99">
        <f t="shared" si="896"/>
        <v>0</v>
      </c>
      <c r="AX1888" s="1">
        <f t="shared" si="897"/>
        <v>0</v>
      </c>
      <c r="AY1888" s="29">
        <f t="shared" si="898"/>
        <v>0</v>
      </c>
      <c r="AZ1888" s="1">
        <f t="shared" si="910"/>
        <v>0</v>
      </c>
      <c r="CB1888" s="20">
        <f t="shared" si="889"/>
        <v>0</v>
      </c>
      <c r="CC1888" s="173">
        <f t="shared" si="911"/>
        <v>0</v>
      </c>
    </row>
    <row r="1889" spans="10:81" x14ac:dyDescent="0.25">
      <c r="J1889" s="7"/>
      <c r="K1889" s="8"/>
      <c r="L1889" s="16"/>
      <c r="M1889" s="22"/>
      <c r="N1889" s="22"/>
      <c r="O1889" s="22"/>
      <c r="P1889" s="22"/>
      <c r="Q1889" s="1">
        <f t="shared" si="912"/>
        <v>0.60744618579017706</v>
      </c>
      <c r="R1889" s="12">
        <f t="shared" ca="1" si="899"/>
        <v>55772</v>
      </c>
      <c r="S1889" s="88">
        <f t="shared" si="908"/>
        <v>0</v>
      </c>
      <c r="T1889" s="19">
        <f t="shared" si="900"/>
        <v>0</v>
      </c>
      <c r="U1889" s="19">
        <f t="shared" si="901"/>
        <v>0</v>
      </c>
      <c r="V1889" s="19">
        <f t="shared" si="887"/>
        <v>0</v>
      </c>
      <c r="W1889" s="20">
        <f t="shared" ca="1" si="902"/>
        <v>0</v>
      </c>
      <c r="X1889" s="19">
        <f t="shared" ca="1" si="903"/>
        <v>0</v>
      </c>
      <c r="Y1889" s="19">
        <f t="shared" ca="1" si="904"/>
        <v>0</v>
      </c>
      <c r="Z1889" s="20">
        <f t="shared" ca="1" si="905"/>
        <v>0</v>
      </c>
      <c r="AA1889" s="1">
        <f t="shared" si="913"/>
        <v>5432.58</v>
      </c>
      <c r="AB1889" s="91"/>
      <c r="AC1889" s="92"/>
      <c r="AD1889" s="101">
        <f t="shared" si="914"/>
        <v>96894</v>
      </c>
      <c r="AE1889" s="103">
        <f t="shared" si="915"/>
        <v>0</v>
      </c>
      <c r="AG1889" s="1">
        <f t="shared" si="906"/>
        <v>0</v>
      </c>
      <c r="AH1889" s="1">
        <f t="shared" si="907"/>
        <v>0</v>
      </c>
      <c r="AI1889" s="1">
        <f t="shared" si="916"/>
        <v>5432.58</v>
      </c>
      <c r="AJ1889" s="20">
        <f t="shared" si="888"/>
        <v>0</v>
      </c>
      <c r="AK1889" s="100">
        <f t="shared" si="890"/>
        <v>0</v>
      </c>
      <c r="AL1889" s="100">
        <f t="shared" si="891"/>
        <v>0</v>
      </c>
      <c r="AN1889" s="100">
        <f t="shared" si="892"/>
        <v>2119.3528813940911</v>
      </c>
      <c r="AO1889" s="20">
        <f t="shared" si="893"/>
        <v>0</v>
      </c>
      <c r="AQ1889" s="109">
        <f t="shared" si="894"/>
        <v>0</v>
      </c>
      <c r="AU1889" s="109">
        <f t="shared" si="909"/>
        <v>22.984969656275425</v>
      </c>
      <c r="AV1889" s="101">
        <f t="shared" si="895"/>
        <v>96924</v>
      </c>
      <c r="AW1889" s="99">
        <f t="shared" si="896"/>
        <v>0</v>
      </c>
      <c r="AX1889" s="1">
        <f t="shared" si="897"/>
        <v>0</v>
      </c>
      <c r="AY1889" s="29">
        <f t="shared" si="898"/>
        <v>0</v>
      </c>
      <c r="AZ1889" s="1">
        <f t="shared" si="910"/>
        <v>0</v>
      </c>
      <c r="CB1889" s="20">
        <f t="shared" si="889"/>
        <v>0</v>
      </c>
      <c r="CC1889" s="173">
        <f t="shared" si="911"/>
        <v>0</v>
      </c>
    </row>
    <row r="1890" spans="10:81" x14ac:dyDescent="0.25">
      <c r="J1890" s="9"/>
      <c r="K1890" s="10"/>
      <c r="L1890" s="17"/>
      <c r="M1890" s="23"/>
      <c r="N1890" s="23"/>
      <c r="O1890" s="23"/>
      <c r="P1890" s="23"/>
      <c r="Q1890" s="1">
        <f t="shared" si="912"/>
        <v>0.60744618579017706</v>
      </c>
      <c r="R1890" s="12">
        <f t="shared" ca="1" si="899"/>
        <v>55802</v>
      </c>
      <c r="S1890" s="88">
        <f t="shared" si="908"/>
        <v>0</v>
      </c>
      <c r="T1890" s="19">
        <f t="shared" si="900"/>
        <v>0</v>
      </c>
      <c r="U1890" s="19">
        <f t="shared" si="901"/>
        <v>0</v>
      </c>
      <c r="V1890" s="19">
        <f t="shared" ref="V1890:V1953" si="917">IF(ISERROR(IF(V1889+U1890+T1890+(V1889*Q1890/1200)-AA1890-P1890&lt;0,0,V1889+U1890+T1890-AA1890-P1890)),0,IF(V1889+U1890+T1890+(V1889*Q1890/1200)-AA1890-CB1890&lt;0,0,V1889+U1890+T1890-AA1890-CB1890))</f>
        <v>0</v>
      </c>
      <c r="W1890" s="20">
        <f t="shared" ca="1" si="902"/>
        <v>0</v>
      </c>
      <c r="X1890" s="19">
        <f t="shared" ca="1" si="903"/>
        <v>0</v>
      </c>
      <c r="Y1890" s="19">
        <f t="shared" ca="1" si="904"/>
        <v>0</v>
      </c>
      <c r="Z1890" s="20">
        <f t="shared" ca="1" si="905"/>
        <v>0</v>
      </c>
      <c r="AA1890" s="1">
        <f t="shared" si="913"/>
        <v>5432.58</v>
      </c>
      <c r="AB1890" s="93"/>
      <c r="AC1890" s="94"/>
      <c r="AD1890" s="101">
        <f t="shared" si="914"/>
        <v>96924</v>
      </c>
      <c r="AE1890" s="103">
        <f t="shared" si="915"/>
        <v>0</v>
      </c>
      <c r="AG1890" s="1">
        <f t="shared" si="906"/>
        <v>0</v>
      </c>
      <c r="AH1890" s="1">
        <f t="shared" si="907"/>
        <v>0</v>
      </c>
      <c r="AI1890" s="1">
        <f t="shared" si="916"/>
        <v>5432.58</v>
      </c>
      <c r="AJ1890" s="20">
        <f t="shared" si="888"/>
        <v>0</v>
      </c>
      <c r="AK1890" s="100">
        <f t="shared" si="890"/>
        <v>0</v>
      </c>
      <c r="AL1890" s="100">
        <f t="shared" si="891"/>
        <v>0</v>
      </c>
      <c r="AN1890" s="100">
        <f t="shared" si="892"/>
        <v>2118.2805968366065</v>
      </c>
      <c r="AO1890" s="20">
        <f t="shared" si="893"/>
        <v>0</v>
      </c>
      <c r="AQ1890" s="109">
        <f t="shared" si="894"/>
        <v>0</v>
      </c>
      <c r="AU1890" s="109">
        <f t="shared" si="909"/>
        <v>22.982952263798943</v>
      </c>
      <c r="AV1890" s="101">
        <f t="shared" si="895"/>
        <v>96954</v>
      </c>
      <c r="AW1890" s="99">
        <f t="shared" si="896"/>
        <v>0</v>
      </c>
      <c r="AX1890" s="1">
        <f t="shared" si="897"/>
        <v>0</v>
      </c>
      <c r="AY1890" s="29">
        <f t="shared" si="898"/>
        <v>0</v>
      </c>
      <c r="AZ1890" s="1">
        <f t="shared" si="910"/>
        <v>0</v>
      </c>
      <c r="CB1890" s="20">
        <f t="shared" si="889"/>
        <v>0</v>
      </c>
      <c r="CC1890" s="173">
        <f t="shared" si="911"/>
        <v>0</v>
      </c>
    </row>
    <row r="1891" spans="10:81" x14ac:dyDescent="0.25">
      <c r="J1891" s="7"/>
      <c r="K1891" s="8"/>
      <c r="L1891" s="16"/>
      <c r="M1891" s="22"/>
      <c r="N1891" s="22"/>
      <c r="O1891" s="22"/>
      <c r="P1891" s="22"/>
      <c r="Q1891" s="1">
        <f t="shared" si="912"/>
        <v>0.60744618579017706</v>
      </c>
      <c r="R1891" s="12">
        <f t="shared" ca="1" si="899"/>
        <v>55832</v>
      </c>
      <c r="S1891" s="88">
        <f t="shared" si="908"/>
        <v>0</v>
      </c>
      <c r="T1891" s="19">
        <f t="shared" si="900"/>
        <v>0</v>
      </c>
      <c r="U1891" s="19">
        <f t="shared" si="901"/>
        <v>0</v>
      </c>
      <c r="V1891" s="19">
        <f t="shared" si="917"/>
        <v>0</v>
      </c>
      <c r="W1891" s="20">
        <f t="shared" ca="1" si="902"/>
        <v>0</v>
      </c>
      <c r="X1891" s="19">
        <f t="shared" ca="1" si="903"/>
        <v>0</v>
      </c>
      <c r="Y1891" s="19">
        <f t="shared" ca="1" si="904"/>
        <v>0</v>
      </c>
      <c r="Z1891" s="20">
        <f t="shared" ca="1" si="905"/>
        <v>0</v>
      </c>
      <c r="AA1891" s="1">
        <f t="shared" si="913"/>
        <v>5432.58</v>
      </c>
      <c r="AB1891" s="91"/>
      <c r="AC1891" s="92"/>
      <c r="AD1891" s="101">
        <f t="shared" si="914"/>
        <v>96954</v>
      </c>
      <c r="AE1891" s="103">
        <f t="shared" si="915"/>
        <v>0</v>
      </c>
      <c r="AG1891" s="1">
        <f t="shared" si="906"/>
        <v>0</v>
      </c>
      <c r="AH1891" s="1">
        <f t="shared" si="907"/>
        <v>0</v>
      </c>
      <c r="AI1891" s="1">
        <f t="shared" si="916"/>
        <v>5432.58</v>
      </c>
      <c r="AJ1891" s="20">
        <f t="shared" si="888"/>
        <v>0</v>
      </c>
      <c r="AK1891" s="100">
        <f t="shared" si="890"/>
        <v>0</v>
      </c>
      <c r="AL1891" s="100">
        <f t="shared" si="891"/>
        <v>0</v>
      </c>
      <c r="AN1891" s="100">
        <f t="shared" si="892"/>
        <v>2117.208854800464</v>
      </c>
      <c r="AO1891" s="20">
        <f t="shared" si="893"/>
        <v>0</v>
      </c>
      <c r="AQ1891" s="109">
        <f t="shared" si="894"/>
        <v>0</v>
      </c>
      <c r="AU1891" s="109">
        <f t="shared" si="909"/>
        <v>22.980935048389135</v>
      </c>
      <c r="AV1891" s="101">
        <f t="shared" si="895"/>
        <v>96984</v>
      </c>
      <c r="AW1891" s="99">
        <f t="shared" si="896"/>
        <v>0</v>
      </c>
      <c r="AX1891" s="1">
        <f t="shared" si="897"/>
        <v>0</v>
      </c>
      <c r="AY1891" s="29">
        <f t="shared" si="898"/>
        <v>0</v>
      </c>
      <c r="AZ1891" s="1">
        <f t="shared" si="910"/>
        <v>0</v>
      </c>
      <c r="CB1891" s="20">
        <f t="shared" si="889"/>
        <v>0</v>
      </c>
      <c r="CC1891" s="173">
        <f t="shared" si="911"/>
        <v>0</v>
      </c>
    </row>
    <row r="1892" spans="10:81" x14ac:dyDescent="0.25">
      <c r="J1892" s="9"/>
      <c r="K1892" s="10"/>
      <c r="L1892" s="17"/>
      <c r="M1892" s="23"/>
      <c r="N1892" s="23"/>
      <c r="O1892" s="23"/>
      <c r="P1892" s="23"/>
      <c r="Q1892" s="1">
        <f t="shared" si="912"/>
        <v>0.60744618579017706</v>
      </c>
      <c r="R1892" s="12">
        <f t="shared" ca="1" si="899"/>
        <v>55862</v>
      </c>
      <c r="S1892" s="88">
        <f t="shared" si="908"/>
        <v>0</v>
      </c>
      <c r="T1892" s="19">
        <f t="shared" si="900"/>
        <v>0</v>
      </c>
      <c r="U1892" s="19">
        <f t="shared" si="901"/>
        <v>0</v>
      </c>
      <c r="V1892" s="19">
        <f t="shared" si="917"/>
        <v>0</v>
      </c>
      <c r="W1892" s="20">
        <f t="shared" ca="1" si="902"/>
        <v>0</v>
      </c>
      <c r="X1892" s="19">
        <f t="shared" ca="1" si="903"/>
        <v>0</v>
      </c>
      <c r="Y1892" s="19">
        <f t="shared" ca="1" si="904"/>
        <v>0</v>
      </c>
      <c r="Z1892" s="20">
        <f t="shared" ca="1" si="905"/>
        <v>0</v>
      </c>
      <c r="AA1892" s="1">
        <f t="shared" si="913"/>
        <v>5432.58</v>
      </c>
      <c r="AB1892" s="93"/>
      <c r="AC1892" s="94"/>
      <c r="AD1892" s="101">
        <f t="shared" si="914"/>
        <v>96984</v>
      </c>
      <c r="AE1892" s="103">
        <f t="shared" si="915"/>
        <v>0</v>
      </c>
      <c r="AG1892" s="1">
        <f t="shared" si="906"/>
        <v>0</v>
      </c>
      <c r="AH1892" s="1">
        <f t="shared" si="907"/>
        <v>0</v>
      </c>
      <c r="AI1892" s="1">
        <f t="shared" si="916"/>
        <v>5432.58</v>
      </c>
      <c r="AJ1892" s="20">
        <f t="shared" si="888"/>
        <v>0</v>
      </c>
      <c r="AK1892" s="100">
        <f t="shared" si="890"/>
        <v>0</v>
      </c>
      <c r="AL1892" s="100">
        <f t="shared" si="891"/>
        <v>0</v>
      </c>
      <c r="AN1892" s="100">
        <f t="shared" si="892"/>
        <v>2116.1376550111777</v>
      </c>
      <c r="AO1892" s="20">
        <f t="shared" si="893"/>
        <v>0</v>
      </c>
      <c r="AQ1892" s="109">
        <f t="shared" si="894"/>
        <v>0</v>
      </c>
      <c r="AU1892" s="109">
        <f t="shared" si="909"/>
        <v>22.978918010030483</v>
      </c>
      <c r="AV1892" s="101">
        <f t="shared" si="895"/>
        <v>97014</v>
      </c>
      <c r="AW1892" s="99">
        <f t="shared" si="896"/>
        <v>0</v>
      </c>
      <c r="AX1892" s="1">
        <f t="shared" si="897"/>
        <v>0</v>
      </c>
      <c r="AY1892" s="29">
        <f t="shared" si="898"/>
        <v>0</v>
      </c>
      <c r="AZ1892" s="1">
        <f t="shared" si="910"/>
        <v>0</v>
      </c>
      <c r="CB1892" s="20">
        <f t="shared" si="889"/>
        <v>0</v>
      </c>
      <c r="CC1892" s="173">
        <f t="shared" si="911"/>
        <v>0</v>
      </c>
    </row>
    <row r="1893" spans="10:81" x14ac:dyDescent="0.25">
      <c r="J1893" s="7"/>
      <c r="K1893" s="8"/>
      <c r="L1893" s="16"/>
      <c r="M1893" s="22"/>
      <c r="N1893" s="22"/>
      <c r="O1893" s="22"/>
      <c r="P1893" s="22"/>
      <c r="Q1893" s="1">
        <f t="shared" si="912"/>
        <v>0.60744618579017706</v>
      </c>
      <c r="R1893" s="12">
        <f t="shared" ca="1" si="899"/>
        <v>55892</v>
      </c>
      <c r="S1893" s="88">
        <f t="shared" si="908"/>
        <v>0</v>
      </c>
      <c r="T1893" s="19">
        <f t="shared" si="900"/>
        <v>0</v>
      </c>
      <c r="U1893" s="19">
        <f t="shared" si="901"/>
        <v>0</v>
      </c>
      <c r="V1893" s="19">
        <f t="shared" si="917"/>
        <v>0</v>
      </c>
      <c r="W1893" s="20">
        <f t="shared" ca="1" si="902"/>
        <v>0</v>
      </c>
      <c r="X1893" s="19">
        <f t="shared" ca="1" si="903"/>
        <v>0</v>
      </c>
      <c r="Y1893" s="19">
        <f t="shared" ca="1" si="904"/>
        <v>0</v>
      </c>
      <c r="Z1893" s="20">
        <f t="shared" ca="1" si="905"/>
        <v>0</v>
      </c>
      <c r="AA1893" s="1">
        <f t="shared" si="913"/>
        <v>5432.58</v>
      </c>
      <c r="AB1893" s="91"/>
      <c r="AC1893" s="92"/>
      <c r="AD1893" s="101">
        <f t="shared" si="914"/>
        <v>97014</v>
      </c>
      <c r="AE1893" s="103">
        <f t="shared" si="915"/>
        <v>0</v>
      </c>
      <c r="AG1893" s="1">
        <f t="shared" si="906"/>
        <v>0</v>
      </c>
      <c r="AH1893" s="1">
        <f t="shared" si="907"/>
        <v>0</v>
      </c>
      <c r="AI1893" s="1">
        <f t="shared" si="916"/>
        <v>5432.58</v>
      </c>
      <c r="AJ1893" s="20">
        <f t="shared" si="888"/>
        <v>0</v>
      </c>
      <c r="AK1893" s="100">
        <f t="shared" si="890"/>
        <v>0</v>
      </c>
      <c r="AL1893" s="100">
        <f t="shared" si="891"/>
        <v>0</v>
      </c>
      <c r="AN1893" s="100">
        <f t="shared" si="892"/>
        <v>2115.0669971943976</v>
      </c>
      <c r="AO1893" s="20">
        <f t="shared" si="893"/>
        <v>0</v>
      </c>
      <c r="AQ1893" s="109">
        <f t="shared" si="894"/>
        <v>0</v>
      </c>
      <c r="AU1893" s="109">
        <f t="shared" si="909"/>
        <v>22.976901148707434</v>
      </c>
      <c r="AV1893" s="101">
        <f t="shared" si="895"/>
        <v>97044</v>
      </c>
      <c r="AW1893" s="99">
        <f t="shared" si="896"/>
        <v>0</v>
      </c>
      <c r="AX1893" s="1">
        <f t="shared" si="897"/>
        <v>0</v>
      </c>
      <c r="AY1893" s="29">
        <f t="shared" si="898"/>
        <v>0</v>
      </c>
      <c r="AZ1893" s="1">
        <f t="shared" si="910"/>
        <v>0</v>
      </c>
      <c r="CB1893" s="20">
        <f t="shared" si="889"/>
        <v>0</v>
      </c>
      <c r="CC1893" s="173">
        <f t="shared" si="911"/>
        <v>0</v>
      </c>
    </row>
    <row r="1894" spans="10:81" x14ac:dyDescent="0.25">
      <c r="J1894" s="9"/>
      <c r="K1894" s="10"/>
      <c r="L1894" s="17"/>
      <c r="M1894" s="23"/>
      <c r="N1894" s="23"/>
      <c r="O1894" s="23"/>
      <c r="P1894" s="23"/>
      <c r="Q1894" s="1">
        <f t="shared" si="912"/>
        <v>0.60744618579017706</v>
      </c>
      <c r="R1894" s="12">
        <f t="shared" ca="1" si="899"/>
        <v>55922</v>
      </c>
      <c r="S1894" s="88">
        <f t="shared" si="908"/>
        <v>0</v>
      </c>
      <c r="T1894" s="19">
        <f t="shared" si="900"/>
        <v>0</v>
      </c>
      <c r="U1894" s="19">
        <f t="shared" si="901"/>
        <v>0</v>
      </c>
      <c r="V1894" s="19">
        <f t="shared" si="917"/>
        <v>0</v>
      </c>
      <c r="W1894" s="20">
        <f t="shared" ca="1" si="902"/>
        <v>0</v>
      </c>
      <c r="X1894" s="19">
        <f t="shared" ca="1" si="903"/>
        <v>0</v>
      </c>
      <c r="Y1894" s="19">
        <f t="shared" ca="1" si="904"/>
        <v>0</v>
      </c>
      <c r="Z1894" s="20">
        <f t="shared" ca="1" si="905"/>
        <v>0</v>
      </c>
      <c r="AA1894" s="1">
        <f t="shared" si="913"/>
        <v>5432.58</v>
      </c>
      <c r="AB1894" s="93"/>
      <c r="AC1894" s="94"/>
      <c r="AD1894" s="101">
        <f t="shared" si="914"/>
        <v>97044</v>
      </c>
      <c r="AE1894" s="103">
        <f t="shared" si="915"/>
        <v>0</v>
      </c>
      <c r="AG1894" s="1">
        <f t="shared" si="906"/>
        <v>0</v>
      </c>
      <c r="AH1894" s="1">
        <f t="shared" si="907"/>
        <v>0</v>
      </c>
      <c r="AI1894" s="1">
        <f t="shared" si="916"/>
        <v>5432.58</v>
      </c>
      <c r="AJ1894" s="20">
        <f t="shared" si="888"/>
        <v>0</v>
      </c>
      <c r="AK1894" s="100">
        <f t="shared" si="890"/>
        <v>0</v>
      </c>
      <c r="AL1894" s="100">
        <f t="shared" si="891"/>
        <v>0</v>
      </c>
      <c r="AN1894" s="100">
        <f t="shared" si="892"/>
        <v>2113.9968810759124</v>
      </c>
      <c r="AO1894" s="20">
        <f t="shared" si="893"/>
        <v>0</v>
      </c>
      <c r="AQ1894" s="109">
        <f t="shared" si="894"/>
        <v>0</v>
      </c>
      <c r="AU1894" s="109">
        <f t="shared" si="909"/>
        <v>22.97488446440445</v>
      </c>
      <c r="AV1894" s="101">
        <f t="shared" si="895"/>
        <v>97074</v>
      </c>
      <c r="AW1894" s="99">
        <f t="shared" si="896"/>
        <v>0</v>
      </c>
      <c r="AX1894" s="1">
        <f t="shared" si="897"/>
        <v>0</v>
      </c>
      <c r="AY1894" s="29">
        <f t="shared" si="898"/>
        <v>0</v>
      </c>
      <c r="AZ1894" s="1">
        <f t="shared" si="910"/>
        <v>0</v>
      </c>
      <c r="CB1894" s="20">
        <f t="shared" si="889"/>
        <v>0</v>
      </c>
      <c r="CC1894" s="173">
        <f t="shared" si="911"/>
        <v>0</v>
      </c>
    </row>
    <row r="1895" spans="10:81" x14ac:dyDescent="0.25">
      <c r="J1895" s="7"/>
      <c r="K1895" s="8"/>
      <c r="L1895" s="16"/>
      <c r="M1895" s="22"/>
      <c r="N1895" s="22"/>
      <c r="O1895" s="22"/>
      <c r="P1895" s="22"/>
      <c r="Q1895" s="1">
        <f t="shared" si="912"/>
        <v>0.60744618579017706</v>
      </c>
      <c r="R1895" s="12">
        <f t="shared" ca="1" si="899"/>
        <v>55952</v>
      </c>
      <c r="S1895" s="88">
        <f t="shared" si="908"/>
        <v>0</v>
      </c>
      <c r="T1895" s="19">
        <f t="shared" si="900"/>
        <v>0</v>
      </c>
      <c r="U1895" s="19">
        <f t="shared" si="901"/>
        <v>0</v>
      </c>
      <c r="V1895" s="19">
        <f t="shared" si="917"/>
        <v>0</v>
      </c>
      <c r="W1895" s="20">
        <f t="shared" ca="1" si="902"/>
        <v>0</v>
      </c>
      <c r="X1895" s="19">
        <f t="shared" ca="1" si="903"/>
        <v>0</v>
      </c>
      <c r="Y1895" s="19">
        <f t="shared" ca="1" si="904"/>
        <v>0</v>
      </c>
      <c r="Z1895" s="20">
        <f t="shared" ca="1" si="905"/>
        <v>0</v>
      </c>
      <c r="AA1895" s="1">
        <f t="shared" si="913"/>
        <v>5432.58</v>
      </c>
      <c r="AB1895" s="91"/>
      <c r="AC1895" s="92"/>
      <c r="AD1895" s="101">
        <f t="shared" si="914"/>
        <v>97074</v>
      </c>
      <c r="AE1895" s="103">
        <f t="shared" si="915"/>
        <v>0</v>
      </c>
      <c r="AG1895" s="1">
        <f t="shared" si="906"/>
        <v>0</v>
      </c>
      <c r="AH1895" s="1">
        <f t="shared" si="907"/>
        <v>0</v>
      </c>
      <c r="AI1895" s="1">
        <f t="shared" si="916"/>
        <v>5432.58</v>
      </c>
      <c r="AJ1895" s="20">
        <f t="shared" si="888"/>
        <v>0</v>
      </c>
      <c r="AK1895" s="100">
        <f t="shared" si="890"/>
        <v>0</v>
      </c>
      <c r="AL1895" s="100">
        <f t="shared" si="891"/>
        <v>0</v>
      </c>
      <c r="AN1895" s="100">
        <f t="shared" si="892"/>
        <v>2112.9273063816509</v>
      </c>
      <c r="AO1895" s="20">
        <f t="shared" si="893"/>
        <v>0</v>
      </c>
      <c r="AQ1895" s="109">
        <f t="shared" si="894"/>
        <v>0</v>
      </c>
      <c r="AU1895" s="109">
        <f t="shared" si="909"/>
        <v>22.972867957106001</v>
      </c>
      <c r="AV1895" s="101">
        <f t="shared" si="895"/>
        <v>97104</v>
      </c>
      <c r="AW1895" s="99">
        <f t="shared" si="896"/>
        <v>0</v>
      </c>
      <c r="AX1895" s="1">
        <f t="shared" si="897"/>
        <v>0</v>
      </c>
      <c r="AY1895" s="29">
        <f t="shared" si="898"/>
        <v>0</v>
      </c>
      <c r="AZ1895" s="1">
        <f t="shared" si="910"/>
        <v>0</v>
      </c>
      <c r="CB1895" s="20">
        <f t="shared" si="889"/>
        <v>0</v>
      </c>
      <c r="CC1895" s="173">
        <f t="shared" si="911"/>
        <v>0</v>
      </c>
    </row>
    <row r="1896" spans="10:81" x14ac:dyDescent="0.25">
      <c r="J1896" s="9"/>
      <c r="K1896" s="10"/>
      <c r="L1896" s="17"/>
      <c r="M1896" s="23"/>
      <c r="N1896" s="23"/>
      <c r="O1896" s="23"/>
      <c r="P1896" s="23"/>
      <c r="Q1896" s="1">
        <f t="shared" si="912"/>
        <v>0.60744618579017706</v>
      </c>
      <c r="R1896" s="12">
        <f t="shared" ca="1" si="899"/>
        <v>55982</v>
      </c>
      <c r="S1896" s="88">
        <f t="shared" si="908"/>
        <v>0</v>
      </c>
      <c r="T1896" s="19">
        <f t="shared" si="900"/>
        <v>0</v>
      </c>
      <c r="U1896" s="19">
        <f t="shared" si="901"/>
        <v>0</v>
      </c>
      <c r="V1896" s="19">
        <f t="shared" si="917"/>
        <v>0</v>
      </c>
      <c r="W1896" s="20">
        <f t="shared" ca="1" si="902"/>
        <v>0</v>
      </c>
      <c r="X1896" s="19">
        <f t="shared" ca="1" si="903"/>
        <v>0</v>
      </c>
      <c r="Y1896" s="19">
        <f t="shared" ca="1" si="904"/>
        <v>0</v>
      </c>
      <c r="Z1896" s="20">
        <f t="shared" ca="1" si="905"/>
        <v>0</v>
      </c>
      <c r="AA1896" s="1">
        <f t="shared" si="913"/>
        <v>5432.58</v>
      </c>
      <c r="AB1896" s="93"/>
      <c r="AC1896" s="94"/>
      <c r="AD1896" s="101">
        <f t="shared" si="914"/>
        <v>97104</v>
      </c>
      <c r="AE1896" s="103">
        <f t="shared" si="915"/>
        <v>0</v>
      </c>
      <c r="AG1896" s="1">
        <f t="shared" si="906"/>
        <v>0</v>
      </c>
      <c r="AH1896" s="1">
        <f t="shared" si="907"/>
        <v>0</v>
      </c>
      <c r="AI1896" s="1">
        <f t="shared" si="916"/>
        <v>5432.58</v>
      </c>
      <c r="AJ1896" s="20">
        <f t="shared" ref="AJ1896:AJ1959" si="918">IF(ISERROR(IF(V1895+U1896+T1896+(V1895*Q1896/1200)-AA1896-P1896&lt;0,V1895,-(U1896+T1896-AA1896+P1896-AH1896))),0,IF(V1895+U1896+T1896+(V1895*Q1896/1200)-AA1896-P1896&lt;0,0,-(U1896+T1896-AA1896-AH1896)))</f>
        <v>0</v>
      </c>
      <c r="AK1896" s="100">
        <f t="shared" si="890"/>
        <v>0</v>
      </c>
      <c r="AL1896" s="100">
        <f t="shared" si="891"/>
        <v>0</v>
      </c>
      <c r="AN1896" s="100">
        <f t="shared" si="892"/>
        <v>2111.85827283768</v>
      </c>
      <c r="AO1896" s="20">
        <f t="shared" si="893"/>
        <v>0</v>
      </c>
      <c r="AQ1896" s="109">
        <f t="shared" si="894"/>
        <v>0</v>
      </c>
      <c r="AU1896" s="109">
        <f t="shared" si="909"/>
        <v>22.970851626796534</v>
      </c>
      <c r="AV1896" s="101">
        <f t="shared" si="895"/>
        <v>97134</v>
      </c>
      <c r="AW1896" s="99">
        <f t="shared" si="896"/>
        <v>0</v>
      </c>
      <c r="AX1896" s="1">
        <f t="shared" si="897"/>
        <v>0</v>
      </c>
      <c r="AY1896" s="29">
        <f t="shared" si="898"/>
        <v>0</v>
      </c>
      <c r="AZ1896" s="1">
        <f t="shared" si="910"/>
        <v>0</v>
      </c>
      <c r="CB1896" s="20">
        <f t="shared" si="889"/>
        <v>0</v>
      </c>
      <c r="CC1896" s="173">
        <f t="shared" si="911"/>
        <v>0</v>
      </c>
    </row>
    <row r="1897" spans="10:81" x14ac:dyDescent="0.25">
      <c r="J1897" s="7"/>
      <c r="K1897" s="8"/>
      <c r="L1897" s="16"/>
      <c r="M1897" s="22"/>
      <c r="N1897" s="22"/>
      <c r="O1897" s="22"/>
      <c r="P1897" s="22"/>
      <c r="Q1897" s="1">
        <f t="shared" si="912"/>
        <v>0.60744618579017706</v>
      </c>
      <c r="R1897" s="12">
        <f t="shared" ca="1" si="899"/>
        <v>56012</v>
      </c>
      <c r="S1897" s="88">
        <f t="shared" si="908"/>
        <v>0</v>
      </c>
      <c r="T1897" s="19">
        <f t="shared" si="900"/>
        <v>0</v>
      </c>
      <c r="U1897" s="19">
        <f t="shared" si="901"/>
        <v>0</v>
      </c>
      <c r="V1897" s="19">
        <f t="shared" si="917"/>
        <v>0</v>
      </c>
      <c r="W1897" s="20">
        <f t="shared" ca="1" si="902"/>
        <v>0</v>
      </c>
      <c r="X1897" s="19">
        <f t="shared" ca="1" si="903"/>
        <v>0</v>
      </c>
      <c r="Y1897" s="19">
        <f t="shared" ca="1" si="904"/>
        <v>0</v>
      </c>
      <c r="Z1897" s="20">
        <f t="shared" ca="1" si="905"/>
        <v>0</v>
      </c>
      <c r="AA1897" s="1">
        <f t="shared" si="913"/>
        <v>5432.58</v>
      </c>
      <c r="AB1897" s="91"/>
      <c r="AC1897" s="92"/>
      <c r="AD1897" s="101">
        <f t="shared" si="914"/>
        <v>97134</v>
      </c>
      <c r="AE1897" s="103">
        <f t="shared" si="915"/>
        <v>0</v>
      </c>
      <c r="AG1897" s="1">
        <f t="shared" si="906"/>
        <v>0</v>
      </c>
      <c r="AH1897" s="1">
        <f t="shared" si="907"/>
        <v>0</v>
      </c>
      <c r="AI1897" s="1">
        <f t="shared" si="916"/>
        <v>5432.58</v>
      </c>
      <c r="AJ1897" s="20">
        <f t="shared" si="918"/>
        <v>0</v>
      </c>
      <c r="AK1897" s="100">
        <f t="shared" si="890"/>
        <v>0</v>
      </c>
      <c r="AL1897" s="100">
        <f t="shared" si="891"/>
        <v>0</v>
      </c>
      <c r="AN1897" s="100">
        <f t="shared" si="892"/>
        <v>2110.7897801702052</v>
      </c>
      <c r="AO1897" s="20">
        <f t="shared" si="893"/>
        <v>0</v>
      </c>
      <c r="AQ1897" s="109">
        <f t="shared" si="894"/>
        <v>0</v>
      </c>
      <c r="AU1897" s="109">
        <f t="shared" si="909"/>
        <v>22.968835473460526</v>
      </c>
      <c r="AV1897" s="101">
        <f t="shared" si="895"/>
        <v>97164</v>
      </c>
      <c r="AW1897" s="99">
        <f t="shared" si="896"/>
        <v>0</v>
      </c>
      <c r="AX1897" s="1">
        <f t="shared" si="897"/>
        <v>0</v>
      </c>
      <c r="AY1897" s="29">
        <f t="shared" si="898"/>
        <v>0</v>
      </c>
      <c r="AZ1897" s="1">
        <f t="shared" si="910"/>
        <v>0</v>
      </c>
      <c r="CB1897" s="20">
        <f t="shared" si="889"/>
        <v>0</v>
      </c>
      <c r="CC1897" s="173">
        <f t="shared" si="911"/>
        <v>0</v>
      </c>
    </row>
    <row r="1898" spans="10:81" x14ac:dyDescent="0.25">
      <c r="J1898" s="9"/>
      <c r="K1898" s="10"/>
      <c r="L1898" s="17"/>
      <c r="M1898" s="23"/>
      <c r="N1898" s="23"/>
      <c r="O1898" s="23"/>
      <c r="P1898" s="23"/>
      <c r="Q1898" s="1">
        <f t="shared" si="912"/>
        <v>0.60744618579017706</v>
      </c>
      <c r="R1898" s="12">
        <f t="shared" ca="1" si="899"/>
        <v>56042</v>
      </c>
      <c r="S1898" s="88">
        <f t="shared" si="908"/>
        <v>0</v>
      </c>
      <c r="T1898" s="19">
        <f t="shared" si="900"/>
        <v>0</v>
      </c>
      <c r="U1898" s="19">
        <f t="shared" si="901"/>
        <v>0</v>
      </c>
      <c r="V1898" s="19">
        <f t="shared" si="917"/>
        <v>0</v>
      </c>
      <c r="W1898" s="20">
        <f t="shared" ca="1" si="902"/>
        <v>0</v>
      </c>
      <c r="X1898" s="19">
        <f t="shared" ca="1" si="903"/>
        <v>0</v>
      </c>
      <c r="Y1898" s="19">
        <f t="shared" ca="1" si="904"/>
        <v>0</v>
      </c>
      <c r="Z1898" s="20">
        <f t="shared" ca="1" si="905"/>
        <v>0</v>
      </c>
      <c r="AA1898" s="1">
        <f t="shared" si="913"/>
        <v>5432.58</v>
      </c>
      <c r="AB1898" s="93"/>
      <c r="AC1898" s="94"/>
      <c r="AD1898" s="101">
        <f t="shared" si="914"/>
        <v>97164</v>
      </c>
      <c r="AE1898" s="103">
        <f t="shared" si="915"/>
        <v>0</v>
      </c>
      <c r="AG1898" s="1">
        <f t="shared" si="906"/>
        <v>0</v>
      </c>
      <c r="AH1898" s="1">
        <f t="shared" si="907"/>
        <v>0</v>
      </c>
      <c r="AI1898" s="1">
        <f t="shared" si="916"/>
        <v>5432.58</v>
      </c>
      <c r="AJ1898" s="20">
        <f t="shared" si="918"/>
        <v>0</v>
      </c>
      <c r="AK1898" s="100">
        <f t="shared" si="890"/>
        <v>0</v>
      </c>
      <c r="AL1898" s="100">
        <f t="shared" si="891"/>
        <v>0</v>
      </c>
      <c r="AN1898" s="100">
        <f t="shared" si="892"/>
        <v>2109.7218281055711</v>
      </c>
      <c r="AO1898" s="20">
        <f t="shared" si="893"/>
        <v>0</v>
      </c>
      <c r="AQ1898" s="109">
        <f t="shared" si="894"/>
        <v>0</v>
      </c>
      <c r="AU1898" s="109">
        <f t="shared" si="909"/>
        <v>22.966819497082458</v>
      </c>
      <c r="AV1898" s="101">
        <f t="shared" si="895"/>
        <v>97194</v>
      </c>
      <c r="AW1898" s="99">
        <f t="shared" si="896"/>
        <v>0</v>
      </c>
      <c r="AX1898" s="1">
        <f t="shared" si="897"/>
        <v>0</v>
      </c>
      <c r="AY1898" s="29">
        <f t="shared" si="898"/>
        <v>0</v>
      </c>
      <c r="AZ1898" s="1">
        <f t="shared" si="910"/>
        <v>0</v>
      </c>
      <c r="CB1898" s="20">
        <f t="shared" si="889"/>
        <v>0</v>
      </c>
      <c r="CC1898" s="173">
        <f t="shared" si="911"/>
        <v>0</v>
      </c>
    </row>
    <row r="1899" spans="10:81" x14ac:dyDescent="0.25">
      <c r="J1899" s="7"/>
      <c r="K1899" s="8"/>
      <c r="L1899" s="16"/>
      <c r="M1899" s="22"/>
      <c r="N1899" s="22"/>
      <c r="O1899" s="22"/>
      <c r="P1899" s="22"/>
      <c r="Q1899" s="1">
        <f t="shared" si="912"/>
        <v>0.60744618579017706</v>
      </c>
      <c r="R1899" s="12">
        <f t="shared" ca="1" si="899"/>
        <v>56072</v>
      </c>
      <c r="S1899" s="88">
        <f t="shared" si="908"/>
        <v>0</v>
      </c>
      <c r="T1899" s="19">
        <f t="shared" si="900"/>
        <v>0</v>
      </c>
      <c r="U1899" s="19">
        <f t="shared" si="901"/>
        <v>0</v>
      </c>
      <c r="V1899" s="19">
        <f t="shared" si="917"/>
        <v>0</v>
      </c>
      <c r="W1899" s="20">
        <f t="shared" ca="1" si="902"/>
        <v>0</v>
      </c>
      <c r="X1899" s="19">
        <f t="shared" ca="1" si="903"/>
        <v>0</v>
      </c>
      <c r="Y1899" s="19">
        <f t="shared" ca="1" si="904"/>
        <v>0</v>
      </c>
      <c r="Z1899" s="20">
        <f t="shared" ca="1" si="905"/>
        <v>0</v>
      </c>
      <c r="AA1899" s="1">
        <f t="shared" si="913"/>
        <v>5432.58</v>
      </c>
      <c r="AB1899" s="91"/>
      <c r="AC1899" s="92"/>
      <c r="AD1899" s="101">
        <f t="shared" si="914"/>
        <v>97194</v>
      </c>
      <c r="AE1899" s="103">
        <f t="shared" si="915"/>
        <v>0</v>
      </c>
      <c r="AG1899" s="1">
        <f t="shared" si="906"/>
        <v>0</v>
      </c>
      <c r="AH1899" s="1">
        <f t="shared" si="907"/>
        <v>0</v>
      </c>
      <c r="AI1899" s="1">
        <f t="shared" si="916"/>
        <v>5432.58</v>
      </c>
      <c r="AJ1899" s="20">
        <f t="shared" si="918"/>
        <v>0</v>
      </c>
      <c r="AK1899" s="100">
        <f t="shared" si="890"/>
        <v>0</v>
      </c>
      <c r="AL1899" s="100">
        <f t="shared" si="891"/>
        <v>0</v>
      </c>
      <c r="AN1899" s="100">
        <f t="shared" si="892"/>
        <v>2108.6544163702597</v>
      </c>
      <c r="AO1899" s="20">
        <f t="shared" si="893"/>
        <v>0</v>
      </c>
      <c r="AQ1899" s="109">
        <f t="shared" si="894"/>
        <v>0</v>
      </c>
      <c r="AU1899" s="109">
        <f t="shared" si="909"/>
        <v>22.964803697646772</v>
      </c>
      <c r="AV1899" s="101">
        <f t="shared" si="895"/>
        <v>97224</v>
      </c>
      <c r="AW1899" s="99">
        <f t="shared" si="896"/>
        <v>0</v>
      </c>
      <c r="AX1899" s="1">
        <f t="shared" si="897"/>
        <v>0</v>
      </c>
      <c r="AY1899" s="29">
        <f t="shared" si="898"/>
        <v>0</v>
      </c>
      <c r="AZ1899" s="1">
        <f t="shared" si="910"/>
        <v>0</v>
      </c>
      <c r="CB1899" s="20">
        <f t="shared" si="889"/>
        <v>0</v>
      </c>
      <c r="CC1899" s="173">
        <f t="shared" si="911"/>
        <v>0</v>
      </c>
    </row>
    <row r="1900" spans="10:81" x14ac:dyDescent="0.25">
      <c r="J1900" s="9"/>
      <c r="K1900" s="10"/>
      <c r="L1900" s="17"/>
      <c r="M1900" s="23"/>
      <c r="N1900" s="23"/>
      <c r="O1900" s="23"/>
      <c r="P1900" s="23"/>
      <c r="Q1900" s="1">
        <f t="shared" si="912"/>
        <v>0.60744618579017706</v>
      </c>
      <c r="R1900" s="12">
        <f t="shared" ca="1" si="899"/>
        <v>56102</v>
      </c>
      <c r="S1900" s="88">
        <f t="shared" si="908"/>
        <v>0</v>
      </c>
      <c r="T1900" s="19">
        <f t="shared" si="900"/>
        <v>0</v>
      </c>
      <c r="U1900" s="19">
        <f t="shared" si="901"/>
        <v>0</v>
      </c>
      <c r="V1900" s="19">
        <f t="shared" si="917"/>
        <v>0</v>
      </c>
      <c r="W1900" s="20">
        <f t="shared" ca="1" si="902"/>
        <v>0</v>
      </c>
      <c r="X1900" s="19">
        <f t="shared" ca="1" si="903"/>
        <v>0</v>
      </c>
      <c r="Y1900" s="19">
        <f t="shared" ca="1" si="904"/>
        <v>0</v>
      </c>
      <c r="Z1900" s="20">
        <f t="shared" ca="1" si="905"/>
        <v>0</v>
      </c>
      <c r="AA1900" s="1">
        <f t="shared" si="913"/>
        <v>5432.58</v>
      </c>
      <c r="AB1900" s="93"/>
      <c r="AC1900" s="94"/>
      <c r="AD1900" s="101">
        <f t="shared" si="914"/>
        <v>97224</v>
      </c>
      <c r="AE1900" s="103">
        <f t="shared" si="915"/>
        <v>0</v>
      </c>
      <c r="AG1900" s="1">
        <f t="shared" si="906"/>
        <v>0</v>
      </c>
      <c r="AH1900" s="1">
        <f t="shared" si="907"/>
        <v>0</v>
      </c>
      <c r="AI1900" s="1">
        <f t="shared" si="916"/>
        <v>5432.58</v>
      </c>
      <c r="AJ1900" s="20">
        <f t="shared" si="918"/>
        <v>0</v>
      </c>
      <c r="AK1900" s="100">
        <f t="shared" si="890"/>
        <v>0</v>
      </c>
      <c r="AL1900" s="100">
        <f t="shared" si="891"/>
        <v>0</v>
      </c>
      <c r="AN1900" s="100">
        <f t="shared" si="892"/>
        <v>2107.5875446908913</v>
      </c>
      <c r="AO1900" s="20">
        <f t="shared" si="893"/>
        <v>0</v>
      </c>
      <c r="AQ1900" s="109">
        <f t="shared" si="894"/>
        <v>0</v>
      </c>
      <c r="AU1900" s="109">
        <f t="shared" si="909"/>
        <v>22.962788075137968</v>
      </c>
      <c r="AV1900" s="101">
        <f t="shared" si="895"/>
        <v>97254</v>
      </c>
      <c r="AW1900" s="99">
        <f t="shared" si="896"/>
        <v>0</v>
      </c>
      <c r="AX1900" s="1">
        <f t="shared" si="897"/>
        <v>0</v>
      </c>
      <c r="AY1900" s="29">
        <f t="shared" si="898"/>
        <v>0</v>
      </c>
      <c r="AZ1900" s="1">
        <f t="shared" si="910"/>
        <v>0</v>
      </c>
      <c r="CB1900" s="20">
        <f t="shared" si="889"/>
        <v>0</v>
      </c>
      <c r="CC1900" s="173">
        <f t="shared" si="911"/>
        <v>0</v>
      </c>
    </row>
    <row r="1901" spans="10:81" x14ac:dyDescent="0.25">
      <c r="J1901" s="7"/>
      <c r="K1901" s="8"/>
      <c r="L1901" s="16"/>
      <c r="M1901" s="22"/>
      <c r="N1901" s="22"/>
      <c r="O1901" s="22"/>
      <c r="P1901" s="22"/>
      <c r="Q1901" s="1">
        <f t="shared" si="912"/>
        <v>0.60744618579017706</v>
      </c>
      <c r="R1901" s="12">
        <f t="shared" ca="1" si="899"/>
        <v>56132</v>
      </c>
      <c r="S1901" s="88">
        <f t="shared" si="908"/>
        <v>0</v>
      </c>
      <c r="T1901" s="19">
        <f t="shared" si="900"/>
        <v>0</v>
      </c>
      <c r="U1901" s="19">
        <f t="shared" si="901"/>
        <v>0</v>
      </c>
      <c r="V1901" s="19">
        <f t="shared" si="917"/>
        <v>0</v>
      </c>
      <c r="W1901" s="20">
        <f t="shared" ca="1" si="902"/>
        <v>0</v>
      </c>
      <c r="X1901" s="19">
        <f t="shared" ca="1" si="903"/>
        <v>0</v>
      </c>
      <c r="Y1901" s="19">
        <f t="shared" ca="1" si="904"/>
        <v>0</v>
      </c>
      <c r="Z1901" s="20">
        <f t="shared" ca="1" si="905"/>
        <v>0</v>
      </c>
      <c r="AA1901" s="1">
        <f t="shared" si="913"/>
        <v>5432.58</v>
      </c>
      <c r="AB1901" s="91"/>
      <c r="AC1901" s="92"/>
      <c r="AD1901" s="101">
        <f t="shared" si="914"/>
        <v>97254</v>
      </c>
      <c r="AE1901" s="103">
        <f t="shared" si="915"/>
        <v>0</v>
      </c>
      <c r="AG1901" s="1">
        <f t="shared" si="906"/>
        <v>0</v>
      </c>
      <c r="AH1901" s="1">
        <f t="shared" si="907"/>
        <v>0</v>
      </c>
      <c r="AI1901" s="1">
        <f t="shared" si="916"/>
        <v>5432.58</v>
      </c>
      <c r="AJ1901" s="20">
        <f t="shared" si="918"/>
        <v>0</v>
      </c>
      <c r="AK1901" s="100">
        <f t="shared" si="890"/>
        <v>0</v>
      </c>
      <c r="AL1901" s="100">
        <f t="shared" si="891"/>
        <v>0</v>
      </c>
      <c r="AN1901" s="100">
        <f t="shared" si="892"/>
        <v>2106.5212127942264</v>
      </c>
      <c r="AO1901" s="20">
        <f t="shared" si="893"/>
        <v>0</v>
      </c>
      <c r="AQ1901" s="109">
        <f t="shared" si="894"/>
        <v>0</v>
      </c>
      <c r="AU1901" s="109">
        <f t="shared" si="909"/>
        <v>22.960772629540482</v>
      </c>
      <c r="AV1901" s="101">
        <f t="shared" si="895"/>
        <v>97284</v>
      </c>
      <c r="AW1901" s="99">
        <f t="shared" si="896"/>
        <v>0</v>
      </c>
      <c r="AX1901" s="1">
        <f t="shared" si="897"/>
        <v>0</v>
      </c>
      <c r="AY1901" s="29">
        <f t="shared" si="898"/>
        <v>0</v>
      </c>
      <c r="AZ1901" s="1">
        <f t="shared" si="910"/>
        <v>0</v>
      </c>
      <c r="CB1901" s="20">
        <f t="shared" si="889"/>
        <v>0</v>
      </c>
      <c r="CC1901" s="173">
        <f t="shared" si="911"/>
        <v>0</v>
      </c>
    </row>
    <row r="1902" spans="10:81" x14ac:dyDescent="0.25">
      <c r="J1902" s="9"/>
      <c r="K1902" s="10"/>
      <c r="L1902" s="17"/>
      <c r="M1902" s="23"/>
      <c r="N1902" s="23"/>
      <c r="O1902" s="23"/>
      <c r="P1902" s="23"/>
      <c r="Q1902" s="1">
        <f t="shared" si="912"/>
        <v>0.60744618579017706</v>
      </c>
      <c r="R1902" s="12">
        <f t="shared" ca="1" si="899"/>
        <v>56162</v>
      </c>
      <c r="S1902" s="88">
        <f t="shared" si="908"/>
        <v>0</v>
      </c>
      <c r="T1902" s="19">
        <f t="shared" si="900"/>
        <v>0</v>
      </c>
      <c r="U1902" s="19">
        <f t="shared" si="901"/>
        <v>0</v>
      </c>
      <c r="V1902" s="19">
        <f t="shared" si="917"/>
        <v>0</v>
      </c>
      <c r="W1902" s="20">
        <f t="shared" ca="1" si="902"/>
        <v>0</v>
      </c>
      <c r="X1902" s="19">
        <f t="shared" ca="1" si="903"/>
        <v>0</v>
      </c>
      <c r="Y1902" s="19">
        <f t="shared" ca="1" si="904"/>
        <v>0</v>
      </c>
      <c r="Z1902" s="20">
        <f t="shared" ca="1" si="905"/>
        <v>0</v>
      </c>
      <c r="AA1902" s="1">
        <f t="shared" si="913"/>
        <v>5432.58</v>
      </c>
      <c r="AB1902" s="93"/>
      <c r="AC1902" s="94"/>
      <c r="AD1902" s="101">
        <f t="shared" si="914"/>
        <v>97284</v>
      </c>
      <c r="AE1902" s="103">
        <f t="shared" si="915"/>
        <v>0</v>
      </c>
      <c r="AG1902" s="1">
        <f t="shared" si="906"/>
        <v>0</v>
      </c>
      <c r="AH1902" s="1">
        <f t="shared" si="907"/>
        <v>0</v>
      </c>
      <c r="AI1902" s="1">
        <f t="shared" si="916"/>
        <v>5432.58</v>
      </c>
      <c r="AJ1902" s="20">
        <f t="shared" si="918"/>
        <v>0</v>
      </c>
      <c r="AK1902" s="100">
        <f t="shared" si="890"/>
        <v>0</v>
      </c>
      <c r="AL1902" s="100">
        <f t="shared" si="891"/>
        <v>0</v>
      </c>
      <c r="AN1902" s="100">
        <f t="shared" si="892"/>
        <v>2105.4554204071615</v>
      </c>
      <c r="AO1902" s="20">
        <f t="shared" si="893"/>
        <v>0</v>
      </c>
      <c r="AQ1902" s="109">
        <f t="shared" si="894"/>
        <v>0</v>
      </c>
      <c r="AU1902" s="109">
        <f t="shared" si="909"/>
        <v>22.958757360838813</v>
      </c>
      <c r="AV1902" s="101">
        <f t="shared" si="895"/>
        <v>97314</v>
      </c>
      <c r="AW1902" s="99">
        <f t="shared" si="896"/>
        <v>0</v>
      </c>
      <c r="AX1902" s="1">
        <f t="shared" si="897"/>
        <v>0</v>
      </c>
      <c r="AY1902" s="29">
        <f t="shared" si="898"/>
        <v>0</v>
      </c>
      <c r="AZ1902" s="1">
        <f t="shared" si="910"/>
        <v>0</v>
      </c>
      <c r="CB1902" s="20">
        <f t="shared" ref="CB1902:CB1965" si="919">IF(O1902=0,IF(P1902&gt;0,V1901,IF(O1901=0,0,P1902)),IF(O1901=0,0,P1902))</f>
        <v>0</v>
      </c>
      <c r="CC1902" s="173">
        <f t="shared" si="911"/>
        <v>0</v>
      </c>
    </row>
    <row r="1903" spans="10:81" x14ac:dyDescent="0.25">
      <c r="J1903" s="7"/>
      <c r="K1903" s="8"/>
      <c r="L1903" s="16"/>
      <c r="M1903" s="22"/>
      <c r="N1903" s="22"/>
      <c r="O1903" s="22"/>
      <c r="P1903" s="22"/>
      <c r="Q1903" s="1">
        <f t="shared" si="912"/>
        <v>0.60744618579017706</v>
      </c>
      <c r="R1903" s="12">
        <f t="shared" ca="1" si="899"/>
        <v>56192</v>
      </c>
      <c r="S1903" s="88">
        <f t="shared" si="908"/>
        <v>0</v>
      </c>
      <c r="T1903" s="19">
        <f t="shared" si="900"/>
        <v>0</v>
      </c>
      <c r="U1903" s="19">
        <f t="shared" si="901"/>
        <v>0</v>
      </c>
      <c r="V1903" s="19">
        <f t="shared" si="917"/>
        <v>0</v>
      </c>
      <c r="W1903" s="20">
        <f t="shared" ca="1" si="902"/>
        <v>0</v>
      </c>
      <c r="X1903" s="19">
        <f t="shared" ca="1" si="903"/>
        <v>0</v>
      </c>
      <c r="Y1903" s="19">
        <f t="shared" ca="1" si="904"/>
        <v>0</v>
      </c>
      <c r="Z1903" s="20">
        <f t="shared" ca="1" si="905"/>
        <v>0</v>
      </c>
      <c r="AA1903" s="1">
        <f t="shared" si="913"/>
        <v>5432.58</v>
      </c>
      <c r="AB1903" s="91"/>
      <c r="AC1903" s="92"/>
      <c r="AD1903" s="101">
        <f t="shared" si="914"/>
        <v>97314</v>
      </c>
      <c r="AE1903" s="103">
        <f t="shared" si="915"/>
        <v>0</v>
      </c>
      <c r="AG1903" s="1">
        <f t="shared" si="906"/>
        <v>0</v>
      </c>
      <c r="AH1903" s="1">
        <f t="shared" si="907"/>
        <v>0</v>
      </c>
      <c r="AI1903" s="1">
        <f t="shared" si="916"/>
        <v>5432.58</v>
      </c>
      <c r="AJ1903" s="20">
        <f t="shared" si="918"/>
        <v>0</v>
      </c>
      <c r="AK1903" s="100">
        <f t="shared" si="890"/>
        <v>0</v>
      </c>
      <c r="AL1903" s="100">
        <f t="shared" si="891"/>
        <v>0</v>
      </c>
      <c r="AN1903" s="100">
        <f t="shared" si="892"/>
        <v>2104.3901672567326</v>
      </c>
      <c r="AO1903" s="20">
        <f t="shared" si="893"/>
        <v>0</v>
      </c>
      <c r="AQ1903" s="109">
        <f t="shared" si="894"/>
        <v>0</v>
      </c>
      <c r="AU1903" s="109">
        <f t="shared" si="909"/>
        <v>22.956742269017422</v>
      </c>
      <c r="AV1903" s="101">
        <f t="shared" si="895"/>
        <v>97344</v>
      </c>
      <c r="AW1903" s="99">
        <f t="shared" si="896"/>
        <v>0</v>
      </c>
      <c r="AX1903" s="1">
        <f t="shared" si="897"/>
        <v>0</v>
      </c>
      <c r="AY1903" s="29">
        <f t="shared" si="898"/>
        <v>0</v>
      </c>
      <c r="AZ1903" s="1">
        <f t="shared" si="910"/>
        <v>0</v>
      </c>
      <c r="CB1903" s="20">
        <f t="shared" si="919"/>
        <v>0</v>
      </c>
      <c r="CC1903" s="173">
        <f t="shared" si="911"/>
        <v>0</v>
      </c>
    </row>
    <row r="1904" spans="10:81" x14ac:dyDescent="0.25">
      <c r="J1904" s="9"/>
      <c r="K1904" s="10"/>
      <c r="L1904" s="17"/>
      <c r="M1904" s="23"/>
      <c r="N1904" s="23"/>
      <c r="O1904" s="23"/>
      <c r="P1904" s="23"/>
      <c r="Q1904" s="1">
        <f t="shared" si="912"/>
        <v>0.60744618579017706</v>
      </c>
      <c r="R1904" s="12">
        <f t="shared" ca="1" si="899"/>
        <v>56222</v>
      </c>
      <c r="S1904" s="88">
        <f t="shared" si="908"/>
        <v>0</v>
      </c>
      <c r="T1904" s="19">
        <f t="shared" si="900"/>
        <v>0</v>
      </c>
      <c r="U1904" s="19">
        <f t="shared" si="901"/>
        <v>0</v>
      </c>
      <c r="V1904" s="19">
        <f t="shared" si="917"/>
        <v>0</v>
      </c>
      <c r="W1904" s="20">
        <f t="shared" ca="1" si="902"/>
        <v>0</v>
      </c>
      <c r="X1904" s="19">
        <f t="shared" ca="1" si="903"/>
        <v>0</v>
      </c>
      <c r="Y1904" s="19">
        <f t="shared" ca="1" si="904"/>
        <v>0</v>
      </c>
      <c r="Z1904" s="20">
        <f t="shared" ca="1" si="905"/>
        <v>0</v>
      </c>
      <c r="AA1904" s="1">
        <f t="shared" si="913"/>
        <v>5432.58</v>
      </c>
      <c r="AB1904" s="93"/>
      <c r="AC1904" s="94"/>
      <c r="AD1904" s="101">
        <f t="shared" si="914"/>
        <v>97344</v>
      </c>
      <c r="AE1904" s="103">
        <f t="shared" si="915"/>
        <v>0</v>
      </c>
      <c r="AG1904" s="1">
        <f t="shared" si="906"/>
        <v>0</v>
      </c>
      <c r="AH1904" s="1">
        <f t="shared" si="907"/>
        <v>0</v>
      </c>
      <c r="AI1904" s="1">
        <f t="shared" si="916"/>
        <v>5432.58</v>
      </c>
      <c r="AJ1904" s="20">
        <f t="shared" si="918"/>
        <v>0</v>
      </c>
      <c r="AK1904" s="100">
        <f t="shared" si="890"/>
        <v>0</v>
      </c>
      <c r="AL1904" s="100">
        <f t="shared" si="891"/>
        <v>0</v>
      </c>
      <c r="AN1904" s="100">
        <f t="shared" si="892"/>
        <v>2103.3254530701133</v>
      </c>
      <c r="AO1904" s="20">
        <f t="shared" si="893"/>
        <v>0</v>
      </c>
      <c r="AQ1904" s="109">
        <f t="shared" si="894"/>
        <v>0</v>
      </c>
      <c r="AU1904" s="109">
        <f t="shared" si="909"/>
        <v>22.954727354060793</v>
      </c>
      <c r="AV1904" s="101">
        <f t="shared" si="895"/>
        <v>97374</v>
      </c>
      <c r="AW1904" s="99">
        <f t="shared" si="896"/>
        <v>0</v>
      </c>
      <c r="AX1904" s="1">
        <f t="shared" si="897"/>
        <v>0</v>
      </c>
      <c r="AY1904" s="29">
        <f t="shared" si="898"/>
        <v>0</v>
      </c>
      <c r="AZ1904" s="1">
        <f t="shared" si="910"/>
        <v>0</v>
      </c>
      <c r="CB1904" s="20">
        <f t="shared" si="919"/>
        <v>0</v>
      </c>
      <c r="CC1904" s="173">
        <f t="shared" si="911"/>
        <v>0</v>
      </c>
    </row>
    <row r="1905" spans="10:81" x14ac:dyDescent="0.25">
      <c r="J1905" s="7"/>
      <c r="K1905" s="8"/>
      <c r="L1905" s="16"/>
      <c r="M1905" s="22"/>
      <c r="N1905" s="22"/>
      <c r="O1905" s="22"/>
      <c r="P1905" s="22"/>
      <c r="Q1905" s="1">
        <f t="shared" si="912"/>
        <v>0.60744618579017706</v>
      </c>
      <c r="R1905" s="12">
        <f t="shared" ca="1" si="899"/>
        <v>56252</v>
      </c>
      <c r="S1905" s="88">
        <f t="shared" si="908"/>
        <v>0</v>
      </c>
      <c r="T1905" s="19">
        <f t="shared" si="900"/>
        <v>0</v>
      </c>
      <c r="U1905" s="19">
        <f t="shared" si="901"/>
        <v>0</v>
      </c>
      <c r="V1905" s="19">
        <f t="shared" si="917"/>
        <v>0</v>
      </c>
      <c r="W1905" s="20">
        <f t="shared" ca="1" si="902"/>
        <v>0</v>
      </c>
      <c r="X1905" s="19">
        <f t="shared" ca="1" si="903"/>
        <v>0</v>
      </c>
      <c r="Y1905" s="19">
        <f t="shared" ca="1" si="904"/>
        <v>0</v>
      </c>
      <c r="Z1905" s="20">
        <f t="shared" ca="1" si="905"/>
        <v>0</v>
      </c>
      <c r="AA1905" s="1">
        <f t="shared" si="913"/>
        <v>5432.58</v>
      </c>
      <c r="AB1905" s="91"/>
      <c r="AC1905" s="92"/>
      <c r="AD1905" s="101">
        <f t="shared" si="914"/>
        <v>97374</v>
      </c>
      <c r="AE1905" s="103">
        <f t="shared" si="915"/>
        <v>0</v>
      </c>
      <c r="AG1905" s="1">
        <f t="shared" si="906"/>
        <v>0</v>
      </c>
      <c r="AH1905" s="1">
        <f t="shared" si="907"/>
        <v>0</v>
      </c>
      <c r="AI1905" s="1">
        <f t="shared" si="916"/>
        <v>5432.58</v>
      </c>
      <c r="AJ1905" s="20">
        <f t="shared" si="918"/>
        <v>0</v>
      </c>
      <c r="AK1905" s="100">
        <f t="shared" si="890"/>
        <v>0</v>
      </c>
      <c r="AL1905" s="100">
        <f t="shared" si="891"/>
        <v>0</v>
      </c>
      <c r="AN1905" s="100">
        <f t="shared" si="892"/>
        <v>2102.2612775746156</v>
      </c>
      <c r="AO1905" s="20">
        <f t="shared" si="893"/>
        <v>0</v>
      </c>
      <c r="AQ1905" s="109">
        <f t="shared" si="894"/>
        <v>0</v>
      </c>
      <c r="AU1905" s="109">
        <f t="shared" si="909"/>
        <v>22.952712615953402</v>
      </c>
      <c r="AV1905" s="101">
        <f t="shared" si="895"/>
        <v>97404</v>
      </c>
      <c r="AW1905" s="99">
        <f t="shared" si="896"/>
        <v>0</v>
      </c>
      <c r="AX1905" s="1">
        <f t="shared" si="897"/>
        <v>0</v>
      </c>
      <c r="AY1905" s="29">
        <f t="shared" si="898"/>
        <v>0</v>
      </c>
      <c r="AZ1905" s="1">
        <f t="shared" si="910"/>
        <v>0</v>
      </c>
      <c r="CB1905" s="20">
        <f t="shared" si="919"/>
        <v>0</v>
      </c>
      <c r="CC1905" s="173">
        <f t="shared" si="911"/>
        <v>0</v>
      </c>
    </row>
    <row r="1906" spans="10:81" x14ac:dyDescent="0.25">
      <c r="J1906" s="9"/>
      <c r="K1906" s="10"/>
      <c r="L1906" s="17"/>
      <c r="M1906" s="23"/>
      <c r="N1906" s="23"/>
      <c r="O1906" s="23"/>
      <c r="P1906" s="23"/>
      <c r="Q1906" s="1">
        <f t="shared" si="912"/>
        <v>0.60744618579017706</v>
      </c>
      <c r="R1906" s="12">
        <f t="shared" ca="1" si="899"/>
        <v>56282</v>
      </c>
      <c r="S1906" s="88">
        <f t="shared" si="908"/>
        <v>0</v>
      </c>
      <c r="T1906" s="19">
        <f t="shared" si="900"/>
        <v>0</v>
      </c>
      <c r="U1906" s="19">
        <f t="shared" si="901"/>
        <v>0</v>
      </c>
      <c r="V1906" s="19">
        <f t="shared" si="917"/>
        <v>0</v>
      </c>
      <c r="W1906" s="20">
        <f t="shared" ca="1" si="902"/>
        <v>0</v>
      </c>
      <c r="X1906" s="19">
        <f t="shared" ca="1" si="903"/>
        <v>0</v>
      </c>
      <c r="Y1906" s="19">
        <f t="shared" ca="1" si="904"/>
        <v>0</v>
      </c>
      <c r="Z1906" s="20">
        <f t="shared" ca="1" si="905"/>
        <v>0</v>
      </c>
      <c r="AA1906" s="1">
        <f t="shared" si="913"/>
        <v>5432.58</v>
      </c>
      <c r="AB1906" s="93"/>
      <c r="AC1906" s="94"/>
      <c r="AD1906" s="101">
        <f t="shared" si="914"/>
        <v>97404</v>
      </c>
      <c r="AE1906" s="103">
        <f t="shared" si="915"/>
        <v>0</v>
      </c>
      <c r="AG1906" s="1">
        <f t="shared" si="906"/>
        <v>0</v>
      </c>
      <c r="AH1906" s="1">
        <f t="shared" si="907"/>
        <v>0</v>
      </c>
      <c r="AI1906" s="1">
        <f t="shared" si="916"/>
        <v>5432.58</v>
      </c>
      <c r="AJ1906" s="20">
        <f t="shared" si="918"/>
        <v>0</v>
      </c>
      <c r="AK1906" s="100">
        <f t="shared" si="890"/>
        <v>0</v>
      </c>
      <c r="AL1906" s="100">
        <f t="shared" si="891"/>
        <v>0</v>
      </c>
      <c r="AN1906" s="100">
        <f t="shared" si="892"/>
        <v>2101.197640497689</v>
      </c>
      <c r="AO1906" s="20">
        <f t="shared" si="893"/>
        <v>0</v>
      </c>
      <c r="AQ1906" s="109">
        <f t="shared" si="894"/>
        <v>0</v>
      </c>
      <c r="AU1906" s="109">
        <f t="shared" si="909"/>
        <v>22.950698054679705</v>
      </c>
      <c r="AV1906" s="101">
        <f t="shared" si="895"/>
        <v>97434</v>
      </c>
      <c r="AW1906" s="99">
        <f t="shared" si="896"/>
        <v>0</v>
      </c>
      <c r="AX1906" s="1">
        <f t="shared" si="897"/>
        <v>0</v>
      </c>
      <c r="AY1906" s="29">
        <f t="shared" si="898"/>
        <v>0</v>
      </c>
      <c r="AZ1906" s="1">
        <f t="shared" si="910"/>
        <v>0</v>
      </c>
      <c r="CB1906" s="20">
        <f t="shared" si="919"/>
        <v>0</v>
      </c>
      <c r="CC1906" s="173">
        <f t="shared" si="911"/>
        <v>0</v>
      </c>
    </row>
    <row r="1907" spans="10:81" x14ac:dyDescent="0.25">
      <c r="J1907" s="7"/>
      <c r="K1907" s="8"/>
      <c r="L1907" s="16"/>
      <c r="M1907" s="22"/>
      <c r="N1907" s="22"/>
      <c r="O1907" s="22"/>
      <c r="P1907" s="22"/>
      <c r="Q1907" s="1">
        <f t="shared" si="912"/>
        <v>0.60744618579017706</v>
      </c>
      <c r="R1907" s="12">
        <f t="shared" ca="1" si="899"/>
        <v>56312</v>
      </c>
      <c r="S1907" s="88">
        <f t="shared" si="908"/>
        <v>0</v>
      </c>
      <c r="T1907" s="19">
        <f t="shared" si="900"/>
        <v>0</v>
      </c>
      <c r="U1907" s="19">
        <f t="shared" si="901"/>
        <v>0</v>
      </c>
      <c r="V1907" s="19">
        <f t="shared" si="917"/>
        <v>0</v>
      </c>
      <c r="W1907" s="20">
        <f t="shared" ca="1" si="902"/>
        <v>0</v>
      </c>
      <c r="X1907" s="19">
        <f t="shared" ca="1" si="903"/>
        <v>0</v>
      </c>
      <c r="Y1907" s="19">
        <f t="shared" ca="1" si="904"/>
        <v>0</v>
      </c>
      <c r="Z1907" s="20">
        <f t="shared" ca="1" si="905"/>
        <v>0</v>
      </c>
      <c r="AA1907" s="1">
        <f t="shared" si="913"/>
        <v>5432.58</v>
      </c>
      <c r="AB1907" s="91"/>
      <c r="AC1907" s="92"/>
      <c r="AD1907" s="101">
        <f t="shared" si="914"/>
        <v>97434</v>
      </c>
      <c r="AE1907" s="103">
        <f t="shared" si="915"/>
        <v>0</v>
      </c>
      <c r="AG1907" s="1">
        <f t="shared" si="906"/>
        <v>0</v>
      </c>
      <c r="AH1907" s="1">
        <f t="shared" si="907"/>
        <v>0</v>
      </c>
      <c r="AI1907" s="1">
        <f t="shared" si="916"/>
        <v>5432.58</v>
      </c>
      <c r="AJ1907" s="20">
        <f t="shared" si="918"/>
        <v>0</v>
      </c>
      <c r="AK1907" s="100">
        <f t="shared" si="890"/>
        <v>0</v>
      </c>
      <c r="AL1907" s="100">
        <f t="shared" si="891"/>
        <v>0</v>
      </c>
      <c r="AN1907" s="100">
        <f t="shared" si="892"/>
        <v>2100.1345415669207</v>
      </c>
      <c r="AO1907" s="20">
        <f t="shared" si="893"/>
        <v>0</v>
      </c>
      <c r="AQ1907" s="109">
        <f t="shared" si="894"/>
        <v>0</v>
      </c>
      <c r="AU1907" s="109">
        <f t="shared" si="909"/>
        <v>22.948683670224213</v>
      </c>
      <c r="AV1907" s="101">
        <f t="shared" si="895"/>
        <v>97464</v>
      </c>
      <c r="AW1907" s="99">
        <f t="shared" si="896"/>
        <v>0</v>
      </c>
      <c r="AX1907" s="1">
        <f t="shared" si="897"/>
        <v>0</v>
      </c>
      <c r="AY1907" s="29">
        <f t="shared" si="898"/>
        <v>0</v>
      </c>
      <c r="AZ1907" s="1">
        <f t="shared" si="910"/>
        <v>0</v>
      </c>
      <c r="CB1907" s="20">
        <f t="shared" si="919"/>
        <v>0</v>
      </c>
      <c r="CC1907" s="173">
        <f t="shared" si="911"/>
        <v>0</v>
      </c>
    </row>
    <row r="1908" spans="10:81" x14ac:dyDescent="0.25">
      <c r="J1908" s="9"/>
      <c r="K1908" s="10"/>
      <c r="L1908" s="17"/>
      <c r="M1908" s="23"/>
      <c r="N1908" s="23"/>
      <c r="O1908" s="23"/>
      <c r="P1908" s="23"/>
      <c r="Q1908" s="1">
        <f t="shared" si="912"/>
        <v>0.60744618579017706</v>
      </c>
      <c r="R1908" s="12">
        <f t="shared" ca="1" si="899"/>
        <v>56342</v>
      </c>
      <c r="S1908" s="88">
        <f t="shared" si="908"/>
        <v>0</v>
      </c>
      <c r="T1908" s="19">
        <f t="shared" si="900"/>
        <v>0</v>
      </c>
      <c r="U1908" s="19">
        <f t="shared" si="901"/>
        <v>0</v>
      </c>
      <c r="V1908" s="19">
        <f t="shared" si="917"/>
        <v>0</v>
      </c>
      <c r="W1908" s="20">
        <f t="shared" ca="1" si="902"/>
        <v>0</v>
      </c>
      <c r="X1908" s="19">
        <f t="shared" ca="1" si="903"/>
        <v>0</v>
      </c>
      <c r="Y1908" s="19">
        <f t="shared" ca="1" si="904"/>
        <v>0</v>
      </c>
      <c r="Z1908" s="20">
        <f t="shared" ca="1" si="905"/>
        <v>0</v>
      </c>
      <c r="AA1908" s="1">
        <f t="shared" si="913"/>
        <v>5432.58</v>
      </c>
      <c r="AB1908" s="93"/>
      <c r="AC1908" s="94"/>
      <c r="AD1908" s="101">
        <f t="shared" si="914"/>
        <v>97464</v>
      </c>
      <c r="AE1908" s="103">
        <f t="shared" si="915"/>
        <v>0</v>
      </c>
      <c r="AG1908" s="1">
        <f t="shared" si="906"/>
        <v>0</v>
      </c>
      <c r="AH1908" s="1">
        <f t="shared" si="907"/>
        <v>0</v>
      </c>
      <c r="AI1908" s="1">
        <f t="shared" si="916"/>
        <v>5432.58</v>
      </c>
      <c r="AJ1908" s="20">
        <f t="shared" si="918"/>
        <v>0</v>
      </c>
      <c r="AK1908" s="100">
        <f t="shared" si="890"/>
        <v>0</v>
      </c>
      <c r="AL1908" s="100">
        <f t="shared" si="891"/>
        <v>0</v>
      </c>
      <c r="AN1908" s="100">
        <f t="shared" si="892"/>
        <v>2099.0719805100375</v>
      </c>
      <c r="AO1908" s="20">
        <f t="shared" si="893"/>
        <v>0</v>
      </c>
      <c r="AQ1908" s="109">
        <f t="shared" si="894"/>
        <v>0</v>
      </c>
      <c r="AU1908" s="109">
        <f t="shared" si="909"/>
        <v>22.946669462571396</v>
      </c>
      <c r="AV1908" s="101">
        <f t="shared" si="895"/>
        <v>97494</v>
      </c>
      <c r="AW1908" s="99">
        <f t="shared" si="896"/>
        <v>0</v>
      </c>
      <c r="AX1908" s="1">
        <f t="shared" si="897"/>
        <v>0</v>
      </c>
      <c r="AY1908" s="29">
        <f t="shared" si="898"/>
        <v>0</v>
      </c>
      <c r="AZ1908" s="1">
        <f t="shared" si="910"/>
        <v>0</v>
      </c>
      <c r="CB1908" s="20">
        <f t="shared" si="919"/>
        <v>0</v>
      </c>
      <c r="CC1908" s="173">
        <f t="shared" si="911"/>
        <v>0</v>
      </c>
    </row>
    <row r="1909" spans="10:81" x14ac:dyDescent="0.25">
      <c r="J1909" s="7"/>
      <c r="K1909" s="8"/>
      <c r="L1909" s="16"/>
      <c r="M1909" s="22"/>
      <c r="N1909" s="22"/>
      <c r="O1909" s="22"/>
      <c r="P1909" s="22"/>
      <c r="Q1909" s="1">
        <f t="shared" si="912"/>
        <v>0.60744618579017706</v>
      </c>
      <c r="R1909" s="12">
        <f t="shared" ca="1" si="899"/>
        <v>56372</v>
      </c>
      <c r="S1909" s="88">
        <f t="shared" si="908"/>
        <v>0</v>
      </c>
      <c r="T1909" s="19">
        <f t="shared" si="900"/>
        <v>0</v>
      </c>
      <c r="U1909" s="19">
        <f t="shared" si="901"/>
        <v>0</v>
      </c>
      <c r="V1909" s="19">
        <f t="shared" si="917"/>
        <v>0</v>
      </c>
      <c r="W1909" s="20">
        <f t="shared" ca="1" si="902"/>
        <v>0</v>
      </c>
      <c r="X1909" s="19">
        <f t="shared" ca="1" si="903"/>
        <v>0</v>
      </c>
      <c r="Y1909" s="19">
        <f t="shared" ca="1" si="904"/>
        <v>0</v>
      </c>
      <c r="Z1909" s="20">
        <f t="shared" ca="1" si="905"/>
        <v>0</v>
      </c>
      <c r="AA1909" s="1">
        <f t="shared" si="913"/>
        <v>5432.58</v>
      </c>
      <c r="AB1909" s="91"/>
      <c r="AC1909" s="92"/>
      <c r="AD1909" s="101">
        <f t="shared" si="914"/>
        <v>97494</v>
      </c>
      <c r="AE1909" s="103">
        <f t="shared" si="915"/>
        <v>0</v>
      </c>
      <c r="AG1909" s="1">
        <f t="shared" si="906"/>
        <v>0</v>
      </c>
      <c r="AH1909" s="1">
        <f t="shared" si="907"/>
        <v>0</v>
      </c>
      <c r="AI1909" s="1">
        <f t="shared" si="916"/>
        <v>5432.58</v>
      </c>
      <c r="AJ1909" s="20">
        <f t="shared" si="918"/>
        <v>0</v>
      </c>
      <c r="AK1909" s="100">
        <f t="shared" si="890"/>
        <v>0</v>
      </c>
      <c r="AL1909" s="100">
        <f t="shared" si="891"/>
        <v>0</v>
      </c>
      <c r="AN1909" s="100">
        <f t="shared" si="892"/>
        <v>2098.0099570549019</v>
      </c>
      <c r="AO1909" s="20">
        <f t="shared" si="893"/>
        <v>0</v>
      </c>
      <c r="AQ1909" s="109">
        <f t="shared" si="894"/>
        <v>0</v>
      </c>
      <c r="AU1909" s="109">
        <f t="shared" si="909"/>
        <v>22.944655431705719</v>
      </c>
      <c r="AV1909" s="101">
        <f t="shared" si="895"/>
        <v>97524</v>
      </c>
      <c r="AW1909" s="99">
        <f t="shared" si="896"/>
        <v>0</v>
      </c>
      <c r="AX1909" s="1">
        <f t="shared" si="897"/>
        <v>0</v>
      </c>
      <c r="AY1909" s="29">
        <f t="shared" si="898"/>
        <v>0</v>
      </c>
      <c r="AZ1909" s="1">
        <f t="shared" si="910"/>
        <v>0</v>
      </c>
      <c r="CB1909" s="20">
        <f t="shared" si="919"/>
        <v>0</v>
      </c>
      <c r="CC1909" s="173">
        <f t="shared" si="911"/>
        <v>0</v>
      </c>
    </row>
    <row r="1910" spans="10:81" x14ac:dyDescent="0.25">
      <c r="J1910" s="9"/>
      <c r="K1910" s="10"/>
      <c r="L1910" s="17"/>
      <c r="M1910" s="23"/>
      <c r="N1910" s="23"/>
      <c r="O1910" s="23"/>
      <c r="P1910" s="23"/>
      <c r="Q1910" s="1">
        <f t="shared" si="912"/>
        <v>0.60744618579017706</v>
      </c>
      <c r="R1910" s="12">
        <f t="shared" ca="1" si="899"/>
        <v>56402</v>
      </c>
      <c r="S1910" s="88">
        <f t="shared" si="908"/>
        <v>0</v>
      </c>
      <c r="T1910" s="19">
        <f t="shared" si="900"/>
        <v>0</v>
      </c>
      <c r="U1910" s="19">
        <f t="shared" si="901"/>
        <v>0</v>
      </c>
      <c r="V1910" s="19">
        <f t="shared" si="917"/>
        <v>0</v>
      </c>
      <c r="W1910" s="20">
        <f t="shared" ca="1" si="902"/>
        <v>0</v>
      </c>
      <c r="X1910" s="19">
        <f t="shared" ca="1" si="903"/>
        <v>0</v>
      </c>
      <c r="Y1910" s="19">
        <f t="shared" ca="1" si="904"/>
        <v>0</v>
      </c>
      <c r="Z1910" s="20">
        <f t="shared" ca="1" si="905"/>
        <v>0</v>
      </c>
      <c r="AA1910" s="1">
        <f t="shared" si="913"/>
        <v>5432.58</v>
      </c>
      <c r="AB1910" s="93"/>
      <c r="AC1910" s="94"/>
      <c r="AD1910" s="101">
        <f t="shared" si="914"/>
        <v>97524</v>
      </c>
      <c r="AE1910" s="103">
        <f t="shared" si="915"/>
        <v>0</v>
      </c>
      <c r="AG1910" s="1">
        <f t="shared" si="906"/>
        <v>0</v>
      </c>
      <c r="AH1910" s="1">
        <f t="shared" si="907"/>
        <v>0</v>
      </c>
      <c r="AI1910" s="1">
        <f t="shared" si="916"/>
        <v>5432.58</v>
      </c>
      <c r="AJ1910" s="20">
        <f t="shared" si="918"/>
        <v>0</v>
      </c>
      <c r="AK1910" s="100">
        <f t="shared" ref="AK1910:AK1973" si="920">IF(ISERROR(AJ1910/(1+(Q1910)/1200)^(ROW()-29)),0,AJ1910/(1+(Q1910)/1200)^(ROW()-29))</f>
        <v>0</v>
      </c>
      <c r="AL1910" s="100">
        <f t="shared" ref="AL1910:AL1973" si="921">IF(ISERROR((Q1910/1200)*O1910),0,(Q1910/1200)*O1910)</f>
        <v>0</v>
      </c>
      <c r="AN1910" s="100">
        <f t="shared" ref="AN1910:AN1973" si="922">IF(ISERROR(AA1910/(1+(Q1910)/1200)^(ROW()-29)),0,AA1910/(1+(Q1910)/1200)^(ROW()-29))</f>
        <v>2096.9484709295143</v>
      </c>
      <c r="AO1910" s="20">
        <f t="shared" ref="AO1910:AO1973" si="923">IF(ISERROR(V1909+U1910+T1910+(V1909*Q1910/1200)-AA1910-P1910),0,IF(V1909+U1910+T1910+(V1909*Q1910/1200)-AA1910-P1910&lt;0,V1909,-(U1910+T1910-AA1910+P1910-AH1910)))</f>
        <v>0</v>
      </c>
      <c r="AQ1910" s="109">
        <f t="shared" ref="AQ1910:AQ1973" si="924">AO1910/(1+((1+$AM$27)^((ROW()-29)*30)-1))</f>
        <v>0</v>
      </c>
      <c r="AU1910" s="109">
        <f t="shared" si="909"/>
        <v>22.942641577611681</v>
      </c>
      <c r="AV1910" s="101">
        <f t="shared" ref="AV1910:AV1973" si="925">AD1911</f>
        <v>97554</v>
      </c>
      <c r="AW1910" s="99">
        <f t="shared" ref="AW1910:AW1973" si="926">IF(AJ1911&lt;0,0,AJ1911)</f>
        <v>0</v>
      </c>
      <c r="AX1910" s="1">
        <f t="shared" ref="AX1910:AX1973" si="927">IF(AG1910&gt;0,AA1910,0)</f>
        <v>0</v>
      </c>
      <c r="AY1910" s="29">
        <f t="shared" ref="AY1910:AY1973" si="928">AE1910</f>
        <v>0</v>
      </c>
      <c r="AZ1910" s="1">
        <f t="shared" si="910"/>
        <v>0</v>
      </c>
      <c r="CB1910" s="20">
        <f t="shared" si="919"/>
        <v>0</v>
      </c>
      <c r="CC1910" s="173">
        <f t="shared" si="911"/>
        <v>0</v>
      </c>
    </row>
    <row r="1911" spans="10:81" x14ac:dyDescent="0.25">
      <c r="J1911" s="7"/>
      <c r="K1911" s="8"/>
      <c r="L1911" s="16"/>
      <c r="M1911" s="22"/>
      <c r="N1911" s="22"/>
      <c r="O1911" s="22"/>
      <c r="P1911" s="22"/>
      <c r="Q1911" s="1">
        <f t="shared" si="912"/>
        <v>0.60744618579017706</v>
      </c>
      <c r="R1911" s="12">
        <f t="shared" ref="R1911:R1974" ca="1" si="929">IF(ROW()&gt;$T$20,R1910+30,DAYS360(K1910,K1911)+R1910)</f>
        <v>56432</v>
      </c>
      <c r="S1911" s="88">
        <f t="shared" si="908"/>
        <v>0</v>
      </c>
      <c r="T1911" s="19">
        <f t="shared" ref="T1911:T1974" si="930">IF(ISERROR((previousBalance*Q1911/1200)*(IF(ROW()-30&lt;$G$22,$G$21,0))),0,(previousBalance*Q1911/1200)*(IF(ROW()-30&lt;$G$22,$G$21,0)))</f>
        <v>0</v>
      </c>
      <c r="U1911" s="19">
        <f t="shared" ref="U1911:U1974" si="931">AA1911*(IF(ROW()-30&lt;$H$22,$H$21,0))</f>
        <v>0</v>
      </c>
      <c r="V1911" s="19">
        <f t="shared" si="917"/>
        <v>0</v>
      </c>
      <c r="W1911" s="20">
        <f t="shared" ref="W1911:W1974" ca="1" si="932">(T1911)/(1+((1+$T$12)^$R1911-1))</f>
        <v>0</v>
      </c>
      <c r="X1911" s="19">
        <f t="shared" ref="X1911:X1974" ca="1" si="933">(U1911)/(1+((1+$T$12)^$R1911-1))</f>
        <v>0</v>
      </c>
      <c r="Y1911" s="19">
        <f t="shared" ref="Y1911:Y1974" ca="1" si="934">P1911/(1+((1+$T$12)^$R1911-1))</f>
        <v>0</v>
      </c>
      <c r="Z1911" s="20">
        <f t="shared" ref="Z1911:Z1974" ca="1" si="935">W1911+X1911</f>
        <v>0</v>
      </c>
      <c r="AA1911" s="1">
        <f t="shared" si="913"/>
        <v>5432.58</v>
      </c>
      <c r="AB1911" s="91"/>
      <c r="AC1911" s="92"/>
      <c r="AD1911" s="101">
        <f t="shared" si="914"/>
        <v>97554</v>
      </c>
      <c r="AE1911" s="103">
        <f t="shared" si="915"/>
        <v>0</v>
      </c>
      <c r="AG1911" s="1">
        <f t="shared" ref="AG1911:AG1974" si="936">AE1911/360</f>
        <v>0</v>
      </c>
      <c r="AH1911" s="1">
        <f t="shared" ref="AH1911:AH1974" si="937">IF(ISERROR(IF(V1910+U1911+T1911+(V1910*Q1911/1200)-AA1911-P1911&lt;0,0,(V1910*Q1911/1200))),0,IF(V1910+U1911+T1911+(V1910*Q1911/1200)-AA1911-P1911&lt;0,0,(V1910*Q1911/1200)))</f>
        <v>0</v>
      </c>
      <c r="AI1911" s="1">
        <f t="shared" si="916"/>
        <v>5432.58</v>
      </c>
      <c r="AJ1911" s="20">
        <f t="shared" si="918"/>
        <v>0</v>
      </c>
      <c r="AK1911" s="100">
        <f t="shared" si="920"/>
        <v>0</v>
      </c>
      <c r="AL1911" s="100">
        <f t="shared" si="921"/>
        <v>0</v>
      </c>
      <c r="AN1911" s="100">
        <f t="shared" si="922"/>
        <v>2095.8875218620137</v>
      </c>
      <c r="AO1911" s="20">
        <f t="shared" si="923"/>
        <v>0</v>
      </c>
      <c r="AQ1911" s="109">
        <f t="shared" si="924"/>
        <v>0</v>
      </c>
      <c r="AU1911" s="109">
        <f t="shared" si="909"/>
        <v>22.940627900273782</v>
      </c>
      <c r="AV1911" s="101">
        <f t="shared" si="925"/>
        <v>97584</v>
      </c>
      <c r="AW1911" s="99">
        <f t="shared" si="926"/>
        <v>0</v>
      </c>
      <c r="AX1911" s="1">
        <f t="shared" si="927"/>
        <v>0</v>
      </c>
      <c r="AY1911" s="29">
        <f t="shared" si="928"/>
        <v>0</v>
      </c>
      <c r="AZ1911" s="1">
        <f t="shared" si="910"/>
        <v>0</v>
      </c>
      <c r="CB1911" s="20">
        <f t="shared" si="919"/>
        <v>0</v>
      </c>
      <c r="CC1911" s="173">
        <f t="shared" si="911"/>
        <v>0</v>
      </c>
    </row>
    <row r="1912" spans="10:81" x14ac:dyDescent="0.25">
      <c r="J1912" s="9"/>
      <c r="K1912" s="10"/>
      <c r="L1912" s="17"/>
      <c r="M1912" s="23"/>
      <c r="N1912" s="23"/>
      <c r="O1912" s="23"/>
      <c r="P1912" s="23"/>
      <c r="Q1912" s="1">
        <f t="shared" si="912"/>
        <v>0.60744618579017706</v>
      </c>
      <c r="R1912" s="12">
        <f t="shared" ca="1" si="929"/>
        <v>56462</v>
      </c>
      <c r="S1912" s="88">
        <f t="shared" si="908"/>
        <v>0</v>
      </c>
      <c r="T1912" s="19">
        <f t="shared" si="930"/>
        <v>0</v>
      </c>
      <c r="U1912" s="19">
        <f t="shared" si="931"/>
        <v>0</v>
      </c>
      <c r="V1912" s="19">
        <f t="shared" si="917"/>
        <v>0</v>
      </c>
      <c r="W1912" s="20">
        <f t="shared" ca="1" si="932"/>
        <v>0</v>
      </c>
      <c r="X1912" s="19">
        <f t="shared" ca="1" si="933"/>
        <v>0</v>
      </c>
      <c r="Y1912" s="19">
        <f t="shared" ca="1" si="934"/>
        <v>0</v>
      </c>
      <c r="Z1912" s="20">
        <f t="shared" ca="1" si="935"/>
        <v>0</v>
      </c>
      <c r="AA1912" s="1">
        <f t="shared" si="913"/>
        <v>5432.58</v>
      </c>
      <c r="AB1912" s="93"/>
      <c r="AC1912" s="94"/>
      <c r="AD1912" s="101">
        <f t="shared" si="914"/>
        <v>97584</v>
      </c>
      <c r="AE1912" s="103">
        <f t="shared" si="915"/>
        <v>0</v>
      </c>
      <c r="AG1912" s="1">
        <f t="shared" si="936"/>
        <v>0</v>
      </c>
      <c r="AH1912" s="1">
        <f t="shared" si="937"/>
        <v>0</v>
      </c>
      <c r="AI1912" s="1">
        <f t="shared" si="916"/>
        <v>5432.58</v>
      </c>
      <c r="AJ1912" s="20">
        <f t="shared" si="918"/>
        <v>0</v>
      </c>
      <c r="AK1912" s="100">
        <f t="shared" si="920"/>
        <v>0</v>
      </c>
      <c r="AL1912" s="100">
        <f t="shared" si="921"/>
        <v>0</v>
      </c>
      <c r="AN1912" s="100">
        <f t="shared" si="922"/>
        <v>2094.8271095806763</v>
      </c>
      <c r="AO1912" s="20">
        <f t="shared" si="923"/>
        <v>0</v>
      </c>
      <c r="AQ1912" s="109">
        <f t="shared" si="924"/>
        <v>0</v>
      </c>
      <c r="AU1912" s="109">
        <f t="shared" si="909"/>
        <v>22.938614399676471</v>
      </c>
      <c r="AV1912" s="101">
        <f t="shared" si="925"/>
        <v>97614</v>
      </c>
      <c r="AW1912" s="99">
        <f t="shared" si="926"/>
        <v>0</v>
      </c>
      <c r="AX1912" s="1">
        <f t="shared" si="927"/>
        <v>0</v>
      </c>
      <c r="AY1912" s="29">
        <f t="shared" si="928"/>
        <v>0</v>
      </c>
      <c r="AZ1912" s="1">
        <f t="shared" si="910"/>
        <v>0</v>
      </c>
      <c r="CB1912" s="20">
        <f t="shared" si="919"/>
        <v>0</v>
      </c>
      <c r="CC1912" s="173">
        <f t="shared" si="911"/>
        <v>0</v>
      </c>
    </row>
    <row r="1913" spans="10:81" x14ac:dyDescent="0.25">
      <c r="J1913" s="7"/>
      <c r="K1913" s="8"/>
      <c r="L1913" s="16"/>
      <c r="M1913" s="22"/>
      <c r="N1913" s="22"/>
      <c r="O1913" s="22"/>
      <c r="P1913" s="22"/>
      <c r="Q1913" s="1">
        <f t="shared" si="912"/>
        <v>0.60744618579017706</v>
      </c>
      <c r="R1913" s="12">
        <f t="shared" ca="1" si="929"/>
        <v>56492</v>
      </c>
      <c r="S1913" s="88">
        <f t="shared" si="908"/>
        <v>0</v>
      </c>
      <c r="T1913" s="19">
        <f t="shared" si="930"/>
        <v>0</v>
      </c>
      <c r="U1913" s="19">
        <f t="shared" si="931"/>
        <v>0</v>
      </c>
      <c r="V1913" s="19">
        <f t="shared" si="917"/>
        <v>0</v>
      </c>
      <c r="W1913" s="20">
        <f t="shared" ca="1" si="932"/>
        <v>0</v>
      </c>
      <c r="X1913" s="19">
        <f t="shared" ca="1" si="933"/>
        <v>0</v>
      </c>
      <c r="Y1913" s="19">
        <f t="shared" ca="1" si="934"/>
        <v>0</v>
      </c>
      <c r="Z1913" s="20">
        <f t="shared" ca="1" si="935"/>
        <v>0</v>
      </c>
      <c r="AA1913" s="1">
        <f t="shared" si="913"/>
        <v>5432.58</v>
      </c>
      <c r="AB1913" s="91"/>
      <c r="AC1913" s="92"/>
      <c r="AD1913" s="101">
        <f t="shared" si="914"/>
        <v>97614</v>
      </c>
      <c r="AE1913" s="103">
        <f t="shared" si="915"/>
        <v>0</v>
      </c>
      <c r="AG1913" s="1">
        <f t="shared" si="936"/>
        <v>0</v>
      </c>
      <c r="AH1913" s="1">
        <f t="shared" si="937"/>
        <v>0</v>
      </c>
      <c r="AI1913" s="1">
        <f t="shared" si="916"/>
        <v>5432.58</v>
      </c>
      <c r="AJ1913" s="20">
        <f t="shared" si="918"/>
        <v>0</v>
      </c>
      <c r="AK1913" s="100">
        <f t="shared" si="920"/>
        <v>0</v>
      </c>
      <c r="AL1913" s="100">
        <f t="shared" si="921"/>
        <v>0</v>
      </c>
      <c r="AN1913" s="100">
        <f t="shared" si="922"/>
        <v>2093.7672338139155</v>
      </c>
      <c r="AO1913" s="20">
        <f t="shared" si="923"/>
        <v>0</v>
      </c>
      <c r="AQ1913" s="109">
        <f t="shared" si="924"/>
        <v>0</v>
      </c>
      <c r="AU1913" s="109">
        <f t="shared" si="909"/>
        <v>22.936601075804269</v>
      </c>
      <c r="AV1913" s="101">
        <f t="shared" si="925"/>
        <v>97644</v>
      </c>
      <c r="AW1913" s="99">
        <f t="shared" si="926"/>
        <v>0</v>
      </c>
      <c r="AX1913" s="1">
        <f t="shared" si="927"/>
        <v>0</v>
      </c>
      <c r="AY1913" s="29">
        <f t="shared" si="928"/>
        <v>0</v>
      </c>
      <c r="AZ1913" s="1">
        <f t="shared" si="910"/>
        <v>0</v>
      </c>
      <c r="CB1913" s="20">
        <f t="shared" si="919"/>
        <v>0</v>
      </c>
      <c r="CC1913" s="173">
        <f t="shared" si="911"/>
        <v>0</v>
      </c>
    </row>
    <row r="1914" spans="10:81" x14ac:dyDescent="0.25">
      <c r="J1914" s="9"/>
      <c r="K1914" s="10"/>
      <c r="L1914" s="17"/>
      <c r="M1914" s="23"/>
      <c r="N1914" s="23"/>
      <c r="O1914" s="23"/>
      <c r="P1914" s="23"/>
      <c r="Q1914" s="1">
        <f t="shared" si="912"/>
        <v>0.60744618579017706</v>
      </c>
      <c r="R1914" s="12">
        <f t="shared" ca="1" si="929"/>
        <v>56522</v>
      </c>
      <c r="S1914" s="88">
        <f t="shared" si="908"/>
        <v>0</v>
      </c>
      <c r="T1914" s="19">
        <f t="shared" si="930"/>
        <v>0</v>
      </c>
      <c r="U1914" s="19">
        <f t="shared" si="931"/>
        <v>0</v>
      </c>
      <c r="V1914" s="19">
        <f t="shared" si="917"/>
        <v>0</v>
      </c>
      <c r="W1914" s="20">
        <f t="shared" ca="1" si="932"/>
        <v>0</v>
      </c>
      <c r="X1914" s="19">
        <f t="shared" ca="1" si="933"/>
        <v>0</v>
      </c>
      <c r="Y1914" s="19">
        <f t="shared" ca="1" si="934"/>
        <v>0</v>
      </c>
      <c r="Z1914" s="20">
        <f t="shared" ca="1" si="935"/>
        <v>0</v>
      </c>
      <c r="AA1914" s="1">
        <f t="shared" si="913"/>
        <v>5432.58</v>
      </c>
      <c r="AB1914" s="93"/>
      <c r="AC1914" s="94"/>
      <c r="AD1914" s="101">
        <f t="shared" si="914"/>
        <v>97644</v>
      </c>
      <c r="AE1914" s="103">
        <f t="shared" si="915"/>
        <v>0</v>
      </c>
      <c r="AG1914" s="1">
        <f t="shared" si="936"/>
        <v>0</v>
      </c>
      <c r="AH1914" s="1">
        <f t="shared" si="937"/>
        <v>0</v>
      </c>
      <c r="AI1914" s="1">
        <f t="shared" si="916"/>
        <v>5432.58</v>
      </c>
      <c r="AJ1914" s="20">
        <f t="shared" si="918"/>
        <v>0</v>
      </c>
      <c r="AK1914" s="100">
        <f t="shared" si="920"/>
        <v>0</v>
      </c>
      <c r="AL1914" s="100">
        <f t="shared" si="921"/>
        <v>0</v>
      </c>
      <c r="AN1914" s="100">
        <f t="shared" si="922"/>
        <v>2092.7078942902822</v>
      </c>
      <c r="AO1914" s="20">
        <f t="shared" si="923"/>
        <v>0</v>
      </c>
      <c r="AQ1914" s="109">
        <f t="shared" si="924"/>
        <v>0</v>
      </c>
      <c r="AU1914" s="109">
        <f t="shared" si="909"/>
        <v>22.934587928641651</v>
      </c>
      <c r="AV1914" s="101">
        <f t="shared" si="925"/>
        <v>97674</v>
      </c>
      <c r="AW1914" s="99">
        <f t="shared" si="926"/>
        <v>0</v>
      </c>
      <c r="AX1914" s="1">
        <f t="shared" si="927"/>
        <v>0</v>
      </c>
      <c r="AY1914" s="29">
        <f t="shared" si="928"/>
        <v>0</v>
      </c>
      <c r="AZ1914" s="1">
        <f t="shared" si="910"/>
        <v>0</v>
      </c>
      <c r="CB1914" s="20">
        <f t="shared" si="919"/>
        <v>0</v>
      </c>
      <c r="CC1914" s="173">
        <f t="shared" si="911"/>
        <v>0</v>
      </c>
    </row>
    <row r="1915" spans="10:81" x14ac:dyDescent="0.25">
      <c r="J1915" s="7"/>
      <c r="K1915" s="8"/>
      <c r="L1915" s="16"/>
      <c r="M1915" s="22"/>
      <c r="N1915" s="22"/>
      <c r="O1915" s="22"/>
      <c r="P1915" s="22"/>
      <c r="Q1915" s="1">
        <f t="shared" si="912"/>
        <v>0.60744618579017706</v>
      </c>
      <c r="R1915" s="12">
        <f t="shared" ca="1" si="929"/>
        <v>56552</v>
      </c>
      <c r="S1915" s="88">
        <f t="shared" si="908"/>
        <v>0</v>
      </c>
      <c r="T1915" s="19">
        <f t="shared" si="930"/>
        <v>0</v>
      </c>
      <c r="U1915" s="19">
        <f t="shared" si="931"/>
        <v>0</v>
      </c>
      <c r="V1915" s="19">
        <f t="shared" si="917"/>
        <v>0</v>
      </c>
      <c r="W1915" s="20">
        <f t="shared" ca="1" si="932"/>
        <v>0</v>
      </c>
      <c r="X1915" s="19">
        <f t="shared" ca="1" si="933"/>
        <v>0</v>
      </c>
      <c r="Y1915" s="19">
        <f t="shared" ca="1" si="934"/>
        <v>0</v>
      </c>
      <c r="Z1915" s="20">
        <f t="shared" ca="1" si="935"/>
        <v>0</v>
      </c>
      <c r="AA1915" s="1">
        <f t="shared" si="913"/>
        <v>5432.58</v>
      </c>
      <c r="AB1915" s="91"/>
      <c r="AC1915" s="92"/>
      <c r="AD1915" s="101">
        <f t="shared" si="914"/>
        <v>97674</v>
      </c>
      <c r="AE1915" s="103">
        <f t="shared" si="915"/>
        <v>0</v>
      </c>
      <c r="AG1915" s="1">
        <f t="shared" si="936"/>
        <v>0</v>
      </c>
      <c r="AH1915" s="1">
        <f t="shared" si="937"/>
        <v>0</v>
      </c>
      <c r="AI1915" s="1">
        <f t="shared" si="916"/>
        <v>5432.58</v>
      </c>
      <c r="AJ1915" s="20">
        <f t="shared" si="918"/>
        <v>0</v>
      </c>
      <c r="AK1915" s="100">
        <f t="shared" si="920"/>
        <v>0</v>
      </c>
      <c r="AL1915" s="100">
        <f t="shared" si="921"/>
        <v>0</v>
      </c>
      <c r="AN1915" s="100">
        <f t="shared" si="922"/>
        <v>2091.6490907384646</v>
      </c>
      <c r="AO1915" s="20">
        <f t="shared" si="923"/>
        <v>0</v>
      </c>
      <c r="AQ1915" s="109">
        <f t="shared" si="924"/>
        <v>0</v>
      </c>
      <c r="AU1915" s="109">
        <f t="shared" si="909"/>
        <v>22.932574958173095</v>
      </c>
      <c r="AV1915" s="101">
        <f t="shared" si="925"/>
        <v>97704</v>
      </c>
      <c r="AW1915" s="99">
        <f t="shared" si="926"/>
        <v>0</v>
      </c>
      <c r="AX1915" s="1">
        <f t="shared" si="927"/>
        <v>0</v>
      </c>
      <c r="AY1915" s="29">
        <f t="shared" si="928"/>
        <v>0</v>
      </c>
      <c r="AZ1915" s="1">
        <f t="shared" si="910"/>
        <v>0</v>
      </c>
      <c r="CB1915" s="20">
        <f t="shared" si="919"/>
        <v>0</v>
      </c>
      <c r="CC1915" s="173">
        <f t="shared" si="911"/>
        <v>0</v>
      </c>
    </row>
    <row r="1916" spans="10:81" x14ac:dyDescent="0.25">
      <c r="J1916" s="9"/>
      <c r="K1916" s="10"/>
      <c r="L1916" s="17"/>
      <c r="M1916" s="23"/>
      <c r="N1916" s="23"/>
      <c r="O1916" s="23"/>
      <c r="P1916" s="23"/>
      <c r="Q1916" s="1">
        <f t="shared" si="912"/>
        <v>0.60744618579017706</v>
      </c>
      <c r="R1916" s="12">
        <f t="shared" ca="1" si="929"/>
        <v>56582</v>
      </c>
      <c r="S1916" s="88">
        <f t="shared" si="908"/>
        <v>0</v>
      </c>
      <c r="T1916" s="19">
        <f t="shared" si="930"/>
        <v>0</v>
      </c>
      <c r="U1916" s="19">
        <f t="shared" si="931"/>
        <v>0</v>
      </c>
      <c r="V1916" s="19">
        <f t="shared" si="917"/>
        <v>0</v>
      </c>
      <c r="W1916" s="20">
        <f t="shared" ca="1" si="932"/>
        <v>0</v>
      </c>
      <c r="X1916" s="19">
        <f t="shared" ca="1" si="933"/>
        <v>0</v>
      </c>
      <c r="Y1916" s="19">
        <f t="shared" ca="1" si="934"/>
        <v>0</v>
      </c>
      <c r="Z1916" s="20">
        <f t="shared" ca="1" si="935"/>
        <v>0</v>
      </c>
      <c r="AA1916" s="1">
        <f t="shared" si="913"/>
        <v>5432.58</v>
      </c>
      <c r="AB1916" s="93"/>
      <c r="AC1916" s="94"/>
      <c r="AD1916" s="101">
        <f t="shared" si="914"/>
        <v>97704</v>
      </c>
      <c r="AE1916" s="103">
        <f t="shared" si="915"/>
        <v>0</v>
      </c>
      <c r="AG1916" s="1">
        <f t="shared" si="936"/>
        <v>0</v>
      </c>
      <c r="AH1916" s="1">
        <f t="shared" si="937"/>
        <v>0</v>
      </c>
      <c r="AI1916" s="1">
        <f t="shared" si="916"/>
        <v>5432.58</v>
      </c>
      <c r="AJ1916" s="20">
        <f t="shared" si="918"/>
        <v>0</v>
      </c>
      <c r="AK1916" s="100">
        <f t="shared" si="920"/>
        <v>0</v>
      </c>
      <c r="AL1916" s="100">
        <f t="shared" si="921"/>
        <v>0</v>
      </c>
      <c r="AN1916" s="100">
        <f t="shared" si="922"/>
        <v>2090.5908228872891</v>
      </c>
      <c r="AO1916" s="20">
        <f t="shared" si="923"/>
        <v>0</v>
      </c>
      <c r="AQ1916" s="109">
        <f t="shared" si="924"/>
        <v>0</v>
      </c>
      <c r="AU1916" s="109">
        <f t="shared" si="909"/>
        <v>22.930562164383115</v>
      </c>
      <c r="AV1916" s="101">
        <f t="shared" si="925"/>
        <v>97734</v>
      </c>
      <c r="AW1916" s="99">
        <f t="shared" si="926"/>
        <v>0</v>
      </c>
      <c r="AX1916" s="1">
        <f t="shared" si="927"/>
        <v>0</v>
      </c>
      <c r="AY1916" s="29">
        <f t="shared" si="928"/>
        <v>0</v>
      </c>
      <c r="AZ1916" s="1">
        <f t="shared" si="910"/>
        <v>0</v>
      </c>
      <c r="CB1916" s="20">
        <f t="shared" si="919"/>
        <v>0</v>
      </c>
      <c r="CC1916" s="173">
        <f t="shared" si="911"/>
        <v>0</v>
      </c>
    </row>
    <row r="1917" spans="10:81" x14ac:dyDescent="0.25">
      <c r="J1917" s="7"/>
      <c r="K1917" s="8"/>
      <c r="L1917" s="16"/>
      <c r="M1917" s="22"/>
      <c r="N1917" s="22"/>
      <c r="O1917" s="22"/>
      <c r="P1917" s="22"/>
      <c r="Q1917" s="1">
        <f t="shared" si="912"/>
        <v>0.60744618579017706</v>
      </c>
      <c r="R1917" s="12">
        <f t="shared" ca="1" si="929"/>
        <v>56612</v>
      </c>
      <c r="S1917" s="88">
        <f t="shared" si="908"/>
        <v>0</v>
      </c>
      <c r="T1917" s="19">
        <f t="shared" si="930"/>
        <v>0</v>
      </c>
      <c r="U1917" s="19">
        <f t="shared" si="931"/>
        <v>0</v>
      </c>
      <c r="V1917" s="19">
        <f t="shared" si="917"/>
        <v>0</v>
      </c>
      <c r="W1917" s="20">
        <f t="shared" ca="1" si="932"/>
        <v>0</v>
      </c>
      <c r="X1917" s="19">
        <f t="shared" ca="1" si="933"/>
        <v>0</v>
      </c>
      <c r="Y1917" s="19">
        <f t="shared" ca="1" si="934"/>
        <v>0</v>
      </c>
      <c r="Z1917" s="20">
        <f t="shared" ca="1" si="935"/>
        <v>0</v>
      </c>
      <c r="AA1917" s="1">
        <f t="shared" si="913"/>
        <v>5432.58</v>
      </c>
      <c r="AB1917" s="91"/>
      <c r="AC1917" s="92"/>
      <c r="AD1917" s="101">
        <f t="shared" si="914"/>
        <v>97734</v>
      </c>
      <c r="AE1917" s="103">
        <f t="shared" si="915"/>
        <v>0</v>
      </c>
      <c r="AG1917" s="1">
        <f t="shared" si="936"/>
        <v>0</v>
      </c>
      <c r="AH1917" s="1">
        <f t="shared" si="937"/>
        <v>0</v>
      </c>
      <c r="AI1917" s="1">
        <f t="shared" si="916"/>
        <v>5432.58</v>
      </c>
      <c r="AJ1917" s="20">
        <f t="shared" si="918"/>
        <v>0</v>
      </c>
      <c r="AK1917" s="100">
        <f t="shared" si="920"/>
        <v>0</v>
      </c>
      <c r="AL1917" s="100">
        <f t="shared" si="921"/>
        <v>0</v>
      </c>
      <c r="AN1917" s="100">
        <f t="shared" si="922"/>
        <v>2089.5330904657171</v>
      </c>
      <c r="AO1917" s="20">
        <f t="shared" si="923"/>
        <v>0</v>
      </c>
      <c r="AQ1917" s="109">
        <f t="shared" si="924"/>
        <v>0</v>
      </c>
      <c r="AU1917" s="109">
        <f t="shared" si="909"/>
        <v>22.928549547256189</v>
      </c>
      <c r="AV1917" s="101">
        <f t="shared" si="925"/>
        <v>97764</v>
      </c>
      <c r="AW1917" s="99">
        <f t="shared" si="926"/>
        <v>0</v>
      </c>
      <c r="AX1917" s="1">
        <f t="shared" si="927"/>
        <v>0</v>
      </c>
      <c r="AY1917" s="29">
        <f t="shared" si="928"/>
        <v>0</v>
      </c>
      <c r="AZ1917" s="1">
        <f t="shared" si="910"/>
        <v>0</v>
      </c>
      <c r="CB1917" s="20">
        <f t="shared" si="919"/>
        <v>0</v>
      </c>
      <c r="CC1917" s="173">
        <f t="shared" si="911"/>
        <v>0</v>
      </c>
    </row>
    <row r="1918" spans="10:81" x14ac:dyDescent="0.25">
      <c r="J1918" s="9"/>
      <c r="K1918" s="10"/>
      <c r="L1918" s="17"/>
      <c r="M1918" s="23"/>
      <c r="N1918" s="23"/>
      <c r="O1918" s="23"/>
      <c r="P1918" s="23"/>
      <c r="Q1918" s="1">
        <f t="shared" si="912"/>
        <v>0.60744618579017706</v>
      </c>
      <c r="R1918" s="12">
        <f t="shared" ca="1" si="929"/>
        <v>56642</v>
      </c>
      <c r="S1918" s="88">
        <f t="shared" si="908"/>
        <v>0</v>
      </c>
      <c r="T1918" s="19">
        <f t="shared" si="930"/>
        <v>0</v>
      </c>
      <c r="U1918" s="19">
        <f t="shared" si="931"/>
        <v>0</v>
      </c>
      <c r="V1918" s="19">
        <f t="shared" si="917"/>
        <v>0</v>
      </c>
      <c r="W1918" s="20">
        <f t="shared" ca="1" si="932"/>
        <v>0</v>
      </c>
      <c r="X1918" s="19">
        <f t="shared" ca="1" si="933"/>
        <v>0</v>
      </c>
      <c r="Y1918" s="19">
        <f t="shared" ca="1" si="934"/>
        <v>0</v>
      </c>
      <c r="Z1918" s="20">
        <f t="shared" ca="1" si="935"/>
        <v>0</v>
      </c>
      <c r="AA1918" s="1">
        <f t="shared" si="913"/>
        <v>5432.58</v>
      </c>
      <c r="AB1918" s="93"/>
      <c r="AC1918" s="94"/>
      <c r="AD1918" s="101">
        <f t="shared" si="914"/>
        <v>97764</v>
      </c>
      <c r="AE1918" s="103">
        <f t="shared" si="915"/>
        <v>0</v>
      </c>
      <c r="AG1918" s="1">
        <f t="shared" si="936"/>
        <v>0</v>
      </c>
      <c r="AH1918" s="1">
        <f t="shared" si="937"/>
        <v>0</v>
      </c>
      <c r="AI1918" s="1">
        <f t="shared" si="916"/>
        <v>5432.58</v>
      </c>
      <c r="AJ1918" s="20">
        <f t="shared" si="918"/>
        <v>0</v>
      </c>
      <c r="AK1918" s="100">
        <f t="shared" si="920"/>
        <v>0</v>
      </c>
      <c r="AL1918" s="100">
        <f t="shared" si="921"/>
        <v>0</v>
      </c>
      <c r="AN1918" s="100">
        <f t="shared" si="922"/>
        <v>2088.4758932028503</v>
      </c>
      <c r="AO1918" s="20">
        <f t="shared" si="923"/>
        <v>0</v>
      </c>
      <c r="AQ1918" s="109">
        <f t="shared" si="924"/>
        <v>0</v>
      </c>
      <c r="AU1918" s="109">
        <f t="shared" si="909"/>
        <v>22.926537106776824</v>
      </c>
      <c r="AV1918" s="101">
        <f t="shared" si="925"/>
        <v>97794</v>
      </c>
      <c r="AW1918" s="99">
        <f t="shared" si="926"/>
        <v>0</v>
      </c>
      <c r="AX1918" s="1">
        <f t="shared" si="927"/>
        <v>0</v>
      </c>
      <c r="AY1918" s="29">
        <f t="shared" si="928"/>
        <v>0</v>
      </c>
      <c r="AZ1918" s="1">
        <f t="shared" si="910"/>
        <v>0</v>
      </c>
      <c r="CB1918" s="20">
        <f t="shared" si="919"/>
        <v>0</v>
      </c>
      <c r="CC1918" s="173">
        <f t="shared" si="911"/>
        <v>0</v>
      </c>
    </row>
    <row r="1919" spans="10:81" x14ac:dyDescent="0.25">
      <c r="J1919" s="7"/>
      <c r="K1919" s="8"/>
      <c r="L1919" s="16"/>
      <c r="M1919" s="22"/>
      <c r="N1919" s="22"/>
      <c r="O1919" s="22"/>
      <c r="P1919" s="22"/>
      <c r="Q1919" s="1">
        <f t="shared" si="912"/>
        <v>0.60744618579017706</v>
      </c>
      <c r="R1919" s="12">
        <f t="shared" ca="1" si="929"/>
        <v>56672</v>
      </c>
      <c r="S1919" s="88">
        <f t="shared" si="908"/>
        <v>0</v>
      </c>
      <c r="T1919" s="19">
        <f t="shared" si="930"/>
        <v>0</v>
      </c>
      <c r="U1919" s="19">
        <f t="shared" si="931"/>
        <v>0</v>
      </c>
      <c r="V1919" s="19">
        <f t="shared" si="917"/>
        <v>0</v>
      </c>
      <c r="W1919" s="20">
        <f t="shared" ca="1" si="932"/>
        <v>0</v>
      </c>
      <c r="X1919" s="19">
        <f t="shared" ca="1" si="933"/>
        <v>0</v>
      </c>
      <c r="Y1919" s="19">
        <f t="shared" ca="1" si="934"/>
        <v>0</v>
      </c>
      <c r="Z1919" s="20">
        <f t="shared" ca="1" si="935"/>
        <v>0</v>
      </c>
      <c r="AA1919" s="1">
        <f t="shared" si="913"/>
        <v>5432.58</v>
      </c>
      <c r="AB1919" s="91"/>
      <c r="AC1919" s="92"/>
      <c r="AD1919" s="101">
        <f t="shared" si="914"/>
        <v>97794</v>
      </c>
      <c r="AE1919" s="103">
        <f t="shared" si="915"/>
        <v>0</v>
      </c>
      <c r="AG1919" s="1">
        <f t="shared" si="936"/>
        <v>0</v>
      </c>
      <c r="AH1919" s="1">
        <f t="shared" si="937"/>
        <v>0</v>
      </c>
      <c r="AI1919" s="1">
        <f t="shared" si="916"/>
        <v>5432.58</v>
      </c>
      <c r="AJ1919" s="20">
        <f t="shared" si="918"/>
        <v>0</v>
      </c>
      <c r="AK1919" s="100">
        <f t="shared" si="920"/>
        <v>0</v>
      </c>
      <c r="AL1919" s="100">
        <f t="shared" si="921"/>
        <v>0</v>
      </c>
      <c r="AN1919" s="100">
        <f t="shared" si="922"/>
        <v>2087.4192308279235</v>
      </c>
      <c r="AO1919" s="20">
        <f t="shared" si="923"/>
        <v>0</v>
      </c>
      <c r="AQ1919" s="109">
        <f t="shared" si="924"/>
        <v>0</v>
      </c>
      <c r="AU1919" s="109">
        <f t="shared" si="909"/>
        <v>22.924524842929504</v>
      </c>
      <c r="AV1919" s="101">
        <f t="shared" si="925"/>
        <v>97824</v>
      </c>
      <c r="AW1919" s="99">
        <f t="shared" si="926"/>
        <v>0</v>
      </c>
      <c r="AX1919" s="1">
        <f t="shared" si="927"/>
        <v>0</v>
      </c>
      <c r="AY1919" s="29">
        <f t="shared" si="928"/>
        <v>0</v>
      </c>
      <c r="AZ1919" s="1">
        <f t="shared" si="910"/>
        <v>0</v>
      </c>
      <c r="CB1919" s="20">
        <f t="shared" si="919"/>
        <v>0</v>
      </c>
      <c r="CC1919" s="173">
        <f t="shared" si="911"/>
        <v>0</v>
      </c>
    </row>
    <row r="1920" spans="10:81" x14ac:dyDescent="0.25">
      <c r="J1920" s="9"/>
      <c r="K1920" s="10"/>
      <c r="L1920" s="17"/>
      <c r="M1920" s="23"/>
      <c r="N1920" s="23"/>
      <c r="O1920" s="23"/>
      <c r="P1920" s="23"/>
      <c r="Q1920" s="1">
        <f t="shared" si="912"/>
        <v>0.60744618579017706</v>
      </c>
      <c r="R1920" s="12">
        <f t="shared" ca="1" si="929"/>
        <v>56702</v>
      </c>
      <c r="S1920" s="88">
        <f t="shared" si="908"/>
        <v>0</v>
      </c>
      <c r="T1920" s="19">
        <f t="shared" si="930"/>
        <v>0</v>
      </c>
      <c r="U1920" s="19">
        <f t="shared" si="931"/>
        <v>0</v>
      </c>
      <c r="V1920" s="19">
        <f t="shared" si="917"/>
        <v>0</v>
      </c>
      <c r="W1920" s="20">
        <f t="shared" ca="1" si="932"/>
        <v>0</v>
      </c>
      <c r="X1920" s="19">
        <f t="shared" ca="1" si="933"/>
        <v>0</v>
      </c>
      <c r="Y1920" s="19">
        <f t="shared" ca="1" si="934"/>
        <v>0</v>
      </c>
      <c r="Z1920" s="20">
        <f t="shared" ca="1" si="935"/>
        <v>0</v>
      </c>
      <c r="AA1920" s="1">
        <f t="shared" si="913"/>
        <v>5432.58</v>
      </c>
      <c r="AB1920" s="93"/>
      <c r="AC1920" s="94"/>
      <c r="AD1920" s="101">
        <f t="shared" si="914"/>
        <v>97824</v>
      </c>
      <c r="AE1920" s="103">
        <f t="shared" si="915"/>
        <v>0</v>
      </c>
      <c r="AG1920" s="1">
        <f t="shared" si="936"/>
        <v>0</v>
      </c>
      <c r="AH1920" s="1">
        <f t="shared" si="937"/>
        <v>0</v>
      </c>
      <c r="AI1920" s="1">
        <f t="shared" si="916"/>
        <v>5432.58</v>
      </c>
      <c r="AJ1920" s="20">
        <f t="shared" si="918"/>
        <v>0</v>
      </c>
      <c r="AK1920" s="100">
        <f t="shared" si="920"/>
        <v>0</v>
      </c>
      <c r="AL1920" s="100">
        <f t="shared" si="921"/>
        <v>0</v>
      </c>
      <c r="AN1920" s="100">
        <f t="shared" si="922"/>
        <v>2086.3631030703123</v>
      </c>
      <c r="AO1920" s="20">
        <f t="shared" si="923"/>
        <v>0</v>
      </c>
      <c r="AQ1920" s="109">
        <f t="shared" si="924"/>
        <v>0</v>
      </c>
      <c r="AU1920" s="109">
        <f t="shared" si="909"/>
        <v>22.922512755698737</v>
      </c>
      <c r="AV1920" s="101">
        <f t="shared" si="925"/>
        <v>97854</v>
      </c>
      <c r="AW1920" s="99">
        <f t="shared" si="926"/>
        <v>0</v>
      </c>
      <c r="AX1920" s="1">
        <f t="shared" si="927"/>
        <v>0</v>
      </c>
      <c r="AY1920" s="29">
        <f t="shared" si="928"/>
        <v>0</v>
      </c>
      <c r="AZ1920" s="1">
        <f t="shared" si="910"/>
        <v>0</v>
      </c>
      <c r="CB1920" s="20">
        <f t="shared" si="919"/>
        <v>0</v>
      </c>
      <c r="CC1920" s="173">
        <f t="shared" si="911"/>
        <v>0</v>
      </c>
    </row>
    <row r="1921" spans="10:81" x14ac:dyDescent="0.25">
      <c r="J1921" s="7"/>
      <c r="K1921" s="8"/>
      <c r="L1921" s="16"/>
      <c r="M1921" s="22"/>
      <c r="N1921" s="22"/>
      <c r="O1921" s="22"/>
      <c r="P1921" s="22"/>
      <c r="Q1921" s="1">
        <f t="shared" si="912"/>
        <v>0.60744618579017706</v>
      </c>
      <c r="R1921" s="12">
        <f t="shared" ca="1" si="929"/>
        <v>56732</v>
      </c>
      <c r="S1921" s="88">
        <f t="shared" si="908"/>
        <v>0</v>
      </c>
      <c r="T1921" s="19">
        <f t="shared" si="930"/>
        <v>0</v>
      </c>
      <c r="U1921" s="19">
        <f t="shared" si="931"/>
        <v>0</v>
      </c>
      <c r="V1921" s="19">
        <f t="shared" si="917"/>
        <v>0</v>
      </c>
      <c r="W1921" s="20">
        <f t="shared" ca="1" si="932"/>
        <v>0</v>
      </c>
      <c r="X1921" s="19">
        <f t="shared" ca="1" si="933"/>
        <v>0</v>
      </c>
      <c r="Y1921" s="19">
        <f t="shared" ca="1" si="934"/>
        <v>0</v>
      </c>
      <c r="Z1921" s="20">
        <f t="shared" ca="1" si="935"/>
        <v>0</v>
      </c>
      <c r="AA1921" s="1">
        <f t="shared" si="913"/>
        <v>5432.58</v>
      </c>
      <c r="AB1921" s="91"/>
      <c r="AC1921" s="92"/>
      <c r="AD1921" s="101">
        <f t="shared" si="914"/>
        <v>97854</v>
      </c>
      <c r="AE1921" s="103">
        <f t="shared" si="915"/>
        <v>0</v>
      </c>
      <c r="AG1921" s="1">
        <f t="shared" si="936"/>
        <v>0</v>
      </c>
      <c r="AH1921" s="1">
        <f t="shared" si="937"/>
        <v>0</v>
      </c>
      <c r="AI1921" s="1">
        <f t="shared" si="916"/>
        <v>5432.58</v>
      </c>
      <c r="AJ1921" s="20">
        <f t="shared" si="918"/>
        <v>0</v>
      </c>
      <c r="AK1921" s="100">
        <f t="shared" si="920"/>
        <v>0</v>
      </c>
      <c r="AL1921" s="100">
        <f t="shared" si="921"/>
        <v>0</v>
      </c>
      <c r="AN1921" s="100">
        <f t="shared" si="922"/>
        <v>2085.3075096595267</v>
      </c>
      <c r="AO1921" s="20">
        <f t="shared" si="923"/>
        <v>0</v>
      </c>
      <c r="AQ1921" s="109">
        <f t="shared" si="924"/>
        <v>0</v>
      </c>
      <c r="AU1921" s="109">
        <f t="shared" si="909"/>
        <v>22.920500845069</v>
      </c>
      <c r="AV1921" s="101">
        <f t="shared" si="925"/>
        <v>97884</v>
      </c>
      <c r="AW1921" s="99">
        <f t="shared" si="926"/>
        <v>0</v>
      </c>
      <c r="AX1921" s="1">
        <f t="shared" si="927"/>
        <v>0</v>
      </c>
      <c r="AY1921" s="29">
        <f t="shared" si="928"/>
        <v>0</v>
      </c>
      <c r="AZ1921" s="1">
        <f t="shared" si="910"/>
        <v>0</v>
      </c>
      <c r="CB1921" s="20">
        <f t="shared" si="919"/>
        <v>0</v>
      </c>
      <c r="CC1921" s="173">
        <f t="shared" si="911"/>
        <v>0</v>
      </c>
    </row>
    <row r="1922" spans="10:81" x14ac:dyDescent="0.25">
      <c r="J1922" s="9"/>
      <c r="K1922" s="10"/>
      <c r="L1922" s="17"/>
      <c r="M1922" s="23"/>
      <c r="N1922" s="23"/>
      <c r="O1922" s="23"/>
      <c r="P1922" s="23"/>
      <c r="Q1922" s="1">
        <f t="shared" si="912"/>
        <v>0.60744618579017706</v>
      </c>
      <c r="R1922" s="12">
        <f t="shared" ca="1" si="929"/>
        <v>56762</v>
      </c>
      <c r="S1922" s="88">
        <f t="shared" si="908"/>
        <v>0</v>
      </c>
      <c r="T1922" s="19">
        <f t="shared" si="930"/>
        <v>0</v>
      </c>
      <c r="U1922" s="19">
        <f t="shared" si="931"/>
        <v>0</v>
      </c>
      <c r="V1922" s="19">
        <f t="shared" si="917"/>
        <v>0</v>
      </c>
      <c r="W1922" s="20">
        <f t="shared" ca="1" si="932"/>
        <v>0</v>
      </c>
      <c r="X1922" s="19">
        <f t="shared" ca="1" si="933"/>
        <v>0</v>
      </c>
      <c r="Y1922" s="19">
        <f t="shared" ca="1" si="934"/>
        <v>0</v>
      </c>
      <c r="Z1922" s="20">
        <f t="shared" ca="1" si="935"/>
        <v>0</v>
      </c>
      <c r="AA1922" s="1">
        <f t="shared" si="913"/>
        <v>5432.58</v>
      </c>
      <c r="AB1922" s="93"/>
      <c r="AC1922" s="94"/>
      <c r="AD1922" s="101">
        <f t="shared" si="914"/>
        <v>97884</v>
      </c>
      <c r="AE1922" s="103">
        <f t="shared" si="915"/>
        <v>0</v>
      </c>
      <c r="AG1922" s="1">
        <f t="shared" si="936"/>
        <v>0</v>
      </c>
      <c r="AH1922" s="1">
        <f t="shared" si="937"/>
        <v>0</v>
      </c>
      <c r="AI1922" s="1">
        <f t="shared" si="916"/>
        <v>5432.58</v>
      </c>
      <c r="AJ1922" s="20">
        <f t="shared" si="918"/>
        <v>0</v>
      </c>
      <c r="AK1922" s="100">
        <f t="shared" si="920"/>
        <v>0</v>
      </c>
      <c r="AL1922" s="100">
        <f t="shared" si="921"/>
        <v>0</v>
      </c>
      <c r="AN1922" s="100">
        <f t="shared" si="922"/>
        <v>2084.2524503252148</v>
      </c>
      <c r="AO1922" s="20">
        <f t="shared" si="923"/>
        <v>0</v>
      </c>
      <c r="AQ1922" s="109">
        <f t="shared" si="924"/>
        <v>0</v>
      </c>
      <c r="AU1922" s="109">
        <f t="shared" si="909"/>
        <v>22.918489111024805</v>
      </c>
      <c r="AV1922" s="101">
        <f t="shared" si="925"/>
        <v>97914</v>
      </c>
      <c r="AW1922" s="99">
        <f t="shared" si="926"/>
        <v>0</v>
      </c>
      <c r="AX1922" s="1">
        <f t="shared" si="927"/>
        <v>0</v>
      </c>
      <c r="AY1922" s="29">
        <f t="shared" si="928"/>
        <v>0</v>
      </c>
      <c r="AZ1922" s="1">
        <f t="shared" si="910"/>
        <v>0</v>
      </c>
      <c r="CB1922" s="20">
        <f t="shared" si="919"/>
        <v>0</v>
      </c>
      <c r="CC1922" s="173">
        <f t="shared" si="911"/>
        <v>0</v>
      </c>
    </row>
    <row r="1923" spans="10:81" x14ac:dyDescent="0.25">
      <c r="J1923" s="7"/>
      <c r="K1923" s="8"/>
      <c r="L1923" s="16"/>
      <c r="M1923" s="22"/>
      <c r="N1923" s="22"/>
      <c r="O1923" s="22"/>
      <c r="P1923" s="22"/>
      <c r="Q1923" s="1">
        <f t="shared" si="912"/>
        <v>0.60744618579017706</v>
      </c>
      <c r="R1923" s="12">
        <f t="shared" ca="1" si="929"/>
        <v>56792</v>
      </c>
      <c r="S1923" s="88">
        <f t="shared" ref="S1923:S1986" si="938">N1923+M1923</f>
        <v>0</v>
      </c>
      <c r="T1923" s="19">
        <f t="shared" si="930"/>
        <v>0</v>
      </c>
      <c r="U1923" s="19">
        <f t="shared" si="931"/>
        <v>0</v>
      </c>
      <c r="V1923" s="19">
        <f t="shared" si="917"/>
        <v>0</v>
      </c>
      <c r="W1923" s="20">
        <f t="shared" ca="1" si="932"/>
        <v>0</v>
      </c>
      <c r="X1923" s="19">
        <f t="shared" ca="1" si="933"/>
        <v>0</v>
      </c>
      <c r="Y1923" s="19">
        <f t="shared" ca="1" si="934"/>
        <v>0</v>
      </c>
      <c r="Z1923" s="20">
        <f t="shared" ca="1" si="935"/>
        <v>0</v>
      </c>
      <c r="AA1923" s="1">
        <f t="shared" si="913"/>
        <v>5432.58</v>
      </c>
      <c r="AB1923" s="91"/>
      <c r="AC1923" s="92"/>
      <c r="AD1923" s="101">
        <f t="shared" si="914"/>
        <v>97914</v>
      </c>
      <c r="AE1923" s="103">
        <f t="shared" si="915"/>
        <v>0</v>
      </c>
      <c r="AG1923" s="1">
        <f t="shared" si="936"/>
        <v>0</v>
      </c>
      <c r="AH1923" s="1">
        <f t="shared" si="937"/>
        <v>0</v>
      </c>
      <c r="AI1923" s="1">
        <f t="shared" si="916"/>
        <v>5432.58</v>
      </c>
      <c r="AJ1923" s="20">
        <f t="shared" si="918"/>
        <v>0</v>
      </c>
      <c r="AK1923" s="100">
        <f t="shared" si="920"/>
        <v>0</v>
      </c>
      <c r="AL1923" s="100">
        <f t="shared" si="921"/>
        <v>0</v>
      </c>
      <c r="AN1923" s="100">
        <f t="shared" si="922"/>
        <v>2083.1979247971608</v>
      </c>
      <c r="AO1923" s="20">
        <f t="shared" si="923"/>
        <v>0</v>
      </c>
      <c r="AQ1923" s="109">
        <f t="shared" si="924"/>
        <v>0</v>
      </c>
      <c r="AU1923" s="109">
        <f t="shared" si="909"/>
        <v>22.916477553550667</v>
      </c>
      <c r="AV1923" s="101">
        <f t="shared" si="925"/>
        <v>97944</v>
      </c>
      <c r="AW1923" s="99">
        <f t="shared" si="926"/>
        <v>0</v>
      </c>
      <c r="AX1923" s="1">
        <f t="shared" si="927"/>
        <v>0</v>
      </c>
      <c r="AY1923" s="29">
        <f t="shared" si="928"/>
        <v>0</v>
      </c>
      <c r="AZ1923" s="1">
        <f t="shared" si="910"/>
        <v>0</v>
      </c>
      <c r="CB1923" s="20">
        <f t="shared" si="919"/>
        <v>0</v>
      </c>
      <c r="CC1923" s="173">
        <f t="shared" si="911"/>
        <v>0</v>
      </c>
    </row>
    <row r="1924" spans="10:81" x14ac:dyDescent="0.25">
      <c r="J1924" s="9"/>
      <c r="K1924" s="10"/>
      <c r="L1924" s="17"/>
      <c r="M1924" s="23"/>
      <c r="N1924" s="23"/>
      <c r="O1924" s="23"/>
      <c r="P1924" s="23"/>
      <c r="Q1924" s="1">
        <f t="shared" si="912"/>
        <v>0.60744618579017706</v>
      </c>
      <c r="R1924" s="12">
        <f t="shared" ca="1" si="929"/>
        <v>56822</v>
      </c>
      <c r="S1924" s="88">
        <f t="shared" si="938"/>
        <v>0</v>
      </c>
      <c r="T1924" s="19">
        <f t="shared" si="930"/>
        <v>0</v>
      </c>
      <c r="U1924" s="19">
        <f t="shared" si="931"/>
        <v>0</v>
      </c>
      <c r="V1924" s="19">
        <f t="shared" si="917"/>
        <v>0</v>
      </c>
      <c r="W1924" s="20">
        <f t="shared" ca="1" si="932"/>
        <v>0</v>
      </c>
      <c r="X1924" s="19">
        <f t="shared" ca="1" si="933"/>
        <v>0</v>
      </c>
      <c r="Y1924" s="19">
        <f t="shared" ca="1" si="934"/>
        <v>0</v>
      </c>
      <c r="Z1924" s="20">
        <f t="shared" ca="1" si="935"/>
        <v>0</v>
      </c>
      <c r="AA1924" s="1">
        <f t="shared" si="913"/>
        <v>5432.58</v>
      </c>
      <c r="AB1924" s="93"/>
      <c r="AC1924" s="94"/>
      <c r="AD1924" s="101">
        <f t="shared" si="914"/>
        <v>97944</v>
      </c>
      <c r="AE1924" s="103">
        <f t="shared" si="915"/>
        <v>0</v>
      </c>
      <c r="AG1924" s="1">
        <f t="shared" si="936"/>
        <v>0</v>
      </c>
      <c r="AH1924" s="1">
        <f t="shared" si="937"/>
        <v>0</v>
      </c>
      <c r="AI1924" s="1">
        <f t="shared" si="916"/>
        <v>5432.58</v>
      </c>
      <c r="AJ1924" s="20">
        <f t="shared" si="918"/>
        <v>0</v>
      </c>
      <c r="AK1924" s="100">
        <f t="shared" si="920"/>
        <v>0</v>
      </c>
      <c r="AL1924" s="100">
        <f t="shared" si="921"/>
        <v>0</v>
      </c>
      <c r="AN1924" s="100">
        <f t="shared" si="922"/>
        <v>2082.143932805287</v>
      </c>
      <c r="AO1924" s="20">
        <f t="shared" si="923"/>
        <v>0</v>
      </c>
      <c r="AQ1924" s="109">
        <f t="shared" si="924"/>
        <v>0</v>
      </c>
      <c r="AU1924" s="109">
        <f t="shared" si="909"/>
        <v>22.914466172631073</v>
      </c>
      <c r="AV1924" s="101">
        <f t="shared" si="925"/>
        <v>97974</v>
      </c>
      <c r="AW1924" s="99">
        <f t="shared" si="926"/>
        <v>0</v>
      </c>
      <c r="AX1924" s="1">
        <f t="shared" si="927"/>
        <v>0</v>
      </c>
      <c r="AY1924" s="29">
        <f t="shared" si="928"/>
        <v>0</v>
      </c>
      <c r="AZ1924" s="1">
        <f t="shared" si="910"/>
        <v>0</v>
      </c>
      <c r="CB1924" s="20">
        <f t="shared" si="919"/>
        <v>0</v>
      </c>
      <c r="CC1924" s="173">
        <f t="shared" si="911"/>
        <v>0</v>
      </c>
    </row>
    <row r="1925" spans="10:81" x14ac:dyDescent="0.25">
      <c r="J1925" s="7"/>
      <c r="K1925" s="8"/>
      <c r="L1925" s="16"/>
      <c r="M1925" s="22"/>
      <c r="N1925" s="22"/>
      <c r="O1925" s="22"/>
      <c r="P1925" s="22"/>
      <c r="Q1925" s="1">
        <f t="shared" si="912"/>
        <v>0.60744618579017706</v>
      </c>
      <c r="R1925" s="12">
        <f t="shared" ca="1" si="929"/>
        <v>56852</v>
      </c>
      <c r="S1925" s="88">
        <f t="shared" si="938"/>
        <v>0</v>
      </c>
      <c r="T1925" s="19">
        <f t="shared" si="930"/>
        <v>0</v>
      </c>
      <c r="U1925" s="19">
        <f t="shared" si="931"/>
        <v>0</v>
      </c>
      <c r="V1925" s="19">
        <f t="shared" si="917"/>
        <v>0</v>
      </c>
      <c r="W1925" s="20">
        <f t="shared" ca="1" si="932"/>
        <v>0</v>
      </c>
      <c r="X1925" s="19">
        <f t="shared" ca="1" si="933"/>
        <v>0</v>
      </c>
      <c r="Y1925" s="19">
        <f t="shared" ca="1" si="934"/>
        <v>0</v>
      </c>
      <c r="Z1925" s="20">
        <f t="shared" ca="1" si="935"/>
        <v>0</v>
      </c>
      <c r="AA1925" s="1">
        <f t="shared" si="913"/>
        <v>5432.58</v>
      </c>
      <c r="AB1925" s="91"/>
      <c r="AC1925" s="92"/>
      <c r="AD1925" s="101">
        <f t="shared" si="914"/>
        <v>97974</v>
      </c>
      <c r="AE1925" s="103">
        <f t="shared" si="915"/>
        <v>0</v>
      </c>
      <c r="AG1925" s="1">
        <f t="shared" si="936"/>
        <v>0</v>
      </c>
      <c r="AH1925" s="1">
        <f t="shared" si="937"/>
        <v>0</v>
      </c>
      <c r="AI1925" s="1">
        <f t="shared" si="916"/>
        <v>5432.58</v>
      </c>
      <c r="AJ1925" s="20">
        <f t="shared" si="918"/>
        <v>0</v>
      </c>
      <c r="AK1925" s="100">
        <f t="shared" si="920"/>
        <v>0</v>
      </c>
      <c r="AL1925" s="100">
        <f t="shared" si="921"/>
        <v>0</v>
      </c>
      <c r="AN1925" s="100">
        <f t="shared" si="922"/>
        <v>2081.09047407965</v>
      </c>
      <c r="AO1925" s="20">
        <f t="shared" si="923"/>
        <v>0</v>
      </c>
      <c r="AQ1925" s="109">
        <f t="shared" si="924"/>
        <v>0</v>
      </c>
      <c r="AU1925" s="109">
        <f t="shared" si="909"/>
        <v>22.912454968250533</v>
      </c>
      <c r="AV1925" s="101">
        <f t="shared" si="925"/>
        <v>98004</v>
      </c>
      <c r="AW1925" s="99">
        <f t="shared" si="926"/>
        <v>0</v>
      </c>
      <c r="AX1925" s="1">
        <f t="shared" si="927"/>
        <v>0</v>
      </c>
      <c r="AY1925" s="29">
        <f t="shared" si="928"/>
        <v>0</v>
      </c>
      <c r="AZ1925" s="1">
        <f t="shared" si="910"/>
        <v>0</v>
      </c>
      <c r="CB1925" s="20">
        <f t="shared" si="919"/>
        <v>0</v>
      </c>
      <c r="CC1925" s="173">
        <f t="shared" si="911"/>
        <v>0</v>
      </c>
    </row>
    <row r="1926" spans="10:81" x14ac:dyDescent="0.25">
      <c r="J1926" s="9"/>
      <c r="K1926" s="10"/>
      <c r="L1926" s="17"/>
      <c r="M1926" s="23"/>
      <c r="N1926" s="23"/>
      <c r="O1926" s="23"/>
      <c r="P1926" s="23"/>
      <c r="Q1926" s="1">
        <f t="shared" si="912"/>
        <v>0.60744618579017706</v>
      </c>
      <c r="R1926" s="12">
        <f t="shared" ca="1" si="929"/>
        <v>56882</v>
      </c>
      <c r="S1926" s="88">
        <f t="shared" si="938"/>
        <v>0</v>
      </c>
      <c r="T1926" s="19">
        <f t="shared" si="930"/>
        <v>0</v>
      </c>
      <c r="U1926" s="19">
        <f t="shared" si="931"/>
        <v>0</v>
      </c>
      <c r="V1926" s="19">
        <f t="shared" si="917"/>
        <v>0</v>
      </c>
      <c r="W1926" s="20">
        <f t="shared" ca="1" si="932"/>
        <v>0</v>
      </c>
      <c r="X1926" s="19">
        <f t="shared" ca="1" si="933"/>
        <v>0</v>
      </c>
      <c r="Y1926" s="19">
        <f t="shared" ca="1" si="934"/>
        <v>0</v>
      </c>
      <c r="Z1926" s="20">
        <f t="shared" ca="1" si="935"/>
        <v>0</v>
      </c>
      <c r="AA1926" s="1">
        <f t="shared" si="913"/>
        <v>5432.58</v>
      </c>
      <c r="AB1926" s="93"/>
      <c r="AC1926" s="94"/>
      <c r="AD1926" s="101">
        <f t="shared" si="914"/>
        <v>98004</v>
      </c>
      <c r="AE1926" s="103">
        <f t="shared" si="915"/>
        <v>0</v>
      </c>
      <c r="AG1926" s="1">
        <f t="shared" si="936"/>
        <v>0</v>
      </c>
      <c r="AH1926" s="1">
        <f t="shared" si="937"/>
        <v>0</v>
      </c>
      <c r="AI1926" s="1">
        <f t="shared" si="916"/>
        <v>5432.58</v>
      </c>
      <c r="AJ1926" s="20">
        <f t="shared" si="918"/>
        <v>0</v>
      </c>
      <c r="AK1926" s="100">
        <f t="shared" si="920"/>
        <v>0</v>
      </c>
      <c r="AL1926" s="100">
        <f t="shared" si="921"/>
        <v>0</v>
      </c>
      <c r="AN1926" s="100">
        <f t="shared" si="922"/>
        <v>2080.0375483504449</v>
      </c>
      <c r="AO1926" s="20">
        <f t="shared" si="923"/>
        <v>0</v>
      </c>
      <c r="AQ1926" s="109">
        <f t="shared" si="924"/>
        <v>0</v>
      </c>
      <c r="AU1926" s="109">
        <f t="shared" si="909"/>
        <v>22.910443940393545</v>
      </c>
      <c r="AV1926" s="101">
        <f t="shared" si="925"/>
        <v>98034</v>
      </c>
      <c r="AW1926" s="99">
        <f t="shared" si="926"/>
        <v>0</v>
      </c>
      <c r="AX1926" s="1">
        <f t="shared" si="927"/>
        <v>0</v>
      </c>
      <c r="AY1926" s="29">
        <f t="shared" si="928"/>
        <v>0</v>
      </c>
      <c r="AZ1926" s="1">
        <f t="shared" si="910"/>
        <v>0</v>
      </c>
      <c r="CB1926" s="20">
        <f t="shared" si="919"/>
        <v>0</v>
      </c>
      <c r="CC1926" s="173">
        <f t="shared" si="911"/>
        <v>0</v>
      </c>
    </row>
    <row r="1927" spans="10:81" x14ac:dyDescent="0.25">
      <c r="J1927" s="7"/>
      <c r="K1927" s="8"/>
      <c r="L1927" s="16"/>
      <c r="M1927" s="22"/>
      <c r="N1927" s="22"/>
      <c r="O1927" s="22"/>
      <c r="P1927" s="22"/>
      <c r="Q1927" s="1">
        <f t="shared" si="912"/>
        <v>0.60744618579017706</v>
      </c>
      <c r="R1927" s="12">
        <f t="shared" ca="1" si="929"/>
        <v>56912</v>
      </c>
      <c r="S1927" s="88">
        <f t="shared" si="938"/>
        <v>0</v>
      </c>
      <c r="T1927" s="19">
        <f t="shared" si="930"/>
        <v>0</v>
      </c>
      <c r="U1927" s="19">
        <f t="shared" si="931"/>
        <v>0</v>
      </c>
      <c r="V1927" s="19">
        <f t="shared" si="917"/>
        <v>0</v>
      </c>
      <c r="W1927" s="20">
        <f t="shared" ca="1" si="932"/>
        <v>0</v>
      </c>
      <c r="X1927" s="19">
        <f t="shared" ca="1" si="933"/>
        <v>0</v>
      </c>
      <c r="Y1927" s="19">
        <f t="shared" ca="1" si="934"/>
        <v>0</v>
      </c>
      <c r="Z1927" s="20">
        <f t="shared" ca="1" si="935"/>
        <v>0</v>
      </c>
      <c r="AA1927" s="1">
        <f t="shared" si="913"/>
        <v>5432.58</v>
      </c>
      <c r="AB1927" s="91"/>
      <c r="AC1927" s="92"/>
      <c r="AD1927" s="101">
        <f t="shared" si="914"/>
        <v>98034</v>
      </c>
      <c r="AE1927" s="103">
        <f t="shared" si="915"/>
        <v>0</v>
      </c>
      <c r="AG1927" s="1">
        <f t="shared" si="936"/>
        <v>0</v>
      </c>
      <c r="AH1927" s="1">
        <f t="shared" si="937"/>
        <v>0</v>
      </c>
      <c r="AI1927" s="1">
        <f t="shared" si="916"/>
        <v>5432.58</v>
      </c>
      <c r="AJ1927" s="20">
        <f t="shared" si="918"/>
        <v>0</v>
      </c>
      <c r="AK1927" s="100">
        <f t="shared" si="920"/>
        <v>0</v>
      </c>
      <c r="AL1927" s="100">
        <f t="shared" si="921"/>
        <v>0</v>
      </c>
      <c r="AN1927" s="100">
        <f t="shared" si="922"/>
        <v>2078.985155348003</v>
      </c>
      <c r="AO1927" s="20">
        <f t="shared" si="923"/>
        <v>0</v>
      </c>
      <c r="AQ1927" s="109">
        <f t="shared" si="924"/>
        <v>0</v>
      </c>
      <c r="AU1927" s="109">
        <f t="shared" si="909"/>
        <v>22.908433089044618</v>
      </c>
      <c r="AV1927" s="101">
        <f t="shared" si="925"/>
        <v>98064</v>
      </c>
      <c r="AW1927" s="99">
        <f t="shared" si="926"/>
        <v>0</v>
      </c>
      <c r="AX1927" s="1">
        <f t="shared" si="927"/>
        <v>0</v>
      </c>
      <c r="AY1927" s="29">
        <f t="shared" si="928"/>
        <v>0</v>
      </c>
      <c r="AZ1927" s="1">
        <f t="shared" si="910"/>
        <v>0</v>
      </c>
      <c r="CB1927" s="20">
        <f t="shared" si="919"/>
        <v>0</v>
      </c>
      <c r="CC1927" s="173">
        <f t="shared" si="911"/>
        <v>0</v>
      </c>
    </row>
    <row r="1928" spans="10:81" x14ac:dyDescent="0.25">
      <c r="J1928" s="9"/>
      <c r="K1928" s="10"/>
      <c r="L1928" s="17"/>
      <c r="M1928" s="23"/>
      <c r="N1928" s="23"/>
      <c r="O1928" s="23"/>
      <c r="P1928" s="23"/>
      <c r="Q1928" s="1">
        <f t="shared" si="912"/>
        <v>0.60744618579017706</v>
      </c>
      <c r="R1928" s="12">
        <f t="shared" ca="1" si="929"/>
        <v>56942</v>
      </c>
      <c r="S1928" s="88">
        <f t="shared" si="938"/>
        <v>0</v>
      </c>
      <c r="T1928" s="19">
        <f t="shared" si="930"/>
        <v>0</v>
      </c>
      <c r="U1928" s="19">
        <f t="shared" si="931"/>
        <v>0</v>
      </c>
      <c r="V1928" s="19">
        <f t="shared" si="917"/>
        <v>0</v>
      </c>
      <c r="W1928" s="20">
        <f t="shared" ca="1" si="932"/>
        <v>0</v>
      </c>
      <c r="X1928" s="19">
        <f t="shared" ca="1" si="933"/>
        <v>0</v>
      </c>
      <c r="Y1928" s="19">
        <f t="shared" ca="1" si="934"/>
        <v>0</v>
      </c>
      <c r="Z1928" s="20">
        <f t="shared" ca="1" si="935"/>
        <v>0</v>
      </c>
      <c r="AA1928" s="1">
        <f t="shared" si="913"/>
        <v>5432.58</v>
      </c>
      <c r="AB1928" s="93"/>
      <c r="AC1928" s="94"/>
      <c r="AD1928" s="101">
        <f t="shared" si="914"/>
        <v>98064</v>
      </c>
      <c r="AE1928" s="103">
        <f t="shared" si="915"/>
        <v>0</v>
      </c>
      <c r="AG1928" s="1">
        <f t="shared" si="936"/>
        <v>0</v>
      </c>
      <c r="AH1928" s="1">
        <f t="shared" si="937"/>
        <v>0</v>
      </c>
      <c r="AI1928" s="1">
        <f t="shared" si="916"/>
        <v>5432.58</v>
      </c>
      <c r="AJ1928" s="20">
        <f t="shared" si="918"/>
        <v>0</v>
      </c>
      <c r="AK1928" s="100">
        <f t="shared" si="920"/>
        <v>0</v>
      </c>
      <c r="AL1928" s="100">
        <f t="shared" si="921"/>
        <v>0</v>
      </c>
      <c r="AN1928" s="100">
        <f t="shared" si="922"/>
        <v>2077.9332948027909</v>
      </c>
      <c r="AO1928" s="20">
        <f t="shared" si="923"/>
        <v>0</v>
      </c>
      <c r="AQ1928" s="109">
        <f t="shared" si="924"/>
        <v>0</v>
      </c>
      <c r="AU1928" s="109">
        <f t="shared" si="909"/>
        <v>22.906422414188263</v>
      </c>
      <c r="AV1928" s="101">
        <f t="shared" si="925"/>
        <v>98094</v>
      </c>
      <c r="AW1928" s="99">
        <f t="shared" si="926"/>
        <v>0</v>
      </c>
      <c r="AX1928" s="1">
        <f t="shared" si="927"/>
        <v>0</v>
      </c>
      <c r="AY1928" s="29">
        <f t="shared" si="928"/>
        <v>0</v>
      </c>
      <c r="AZ1928" s="1">
        <f t="shared" si="910"/>
        <v>0</v>
      </c>
      <c r="CB1928" s="20">
        <f t="shared" si="919"/>
        <v>0</v>
      </c>
      <c r="CC1928" s="173">
        <f t="shared" si="911"/>
        <v>0</v>
      </c>
    </row>
    <row r="1929" spans="10:81" x14ac:dyDescent="0.25">
      <c r="J1929" s="7"/>
      <c r="K1929" s="8"/>
      <c r="L1929" s="16"/>
      <c r="M1929" s="22"/>
      <c r="N1929" s="22"/>
      <c r="O1929" s="22"/>
      <c r="P1929" s="22"/>
      <c r="Q1929" s="1">
        <f t="shared" si="912"/>
        <v>0.60744618579017706</v>
      </c>
      <c r="R1929" s="12">
        <f t="shared" ca="1" si="929"/>
        <v>56972</v>
      </c>
      <c r="S1929" s="88">
        <f t="shared" si="938"/>
        <v>0</v>
      </c>
      <c r="T1929" s="19">
        <f t="shared" si="930"/>
        <v>0</v>
      </c>
      <c r="U1929" s="19">
        <f t="shared" si="931"/>
        <v>0</v>
      </c>
      <c r="V1929" s="19">
        <f t="shared" si="917"/>
        <v>0</v>
      </c>
      <c r="W1929" s="20">
        <f t="shared" ca="1" si="932"/>
        <v>0</v>
      </c>
      <c r="X1929" s="19">
        <f t="shared" ca="1" si="933"/>
        <v>0</v>
      </c>
      <c r="Y1929" s="19">
        <f t="shared" ca="1" si="934"/>
        <v>0</v>
      </c>
      <c r="Z1929" s="20">
        <f t="shared" ca="1" si="935"/>
        <v>0</v>
      </c>
      <c r="AA1929" s="1">
        <f t="shared" si="913"/>
        <v>5432.58</v>
      </c>
      <c r="AB1929" s="91"/>
      <c r="AC1929" s="92"/>
      <c r="AD1929" s="101">
        <f t="shared" si="914"/>
        <v>98094</v>
      </c>
      <c r="AE1929" s="103">
        <f t="shared" si="915"/>
        <v>0</v>
      </c>
      <c r="AG1929" s="1">
        <f t="shared" si="936"/>
        <v>0</v>
      </c>
      <c r="AH1929" s="1">
        <f t="shared" si="937"/>
        <v>0</v>
      </c>
      <c r="AI1929" s="1">
        <f t="shared" si="916"/>
        <v>5432.58</v>
      </c>
      <c r="AJ1929" s="20">
        <f t="shared" si="918"/>
        <v>0</v>
      </c>
      <c r="AK1929" s="100">
        <f t="shared" si="920"/>
        <v>0</v>
      </c>
      <c r="AL1929" s="100">
        <f t="shared" si="921"/>
        <v>0</v>
      </c>
      <c r="AN1929" s="100">
        <f t="shared" si="922"/>
        <v>2076.8819664454122</v>
      </c>
      <c r="AO1929" s="20">
        <f t="shared" si="923"/>
        <v>0</v>
      </c>
      <c r="AQ1929" s="109">
        <f t="shared" si="924"/>
        <v>0</v>
      </c>
      <c r="AU1929" s="109">
        <f t="shared" si="909"/>
        <v>22.904411915808989</v>
      </c>
      <c r="AV1929" s="101">
        <f t="shared" si="925"/>
        <v>98124</v>
      </c>
      <c r="AW1929" s="99">
        <f t="shared" si="926"/>
        <v>0</v>
      </c>
      <c r="AX1929" s="1">
        <f t="shared" si="927"/>
        <v>0</v>
      </c>
      <c r="AY1929" s="29">
        <f t="shared" si="928"/>
        <v>0</v>
      </c>
      <c r="AZ1929" s="1">
        <f t="shared" si="910"/>
        <v>0</v>
      </c>
      <c r="CB1929" s="20">
        <f t="shared" si="919"/>
        <v>0</v>
      </c>
      <c r="CC1929" s="173">
        <f t="shared" si="911"/>
        <v>0</v>
      </c>
    </row>
    <row r="1930" spans="10:81" x14ac:dyDescent="0.25">
      <c r="J1930" s="9"/>
      <c r="K1930" s="10"/>
      <c r="L1930" s="17"/>
      <c r="M1930" s="23"/>
      <c r="N1930" s="23"/>
      <c r="O1930" s="23"/>
      <c r="P1930" s="23"/>
      <c r="Q1930" s="1">
        <f t="shared" si="912"/>
        <v>0.60744618579017706</v>
      </c>
      <c r="R1930" s="12">
        <f t="shared" ca="1" si="929"/>
        <v>57002</v>
      </c>
      <c r="S1930" s="88">
        <f t="shared" si="938"/>
        <v>0</v>
      </c>
      <c r="T1930" s="19">
        <f t="shared" si="930"/>
        <v>0</v>
      </c>
      <c r="U1930" s="19">
        <f t="shared" si="931"/>
        <v>0</v>
      </c>
      <c r="V1930" s="19">
        <f t="shared" si="917"/>
        <v>0</v>
      </c>
      <c r="W1930" s="20">
        <f t="shared" ca="1" si="932"/>
        <v>0</v>
      </c>
      <c r="X1930" s="19">
        <f t="shared" ca="1" si="933"/>
        <v>0</v>
      </c>
      <c r="Y1930" s="19">
        <f t="shared" ca="1" si="934"/>
        <v>0</v>
      </c>
      <c r="Z1930" s="20">
        <f t="shared" ca="1" si="935"/>
        <v>0</v>
      </c>
      <c r="AA1930" s="1">
        <f t="shared" si="913"/>
        <v>5432.58</v>
      </c>
      <c r="AB1930" s="93"/>
      <c r="AC1930" s="94"/>
      <c r="AD1930" s="101">
        <f t="shared" si="914"/>
        <v>98124</v>
      </c>
      <c r="AE1930" s="103">
        <f t="shared" si="915"/>
        <v>0</v>
      </c>
      <c r="AG1930" s="1">
        <f t="shared" si="936"/>
        <v>0</v>
      </c>
      <c r="AH1930" s="1">
        <f t="shared" si="937"/>
        <v>0</v>
      </c>
      <c r="AI1930" s="1">
        <f t="shared" si="916"/>
        <v>5432.58</v>
      </c>
      <c r="AJ1930" s="20">
        <f t="shared" si="918"/>
        <v>0</v>
      </c>
      <c r="AK1930" s="100">
        <f t="shared" si="920"/>
        <v>0</v>
      </c>
      <c r="AL1930" s="100">
        <f t="shared" si="921"/>
        <v>0</v>
      </c>
      <c r="AN1930" s="100">
        <f t="shared" si="922"/>
        <v>2075.8311700066074</v>
      </c>
      <c r="AO1930" s="20">
        <f t="shared" si="923"/>
        <v>0</v>
      </c>
      <c r="AQ1930" s="109">
        <f t="shared" si="924"/>
        <v>0</v>
      </c>
      <c r="AU1930" s="109">
        <f t="shared" si="909"/>
        <v>22.902401593891305</v>
      </c>
      <c r="AV1930" s="101">
        <f t="shared" si="925"/>
        <v>98154</v>
      </c>
      <c r="AW1930" s="99">
        <f t="shared" si="926"/>
        <v>0</v>
      </c>
      <c r="AX1930" s="1">
        <f t="shared" si="927"/>
        <v>0</v>
      </c>
      <c r="AY1930" s="29">
        <f t="shared" si="928"/>
        <v>0</v>
      </c>
      <c r="AZ1930" s="1">
        <f t="shared" si="910"/>
        <v>0</v>
      </c>
      <c r="CB1930" s="20">
        <f t="shared" si="919"/>
        <v>0</v>
      </c>
      <c r="CC1930" s="173">
        <f t="shared" si="911"/>
        <v>0</v>
      </c>
    </row>
    <row r="1931" spans="10:81" x14ac:dyDescent="0.25">
      <c r="J1931" s="7"/>
      <c r="K1931" s="8"/>
      <c r="L1931" s="16"/>
      <c r="M1931" s="22"/>
      <c r="N1931" s="22"/>
      <c r="O1931" s="22"/>
      <c r="P1931" s="22"/>
      <c r="Q1931" s="1">
        <f t="shared" si="912"/>
        <v>0.60744618579017706</v>
      </c>
      <c r="R1931" s="12">
        <f t="shared" ca="1" si="929"/>
        <v>57032</v>
      </c>
      <c r="S1931" s="88">
        <f t="shared" si="938"/>
        <v>0</v>
      </c>
      <c r="T1931" s="19">
        <f t="shared" si="930"/>
        <v>0</v>
      </c>
      <c r="U1931" s="19">
        <f t="shared" si="931"/>
        <v>0</v>
      </c>
      <c r="V1931" s="19">
        <f t="shared" si="917"/>
        <v>0</v>
      </c>
      <c r="W1931" s="20">
        <f t="shared" ca="1" si="932"/>
        <v>0</v>
      </c>
      <c r="X1931" s="19">
        <f t="shared" ca="1" si="933"/>
        <v>0</v>
      </c>
      <c r="Y1931" s="19">
        <f t="shared" ca="1" si="934"/>
        <v>0</v>
      </c>
      <c r="Z1931" s="20">
        <f t="shared" ca="1" si="935"/>
        <v>0</v>
      </c>
      <c r="AA1931" s="1">
        <f t="shared" si="913"/>
        <v>5432.58</v>
      </c>
      <c r="AB1931" s="91"/>
      <c r="AC1931" s="92"/>
      <c r="AD1931" s="101">
        <f t="shared" si="914"/>
        <v>98154</v>
      </c>
      <c r="AE1931" s="103">
        <f t="shared" si="915"/>
        <v>0</v>
      </c>
      <c r="AG1931" s="1">
        <f t="shared" si="936"/>
        <v>0</v>
      </c>
      <c r="AH1931" s="1">
        <f t="shared" si="937"/>
        <v>0</v>
      </c>
      <c r="AI1931" s="1">
        <f t="shared" si="916"/>
        <v>5432.58</v>
      </c>
      <c r="AJ1931" s="20">
        <f t="shared" si="918"/>
        <v>0</v>
      </c>
      <c r="AK1931" s="100">
        <f t="shared" si="920"/>
        <v>0</v>
      </c>
      <c r="AL1931" s="100">
        <f t="shared" si="921"/>
        <v>0</v>
      </c>
      <c r="AN1931" s="100">
        <f t="shared" si="922"/>
        <v>2074.7809052172543</v>
      </c>
      <c r="AO1931" s="20">
        <f t="shared" si="923"/>
        <v>0</v>
      </c>
      <c r="AQ1931" s="109">
        <f t="shared" si="924"/>
        <v>0</v>
      </c>
      <c r="AU1931" s="109">
        <f t="shared" si="909"/>
        <v>22.900391448419729</v>
      </c>
      <c r="AV1931" s="101">
        <f t="shared" si="925"/>
        <v>98184</v>
      </c>
      <c r="AW1931" s="99">
        <f t="shared" si="926"/>
        <v>0</v>
      </c>
      <c r="AX1931" s="1">
        <f t="shared" si="927"/>
        <v>0</v>
      </c>
      <c r="AY1931" s="29">
        <f t="shared" si="928"/>
        <v>0</v>
      </c>
      <c r="AZ1931" s="1">
        <f t="shared" si="910"/>
        <v>0</v>
      </c>
      <c r="CB1931" s="20">
        <f t="shared" si="919"/>
        <v>0</v>
      </c>
      <c r="CC1931" s="173">
        <f t="shared" si="911"/>
        <v>0</v>
      </c>
    </row>
    <row r="1932" spans="10:81" x14ac:dyDescent="0.25">
      <c r="J1932" s="9"/>
      <c r="K1932" s="10"/>
      <c r="L1932" s="17"/>
      <c r="M1932" s="23"/>
      <c r="N1932" s="23"/>
      <c r="O1932" s="23"/>
      <c r="P1932" s="23"/>
      <c r="Q1932" s="1">
        <f t="shared" si="912"/>
        <v>0.60744618579017706</v>
      </c>
      <c r="R1932" s="12">
        <f t="shared" ca="1" si="929"/>
        <v>57062</v>
      </c>
      <c r="S1932" s="88">
        <f t="shared" si="938"/>
        <v>0</v>
      </c>
      <c r="T1932" s="19">
        <f t="shared" si="930"/>
        <v>0</v>
      </c>
      <c r="U1932" s="19">
        <f t="shared" si="931"/>
        <v>0</v>
      </c>
      <c r="V1932" s="19">
        <f t="shared" si="917"/>
        <v>0</v>
      </c>
      <c r="W1932" s="20">
        <f t="shared" ca="1" si="932"/>
        <v>0</v>
      </c>
      <c r="X1932" s="19">
        <f t="shared" ca="1" si="933"/>
        <v>0</v>
      </c>
      <c r="Y1932" s="19">
        <f t="shared" ca="1" si="934"/>
        <v>0</v>
      </c>
      <c r="Z1932" s="20">
        <f t="shared" ca="1" si="935"/>
        <v>0</v>
      </c>
      <c r="AA1932" s="1">
        <f t="shared" si="913"/>
        <v>5432.58</v>
      </c>
      <c r="AB1932" s="93"/>
      <c r="AC1932" s="94"/>
      <c r="AD1932" s="101">
        <f t="shared" si="914"/>
        <v>98184</v>
      </c>
      <c r="AE1932" s="103">
        <f t="shared" si="915"/>
        <v>0</v>
      </c>
      <c r="AG1932" s="1">
        <f t="shared" si="936"/>
        <v>0</v>
      </c>
      <c r="AH1932" s="1">
        <f t="shared" si="937"/>
        <v>0</v>
      </c>
      <c r="AI1932" s="1">
        <f t="shared" si="916"/>
        <v>5432.58</v>
      </c>
      <c r="AJ1932" s="20">
        <f t="shared" si="918"/>
        <v>0</v>
      </c>
      <c r="AK1932" s="100">
        <f t="shared" si="920"/>
        <v>0</v>
      </c>
      <c r="AL1932" s="100">
        <f t="shared" si="921"/>
        <v>0</v>
      </c>
      <c r="AN1932" s="100">
        <f t="shared" si="922"/>
        <v>2073.7311718083629</v>
      </c>
      <c r="AO1932" s="20">
        <f t="shared" si="923"/>
        <v>0</v>
      </c>
      <c r="AQ1932" s="109">
        <f t="shared" si="924"/>
        <v>0</v>
      </c>
      <c r="AU1932" s="109">
        <f t="shared" si="909"/>
        <v>22.898381479378756</v>
      </c>
      <c r="AV1932" s="101">
        <f t="shared" si="925"/>
        <v>98214</v>
      </c>
      <c r="AW1932" s="99">
        <f t="shared" si="926"/>
        <v>0</v>
      </c>
      <c r="AX1932" s="1">
        <f t="shared" si="927"/>
        <v>0</v>
      </c>
      <c r="AY1932" s="29">
        <f t="shared" si="928"/>
        <v>0</v>
      </c>
      <c r="AZ1932" s="1">
        <f t="shared" si="910"/>
        <v>0</v>
      </c>
      <c r="CB1932" s="20">
        <f t="shared" si="919"/>
        <v>0</v>
      </c>
      <c r="CC1932" s="173">
        <f t="shared" si="911"/>
        <v>0</v>
      </c>
    </row>
    <row r="1933" spans="10:81" x14ac:dyDescent="0.25">
      <c r="J1933" s="7"/>
      <c r="K1933" s="8"/>
      <c r="L1933" s="16"/>
      <c r="M1933" s="22"/>
      <c r="N1933" s="22"/>
      <c r="O1933" s="22"/>
      <c r="P1933" s="22"/>
      <c r="Q1933" s="1">
        <f t="shared" si="912"/>
        <v>0.60744618579017706</v>
      </c>
      <c r="R1933" s="12">
        <f t="shared" ca="1" si="929"/>
        <v>57092</v>
      </c>
      <c r="S1933" s="88">
        <f t="shared" si="938"/>
        <v>0</v>
      </c>
      <c r="T1933" s="19">
        <f t="shared" si="930"/>
        <v>0</v>
      </c>
      <c r="U1933" s="19">
        <f t="shared" si="931"/>
        <v>0</v>
      </c>
      <c r="V1933" s="19">
        <f t="shared" si="917"/>
        <v>0</v>
      </c>
      <c r="W1933" s="20">
        <f t="shared" ca="1" si="932"/>
        <v>0</v>
      </c>
      <c r="X1933" s="19">
        <f t="shared" ca="1" si="933"/>
        <v>0</v>
      </c>
      <c r="Y1933" s="19">
        <f t="shared" ca="1" si="934"/>
        <v>0</v>
      </c>
      <c r="Z1933" s="20">
        <f t="shared" ca="1" si="935"/>
        <v>0</v>
      </c>
      <c r="AA1933" s="1">
        <f t="shared" si="913"/>
        <v>5432.58</v>
      </c>
      <c r="AB1933" s="91"/>
      <c r="AC1933" s="92"/>
      <c r="AD1933" s="101">
        <f t="shared" si="914"/>
        <v>98214</v>
      </c>
      <c r="AE1933" s="103">
        <f t="shared" si="915"/>
        <v>0</v>
      </c>
      <c r="AG1933" s="1">
        <f t="shared" si="936"/>
        <v>0</v>
      </c>
      <c r="AH1933" s="1">
        <f t="shared" si="937"/>
        <v>0</v>
      </c>
      <c r="AI1933" s="1">
        <f t="shared" si="916"/>
        <v>5432.58</v>
      </c>
      <c r="AJ1933" s="20">
        <f t="shared" si="918"/>
        <v>0</v>
      </c>
      <c r="AK1933" s="100">
        <f t="shared" si="920"/>
        <v>0</v>
      </c>
      <c r="AL1933" s="100">
        <f t="shared" si="921"/>
        <v>0</v>
      </c>
      <c r="AN1933" s="100">
        <f t="shared" si="922"/>
        <v>2072.6819695110826</v>
      </c>
      <c r="AO1933" s="20">
        <f t="shared" si="923"/>
        <v>0</v>
      </c>
      <c r="AQ1933" s="109">
        <f t="shared" si="924"/>
        <v>0</v>
      </c>
      <c r="AU1933" s="109">
        <f t="shared" si="909"/>
        <v>22.896371686752929</v>
      </c>
      <c r="AV1933" s="101">
        <f t="shared" si="925"/>
        <v>98244</v>
      </c>
      <c r="AW1933" s="99">
        <f t="shared" si="926"/>
        <v>0</v>
      </c>
      <c r="AX1933" s="1">
        <f t="shared" si="927"/>
        <v>0</v>
      </c>
      <c r="AY1933" s="29">
        <f t="shared" si="928"/>
        <v>0</v>
      </c>
      <c r="AZ1933" s="1">
        <f t="shared" si="910"/>
        <v>0</v>
      </c>
      <c r="CB1933" s="20">
        <f t="shared" si="919"/>
        <v>0</v>
      </c>
      <c r="CC1933" s="173">
        <f t="shared" si="911"/>
        <v>0</v>
      </c>
    </row>
    <row r="1934" spans="10:81" x14ac:dyDescent="0.25">
      <c r="J1934" s="9"/>
      <c r="K1934" s="10"/>
      <c r="L1934" s="17"/>
      <c r="M1934" s="23"/>
      <c r="N1934" s="23"/>
      <c r="O1934" s="23"/>
      <c r="P1934" s="23"/>
      <c r="Q1934" s="1">
        <f t="shared" si="912"/>
        <v>0.60744618579017706</v>
      </c>
      <c r="R1934" s="12">
        <f t="shared" ca="1" si="929"/>
        <v>57122</v>
      </c>
      <c r="S1934" s="88">
        <f t="shared" si="938"/>
        <v>0</v>
      </c>
      <c r="T1934" s="19">
        <f t="shared" si="930"/>
        <v>0</v>
      </c>
      <c r="U1934" s="19">
        <f t="shared" si="931"/>
        <v>0</v>
      </c>
      <c r="V1934" s="19">
        <f t="shared" si="917"/>
        <v>0</v>
      </c>
      <c r="W1934" s="20">
        <f t="shared" ca="1" si="932"/>
        <v>0</v>
      </c>
      <c r="X1934" s="19">
        <f t="shared" ca="1" si="933"/>
        <v>0</v>
      </c>
      <c r="Y1934" s="19">
        <f t="shared" ca="1" si="934"/>
        <v>0</v>
      </c>
      <c r="Z1934" s="20">
        <f t="shared" ca="1" si="935"/>
        <v>0</v>
      </c>
      <c r="AA1934" s="1">
        <f t="shared" si="913"/>
        <v>5432.58</v>
      </c>
      <c r="AB1934" s="93"/>
      <c r="AC1934" s="94"/>
      <c r="AD1934" s="101">
        <f t="shared" si="914"/>
        <v>98244</v>
      </c>
      <c r="AE1934" s="103">
        <f t="shared" si="915"/>
        <v>0</v>
      </c>
      <c r="AG1934" s="1">
        <f t="shared" si="936"/>
        <v>0</v>
      </c>
      <c r="AH1934" s="1">
        <f t="shared" si="937"/>
        <v>0</v>
      </c>
      <c r="AI1934" s="1">
        <f t="shared" si="916"/>
        <v>5432.58</v>
      </c>
      <c r="AJ1934" s="20">
        <f t="shared" si="918"/>
        <v>0</v>
      </c>
      <c r="AK1934" s="100">
        <f t="shared" si="920"/>
        <v>0</v>
      </c>
      <c r="AL1934" s="100">
        <f t="shared" si="921"/>
        <v>0</v>
      </c>
      <c r="AN1934" s="100">
        <f t="shared" si="922"/>
        <v>2071.6332980566985</v>
      </c>
      <c r="AO1934" s="20">
        <f t="shared" si="923"/>
        <v>0</v>
      </c>
      <c r="AQ1934" s="109">
        <f t="shared" si="924"/>
        <v>0</v>
      </c>
      <c r="AU1934" s="109">
        <f t="shared" si="909"/>
        <v>22.894362070526739</v>
      </c>
      <c r="AV1934" s="101">
        <f t="shared" si="925"/>
        <v>98274</v>
      </c>
      <c r="AW1934" s="99">
        <f t="shared" si="926"/>
        <v>0</v>
      </c>
      <c r="AX1934" s="1">
        <f t="shared" si="927"/>
        <v>0</v>
      </c>
      <c r="AY1934" s="29">
        <f t="shared" si="928"/>
        <v>0</v>
      </c>
      <c r="AZ1934" s="1">
        <f t="shared" si="910"/>
        <v>0</v>
      </c>
      <c r="CB1934" s="20">
        <f t="shared" si="919"/>
        <v>0</v>
      </c>
      <c r="CC1934" s="173">
        <f t="shared" si="911"/>
        <v>0</v>
      </c>
    </row>
    <row r="1935" spans="10:81" x14ac:dyDescent="0.25">
      <c r="J1935" s="7"/>
      <c r="K1935" s="8"/>
      <c r="L1935" s="16"/>
      <c r="M1935" s="22"/>
      <c r="N1935" s="22"/>
      <c r="O1935" s="22"/>
      <c r="P1935" s="22"/>
      <c r="Q1935" s="1">
        <f t="shared" si="912"/>
        <v>0.60744618579017706</v>
      </c>
      <c r="R1935" s="12">
        <f t="shared" ca="1" si="929"/>
        <v>57152</v>
      </c>
      <c r="S1935" s="88">
        <f t="shared" si="938"/>
        <v>0</v>
      </c>
      <c r="T1935" s="19">
        <f t="shared" si="930"/>
        <v>0</v>
      </c>
      <c r="U1935" s="19">
        <f t="shared" si="931"/>
        <v>0</v>
      </c>
      <c r="V1935" s="19">
        <f t="shared" si="917"/>
        <v>0</v>
      </c>
      <c r="W1935" s="20">
        <f t="shared" ca="1" si="932"/>
        <v>0</v>
      </c>
      <c r="X1935" s="19">
        <f t="shared" ca="1" si="933"/>
        <v>0</v>
      </c>
      <c r="Y1935" s="19">
        <f t="shared" ca="1" si="934"/>
        <v>0</v>
      </c>
      <c r="Z1935" s="20">
        <f t="shared" ca="1" si="935"/>
        <v>0</v>
      </c>
      <c r="AA1935" s="1">
        <f t="shared" si="913"/>
        <v>5432.58</v>
      </c>
      <c r="AB1935" s="91"/>
      <c r="AC1935" s="92"/>
      <c r="AD1935" s="101">
        <f t="shared" si="914"/>
        <v>98274</v>
      </c>
      <c r="AE1935" s="103">
        <f t="shared" si="915"/>
        <v>0</v>
      </c>
      <c r="AG1935" s="1">
        <f t="shared" si="936"/>
        <v>0</v>
      </c>
      <c r="AH1935" s="1">
        <f t="shared" si="937"/>
        <v>0</v>
      </c>
      <c r="AI1935" s="1">
        <f t="shared" si="916"/>
        <v>5432.58</v>
      </c>
      <c r="AJ1935" s="20">
        <f t="shared" si="918"/>
        <v>0</v>
      </c>
      <c r="AK1935" s="100">
        <f t="shared" si="920"/>
        <v>0</v>
      </c>
      <c r="AL1935" s="100">
        <f t="shared" si="921"/>
        <v>0</v>
      </c>
      <c r="AN1935" s="100">
        <f t="shared" si="922"/>
        <v>2070.5851571766316</v>
      </c>
      <c r="AO1935" s="20">
        <f t="shared" si="923"/>
        <v>0</v>
      </c>
      <c r="AQ1935" s="109">
        <f t="shared" si="924"/>
        <v>0</v>
      </c>
      <c r="AU1935" s="109">
        <f t="shared" si="909"/>
        <v>22.892352630684705</v>
      </c>
      <c r="AV1935" s="101">
        <f t="shared" si="925"/>
        <v>98304</v>
      </c>
      <c r="AW1935" s="99">
        <f t="shared" si="926"/>
        <v>0</v>
      </c>
      <c r="AX1935" s="1">
        <f t="shared" si="927"/>
        <v>0</v>
      </c>
      <c r="AY1935" s="29">
        <f t="shared" si="928"/>
        <v>0</v>
      </c>
      <c r="AZ1935" s="1">
        <f t="shared" si="910"/>
        <v>0</v>
      </c>
      <c r="CB1935" s="20">
        <f t="shared" si="919"/>
        <v>0</v>
      </c>
      <c r="CC1935" s="173">
        <f t="shared" si="911"/>
        <v>0</v>
      </c>
    </row>
    <row r="1936" spans="10:81" x14ac:dyDescent="0.25">
      <c r="J1936" s="9"/>
      <c r="K1936" s="10"/>
      <c r="L1936" s="17"/>
      <c r="M1936" s="23"/>
      <c r="N1936" s="23"/>
      <c r="O1936" s="23"/>
      <c r="P1936" s="23"/>
      <c r="Q1936" s="1">
        <f t="shared" si="912"/>
        <v>0.60744618579017706</v>
      </c>
      <c r="R1936" s="12">
        <f t="shared" ca="1" si="929"/>
        <v>57182</v>
      </c>
      <c r="S1936" s="88">
        <f t="shared" si="938"/>
        <v>0</v>
      </c>
      <c r="T1936" s="19">
        <f t="shared" si="930"/>
        <v>0</v>
      </c>
      <c r="U1936" s="19">
        <f t="shared" si="931"/>
        <v>0</v>
      </c>
      <c r="V1936" s="19">
        <f t="shared" si="917"/>
        <v>0</v>
      </c>
      <c r="W1936" s="20">
        <f t="shared" ca="1" si="932"/>
        <v>0</v>
      </c>
      <c r="X1936" s="19">
        <f t="shared" ca="1" si="933"/>
        <v>0</v>
      </c>
      <c r="Y1936" s="19">
        <f t="shared" ca="1" si="934"/>
        <v>0</v>
      </c>
      <c r="Z1936" s="20">
        <f t="shared" ca="1" si="935"/>
        <v>0</v>
      </c>
      <c r="AA1936" s="1">
        <f t="shared" si="913"/>
        <v>5432.58</v>
      </c>
      <c r="AB1936" s="93"/>
      <c r="AC1936" s="94"/>
      <c r="AD1936" s="101">
        <f t="shared" si="914"/>
        <v>98304</v>
      </c>
      <c r="AE1936" s="103">
        <f t="shared" si="915"/>
        <v>0</v>
      </c>
      <c r="AG1936" s="1">
        <f t="shared" si="936"/>
        <v>0</v>
      </c>
      <c r="AH1936" s="1">
        <f t="shared" si="937"/>
        <v>0</v>
      </c>
      <c r="AI1936" s="1">
        <f t="shared" si="916"/>
        <v>5432.58</v>
      </c>
      <c r="AJ1936" s="20">
        <f t="shared" si="918"/>
        <v>0</v>
      </c>
      <c r="AK1936" s="100">
        <f t="shared" si="920"/>
        <v>0</v>
      </c>
      <c r="AL1936" s="100">
        <f t="shared" si="921"/>
        <v>0</v>
      </c>
      <c r="AN1936" s="100">
        <f t="shared" si="922"/>
        <v>2069.5375466024366</v>
      </c>
      <c r="AO1936" s="20">
        <f t="shared" si="923"/>
        <v>0</v>
      </c>
      <c r="AQ1936" s="109">
        <f t="shared" si="924"/>
        <v>0</v>
      </c>
      <c r="AU1936" s="109">
        <f t="shared" si="909"/>
        <v>22.890343367211376</v>
      </c>
      <c r="AV1936" s="101">
        <f t="shared" si="925"/>
        <v>98334</v>
      </c>
      <c r="AW1936" s="99">
        <f t="shared" si="926"/>
        <v>0</v>
      </c>
      <c r="AX1936" s="1">
        <f t="shared" si="927"/>
        <v>0</v>
      </c>
      <c r="AY1936" s="29">
        <f t="shared" si="928"/>
        <v>0</v>
      </c>
      <c r="AZ1936" s="1">
        <f t="shared" si="910"/>
        <v>0</v>
      </c>
      <c r="CB1936" s="20">
        <f t="shared" si="919"/>
        <v>0</v>
      </c>
      <c r="CC1936" s="173">
        <f t="shared" si="911"/>
        <v>0</v>
      </c>
    </row>
    <row r="1937" spans="10:81" x14ac:dyDescent="0.25">
      <c r="J1937" s="7"/>
      <c r="K1937" s="8"/>
      <c r="L1937" s="16"/>
      <c r="M1937" s="22"/>
      <c r="N1937" s="22"/>
      <c r="O1937" s="22"/>
      <c r="P1937" s="22"/>
      <c r="Q1937" s="1">
        <f t="shared" si="912"/>
        <v>0.60744618579017706</v>
      </c>
      <c r="R1937" s="12">
        <f t="shared" ca="1" si="929"/>
        <v>57212</v>
      </c>
      <c r="S1937" s="88">
        <f t="shared" si="938"/>
        <v>0</v>
      </c>
      <c r="T1937" s="19">
        <f t="shared" si="930"/>
        <v>0</v>
      </c>
      <c r="U1937" s="19">
        <f t="shared" si="931"/>
        <v>0</v>
      </c>
      <c r="V1937" s="19">
        <f t="shared" si="917"/>
        <v>0</v>
      </c>
      <c r="W1937" s="20">
        <f t="shared" ca="1" si="932"/>
        <v>0</v>
      </c>
      <c r="X1937" s="19">
        <f t="shared" ca="1" si="933"/>
        <v>0</v>
      </c>
      <c r="Y1937" s="19">
        <f t="shared" ca="1" si="934"/>
        <v>0</v>
      </c>
      <c r="Z1937" s="20">
        <f t="shared" ca="1" si="935"/>
        <v>0</v>
      </c>
      <c r="AA1937" s="1">
        <f t="shared" si="913"/>
        <v>5432.58</v>
      </c>
      <c r="AB1937" s="91"/>
      <c r="AC1937" s="92"/>
      <c r="AD1937" s="101">
        <f t="shared" si="914"/>
        <v>98334</v>
      </c>
      <c r="AE1937" s="103">
        <f t="shared" si="915"/>
        <v>0</v>
      </c>
      <c r="AG1937" s="1">
        <f t="shared" si="936"/>
        <v>0</v>
      </c>
      <c r="AH1937" s="1">
        <f t="shared" si="937"/>
        <v>0</v>
      </c>
      <c r="AI1937" s="1">
        <f t="shared" si="916"/>
        <v>5432.58</v>
      </c>
      <c r="AJ1937" s="20">
        <f t="shared" si="918"/>
        <v>0</v>
      </c>
      <c r="AK1937" s="100">
        <f t="shared" si="920"/>
        <v>0</v>
      </c>
      <c r="AL1937" s="100">
        <f t="shared" si="921"/>
        <v>0</v>
      </c>
      <c r="AN1937" s="100">
        <f t="shared" si="922"/>
        <v>2068.4904660658071</v>
      </c>
      <c r="AO1937" s="20">
        <f t="shared" si="923"/>
        <v>0</v>
      </c>
      <c r="AQ1937" s="109">
        <f t="shared" si="924"/>
        <v>0</v>
      </c>
      <c r="AU1937" s="109">
        <f t="shared" si="909"/>
        <v>22.888334280091236</v>
      </c>
      <c r="AV1937" s="101">
        <f t="shared" si="925"/>
        <v>98364</v>
      </c>
      <c r="AW1937" s="99">
        <f t="shared" si="926"/>
        <v>0</v>
      </c>
      <c r="AX1937" s="1">
        <f t="shared" si="927"/>
        <v>0</v>
      </c>
      <c r="AY1937" s="29">
        <f t="shared" si="928"/>
        <v>0</v>
      </c>
      <c r="AZ1937" s="1">
        <f t="shared" si="910"/>
        <v>0</v>
      </c>
      <c r="CB1937" s="20">
        <f t="shared" si="919"/>
        <v>0</v>
      </c>
      <c r="CC1937" s="173">
        <f t="shared" si="911"/>
        <v>0</v>
      </c>
    </row>
    <row r="1938" spans="10:81" x14ac:dyDescent="0.25">
      <c r="J1938" s="9"/>
      <c r="K1938" s="10"/>
      <c r="L1938" s="17"/>
      <c r="M1938" s="23"/>
      <c r="N1938" s="23"/>
      <c r="O1938" s="23"/>
      <c r="P1938" s="23"/>
      <c r="Q1938" s="1">
        <f t="shared" si="912"/>
        <v>0.60744618579017706</v>
      </c>
      <c r="R1938" s="12">
        <f t="shared" ca="1" si="929"/>
        <v>57242</v>
      </c>
      <c r="S1938" s="88">
        <f t="shared" si="938"/>
        <v>0</v>
      </c>
      <c r="T1938" s="19">
        <f t="shared" si="930"/>
        <v>0</v>
      </c>
      <c r="U1938" s="19">
        <f t="shared" si="931"/>
        <v>0</v>
      </c>
      <c r="V1938" s="19">
        <f t="shared" si="917"/>
        <v>0</v>
      </c>
      <c r="W1938" s="20">
        <f t="shared" ca="1" si="932"/>
        <v>0</v>
      </c>
      <c r="X1938" s="19">
        <f t="shared" ca="1" si="933"/>
        <v>0</v>
      </c>
      <c r="Y1938" s="19">
        <f t="shared" ca="1" si="934"/>
        <v>0</v>
      </c>
      <c r="Z1938" s="20">
        <f t="shared" ca="1" si="935"/>
        <v>0</v>
      </c>
      <c r="AA1938" s="1">
        <f t="shared" si="913"/>
        <v>5432.58</v>
      </c>
      <c r="AB1938" s="93"/>
      <c r="AC1938" s="94"/>
      <c r="AD1938" s="101">
        <f t="shared" si="914"/>
        <v>98364</v>
      </c>
      <c r="AE1938" s="103">
        <f t="shared" si="915"/>
        <v>0</v>
      </c>
      <c r="AG1938" s="1">
        <f t="shared" si="936"/>
        <v>0</v>
      </c>
      <c r="AH1938" s="1">
        <f t="shared" si="937"/>
        <v>0</v>
      </c>
      <c r="AI1938" s="1">
        <f t="shared" si="916"/>
        <v>5432.58</v>
      </c>
      <c r="AJ1938" s="20">
        <f t="shared" si="918"/>
        <v>0</v>
      </c>
      <c r="AK1938" s="100">
        <f t="shared" si="920"/>
        <v>0</v>
      </c>
      <c r="AL1938" s="100">
        <f t="shared" si="921"/>
        <v>0</v>
      </c>
      <c r="AN1938" s="100">
        <f t="shared" si="922"/>
        <v>2067.443915298571</v>
      </c>
      <c r="AO1938" s="20">
        <f t="shared" si="923"/>
        <v>0</v>
      </c>
      <c r="AQ1938" s="109">
        <f t="shared" si="924"/>
        <v>0</v>
      </c>
      <c r="AU1938" s="109">
        <f t="shared" si="909"/>
        <v>22.886325369308818</v>
      </c>
      <c r="AV1938" s="101">
        <f t="shared" si="925"/>
        <v>98394</v>
      </c>
      <c r="AW1938" s="99">
        <f t="shared" si="926"/>
        <v>0</v>
      </c>
      <c r="AX1938" s="1">
        <f t="shared" si="927"/>
        <v>0</v>
      </c>
      <c r="AY1938" s="29">
        <f t="shared" si="928"/>
        <v>0</v>
      </c>
      <c r="AZ1938" s="1">
        <f t="shared" si="910"/>
        <v>0</v>
      </c>
      <c r="CB1938" s="20">
        <f t="shared" si="919"/>
        <v>0</v>
      </c>
      <c r="CC1938" s="173">
        <f t="shared" si="911"/>
        <v>0</v>
      </c>
    </row>
    <row r="1939" spans="10:81" x14ac:dyDescent="0.25">
      <c r="J1939" s="7"/>
      <c r="K1939" s="8"/>
      <c r="L1939" s="16"/>
      <c r="M1939" s="22"/>
      <c r="N1939" s="22"/>
      <c r="O1939" s="22"/>
      <c r="P1939" s="22"/>
      <c r="Q1939" s="1">
        <f t="shared" si="912"/>
        <v>0.60744618579017706</v>
      </c>
      <c r="R1939" s="12">
        <f t="shared" ca="1" si="929"/>
        <v>57272</v>
      </c>
      <c r="S1939" s="88">
        <f t="shared" si="938"/>
        <v>0</v>
      </c>
      <c r="T1939" s="19">
        <f t="shared" si="930"/>
        <v>0</v>
      </c>
      <c r="U1939" s="19">
        <f t="shared" si="931"/>
        <v>0</v>
      </c>
      <c r="V1939" s="19">
        <f t="shared" si="917"/>
        <v>0</v>
      </c>
      <c r="W1939" s="20">
        <f t="shared" ca="1" si="932"/>
        <v>0</v>
      </c>
      <c r="X1939" s="19">
        <f t="shared" ca="1" si="933"/>
        <v>0</v>
      </c>
      <c r="Y1939" s="19">
        <f t="shared" ca="1" si="934"/>
        <v>0</v>
      </c>
      <c r="Z1939" s="20">
        <f t="shared" ca="1" si="935"/>
        <v>0</v>
      </c>
      <c r="AA1939" s="1">
        <f t="shared" si="913"/>
        <v>5432.58</v>
      </c>
      <c r="AB1939" s="91"/>
      <c r="AC1939" s="92"/>
      <c r="AD1939" s="101">
        <f t="shared" si="914"/>
        <v>98394</v>
      </c>
      <c r="AE1939" s="103">
        <f t="shared" si="915"/>
        <v>0</v>
      </c>
      <c r="AG1939" s="1">
        <f t="shared" si="936"/>
        <v>0</v>
      </c>
      <c r="AH1939" s="1">
        <f t="shared" si="937"/>
        <v>0</v>
      </c>
      <c r="AI1939" s="1">
        <f t="shared" si="916"/>
        <v>5432.58</v>
      </c>
      <c r="AJ1939" s="20">
        <f t="shared" si="918"/>
        <v>0</v>
      </c>
      <c r="AK1939" s="100">
        <f t="shared" si="920"/>
        <v>0</v>
      </c>
      <c r="AL1939" s="100">
        <f t="shared" si="921"/>
        <v>0</v>
      </c>
      <c r="AN1939" s="100">
        <f t="shared" si="922"/>
        <v>2066.397894032692</v>
      </c>
      <c r="AO1939" s="20">
        <f t="shared" si="923"/>
        <v>0</v>
      </c>
      <c r="AQ1939" s="109">
        <f t="shared" si="924"/>
        <v>0</v>
      </c>
      <c r="AU1939" s="109">
        <f t="shared" si="909"/>
        <v>22.884316634848652</v>
      </c>
      <c r="AV1939" s="101">
        <f t="shared" si="925"/>
        <v>98424</v>
      </c>
      <c r="AW1939" s="99">
        <f t="shared" si="926"/>
        <v>0</v>
      </c>
      <c r="AX1939" s="1">
        <f t="shared" si="927"/>
        <v>0</v>
      </c>
      <c r="AY1939" s="29">
        <f t="shared" si="928"/>
        <v>0</v>
      </c>
      <c r="AZ1939" s="1">
        <f t="shared" si="910"/>
        <v>0</v>
      </c>
      <c r="CB1939" s="20">
        <f t="shared" si="919"/>
        <v>0</v>
      </c>
      <c r="CC1939" s="173">
        <f t="shared" si="911"/>
        <v>0</v>
      </c>
    </row>
    <row r="1940" spans="10:81" x14ac:dyDescent="0.25">
      <c r="J1940" s="9"/>
      <c r="K1940" s="10"/>
      <c r="L1940" s="17"/>
      <c r="M1940" s="23"/>
      <c r="N1940" s="23"/>
      <c r="O1940" s="23"/>
      <c r="P1940" s="23"/>
      <c r="Q1940" s="1">
        <f t="shared" si="912"/>
        <v>0.60744618579017706</v>
      </c>
      <c r="R1940" s="12">
        <f t="shared" ca="1" si="929"/>
        <v>57302</v>
      </c>
      <c r="S1940" s="88">
        <f t="shared" si="938"/>
        <v>0</v>
      </c>
      <c r="T1940" s="19">
        <f t="shared" si="930"/>
        <v>0</v>
      </c>
      <c r="U1940" s="19">
        <f t="shared" si="931"/>
        <v>0</v>
      </c>
      <c r="V1940" s="19">
        <f t="shared" si="917"/>
        <v>0</v>
      </c>
      <c r="W1940" s="20">
        <f t="shared" ca="1" si="932"/>
        <v>0</v>
      </c>
      <c r="X1940" s="19">
        <f t="shared" ca="1" si="933"/>
        <v>0</v>
      </c>
      <c r="Y1940" s="19">
        <f t="shared" ca="1" si="934"/>
        <v>0</v>
      </c>
      <c r="Z1940" s="20">
        <f t="shared" ca="1" si="935"/>
        <v>0</v>
      </c>
      <c r="AA1940" s="1">
        <f t="shared" si="913"/>
        <v>5432.58</v>
      </c>
      <c r="AB1940" s="93"/>
      <c r="AC1940" s="94"/>
      <c r="AD1940" s="101">
        <f t="shared" si="914"/>
        <v>98424</v>
      </c>
      <c r="AE1940" s="103">
        <f t="shared" si="915"/>
        <v>0</v>
      </c>
      <c r="AG1940" s="1">
        <f t="shared" si="936"/>
        <v>0</v>
      </c>
      <c r="AH1940" s="1">
        <f t="shared" si="937"/>
        <v>0</v>
      </c>
      <c r="AI1940" s="1">
        <f t="shared" si="916"/>
        <v>5432.58</v>
      </c>
      <c r="AJ1940" s="20">
        <f t="shared" si="918"/>
        <v>0</v>
      </c>
      <c r="AK1940" s="100">
        <f t="shared" si="920"/>
        <v>0</v>
      </c>
      <c r="AL1940" s="100">
        <f t="shared" si="921"/>
        <v>0</v>
      </c>
      <c r="AN1940" s="100">
        <f t="shared" si="922"/>
        <v>2065.3524020002692</v>
      </c>
      <c r="AO1940" s="20">
        <f t="shared" si="923"/>
        <v>0</v>
      </c>
      <c r="AQ1940" s="109">
        <f t="shared" si="924"/>
        <v>0</v>
      </c>
      <c r="AU1940" s="109">
        <f t="shared" si="909"/>
        <v>22.882308076695249</v>
      </c>
      <c r="AV1940" s="101">
        <f t="shared" si="925"/>
        <v>98454</v>
      </c>
      <c r="AW1940" s="99">
        <f t="shared" si="926"/>
        <v>0</v>
      </c>
      <c r="AX1940" s="1">
        <f t="shared" si="927"/>
        <v>0</v>
      </c>
      <c r="AY1940" s="29">
        <f t="shared" si="928"/>
        <v>0</v>
      </c>
      <c r="AZ1940" s="1">
        <f t="shared" si="910"/>
        <v>0</v>
      </c>
      <c r="CB1940" s="20">
        <f t="shared" si="919"/>
        <v>0</v>
      </c>
      <c r="CC1940" s="173">
        <f t="shared" si="911"/>
        <v>0</v>
      </c>
    </row>
    <row r="1941" spans="10:81" x14ac:dyDescent="0.25">
      <c r="J1941" s="7"/>
      <c r="K1941" s="8"/>
      <c r="L1941" s="16"/>
      <c r="M1941" s="22"/>
      <c r="N1941" s="22"/>
      <c r="O1941" s="22"/>
      <c r="P1941" s="22"/>
      <c r="Q1941" s="1">
        <f t="shared" si="912"/>
        <v>0.60744618579017706</v>
      </c>
      <c r="R1941" s="12">
        <f t="shared" ca="1" si="929"/>
        <v>57332</v>
      </c>
      <c r="S1941" s="88">
        <f t="shared" si="938"/>
        <v>0</v>
      </c>
      <c r="T1941" s="19">
        <f t="shared" si="930"/>
        <v>0</v>
      </c>
      <c r="U1941" s="19">
        <f t="shared" si="931"/>
        <v>0</v>
      </c>
      <c r="V1941" s="19">
        <f t="shared" si="917"/>
        <v>0</v>
      </c>
      <c r="W1941" s="20">
        <f t="shared" ca="1" si="932"/>
        <v>0</v>
      </c>
      <c r="X1941" s="19">
        <f t="shared" ca="1" si="933"/>
        <v>0</v>
      </c>
      <c r="Y1941" s="19">
        <f t="shared" ca="1" si="934"/>
        <v>0</v>
      </c>
      <c r="Z1941" s="20">
        <f t="shared" ca="1" si="935"/>
        <v>0</v>
      </c>
      <c r="AA1941" s="1">
        <f t="shared" si="913"/>
        <v>5432.58</v>
      </c>
      <c r="AB1941" s="91"/>
      <c r="AC1941" s="92"/>
      <c r="AD1941" s="101">
        <f t="shared" si="914"/>
        <v>98454</v>
      </c>
      <c r="AE1941" s="103">
        <f t="shared" si="915"/>
        <v>0</v>
      </c>
      <c r="AG1941" s="1">
        <f t="shared" si="936"/>
        <v>0</v>
      </c>
      <c r="AH1941" s="1">
        <f t="shared" si="937"/>
        <v>0</v>
      </c>
      <c r="AI1941" s="1">
        <f t="shared" si="916"/>
        <v>5432.58</v>
      </c>
      <c r="AJ1941" s="20">
        <f t="shared" si="918"/>
        <v>0</v>
      </c>
      <c r="AK1941" s="100">
        <f t="shared" si="920"/>
        <v>0</v>
      </c>
      <c r="AL1941" s="100">
        <f t="shared" si="921"/>
        <v>0</v>
      </c>
      <c r="AN1941" s="100">
        <f t="shared" si="922"/>
        <v>2064.3074389335361</v>
      </c>
      <c r="AO1941" s="20">
        <f t="shared" si="923"/>
        <v>0</v>
      </c>
      <c r="AQ1941" s="109">
        <f t="shared" si="924"/>
        <v>0</v>
      </c>
      <c r="AU1941" s="109">
        <f t="shared" si="909"/>
        <v>22.880299694833152</v>
      </c>
      <c r="AV1941" s="101">
        <f t="shared" si="925"/>
        <v>98484</v>
      </c>
      <c r="AW1941" s="99">
        <f t="shared" si="926"/>
        <v>0</v>
      </c>
      <c r="AX1941" s="1">
        <f t="shared" si="927"/>
        <v>0</v>
      </c>
      <c r="AY1941" s="29">
        <f t="shared" si="928"/>
        <v>0</v>
      </c>
      <c r="AZ1941" s="1">
        <f t="shared" si="910"/>
        <v>0</v>
      </c>
      <c r="CB1941" s="20">
        <f t="shared" si="919"/>
        <v>0</v>
      </c>
      <c r="CC1941" s="173">
        <f t="shared" si="911"/>
        <v>0</v>
      </c>
    </row>
    <row r="1942" spans="10:81" x14ac:dyDescent="0.25">
      <c r="J1942" s="9"/>
      <c r="K1942" s="10"/>
      <c r="L1942" s="17"/>
      <c r="M1942" s="23"/>
      <c r="N1942" s="23"/>
      <c r="O1942" s="23"/>
      <c r="P1942" s="23"/>
      <c r="Q1942" s="1">
        <f t="shared" si="912"/>
        <v>0.60744618579017706</v>
      </c>
      <c r="R1942" s="12">
        <f t="shared" ca="1" si="929"/>
        <v>57362</v>
      </c>
      <c r="S1942" s="88">
        <f t="shared" si="938"/>
        <v>0</v>
      </c>
      <c r="T1942" s="19">
        <f t="shared" si="930"/>
        <v>0</v>
      </c>
      <c r="U1942" s="19">
        <f t="shared" si="931"/>
        <v>0</v>
      </c>
      <c r="V1942" s="19">
        <f t="shared" si="917"/>
        <v>0</v>
      </c>
      <c r="W1942" s="20">
        <f t="shared" ca="1" si="932"/>
        <v>0</v>
      </c>
      <c r="X1942" s="19">
        <f t="shared" ca="1" si="933"/>
        <v>0</v>
      </c>
      <c r="Y1942" s="19">
        <f t="shared" ca="1" si="934"/>
        <v>0</v>
      </c>
      <c r="Z1942" s="20">
        <f t="shared" ca="1" si="935"/>
        <v>0</v>
      </c>
      <c r="AA1942" s="1">
        <f t="shared" si="913"/>
        <v>5432.58</v>
      </c>
      <c r="AB1942" s="93"/>
      <c r="AC1942" s="94"/>
      <c r="AD1942" s="101">
        <f t="shared" si="914"/>
        <v>98484</v>
      </c>
      <c r="AE1942" s="103">
        <f t="shared" si="915"/>
        <v>0</v>
      </c>
      <c r="AG1942" s="1">
        <f t="shared" si="936"/>
        <v>0</v>
      </c>
      <c r="AH1942" s="1">
        <f t="shared" si="937"/>
        <v>0</v>
      </c>
      <c r="AI1942" s="1">
        <f t="shared" si="916"/>
        <v>5432.58</v>
      </c>
      <c r="AJ1942" s="20">
        <f t="shared" si="918"/>
        <v>0</v>
      </c>
      <c r="AK1942" s="100">
        <f t="shared" si="920"/>
        <v>0</v>
      </c>
      <c r="AL1942" s="100">
        <f t="shared" si="921"/>
        <v>0</v>
      </c>
      <c r="AN1942" s="100">
        <f t="shared" si="922"/>
        <v>2063.2630045648652</v>
      </c>
      <c r="AO1942" s="20">
        <f t="shared" si="923"/>
        <v>0</v>
      </c>
      <c r="AQ1942" s="109">
        <f t="shared" si="924"/>
        <v>0</v>
      </c>
      <c r="AU1942" s="109">
        <f t="shared" si="909"/>
        <v>22.87829148924688</v>
      </c>
      <c r="AV1942" s="101">
        <f t="shared" si="925"/>
        <v>98514</v>
      </c>
      <c r="AW1942" s="99">
        <f t="shared" si="926"/>
        <v>0</v>
      </c>
      <c r="AX1942" s="1">
        <f t="shared" si="927"/>
        <v>0</v>
      </c>
      <c r="AY1942" s="29">
        <f t="shared" si="928"/>
        <v>0</v>
      </c>
      <c r="AZ1942" s="1">
        <f t="shared" si="910"/>
        <v>0</v>
      </c>
      <c r="CB1942" s="20">
        <f t="shared" si="919"/>
        <v>0</v>
      </c>
      <c r="CC1942" s="173">
        <f t="shared" si="911"/>
        <v>0</v>
      </c>
    </row>
    <row r="1943" spans="10:81" x14ac:dyDescent="0.25">
      <c r="J1943" s="7"/>
      <c r="K1943" s="8"/>
      <c r="L1943" s="16"/>
      <c r="M1943" s="22"/>
      <c r="N1943" s="22"/>
      <c r="O1943" s="22"/>
      <c r="P1943" s="22"/>
      <c r="Q1943" s="1">
        <f t="shared" si="912"/>
        <v>0.60744618579017706</v>
      </c>
      <c r="R1943" s="12">
        <f t="shared" ca="1" si="929"/>
        <v>57392</v>
      </c>
      <c r="S1943" s="88">
        <f t="shared" si="938"/>
        <v>0</v>
      </c>
      <c r="T1943" s="19">
        <f t="shared" si="930"/>
        <v>0</v>
      </c>
      <c r="U1943" s="19">
        <f t="shared" si="931"/>
        <v>0</v>
      </c>
      <c r="V1943" s="19">
        <f t="shared" si="917"/>
        <v>0</v>
      </c>
      <c r="W1943" s="20">
        <f t="shared" ca="1" si="932"/>
        <v>0</v>
      </c>
      <c r="X1943" s="19">
        <f t="shared" ca="1" si="933"/>
        <v>0</v>
      </c>
      <c r="Y1943" s="19">
        <f t="shared" ca="1" si="934"/>
        <v>0</v>
      </c>
      <c r="Z1943" s="20">
        <f t="shared" ca="1" si="935"/>
        <v>0</v>
      </c>
      <c r="AA1943" s="1">
        <f t="shared" si="913"/>
        <v>5432.58</v>
      </c>
      <c r="AB1943" s="91"/>
      <c r="AC1943" s="92"/>
      <c r="AD1943" s="101">
        <f t="shared" si="914"/>
        <v>98514</v>
      </c>
      <c r="AE1943" s="103">
        <f t="shared" si="915"/>
        <v>0</v>
      </c>
      <c r="AG1943" s="1">
        <f t="shared" si="936"/>
        <v>0</v>
      </c>
      <c r="AH1943" s="1">
        <f t="shared" si="937"/>
        <v>0</v>
      </c>
      <c r="AI1943" s="1">
        <f t="shared" si="916"/>
        <v>5432.58</v>
      </c>
      <c r="AJ1943" s="20">
        <f t="shared" si="918"/>
        <v>0</v>
      </c>
      <c r="AK1943" s="100">
        <f t="shared" si="920"/>
        <v>0</v>
      </c>
      <c r="AL1943" s="100">
        <f t="shared" si="921"/>
        <v>0</v>
      </c>
      <c r="AN1943" s="100">
        <f t="shared" si="922"/>
        <v>2062.2190986267619</v>
      </c>
      <c r="AO1943" s="20">
        <f t="shared" si="923"/>
        <v>0</v>
      </c>
      <c r="AQ1943" s="109">
        <f t="shared" si="924"/>
        <v>0</v>
      </c>
      <c r="AU1943" s="109">
        <f t="shared" si="909"/>
        <v>22.876283459920955</v>
      </c>
      <c r="AV1943" s="101">
        <f t="shared" si="925"/>
        <v>98544</v>
      </c>
      <c r="AW1943" s="99">
        <f t="shared" si="926"/>
        <v>0</v>
      </c>
      <c r="AX1943" s="1">
        <f t="shared" si="927"/>
        <v>0</v>
      </c>
      <c r="AY1943" s="29">
        <f t="shared" si="928"/>
        <v>0</v>
      </c>
      <c r="AZ1943" s="1">
        <f t="shared" si="910"/>
        <v>0</v>
      </c>
      <c r="CB1943" s="20">
        <f t="shared" si="919"/>
        <v>0</v>
      </c>
      <c r="CC1943" s="173">
        <f t="shared" si="911"/>
        <v>0</v>
      </c>
    </row>
    <row r="1944" spans="10:81" x14ac:dyDescent="0.25">
      <c r="J1944" s="9"/>
      <c r="K1944" s="10"/>
      <c r="L1944" s="17"/>
      <c r="M1944" s="23"/>
      <c r="N1944" s="23"/>
      <c r="O1944" s="23"/>
      <c r="P1944" s="23"/>
      <c r="Q1944" s="1">
        <f t="shared" si="912"/>
        <v>0.60744618579017706</v>
      </c>
      <c r="R1944" s="12">
        <f t="shared" ca="1" si="929"/>
        <v>57422</v>
      </c>
      <c r="S1944" s="88">
        <f t="shared" si="938"/>
        <v>0</v>
      </c>
      <c r="T1944" s="19">
        <f t="shared" si="930"/>
        <v>0</v>
      </c>
      <c r="U1944" s="19">
        <f t="shared" si="931"/>
        <v>0</v>
      </c>
      <c r="V1944" s="19">
        <f t="shared" si="917"/>
        <v>0</v>
      </c>
      <c r="W1944" s="20">
        <f t="shared" ca="1" si="932"/>
        <v>0</v>
      </c>
      <c r="X1944" s="19">
        <f t="shared" ca="1" si="933"/>
        <v>0</v>
      </c>
      <c r="Y1944" s="19">
        <f t="shared" ca="1" si="934"/>
        <v>0</v>
      </c>
      <c r="Z1944" s="20">
        <f t="shared" ca="1" si="935"/>
        <v>0</v>
      </c>
      <c r="AA1944" s="1">
        <f t="shared" si="913"/>
        <v>5432.58</v>
      </c>
      <c r="AB1944" s="93"/>
      <c r="AC1944" s="94"/>
      <c r="AD1944" s="101">
        <f t="shared" si="914"/>
        <v>98544</v>
      </c>
      <c r="AE1944" s="103">
        <f t="shared" si="915"/>
        <v>0</v>
      </c>
      <c r="AG1944" s="1">
        <f t="shared" si="936"/>
        <v>0</v>
      </c>
      <c r="AH1944" s="1">
        <f t="shared" si="937"/>
        <v>0</v>
      </c>
      <c r="AI1944" s="1">
        <f t="shared" si="916"/>
        <v>5432.58</v>
      </c>
      <c r="AJ1944" s="20">
        <f t="shared" si="918"/>
        <v>0</v>
      </c>
      <c r="AK1944" s="100">
        <f t="shared" si="920"/>
        <v>0</v>
      </c>
      <c r="AL1944" s="100">
        <f t="shared" si="921"/>
        <v>0</v>
      </c>
      <c r="AN1944" s="100">
        <f t="shared" si="922"/>
        <v>2061.1757208518661</v>
      </c>
      <c r="AO1944" s="20">
        <f t="shared" si="923"/>
        <v>0</v>
      </c>
      <c r="AQ1944" s="109">
        <f t="shared" si="924"/>
        <v>0</v>
      </c>
      <c r="AU1944" s="109">
        <f t="shared" si="909"/>
        <v>22.874275606839916</v>
      </c>
      <c r="AV1944" s="101">
        <f t="shared" si="925"/>
        <v>98574</v>
      </c>
      <c r="AW1944" s="99">
        <f t="shared" si="926"/>
        <v>0</v>
      </c>
      <c r="AX1944" s="1">
        <f t="shared" si="927"/>
        <v>0</v>
      </c>
      <c r="AY1944" s="29">
        <f t="shared" si="928"/>
        <v>0</v>
      </c>
      <c r="AZ1944" s="1">
        <f t="shared" si="910"/>
        <v>0</v>
      </c>
      <c r="CB1944" s="20">
        <f t="shared" si="919"/>
        <v>0</v>
      </c>
      <c r="CC1944" s="173">
        <f t="shared" si="911"/>
        <v>0</v>
      </c>
    </row>
    <row r="1945" spans="10:81" x14ac:dyDescent="0.25">
      <c r="J1945" s="7"/>
      <c r="K1945" s="8"/>
      <c r="L1945" s="16"/>
      <c r="M1945" s="22"/>
      <c r="N1945" s="22"/>
      <c r="O1945" s="22"/>
      <c r="P1945" s="22"/>
      <c r="Q1945" s="1">
        <f t="shared" si="912"/>
        <v>0.60744618579017706</v>
      </c>
      <c r="R1945" s="12">
        <f t="shared" ca="1" si="929"/>
        <v>57452</v>
      </c>
      <c r="S1945" s="88">
        <f t="shared" si="938"/>
        <v>0</v>
      </c>
      <c r="T1945" s="19">
        <f t="shared" si="930"/>
        <v>0</v>
      </c>
      <c r="U1945" s="19">
        <f t="shared" si="931"/>
        <v>0</v>
      </c>
      <c r="V1945" s="19">
        <f t="shared" si="917"/>
        <v>0</v>
      </c>
      <c r="W1945" s="20">
        <f t="shared" ca="1" si="932"/>
        <v>0</v>
      </c>
      <c r="X1945" s="19">
        <f t="shared" ca="1" si="933"/>
        <v>0</v>
      </c>
      <c r="Y1945" s="19">
        <f t="shared" ca="1" si="934"/>
        <v>0</v>
      </c>
      <c r="Z1945" s="20">
        <f t="shared" ca="1" si="935"/>
        <v>0</v>
      </c>
      <c r="AA1945" s="1">
        <f t="shared" si="913"/>
        <v>5432.58</v>
      </c>
      <c r="AB1945" s="91"/>
      <c r="AC1945" s="92"/>
      <c r="AD1945" s="101">
        <f t="shared" si="914"/>
        <v>98574</v>
      </c>
      <c r="AE1945" s="103">
        <f t="shared" si="915"/>
        <v>0</v>
      </c>
      <c r="AG1945" s="1">
        <f t="shared" si="936"/>
        <v>0</v>
      </c>
      <c r="AH1945" s="1">
        <f t="shared" si="937"/>
        <v>0</v>
      </c>
      <c r="AI1945" s="1">
        <f t="shared" si="916"/>
        <v>5432.58</v>
      </c>
      <c r="AJ1945" s="20">
        <f t="shared" si="918"/>
        <v>0</v>
      </c>
      <c r="AK1945" s="100">
        <f t="shared" si="920"/>
        <v>0</v>
      </c>
      <c r="AL1945" s="100">
        <f t="shared" si="921"/>
        <v>0</v>
      </c>
      <c r="AN1945" s="100">
        <f t="shared" si="922"/>
        <v>2060.1328709729537</v>
      </c>
      <c r="AO1945" s="20">
        <f t="shared" si="923"/>
        <v>0</v>
      </c>
      <c r="AQ1945" s="109">
        <f t="shared" si="924"/>
        <v>0</v>
      </c>
      <c r="AU1945" s="109">
        <f t="shared" si="909"/>
        <v>22.87226792998829</v>
      </c>
      <c r="AV1945" s="101">
        <f t="shared" si="925"/>
        <v>98604</v>
      </c>
      <c r="AW1945" s="99">
        <f t="shared" si="926"/>
        <v>0</v>
      </c>
      <c r="AX1945" s="1">
        <f t="shared" si="927"/>
        <v>0</v>
      </c>
      <c r="AY1945" s="29">
        <f t="shared" si="928"/>
        <v>0</v>
      </c>
      <c r="AZ1945" s="1">
        <f t="shared" si="910"/>
        <v>0</v>
      </c>
      <c r="CB1945" s="20">
        <f t="shared" si="919"/>
        <v>0</v>
      </c>
      <c r="CC1945" s="173">
        <f t="shared" si="911"/>
        <v>0</v>
      </c>
    </row>
    <row r="1946" spans="10:81" x14ac:dyDescent="0.25">
      <c r="J1946" s="9"/>
      <c r="K1946" s="10"/>
      <c r="L1946" s="17"/>
      <c r="M1946" s="23"/>
      <c r="N1946" s="23"/>
      <c r="O1946" s="23"/>
      <c r="P1946" s="23"/>
      <c r="Q1946" s="1">
        <f t="shared" si="912"/>
        <v>0.60744618579017706</v>
      </c>
      <c r="R1946" s="12">
        <f t="shared" ca="1" si="929"/>
        <v>57482</v>
      </c>
      <c r="S1946" s="88">
        <f t="shared" si="938"/>
        <v>0</v>
      </c>
      <c r="T1946" s="19">
        <f t="shared" si="930"/>
        <v>0</v>
      </c>
      <c r="U1946" s="19">
        <f t="shared" si="931"/>
        <v>0</v>
      </c>
      <c r="V1946" s="19">
        <f t="shared" si="917"/>
        <v>0</v>
      </c>
      <c r="W1946" s="20">
        <f t="shared" ca="1" si="932"/>
        <v>0</v>
      </c>
      <c r="X1946" s="19">
        <f t="shared" ca="1" si="933"/>
        <v>0</v>
      </c>
      <c r="Y1946" s="19">
        <f t="shared" ca="1" si="934"/>
        <v>0</v>
      </c>
      <c r="Z1946" s="20">
        <f t="shared" ca="1" si="935"/>
        <v>0</v>
      </c>
      <c r="AA1946" s="1">
        <f t="shared" si="913"/>
        <v>5432.58</v>
      </c>
      <c r="AB1946" s="93"/>
      <c r="AC1946" s="94"/>
      <c r="AD1946" s="101">
        <f t="shared" si="914"/>
        <v>98604</v>
      </c>
      <c r="AE1946" s="103">
        <f t="shared" si="915"/>
        <v>0</v>
      </c>
      <c r="AG1946" s="1">
        <f t="shared" si="936"/>
        <v>0</v>
      </c>
      <c r="AH1946" s="1">
        <f t="shared" si="937"/>
        <v>0</v>
      </c>
      <c r="AI1946" s="1">
        <f t="shared" si="916"/>
        <v>5432.58</v>
      </c>
      <c r="AJ1946" s="20">
        <f t="shared" si="918"/>
        <v>0</v>
      </c>
      <c r="AK1946" s="100">
        <f t="shared" si="920"/>
        <v>0</v>
      </c>
      <c r="AL1946" s="100">
        <f t="shared" si="921"/>
        <v>0</v>
      </c>
      <c r="AN1946" s="100">
        <f t="shared" si="922"/>
        <v>2059.0905487229384</v>
      </c>
      <c r="AO1946" s="20">
        <f t="shared" si="923"/>
        <v>0</v>
      </c>
      <c r="AQ1946" s="109">
        <f t="shared" si="924"/>
        <v>0</v>
      </c>
      <c r="AU1946" s="109">
        <f t="shared" si="909"/>
        <v>22.870260429350601</v>
      </c>
      <c r="AV1946" s="101">
        <f t="shared" si="925"/>
        <v>98634</v>
      </c>
      <c r="AW1946" s="99">
        <f t="shared" si="926"/>
        <v>0</v>
      </c>
      <c r="AX1946" s="1">
        <f t="shared" si="927"/>
        <v>0</v>
      </c>
      <c r="AY1946" s="29">
        <f t="shared" si="928"/>
        <v>0</v>
      </c>
      <c r="AZ1946" s="1">
        <f t="shared" si="910"/>
        <v>0</v>
      </c>
      <c r="CB1946" s="20">
        <f t="shared" si="919"/>
        <v>0</v>
      </c>
      <c r="CC1946" s="173">
        <f t="shared" si="911"/>
        <v>0</v>
      </c>
    </row>
    <row r="1947" spans="10:81" x14ac:dyDescent="0.25">
      <c r="J1947" s="7"/>
      <c r="K1947" s="8"/>
      <c r="L1947" s="16"/>
      <c r="M1947" s="22"/>
      <c r="N1947" s="22"/>
      <c r="O1947" s="22"/>
      <c r="P1947" s="22"/>
      <c r="Q1947" s="1">
        <f t="shared" si="912"/>
        <v>0.60744618579017706</v>
      </c>
      <c r="R1947" s="12">
        <f t="shared" ca="1" si="929"/>
        <v>57512</v>
      </c>
      <c r="S1947" s="88">
        <f t="shared" si="938"/>
        <v>0</v>
      </c>
      <c r="T1947" s="19">
        <f t="shared" si="930"/>
        <v>0</v>
      </c>
      <c r="U1947" s="19">
        <f t="shared" si="931"/>
        <v>0</v>
      </c>
      <c r="V1947" s="19">
        <f t="shared" si="917"/>
        <v>0</v>
      </c>
      <c r="W1947" s="20">
        <f t="shared" ca="1" si="932"/>
        <v>0</v>
      </c>
      <c r="X1947" s="19">
        <f t="shared" ca="1" si="933"/>
        <v>0</v>
      </c>
      <c r="Y1947" s="19">
        <f t="shared" ca="1" si="934"/>
        <v>0</v>
      </c>
      <c r="Z1947" s="20">
        <f t="shared" ca="1" si="935"/>
        <v>0</v>
      </c>
      <c r="AA1947" s="1">
        <f t="shared" si="913"/>
        <v>5432.58</v>
      </c>
      <c r="AB1947" s="91"/>
      <c r="AC1947" s="92"/>
      <c r="AD1947" s="101">
        <f t="shared" si="914"/>
        <v>98634</v>
      </c>
      <c r="AE1947" s="103">
        <f t="shared" si="915"/>
        <v>0</v>
      </c>
      <c r="AG1947" s="1">
        <f t="shared" si="936"/>
        <v>0</v>
      </c>
      <c r="AH1947" s="1">
        <f t="shared" si="937"/>
        <v>0</v>
      </c>
      <c r="AI1947" s="1">
        <f t="shared" si="916"/>
        <v>5432.58</v>
      </c>
      <c r="AJ1947" s="20">
        <f t="shared" si="918"/>
        <v>0</v>
      </c>
      <c r="AK1947" s="100">
        <f t="shared" si="920"/>
        <v>0</v>
      </c>
      <c r="AL1947" s="100">
        <f t="shared" si="921"/>
        <v>0</v>
      </c>
      <c r="AN1947" s="100">
        <f t="shared" si="922"/>
        <v>2058.0487538348657</v>
      </c>
      <c r="AO1947" s="20">
        <f t="shared" si="923"/>
        <v>0</v>
      </c>
      <c r="AQ1947" s="109">
        <f t="shared" si="924"/>
        <v>0</v>
      </c>
      <c r="AU1947" s="109">
        <f t="shared" si="909"/>
        <v>22.868253104911396</v>
      </c>
      <c r="AV1947" s="101">
        <f t="shared" si="925"/>
        <v>98664</v>
      </c>
      <c r="AW1947" s="99">
        <f t="shared" si="926"/>
        <v>0</v>
      </c>
      <c r="AX1947" s="1">
        <f t="shared" si="927"/>
        <v>0</v>
      </c>
      <c r="AY1947" s="29">
        <f t="shared" si="928"/>
        <v>0</v>
      </c>
      <c r="AZ1947" s="1">
        <f t="shared" si="910"/>
        <v>0</v>
      </c>
      <c r="CB1947" s="20">
        <f t="shared" si="919"/>
        <v>0</v>
      </c>
      <c r="CC1947" s="173">
        <f t="shared" si="911"/>
        <v>0</v>
      </c>
    </row>
    <row r="1948" spans="10:81" x14ac:dyDescent="0.25">
      <c r="J1948" s="9"/>
      <c r="K1948" s="10"/>
      <c r="L1948" s="17"/>
      <c r="M1948" s="23"/>
      <c r="N1948" s="23"/>
      <c r="O1948" s="23"/>
      <c r="P1948" s="23"/>
      <c r="Q1948" s="1">
        <f t="shared" si="912"/>
        <v>0.60744618579017706</v>
      </c>
      <c r="R1948" s="12">
        <f t="shared" ca="1" si="929"/>
        <v>57542</v>
      </c>
      <c r="S1948" s="88">
        <f t="shared" si="938"/>
        <v>0</v>
      </c>
      <c r="T1948" s="19">
        <f t="shared" si="930"/>
        <v>0</v>
      </c>
      <c r="U1948" s="19">
        <f t="shared" si="931"/>
        <v>0</v>
      </c>
      <c r="V1948" s="19">
        <f t="shared" si="917"/>
        <v>0</v>
      </c>
      <c r="W1948" s="20">
        <f t="shared" ca="1" si="932"/>
        <v>0</v>
      </c>
      <c r="X1948" s="19">
        <f t="shared" ca="1" si="933"/>
        <v>0</v>
      </c>
      <c r="Y1948" s="19">
        <f t="shared" ca="1" si="934"/>
        <v>0</v>
      </c>
      <c r="Z1948" s="20">
        <f t="shared" ca="1" si="935"/>
        <v>0</v>
      </c>
      <c r="AA1948" s="1">
        <f t="shared" si="913"/>
        <v>5432.58</v>
      </c>
      <c r="AB1948" s="93"/>
      <c r="AC1948" s="94"/>
      <c r="AD1948" s="101">
        <f t="shared" si="914"/>
        <v>98664</v>
      </c>
      <c r="AE1948" s="103">
        <f t="shared" si="915"/>
        <v>0</v>
      </c>
      <c r="AG1948" s="1">
        <f t="shared" si="936"/>
        <v>0</v>
      </c>
      <c r="AH1948" s="1">
        <f t="shared" si="937"/>
        <v>0</v>
      </c>
      <c r="AI1948" s="1">
        <f t="shared" si="916"/>
        <v>5432.58</v>
      </c>
      <c r="AJ1948" s="20">
        <f t="shared" si="918"/>
        <v>0</v>
      </c>
      <c r="AK1948" s="100">
        <f t="shared" si="920"/>
        <v>0</v>
      </c>
      <c r="AL1948" s="100">
        <f t="shared" si="921"/>
        <v>0</v>
      </c>
      <c r="AN1948" s="100">
        <f t="shared" si="922"/>
        <v>2057.0074860419168</v>
      </c>
      <c r="AO1948" s="20">
        <f t="shared" si="923"/>
        <v>0</v>
      </c>
      <c r="AQ1948" s="109">
        <f t="shared" si="924"/>
        <v>0</v>
      </c>
      <c r="AU1948" s="109">
        <f t="shared" si="909"/>
        <v>22.866245956655206</v>
      </c>
      <c r="AV1948" s="101">
        <f t="shared" si="925"/>
        <v>98694</v>
      </c>
      <c r="AW1948" s="99">
        <f t="shared" si="926"/>
        <v>0</v>
      </c>
      <c r="AX1948" s="1">
        <f t="shared" si="927"/>
        <v>0</v>
      </c>
      <c r="AY1948" s="29">
        <f t="shared" si="928"/>
        <v>0</v>
      </c>
      <c r="AZ1948" s="1">
        <f t="shared" si="910"/>
        <v>0</v>
      </c>
      <c r="CB1948" s="20">
        <f t="shared" si="919"/>
        <v>0</v>
      </c>
      <c r="CC1948" s="173">
        <f t="shared" si="911"/>
        <v>0</v>
      </c>
    </row>
    <row r="1949" spans="10:81" x14ac:dyDescent="0.25">
      <c r="J1949" s="7"/>
      <c r="K1949" s="8"/>
      <c r="L1949" s="16"/>
      <c r="M1949" s="22"/>
      <c r="N1949" s="22"/>
      <c r="O1949" s="22"/>
      <c r="P1949" s="22"/>
      <c r="Q1949" s="1">
        <f t="shared" si="912"/>
        <v>0.60744618579017706</v>
      </c>
      <c r="R1949" s="12">
        <f t="shared" ca="1" si="929"/>
        <v>57572</v>
      </c>
      <c r="S1949" s="88">
        <f t="shared" si="938"/>
        <v>0</v>
      </c>
      <c r="T1949" s="19">
        <f t="shared" si="930"/>
        <v>0</v>
      </c>
      <c r="U1949" s="19">
        <f t="shared" si="931"/>
        <v>0</v>
      </c>
      <c r="V1949" s="19">
        <f t="shared" si="917"/>
        <v>0</v>
      </c>
      <c r="W1949" s="20">
        <f t="shared" ca="1" si="932"/>
        <v>0</v>
      </c>
      <c r="X1949" s="19">
        <f t="shared" ca="1" si="933"/>
        <v>0</v>
      </c>
      <c r="Y1949" s="19">
        <f t="shared" ca="1" si="934"/>
        <v>0</v>
      </c>
      <c r="Z1949" s="20">
        <f t="shared" ca="1" si="935"/>
        <v>0</v>
      </c>
      <c r="AA1949" s="1">
        <f t="shared" si="913"/>
        <v>5432.58</v>
      </c>
      <c r="AB1949" s="91"/>
      <c r="AC1949" s="92"/>
      <c r="AD1949" s="101">
        <f t="shared" si="914"/>
        <v>98694</v>
      </c>
      <c r="AE1949" s="103">
        <f t="shared" si="915"/>
        <v>0</v>
      </c>
      <c r="AG1949" s="1">
        <f t="shared" si="936"/>
        <v>0</v>
      </c>
      <c r="AH1949" s="1">
        <f t="shared" si="937"/>
        <v>0</v>
      </c>
      <c r="AI1949" s="1">
        <f t="shared" si="916"/>
        <v>5432.58</v>
      </c>
      <c r="AJ1949" s="20">
        <f t="shared" si="918"/>
        <v>0</v>
      </c>
      <c r="AK1949" s="100">
        <f t="shared" si="920"/>
        <v>0</v>
      </c>
      <c r="AL1949" s="100">
        <f t="shared" si="921"/>
        <v>0</v>
      </c>
      <c r="AN1949" s="100">
        <f t="shared" si="922"/>
        <v>2055.9667450774095</v>
      </c>
      <c r="AO1949" s="20">
        <f t="shared" si="923"/>
        <v>0</v>
      </c>
      <c r="AQ1949" s="109">
        <f t="shared" si="924"/>
        <v>0</v>
      </c>
      <c r="AU1949" s="109">
        <f t="shared" si="909"/>
        <v>22.864238984566565</v>
      </c>
      <c r="AV1949" s="101">
        <f t="shared" si="925"/>
        <v>98724</v>
      </c>
      <c r="AW1949" s="99">
        <f t="shared" si="926"/>
        <v>0</v>
      </c>
      <c r="AX1949" s="1">
        <f t="shared" si="927"/>
        <v>0</v>
      </c>
      <c r="AY1949" s="29">
        <f t="shared" si="928"/>
        <v>0</v>
      </c>
      <c r="AZ1949" s="1">
        <f t="shared" si="910"/>
        <v>0</v>
      </c>
      <c r="CB1949" s="20">
        <f t="shared" si="919"/>
        <v>0</v>
      </c>
      <c r="CC1949" s="173">
        <f t="shared" si="911"/>
        <v>0</v>
      </c>
    </row>
    <row r="1950" spans="10:81" x14ac:dyDescent="0.25">
      <c r="J1950" s="9"/>
      <c r="K1950" s="10"/>
      <c r="L1950" s="17"/>
      <c r="M1950" s="23"/>
      <c r="N1950" s="23"/>
      <c r="O1950" s="23"/>
      <c r="P1950" s="23"/>
      <c r="Q1950" s="1">
        <f t="shared" si="912"/>
        <v>0.60744618579017706</v>
      </c>
      <c r="R1950" s="12">
        <f t="shared" ca="1" si="929"/>
        <v>57602</v>
      </c>
      <c r="S1950" s="88">
        <f t="shared" si="938"/>
        <v>0</v>
      </c>
      <c r="T1950" s="19">
        <f t="shared" si="930"/>
        <v>0</v>
      </c>
      <c r="U1950" s="19">
        <f t="shared" si="931"/>
        <v>0</v>
      </c>
      <c r="V1950" s="19">
        <f t="shared" si="917"/>
        <v>0</v>
      </c>
      <c r="W1950" s="20">
        <f t="shared" ca="1" si="932"/>
        <v>0</v>
      </c>
      <c r="X1950" s="19">
        <f t="shared" ca="1" si="933"/>
        <v>0</v>
      </c>
      <c r="Y1950" s="19">
        <f t="shared" ca="1" si="934"/>
        <v>0</v>
      </c>
      <c r="Z1950" s="20">
        <f t="shared" ca="1" si="935"/>
        <v>0</v>
      </c>
      <c r="AA1950" s="1">
        <f t="shared" si="913"/>
        <v>5432.58</v>
      </c>
      <c r="AB1950" s="93"/>
      <c r="AC1950" s="94"/>
      <c r="AD1950" s="101">
        <f t="shared" si="914"/>
        <v>98724</v>
      </c>
      <c r="AE1950" s="103">
        <f t="shared" si="915"/>
        <v>0</v>
      </c>
      <c r="AG1950" s="1">
        <f t="shared" si="936"/>
        <v>0</v>
      </c>
      <c r="AH1950" s="1">
        <f t="shared" si="937"/>
        <v>0</v>
      </c>
      <c r="AI1950" s="1">
        <f t="shared" si="916"/>
        <v>5432.58</v>
      </c>
      <c r="AJ1950" s="20">
        <f t="shared" si="918"/>
        <v>0</v>
      </c>
      <c r="AK1950" s="100">
        <f t="shared" si="920"/>
        <v>0</v>
      </c>
      <c r="AL1950" s="100">
        <f t="shared" si="921"/>
        <v>0</v>
      </c>
      <c r="AN1950" s="100">
        <f t="shared" si="922"/>
        <v>2054.9265306747948</v>
      </c>
      <c r="AO1950" s="20">
        <f t="shared" si="923"/>
        <v>0</v>
      </c>
      <c r="AQ1950" s="109">
        <f t="shared" si="924"/>
        <v>0</v>
      </c>
      <c r="AU1950" s="109">
        <f t="shared" si="909"/>
        <v>22.86223218863001</v>
      </c>
      <c r="AV1950" s="101">
        <f t="shared" si="925"/>
        <v>98754</v>
      </c>
      <c r="AW1950" s="99">
        <f t="shared" si="926"/>
        <v>0</v>
      </c>
      <c r="AX1950" s="1">
        <f t="shared" si="927"/>
        <v>0</v>
      </c>
      <c r="AY1950" s="29">
        <f t="shared" si="928"/>
        <v>0</v>
      </c>
      <c r="AZ1950" s="1">
        <f t="shared" si="910"/>
        <v>0</v>
      </c>
      <c r="CB1950" s="20">
        <f t="shared" si="919"/>
        <v>0</v>
      </c>
      <c r="CC1950" s="173">
        <f t="shared" si="911"/>
        <v>0</v>
      </c>
    </row>
    <row r="1951" spans="10:81" x14ac:dyDescent="0.25">
      <c r="J1951" s="7"/>
      <c r="K1951" s="8"/>
      <c r="L1951" s="16"/>
      <c r="M1951" s="22"/>
      <c r="N1951" s="22"/>
      <c r="O1951" s="22"/>
      <c r="P1951" s="22"/>
      <c r="Q1951" s="1">
        <f t="shared" si="912"/>
        <v>0.60744618579017706</v>
      </c>
      <c r="R1951" s="12">
        <f t="shared" ca="1" si="929"/>
        <v>57632</v>
      </c>
      <c r="S1951" s="88">
        <f t="shared" si="938"/>
        <v>0</v>
      </c>
      <c r="T1951" s="19">
        <f t="shared" si="930"/>
        <v>0</v>
      </c>
      <c r="U1951" s="19">
        <f t="shared" si="931"/>
        <v>0</v>
      </c>
      <c r="V1951" s="19">
        <f t="shared" si="917"/>
        <v>0</v>
      </c>
      <c r="W1951" s="20">
        <f t="shared" ca="1" si="932"/>
        <v>0</v>
      </c>
      <c r="X1951" s="19">
        <f t="shared" ca="1" si="933"/>
        <v>0</v>
      </c>
      <c r="Y1951" s="19">
        <f t="shared" ca="1" si="934"/>
        <v>0</v>
      </c>
      <c r="Z1951" s="20">
        <f t="shared" ca="1" si="935"/>
        <v>0</v>
      </c>
      <c r="AA1951" s="1">
        <f t="shared" si="913"/>
        <v>5432.58</v>
      </c>
      <c r="AB1951" s="91"/>
      <c r="AC1951" s="92"/>
      <c r="AD1951" s="101">
        <f t="shared" si="914"/>
        <v>98754</v>
      </c>
      <c r="AE1951" s="103">
        <f t="shared" si="915"/>
        <v>0</v>
      </c>
      <c r="AG1951" s="1">
        <f t="shared" si="936"/>
        <v>0</v>
      </c>
      <c r="AH1951" s="1">
        <f t="shared" si="937"/>
        <v>0</v>
      </c>
      <c r="AI1951" s="1">
        <f t="shared" si="916"/>
        <v>5432.58</v>
      </c>
      <c r="AJ1951" s="20">
        <f t="shared" si="918"/>
        <v>0</v>
      </c>
      <c r="AK1951" s="100">
        <f t="shared" si="920"/>
        <v>0</v>
      </c>
      <c r="AL1951" s="100">
        <f t="shared" si="921"/>
        <v>0</v>
      </c>
      <c r="AN1951" s="100">
        <f t="shared" si="922"/>
        <v>2053.8868425676596</v>
      </c>
      <c r="AO1951" s="20">
        <f t="shared" si="923"/>
        <v>0</v>
      </c>
      <c r="AQ1951" s="109">
        <f t="shared" si="924"/>
        <v>0</v>
      </c>
      <c r="AU1951" s="109">
        <f t="shared" ref="AU1951:AU2000" si="939">(($AT$27/(1+((1+$AM$27)^(ROW()-29)*30)-1))/292)*0.32</f>
        <v>22.860225568830074</v>
      </c>
      <c r="AV1951" s="101">
        <f t="shared" si="925"/>
        <v>98784</v>
      </c>
      <c r="AW1951" s="99">
        <f t="shared" si="926"/>
        <v>0</v>
      </c>
      <c r="AX1951" s="1">
        <f t="shared" si="927"/>
        <v>0</v>
      </c>
      <c r="AY1951" s="29">
        <f t="shared" si="928"/>
        <v>0</v>
      </c>
      <c r="AZ1951" s="1">
        <f t="shared" ref="AZ1951:AZ2000" si="940">AY1951/360</f>
        <v>0</v>
      </c>
      <c r="CB1951" s="20">
        <f t="shared" si="919"/>
        <v>0</v>
      </c>
      <c r="CC1951" s="173">
        <f t="shared" ref="CC1951:CC2000" si="941">AJ1951+U1951+T1951</f>
        <v>0</v>
      </c>
    </row>
    <row r="1952" spans="10:81" x14ac:dyDescent="0.25">
      <c r="J1952" s="9"/>
      <c r="K1952" s="10"/>
      <c r="L1952" s="17"/>
      <c r="M1952" s="23"/>
      <c r="N1952" s="23"/>
      <c r="O1952" s="23"/>
      <c r="P1952" s="23"/>
      <c r="Q1952" s="1">
        <f t="shared" ref="Q1952:Q2000" si="942">IF(M1952=0,Q1951,(M1952*1200)/O1951)</f>
        <v>0.60744618579017706</v>
      </c>
      <c r="R1952" s="12">
        <f t="shared" ca="1" si="929"/>
        <v>57662</v>
      </c>
      <c r="S1952" s="88">
        <f t="shared" si="938"/>
        <v>0</v>
      </c>
      <c r="T1952" s="19">
        <f t="shared" si="930"/>
        <v>0</v>
      </c>
      <c r="U1952" s="19">
        <f t="shared" si="931"/>
        <v>0</v>
      </c>
      <c r="V1952" s="19">
        <f t="shared" si="917"/>
        <v>0</v>
      </c>
      <c r="W1952" s="20">
        <f t="shared" ca="1" si="932"/>
        <v>0</v>
      </c>
      <c r="X1952" s="19">
        <f t="shared" ca="1" si="933"/>
        <v>0</v>
      </c>
      <c r="Y1952" s="19">
        <f t="shared" ca="1" si="934"/>
        <v>0</v>
      </c>
      <c r="Z1952" s="20">
        <f t="shared" ca="1" si="935"/>
        <v>0</v>
      </c>
      <c r="AA1952" s="1">
        <f t="shared" ref="AA1952:AA2000" si="943">IF(S1952=0,AA1951,N1952)</f>
        <v>5432.58</v>
      </c>
      <c r="AB1952" s="93"/>
      <c r="AC1952" s="94"/>
      <c r="AD1952" s="101">
        <f t="shared" ref="AD1952:AD2000" si="944">IF(M1952=0,AD1951+30,K1952)</f>
        <v>98784</v>
      </c>
      <c r="AE1952" s="103">
        <f t="shared" ref="AE1952:AE2000" si="945">IF(V1952=0,0,R1952)</f>
        <v>0</v>
      </c>
      <c r="AG1952" s="1">
        <f t="shared" si="936"/>
        <v>0</v>
      </c>
      <c r="AH1952" s="1">
        <f t="shared" si="937"/>
        <v>0</v>
      </c>
      <c r="AI1952" s="1">
        <f t="shared" ref="AI1952:AI2000" si="946">IF(M1952-1=0,IF(M1952=0,IF(V1952=0,N1952,AI1951),AA1952),AA1952)</f>
        <v>5432.58</v>
      </c>
      <c r="AJ1952" s="20">
        <f t="shared" si="918"/>
        <v>0</v>
      </c>
      <c r="AK1952" s="100">
        <f t="shared" si="920"/>
        <v>0</v>
      </c>
      <c r="AL1952" s="100">
        <f t="shared" si="921"/>
        <v>0</v>
      </c>
      <c r="AN1952" s="100">
        <f t="shared" si="922"/>
        <v>2052.8476804897241</v>
      </c>
      <c r="AO1952" s="20">
        <f t="shared" si="923"/>
        <v>0</v>
      </c>
      <c r="AQ1952" s="109">
        <f t="shared" si="924"/>
        <v>0</v>
      </c>
      <c r="AU1952" s="109">
        <f t="shared" si="939"/>
        <v>22.858219125151322</v>
      </c>
      <c r="AV1952" s="101">
        <f t="shared" si="925"/>
        <v>98814</v>
      </c>
      <c r="AW1952" s="99">
        <f t="shared" si="926"/>
        <v>0</v>
      </c>
      <c r="AX1952" s="1">
        <f t="shared" si="927"/>
        <v>0</v>
      </c>
      <c r="AY1952" s="29">
        <f t="shared" si="928"/>
        <v>0</v>
      </c>
      <c r="AZ1952" s="1">
        <f t="shared" si="940"/>
        <v>0</v>
      </c>
      <c r="CB1952" s="20">
        <f t="shared" si="919"/>
        <v>0</v>
      </c>
      <c r="CC1952" s="173">
        <f t="shared" si="941"/>
        <v>0</v>
      </c>
    </row>
    <row r="1953" spans="10:81" x14ac:dyDescent="0.25">
      <c r="J1953" s="7"/>
      <c r="K1953" s="8"/>
      <c r="L1953" s="16"/>
      <c r="M1953" s="22"/>
      <c r="N1953" s="22"/>
      <c r="O1953" s="22"/>
      <c r="P1953" s="22"/>
      <c r="Q1953" s="1">
        <f t="shared" si="942"/>
        <v>0.60744618579017706</v>
      </c>
      <c r="R1953" s="12">
        <f t="shared" ca="1" si="929"/>
        <v>57692</v>
      </c>
      <c r="S1953" s="88">
        <f t="shared" si="938"/>
        <v>0</v>
      </c>
      <c r="T1953" s="19">
        <f t="shared" si="930"/>
        <v>0</v>
      </c>
      <c r="U1953" s="19">
        <f t="shared" si="931"/>
        <v>0</v>
      </c>
      <c r="V1953" s="19">
        <f t="shared" si="917"/>
        <v>0</v>
      </c>
      <c r="W1953" s="20">
        <f t="shared" ca="1" si="932"/>
        <v>0</v>
      </c>
      <c r="X1953" s="19">
        <f t="shared" ca="1" si="933"/>
        <v>0</v>
      </c>
      <c r="Y1953" s="19">
        <f t="shared" ca="1" si="934"/>
        <v>0</v>
      </c>
      <c r="Z1953" s="20">
        <f t="shared" ca="1" si="935"/>
        <v>0</v>
      </c>
      <c r="AA1953" s="1">
        <f t="shared" si="943"/>
        <v>5432.58</v>
      </c>
      <c r="AB1953" s="91"/>
      <c r="AC1953" s="92"/>
      <c r="AD1953" s="101">
        <f t="shared" si="944"/>
        <v>98814</v>
      </c>
      <c r="AE1953" s="103">
        <f t="shared" si="945"/>
        <v>0</v>
      </c>
      <c r="AG1953" s="1">
        <f t="shared" si="936"/>
        <v>0</v>
      </c>
      <c r="AH1953" s="1">
        <f t="shared" si="937"/>
        <v>0</v>
      </c>
      <c r="AI1953" s="1">
        <f t="shared" si="946"/>
        <v>5432.58</v>
      </c>
      <c r="AJ1953" s="20">
        <f t="shared" si="918"/>
        <v>0</v>
      </c>
      <c r="AK1953" s="100">
        <f t="shared" si="920"/>
        <v>0</v>
      </c>
      <c r="AL1953" s="100">
        <f t="shared" si="921"/>
        <v>0</v>
      </c>
      <c r="AN1953" s="100">
        <f t="shared" si="922"/>
        <v>2051.8090441748459</v>
      </c>
      <c r="AO1953" s="20">
        <f t="shared" si="923"/>
        <v>0</v>
      </c>
      <c r="AQ1953" s="109">
        <f t="shared" si="924"/>
        <v>0</v>
      </c>
      <c r="AU1953" s="109">
        <f t="shared" si="939"/>
        <v>22.856212857578267</v>
      </c>
      <c r="AV1953" s="101">
        <f t="shared" si="925"/>
        <v>98844</v>
      </c>
      <c r="AW1953" s="99">
        <f t="shared" si="926"/>
        <v>0</v>
      </c>
      <c r="AX1953" s="1">
        <f t="shared" si="927"/>
        <v>0</v>
      </c>
      <c r="AY1953" s="29">
        <f t="shared" si="928"/>
        <v>0</v>
      </c>
      <c r="AZ1953" s="1">
        <f t="shared" si="940"/>
        <v>0</v>
      </c>
      <c r="CB1953" s="20">
        <f t="shared" si="919"/>
        <v>0</v>
      </c>
      <c r="CC1953" s="173">
        <f t="shared" si="941"/>
        <v>0</v>
      </c>
    </row>
    <row r="1954" spans="10:81" x14ac:dyDescent="0.25">
      <c r="J1954" s="9"/>
      <c r="K1954" s="10"/>
      <c r="L1954" s="17"/>
      <c r="M1954" s="23"/>
      <c r="N1954" s="23"/>
      <c r="O1954" s="23"/>
      <c r="P1954" s="23"/>
      <c r="Q1954" s="1">
        <f t="shared" si="942"/>
        <v>0.60744618579017706</v>
      </c>
      <c r="R1954" s="12">
        <f t="shared" ca="1" si="929"/>
        <v>57722</v>
      </c>
      <c r="S1954" s="88">
        <f t="shared" si="938"/>
        <v>0</v>
      </c>
      <c r="T1954" s="19">
        <f t="shared" si="930"/>
        <v>0</v>
      </c>
      <c r="U1954" s="19">
        <f t="shared" si="931"/>
        <v>0</v>
      </c>
      <c r="V1954" s="19">
        <f t="shared" ref="V1954:V2000" si="947">IF(ISERROR(IF(V1953+U1954+T1954+(V1953*Q1954/1200)-AA1954-P1954&lt;0,0,V1953+U1954+T1954-AA1954-P1954)),0,IF(V1953+U1954+T1954+(V1953*Q1954/1200)-AA1954-CB1954&lt;0,0,V1953+U1954+T1954-AA1954-CB1954))</f>
        <v>0</v>
      </c>
      <c r="W1954" s="20">
        <f t="shared" ca="1" si="932"/>
        <v>0</v>
      </c>
      <c r="X1954" s="19">
        <f t="shared" ca="1" si="933"/>
        <v>0</v>
      </c>
      <c r="Y1954" s="19">
        <f t="shared" ca="1" si="934"/>
        <v>0</v>
      </c>
      <c r="Z1954" s="20">
        <f t="shared" ca="1" si="935"/>
        <v>0</v>
      </c>
      <c r="AA1954" s="1">
        <f t="shared" si="943"/>
        <v>5432.58</v>
      </c>
      <c r="AB1954" s="93"/>
      <c r="AC1954" s="94"/>
      <c r="AD1954" s="101">
        <f t="shared" si="944"/>
        <v>98844</v>
      </c>
      <c r="AE1954" s="103">
        <f t="shared" si="945"/>
        <v>0</v>
      </c>
      <c r="AG1954" s="1">
        <f t="shared" si="936"/>
        <v>0</v>
      </c>
      <c r="AH1954" s="1">
        <f t="shared" si="937"/>
        <v>0</v>
      </c>
      <c r="AI1954" s="1">
        <f t="shared" si="946"/>
        <v>5432.58</v>
      </c>
      <c r="AJ1954" s="20">
        <f t="shared" si="918"/>
        <v>0</v>
      </c>
      <c r="AK1954" s="100">
        <f t="shared" si="920"/>
        <v>0</v>
      </c>
      <c r="AL1954" s="100">
        <f t="shared" si="921"/>
        <v>0</v>
      </c>
      <c r="AN1954" s="100">
        <f t="shared" si="922"/>
        <v>2050.7709333570151</v>
      </c>
      <c r="AO1954" s="20">
        <f t="shared" si="923"/>
        <v>0</v>
      </c>
      <c r="AQ1954" s="109">
        <f t="shared" si="924"/>
        <v>0</v>
      </c>
      <c r="AU1954" s="109">
        <f t="shared" si="939"/>
        <v>22.854206766095476</v>
      </c>
      <c r="AV1954" s="101">
        <f t="shared" si="925"/>
        <v>98874</v>
      </c>
      <c r="AW1954" s="99">
        <f t="shared" si="926"/>
        <v>0</v>
      </c>
      <c r="AX1954" s="1">
        <f t="shared" si="927"/>
        <v>0</v>
      </c>
      <c r="AY1954" s="29">
        <f t="shared" si="928"/>
        <v>0</v>
      </c>
      <c r="AZ1954" s="1">
        <f t="shared" si="940"/>
        <v>0</v>
      </c>
      <c r="CB1954" s="20">
        <f t="shared" si="919"/>
        <v>0</v>
      </c>
      <c r="CC1954" s="173">
        <f t="shared" si="941"/>
        <v>0</v>
      </c>
    </row>
    <row r="1955" spans="10:81" x14ac:dyDescent="0.25">
      <c r="J1955" s="7"/>
      <c r="K1955" s="8"/>
      <c r="L1955" s="16"/>
      <c r="M1955" s="22"/>
      <c r="N1955" s="22"/>
      <c r="O1955" s="22"/>
      <c r="P1955" s="22"/>
      <c r="Q1955" s="1">
        <f t="shared" si="942"/>
        <v>0.60744618579017706</v>
      </c>
      <c r="R1955" s="12">
        <f t="shared" ca="1" si="929"/>
        <v>57752</v>
      </c>
      <c r="S1955" s="88">
        <f t="shared" si="938"/>
        <v>0</v>
      </c>
      <c r="T1955" s="19">
        <f t="shared" si="930"/>
        <v>0</v>
      </c>
      <c r="U1955" s="19">
        <f t="shared" si="931"/>
        <v>0</v>
      </c>
      <c r="V1955" s="19">
        <f t="shared" si="947"/>
        <v>0</v>
      </c>
      <c r="W1955" s="20">
        <f t="shared" ca="1" si="932"/>
        <v>0</v>
      </c>
      <c r="X1955" s="19">
        <f t="shared" ca="1" si="933"/>
        <v>0</v>
      </c>
      <c r="Y1955" s="19">
        <f t="shared" ca="1" si="934"/>
        <v>0</v>
      </c>
      <c r="Z1955" s="20">
        <f t="shared" ca="1" si="935"/>
        <v>0</v>
      </c>
      <c r="AA1955" s="1">
        <f t="shared" si="943"/>
        <v>5432.58</v>
      </c>
      <c r="AB1955" s="91"/>
      <c r="AC1955" s="92"/>
      <c r="AD1955" s="101">
        <f t="shared" si="944"/>
        <v>98874</v>
      </c>
      <c r="AE1955" s="103">
        <f t="shared" si="945"/>
        <v>0</v>
      </c>
      <c r="AG1955" s="1">
        <f t="shared" si="936"/>
        <v>0</v>
      </c>
      <c r="AH1955" s="1">
        <f t="shared" si="937"/>
        <v>0</v>
      </c>
      <c r="AI1955" s="1">
        <f t="shared" si="946"/>
        <v>5432.58</v>
      </c>
      <c r="AJ1955" s="20">
        <f t="shared" si="918"/>
        <v>0</v>
      </c>
      <c r="AK1955" s="100">
        <f t="shared" si="920"/>
        <v>0</v>
      </c>
      <c r="AL1955" s="100">
        <f t="shared" si="921"/>
        <v>0</v>
      </c>
      <c r="AN1955" s="100">
        <f t="shared" si="922"/>
        <v>2049.733347770356</v>
      </c>
      <c r="AO1955" s="20">
        <f t="shared" si="923"/>
        <v>0</v>
      </c>
      <c r="AQ1955" s="109">
        <f t="shared" si="924"/>
        <v>0</v>
      </c>
      <c r="AU1955" s="109">
        <f t="shared" si="939"/>
        <v>22.852200850687463</v>
      </c>
      <c r="AV1955" s="101">
        <f t="shared" si="925"/>
        <v>98904</v>
      </c>
      <c r="AW1955" s="99">
        <f t="shared" si="926"/>
        <v>0</v>
      </c>
      <c r="AX1955" s="1">
        <f t="shared" si="927"/>
        <v>0</v>
      </c>
      <c r="AY1955" s="29">
        <f t="shared" si="928"/>
        <v>0</v>
      </c>
      <c r="AZ1955" s="1">
        <f t="shared" si="940"/>
        <v>0</v>
      </c>
      <c r="CB1955" s="20">
        <f t="shared" si="919"/>
        <v>0</v>
      </c>
      <c r="CC1955" s="173">
        <f t="shared" si="941"/>
        <v>0</v>
      </c>
    </row>
    <row r="1956" spans="10:81" x14ac:dyDescent="0.25">
      <c r="J1956" s="9"/>
      <c r="K1956" s="10"/>
      <c r="L1956" s="17"/>
      <c r="M1956" s="23"/>
      <c r="N1956" s="23"/>
      <c r="O1956" s="23"/>
      <c r="P1956" s="23"/>
      <c r="Q1956" s="1">
        <f t="shared" si="942"/>
        <v>0.60744618579017706</v>
      </c>
      <c r="R1956" s="12">
        <f t="shared" ca="1" si="929"/>
        <v>57782</v>
      </c>
      <c r="S1956" s="88">
        <f t="shared" si="938"/>
        <v>0</v>
      </c>
      <c r="T1956" s="19">
        <f t="shared" si="930"/>
        <v>0</v>
      </c>
      <c r="U1956" s="19">
        <f t="shared" si="931"/>
        <v>0</v>
      </c>
      <c r="V1956" s="19">
        <f t="shared" si="947"/>
        <v>0</v>
      </c>
      <c r="W1956" s="20">
        <f t="shared" ca="1" si="932"/>
        <v>0</v>
      </c>
      <c r="X1956" s="19">
        <f t="shared" ca="1" si="933"/>
        <v>0</v>
      </c>
      <c r="Y1956" s="19">
        <f t="shared" ca="1" si="934"/>
        <v>0</v>
      </c>
      <c r="Z1956" s="20">
        <f t="shared" ca="1" si="935"/>
        <v>0</v>
      </c>
      <c r="AA1956" s="1">
        <f t="shared" si="943"/>
        <v>5432.58</v>
      </c>
      <c r="AB1956" s="93"/>
      <c r="AC1956" s="94"/>
      <c r="AD1956" s="101">
        <f t="shared" si="944"/>
        <v>98904</v>
      </c>
      <c r="AE1956" s="103">
        <f t="shared" si="945"/>
        <v>0</v>
      </c>
      <c r="AG1956" s="1">
        <f t="shared" si="936"/>
        <v>0</v>
      </c>
      <c r="AH1956" s="1">
        <f t="shared" si="937"/>
        <v>0</v>
      </c>
      <c r="AI1956" s="1">
        <f t="shared" si="946"/>
        <v>5432.58</v>
      </c>
      <c r="AJ1956" s="20">
        <f t="shared" si="918"/>
        <v>0</v>
      </c>
      <c r="AK1956" s="100">
        <f t="shared" si="920"/>
        <v>0</v>
      </c>
      <c r="AL1956" s="100">
        <f t="shared" si="921"/>
        <v>0</v>
      </c>
      <c r="AN1956" s="100">
        <f t="shared" si="922"/>
        <v>2048.6962871491301</v>
      </c>
      <c r="AO1956" s="20">
        <f t="shared" si="923"/>
        <v>0</v>
      </c>
      <c r="AQ1956" s="109">
        <f t="shared" si="924"/>
        <v>0</v>
      </c>
      <c r="AU1956" s="109">
        <f t="shared" si="939"/>
        <v>22.850195111338813</v>
      </c>
      <c r="AV1956" s="101">
        <f t="shared" si="925"/>
        <v>98934</v>
      </c>
      <c r="AW1956" s="99">
        <f t="shared" si="926"/>
        <v>0</v>
      </c>
      <c r="AX1956" s="1">
        <f t="shared" si="927"/>
        <v>0</v>
      </c>
      <c r="AY1956" s="29">
        <f t="shared" si="928"/>
        <v>0</v>
      </c>
      <c r="AZ1956" s="1">
        <f t="shared" si="940"/>
        <v>0</v>
      </c>
      <c r="CB1956" s="20">
        <f t="shared" si="919"/>
        <v>0</v>
      </c>
      <c r="CC1956" s="173">
        <f t="shared" si="941"/>
        <v>0</v>
      </c>
    </row>
    <row r="1957" spans="10:81" x14ac:dyDescent="0.25">
      <c r="J1957" s="7"/>
      <c r="K1957" s="8"/>
      <c r="L1957" s="16"/>
      <c r="M1957" s="22"/>
      <c r="N1957" s="22"/>
      <c r="O1957" s="22"/>
      <c r="P1957" s="22"/>
      <c r="Q1957" s="1">
        <f t="shared" si="942"/>
        <v>0.60744618579017706</v>
      </c>
      <c r="R1957" s="12">
        <f t="shared" ca="1" si="929"/>
        <v>57812</v>
      </c>
      <c r="S1957" s="88">
        <f t="shared" si="938"/>
        <v>0</v>
      </c>
      <c r="T1957" s="19">
        <f t="shared" si="930"/>
        <v>0</v>
      </c>
      <c r="U1957" s="19">
        <f t="shared" si="931"/>
        <v>0</v>
      </c>
      <c r="V1957" s="19">
        <f t="shared" si="947"/>
        <v>0</v>
      </c>
      <c r="W1957" s="20">
        <f t="shared" ca="1" si="932"/>
        <v>0</v>
      </c>
      <c r="X1957" s="19">
        <f t="shared" ca="1" si="933"/>
        <v>0</v>
      </c>
      <c r="Y1957" s="19">
        <f t="shared" ca="1" si="934"/>
        <v>0</v>
      </c>
      <c r="Z1957" s="20">
        <f t="shared" ca="1" si="935"/>
        <v>0</v>
      </c>
      <c r="AA1957" s="1">
        <f t="shared" si="943"/>
        <v>5432.58</v>
      </c>
      <c r="AB1957" s="91"/>
      <c r="AC1957" s="92"/>
      <c r="AD1957" s="101">
        <f t="shared" si="944"/>
        <v>98934</v>
      </c>
      <c r="AE1957" s="103">
        <f t="shared" si="945"/>
        <v>0</v>
      </c>
      <c r="AG1957" s="1">
        <f t="shared" si="936"/>
        <v>0</v>
      </c>
      <c r="AH1957" s="1">
        <f t="shared" si="937"/>
        <v>0</v>
      </c>
      <c r="AI1957" s="1">
        <f t="shared" si="946"/>
        <v>5432.58</v>
      </c>
      <c r="AJ1957" s="20">
        <f t="shared" si="918"/>
        <v>0</v>
      </c>
      <c r="AK1957" s="100">
        <f t="shared" si="920"/>
        <v>0</v>
      </c>
      <c r="AL1957" s="100">
        <f t="shared" si="921"/>
        <v>0</v>
      </c>
      <c r="AN1957" s="100">
        <f t="shared" si="922"/>
        <v>2047.6597512277306</v>
      </c>
      <c r="AO1957" s="20">
        <f t="shared" si="923"/>
        <v>0</v>
      </c>
      <c r="AQ1957" s="109">
        <f t="shared" si="924"/>
        <v>0</v>
      </c>
      <c r="AU1957" s="109">
        <f t="shared" si="939"/>
        <v>22.848189548034039</v>
      </c>
      <c r="AV1957" s="101">
        <f t="shared" si="925"/>
        <v>98964</v>
      </c>
      <c r="AW1957" s="99">
        <f t="shared" si="926"/>
        <v>0</v>
      </c>
      <c r="AX1957" s="1">
        <f t="shared" si="927"/>
        <v>0</v>
      </c>
      <c r="AY1957" s="29">
        <f t="shared" si="928"/>
        <v>0</v>
      </c>
      <c r="AZ1957" s="1">
        <f t="shared" si="940"/>
        <v>0</v>
      </c>
      <c r="CB1957" s="20">
        <f t="shared" si="919"/>
        <v>0</v>
      </c>
      <c r="CC1957" s="173">
        <f t="shared" si="941"/>
        <v>0</v>
      </c>
    </row>
    <row r="1958" spans="10:81" x14ac:dyDescent="0.25">
      <c r="J1958" s="9"/>
      <c r="K1958" s="10"/>
      <c r="L1958" s="17"/>
      <c r="M1958" s="23"/>
      <c r="N1958" s="23"/>
      <c r="O1958" s="23"/>
      <c r="P1958" s="23"/>
      <c r="Q1958" s="1">
        <f t="shared" si="942"/>
        <v>0.60744618579017706</v>
      </c>
      <c r="R1958" s="12">
        <f t="shared" ca="1" si="929"/>
        <v>57842</v>
      </c>
      <c r="S1958" s="88">
        <f t="shared" si="938"/>
        <v>0</v>
      </c>
      <c r="T1958" s="19">
        <f t="shared" si="930"/>
        <v>0</v>
      </c>
      <c r="U1958" s="19">
        <f t="shared" si="931"/>
        <v>0</v>
      </c>
      <c r="V1958" s="19">
        <f t="shared" si="947"/>
        <v>0</v>
      </c>
      <c r="W1958" s="20">
        <f t="shared" ca="1" si="932"/>
        <v>0</v>
      </c>
      <c r="X1958" s="19">
        <f t="shared" ca="1" si="933"/>
        <v>0</v>
      </c>
      <c r="Y1958" s="19">
        <f t="shared" ca="1" si="934"/>
        <v>0</v>
      </c>
      <c r="Z1958" s="20">
        <f t="shared" ca="1" si="935"/>
        <v>0</v>
      </c>
      <c r="AA1958" s="1">
        <f t="shared" si="943"/>
        <v>5432.58</v>
      </c>
      <c r="AB1958" s="93"/>
      <c r="AC1958" s="94"/>
      <c r="AD1958" s="101">
        <f t="shared" si="944"/>
        <v>98964</v>
      </c>
      <c r="AE1958" s="103">
        <f t="shared" si="945"/>
        <v>0</v>
      </c>
      <c r="AG1958" s="1">
        <f t="shared" si="936"/>
        <v>0</v>
      </c>
      <c r="AH1958" s="1">
        <f t="shared" si="937"/>
        <v>0</v>
      </c>
      <c r="AI1958" s="1">
        <f t="shared" si="946"/>
        <v>5432.58</v>
      </c>
      <c r="AJ1958" s="20">
        <f t="shared" si="918"/>
        <v>0</v>
      </c>
      <c r="AK1958" s="100">
        <f t="shared" si="920"/>
        <v>0</v>
      </c>
      <c r="AL1958" s="100">
        <f t="shared" si="921"/>
        <v>0</v>
      </c>
      <c r="AN1958" s="100">
        <f t="shared" si="922"/>
        <v>2046.6237397406853</v>
      </c>
      <c r="AO1958" s="20">
        <f t="shared" si="923"/>
        <v>0</v>
      </c>
      <c r="AQ1958" s="109">
        <f t="shared" si="924"/>
        <v>0</v>
      </c>
      <c r="AU1958" s="109">
        <f t="shared" si="939"/>
        <v>22.846184160757712</v>
      </c>
      <c r="AV1958" s="101">
        <f t="shared" si="925"/>
        <v>98994</v>
      </c>
      <c r="AW1958" s="99">
        <f t="shared" si="926"/>
        <v>0</v>
      </c>
      <c r="AX1958" s="1">
        <f t="shared" si="927"/>
        <v>0</v>
      </c>
      <c r="AY1958" s="29">
        <f t="shared" si="928"/>
        <v>0</v>
      </c>
      <c r="AZ1958" s="1">
        <f t="shared" si="940"/>
        <v>0</v>
      </c>
      <c r="CB1958" s="20">
        <f t="shared" si="919"/>
        <v>0</v>
      </c>
      <c r="CC1958" s="173">
        <f t="shared" si="941"/>
        <v>0</v>
      </c>
    </row>
    <row r="1959" spans="10:81" x14ac:dyDescent="0.25">
      <c r="J1959" s="7"/>
      <c r="K1959" s="8"/>
      <c r="L1959" s="16"/>
      <c r="M1959" s="22"/>
      <c r="N1959" s="22"/>
      <c r="O1959" s="22"/>
      <c r="P1959" s="22"/>
      <c r="Q1959" s="1">
        <f t="shared" si="942"/>
        <v>0.60744618579017706</v>
      </c>
      <c r="R1959" s="12">
        <f t="shared" ca="1" si="929"/>
        <v>57872</v>
      </c>
      <c r="S1959" s="88">
        <f t="shared" si="938"/>
        <v>0</v>
      </c>
      <c r="T1959" s="19">
        <f t="shared" si="930"/>
        <v>0</v>
      </c>
      <c r="U1959" s="19">
        <f t="shared" si="931"/>
        <v>0</v>
      </c>
      <c r="V1959" s="19">
        <f t="shared" si="947"/>
        <v>0</v>
      </c>
      <c r="W1959" s="20">
        <f t="shared" ca="1" si="932"/>
        <v>0</v>
      </c>
      <c r="X1959" s="19">
        <f t="shared" ca="1" si="933"/>
        <v>0</v>
      </c>
      <c r="Y1959" s="19">
        <f t="shared" ca="1" si="934"/>
        <v>0</v>
      </c>
      <c r="Z1959" s="20">
        <f t="shared" ca="1" si="935"/>
        <v>0</v>
      </c>
      <c r="AA1959" s="1">
        <f t="shared" si="943"/>
        <v>5432.58</v>
      </c>
      <c r="AB1959" s="91"/>
      <c r="AC1959" s="92"/>
      <c r="AD1959" s="101">
        <f t="shared" si="944"/>
        <v>98994</v>
      </c>
      <c r="AE1959" s="103">
        <f t="shared" si="945"/>
        <v>0</v>
      </c>
      <c r="AG1959" s="1">
        <f t="shared" si="936"/>
        <v>0</v>
      </c>
      <c r="AH1959" s="1">
        <f t="shared" si="937"/>
        <v>0</v>
      </c>
      <c r="AI1959" s="1">
        <f t="shared" si="946"/>
        <v>5432.58</v>
      </c>
      <c r="AJ1959" s="20">
        <f t="shared" si="918"/>
        <v>0</v>
      </c>
      <c r="AK1959" s="100">
        <f t="shared" si="920"/>
        <v>0</v>
      </c>
      <c r="AL1959" s="100">
        <f t="shared" si="921"/>
        <v>0</v>
      </c>
      <c r="AN1959" s="100">
        <f t="shared" si="922"/>
        <v>2045.5882524226593</v>
      </c>
      <c r="AO1959" s="20">
        <f t="shared" si="923"/>
        <v>0</v>
      </c>
      <c r="AQ1959" s="109">
        <f t="shared" si="924"/>
        <v>0</v>
      </c>
      <c r="AU1959" s="109">
        <f t="shared" si="939"/>
        <v>22.844178949494371</v>
      </c>
      <c r="AV1959" s="101">
        <f t="shared" si="925"/>
        <v>99024</v>
      </c>
      <c r="AW1959" s="99">
        <f t="shared" si="926"/>
        <v>0</v>
      </c>
      <c r="AX1959" s="1">
        <f t="shared" si="927"/>
        <v>0</v>
      </c>
      <c r="AY1959" s="29">
        <f t="shared" si="928"/>
        <v>0</v>
      </c>
      <c r="AZ1959" s="1">
        <f t="shared" si="940"/>
        <v>0</v>
      </c>
      <c r="CB1959" s="20">
        <f t="shared" si="919"/>
        <v>0</v>
      </c>
      <c r="CC1959" s="173">
        <f t="shared" si="941"/>
        <v>0</v>
      </c>
    </row>
    <row r="1960" spans="10:81" x14ac:dyDescent="0.25">
      <c r="J1960" s="9"/>
      <c r="K1960" s="10"/>
      <c r="L1960" s="17"/>
      <c r="M1960" s="23"/>
      <c r="N1960" s="23"/>
      <c r="O1960" s="23"/>
      <c r="P1960" s="23"/>
      <c r="Q1960" s="1">
        <f t="shared" si="942"/>
        <v>0.60744618579017706</v>
      </c>
      <c r="R1960" s="12">
        <f t="shared" ca="1" si="929"/>
        <v>57902</v>
      </c>
      <c r="S1960" s="88">
        <f t="shared" si="938"/>
        <v>0</v>
      </c>
      <c r="T1960" s="19">
        <f t="shared" si="930"/>
        <v>0</v>
      </c>
      <c r="U1960" s="19">
        <f t="shared" si="931"/>
        <v>0</v>
      </c>
      <c r="V1960" s="19">
        <f t="shared" si="947"/>
        <v>0</v>
      </c>
      <c r="W1960" s="20">
        <f t="shared" ca="1" si="932"/>
        <v>0</v>
      </c>
      <c r="X1960" s="19">
        <f t="shared" ca="1" si="933"/>
        <v>0</v>
      </c>
      <c r="Y1960" s="19">
        <f t="shared" ca="1" si="934"/>
        <v>0</v>
      </c>
      <c r="Z1960" s="20">
        <f t="shared" ca="1" si="935"/>
        <v>0</v>
      </c>
      <c r="AA1960" s="1">
        <f t="shared" si="943"/>
        <v>5432.58</v>
      </c>
      <c r="AB1960" s="93"/>
      <c r="AC1960" s="94"/>
      <c r="AD1960" s="101">
        <f t="shared" si="944"/>
        <v>99024</v>
      </c>
      <c r="AE1960" s="103">
        <f t="shared" si="945"/>
        <v>0</v>
      </c>
      <c r="AG1960" s="1">
        <f t="shared" si="936"/>
        <v>0</v>
      </c>
      <c r="AH1960" s="1">
        <f t="shared" si="937"/>
        <v>0</v>
      </c>
      <c r="AI1960" s="1">
        <f t="shared" si="946"/>
        <v>5432.58</v>
      </c>
      <c r="AJ1960" s="20">
        <f t="shared" ref="AJ1960:AJ2000" si="948">IF(ISERROR(IF(V1959+U1960+T1960+(V1959*Q1960/1200)-AA1960-P1960&lt;0,V1959,-(U1960+T1960-AA1960+P1960-AH1960))),0,IF(V1959+U1960+T1960+(V1959*Q1960/1200)-AA1960-P1960&lt;0,0,-(U1960+T1960-AA1960-AH1960)))</f>
        <v>0</v>
      </c>
      <c r="AK1960" s="100">
        <f t="shared" si="920"/>
        <v>0</v>
      </c>
      <c r="AL1960" s="100">
        <f t="shared" si="921"/>
        <v>0</v>
      </c>
      <c r="AN1960" s="100">
        <f t="shared" si="922"/>
        <v>2044.5532890084485</v>
      </c>
      <c r="AO1960" s="20">
        <f t="shared" si="923"/>
        <v>0</v>
      </c>
      <c r="AQ1960" s="109">
        <f t="shared" si="924"/>
        <v>0</v>
      </c>
      <c r="AU1960" s="109">
        <f t="shared" si="939"/>
        <v>22.842173914228564</v>
      </c>
      <c r="AV1960" s="101">
        <f t="shared" si="925"/>
        <v>99054</v>
      </c>
      <c r="AW1960" s="99">
        <f t="shared" si="926"/>
        <v>0</v>
      </c>
      <c r="AX1960" s="1">
        <f t="shared" si="927"/>
        <v>0</v>
      </c>
      <c r="AY1960" s="29">
        <f t="shared" si="928"/>
        <v>0</v>
      </c>
      <c r="AZ1960" s="1">
        <f t="shared" si="940"/>
        <v>0</v>
      </c>
      <c r="CB1960" s="20">
        <f t="shared" si="919"/>
        <v>0</v>
      </c>
      <c r="CC1960" s="173">
        <f t="shared" si="941"/>
        <v>0</v>
      </c>
    </row>
    <row r="1961" spans="10:81" x14ac:dyDescent="0.25">
      <c r="J1961" s="7"/>
      <c r="K1961" s="8"/>
      <c r="L1961" s="16"/>
      <c r="M1961" s="22"/>
      <c r="N1961" s="22"/>
      <c r="O1961" s="22"/>
      <c r="P1961" s="22"/>
      <c r="Q1961" s="1">
        <f t="shared" si="942"/>
        <v>0.60744618579017706</v>
      </c>
      <c r="R1961" s="12">
        <f t="shared" ca="1" si="929"/>
        <v>57932</v>
      </c>
      <c r="S1961" s="88">
        <f t="shared" si="938"/>
        <v>0</v>
      </c>
      <c r="T1961" s="19">
        <f t="shared" si="930"/>
        <v>0</v>
      </c>
      <c r="U1961" s="19">
        <f t="shared" si="931"/>
        <v>0</v>
      </c>
      <c r="V1961" s="19">
        <f t="shared" si="947"/>
        <v>0</v>
      </c>
      <c r="W1961" s="20">
        <f t="shared" ca="1" si="932"/>
        <v>0</v>
      </c>
      <c r="X1961" s="19">
        <f t="shared" ca="1" si="933"/>
        <v>0</v>
      </c>
      <c r="Y1961" s="19">
        <f t="shared" ca="1" si="934"/>
        <v>0</v>
      </c>
      <c r="Z1961" s="20">
        <f t="shared" ca="1" si="935"/>
        <v>0</v>
      </c>
      <c r="AA1961" s="1">
        <f t="shared" si="943"/>
        <v>5432.58</v>
      </c>
      <c r="AB1961" s="91"/>
      <c r="AC1961" s="92"/>
      <c r="AD1961" s="101">
        <f t="shared" si="944"/>
        <v>99054</v>
      </c>
      <c r="AE1961" s="103">
        <f t="shared" si="945"/>
        <v>0</v>
      </c>
      <c r="AG1961" s="1">
        <f t="shared" si="936"/>
        <v>0</v>
      </c>
      <c r="AH1961" s="1">
        <f t="shared" si="937"/>
        <v>0</v>
      </c>
      <c r="AI1961" s="1">
        <f t="shared" si="946"/>
        <v>5432.58</v>
      </c>
      <c r="AJ1961" s="20">
        <f t="shared" si="948"/>
        <v>0</v>
      </c>
      <c r="AK1961" s="100">
        <f t="shared" si="920"/>
        <v>0</v>
      </c>
      <c r="AL1961" s="100">
        <f t="shared" si="921"/>
        <v>0</v>
      </c>
      <c r="AN1961" s="100">
        <f t="shared" si="922"/>
        <v>2043.5188492329839</v>
      </c>
      <c r="AO1961" s="20">
        <f t="shared" si="923"/>
        <v>0</v>
      </c>
      <c r="AQ1961" s="109">
        <f t="shared" si="924"/>
        <v>0</v>
      </c>
      <c r="AU1961" s="109">
        <f t="shared" si="939"/>
        <v>22.840169054944855</v>
      </c>
      <c r="AV1961" s="101">
        <f t="shared" si="925"/>
        <v>99084</v>
      </c>
      <c r="AW1961" s="99">
        <f t="shared" si="926"/>
        <v>0</v>
      </c>
      <c r="AX1961" s="1">
        <f t="shared" si="927"/>
        <v>0</v>
      </c>
      <c r="AY1961" s="29">
        <f t="shared" si="928"/>
        <v>0</v>
      </c>
      <c r="AZ1961" s="1">
        <f t="shared" si="940"/>
        <v>0</v>
      </c>
      <c r="CB1961" s="20">
        <f t="shared" si="919"/>
        <v>0</v>
      </c>
      <c r="CC1961" s="173">
        <f t="shared" si="941"/>
        <v>0</v>
      </c>
    </row>
    <row r="1962" spans="10:81" x14ac:dyDescent="0.25">
      <c r="J1962" s="9"/>
      <c r="K1962" s="10"/>
      <c r="L1962" s="17"/>
      <c r="M1962" s="23"/>
      <c r="N1962" s="23"/>
      <c r="O1962" s="23"/>
      <c r="P1962" s="23"/>
      <c r="Q1962" s="1">
        <f t="shared" si="942"/>
        <v>0.60744618579017706</v>
      </c>
      <c r="R1962" s="12">
        <f t="shared" ca="1" si="929"/>
        <v>57962</v>
      </c>
      <c r="S1962" s="88">
        <f t="shared" si="938"/>
        <v>0</v>
      </c>
      <c r="T1962" s="19">
        <f t="shared" si="930"/>
        <v>0</v>
      </c>
      <c r="U1962" s="19">
        <f t="shared" si="931"/>
        <v>0</v>
      </c>
      <c r="V1962" s="19">
        <f t="shared" si="947"/>
        <v>0</v>
      </c>
      <c r="W1962" s="20">
        <f t="shared" ca="1" si="932"/>
        <v>0</v>
      </c>
      <c r="X1962" s="19">
        <f t="shared" ca="1" si="933"/>
        <v>0</v>
      </c>
      <c r="Y1962" s="19">
        <f t="shared" ca="1" si="934"/>
        <v>0</v>
      </c>
      <c r="Z1962" s="20">
        <f t="shared" ca="1" si="935"/>
        <v>0</v>
      </c>
      <c r="AA1962" s="1">
        <f t="shared" si="943"/>
        <v>5432.58</v>
      </c>
      <c r="AB1962" s="93"/>
      <c r="AC1962" s="94"/>
      <c r="AD1962" s="101">
        <f t="shared" si="944"/>
        <v>99084</v>
      </c>
      <c r="AE1962" s="103">
        <f t="shared" si="945"/>
        <v>0</v>
      </c>
      <c r="AG1962" s="1">
        <f t="shared" si="936"/>
        <v>0</v>
      </c>
      <c r="AH1962" s="1">
        <f t="shared" si="937"/>
        <v>0</v>
      </c>
      <c r="AI1962" s="1">
        <f t="shared" si="946"/>
        <v>5432.58</v>
      </c>
      <c r="AJ1962" s="20">
        <f t="shared" si="948"/>
        <v>0</v>
      </c>
      <c r="AK1962" s="100">
        <f t="shared" si="920"/>
        <v>0</v>
      </c>
      <c r="AL1962" s="100">
        <f t="shared" si="921"/>
        <v>0</v>
      </c>
      <c r="AN1962" s="100">
        <f t="shared" si="922"/>
        <v>2042.4849328313321</v>
      </c>
      <c r="AO1962" s="20">
        <f t="shared" si="923"/>
        <v>0</v>
      </c>
      <c r="AQ1962" s="109">
        <f t="shared" si="924"/>
        <v>0</v>
      </c>
      <c r="AU1962" s="109">
        <f t="shared" si="939"/>
        <v>22.838164371627791</v>
      </c>
      <c r="AV1962" s="101">
        <f t="shared" si="925"/>
        <v>99114</v>
      </c>
      <c r="AW1962" s="99">
        <f t="shared" si="926"/>
        <v>0</v>
      </c>
      <c r="AX1962" s="1">
        <f t="shared" si="927"/>
        <v>0</v>
      </c>
      <c r="AY1962" s="29">
        <f t="shared" si="928"/>
        <v>0</v>
      </c>
      <c r="AZ1962" s="1">
        <f t="shared" si="940"/>
        <v>0</v>
      </c>
      <c r="CB1962" s="20">
        <f t="shared" si="919"/>
        <v>0</v>
      </c>
      <c r="CC1962" s="173">
        <f t="shared" si="941"/>
        <v>0</v>
      </c>
    </row>
    <row r="1963" spans="10:81" x14ac:dyDescent="0.25">
      <c r="J1963" s="7"/>
      <c r="K1963" s="8"/>
      <c r="L1963" s="16"/>
      <c r="M1963" s="22"/>
      <c r="N1963" s="22"/>
      <c r="O1963" s="22"/>
      <c r="P1963" s="22"/>
      <c r="Q1963" s="1">
        <f t="shared" si="942"/>
        <v>0.60744618579017706</v>
      </c>
      <c r="R1963" s="12">
        <f t="shared" ca="1" si="929"/>
        <v>57992</v>
      </c>
      <c r="S1963" s="88">
        <f t="shared" si="938"/>
        <v>0</v>
      </c>
      <c r="T1963" s="19">
        <f t="shared" si="930"/>
        <v>0</v>
      </c>
      <c r="U1963" s="19">
        <f t="shared" si="931"/>
        <v>0</v>
      </c>
      <c r="V1963" s="19">
        <f t="shared" si="947"/>
        <v>0</v>
      </c>
      <c r="W1963" s="20">
        <f t="shared" ca="1" si="932"/>
        <v>0</v>
      </c>
      <c r="X1963" s="19">
        <f t="shared" ca="1" si="933"/>
        <v>0</v>
      </c>
      <c r="Y1963" s="19">
        <f t="shared" ca="1" si="934"/>
        <v>0</v>
      </c>
      <c r="Z1963" s="20">
        <f t="shared" ca="1" si="935"/>
        <v>0</v>
      </c>
      <c r="AA1963" s="1">
        <f t="shared" si="943"/>
        <v>5432.58</v>
      </c>
      <c r="AB1963" s="91"/>
      <c r="AC1963" s="92"/>
      <c r="AD1963" s="101">
        <f t="shared" si="944"/>
        <v>99114</v>
      </c>
      <c r="AE1963" s="103">
        <f t="shared" si="945"/>
        <v>0</v>
      </c>
      <c r="AG1963" s="1">
        <f t="shared" si="936"/>
        <v>0</v>
      </c>
      <c r="AH1963" s="1">
        <f t="shared" si="937"/>
        <v>0</v>
      </c>
      <c r="AI1963" s="1">
        <f t="shared" si="946"/>
        <v>5432.58</v>
      </c>
      <c r="AJ1963" s="20">
        <f t="shared" si="948"/>
        <v>0</v>
      </c>
      <c r="AK1963" s="100">
        <f t="shared" si="920"/>
        <v>0</v>
      </c>
      <c r="AL1963" s="100">
        <f t="shared" si="921"/>
        <v>0</v>
      </c>
      <c r="AN1963" s="100">
        <f t="shared" si="922"/>
        <v>2041.4515395386913</v>
      </c>
      <c r="AO1963" s="20">
        <f t="shared" si="923"/>
        <v>0</v>
      </c>
      <c r="AQ1963" s="109">
        <f t="shared" si="924"/>
        <v>0</v>
      </c>
      <c r="AU1963" s="109">
        <f t="shared" si="939"/>
        <v>22.836159864261937</v>
      </c>
      <c r="AV1963" s="101">
        <f t="shared" si="925"/>
        <v>99144</v>
      </c>
      <c r="AW1963" s="99">
        <f t="shared" si="926"/>
        <v>0</v>
      </c>
      <c r="AX1963" s="1">
        <f t="shared" si="927"/>
        <v>0</v>
      </c>
      <c r="AY1963" s="29">
        <f t="shared" si="928"/>
        <v>0</v>
      </c>
      <c r="AZ1963" s="1">
        <f t="shared" si="940"/>
        <v>0</v>
      </c>
      <c r="CB1963" s="20">
        <f t="shared" si="919"/>
        <v>0</v>
      </c>
      <c r="CC1963" s="173">
        <f t="shared" si="941"/>
        <v>0</v>
      </c>
    </row>
    <row r="1964" spans="10:81" x14ac:dyDescent="0.25">
      <c r="J1964" s="9"/>
      <c r="K1964" s="10"/>
      <c r="L1964" s="17"/>
      <c r="M1964" s="23"/>
      <c r="N1964" s="23"/>
      <c r="O1964" s="23"/>
      <c r="P1964" s="23"/>
      <c r="Q1964" s="1">
        <f t="shared" si="942"/>
        <v>0.60744618579017706</v>
      </c>
      <c r="R1964" s="12">
        <f t="shared" ca="1" si="929"/>
        <v>58022</v>
      </c>
      <c r="S1964" s="88">
        <f t="shared" si="938"/>
        <v>0</v>
      </c>
      <c r="T1964" s="19">
        <f t="shared" si="930"/>
        <v>0</v>
      </c>
      <c r="U1964" s="19">
        <f t="shared" si="931"/>
        <v>0</v>
      </c>
      <c r="V1964" s="19">
        <f t="shared" si="947"/>
        <v>0</v>
      </c>
      <c r="W1964" s="20">
        <f t="shared" ca="1" si="932"/>
        <v>0</v>
      </c>
      <c r="X1964" s="19">
        <f t="shared" ca="1" si="933"/>
        <v>0</v>
      </c>
      <c r="Y1964" s="19">
        <f t="shared" ca="1" si="934"/>
        <v>0</v>
      </c>
      <c r="Z1964" s="20">
        <f t="shared" ca="1" si="935"/>
        <v>0</v>
      </c>
      <c r="AA1964" s="1">
        <f t="shared" si="943"/>
        <v>5432.58</v>
      </c>
      <c r="AB1964" s="93"/>
      <c r="AC1964" s="94"/>
      <c r="AD1964" s="101">
        <f t="shared" si="944"/>
        <v>99144</v>
      </c>
      <c r="AE1964" s="103">
        <f t="shared" si="945"/>
        <v>0</v>
      </c>
      <c r="AG1964" s="1">
        <f t="shared" si="936"/>
        <v>0</v>
      </c>
      <c r="AH1964" s="1">
        <f t="shared" si="937"/>
        <v>0</v>
      </c>
      <c r="AI1964" s="1">
        <f t="shared" si="946"/>
        <v>5432.58</v>
      </c>
      <c r="AJ1964" s="20">
        <f t="shared" si="948"/>
        <v>0</v>
      </c>
      <c r="AK1964" s="100">
        <f t="shared" si="920"/>
        <v>0</v>
      </c>
      <c r="AL1964" s="100">
        <f t="shared" si="921"/>
        <v>0</v>
      </c>
      <c r="AN1964" s="100">
        <f t="shared" si="922"/>
        <v>2040.4186690903966</v>
      </c>
      <c r="AO1964" s="20">
        <f t="shared" si="923"/>
        <v>0</v>
      </c>
      <c r="AQ1964" s="109">
        <f t="shared" si="924"/>
        <v>0</v>
      </c>
      <c r="AU1964" s="109">
        <f t="shared" si="939"/>
        <v>22.834155532831836</v>
      </c>
      <c r="AV1964" s="101">
        <f t="shared" si="925"/>
        <v>99174</v>
      </c>
      <c r="AW1964" s="99">
        <f t="shared" si="926"/>
        <v>0</v>
      </c>
      <c r="AX1964" s="1">
        <f t="shared" si="927"/>
        <v>0</v>
      </c>
      <c r="AY1964" s="29">
        <f t="shared" si="928"/>
        <v>0</v>
      </c>
      <c r="AZ1964" s="1">
        <f t="shared" si="940"/>
        <v>0</v>
      </c>
      <c r="CB1964" s="20">
        <f t="shared" si="919"/>
        <v>0</v>
      </c>
      <c r="CC1964" s="173">
        <f t="shared" si="941"/>
        <v>0</v>
      </c>
    </row>
    <row r="1965" spans="10:81" x14ac:dyDescent="0.25">
      <c r="J1965" s="7"/>
      <c r="K1965" s="8"/>
      <c r="L1965" s="16"/>
      <c r="M1965" s="22"/>
      <c r="N1965" s="22"/>
      <c r="O1965" s="22"/>
      <c r="P1965" s="22"/>
      <c r="Q1965" s="1">
        <f t="shared" si="942"/>
        <v>0.60744618579017706</v>
      </c>
      <c r="R1965" s="12">
        <f t="shared" ca="1" si="929"/>
        <v>58052</v>
      </c>
      <c r="S1965" s="88">
        <f t="shared" si="938"/>
        <v>0</v>
      </c>
      <c r="T1965" s="19">
        <f t="shared" si="930"/>
        <v>0</v>
      </c>
      <c r="U1965" s="19">
        <f t="shared" si="931"/>
        <v>0</v>
      </c>
      <c r="V1965" s="19">
        <f t="shared" si="947"/>
        <v>0</v>
      </c>
      <c r="W1965" s="20">
        <f t="shared" ca="1" si="932"/>
        <v>0</v>
      </c>
      <c r="X1965" s="19">
        <f t="shared" ca="1" si="933"/>
        <v>0</v>
      </c>
      <c r="Y1965" s="19">
        <f t="shared" ca="1" si="934"/>
        <v>0</v>
      </c>
      <c r="Z1965" s="20">
        <f t="shared" ca="1" si="935"/>
        <v>0</v>
      </c>
      <c r="AA1965" s="1">
        <f t="shared" si="943"/>
        <v>5432.58</v>
      </c>
      <c r="AB1965" s="91"/>
      <c r="AC1965" s="92"/>
      <c r="AD1965" s="101">
        <f t="shared" si="944"/>
        <v>99174</v>
      </c>
      <c r="AE1965" s="103">
        <f t="shared" si="945"/>
        <v>0</v>
      </c>
      <c r="AG1965" s="1">
        <f t="shared" si="936"/>
        <v>0</v>
      </c>
      <c r="AH1965" s="1">
        <f t="shared" si="937"/>
        <v>0</v>
      </c>
      <c r="AI1965" s="1">
        <f t="shared" si="946"/>
        <v>5432.58</v>
      </c>
      <c r="AJ1965" s="20">
        <f t="shared" si="948"/>
        <v>0</v>
      </c>
      <c r="AK1965" s="100">
        <f t="shared" si="920"/>
        <v>0</v>
      </c>
      <c r="AL1965" s="100">
        <f t="shared" si="921"/>
        <v>0</v>
      </c>
      <c r="AN1965" s="100">
        <f t="shared" si="922"/>
        <v>2039.3863212219139</v>
      </c>
      <c r="AO1965" s="20">
        <f t="shared" si="923"/>
        <v>0</v>
      </c>
      <c r="AQ1965" s="109">
        <f t="shared" si="924"/>
        <v>0</v>
      </c>
      <c r="AU1965" s="109">
        <f t="shared" si="939"/>
        <v>22.832151377322049</v>
      </c>
      <c r="AV1965" s="101">
        <f t="shared" si="925"/>
        <v>99204</v>
      </c>
      <c r="AW1965" s="99">
        <f t="shared" si="926"/>
        <v>0</v>
      </c>
      <c r="AX1965" s="1">
        <f t="shared" si="927"/>
        <v>0</v>
      </c>
      <c r="AY1965" s="29">
        <f t="shared" si="928"/>
        <v>0</v>
      </c>
      <c r="AZ1965" s="1">
        <f t="shared" si="940"/>
        <v>0</v>
      </c>
      <c r="CB1965" s="20">
        <f t="shared" si="919"/>
        <v>0</v>
      </c>
      <c r="CC1965" s="173">
        <f t="shared" si="941"/>
        <v>0</v>
      </c>
    </row>
    <row r="1966" spans="10:81" x14ac:dyDescent="0.25">
      <c r="J1966" s="9"/>
      <c r="K1966" s="10"/>
      <c r="L1966" s="17"/>
      <c r="M1966" s="23"/>
      <c r="N1966" s="23"/>
      <c r="O1966" s="23"/>
      <c r="P1966" s="23"/>
      <c r="Q1966" s="1">
        <f t="shared" si="942"/>
        <v>0.60744618579017706</v>
      </c>
      <c r="R1966" s="12">
        <f t="shared" ca="1" si="929"/>
        <v>58082</v>
      </c>
      <c r="S1966" s="88">
        <f t="shared" si="938"/>
        <v>0</v>
      </c>
      <c r="T1966" s="19">
        <f t="shared" si="930"/>
        <v>0</v>
      </c>
      <c r="U1966" s="19">
        <f t="shared" si="931"/>
        <v>0</v>
      </c>
      <c r="V1966" s="19">
        <f t="shared" si="947"/>
        <v>0</v>
      </c>
      <c r="W1966" s="20">
        <f t="shared" ca="1" si="932"/>
        <v>0</v>
      </c>
      <c r="X1966" s="19">
        <f t="shared" ca="1" si="933"/>
        <v>0</v>
      </c>
      <c r="Y1966" s="19">
        <f t="shared" ca="1" si="934"/>
        <v>0</v>
      </c>
      <c r="Z1966" s="20">
        <f t="shared" ca="1" si="935"/>
        <v>0</v>
      </c>
      <c r="AA1966" s="1">
        <f t="shared" si="943"/>
        <v>5432.58</v>
      </c>
      <c r="AB1966" s="93"/>
      <c r="AC1966" s="94"/>
      <c r="AD1966" s="101">
        <f t="shared" si="944"/>
        <v>99204</v>
      </c>
      <c r="AE1966" s="103">
        <f t="shared" si="945"/>
        <v>0</v>
      </c>
      <c r="AG1966" s="1">
        <f t="shared" si="936"/>
        <v>0</v>
      </c>
      <c r="AH1966" s="1">
        <f t="shared" si="937"/>
        <v>0</v>
      </c>
      <c r="AI1966" s="1">
        <f t="shared" si="946"/>
        <v>5432.58</v>
      </c>
      <c r="AJ1966" s="20">
        <f t="shared" si="948"/>
        <v>0</v>
      </c>
      <c r="AK1966" s="100">
        <f t="shared" si="920"/>
        <v>0</v>
      </c>
      <c r="AL1966" s="100">
        <f t="shared" si="921"/>
        <v>0</v>
      </c>
      <c r="AN1966" s="100">
        <f t="shared" si="922"/>
        <v>2038.3544956688449</v>
      </c>
      <c r="AO1966" s="20">
        <f t="shared" si="923"/>
        <v>0</v>
      </c>
      <c r="AQ1966" s="109">
        <f t="shared" si="924"/>
        <v>0</v>
      </c>
      <c r="AU1966" s="109">
        <f t="shared" si="939"/>
        <v>22.830147397717141</v>
      </c>
      <c r="AV1966" s="101">
        <f t="shared" si="925"/>
        <v>99234</v>
      </c>
      <c r="AW1966" s="99">
        <f t="shared" si="926"/>
        <v>0</v>
      </c>
      <c r="AX1966" s="1">
        <f t="shared" si="927"/>
        <v>0</v>
      </c>
      <c r="AY1966" s="29">
        <f t="shared" si="928"/>
        <v>0</v>
      </c>
      <c r="AZ1966" s="1">
        <f t="shared" si="940"/>
        <v>0</v>
      </c>
      <c r="CB1966" s="20">
        <f t="shared" ref="CB1966:CB2000" si="949">IF(O1966=0,IF(P1966&gt;0,V1965,IF(O1965=0,0,P1966)),IF(O1965=0,0,P1966))</f>
        <v>0</v>
      </c>
      <c r="CC1966" s="173">
        <f t="shared" si="941"/>
        <v>0</v>
      </c>
    </row>
    <row r="1967" spans="10:81" x14ac:dyDescent="0.25">
      <c r="J1967" s="7"/>
      <c r="K1967" s="8"/>
      <c r="L1967" s="16"/>
      <c r="M1967" s="22"/>
      <c r="N1967" s="22"/>
      <c r="O1967" s="22"/>
      <c r="P1967" s="22"/>
      <c r="Q1967" s="1">
        <f t="shared" si="942"/>
        <v>0.60744618579017706</v>
      </c>
      <c r="R1967" s="12">
        <f t="shared" ca="1" si="929"/>
        <v>58112</v>
      </c>
      <c r="S1967" s="88">
        <f t="shared" si="938"/>
        <v>0</v>
      </c>
      <c r="T1967" s="19">
        <f t="shared" si="930"/>
        <v>0</v>
      </c>
      <c r="U1967" s="19">
        <f t="shared" si="931"/>
        <v>0</v>
      </c>
      <c r="V1967" s="19">
        <f t="shared" si="947"/>
        <v>0</v>
      </c>
      <c r="W1967" s="20">
        <f t="shared" ca="1" si="932"/>
        <v>0</v>
      </c>
      <c r="X1967" s="19">
        <f t="shared" ca="1" si="933"/>
        <v>0</v>
      </c>
      <c r="Y1967" s="19">
        <f t="shared" ca="1" si="934"/>
        <v>0</v>
      </c>
      <c r="Z1967" s="20">
        <f t="shared" ca="1" si="935"/>
        <v>0</v>
      </c>
      <c r="AA1967" s="1">
        <f t="shared" si="943"/>
        <v>5432.58</v>
      </c>
      <c r="AB1967" s="91"/>
      <c r="AC1967" s="92"/>
      <c r="AD1967" s="101">
        <f t="shared" si="944"/>
        <v>99234</v>
      </c>
      <c r="AE1967" s="103">
        <f t="shared" si="945"/>
        <v>0</v>
      </c>
      <c r="AG1967" s="1">
        <f t="shared" si="936"/>
        <v>0</v>
      </c>
      <c r="AH1967" s="1">
        <f t="shared" si="937"/>
        <v>0</v>
      </c>
      <c r="AI1967" s="1">
        <f t="shared" si="946"/>
        <v>5432.58</v>
      </c>
      <c r="AJ1967" s="20">
        <f t="shared" si="948"/>
        <v>0</v>
      </c>
      <c r="AK1967" s="100">
        <f t="shared" si="920"/>
        <v>0</v>
      </c>
      <c r="AL1967" s="100">
        <f t="shared" si="921"/>
        <v>0</v>
      </c>
      <c r="AN1967" s="100">
        <f t="shared" si="922"/>
        <v>2037.3231921669251</v>
      </c>
      <c r="AO1967" s="20">
        <f t="shared" si="923"/>
        <v>0</v>
      </c>
      <c r="AQ1967" s="109">
        <f t="shared" si="924"/>
        <v>0</v>
      </c>
      <c r="AU1967" s="109">
        <f t="shared" si="939"/>
        <v>22.828143594001673</v>
      </c>
      <c r="AV1967" s="101">
        <f t="shared" si="925"/>
        <v>99264</v>
      </c>
      <c r="AW1967" s="99">
        <f t="shared" si="926"/>
        <v>0</v>
      </c>
      <c r="AX1967" s="1">
        <f t="shared" si="927"/>
        <v>0</v>
      </c>
      <c r="AY1967" s="29">
        <f t="shared" si="928"/>
        <v>0</v>
      </c>
      <c r="AZ1967" s="1">
        <f t="shared" si="940"/>
        <v>0</v>
      </c>
      <c r="CB1967" s="20">
        <f t="shared" si="949"/>
        <v>0</v>
      </c>
      <c r="CC1967" s="173">
        <f t="shared" si="941"/>
        <v>0</v>
      </c>
    </row>
    <row r="1968" spans="10:81" x14ac:dyDescent="0.25">
      <c r="J1968" s="9"/>
      <c r="K1968" s="10"/>
      <c r="L1968" s="17"/>
      <c r="M1968" s="23"/>
      <c r="N1968" s="23"/>
      <c r="O1968" s="23"/>
      <c r="P1968" s="23"/>
      <c r="Q1968" s="1">
        <f t="shared" si="942"/>
        <v>0.60744618579017706</v>
      </c>
      <c r="R1968" s="12">
        <f t="shared" ca="1" si="929"/>
        <v>58142</v>
      </c>
      <c r="S1968" s="88">
        <f t="shared" si="938"/>
        <v>0</v>
      </c>
      <c r="T1968" s="19">
        <f t="shared" si="930"/>
        <v>0</v>
      </c>
      <c r="U1968" s="19">
        <f t="shared" si="931"/>
        <v>0</v>
      </c>
      <c r="V1968" s="19">
        <f t="shared" si="947"/>
        <v>0</v>
      </c>
      <c r="W1968" s="20">
        <f t="shared" ca="1" si="932"/>
        <v>0</v>
      </c>
      <c r="X1968" s="19">
        <f t="shared" ca="1" si="933"/>
        <v>0</v>
      </c>
      <c r="Y1968" s="19">
        <f t="shared" ca="1" si="934"/>
        <v>0</v>
      </c>
      <c r="Z1968" s="20">
        <f t="shared" ca="1" si="935"/>
        <v>0</v>
      </c>
      <c r="AA1968" s="1">
        <f t="shared" si="943"/>
        <v>5432.58</v>
      </c>
      <c r="AB1968" s="93"/>
      <c r="AC1968" s="94"/>
      <c r="AD1968" s="101">
        <f t="shared" si="944"/>
        <v>99264</v>
      </c>
      <c r="AE1968" s="103">
        <f t="shared" si="945"/>
        <v>0</v>
      </c>
      <c r="AG1968" s="1">
        <f t="shared" si="936"/>
        <v>0</v>
      </c>
      <c r="AH1968" s="1">
        <f t="shared" si="937"/>
        <v>0</v>
      </c>
      <c r="AI1968" s="1">
        <f t="shared" si="946"/>
        <v>5432.58</v>
      </c>
      <c r="AJ1968" s="20">
        <f t="shared" si="948"/>
        <v>0</v>
      </c>
      <c r="AK1968" s="100">
        <f t="shared" si="920"/>
        <v>0</v>
      </c>
      <c r="AL1968" s="100">
        <f t="shared" si="921"/>
        <v>0</v>
      </c>
      <c r="AN1968" s="100">
        <f t="shared" si="922"/>
        <v>2036.2924104520228</v>
      </c>
      <c r="AO1968" s="20">
        <f t="shared" si="923"/>
        <v>0</v>
      </c>
      <c r="AQ1968" s="109">
        <f t="shared" si="924"/>
        <v>0</v>
      </c>
      <c r="AU1968" s="109">
        <f t="shared" si="939"/>
        <v>22.826139966160198</v>
      </c>
      <c r="AV1968" s="101">
        <f t="shared" si="925"/>
        <v>99294</v>
      </c>
      <c r="AW1968" s="99">
        <f t="shared" si="926"/>
        <v>0</v>
      </c>
      <c r="AX1968" s="1">
        <f t="shared" si="927"/>
        <v>0</v>
      </c>
      <c r="AY1968" s="29">
        <f t="shared" si="928"/>
        <v>0</v>
      </c>
      <c r="AZ1968" s="1">
        <f t="shared" si="940"/>
        <v>0</v>
      </c>
      <c r="CB1968" s="20">
        <f t="shared" si="949"/>
        <v>0</v>
      </c>
      <c r="CC1968" s="173">
        <f t="shared" si="941"/>
        <v>0</v>
      </c>
    </row>
    <row r="1969" spans="10:81" x14ac:dyDescent="0.25">
      <c r="J1969" s="7"/>
      <c r="K1969" s="8"/>
      <c r="L1969" s="16"/>
      <c r="M1969" s="22"/>
      <c r="N1969" s="22"/>
      <c r="O1969" s="22"/>
      <c r="P1969" s="22"/>
      <c r="Q1969" s="1">
        <f t="shared" si="942"/>
        <v>0.60744618579017706</v>
      </c>
      <c r="R1969" s="12">
        <f t="shared" ca="1" si="929"/>
        <v>58172</v>
      </c>
      <c r="S1969" s="88">
        <f t="shared" si="938"/>
        <v>0</v>
      </c>
      <c r="T1969" s="19">
        <f t="shared" si="930"/>
        <v>0</v>
      </c>
      <c r="U1969" s="19">
        <f t="shared" si="931"/>
        <v>0</v>
      </c>
      <c r="V1969" s="19">
        <f t="shared" si="947"/>
        <v>0</v>
      </c>
      <c r="W1969" s="20">
        <f t="shared" ca="1" si="932"/>
        <v>0</v>
      </c>
      <c r="X1969" s="19">
        <f t="shared" ca="1" si="933"/>
        <v>0</v>
      </c>
      <c r="Y1969" s="19">
        <f t="shared" ca="1" si="934"/>
        <v>0</v>
      </c>
      <c r="Z1969" s="20">
        <f t="shared" ca="1" si="935"/>
        <v>0</v>
      </c>
      <c r="AA1969" s="1">
        <f t="shared" si="943"/>
        <v>5432.58</v>
      </c>
      <c r="AB1969" s="91"/>
      <c r="AC1969" s="92"/>
      <c r="AD1969" s="101">
        <f t="shared" si="944"/>
        <v>99294</v>
      </c>
      <c r="AE1969" s="103">
        <f t="shared" si="945"/>
        <v>0</v>
      </c>
      <c r="AG1969" s="1">
        <f t="shared" si="936"/>
        <v>0</v>
      </c>
      <c r="AH1969" s="1">
        <f t="shared" si="937"/>
        <v>0</v>
      </c>
      <c r="AI1969" s="1">
        <f t="shared" si="946"/>
        <v>5432.58</v>
      </c>
      <c r="AJ1969" s="20">
        <f t="shared" si="948"/>
        <v>0</v>
      </c>
      <c r="AK1969" s="100">
        <f t="shared" si="920"/>
        <v>0</v>
      </c>
      <c r="AL1969" s="100">
        <f t="shared" si="921"/>
        <v>0</v>
      </c>
      <c r="AN1969" s="100">
        <f t="shared" si="922"/>
        <v>2035.2621502601405</v>
      </c>
      <c r="AO1969" s="20">
        <f t="shared" si="923"/>
        <v>0</v>
      </c>
      <c r="AQ1969" s="109">
        <f t="shared" si="924"/>
        <v>0</v>
      </c>
      <c r="AU1969" s="109">
        <f t="shared" si="939"/>
        <v>22.824136514177287</v>
      </c>
      <c r="AV1969" s="101">
        <f t="shared" si="925"/>
        <v>99324</v>
      </c>
      <c r="AW1969" s="99">
        <f t="shared" si="926"/>
        <v>0</v>
      </c>
      <c r="AX1969" s="1">
        <f t="shared" si="927"/>
        <v>0</v>
      </c>
      <c r="AY1969" s="29">
        <f t="shared" si="928"/>
        <v>0</v>
      </c>
      <c r="AZ1969" s="1">
        <f t="shared" si="940"/>
        <v>0</v>
      </c>
      <c r="CB1969" s="20">
        <f t="shared" si="949"/>
        <v>0</v>
      </c>
      <c r="CC1969" s="173">
        <f t="shared" si="941"/>
        <v>0</v>
      </c>
    </row>
    <row r="1970" spans="10:81" x14ac:dyDescent="0.25">
      <c r="J1970" s="9"/>
      <c r="K1970" s="10"/>
      <c r="L1970" s="17"/>
      <c r="M1970" s="23"/>
      <c r="N1970" s="23"/>
      <c r="O1970" s="23"/>
      <c r="P1970" s="23"/>
      <c r="Q1970" s="1">
        <f t="shared" si="942"/>
        <v>0.60744618579017706</v>
      </c>
      <c r="R1970" s="12">
        <f t="shared" ca="1" si="929"/>
        <v>58202</v>
      </c>
      <c r="S1970" s="88">
        <f t="shared" si="938"/>
        <v>0</v>
      </c>
      <c r="T1970" s="19">
        <f t="shared" si="930"/>
        <v>0</v>
      </c>
      <c r="U1970" s="19">
        <f t="shared" si="931"/>
        <v>0</v>
      </c>
      <c r="V1970" s="19">
        <f t="shared" si="947"/>
        <v>0</v>
      </c>
      <c r="W1970" s="20">
        <f t="shared" ca="1" si="932"/>
        <v>0</v>
      </c>
      <c r="X1970" s="19">
        <f t="shared" ca="1" si="933"/>
        <v>0</v>
      </c>
      <c r="Y1970" s="19">
        <f t="shared" ca="1" si="934"/>
        <v>0</v>
      </c>
      <c r="Z1970" s="20">
        <f t="shared" ca="1" si="935"/>
        <v>0</v>
      </c>
      <c r="AA1970" s="1">
        <f t="shared" si="943"/>
        <v>5432.58</v>
      </c>
      <c r="AB1970" s="93"/>
      <c r="AC1970" s="94"/>
      <c r="AD1970" s="101">
        <f t="shared" si="944"/>
        <v>99324</v>
      </c>
      <c r="AE1970" s="103">
        <f t="shared" si="945"/>
        <v>0</v>
      </c>
      <c r="AG1970" s="1">
        <f t="shared" si="936"/>
        <v>0</v>
      </c>
      <c r="AH1970" s="1">
        <f t="shared" si="937"/>
        <v>0</v>
      </c>
      <c r="AI1970" s="1">
        <f t="shared" si="946"/>
        <v>5432.58</v>
      </c>
      <c r="AJ1970" s="20">
        <f t="shared" si="948"/>
        <v>0</v>
      </c>
      <c r="AK1970" s="100">
        <f t="shared" si="920"/>
        <v>0</v>
      </c>
      <c r="AL1970" s="100">
        <f t="shared" si="921"/>
        <v>0</v>
      </c>
      <c r="AN1970" s="100">
        <f t="shared" si="922"/>
        <v>2034.232411327414</v>
      </c>
      <c r="AO1970" s="20">
        <f t="shared" si="923"/>
        <v>0</v>
      </c>
      <c r="AQ1970" s="109">
        <f t="shared" si="924"/>
        <v>0</v>
      </c>
      <c r="AU1970" s="109">
        <f t="shared" si="939"/>
        <v>22.822133238037502</v>
      </c>
      <c r="AV1970" s="101">
        <f t="shared" si="925"/>
        <v>99354</v>
      </c>
      <c r="AW1970" s="99">
        <f t="shared" si="926"/>
        <v>0</v>
      </c>
      <c r="AX1970" s="1">
        <f t="shared" si="927"/>
        <v>0</v>
      </c>
      <c r="AY1970" s="29">
        <f t="shared" si="928"/>
        <v>0</v>
      </c>
      <c r="AZ1970" s="1">
        <f t="shared" si="940"/>
        <v>0</v>
      </c>
      <c r="CB1970" s="20">
        <f t="shared" si="949"/>
        <v>0</v>
      </c>
      <c r="CC1970" s="173">
        <f t="shared" si="941"/>
        <v>0</v>
      </c>
    </row>
    <row r="1971" spans="10:81" x14ac:dyDescent="0.25">
      <c r="J1971" s="7"/>
      <c r="K1971" s="8"/>
      <c r="L1971" s="16"/>
      <c r="M1971" s="22"/>
      <c r="N1971" s="22"/>
      <c r="O1971" s="22"/>
      <c r="P1971" s="22"/>
      <c r="Q1971" s="1">
        <f t="shared" si="942"/>
        <v>0.60744618579017706</v>
      </c>
      <c r="R1971" s="12">
        <f t="shared" ca="1" si="929"/>
        <v>58232</v>
      </c>
      <c r="S1971" s="88">
        <f t="shared" si="938"/>
        <v>0</v>
      </c>
      <c r="T1971" s="19">
        <f t="shared" si="930"/>
        <v>0</v>
      </c>
      <c r="U1971" s="19">
        <f t="shared" si="931"/>
        <v>0</v>
      </c>
      <c r="V1971" s="19">
        <f t="shared" si="947"/>
        <v>0</v>
      </c>
      <c r="W1971" s="20">
        <f t="shared" ca="1" si="932"/>
        <v>0</v>
      </c>
      <c r="X1971" s="19">
        <f t="shared" ca="1" si="933"/>
        <v>0</v>
      </c>
      <c r="Y1971" s="19">
        <f t="shared" ca="1" si="934"/>
        <v>0</v>
      </c>
      <c r="Z1971" s="20">
        <f t="shared" ca="1" si="935"/>
        <v>0</v>
      </c>
      <c r="AA1971" s="1">
        <f t="shared" si="943"/>
        <v>5432.58</v>
      </c>
      <c r="AB1971" s="91"/>
      <c r="AC1971" s="92"/>
      <c r="AD1971" s="101">
        <f t="shared" si="944"/>
        <v>99354</v>
      </c>
      <c r="AE1971" s="103">
        <f t="shared" si="945"/>
        <v>0</v>
      </c>
      <c r="AG1971" s="1">
        <f t="shared" si="936"/>
        <v>0</v>
      </c>
      <c r="AH1971" s="1">
        <f t="shared" si="937"/>
        <v>0</v>
      </c>
      <c r="AI1971" s="1">
        <f t="shared" si="946"/>
        <v>5432.58</v>
      </c>
      <c r="AJ1971" s="20">
        <f t="shared" si="948"/>
        <v>0</v>
      </c>
      <c r="AK1971" s="100">
        <f t="shared" si="920"/>
        <v>0</v>
      </c>
      <c r="AL1971" s="100">
        <f t="shared" si="921"/>
        <v>0</v>
      </c>
      <c r="AN1971" s="100">
        <f t="shared" si="922"/>
        <v>2033.2031933901126</v>
      </c>
      <c r="AO1971" s="20">
        <f t="shared" si="923"/>
        <v>0</v>
      </c>
      <c r="AQ1971" s="109">
        <f t="shared" si="924"/>
        <v>0</v>
      </c>
      <c r="AU1971" s="109">
        <f t="shared" si="939"/>
        <v>22.820130137725418</v>
      </c>
      <c r="AV1971" s="101">
        <f t="shared" si="925"/>
        <v>99384</v>
      </c>
      <c r="AW1971" s="99">
        <f t="shared" si="926"/>
        <v>0</v>
      </c>
      <c r="AX1971" s="1">
        <f t="shared" si="927"/>
        <v>0</v>
      </c>
      <c r="AY1971" s="29">
        <f t="shared" si="928"/>
        <v>0</v>
      </c>
      <c r="AZ1971" s="1">
        <f t="shared" si="940"/>
        <v>0</v>
      </c>
      <c r="CB1971" s="20">
        <f t="shared" si="949"/>
        <v>0</v>
      </c>
      <c r="CC1971" s="173">
        <f t="shared" si="941"/>
        <v>0</v>
      </c>
    </row>
    <row r="1972" spans="10:81" x14ac:dyDescent="0.25">
      <c r="J1972" s="9"/>
      <c r="K1972" s="10"/>
      <c r="L1972" s="17"/>
      <c r="M1972" s="23"/>
      <c r="N1972" s="23"/>
      <c r="O1972" s="23"/>
      <c r="P1972" s="23"/>
      <c r="Q1972" s="1">
        <f t="shared" si="942"/>
        <v>0.60744618579017706</v>
      </c>
      <c r="R1972" s="12">
        <f t="shared" ca="1" si="929"/>
        <v>58262</v>
      </c>
      <c r="S1972" s="88">
        <f t="shared" si="938"/>
        <v>0</v>
      </c>
      <c r="T1972" s="19">
        <f t="shared" si="930"/>
        <v>0</v>
      </c>
      <c r="U1972" s="19">
        <f t="shared" si="931"/>
        <v>0</v>
      </c>
      <c r="V1972" s="19">
        <f t="shared" si="947"/>
        <v>0</v>
      </c>
      <c r="W1972" s="20">
        <f t="shared" ca="1" si="932"/>
        <v>0</v>
      </c>
      <c r="X1972" s="19">
        <f t="shared" ca="1" si="933"/>
        <v>0</v>
      </c>
      <c r="Y1972" s="19">
        <f t="shared" ca="1" si="934"/>
        <v>0</v>
      </c>
      <c r="Z1972" s="20">
        <f t="shared" ca="1" si="935"/>
        <v>0</v>
      </c>
      <c r="AA1972" s="1">
        <f t="shared" si="943"/>
        <v>5432.58</v>
      </c>
      <c r="AB1972" s="93"/>
      <c r="AC1972" s="94"/>
      <c r="AD1972" s="101">
        <f t="shared" si="944"/>
        <v>99384</v>
      </c>
      <c r="AE1972" s="103">
        <f t="shared" si="945"/>
        <v>0</v>
      </c>
      <c r="AG1972" s="1">
        <f t="shared" si="936"/>
        <v>0</v>
      </c>
      <c r="AH1972" s="1">
        <f t="shared" si="937"/>
        <v>0</v>
      </c>
      <c r="AI1972" s="1">
        <f t="shared" si="946"/>
        <v>5432.58</v>
      </c>
      <c r="AJ1972" s="20">
        <f t="shared" si="948"/>
        <v>0</v>
      </c>
      <c r="AK1972" s="100">
        <f t="shared" si="920"/>
        <v>0</v>
      </c>
      <c r="AL1972" s="100">
        <f t="shared" si="921"/>
        <v>0</v>
      </c>
      <c r="AN1972" s="100">
        <f t="shared" si="922"/>
        <v>2032.1744961846396</v>
      </c>
      <c r="AO1972" s="20">
        <f t="shared" si="923"/>
        <v>0</v>
      </c>
      <c r="AQ1972" s="109">
        <f t="shared" si="924"/>
        <v>0</v>
      </c>
      <c r="AU1972" s="109">
        <f t="shared" si="939"/>
        <v>22.818127213225608</v>
      </c>
      <c r="AV1972" s="101">
        <f t="shared" si="925"/>
        <v>99414</v>
      </c>
      <c r="AW1972" s="99">
        <f t="shared" si="926"/>
        <v>0</v>
      </c>
      <c r="AX1972" s="1">
        <f t="shared" si="927"/>
        <v>0</v>
      </c>
      <c r="AY1972" s="29">
        <f t="shared" si="928"/>
        <v>0</v>
      </c>
      <c r="AZ1972" s="1">
        <f t="shared" si="940"/>
        <v>0</v>
      </c>
      <c r="CB1972" s="20">
        <f t="shared" si="949"/>
        <v>0</v>
      </c>
      <c r="CC1972" s="173">
        <f t="shared" si="941"/>
        <v>0</v>
      </c>
    </row>
    <row r="1973" spans="10:81" x14ac:dyDescent="0.25">
      <c r="J1973" s="7"/>
      <c r="K1973" s="8"/>
      <c r="L1973" s="16"/>
      <c r="M1973" s="22"/>
      <c r="N1973" s="22"/>
      <c r="O1973" s="22"/>
      <c r="P1973" s="22"/>
      <c r="Q1973" s="1">
        <f t="shared" si="942"/>
        <v>0.60744618579017706</v>
      </c>
      <c r="R1973" s="12">
        <f t="shared" ca="1" si="929"/>
        <v>58292</v>
      </c>
      <c r="S1973" s="88">
        <f t="shared" si="938"/>
        <v>0</v>
      </c>
      <c r="T1973" s="19">
        <f t="shared" si="930"/>
        <v>0</v>
      </c>
      <c r="U1973" s="19">
        <f t="shared" si="931"/>
        <v>0</v>
      </c>
      <c r="V1973" s="19">
        <f t="shared" si="947"/>
        <v>0</v>
      </c>
      <c r="W1973" s="20">
        <f t="shared" ca="1" si="932"/>
        <v>0</v>
      </c>
      <c r="X1973" s="19">
        <f t="shared" ca="1" si="933"/>
        <v>0</v>
      </c>
      <c r="Y1973" s="19">
        <f t="shared" ca="1" si="934"/>
        <v>0</v>
      </c>
      <c r="Z1973" s="20">
        <f t="shared" ca="1" si="935"/>
        <v>0</v>
      </c>
      <c r="AA1973" s="1">
        <f t="shared" si="943"/>
        <v>5432.58</v>
      </c>
      <c r="AB1973" s="91"/>
      <c r="AC1973" s="92"/>
      <c r="AD1973" s="101">
        <f t="shared" si="944"/>
        <v>99414</v>
      </c>
      <c r="AE1973" s="103">
        <f t="shared" si="945"/>
        <v>0</v>
      </c>
      <c r="AG1973" s="1">
        <f t="shared" si="936"/>
        <v>0</v>
      </c>
      <c r="AH1973" s="1">
        <f t="shared" si="937"/>
        <v>0</v>
      </c>
      <c r="AI1973" s="1">
        <f t="shared" si="946"/>
        <v>5432.58</v>
      </c>
      <c r="AJ1973" s="20">
        <f t="shared" si="948"/>
        <v>0</v>
      </c>
      <c r="AK1973" s="100">
        <f t="shared" si="920"/>
        <v>0</v>
      </c>
      <c r="AL1973" s="100">
        <f t="shared" si="921"/>
        <v>0</v>
      </c>
      <c r="AN1973" s="100">
        <f t="shared" si="922"/>
        <v>2031.1463194475314</v>
      </c>
      <c r="AO1973" s="20">
        <f t="shared" si="923"/>
        <v>0</v>
      </c>
      <c r="AQ1973" s="109">
        <f t="shared" si="924"/>
        <v>0</v>
      </c>
      <c r="AU1973" s="109">
        <f t="shared" si="939"/>
        <v>22.816124464522598</v>
      </c>
      <c r="AV1973" s="101">
        <f t="shared" si="925"/>
        <v>99444</v>
      </c>
      <c r="AW1973" s="99">
        <f t="shared" si="926"/>
        <v>0</v>
      </c>
      <c r="AX1973" s="1">
        <f t="shared" si="927"/>
        <v>0</v>
      </c>
      <c r="AY1973" s="29">
        <f t="shared" si="928"/>
        <v>0</v>
      </c>
      <c r="AZ1973" s="1">
        <f t="shared" si="940"/>
        <v>0</v>
      </c>
      <c r="CB1973" s="20">
        <f t="shared" si="949"/>
        <v>0</v>
      </c>
      <c r="CC1973" s="173">
        <f t="shared" si="941"/>
        <v>0</v>
      </c>
    </row>
    <row r="1974" spans="10:81" x14ac:dyDescent="0.25">
      <c r="J1974" s="9"/>
      <c r="K1974" s="10"/>
      <c r="L1974" s="17"/>
      <c r="M1974" s="23"/>
      <c r="N1974" s="23"/>
      <c r="O1974" s="23"/>
      <c r="P1974" s="23"/>
      <c r="Q1974" s="1">
        <f t="shared" si="942"/>
        <v>0.60744618579017706</v>
      </c>
      <c r="R1974" s="12">
        <f t="shared" ca="1" si="929"/>
        <v>58322</v>
      </c>
      <c r="S1974" s="88">
        <f t="shared" si="938"/>
        <v>0</v>
      </c>
      <c r="T1974" s="19">
        <f t="shared" si="930"/>
        <v>0</v>
      </c>
      <c r="U1974" s="19">
        <f t="shared" si="931"/>
        <v>0</v>
      </c>
      <c r="V1974" s="19">
        <f t="shared" si="947"/>
        <v>0</v>
      </c>
      <c r="W1974" s="20">
        <f t="shared" ca="1" si="932"/>
        <v>0</v>
      </c>
      <c r="X1974" s="19">
        <f t="shared" ca="1" si="933"/>
        <v>0</v>
      </c>
      <c r="Y1974" s="19">
        <f t="shared" ca="1" si="934"/>
        <v>0</v>
      </c>
      <c r="Z1974" s="20">
        <f t="shared" ca="1" si="935"/>
        <v>0</v>
      </c>
      <c r="AA1974" s="1">
        <f t="shared" si="943"/>
        <v>5432.58</v>
      </c>
      <c r="AB1974" s="93"/>
      <c r="AC1974" s="94"/>
      <c r="AD1974" s="101">
        <f t="shared" si="944"/>
        <v>99444</v>
      </c>
      <c r="AE1974" s="103">
        <f t="shared" si="945"/>
        <v>0</v>
      </c>
      <c r="AG1974" s="1">
        <f t="shared" si="936"/>
        <v>0</v>
      </c>
      <c r="AH1974" s="1">
        <f t="shared" si="937"/>
        <v>0</v>
      </c>
      <c r="AI1974" s="1">
        <f t="shared" si="946"/>
        <v>5432.58</v>
      </c>
      <c r="AJ1974" s="20">
        <f t="shared" si="948"/>
        <v>0</v>
      </c>
      <c r="AK1974" s="100">
        <f t="shared" ref="AK1974:AK2000" si="950">IF(ISERROR(AJ1974/(1+(Q1974)/1200)^(ROW()-29)),0,AJ1974/(1+(Q1974)/1200)^(ROW()-29))</f>
        <v>0</v>
      </c>
      <c r="AL1974" s="100">
        <f t="shared" ref="AL1974:AL2000" si="951">IF(ISERROR((Q1974/1200)*O1974),0,(Q1974/1200)*O1974)</f>
        <v>0</v>
      </c>
      <c r="AN1974" s="100">
        <f t="shared" ref="AN1974:AN2000" si="952">IF(ISERROR(AA1974/(1+(Q1974)/1200)^(ROW()-29)),0,AA1974/(1+(Q1974)/1200)^(ROW()-29))</f>
        <v>2030.1186629154561</v>
      </c>
      <c r="AO1974" s="20">
        <f t="shared" ref="AO1974:AO2000" si="953">IF(ISERROR(V1973+U1974+T1974+(V1973*Q1974/1200)-AA1974-P1974),0,IF(V1973+U1974+T1974+(V1973*Q1974/1200)-AA1974-P1974&lt;0,V1973,-(U1974+T1974-AA1974+P1974-AH1974)))</f>
        <v>0</v>
      </c>
      <c r="AQ1974" s="109">
        <f t="shared" ref="AQ1974:AQ2000" si="954">AO1974/(1+((1+$AM$27)^((ROW()-29)*30)-1))</f>
        <v>0</v>
      </c>
      <c r="AU1974" s="109">
        <f t="shared" si="939"/>
        <v>22.814121891601008</v>
      </c>
      <c r="AV1974" s="101">
        <f t="shared" ref="AV1974:AV2000" si="955">AD1975</f>
        <v>99474</v>
      </c>
      <c r="AW1974" s="99">
        <f t="shared" ref="AW1974:AW2000" si="956">IF(AJ1975&lt;0,0,AJ1975)</f>
        <v>0</v>
      </c>
      <c r="AX1974" s="1">
        <f t="shared" ref="AX1974:AX2000" si="957">IF(AG1974&gt;0,AA1974,0)</f>
        <v>0</v>
      </c>
      <c r="AY1974" s="29">
        <f t="shared" ref="AY1974:AY2000" si="958">AE1974</f>
        <v>0</v>
      </c>
      <c r="AZ1974" s="1">
        <f t="shared" si="940"/>
        <v>0</v>
      </c>
      <c r="CB1974" s="20">
        <f t="shared" si="949"/>
        <v>0</v>
      </c>
      <c r="CC1974" s="173">
        <f t="shared" si="941"/>
        <v>0</v>
      </c>
    </row>
    <row r="1975" spans="10:81" x14ac:dyDescent="0.25">
      <c r="J1975" s="7"/>
      <c r="K1975" s="8"/>
      <c r="L1975" s="16"/>
      <c r="M1975" s="22"/>
      <c r="N1975" s="22"/>
      <c r="O1975" s="22"/>
      <c r="P1975" s="22"/>
      <c r="Q1975" s="1">
        <f t="shared" si="942"/>
        <v>0.60744618579017706</v>
      </c>
      <c r="R1975" s="12">
        <f t="shared" ref="R1975:R2000" ca="1" si="959">IF(ROW()&gt;$T$20,R1974+30,DAYS360(K1974,K1975)+R1974)</f>
        <v>58352</v>
      </c>
      <c r="S1975" s="88">
        <f t="shared" si="938"/>
        <v>0</v>
      </c>
      <c r="T1975" s="19">
        <f t="shared" ref="T1975:T2000" si="960">IF(ISERROR((previousBalance*Q1975/1200)*(IF(ROW()-30&lt;$G$22,$G$21,0))),0,(previousBalance*Q1975/1200)*(IF(ROW()-30&lt;$G$22,$G$21,0)))</f>
        <v>0</v>
      </c>
      <c r="U1975" s="19">
        <f t="shared" ref="U1975:U2000" si="961">AA1975*(IF(ROW()-30&lt;$H$22,$H$21,0))</f>
        <v>0</v>
      </c>
      <c r="V1975" s="19">
        <f t="shared" si="947"/>
        <v>0</v>
      </c>
      <c r="W1975" s="20">
        <f t="shared" ref="W1975:W2000" ca="1" si="962">(T1975)/(1+((1+$T$12)^$R1975-1))</f>
        <v>0</v>
      </c>
      <c r="X1975" s="19">
        <f t="shared" ref="X1975:X2000" ca="1" si="963">(U1975)/(1+((1+$T$12)^$R1975-1))</f>
        <v>0</v>
      </c>
      <c r="Y1975" s="19">
        <f t="shared" ref="Y1975:Y2000" ca="1" si="964">P1975/(1+((1+$T$12)^$R1975-1))</f>
        <v>0</v>
      </c>
      <c r="Z1975" s="20">
        <f t="shared" ref="Z1975:Z2000" ca="1" si="965">W1975+X1975</f>
        <v>0</v>
      </c>
      <c r="AA1975" s="1">
        <f t="shared" si="943"/>
        <v>5432.58</v>
      </c>
      <c r="AB1975" s="91"/>
      <c r="AC1975" s="92"/>
      <c r="AD1975" s="101">
        <f t="shared" si="944"/>
        <v>99474</v>
      </c>
      <c r="AE1975" s="103">
        <f t="shared" si="945"/>
        <v>0</v>
      </c>
      <c r="AG1975" s="1">
        <f t="shared" ref="AG1975:AG2000" si="966">AE1975/360</f>
        <v>0</v>
      </c>
      <c r="AH1975" s="1">
        <f t="shared" ref="AH1975:AH2000" si="967">IF(ISERROR(IF(V1974+U1975+T1975+(V1974*Q1975/1200)-AA1975-P1975&lt;0,0,(V1974*Q1975/1200))),0,IF(V1974+U1975+T1975+(V1974*Q1975/1200)-AA1975-P1975&lt;0,0,(V1974*Q1975/1200)))</f>
        <v>0</v>
      </c>
      <c r="AI1975" s="1">
        <f t="shared" si="946"/>
        <v>5432.58</v>
      </c>
      <c r="AJ1975" s="20">
        <f t="shared" si="948"/>
        <v>0</v>
      </c>
      <c r="AK1975" s="100">
        <f t="shared" si="950"/>
        <v>0</v>
      </c>
      <c r="AL1975" s="100">
        <f t="shared" si="951"/>
        <v>0</v>
      </c>
      <c r="AN1975" s="100">
        <f t="shared" si="952"/>
        <v>2029.091526325218</v>
      </c>
      <c r="AO1975" s="20">
        <f t="shared" si="953"/>
        <v>0</v>
      </c>
      <c r="AQ1975" s="109">
        <f t="shared" si="954"/>
        <v>0</v>
      </c>
      <c r="AU1975" s="109">
        <f t="shared" si="939"/>
        <v>22.812119494445394</v>
      </c>
      <c r="AV1975" s="101">
        <f t="shared" si="955"/>
        <v>99504</v>
      </c>
      <c r="AW1975" s="99">
        <f t="shared" si="956"/>
        <v>0</v>
      </c>
      <c r="AX1975" s="1">
        <f t="shared" si="957"/>
        <v>0</v>
      </c>
      <c r="AY1975" s="29">
        <f t="shared" si="958"/>
        <v>0</v>
      </c>
      <c r="AZ1975" s="1">
        <f t="shared" si="940"/>
        <v>0</v>
      </c>
      <c r="CB1975" s="20">
        <f t="shared" si="949"/>
        <v>0</v>
      </c>
      <c r="CC1975" s="173">
        <f t="shared" si="941"/>
        <v>0</v>
      </c>
    </row>
    <row r="1976" spans="10:81" x14ac:dyDescent="0.25">
      <c r="J1976" s="9"/>
      <c r="K1976" s="10"/>
      <c r="L1976" s="17"/>
      <c r="M1976" s="23"/>
      <c r="N1976" s="23"/>
      <c r="O1976" s="23"/>
      <c r="P1976" s="23"/>
      <c r="Q1976" s="1">
        <f t="shared" si="942"/>
        <v>0.60744618579017706</v>
      </c>
      <c r="R1976" s="12">
        <f t="shared" ca="1" si="959"/>
        <v>58382</v>
      </c>
      <c r="S1976" s="88">
        <f t="shared" si="938"/>
        <v>0</v>
      </c>
      <c r="T1976" s="19">
        <f t="shared" si="960"/>
        <v>0</v>
      </c>
      <c r="U1976" s="19">
        <f t="shared" si="961"/>
        <v>0</v>
      </c>
      <c r="V1976" s="19">
        <f t="shared" si="947"/>
        <v>0</v>
      </c>
      <c r="W1976" s="20">
        <f t="shared" ca="1" si="962"/>
        <v>0</v>
      </c>
      <c r="X1976" s="19">
        <f t="shared" ca="1" si="963"/>
        <v>0</v>
      </c>
      <c r="Y1976" s="19">
        <f t="shared" ca="1" si="964"/>
        <v>0</v>
      </c>
      <c r="Z1976" s="20">
        <f t="shared" ca="1" si="965"/>
        <v>0</v>
      </c>
      <c r="AA1976" s="1">
        <f t="shared" si="943"/>
        <v>5432.58</v>
      </c>
      <c r="AB1976" s="93"/>
      <c r="AC1976" s="94"/>
      <c r="AD1976" s="101">
        <f t="shared" si="944"/>
        <v>99504</v>
      </c>
      <c r="AE1976" s="103">
        <f t="shared" si="945"/>
        <v>0</v>
      </c>
      <c r="AG1976" s="1">
        <f t="shared" si="966"/>
        <v>0</v>
      </c>
      <c r="AH1976" s="1">
        <f t="shared" si="967"/>
        <v>0</v>
      </c>
      <c r="AI1976" s="1">
        <f t="shared" si="946"/>
        <v>5432.58</v>
      </c>
      <c r="AJ1976" s="20">
        <f t="shared" si="948"/>
        <v>0</v>
      </c>
      <c r="AK1976" s="100">
        <f t="shared" si="950"/>
        <v>0</v>
      </c>
      <c r="AL1976" s="100">
        <f t="shared" si="951"/>
        <v>0</v>
      </c>
      <c r="AN1976" s="100">
        <f t="shared" si="952"/>
        <v>2028.0649094137525</v>
      </c>
      <c r="AO1976" s="20">
        <f t="shared" si="953"/>
        <v>0</v>
      </c>
      <c r="AQ1976" s="109">
        <f t="shared" si="954"/>
        <v>0</v>
      </c>
      <c r="AU1976" s="109">
        <f t="shared" si="939"/>
        <v>22.810117273040316</v>
      </c>
      <c r="AV1976" s="101">
        <f t="shared" si="955"/>
        <v>99534</v>
      </c>
      <c r="AW1976" s="99">
        <f t="shared" si="956"/>
        <v>0</v>
      </c>
      <c r="AX1976" s="1">
        <f t="shared" si="957"/>
        <v>0</v>
      </c>
      <c r="AY1976" s="29">
        <f t="shared" si="958"/>
        <v>0</v>
      </c>
      <c r="AZ1976" s="1">
        <f t="shared" si="940"/>
        <v>0</v>
      </c>
      <c r="CB1976" s="20">
        <f t="shared" si="949"/>
        <v>0</v>
      </c>
      <c r="CC1976" s="173">
        <f t="shared" si="941"/>
        <v>0</v>
      </c>
    </row>
    <row r="1977" spans="10:81" x14ac:dyDescent="0.25">
      <c r="J1977" s="7"/>
      <c r="K1977" s="8"/>
      <c r="L1977" s="16"/>
      <c r="M1977" s="22"/>
      <c r="N1977" s="22"/>
      <c r="O1977" s="22"/>
      <c r="P1977" s="22"/>
      <c r="Q1977" s="1">
        <f t="shared" si="942"/>
        <v>0.60744618579017706</v>
      </c>
      <c r="R1977" s="12">
        <f t="shared" ca="1" si="959"/>
        <v>58412</v>
      </c>
      <c r="S1977" s="88">
        <f t="shared" si="938"/>
        <v>0</v>
      </c>
      <c r="T1977" s="19">
        <f t="shared" si="960"/>
        <v>0</v>
      </c>
      <c r="U1977" s="19">
        <f t="shared" si="961"/>
        <v>0</v>
      </c>
      <c r="V1977" s="19">
        <f t="shared" si="947"/>
        <v>0</v>
      </c>
      <c r="W1977" s="20">
        <f t="shared" ca="1" si="962"/>
        <v>0</v>
      </c>
      <c r="X1977" s="19">
        <f t="shared" ca="1" si="963"/>
        <v>0</v>
      </c>
      <c r="Y1977" s="19">
        <f t="shared" ca="1" si="964"/>
        <v>0</v>
      </c>
      <c r="Z1977" s="20">
        <f t="shared" ca="1" si="965"/>
        <v>0</v>
      </c>
      <c r="AA1977" s="1">
        <f t="shared" si="943"/>
        <v>5432.58</v>
      </c>
      <c r="AB1977" s="91"/>
      <c r="AC1977" s="92"/>
      <c r="AD1977" s="101">
        <f t="shared" si="944"/>
        <v>99534</v>
      </c>
      <c r="AE1977" s="103">
        <f t="shared" si="945"/>
        <v>0</v>
      </c>
      <c r="AG1977" s="1">
        <f t="shared" si="966"/>
        <v>0</v>
      </c>
      <c r="AH1977" s="1">
        <f t="shared" si="967"/>
        <v>0</v>
      </c>
      <c r="AI1977" s="1">
        <f t="shared" si="946"/>
        <v>5432.58</v>
      </c>
      <c r="AJ1977" s="20">
        <f t="shared" si="948"/>
        <v>0</v>
      </c>
      <c r="AK1977" s="100">
        <f t="shared" si="950"/>
        <v>0</v>
      </c>
      <c r="AL1977" s="100">
        <f t="shared" si="951"/>
        <v>0</v>
      </c>
      <c r="AN1977" s="100">
        <f t="shared" si="952"/>
        <v>2027.0388119181287</v>
      </c>
      <c r="AO1977" s="20">
        <f t="shared" si="953"/>
        <v>0</v>
      </c>
      <c r="AQ1977" s="109">
        <f t="shared" si="954"/>
        <v>0</v>
      </c>
      <c r="AU1977" s="109">
        <f t="shared" si="939"/>
        <v>22.808115227370362</v>
      </c>
      <c r="AV1977" s="101">
        <f t="shared" si="955"/>
        <v>99564</v>
      </c>
      <c r="AW1977" s="99">
        <f t="shared" si="956"/>
        <v>0</v>
      </c>
      <c r="AX1977" s="1">
        <f t="shared" si="957"/>
        <v>0</v>
      </c>
      <c r="AY1977" s="29">
        <f t="shared" si="958"/>
        <v>0</v>
      </c>
      <c r="AZ1977" s="1">
        <f t="shared" si="940"/>
        <v>0</v>
      </c>
      <c r="CB1977" s="20">
        <f t="shared" si="949"/>
        <v>0</v>
      </c>
      <c r="CC1977" s="173">
        <f t="shared" si="941"/>
        <v>0</v>
      </c>
    </row>
    <row r="1978" spans="10:81" x14ac:dyDescent="0.25">
      <c r="J1978" s="9"/>
      <c r="K1978" s="10"/>
      <c r="L1978" s="17"/>
      <c r="M1978" s="23"/>
      <c r="N1978" s="23"/>
      <c r="O1978" s="23"/>
      <c r="P1978" s="23"/>
      <c r="Q1978" s="1">
        <f t="shared" si="942"/>
        <v>0.60744618579017706</v>
      </c>
      <c r="R1978" s="12">
        <f t="shared" ca="1" si="959"/>
        <v>58442</v>
      </c>
      <c r="S1978" s="88">
        <f t="shared" si="938"/>
        <v>0</v>
      </c>
      <c r="T1978" s="19">
        <f t="shared" si="960"/>
        <v>0</v>
      </c>
      <c r="U1978" s="19">
        <f t="shared" si="961"/>
        <v>0</v>
      </c>
      <c r="V1978" s="19">
        <f t="shared" si="947"/>
        <v>0</v>
      </c>
      <c r="W1978" s="20">
        <f t="shared" ca="1" si="962"/>
        <v>0</v>
      </c>
      <c r="X1978" s="19">
        <f t="shared" ca="1" si="963"/>
        <v>0</v>
      </c>
      <c r="Y1978" s="19">
        <f t="shared" ca="1" si="964"/>
        <v>0</v>
      </c>
      <c r="Z1978" s="20">
        <f t="shared" ca="1" si="965"/>
        <v>0</v>
      </c>
      <c r="AA1978" s="1">
        <f t="shared" si="943"/>
        <v>5432.58</v>
      </c>
      <c r="AB1978" s="93"/>
      <c r="AC1978" s="94"/>
      <c r="AD1978" s="101">
        <f t="shared" si="944"/>
        <v>99564</v>
      </c>
      <c r="AE1978" s="103">
        <f t="shared" si="945"/>
        <v>0</v>
      </c>
      <c r="AG1978" s="1">
        <f t="shared" si="966"/>
        <v>0</v>
      </c>
      <c r="AH1978" s="1">
        <f t="shared" si="967"/>
        <v>0</v>
      </c>
      <c r="AI1978" s="1">
        <f t="shared" si="946"/>
        <v>5432.58</v>
      </c>
      <c r="AJ1978" s="20">
        <f t="shared" si="948"/>
        <v>0</v>
      </c>
      <c r="AK1978" s="100">
        <f t="shared" si="950"/>
        <v>0</v>
      </c>
      <c r="AL1978" s="100">
        <f t="shared" si="951"/>
        <v>0</v>
      </c>
      <c r="AN1978" s="100">
        <f t="shared" si="952"/>
        <v>2026.0132335755486</v>
      </c>
      <c r="AO1978" s="20">
        <f t="shared" si="953"/>
        <v>0</v>
      </c>
      <c r="AQ1978" s="109">
        <f t="shared" si="954"/>
        <v>0</v>
      </c>
      <c r="AU1978" s="109">
        <f t="shared" si="939"/>
        <v>22.806113357420095</v>
      </c>
      <c r="AV1978" s="101">
        <f t="shared" si="955"/>
        <v>99594</v>
      </c>
      <c r="AW1978" s="99">
        <f t="shared" si="956"/>
        <v>0</v>
      </c>
      <c r="AX1978" s="1">
        <f t="shared" si="957"/>
        <v>0</v>
      </c>
      <c r="AY1978" s="29">
        <f t="shared" si="958"/>
        <v>0</v>
      </c>
      <c r="AZ1978" s="1">
        <f t="shared" si="940"/>
        <v>0</v>
      </c>
      <c r="CB1978" s="20">
        <f t="shared" si="949"/>
        <v>0</v>
      </c>
      <c r="CC1978" s="173">
        <f t="shared" si="941"/>
        <v>0</v>
      </c>
    </row>
    <row r="1979" spans="10:81" x14ac:dyDescent="0.25">
      <c r="J1979" s="7"/>
      <c r="K1979" s="8"/>
      <c r="L1979" s="16"/>
      <c r="M1979" s="22"/>
      <c r="N1979" s="22"/>
      <c r="O1979" s="22"/>
      <c r="P1979" s="22"/>
      <c r="Q1979" s="1">
        <f t="shared" si="942"/>
        <v>0.60744618579017706</v>
      </c>
      <c r="R1979" s="12">
        <f t="shared" ca="1" si="959"/>
        <v>58472</v>
      </c>
      <c r="S1979" s="88">
        <f t="shared" si="938"/>
        <v>0</v>
      </c>
      <c r="T1979" s="19">
        <f t="shared" si="960"/>
        <v>0</v>
      </c>
      <c r="U1979" s="19">
        <f t="shared" si="961"/>
        <v>0</v>
      </c>
      <c r="V1979" s="19">
        <f t="shared" si="947"/>
        <v>0</v>
      </c>
      <c r="W1979" s="20">
        <f t="shared" ca="1" si="962"/>
        <v>0</v>
      </c>
      <c r="X1979" s="19">
        <f t="shared" ca="1" si="963"/>
        <v>0</v>
      </c>
      <c r="Y1979" s="19">
        <f t="shared" ca="1" si="964"/>
        <v>0</v>
      </c>
      <c r="Z1979" s="20">
        <f t="shared" ca="1" si="965"/>
        <v>0</v>
      </c>
      <c r="AA1979" s="1">
        <f t="shared" si="943"/>
        <v>5432.58</v>
      </c>
      <c r="AB1979" s="91"/>
      <c r="AC1979" s="92"/>
      <c r="AD1979" s="101">
        <f t="shared" si="944"/>
        <v>99594</v>
      </c>
      <c r="AE1979" s="103">
        <f t="shared" si="945"/>
        <v>0</v>
      </c>
      <c r="AG1979" s="1">
        <f t="shared" si="966"/>
        <v>0</v>
      </c>
      <c r="AH1979" s="1">
        <f t="shared" si="967"/>
        <v>0</v>
      </c>
      <c r="AI1979" s="1">
        <f t="shared" si="946"/>
        <v>5432.58</v>
      </c>
      <c r="AJ1979" s="20">
        <f t="shared" si="948"/>
        <v>0</v>
      </c>
      <c r="AK1979" s="100">
        <f t="shared" si="950"/>
        <v>0</v>
      </c>
      <c r="AL1979" s="100">
        <f t="shared" si="951"/>
        <v>0</v>
      </c>
      <c r="AN1979" s="100">
        <f t="shared" si="952"/>
        <v>2024.9881741233471</v>
      </c>
      <c r="AO1979" s="20">
        <f t="shared" si="953"/>
        <v>0</v>
      </c>
      <c r="AQ1979" s="109">
        <f t="shared" si="954"/>
        <v>0</v>
      </c>
      <c r="AU1979" s="109">
        <f t="shared" si="939"/>
        <v>22.804111663174108</v>
      </c>
      <c r="AV1979" s="101">
        <f t="shared" si="955"/>
        <v>99624</v>
      </c>
      <c r="AW1979" s="99">
        <f t="shared" si="956"/>
        <v>0</v>
      </c>
      <c r="AX1979" s="1">
        <f t="shared" si="957"/>
        <v>0</v>
      </c>
      <c r="AY1979" s="29">
        <f t="shared" si="958"/>
        <v>0</v>
      </c>
      <c r="AZ1979" s="1">
        <f t="shared" si="940"/>
        <v>0</v>
      </c>
      <c r="CB1979" s="20">
        <f t="shared" si="949"/>
        <v>0</v>
      </c>
      <c r="CC1979" s="173">
        <f t="shared" si="941"/>
        <v>0</v>
      </c>
    </row>
    <row r="1980" spans="10:81" x14ac:dyDescent="0.25">
      <c r="J1980" s="9"/>
      <c r="K1980" s="10"/>
      <c r="L1980" s="17"/>
      <c r="M1980" s="23"/>
      <c r="N1980" s="23"/>
      <c r="O1980" s="23"/>
      <c r="P1980" s="23"/>
      <c r="Q1980" s="1">
        <f t="shared" si="942"/>
        <v>0.60744618579017706</v>
      </c>
      <c r="R1980" s="12">
        <f t="shared" ca="1" si="959"/>
        <v>58502</v>
      </c>
      <c r="S1980" s="88">
        <f t="shared" si="938"/>
        <v>0</v>
      </c>
      <c r="T1980" s="19">
        <f t="shared" si="960"/>
        <v>0</v>
      </c>
      <c r="U1980" s="19">
        <f t="shared" si="961"/>
        <v>0</v>
      </c>
      <c r="V1980" s="19">
        <f t="shared" si="947"/>
        <v>0</v>
      </c>
      <c r="W1980" s="20">
        <f t="shared" ca="1" si="962"/>
        <v>0</v>
      </c>
      <c r="X1980" s="19">
        <f t="shared" ca="1" si="963"/>
        <v>0</v>
      </c>
      <c r="Y1980" s="19">
        <f t="shared" ca="1" si="964"/>
        <v>0</v>
      </c>
      <c r="Z1980" s="20">
        <f t="shared" ca="1" si="965"/>
        <v>0</v>
      </c>
      <c r="AA1980" s="1">
        <f t="shared" si="943"/>
        <v>5432.58</v>
      </c>
      <c r="AB1980" s="93"/>
      <c r="AC1980" s="94"/>
      <c r="AD1980" s="101">
        <f t="shared" si="944"/>
        <v>99624</v>
      </c>
      <c r="AE1980" s="103">
        <f t="shared" si="945"/>
        <v>0</v>
      </c>
      <c r="AG1980" s="1">
        <f t="shared" si="966"/>
        <v>0</v>
      </c>
      <c r="AH1980" s="1">
        <f t="shared" si="967"/>
        <v>0</v>
      </c>
      <c r="AI1980" s="1">
        <f t="shared" si="946"/>
        <v>5432.58</v>
      </c>
      <c r="AJ1980" s="20">
        <f t="shared" si="948"/>
        <v>0</v>
      </c>
      <c r="AK1980" s="100">
        <f t="shared" si="950"/>
        <v>0</v>
      </c>
      <c r="AL1980" s="100">
        <f t="shared" si="951"/>
        <v>0</v>
      </c>
      <c r="AN1980" s="100">
        <f t="shared" si="952"/>
        <v>2023.9636332989921</v>
      </c>
      <c r="AO1980" s="20">
        <f t="shared" si="953"/>
        <v>0</v>
      </c>
      <c r="AQ1980" s="109">
        <f t="shared" si="954"/>
        <v>0</v>
      </c>
      <c r="AU1980" s="109">
        <f t="shared" si="939"/>
        <v>22.802110144616972</v>
      </c>
      <c r="AV1980" s="101">
        <f t="shared" si="955"/>
        <v>99654</v>
      </c>
      <c r="AW1980" s="99">
        <f t="shared" si="956"/>
        <v>0</v>
      </c>
      <c r="AX1980" s="1">
        <f t="shared" si="957"/>
        <v>0</v>
      </c>
      <c r="AY1980" s="29">
        <f t="shared" si="958"/>
        <v>0</v>
      </c>
      <c r="AZ1980" s="1">
        <f t="shared" si="940"/>
        <v>0</v>
      </c>
      <c r="CB1980" s="20">
        <f t="shared" si="949"/>
        <v>0</v>
      </c>
      <c r="CC1980" s="173">
        <f t="shared" si="941"/>
        <v>0</v>
      </c>
    </row>
    <row r="1981" spans="10:81" x14ac:dyDescent="0.25">
      <c r="J1981" s="7"/>
      <c r="K1981" s="8"/>
      <c r="L1981" s="16"/>
      <c r="M1981" s="22"/>
      <c r="N1981" s="22"/>
      <c r="O1981" s="22"/>
      <c r="P1981" s="22"/>
      <c r="Q1981" s="1">
        <f t="shared" si="942"/>
        <v>0.60744618579017706</v>
      </c>
      <c r="R1981" s="12">
        <f t="shared" ca="1" si="959"/>
        <v>58532</v>
      </c>
      <c r="S1981" s="88">
        <f t="shared" si="938"/>
        <v>0</v>
      </c>
      <c r="T1981" s="19">
        <f t="shared" si="960"/>
        <v>0</v>
      </c>
      <c r="U1981" s="19">
        <f t="shared" si="961"/>
        <v>0</v>
      </c>
      <c r="V1981" s="19">
        <f t="shared" si="947"/>
        <v>0</v>
      </c>
      <c r="W1981" s="20">
        <f t="shared" ca="1" si="962"/>
        <v>0</v>
      </c>
      <c r="X1981" s="19">
        <f t="shared" ca="1" si="963"/>
        <v>0</v>
      </c>
      <c r="Y1981" s="19">
        <f t="shared" ca="1" si="964"/>
        <v>0</v>
      </c>
      <c r="Z1981" s="20">
        <f t="shared" ca="1" si="965"/>
        <v>0</v>
      </c>
      <c r="AA1981" s="1">
        <f t="shared" si="943"/>
        <v>5432.58</v>
      </c>
      <c r="AB1981" s="91"/>
      <c r="AC1981" s="92"/>
      <c r="AD1981" s="101">
        <f t="shared" si="944"/>
        <v>99654</v>
      </c>
      <c r="AE1981" s="103">
        <f t="shared" si="945"/>
        <v>0</v>
      </c>
      <c r="AG1981" s="1">
        <f t="shared" si="966"/>
        <v>0</v>
      </c>
      <c r="AH1981" s="1">
        <f t="shared" si="967"/>
        <v>0</v>
      </c>
      <c r="AI1981" s="1">
        <f t="shared" si="946"/>
        <v>5432.58</v>
      </c>
      <c r="AJ1981" s="20">
        <f t="shared" si="948"/>
        <v>0</v>
      </c>
      <c r="AK1981" s="100">
        <f t="shared" si="950"/>
        <v>0</v>
      </c>
      <c r="AL1981" s="100">
        <f t="shared" si="951"/>
        <v>0</v>
      </c>
      <c r="AN1981" s="100">
        <f t="shared" si="952"/>
        <v>2022.9396108400849</v>
      </c>
      <c r="AO1981" s="20">
        <f t="shared" si="953"/>
        <v>0</v>
      </c>
      <c r="AQ1981" s="109">
        <f t="shared" si="954"/>
        <v>0</v>
      </c>
      <c r="AU1981" s="109">
        <f t="shared" si="939"/>
        <v>22.800108801733277</v>
      </c>
      <c r="AV1981" s="101">
        <f t="shared" si="955"/>
        <v>99684</v>
      </c>
      <c r="AW1981" s="99">
        <f t="shared" si="956"/>
        <v>0</v>
      </c>
      <c r="AX1981" s="1">
        <f t="shared" si="957"/>
        <v>0</v>
      </c>
      <c r="AY1981" s="29">
        <f t="shared" si="958"/>
        <v>0</v>
      </c>
      <c r="AZ1981" s="1">
        <f t="shared" si="940"/>
        <v>0</v>
      </c>
      <c r="CB1981" s="20">
        <f t="shared" si="949"/>
        <v>0</v>
      </c>
      <c r="CC1981" s="173">
        <f t="shared" si="941"/>
        <v>0</v>
      </c>
    </row>
    <row r="1982" spans="10:81" x14ac:dyDescent="0.25">
      <c r="J1982" s="9"/>
      <c r="K1982" s="10"/>
      <c r="L1982" s="17"/>
      <c r="M1982" s="23"/>
      <c r="N1982" s="23"/>
      <c r="O1982" s="23"/>
      <c r="P1982" s="23"/>
      <c r="Q1982" s="1">
        <f t="shared" si="942"/>
        <v>0.60744618579017706</v>
      </c>
      <c r="R1982" s="12">
        <f t="shared" ca="1" si="959"/>
        <v>58562</v>
      </c>
      <c r="S1982" s="88">
        <f t="shared" si="938"/>
        <v>0</v>
      </c>
      <c r="T1982" s="19">
        <f t="shared" si="960"/>
        <v>0</v>
      </c>
      <c r="U1982" s="19">
        <f t="shared" si="961"/>
        <v>0</v>
      </c>
      <c r="V1982" s="19">
        <f t="shared" si="947"/>
        <v>0</v>
      </c>
      <c r="W1982" s="20">
        <f t="shared" ca="1" si="962"/>
        <v>0</v>
      </c>
      <c r="X1982" s="19">
        <f t="shared" ca="1" si="963"/>
        <v>0</v>
      </c>
      <c r="Y1982" s="19">
        <f t="shared" ca="1" si="964"/>
        <v>0</v>
      </c>
      <c r="Z1982" s="20">
        <f t="shared" ca="1" si="965"/>
        <v>0</v>
      </c>
      <c r="AA1982" s="1">
        <f t="shared" si="943"/>
        <v>5432.58</v>
      </c>
      <c r="AB1982" s="93"/>
      <c r="AC1982" s="94"/>
      <c r="AD1982" s="101">
        <f t="shared" si="944"/>
        <v>99684</v>
      </c>
      <c r="AE1982" s="103">
        <f t="shared" si="945"/>
        <v>0</v>
      </c>
      <c r="AG1982" s="1">
        <f t="shared" si="966"/>
        <v>0</v>
      </c>
      <c r="AH1982" s="1">
        <f t="shared" si="967"/>
        <v>0</v>
      </c>
      <c r="AI1982" s="1">
        <f t="shared" si="946"/>
        <v>5432.58</v>
      </c>
      <c r="AJ1982" s="20">
        <f t="shared" si="948"/>
        <v>0</v>
      </c>
      <c r="AK1982" s="100">
        <f t="shared" si="950"/>
        <v>0</v>
      </c>
      <c r="AL1982" s="100">
        <f t="shared" si="951"/>
        <v>0</v>
      </c>
      <c r="AN1982" s="100">
        <f t="shared" si="952"/>
        <v>2021.9161064843586</v>
      </c>
      <c r="AO1982" s="20">
        <f t="shared" si="953"/>
        <v>0</v>
      </c>
      <c r="AQ1982" s="109">
        <f t="shared" si="954"/>
        <v>0</v>
      </c>
      <c r="AU1982" s="109">
        <f t="shared" si="939"/>
        <v>22.798107634507577</v>
      </c>
      <c r="AV1982" s="101">
        <f t="shared" si="955"/>
        <v>99714</v>
      </c>
      <c r="AW1982" s="99">
        <f t="shared" si="956"/>
        <v>0</v>
      </c>
      <c r="AX1982" s="1">
        <f t="shared" si="957"/>
        <v>0</v>
      </c>
      <c r="AY1982" s="29">
        <f t="shared" si="958"/>
        <v>0</v>
      </c>
      <c r="AZ1982" s="1">
        <f t="shared" si="940"/>
        <v>0</v>
      </c>
      <c r="CB1982" s="20">
        <f t="shared" si="949"/>
        <v>0</v>
      </c>
      <c r="CC1982" s="173">
        <f t="shared" si="941"/>
        <v>0</v>
      </c>
    </row>
    <row r="1983" spans="10:81" x14ac:dyDescent="0.25">
      <c r="J1983" s="7"/>
      <c r="K1983" s="8"/>
      <c r="L1983" s="16"/>
      <c r="M1983" s="22"/>
      <c r="N1983" s="22"/>
      <c r="O1983" s="22"/>
      <c r="P1983" s="22"/>
      <c r="Q1983" s="1">
        <f t="shared" si="942"/>
        <v>0.60744618579017706</v>
      </c>
      <c r="R1983" s="12">
        <f t="shared" ca="1" si="959"/>
        <v>58592</v>
      </c>
      <c r="S1983" s="88">
        <f t="shared" si="938"/>
        <v>0</v>
      </c>
      <c r="T1983" s="19">
        <f t="shared" si="960"/>
        <v>0</v>
      </c>
      <c r="U1983" s="19">
        <f t="shared" si="961"/>
        <v>0</v>
      </c>
      <c r="V1983" s="19">
        <f t="shared" si="947"/>
        <v>0</v>
      </c>
      <c r="W1983" s="20">
        <f t="shared" ca="1" si="962"/>
        <v>0</v>
      </c>
      <c r="X1983" s="19">
        <f t="shared" ca="1" si="963"/>
        <v>0</v>
      </c>
      <c r="Y1983" s="19">
        <f t="shared" ca="1" si="964"/>
        <v>0</v>
      </c>
      <c r="Z1983" s="20">
        <f t="shared" ca="1" si="965"/>
        <v>0</v>
      </c>
      <c r="AA1983" s="1">
        <f t="shared" si="943"/>
        <v>5432.58</v>
      </c>
      <c r="AB1983" s="91"/>
      <c r="AC1983" s="92"/>
      <c r="AD1983" s="101">
        <f t="shared" si="944"/>
        <v>99714</v>
      </c>
      <c r="AE1983" s="103">
        <f t="shared" si="945"/>
        <v>0</v>
      </c>
      <c r="AG1983" s="1">
        <f t="shared" si="966"/>
        <v>0</v>
      </c>
      <c r="AH1983" s="1">
        <f t="shared" si="967"/>
        <v>0</v>
      </c>
      <c r="AI1983" s="1">
        <f t="shared" si="946"/>
        <v>5432.58</v>
      </c>
      <c r="AJ1983" s="20">
        <f t="shared" si="948"/>
        <v>0</v>
      </c>
      <c r="AK1983" s="100">
        <f t="shared" si="950"/>
        <v>0</v>
      </c>
      <c r="AL1983" s="100">
        <f t="shared" si="951"/>
        <v>0</v>
      </c>
      <c r="AN1983" s="100">
        <f t="shared" si="952"/>
        <v>2020.893119969679</v>
      </c>
      <c r="AO1983" s="20">
        <f t="shared" si="953"/>
        <v>0</v>
      </c>
      <c r="AQ1983" s="109">
        <f t="shared" si="954"/>
        <v>0</v>
      </c>
      <c r="AU1983" s="109">
        <f t="shared" si="939"/>
        <v>22.796106642924482</v>
      </c>
      <c r="AV1983" s="101">
        <f t="shared" si="955"/>
        <v>99744</v>
      </c>
      <c r="AW1983" s="99">
        <f t="shared" si="956"/>
        <v>0</v>
      </c>
      <c r="AX1983" s="1">
        <f t="shared" si="957"/>
        <v>0</v>
      </c>
      <c r="AY1983" s="29">
        <f t="shared" si="958"/>
        <v>0</v>
      </c>
      <c r="AZ1983" s="1">
        <f t="shared" si="940"/>
        <v>0</v>
      </c>
      <c r="CB1983" s="20">
        <f t="shared" si="949"/>
        <v>0</v>
      </c>
      <c r="CC1983" s="173">
        <f t="shared" si="941"/>
        <v>0</v>
      </c>
    </row>
    <row r="1984" spans="10:81" x14ac:dyDescent="0.25">
      <c r="J1984" s="9"/>
      <c r="K1984" s="10"/>
      <c r="L1984" s="17"/>
      <c r="M1984" s="23"/>
      <c r="N1984" s="23"/>
      <c r="O1984" s="23"/>
      <c r="P1984" s="23"/>
      <c r="Q1984" s="1">
        <f t="shared" si="942"/>
        <v>0.60744618579017706</v>
      </c>
      <c r="R1984" s="12">
        <f t="shared" ca="1" si="959"/>
        <v>58622</v>
      </c>
      <c r="S1984" s="88">
        <f t="shared" si="938"/>
        <v>0</v>
      </c>
      <c r="T1984" s="19">
        <f t="shared" si="960"/>
        <v>0</v>
      </c>
      <c r="U1984" s="19">
        <f t="shared" si="961"/>
        <v>0</v>
      </c>
      <c r="V1984" s="19">
        <f t="shared" si="947"/>
        <v>0</v>
      </c>
      <c r="W1984" s="20">
        <f t="shared" ca="1" si="962"/>
        <v>0</v>
      </c>
      <c r="X1984" s="19">
        <f t="shared" ca="1" si="963"/>
        <v>0</v>
      </c>
      <c r="Y1984" s="19">
        <f t="shared" ca="1" si="964"/>
        <v>0</v>
      </c>
      <c r="Z1984" s="20">
        <f t="shared" ca="1" si="965"/>
        <v>0</v>
      </c>
      <c r="AA1984" s="1">
        <f t="shared" si="943"/>
        <v>5432.58</v>
      </c>
      <c r="AB1984" s="93"/>
      <c r="AC1984" s="94"/>
      <c r="AD1984" s="101">
        <f t="shared" si="944"/>
        <v>99744</v>
      </c>
      <c r="AE1984" s="103">
        <f t="shared" si="945"/>
        <v>0</v>
      </c>
      <c r="AG1984" s="1">
        <f t="shared" si="966"/>
        <v>0</v>
      </c>
      <c r="AH1984" s="1">
        <f t="shared" si="967"/>
        <v>0</v>
      </c>
      <c r="AI1984" s="1">
        <f t="shared" si="946"/>
        <v>5432.58</v>
      </c>
      <c r="AJ1984" s="20">
        <f t="shared" si="948"/>
        <v>0</v>
      </c>
      <c r="AK1984" s="100">
        <f t="shared" si="950"/>
        <v>0</v>
      </c>
      <c r="AL1984" s="100">
        <f t="shared" si="951"/>
        <v>0</v>
      </c>
      <c r="AN1984" s="100">
        <f t="shared" si="952"/>
        <v>2019.8706510340453</v>
      </c>
      <c r="AO1984" s="20">
        <f t="shared" si="953"/>
        <v>0</v>
      </c>
      <c r="AQ1984" s="109">
        <f t="shared" si="954"/>
        <v>0</v>
      </c>
      <c r="AU1984" s="109">
        <f t="shared" si="939"/>
        <v>22.794105826968558</v>
      </c>
      <c r="AV1984" s="101">
        <f t="shared" si="955"/>
        <v>99774</v>
      </c>
      <c r="AW1984" s="99">
        <f t="shared" si="956"/>
        <v>0</v>
      </c>
      <c r="AX1984" s="1">
        <f t="shared" si="957"/>
        <v>0</v>
      </c>
      <c r="AY1984" s="29">
        <f t="shared" si="958"/>
        <v>0</v>
      </c>
      <c r="AZ1984" s="1">
        <f t="shared" si="940"/>
        <v>0</v>
      </c>
      <c r="CB1984" s="20">
        <f t="shared" si="949"/>
        <v>0</v>
      </c>
      <c r="CC1984" s="173">
        <f t="shared" si="941"/>
        <v>0</v>
      </c>
    </row>
    <row r="1985" spans="10:81" x14ac:dyDescent="0.25">
      <c r="J1985" s="7"/>
      <c r="K1985" s="8"/>
      <c r="L1985" s="16"/>
      <c r="M1985" s="22"/>
      <c r="N1985" s="22"/>
      <c r="O1985" s="22"/>
      <c r="P1985" s="22"/>
      <c r="Q1985" s="1">
        <f t="shared" si="942"/>
        <v>0.60744618579017706</v>
      </c>
      <c r="R1985" s="12">
        <f t="shared" ca="1" si="959"/>
        <v>58652</v>
      </c>
      <c r="S1985" s="88">
        <f t="shared" si="938"/>
        <v>0</v>
      </c>
      <c r="T1985" s="19">
        <f t="shared" si="960"/>
        <v>0</v>
      </c>
      <c r="U1985" s="19">
        <f t="shared" si="961"/>
        <v>0</v>
      </c>
      <c r="V1985" s="19">
        <f t="shared" si="947"/>
        <v>0</v>
      </c>
      <c r="W1985" s="20">
        <f t="shared" ca="1" si="962"/>
        <v>0</v>
      </c>
      <c r="X1985" s="19">
        <f t="shared" ca="1" si="963"/>
        <v>0</v>
      </c>
      <c r="Y1985" s="19">
        <f t="shared" ca="1" si="964"/>
        <v>0</v>
      </c>
      <c r="Z1985" s="20">
        <f t="shared" ca="1" si="965"/>
        <v>0</v>
      </c>
      <c r="AA1985" s="1">
        <f t="shared" si="943"/>
        <v>5432.58</v>
      </c>
      <c r="AB1985" s="91"/>
      <c r="AC1985" s="92"/>
      <c r="AD1985" s="101">
        <f t="shared" si="944"/>
        <v>99774</v>
      </c>
      <c r="AE1985" s="103">
        <f t="shared" si="945"/>
        <v>0</v>
      </c>
      <c r="AG1985" s="1">
        <f t="shared" si="966"/>
        <v>0</v>
      </c>
      <c r="AH1985" s="1">
        <f t="shared" si="967"/>
        <v>0</v>
      </c>
      <c r="AI1985" s="1">
        <f t="shared" si="946"/>
        <v>5432.58</v>
      </c>
      <c r="AJ1985" s="20">
        <f t="shared" si="948"/>
        <v>0</v>
      </c>
      <c r="AK1985" s="100">
        <f t="shared" si="950"/>
        <v>0</v>
      </c>
      <c r="AL1985" s="100">
        <f t="shared" si="951"/>
        <v>0</v>
      </c>
      <c r="AN1985" s="100">
        <f t="shared" si="952"/>
        <v>2018.848699415589</v>
      </c>
      <c r="AO1985" s="20">
        <f t="shared" si="953"/>
        <v>0</v>
      </c>
      <c r="AQ1985" s="109">
        <f t="shared" si="954"/>
        <v>0</v>
      </c>
      <c r="AU1985" s="109">
        <f t="shared" si="939"/>
        <v>22.792105186624404</v>
      </c>
      <c r="AV1985" s="101">
        <f t="shared" si="955"/>
        <v>99804</v>
      </c>
      <c r="AW1985" s="99">
        <f t="shared" si="956"/>
        <v>0</v>
      </c>
      <c r="AX1985" s="1">
        <f t="shared" si="957"/>
        <v>0</v>
      </c>
      <c r="AY1985" s="29">
        <f t="shared" si="958"/>
        <v>0</v>
      </c>
      <c r="AZ1985" s="1">
        <f t="shared" si="940"/>
        <v>0</v>
      </c>
      <c r="CB1985" s="20">
        <f t="shared" si="949"/>
        <v>0</v>
      </c>
      <c r="CC1985" s="173">
        <f t="shared" si="941"/>
        <v>0</v>
      </c>
    </row>
    <row r="1986" spans="10:81" x14ac:dyDescent="0.25">
      <c r="J1986" s="9"/>
      <c r="K1986" s="10"/>
      <c r="L1986" s="17"/>
      <c r="M1986" s="23"/>
      <c r="N1986" s="23"/>
      <c r="O1986" s="23"/>
      <c r="P1986" s="23"/>
      <c r="Q1986" s="1">
        <f t="shared" si="942"/>
        <v>0.60744618579017706</v>
      </c>
      <c r="R1986" s="12">
        <f t="shared" ca="1" si="959"/>
        <v>58682</v>
      </c>
      <c r="S1986" s="88">
        <f t="shared" si="938"/>
        <v>0</v>
      </c>
      <c r="T1986" s="19">
        <f t="shared" si="960"/>
        <v>0</v>
      </c>
      <c r="U1986" s="19">
        <f t="shared" si="961"/>
        <v>0</v>
      </c>
      <c r="V1986" s="19">
        <f t="shared" si="947"/>
        <v>0</v>
      </c>
      <c r="W1986" s="20">
        <f t="shared" ca="1" si="962"/>
        <v>0</v>
      </c>
      <c r="X1986" s="19">
        <f t="shared" ca="1" si="963"/>
        <v>0</v>
      </c>
      <c r="Y1986" s="19">
        <f t="shared" ca="1" si="964"/>
        <v>0</v>
      </c>
      <c r="Z1986" s="20">
        <f t="shared" ca="1" si="965"/>
        <v>0</v>
      </c>
      <c r="AA1986" s="1">
        <f t="shared" si="943"/>
        <v>5432.58</v>
      </c>
      <c r="AB1986" s="93"/>
      <c r="AC1986" s="94"/>
      <c r="AD1986" s="101">
        <f t="shared" si="944"/>
        <v>99804</v>
      </c>
      <c r="AE1986" s="103">
        <f t="shared" si="945"/>
        <v>0</v>
      </c>
      <c r="AG1986" s="1">
        <f t="shared" si="966"/>
        <v>0</v>
      </c>
      <c r="AH1986" s="1">
        <f t="shared" si="967"/>
        <v>0</v>
      </c>
      <c r="AI1986" s="1">
        <f t="shared" si="946"/>
        <v>5432.58</v>
      </c>
      <c r="AJ1986" s="20">
        <f t="shared" si="948"/>
        <v>0</v>
      </c>
      <c r="AK1986" s="100">
        <f t="shared" si="950"/>
        <v>0</v>
      </c>
      <c r="AL1986" s="100">
        <f t="shared" si="951"/>
        <v>0</v>
      </c>
      <c r="AN1986" s="100">
        <f t="shared" si="952"/>
        <v>2017.827264852574</v>
      </c>
      <c r="AO1986" s="20">
        <f t="shared" si="953"/>
        <v>0</v>
      </c>
      <c r="AQ1986" s="109">
        <f t="shared" si="954"/>
        <v>0</v>
      </c>
      <c r="AU1986" s="109">
        <f t="shared" si="939"/>
        <v>22.790104721876602</v>
      </c>
      <c r="AV1986" s="101">
        <f t="shared" si="955"/>
        <v>99834</v>
      </c>
      <c r="AW1986" s="99">
        <f t="shared" si="956"/>
        <v>0</v>
      </c>
      <c r="AX1986" s="1">
        <f t="shared" si="957"/>
        <v>0</v>
      </c>
      <c r="AY1986" s="29">
        <f t="shared" si="958"/>
        <v>0</v>
      </c>
      <c r="AZ1986" s="1">
        <f t="shared" si="940"/>
        <v>0</v>
      </c>
      <c r="CB1986" s="20">
        <f t="shared" si="949"/>
        <v>0</v>
      </c>
      <c r="CC1986" s="173">
        <f t="shared" si="941"/>
        <v>0</v>
      </c>
    </row>
    <row r="1987" spans="10:81" x14ac:dyDescent="0.25">
      <c r="J1987" s="7"/>
      <c r="K1987" s="8"/>
      <c r="L1987" s="16"/>
      <c r="M1987" s="22"/>
      <c r="N1987" s="22"/>
      <c r="O1987" s="22"/>
      <c r="P1987" s="22"/>
      <c r="Q1987" s="1">
        <f t="shared" si="942"/>
        <v>0.60744618579017706</v>
      </c>
      <c r="R1987" s="12">
        <f t="shared" ca="1" si="959"/>
        <v>58712</v>
      </c>
      <c r="S1987" s="88">
        <f t="shared" ref="S1987:S2000" si="968">N1987+M1987</f>
        <v>0</v>
      </c>
      <c r="T1987" s="19">
        <f t="shared" si="960"/>
        <v>0</v>
      </c>
      <c r="U1987" s="19">
        <f t="shared" si="961"/>
        <v>0</v>
      </c>
      <c r="V1987" s="19">
        <f t="shared" si="947"/>
        <v>0</v>
      </c>
      <c r="W1987" s="20">
        <f t="shared" ca="1" si="962"/>
        <v>0</v>
      </c>
      <c r="X1987" s="19">
        <f t="shared" ca="1" si="963"/>
        <v>0</v>
      </c>
      <c r="Y1987" s="19">
        <f t="shared" ca="1" si="964"/>
        <v>0</v>
      </c>
      <c r="Z1987" s="20">
        <f t="shared" ca="1" si="965"/>
        <v>0</v>
      </c>
      <c r="AA1987" s="1">
        <f t="shared" si="943"/>
        <v>5432.58</v>
      </c>
      <c r="AB1987" s="91"/>
      <c r="AC1987" s="92"/>
      <c r="AD1987" s="101">
        <f t="shared" si="944"/>
        <v>99834</v>
      </c>
      <c r="AE1987" s="103">
        <f t="shared" si="945"/>
        <v>0</v>
      </c>
      <c r="AG1987" s="1">
        <f t="shared" si="966"/>
        <v>0</v>
      </c>
      <c r="AH1987" s="1">
        <f t="shared" si="967"/>
        <v>0</v>
      </c>
      <c r="AI1987" s="1">
        <f t="shared" si="946"/>
        <v>5432.58</v>
      </c>
      <c r="AJ1987" s="20">
        <f t="shared" si="948"/>
        <v>0</v>
      </c>
      <c r="AK1987" s="100">
        <f t="shared" si="950"/>
        <v>0</v>
      </c>
      <c r="AL1987" s="100">
        <f t="shared" si="951"/>
        <v>0</v>
      </c>
      <c r="AN1987" s="100">
        <f t="shared" si="952"/>
        <v>2016.8063470833956</v>
      </c>
      <c r="AO1987" s="20">
        <f t="shared" si="953"/>
        <v>0</v>
      </c>
      <c r="AQ1987" s="109">
        <f t="shared" si="954"/>
        <v>0</v>
      </c>
      <c r="AU1987" s="109">
        <f t="shared" si="939"/>
        <v>22.78810443270973</v>
      </c>
      <c r="AV1987" s="101">
        <f t="shared" si="955"/>
        <v>99864</v>
      </c>
      <c r="AW1987" s="99">
        <f t="shared" si="956"/>
        <v>0</v>
      </c>
      <c r="AX1987" s="1">
        <f t="shared" si="957"/>
        <v>0</v>
      </c>
      <c r="AY1987" s="29">
        <f t="shared" si="958"/>
        <v>0</v>
      </c>
      <c r="AZ1987" s="1">
        <f t="shared" si="940"/>
        <v>0</v>
      </c>
      <c r="CB1987" s="20">
        <f t="shared" si="949"/>
        <v>0</v>
      </c>
      <c r="CC1987" s="173">
        <f t="shared" si="941"/>
        <v>0</v>
      </c>
    </row>
    <row r="1988" spans="10:81" x14ac:dyDescent="0.25">
      <c r="J1988" s="9"/>
      <c r="K1988" s="10"/>
      <c r="L1988" s="17"/>
      <c r="M1988" s="23"/>
      <c r="N1988" s="23"/>
      <c r="O1988" s="23"/>
      <c r="P1988" s="23"/>
      <c r="Q1988" s="1">
        <f t="shared" si="942"/>
        <v>0.60744618579017706</v>
      </c>
      <c r="R1988" s="12">
        <f t="shared" ca="1" si="959"/>
        <v>58742</v>
      </c>
      <c r="S1988" s="88">
        <f t="shared" si="968"/>
        <v>0</v>
      </c>
      <c r="T1988" s="19">
        <f t="shared" si="960"/>
        <v>0</v>
      </c>
      <c r="U1988" s="19">
        <f t="shared" si="961"/>
        <v>0</v>
      </c>
      <c r="V1988" s="19">
        <f t="shared" si="947"/>
        <v>0</v>
      </c>
      <c r="W1988" s="20">
        <f t="shared" ca="1" si="962"/>
        <v>0</v>
      </c>
      <c r="X1988" s="19">
        <f t="shared" ca="1" si="963"/>
        <v>0</v>
      </c>
      <c r="Y1988" s="19">
        <f t="shared" ca="1" si="964"/>
        <v>0</v>
      </c>
      <c r="Z1988" s="20">
        <f t="shared" ca="1" si="965"/>
        <v>0</v>
      </c>
      <c r="AA1988" s="1">
        <f t="shared" si="943"/>
        <v>5432.58</v>
      </c>
      <c r="AB1988" s="93"/>
      <c r="AC1988" s="94"/>
      <c r="AD1988" s="101">
        <f t="shared" si="944"/>
        <v>99864</v>
      </c>
      <c r="AE1988" s="103">
        <f t="shared" si="945"/>
        <v>0</v>
      </c>
      <c r="AG1988" s="1">
        <f t="shared" si="966"/>
        <v>0</v>
      </c>
      <c r="AH1988" s="1">
        <f t="shared" si="967"/>
        <v>0</v>
      </c>
      <c r="AI1988" s="1">
        <f t="shared" si="946"/>
        <v>5432.58</v>
      </c>
      <c r="AJ1988" s="20">
        <f t="shared" si="948"/>
        <v>0</v>
      </c>
      <c r="AK1988" s="100">
        <f t="shared" si="950"/>
        <v>0</v>
      </c>
      <c r="AL1988" s="100">
        <f t="shared" si="951"/>
        <v>0</v>
      </c>
      <c r="AN1988" s="100">
        <f t="shared" si="952"/>
        <v>2015.7859458465837</v>
      </c>
      <c r="AO1988" s="20">
        <f t="shared" si="953"/>
        <v>0</v>
      </c>
      <c r="AQ1988" s="109">
        <f t="shared" si="954"/>
        <v>0</v>
      </c>
      <c r="AU1988" s="109">
        <f t="shared" si="939"/>
        <v>22.786104319108389</v>
      </c>
      <c r="AV1988" s="101">
        <f t="shared" si="955"/>
        <v>99894</v>
      </c>
      <c r="AW1988" s="99">
        <f t="shared" si="956"/>
        <v>0</v>
      </c>
      <c r="AX1988" s="1">
        <f t="shared" si="957"/>
        <v>0</v>
      </c>
      <c r="AY1988" s="29">
        <f t="shared" si="958"/>
        <v>0</v>
      </c>
      <c r="AZ1988" s="1">
        <f t="shared" si="940"/>
        <v>0</v>
      </c>
      <c r="CB1988" s="20">
        <f t="shared" si="949"/>
        <v>0</v>
      </c>
      <c r="CC1988" s="173">
        <f t="shared" si="941"/>
        <v>0</v>
      </c>
    </row>
    <row r="1989" spans="10:81" x14ac:dyDescent="0.25">
      <c r="J1989" s="7"/>
      <c r="K1989" s="8"/>
      <c r="L1989" s="16"/>
      <c r="M1989" s="22"/>
      <c r="N1989" s="22"/>
      <c r="O1989" s="22"/>
      <c r="P1989" s="22"/>
      <c r="Q1989" s="1">
        <f t="shared" si="942"/>
        <v>0.60744618579017706</v>
      </c>
      <c r="R1989" s="12">
        <f t="shared" ca="1" si="959"/>
        <v>58772</v>
      </c>
      <c r="S1989" s="88">
        <f t="shared" si="968"/>
        <v>0</v>
      </c>
      <c r="T1989" s="19">
        <f t="shared" si="960"/>
        <v>0</v>
      </c>
      <c r="U1989" s="19">
        <f t="shared" si="961"/>
        <v>0</v>
      </c>
      <c r="V1989" s="19">
        <f t="shared" si="947"/>
        <v>0</v>
      </c>
      <c r="W1989" s="20">
        <f t="shared" ca="1" si="962"/>
        <v>0</v>
      </c>
      <c r="X1989" s="19">
        <f t="shared" ca="1" si="963"/>
        <v>0</v>
      </c>
      <c r="Y1989" s="19">
        <f t="shared" ca="1" si="964"/>
        <v>0</v>
      </c>
      <c r="Z1989" s="20">
        <f t="shared" ca="1" si="965"/>
        <v>0</v>
      </c>
      <c r="AA1989" s="1">
        <f t="shared" si="943"/>
        <v>5432.58</v>
      </c>
      <c r="AB1989" s="91"/>
      <c r="AC1989" s="92"/>
      <c r="AD1989" s="101">
        <f t="shared" si="944"/>
        <v>99894</v>
      </c>
      <c r="AE1989" s="103">
        <f t="shared" si="945"/>
        <v>0</v>
      </c>
      <c r="AG1989" s="1">
        <f t="shared" si="966"/>
        <v>0</v>
      </c>
      <c r="AH1989" s="1">
        <f t="shared" si="967"/>
        <v>0</v>
      </c>
      <c r="AI1989" s="1">
        <f t="shared" si="946"/>
        <v>5432.58</v>
      </c>
      <c r="AJ1989" s="20">
        <f t="shared" si="948"/>
        <v>0</v>
      </c>
      <c r="AK1989" s="100">
        <f t="shared" si="950"/>
        <v>0</v>
      </c>
      <c r="AL1989" s="100">
        <f t="shared" si="951"/>
        <v>0</v>
      </c>
      <c r="AN1989" s="100">
        <f t="shared" si="952"/>
        <v>2014.7660608807985</v>
      </c>
      <c r="AO1989" s="20">
        <f t="shared" si="953"/>
        <v>0</v>
      </c>
      <c r="AQ1989" s="109">
        <f t="shared" si="954"/>
        <v>0</v>
      </c>
      <c r="AU1989" s="109">
        <f t="shared" si="939"/>
        <v>22.784104381057166</v>
      </c>
      <c r="AV1989" s="101">
        <f t="shared" si="955"/>
        <v>99924</v>
      </c>
      <c r="AW1989" s="99">
        <f t="shared" si="956"/>
        <v>0</v>
      </c>
      <c r="AX1989" s="1">
        <f t="shared" si="957"/>
        <v>0</v>
      </c>
      <c r="AY1989" s="29">
        <f t="shared" si="958"/>
        <v>0</v>
      </c>
      <c r="AZ1989" s="1">
        <f t="shared" si="940"/>
        <v>0</v>
      </c>
      <c r="CB1989" s="20">
        <f t="shared" si="949"/>
        <v>0</v>
      </c>
      <c r="CC1989" s="173">
        <f t="shared" si="941"/>
        <v>0</v>
      </c>
    </row>
    <row r="1990" spans="10:81" x14ac:dyDescent="0.25">
      <c r="J1990" s="9"/>
      <c r="K1990" s="10"/>
      <c r="L1990" s="17"/>
      <c r="M1990" s="23"/>
      <c r="N1990" s="23"/>
      <c r="O1990" s="23"/>
      <c r="P1990" s="23"/>
      <c r="Q1990" s="1">
        <f t="shared" si="942"/>
        <v>0.60744618579017706</v>
      </c>
      <c r="R1990" s="12">
        <f t="shared" ca="1" si="959"/>
        <v>58802</v>
      </c>
      <c r="S1990" s="88">
        <f t="shared" si="968"/>
        <v>0</v>
      </c>
      <c r="T1990" s="19">
        <f t="shared" si="960"/>
        <v>0</v>
      </c>
      <c r="U1990" s="19">
        <f t="shared" si="961"/>
        <v>0</v>
      </c>
      <c r="V1990" s="19">
        <f t="shared" si="947"/>
        <v>0</v>
      </c>
      <c r="W1990" s="20">
        <f t="shared" ca="1" si="962"/>
        <v>0</v>
      </c>
      <c r="X1990" s="19">
        <f t="shared" ca="1" si="963"/>
        <v>0</v>
      </c>
      <c r="Y1990" s="19">
        <f t="shared" ca="1" si="964"/>
        <v>0</v>
      </c>
      <c r="Z1990" s="20">
        <f t="shared" ca="1" si="965"/>
        <v>0</v>
      </c>
      <c r="AA1990" s="1">
        <f t="shared" si="943"/>
        <v>5432.58</v>
      </c>
      <c r="AB1990" s="93"/>
      <c r="AC1990" s="94"/>
      <c r="AD1990" s="101">
        <f t="shared" si="944"/>
        <v>99924</v>
      </c>
      <c r="AE1990" s="103">
        <f t="shared" si="945"/>
        <v>0</v>
      </c>
      <c r="AG1990" s="1">
        <f t="shared" si="966"/>
        <v>0</v>
      </c>
      <c r="AH1990" s="1">
        <f t="shared" si="967"/>
        <v>0</v>
      </c>
      <c r="AI1990" s="1">
        <f t="shared" si="946"/>
        <v>5432.58</v>
      </c>
      <c r="AJ1990" s="20">
        <f t="shared" si="948"/>
        <v>0</v>
      </c>
      <c r="AK1990" s="100">
        <f t="shared" si="950"/>
        <v>0</v>
      </c>
      <c r="AL1990" s="100">
        <f t="shared" si="951"/>
        <v>0</v>
      </c>
      <c r="AN1990" s="100">
        <f t="shared" si="952"/>
        <v>2013.7466919248341</v>
      </c>
      <c r="AO1990" s="20">
        <f t="shared" si="953"/>
        <v>0</v>
      </c>
      <c r="AQ1990" s="109">
        <f t="shared" si="954"/>
        <v>0</v>
      </c>
      <c r="AU1990" s="109">
        <f t="shared" si="939"/>
        <v>22.782104618540657</v>
      </c>
      <c r="AV1990" s="101">
        <f t="shared" si="955"/>
        <v>99954</v>
      </c>
      <c r="AW1990" s="99">
        <f t="shared" si="956"/>
        <v>0</v>
      </c>
      <c r="AX1990" s="1">
        <f t="shared" si="957"/>
        <v>0</v>
      </c>
      <c r="AY1990" s="29">
        <f t="shared" si="958"/>
        <v>0</v>
      </c>
      <c r="AZ1990" s="1">
        <f t="shared" si="940"/>
        <v>0</v>
      </c>
      <c r="CB1990" s="20">
        <f t="shared" si="949"/>
        <v>0</v>
      </c>
      <c r="CC1990" s="173">
        <f t="shared" si="941"/>
        <v>0</v>
      </c>
    </row>
    <row r="1991" spans="10:81" x14ac:dyDescent="0.25">
      <c r="J1991" s="7"/>
      <c r="K1991" s="8"/>
      <c r="L1991" s="16"/>
      <c r="M1991" s="22"/>
      <c r="N1991" s="22"/>
      <c r="O1991" s="22"/>
      <c r="P1991" s="22"/>
      <c r="Q1991" s="1">
        <f t="shared" si="942"/>
        <v>0.60744618579017706</v>
      </c>
      <c r="R1991" s="12">
        <f t="shared" ca="1" si="959"/>
        <v>58832</v>
      </c>
      <c r="S1991" s="88">
        <f t="shared" si="968"/>
        <v>0</v>
      </c>
      <c r="T1991" s="19">
        <f t="shared" si="960"/>
        <v>0</v>
      </c>
      <c r="U1991" s="19">
        <f t="shared" si="961"/>
        <v>0</v>
      </c>
      <c r="V1991" s="19">
        <f t="shared" si="947"/>
        <v>0</v>
      </c>
      <c r="W1991" s="20">
        <f t="shared" ca="1" si="962"/>
        <v>0</v>
      </c>
      <c r="X1991" s="19">
        <f t="shared" ca="1" si="963"/>
        <v>0</v>
      </c>
      <c r="Y1991" s="19">
        <f t="shared" ca="1" si="964"/>
        <v>0</v>
      </c>
      <c r="Z1991" s="20">
        <f t="shared" ca="1" si="965"/>
        <v>0</v>
      </c>
      <c r="AA1991" s="1">
        <f t="shared" si="943"/>
        <v>5432.58</v>
      </c>
      <c r="AB1991" s="91"/>
      <c r="AC1991" s="92"/>
      <c r="AD1991" s="101">
        <f t="shared" si="944"/>
        <v>99954</v>
      </c>
      <c r="AE1991" s="103">
        <f t="shared" si="945"/>
        <v>0</v>
      </c>
      <c r="AG1991" s="1">
        <f t="shared" si="966"/>
        <v>0</v>
      </c>
      <c r="AH1991" s="1">
        <f t="shared" si="967"/>
        <v>0</v>
      </c>
      <c r="AI1991" s="1">
        <f t="shared" si="946"/>
        <v>5432.58</v>
      </c>
      <c r="AJ1991" s="20">
        <f t="shared" si="948"/>
        <v>0</v>
      </c>
      <c r="AK1991" s="100">
        <f t="shared" si="950"/>
        <v>0</v>
      </c>
      <c r="AL1991" s="100">
        <f t="shared" si="951"/>
        <v>0</v>
      </c>
      <c r="AN1991" s="100">
        <f t="shared" si="952"/>
        <v>2012.727838717615</v>
      </c>
      <c r="AO1991" s="20">
        <f t="shared" si="953"/>
        <v>0</v>
      </c>
      <c r="AQ1991" s="109">
        <f t="shared" si="954"/>
        <v>0</v>
      </c>
      <c r="AU1991" s="109">
        <f t="shared" si="939"/>
        <v>22.780105031543435</v>
      </c>
      <c r="AV1991" s="101">
        <f t="shared" si="955"/>
        <v>99984</v>
      </c>
      <c r="AW1991" s="99">
        <f t="shared" si="956"/>
        <v>0</v>
      </c>
      <c r="AX1991" s="1">
        <f t="shared" si="957"/>
        <v>0</v>
      </c>
      <c r="AY1991" s="29">
        <f t="shared" si="958"/>
        <v>0</v>
      </c>
      <c r="AZ1991" s="1">
        <f t="shared" si="940"/>
        <v>0</v>
      </c>
      <c r="CB1991" s="20">
        <f t="shared" si="949"/>
        <v>0</v>
      </c>
      <c r="CC1991" s="173">
        <f t="shared" si="941"/>
        <v>0</v>
      </c>
    </row>
    <row r="1992" spans="10:81" x14ac:dyDescent="0.25">
      <c r="J1992" s="9"/>
      <c r="K1992" s="10"/>
      <c r="L1992" s="17"/>
      <c r="M1992" s="23"/>
      <c r="N1992" s="23"/>
      <c r="O1992" s="23"/>
      <c r="P1992" s="23"/>
      <c r="Q1992" s="1">
        <f t="shared" si="942"/>
        <v>0.60744618579017706</v>
      </c>
      <c r="R1992" s="12">
        <f t="shared" ca="1" si="959"/>
        <v>58862</v>
      </c>
      <c r="S1992" s="88">
        <f t="shared" si="968"/>
        <v>0</v>
      </c>
      <c r="T1992" s="19">
        <f t="shared" si="960"/>
        <v>0</v>
      </c>
      <c r="U1992" s="19">
        <f t="shared" si="961"/>
        <v>0</v>
      </c>
      <c r="V1992" s="19">
        <f t="shared" si="947"/>
        <v>0</v>
      </c>
      <c r="W1992" s="20">
        <f t="shared" ca="1" si="962"/>
        <v>0</v>
      </c>
      <c r="X1992" s="19">
        <f t="shared" ca="1" si="963"/>
        <v>0</v>
      </c>
      <c r="Y1992" s="19">
        <f t="shared" ca="1" si="964"/>
        <v>0</v>
      </c>
      <c r="Z1992" s="20">
        <f t="shared" ca="1" si="965"/>
        <v>0</v>
      </c>
      <c r="AA1992" s="1">
        <f t="shared" si="943"/>
        <v>5432.58</v>
      </c>
      <c r="AB1992" s="93"/>
      <c r="AC1992" s="94"/>
      <c r="AD1992" s="101">
        <f t="shared" si="944"/>
        <v>99984</v>
      </c>
      <c r="AE1992" s="103">
        <f t="shared" si="945"/>
        <v>0</v>
      </c>
      <c r="AG1992" s="1">
        <f t="shared" si="966"/>
        <v>0</v>
      </c>
      <c r="AH1992" s="1">
        <f t="shared" si="967"/>
        <v>0</v>
      </c>
      <c r="AI1992" s="1">
        <f t="shared" si="946"/>
        <v>5432.58</v>
      </c>
      <c r="AJ1992" s="20">
        <f t="shared" si="948"/>
        <v>0</v>
      </c>
      <c r="AK1992" s="100">
        <f t="shared" si="950"/>
        <v>0</v>
      </c>
      <c r="AL1992" s="100">
        <f t="shared" si="951"/>
        <v>0</v>
      </c>
      <c r="AN1992" s="100">
        <f t="shared" si="952"/>
        <v>2011.7095009981992</v>
      </c>
      <c r="AO1992" s="20">
        <f t="shared" si="953"/>
        <v>0</v>
      </c>
      <c r="AQ1992" s="109">
        <f t="shared" si="954"/>
        <v>0</v>
      </c>
      <c r="AU1992" s="109">
        <f t="shared" si="939"/>
        <v>22.778105620050127</v>
      </c>
      <c r="AV1992" s="101">
        <f t="shared" si="955"/>
        <v>100014</v>
      </c>
      <c r="AW1992" s="99">
        <f t="shared" si="956"/>
        <v>0</v>
      </c>
      <c r="AX1992" s="1">
        <f t="shared" si="957"/>
        <v>0</v>
      </c>
      <c r="AY1992" s="29">
        <f t="shared" si="958"/>
        <v>0</v>
      </c>
      <c r="AZ1992" s="1">
        <f t="shared" si="940"/>
        <v>0</v>
      </c>
      <c r="CB1992" s="20">
        <f t="shared" si="949"/>
        <v>0</v>
      </c>
      <c r="CC1992" s="173">
        <f t="shared" si="941"/>
        <v>0</v>
      </c>
    </row>
    <row r="1993" spans="10:81" x14ac:dyDescent="0.25">
      <c r="J1993" s="7"/>
      <c r="K1993" s="8"/>
      <c r="L1993" s="16"/>
      <c r="M1993" s="22"/>
      <c r="N1993" s="22"/>
      <c r="O1993" s="22"/>
      <c r="P1993" s="22"/>
      <c r="Q1993" s="1">
        <f t="shared" si="942"/>
        <v>0.60744618579017706</v>
      </c>
      <c r="R1993" s="12">
        <f t="shared" ca="1" si="959"/>
        <v>58892</v>
      </c>
      <c r="S1993" s="88">
        <f t="shared" si="968"/>
        <v>0</v>
      </c>
      <c r="T1993" s="19">
        <f t="shared" si="960"/>
        <v>0</v>
      </c>
      <c r="U1993" s="19">
        <f t="shared" si="961"/>
        <v>0</v>
      </c>
      <c r="V1993" s="19">
        <f t="shared" si="947"/>
        <v>0</v>
      </c>
      <c r="W1993" s="20">
        <f t="shared" ca="1" si="962"/>
        <v>0</v>
      </c>
      <c r="X1993" s="19">
        <f t="shared" ca="1" si="963"/>
        <v>0</v>
      </c>
      <c r="Y1993" s="19">
        <f t="shared" ca="1" si="964"/>
        <v>0</v>
      </c>
      <c r="Z1993" s="20">
        <f t="shared" ca="1" si="965"/>
        <v>0</v>
      </c>
      <c r="AA1993" s="1">
        <f t="shared" si="943"/>
        <v>5432.58</v>
      </c>
      <c r="AB1993" s="91"/>
      <c r="AC1993" s="92"/>
      <c r="AD1993" s="101">
        <f t="shared" si="944"/>
        <v>100014</v>
      </c>
      <c r="AE1993" s="103">
        <f t="shared" si="945"/>
        <v>0</v>
      </c>
      <c r="AG1993" s="1">
        <f t="shared" si="966"/>
        <v>0</v>
      </c>
      <c r="AH1993" s="1">
        <f t="shared" si="967"/>
        <v>0</v>
      </c>
      <c r="AI1993" s="1">
        <f t="shared" si="946"/>
        <v>5432.58</v>
      </c>
      <c r="AJ1993" s="20">
        <f t="shared" si="948"/>
        <v>0</v>
      </c>
      <c r="AK1993" s="100">
        <f t="shared" si="950"/>
        <v>0</v>
      </c>
      <c r="AL1993" s="100">
        <f t="shared" si="951"/>
        <v>0</v>
      </c>
      <c r="AN1993" s="100">
        <f t="shared" si="952"/>
        <v>2010.6916785057749</v>
      </c>
      <c r="AO1993" s="20">
        <f t="shared" si="953"/>
        <v>0</v>
      </c>
      <c r="AQ1993" s="109">
        <f t="shared" si="954"/>
        <v>0</v>
      </c>
      <c r="AU1993" s="109">
        <f t="shared" si="939"/>
        <v>22.776106384045317</v>
      </c>
      <c r="AV1993" s="101">
        <f t="shared" si="955"/>
        <v>100044</v>
      </c>
      <c r="AW1993" s="99">
        <f t="shared" si="956"/>
        <v>0</v>
      </c>
      <c r="AX1993" s="1">
        <f t="shared" si="957"/>
        <v>0</v>
      </c>
      <c r="AY1993" s="29">
        <f t="shared" si="958"/>
        <v>0</v>
      </c>
      <c r="AZ1993" s="1">
        <f t="shared" si="940"/>
        <v>0</v>
      </c>
      <c r="CB1993" s="20">
        <f t="shared" si="949"/>
        <v>0</v>
      </c>
      <c r="CC1993" s="173">
        <f t="shared" si="941"/>
        <v>0</v>
      </c>
    </row>
    <row r="1994" spans="10:81" x14ac:dyDescent="0.25">
      <c r="J1994" s="9"/>
      <c r="K1994" s="10"/>
      <c r="L1994" s="17"/>
      <c r="M1994" s="23"/>
      <c r="N1994" s="23"/>
      <c r="O1994" s="23"/>
      <c r="P1994" s="23"/>
      <c r="Q1994" s="1">
        <f t="shared" si="942"/>
        <v>0.60744618579017706</v>
      </c>
      <c r="R1994" s="12">
        <f t="shared" ca="1" si="959"/>
        <v>58922</v>
      </c>
      <c r="S1994" s="88">
        <f t="shared" si="968"/>
        <v>0</v>
      </c>
      <c r="T1994" s="19">
        <f t="shared" si="960"/>
        <v>0</v>
      </c>
      <c r="U1994" s="19">
        <f t="shared" si="961"/>
        <v>0</v>
      </c>
      <c r="V1994" s="19">
        <f t="shared" si="947"/>
        <v>0</v>
      </c>
      <c r="W1994" s="20">
        <f t="shared" ca="1" si="962"/>
        <v>0</v>
      </c>
      <c r="X1994" s="19">
        <f t="shared" ca="1" si="963"/>
        <v>0</v>
      </c>
      <c r="Y1994" s="19">
        <f t="shared" ca="1" si="964"/>
        <v>0</v>
      </c>
      <c r="Z1994" s="20">
        <f t="shared" ca="1" si="965"/>
        <v>0</v>
      </c>
      <c r="AA1994" s="1">
        <f t="shared" si="943"/>
        <v>5432.58</v>
      </c>
      <c r="AB1994" s="93"/>
      <c r="AC1994" s="94"/>
      <c r="AD1994" s="101">
        <f t="shared" si="944"/>
        <v>100044</v>
      </c>
      <c r="AE1994" s="103">
        <f t="shared" si="945"/>
        <v>0</v>
      </c>
      <c r="AG1994" s="1">
        <f t="shared" si="966"/>
        <v>0</v>
      </c>
      <c r="AH1994" s="1">
        <f t="shared" si="967"/>
        <v>0</v>
      </c>
      <c r="AI1994" s="1">
        <f t="shared" si="946"/>
        <v>5432.58</v>
      </c>
      <c r="AJ1994" s="20">
        <f t="shared" si="948"/>
        <v>0</v>
      </c>
      <c r="AK1994" s="100">
        <f t="shared" si="950"/>
        <v>0</v>
      </c>
      <c r="AL1994" s="100">
        <f t="shared" si="951"/>
        <v>0</v>
      </c>
      <c r="AN1994" s="100">
        <f t="shared" si="952"/>
        <v>2009.6743709796651</v>
      </c>
      <c r="AO1994" s="20">
        <f t="shared" si="953"/>
        <v>0</v>
      </c>
      <c r="AQ1994" s="109">
        <f t="shared" si="954"/>
        <v>0</v>
      </c>
      <c r="AU1994" s="109">
        <f t="shared" si="939"/>
        <v>22.774107323513576</v>
      </c>
      <c r="AV1994" s="101">
        <f t="shared" si="955"/>
        <v>100074</v>
      </c>
      <c r="AW1994" s="99">
        <f t="shared" si="956"/>
        <v>0</v>
      </c>
      <c r="AX1994" s="1">
        <f t="shared" si="957"/>
        <v>0</v>
      </c>
      <c r="AY1994" s="29">
        <f t="shared" si="958"/>
        <v>0</v>
      </c>
      <c r="AZ1994" s="1">
        <f t="shared" si="940"/>
        <v>0</v>
      </c>
      <c r="CB1994" s="20">
        <f t="shared" si="949"/>
        <v>0</v>
      </c>
      <c r="CC1994" s="173">
        <f t="shared" si="941"/>
        <v>0</v>
      </c>
    </row>
    <row r="1995" spans="10:81" x14ac:dyDescent="0.25">
      <c r="J1995" s="7"/>
      <c r="K1995" s="8"/>
      <c r="L1995" s="16"/>
      <c r="M1995" s="22"/>
      <c r="N1995" s="22"/>
      <c r="O1995" s="22"/>
      <c r="P1995" s="22"/>
      <c r="Q1995" s="1">
        <f t="shared" si="942"/>
        <v>0.60744618579017706</v>
      </c>
      <c r="R1995" s="12">
        <f t="shared" ca="1" si="959"/>
        <v>58952</v>
      </c>
      <c r="S1995" s="88">
        <f t="shared" si="968"/>
        <v>0</v>
      </c>
      <c r="T1995" s="19">
        <f t="shared" si="960"/>
        <v>0</v>
      </c>
      <c r="U1995" s="19">
        <f t="shared" si="961"/>
        <v>0</v>
      </c>
      <c r="V1995" s="19">
        <f t="shared" si="947"/>
        <v>0</v>
      </c>
      <c r="W1995" s="20">
        <f t="shared" ca="1" si="962"/>
        <v>0</v>
      </c>
      <c r="X1995" s="19">
        <f t="shared" ca="1" si="963"/>
        <v>0</v>
      </c>
      <c r="Y1995" s="19">
        <f t="shared" ca="1" si="964"/>
        <v>0</v>
      </c>
      <c r="Z1995" s="20">
        <f t="shared" ca="1" si="965"/>
        <v>0</v>
      </c>
      <c r="AA1995" s="1">
        <f t="shared" si="943"/>
        <v>5432.58</v>
      </c>
      <c r="AB1995" s="91"/>
      <c r="AC1995" s="92"/>
      <c r="AD1995" s="101">
        <f t="shared" si="944"/>
        <v>100074</v>
      </c>
      <c r="AE1995" s="103">
        <f t="shared" si="945"/>
        <v>0</v>
      </c>
      <c r="AG1995" s="1">
        <f t="shared" si="966"/>
        <v>0</v>
      </c>
      <c r="AH1995" s="1">
        <f t="shared" si="967"/>
        <v>0</v>
      </c>
      <c r="AI1995" s="1">
        <f t="shared" si="946"/>
        <v>5432.58</v>
      </c>
      <c r="AJ1995" s="20">
        <f t="shared" si="948"/>
        <v>0</v>
      </c>
      <c r="AK1995" s="100">
        <f t="shared" si="950"/>
        <v>0</v>
      </c>
      <c r="AL1995" s="100">
        <f t="shared" si="951"/>
        <v>0</v>
      </c>
      <c r="AN1995" s="100">
        <f t="shared" si="952"/>
        <v>2008.6575781593217</v>
      </c>
      <c r="AO1995" s="20">
        <f t="shared" si="953"/>
        <v>0</v>
      </c>
      <c r="AQ1995" s="109">
        <f t="shared" si="954"/>
        <v>0</v>
      </c>
      <c r="AU1995" s="109">
        <f t="shared" si="939"/>
        <v>22.772108438439538</v>
      </c>
      <c r="AV1995" s="101">
        <f t="shared" si="955"/>
        <v>100104</v>
      </c>
      <c r="AW1995" s="99">
        <f t="shared" si="956"/>
        <v>0</v>
      </c>
      <c r="AX1995" s="1">
        <f t="shared" si="957"/>
        <v>0</v>
      </c>
      <c r="AY1995" s="29">
        <f t="shared" si="958"/>
        <v>0</v>
      </c>
      <c r="AZ1995" s="1">
        <f t="shared" si="940"/>
        <v>0</v>
      </c>
      <c r="CB1995" s="20">
        <f t="shared" si="949"/>
        <v>0</v>
      </c>
      <c r="CC1995" s="173">
        <f t="shared" si="941"/>
        <v>0</v>
      </c>
    </row>
    <row r="1996" spans="10:81" x14ac:dyDescent="0.25">
      <c r="J1996" s="9"/>
      <c r="K1996" s="10"/>
      <c r="L1996" s="17"/>
      <c r="M1996" s="23"/>
      <c r="N1996" s="23"/>
      <c r="O1996" s="23"/>
      <c r="P1996" s="23"/>
      <c r="Q1996" s="1">
        <f t="shared" si="942"/>
        <v>0.60744618579017706</v>
      </c>
      <c r="R1996" s="12">
        <f t="shared" ca="1" si="959"/>
        <v>58982</v>
      </c>
      <c r="S1996" s="88">
        <f t="shared" si="968"/>
        <v>0</v>
      </c>
      <c r="T1996" s="19">
        <f t="shared" si="960"/>
        <v>0</v>
      </c>
      <c r="U1996" s="19">
        <f t="shared" si="961"/>
        <v>0</v>
      </c>
      <c r="V1996" s="19">
        <f t="shared" si="947"/>
        <v>0</v>
      </c>
      <c r="W1996" s="20">
        <f t="shared" ca="1" si="962"/>
        <v>0</v>
      </c>
      <c r="X1996" s="19">
        <f t="shared" ca="1" si="963"/>
        <v>0</v>
      </c>
      <c r="Y1996" s="19">
        <f t="shared" ca="1" si="964"/>
        <v>0</v>
      </c>
      <c r="Z1996" s="20">
        <f t="shared" ca="1" si="965"/>
        <v>0</v>
      </c>
      <c r="AA1996" s="1">
        <f t="shared" si="943"/>
        <v>5432.58</v>
      </c>
      <c r="AB1996" s="93"/>
      <c r="AC1996" s="94"/>
      <c r="AD1996" s="101">
        <f t="shared" si="944"/>
        <v>100104</v>
      </c>
      <c r="AE1996" s="103">
        <f t="shared" si="945"/>
        <v>0</v>
      </c>
      <c r="AG1996" s="1">
        <f t="shared" si="966"/>
        <v>0</v>
      </c>
      <c r="AH1996" s="1">
        <f t="shared" si="967"/>
        <v>0</v>
      </c>
      <c r="AI1996" s="1">
        <f t="shared" si="946"/>
        <v>5432.58</v>
      </c>
      <c r="AJ1996" s="20">
        <f t="shared" si="948"/>
        <v>0</v>
      </c>
      <c r="AK1996" s="100">
        <f t="shared" si="950"/>
        <v>0</v>
      </c>
      <c r="AL1996" s="100">
        <f t="shared" si="951"/>
        <v>0</v>
      </c>
      <c r="AN1996" s="100">
        <f t="shared" si="952"/>
        <v>2007.6412997843306</v>
      </c>
      <c r="AO1996" s="20">
        <f t="shared" si="953"/>
        <v>0</v>
      </c>
      <c r="AQ1996" s="109">
        <f t="shared" si="954"/>
        <v>0</v>
      </c>
      <c r="AU1996" s="109">
        <f t="shared" si="939"/>
        <v>22.770109728807796</v>
      </c>
      <c r="AV1996" s="101">
        <f t="shared" si="955"/>
        <v>100134</v>
      </c>
      <c r="AW1996" s="99">
        <f t="shared" si="956"/>
        <v>0</v>
      </c>
      <c r="AX1996" s="1">
        <f t="shared" si="957"/>
        <v>0</v>
      </c>
      <c r="AY1996" s="29">
        <f t="shared" si="958"/>
        <v>0</v>
      </c>
      <c r="AZ1996" s="1">
        <f t="shared" si="940"/>
        <v>0</v>
      </c>
      <c r="CB1996" s="20">
        <f t="shared" si="949"/>
        <v>0</v>
      </c>
      <c r="CC1996" s="173">
        <f t="shared" si="941"/>
        <v>0</v>
      </c>
    </row>
    <row r="1997" spans="10:81" x14ac:dyDescent="0.25">
      <c r="J1997" s="7"/>
      <c r="K1997" s="8"/>
      <c r="L1997" s="16"/>
      <c r="M1997" s="22"/>
      <c r="N1997" s="22"/>
      <c r="O1997" s="22"/>
      <c r="P1997" s="22"/>
      <c r="Q1997" s="1">
        <f t="shared" si="942"/>
        <v>0.60744618579017706</v>
      </c>
      <c r="R1997" s="12">
        <f t="shared" ca="1" si="959"/>
        <v>59012</v>
      </c>
      <c r="S1997" s="88">
        <f t="shared" si="968"/>
        <v>0</v>
      </c>
      <c r="T1997" s="19">
        <f t="shared" si="960"/>
        <v>0</v>
      </c>
      <c r="U1997" s="19">
        <f t="shared" si="961"/>
        <v>0</v>
      </c>
      <c r="V1997" s="19">
        <f t="shared" si="947"/>
        <v>0</v>
      </c>
      <c r="W1997" s="20">
        <f t="shared" ca="1" si="962"/>
        <v>0</v>
      </c>
      <c r="X1997" s="19">
        <f t="shared" ca="1" si="963"/>
        <v>0</v>
      </c>
      <c r="Y1997" s="19">
        <f t="shared" ca="1" si="964"/>
        <v>0</v>
      </c>
      <c r="Z1997" s="20">
        <f t="shared" ca="1" si="965"/>
        <v>0</v>
      </c>
      <c r="AA1997" s="1">
        <f t="shared" si="943"/>
        <v>5432.58</v>
      </c>
      <c r="AB1997" s="91"/>
      <c r="AC1997" s="92"/>
      <c r="AD1997" s="101">
        <f t="shared" si="944"/>
        <v>100134</v>
      </c>
      <c r="AE1997" s="103">
        <f t="shared" si="945"/>
        <v>0</v>
      </c>
      <c r="AG1997" s="1">
        <f t="shared" si="966"/>
        <v>0</v>
      </c>
      <c r="AH1997" s="1">
        <f t="shared" si="967"/>
        <v>0</v>
      </c>
      <c r="AI1997" s="1">
        <f t="shared" si="946"/>
        <v>5432.58</v>
      </c>
      <c r="AJ1997" s="20">
        <f t="shared" si="948"/>
        <v>0</v>
      </c>
      <c r="AK1997" s="100">
        <f t="shared" si="950"/>
        <v>0</v>
      </c>
      <c r="AL1997" s="100">
        <f t="shared" si="951"/>
        <v>0</v>
      </c>
      <c r="AN1997" s="100">
        <f t="shared" si="952"/>
        <v>2006.6255355944088</v>
      </c>
      <c r="AO1997" s="20">
        <f t="shared" si="953"/>
        <v>0</v>
      </c>
      <c r="AQ1997" s="109">
        <f t="shared" si="954"/>
        <v>0</v>
      </c>
      <c r="AU1997" s="109">
        <f t="shared" si="939"/>
        <v>22.76811119460293</v>
      </c>
      <c r="AV1997" s="101">
        <f t="shared" si="955"/>
        <v>100164</v>
      </c>
      <c r="AW1997" s="99">
        <f t="shared" si="956"/>
        <v>0</v>
      </c>
      <c r="AX1997" s="1">
        <f t="shared" si="957"/>
        <v>0</v>
      </c>
      <c r="AY1997" s="29">
        <f t="shared" si="958"/>
        <v>0</v>
      </c>
      <c r="AZ1997" s="1">
        <f t="shared" si="940"/>
        <v>0</v>
      </c>
      <c r="CB1997" s="20">
        <f t="shared" si="949"/>
        <v>0</v>
      </c>
      <c r="CC1997" s="173">
        <f t="shared" si="941"/>
        <v>0</v>
      </c>
    </row>
    <row r="1998" spans="10:81" x14ac:dyDescent="0.25">
      <c r="J1998" s="9"/>
      <c r="K1998" s="10"/>
      <c r="L1998" s="17"/>
      <c r="M1998" s="23"/>
      <c r="N1998" s="23"/>
      <c r="O1998" s="23"/>
      <c r="P1998" s="23"/>
      <c r="Q1998" s="1">
        <f t="shared" si="942"/>
        <v>0.60744618579017706</v>
      </c>
      <c r="R1998" s="12">
        <f t="shared" ca="1" si="959"/>
        <v>59042</v>
      </c>
      <c r="S1998" s="88">
        <f t="shared" si="968"/>
        <v>0</v>
      </c>
      <c r="T1998" s="19">
        <f t="shared" si="960"/>
        <v>0</v>
      </c>
      <c r="U1998" s="19">
        <f t="shared" si="961"/>
        <v>0</v>
      </c>
      <c r="V1998" s="19">
        <f t="shared" si="947"/>
        <v>0</v>
      </c>
      <c r="W1998" s="20">
        <f t="shared" ca="1" si="962"/>
        <v>0</v>
      </c>
      <c r="X1998" s="19">
        <f t="shared" ca="1" si="963"/>
        <v>0</v>
      </c>
      <c r="Y1998" s="19">
        <f t="shared" ca="1" si="964"/>
        <v>0</v>
      </c>
      <c r="Z1998" s="20">
        <f t="shared" ca="1" si="965"/>
        <v>0</v>
      </c>
      <c r="AA1998" s="1">
        <f t="shared" si="943"/>
        <v>5432.58</v>
      </c>
      <c r="AB1998" s="93"/>
      <c r="AC1998" s="94"/>
      <c r="AD1998" s="101">
        <f t="shared" si="944"/>
        <v>100164</v>
      </c>
      <c r="AE1998" s="103">
        <f t="shared" si="945"/>
        <v>0</v>
      </c>
      <c r="AG1998" s="1">
        <f t="shared" si="966"/>
        <v>0</v>
      </c>
      <c r="AH1998" s="1">
        <f t="shared" si="967"/>
        <v>0</v>
      </c>
      <c r="AI1998" s="1">
        <f t="shared" si="946"/>
        <v>5432.58</v>
      </c>
      <c r="AJ1998" s="20">
        <f t="shared" si="948"/>
        <v>0</v>
      </c>
      <c r="AK1998" s="100">
        <f t="shared" si="950"/>
        <v>0</v>
      </c>
      <c r="AL1998" s="100">
        <f t="shared" si="951"/>
        <v>0</v>
      </c>
      <c r="AN1998" s="100">
        <f t="shared" si="952"/>
        <v>2005.6102853294042</v>
      </c>
      <c r="AO1998" s="20">
        <f t="shared" si="953"/>
        <v>0</v>
      </c>
      <c r="AQ1998" s="109">
        <f t="shared" si="954"/>
        <v>0</v>
      </c>
      <c r="AU1998" s="109">
        <f t="shared" si="939"/>
        <v>22.766112835809572</v>
      </c>
      <c r="AV1998" s="101">
        <f t="shared" si="955"/>
        <v>100194</v>
      </c>
      <c r="AW1998" s="99">
        <f t="shared" si="956"/>
        <v>0</v>
      </c>
      <c r="AX1998" s="1">
        <f t="shared" si="957"/>
        <v>0</v>
      </c>
      <c r="AY1998" s="29">
        <f t="shared" si="958"/>
        <v>0</v>
      </c>
      <c r="AZ1998" s="1">
        <f t="shared" si="940"/>
        <v>0</v>
      </c>
      <c r="CB1998" s="20">
        <f t="shared" si="949"/>
        <v>0</v>
      </c>
      <c r="CC1998" s="173">
        <f t="shared" si="941"/>
        <v>0</v>
      </c>
    </row>
    <row r="1999" spans="10:81" x14ac:dyDescent="0.25">
      <c r="J1999" s="7"/>
      <c r="K1999" s="8"/>
      <c r="L1999" s="16"/>
      <c r="M1999" s="22"/>
      <c r="N1999" s="22"/>
      <c r="O1999" s="22"/>
      <c r="P1999" s="22"/>
      <c r="Q1999" s="1">
        <f t="shared" si="942"/>
        <v>0.60744618579017706</v>
      </c>
      <c r="R1999" s="12">
        <f t="shared" ca="1" si="959"/>
        <v>59072</v>
      </c>
      <c r="S1999" s="88">
        <f t="shared" si="968"/>
        <v>0</v>
      </c>
      <c r="T1999" s="19">
        <f t="shared" si="960"/>
        <v>0</v>
      </c>
      <c r="U1999" s="19">
        <f t="shared" si="961"/>
        <v>0</v>
      </c>
      <c r="V1999" s="19">
        <f t="shared" si="947"/>
        <v>0</v>
      </c>
      <c r="W1999" s="20">
        <f t="shared" ca="1" si="962"/>
        <v>0</v>
      </c>
      <c r="X1999" s="19">
        <f t="shared" ca="1" si="963"/>
        <v>0</v>
      </c>
      <c r="Y1999" s="19">
        <f t="shared" ca="1" si="964"/>
        <v>0</v>
      </c>
      <c r="Z1999" s="20">
        <f t="shared" ca="1" si="965"/>
        <v>0</v>
      </c>
      <c r="AA1999" s="1">
        <f t="shared" si="943"/>
        <v>5432.58</v>
      </c>
      <c r="AB1999" s="91"/>
      <c r="AC1999" s="92"/>
      <c r="AD1999" s="101">
        <f t="shared" si="944"/>
        <v>100194</v>
      </c>
      <c r="AE1999" s="103">
        <f t="shared" si="945"/>
        <v>0</v>
      </c>
      <c r="AG1999" s="1">
        <f t="shared" si="966"/>
        <v>0</v>
      </c>
      <c r="AH1999" s="1">
        <f t="shared" si="967"/>
        <v>0</v>
      </c>
      <c r="AI1999" s="1">
        <f t="shared" si="946"/>
        <v>5432.58</v>
      </c>
      <c r="AJ1999" s="20">
        <f t="shared" si="948"/>
        <v>0</v>
      </c>
      <c r="AK1999" s="100">
        <f t="shared" si="950"/>
        <v>0</v>
      </c>
      <c r="AL1999" s="100">
        <f t="shared" si="951"/>
        <v>0</v>
      </c>
      <c r="AN1999" s="100">
        <f t="shared" si="952"/>
        <v>2004.5955487292983</v>
      </c>
      <c r="AO1999" s="20">
        <f t="shared" si="953"/>
        <v>0</v>
      </c>
      <c r="AQ1999" s="109">
        <f t="shared" si="954"/>
        <v>0</v>
      </c>
      <c r="AU1999" s="109">
        <f t="shared" si="939"/>
        <v>22.764114652412303</v>
      </c>
      <c r="AV1999" s="101">
        <f t="shared" si="955"/>
        <v>100224</v>
      </c>
      <c r="AW1999" s="99">
        <f t="shared" si="956"/>
        <v>0</v>
      </c>
      <c r="AX1999" s="1">
        <f t="shared" si="957"/>
        <v>0</v>
      </c>
      <c r="AY1999" s="29">
        <f t="shared" si="958"/>
        <v>0</v>
      </c>
      <c r="AZ1999" s="1">
        <f t="shared" si="940"/>
        <v>0</v>
      </c>
      <c r="CB1999" s="20">
        <f t="shared" si="949"/>
        <v>0</v>
      </c>
      <c r="CC1999" s="173">
        <f t="shared" si="941"/>
        <v>0</v>
      </c>
    </row>
    <row r="2000" spans="10:81" x14ac:dyDescent="0.25">
      <c r="J2000" s="9"/>
      <c r="K2000" s="10"/>
      <c r="L2000" s="17"/>
      <c r="M2000" s="23"/>
      <c r="N2000" s="23"/>
      <c r="O2000" s="23"/>
      <c r="P2000" s="23"/>
      <c r="Q2000" s="1">
        <f t="shared" si="942"/>
        <v>0.60744618579017706</v>
      </c>
      <c r="R2000" s="12">
        <f t="shared" ca="1" si="959"/>
        <v>59102</v>
      </c>
      <c r="S2000" s="88">
        <f t="shared" si="968"/>
        <v>0</v>
      </c>
      <c r="T2000" s="19">
        <f t="shared" si="960"/>
        <v>0</v>
      </c>
      <c r="U2000" s="19">
        <f t="shared" si="961"/>
        <v>0</v>
      </c>
      <c r="V2000" s="19">
        <f t="shared" si="947"/>
        <v>0</v>
      </c>
      <c r="W2000" s="20">
        <f t="shared" ca="1" si="962"/>
        <v>0</v>
      </c>
      <c r="X2000" s="19">
        <f t="shared" ca="1" si="963"/>
        <v>0</v>
      </c>
      <c r="Y2000" s="19">
        <f t="shared" ca="1" si="964"/>
        <v>0</v>
      </c>
      <c r="Z2000" s="20">
        <f t="shared" ca="1" si="965"/>
        <v>0</v>
      </c>
      <c r="AA2000" s="1">
        <f t="shared" si="943"/>
        <v>5432.58</v>
      </c>
      <c r="AB2000" s="93"/>
      <c r="AC2000" s="94"/>
      <c r="AD2000" s="101">
        <f t="shared" si="944"/>
        <v>100224</v>
      </c>
      <c r="AE2000" s="103">
        <f t="shared" si="945"/>
        <v>0</v>
      </c>
      <c r="AG2000" s="1">
        <f t="shared" si="966"/>
        <v>0</v>
      </c>
      <c r="AH2000" s="1">
        <f t="shared" si="967"/>
        <v>0</v>
      </c>
      <c r="AI2000" s="1">
        <f t="shared" si="946"/>
        <v>5432.58</v>
      </c>
      <c r="AJ2000" s="20">
        <f t="shared" si="948"/>
        <v>0</v>
      </c>
      <c r="AK2000" s="100">
        <f t="shared" si="950"/>
        <v>0</v>
      </c>
      <c r="AL2000" s="100">
        <f t="shared" si="951"/>
        <v>0</v>
      </c>
      <c r="AN2000" s="100">
        <f t="shared" si="952"/>
        <v>2003.5813255342011</v>
      </c>
      <c r="AO2000" s="20">
        <f t="shared" si="953"/>
        <v>0</v>
      </c>
      <c r="AQ2000" s="109">
        <f t="shared" si="954"/>
        <v>0</v>
      </c>
      <c r="AU2000" s="109">
        <f t="shared" si="939"/>
        <v>22.76211664439575</v>
      </c>
      <c r="AV2000" s="101">
        <f t="shared" si="955"/>
        <v>0</v>
      </c>
      <c r="AW2000" s="99">
        <f t="shared" si="956"/>
        <v>0</v>
      </c>
      <c r="AX2000" s="1">
        <f t="shared" si="957"/>
        <v>0</v>
      </c>
      <c r="AY2000" s="29">
        <f t="shared" si="958"/>
        <v>0</v>
      </c>
      <c r="AZ2000" s="1">
        <f t="shared" si="940"/>
        <v>0</v>
      </c>
      <c r="CB2000" s="20">
        <f t="shared" si="949"/>
        <v>0</v>
      </c>
      <c r="CC2000" s="173">
        <f t="shared" si="941"/>
        <v>0</v>
      </c>
    </row>
  </sheetData>
  <sheetProtection formatCells="0" formatColumns="0" formatRows="0" insertColumns="0" insertRows="0" insertHyperlinks="0" sort="0" autoFilter="0" pivotTables="0"/>
  <protectedRanges>
    <protectedRange sqref="C148:H65654 A30:B65536 W30:Y31 I30:U30 T31:V31 I31:S449 T32:Y449 I450:Y65536 H30:H147" name="Range4"/>
    <protectedRange sqref="L18" name="Range3"/>
    <protectedRange sqref="G21:H22" name="Range2"/>
    <protectedRange sqref="C10:C25" name="Range1"/>
  </protectedRanges>
  <mergeCells count="2">
    <mergeCell ref="E15:F15"/>
    <mergeCell ref="K15:L15"/>
  </mergeCells>
  <phoneticPr fontId="2" type="noConversion"/>
  <dataValidations disablePrompts="1" count="1">
    <dataValidation type="list" allowBlank="1" showInputMessage="1" showErrorMessage="1" sqref="H24">
      <formula1>$E$14:$H$14</formula1>
    </dataValidation>
  </dataValidations>
  <pageMargins left="0.7" right="0.7" top="0.75" bottom="0.75" header="0.3" footer="0.3"/>
  <pageSetup orientation="portrait" r:id="rId1"/>
  <ignoredErrors>
    <ignoredError sqref="E25:G25 H26 F20" evalError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18" r:id="rId4" name="Button 494">
              <controlPr defaultSize="0" print="0" autoFill="0" autoPict="0" macro="[0]!Sheet1.getDescriptiveData">
                <anchor moveWithCells="1" sizeWithCells="1">
                  <from>
                    <xdr:col>3</xdr:col>
                    <xdr:colOff>66675</xdr:colOff>
                    <xdr:row>9</xdr:row>
                    <xdr:rowOff>0</xdr:rowOff>
                  </from>
                  <to>
                    <xdr:col>4</xdr:col>
                    <xdr:colOff>952500</xdr:colOff>
                    <xdr:row>10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1:O21"/>
  <sheetViews>
    <sheetView showGridLines="0" workbookViewId="0">
      <selection activeCell="C26" sqref="C26"/>
    </sheetView>
  </sheetViews>
  <sheetFormatPr defaultRowHeight="15" x14ac:dyDescent="0.25"/>
  <cols>
    <col min="1" max="1" width="3.7109375" customWidth="1"/>
    <col min="2" max="2" width="11.5703125" customWidth="1"/>
    <col min="3" max="3" width="15.28515625" bestFit="1" customWidth="1"/>
    <col min="4" max="4" width="23.7109375" bestFit="1" customWidth="1"/>
    <col min="5" max="5" width="17.140625" customWidth="1"/>
    <col min="12" max="12" width="13" customWidth="1"/>
  </cols>
  <sheetData>
    <row r="1" spans="2:15" ht="15.75" thickBot="1" x14ac:dyDescent="0.3">
      <c r="B1" s="69" t="s">
        <v>57</v>
      </c>
    </row>
    <row r="2" spans="2:15" ht="15.75" customHeight="1" thickBot="1" x14ac:dyDescent="0.3">
      <c r="B2" s="57" t="s">
        <v>58</v>
      </c>
      <c r="C2" s="60" t="s">
        <v>59</v>
      </c>
      <c r="D2" s="60" t="s">
        <v>60</v>
      </c>
      <c r="E2" s="189" t="s">
        <v>61</v>
      </c>
      <c r="F2" s="190"/>
      <c r="G2" s="190"/>
      <c r="H2" s="190"/>
      <c r="I2" s="190"/>
      <c r="J2" s="190"/>
      <c r="K2" s="190"/>
      <c r="L2" s="191"/>
    </row>
    <row r="3" spans="2:15" ht="15.75" thickTop="1" x14ac:dyDescent="0.25">
      <c r="B3" s="55" t="s">
        <v>62</v>
      </c>
      <c r="C3" s="67">
        <v>100</v>
      </c>
      <c r="D3" s="61" t="s">
        <v>63</v>
      </c>
      <c r="E3" s="186" t="s">
        <v>64</v>
      </c>
      <c r="F3" s="187"/>
      <c r="G3" s="187"/>
      <c r="H3" s="187"/>
      <c r="I3" s="187"/>
      <c r="J3" s="187"/>
      <c r="K3" s="187"/>
      <c r="L3" s="188"/>
    </row>
    <row r="4" spans="2:15" x14ac:dyDescent="0.25">
      <c r="B4" s="56" t="s">
        <v>65</v>
      </c>
      <c r="C4" s="67">
        <v>100</v>
      </c>
      <c r="D4" s="61" t="s">
        <v>66</v>
      </c>
      <c r="E4" s="186" t="s">
        <v>67</v>
      </c>
      <c r="F4" s="187"/>
      <c r="G4" s="187"/>
      <c r="H4" s="187"/>
      <c r="I4" s="187"/>
      <c r="J4" s="187"/>
      <c r="K4" s="187"/>
      <c r="L4" s="188"/>
    </row>
    <row r="5" spans="2:15" x14ac:dyDescent="0.25">
      <c r="B5" s="56" t="s">
        <v>68</v>
      </c>
      <c r="C5" s="67">
        <v>100</v>
      </c>
      <c r="D5" s="61" t="s">
        <v>69</v>
      </c>
      <c r="E5" s="186" t="s">
        <v>70</v>
      </c>
      <c r="F5" s="187"/>
      <c r="G5" s="187"/>
      <c r="H5" s="187"/>
      <c r="I5" s="187"/>
      <c r="J5" s="187"/>
      <c r="K5" s="187"/>
      <c r="L5" s="188"/>
    </row>
    <row r="6" spans="2:15" x14ac:dyDescent="0.25">
      <c r="B6" s="58" t="s">
        <v>71</v>
      </c>
      <c r="C6" s="68">
        <v>100</v>
      </c>
      <c r="D6" s="62" t="s">
        <v>72</v>
      </c>
      <c r="E6" s="180" t="s">
        <v>73</v>
      </c>
      <c r="F6" s="181"/>
      <c r="G6" s="181"/>
      <c r="H6" s="181"/>
      <c r="I6" s="181"/>
      <c r="J6" s="181"/>
      <c r="K6" s="181"/>
      <c r="L6" s="182"/>
    </row>
    <row r="7" spans="2:15" x14ac:dyDescent="0.25">
      <c r="B7" s="58" t="s">
        <v>74</v>
      </c>
      <c r="C7" s="68">
        <v>100</v>
      </c>
      <c r="D7" s="62" t="s">
        <v>75</v>
      </c>
      <c r="E7" s="180" t="s">
        <v>76</v>
      </c>
      <c r="F7" s="181"/>
      <c r="G7" s="181"/>
      <c r="H7" s="181"/>
      <c r="I7" s="181"/>
      <c r="J7" s="181"/>
      <c r="K7" s="181"/>
      <c r="L7" s="182"/>
    </row>
    <row r="8" spans="2:15" x14ac:dyDescent="0.25">
      <c r="B8" s="58" t="s">
        <v>77</v>
      </c>
      <c r="C8" s="68">
        <v>100</v>
      </c>
      <c r="D8" s="63">
        <v>10</v>
      </c>
      <c r="E8" s="180" t="s">
        <v>78</v>
      </c>
      <c r="F8" s="181"/>
      <c r="G8" s="181"/>
      <c r="H8" s="181"/>
      <c r="I8" s="181"/>
      <c r="J8" s="181"/>
      <c r="K8" s="181"/>
      <c r="L8" s="182"/>
    </row>
    <row r="9" spans="2:15" x14ac:dyDescent="0.25">
      <c r="B9" s="55" t="s">
        <v>79</v>
      </c>
      <c r="C9" s="67">
        <v>200</v>
      </c>
      <c r="D9" s="61" t="s">
        <v>66</v>
      </c>
      <c r="E9" s="186" t="s">
        <v>80</v>
      </c>
      <c r="F9" s="187"/>
      <c r="G9" s="187"/>
      <c r="H9" s="187"/>
      <c r="I9" s="187"/>
      <c r="J9" s="187"/>
      <c r="K9" s="187"/>
      <c r="L9" s="188"/>
    </row>
    <row r="10" spans="2:15" x14ac:dyDescent="0.25">
      <c r="B10" s="55" t="s">
        <v>81</v>
      </c>
      <c r="C10" s="67">
        <v>150</v>
      </c>
      <c r="D10" s="64">
        <v>10</v>
      </c>
      <c r="E10" s="186" t="s">
        <v>82</v>
      </c>
      <c r="F10" s="187"/>
      <c r="G10" s="187"/>
      <c r="H10" s="187"/>
      <c r="I10" s="187"/>
      <c r="J10" s="187"/>
      <c r="K10" s="187"/>
      <c r="L10" s="188"/>
    </row>
    <row r="11" spans="2:15" x14ac:dyDescent="0.25">
      <c r="B11" s="55" t="s">
        <v>83</v>
      </c>
      <c r="C11" s="67">
        <v>10</v>
      </c>
      <c r="D11" s="65"/>
      <c r="E11" s="186" t="s">
        <v>78</v>
      </c>
      <c r="F11" s="187"/>
      <c r="G11" s="187"/>
      <c r="H11" s="187"/>
      <c r="I11" s="187"/>
      <c r="J11" s="187"/>
      <c r="K11" s="187"/>
      <c r="L11" s="188"/>
    </row>
    <row r="12" spans="2:15" ht="15.75" thickBot="1" x14ac:dyDescent="0.3">
      <c r="B12" s="59"/>
      <c r="C12" s="66"/>
      <c r="D12" s="66"/>
      <c r="E12" s="183"/>
      <c r="F12" s="184" t="s">
        <v>20</v>
      </c>
      <c r="G12" s="184"/>
      <c r="H12" s="184"/>
      <c r="I12" s="184"/>
      <c r="J12" s="184"/>
      <c r="K12" s="184"/>
      <c r="L12" s="185"/>
    </row>
    <row r="13" spans="2:15" ht="15.75" thickBot="1" x14ac:dyDescent="0.3"/>
    <row r="14" spans="2:15" x14ac:dyDescent="0.25">
      <c r="B14" s="80" t="s">
        <v>89</v>
      </c>
      <c r="C14" s="72"/>
      <c r="D14" s="72"/>
      <c r="E14" s="72"/>
      <c r="F14" s="72"/>
      <c r="G14" s="72"/>
      <c r="H14" s="72"/>
      <c r="I14" s="72"/>
      <c r="J14" s="72"/>
      <c r="K14" s="72"/>
      <c r="L14" s="72"/>
      <c r="M14" s="73"/>
      <c r="N14" s="74"/>
      <c r="O14" s="74"/>
    </row>
    <row r="15" spans="2:15" x14ac:dyDescent="0.25">
      <c r="B15" s="76" t="s">
        <v>90</v>
      </c>
      <c r="C15" s="74"/>
      <c r="D15" s="74"/>
      <c r="E15" s="74"/>
      <c r="F15" s="74"/>
      <c r="G15" s="74"/>
      <c r="H15" s="74"/>
      <c r="I15" s="74"/>
      <c r="J15" s="74"/>
      <c r="K15" s="74"/>
      <c r="L15" s="74"/>
      <c r="M15" s="75"/>
      <c r="N15" s="74"/>
      <c r="O15" s="74"/>
    </row>
    <row r="16" spans="2:15" ht="15.75" thickBot="1" x14ac:dyDescent="0.3">
      <c r="B16" s="77" t="s">
        <v>91</v>
      </c>
      <c r="C16" s="78"/>
      <c r="D16" s="78"/>
      <c r="E16" s="78"/>
      <c r="F16" s="78"/>
      <c r="G16" s="78"/>
      <c r="H16" s="78"/>
      <c r="I16" s="78"/>
      <c r="J16" s="78"/>
      <c r="K16" s="78"/>
      <c r="L16" s="78"/>
      <c r="M16" s="79"/>
      <c r="N16" s="74"/>
      <c r="O16" s="74"/>
    </row>
    <row r="18" spans="2:13" ht="15.75" thickBot="1" x14ac:dyDescent="0.3"/>
    <row r="19" spans="2:13" x14ac:dyDescent="0.25">
      <c r="B19" s="80" t="s">
        <v>89</v>
      </c>
      <c r="C19" s="72"/>
      <c r="D19" s="72"/>
      <c r="E19" s="72"/>
      <c r="F19" s="72"/>
      <c r="G19" s="72"/>
      <c r="H19" s="72"/>
      <c r="I19" s="72"/>
      <c r="J19" s="72"/>
      <c r="K19" s="72"/>
      <c r="L19" s="72"/>
      <c r="M19" s="73"/>
    </row>
    <row r="20" spans="2:13" x14ac:dyDescent="0.25">
      <c r="B20" s="76" t="s">
        <v>90</v>
      </c>
      <c r="C20" s="74"/>
      <c r="D20" s="74"/>
      <c r="E20" s="74"/>
      <c r="F20" s="74"/>
      <c r="G20" s="74"/>
      <c r="H20" s="74"/>
      <c r="I20" s="74"/>
      <c r="J20" s="74"/>
      <c r="K20" s="74"/>
      <c r="L20" s="74"/>
      <c r="M20" s="75"/>
    </row>
    <row r="21" spans="2:13" ht="15.75" thickBot="1" x14ac:dyDescent="0.3">
      <c r="B21" s="77" t="s">
        <v>91</v>
      </c>
      <c r="C21" s="78"/>
      <c r="D21" s="78"/>
      <c r="E21" s="78"/>
      <c r="F21" s="78"/>
      <c r="G21" s="78"/>
      <c r="H21" s="78"/>
      <c r="I21" s="78"/>
      <c r="J21" s="78"/>
      <c r="K21" s="78"/>
      <c r="L21" s="78"/>
      <c r="M21" s="79"/>
    </row>
  </sheetData>
  <mergeCells count="11">
    <mergeCell ref="E2:L2"/>
    <mergeCell ref="E3:L3"/>
    <mergeCell ref="E4:L4"/>
    <mergeCell ref="E5:L5"/>
    <mergeCell ref="E6:L6"/>
    <mergeCell ref="E7:L7"/>
    <mergeCell ref="E12:L12"/>
    <mergeCell ref="E8:L8"/>
    <mergeCell ref="E9:L9"/>
    <mergeCell ref="E10:L10"/>
    <mergeCell ref="E11:L11"/>
  </mergeCells>
  <phoneticPr fontId="2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2049" r:id="rId4" name="BackToApp">
          <controlPr defaultSize="0" print="0" autoFill="0" autoLine="0" autoPict="0" r:id="rId5">
            <anchor moveWithCells="1" sizeWithCells="1">
              <from>
                <xdr:col>1</xdr:col>
                <xdr:colOff>9525</xdr:colOff>
                <xdr:row>0</xdr:row>
                <xdr:rowOff>0</xdr:rowOff>
              </from>
              <to>
                <xdr:col>2</xdr:col>
                <xdr:colOff>619125</xdr:colOff>
                <xdr:row>0</xdr:row>
                <xdr:rowOff>0</xdr:rowOff>
              </to>
            </anchor>
          </controlPr>
        </control>
      </mc:Choice>
      <mc:Fallback>
        <control shapeId="2049" r:id="rId4" name="BackToApp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29</vt:i4>
      </vt:variant>
    </vt:vector>
  </HeadingPairs>
  <TitlesOfParts>
    <vt:vector size="31" baseType="lpstr">
      <vt:lpstr>CFT</vt:lpstr>
      <vt:lpstr>HELP</vt:lpstr>
      <vt:lpstr>amount</vt:lpstr>
      <vt:lpstr>assumpName</vt:lpstr>
      <vt:lpstr>cfStart</vt:lpstr>
      <vt:lpstr>coupon</vt:lpstr>
      <vt:lpstr>cusip</vt:lpstr>
      <vt:lpstr>defaultSpeed</vt:lpstr>
      <vt:lpstr>defaultType</vt:lpstr>
      <vt:lpstr>defaultVector</vt:lpstr>
      <vt:lpstr>discountDays</vt:lpstr>
      <vt:lpstr>dynamicCF</vt:lpstr>
      <vt:lpstr>forward</vt:lpstr>
      <vt:lpstr>givenPrice</vt:lpstr>
      <vt:lpstr>histStart</vt:lpstr>
      <vt:lpstr>insWrap</vt:lpstr>
      <vt:lpstr>lag</vt:lpstr>
      <vt:lpstr>origFace</vt:lpstr>
      <vt:lpstr>ppSpeed</vt:lpstr>
      <vt:lpstr>ppType</vt:lpstr>
      <vt:lpstr>ppVector</vt:lpstr>
      <vt:lpstr>previousBalance</vt:lpstr>
      <vt:lpstr>rangeCashFlow</vt:lpstr>
      <vt:lpstr>rangeHistoricalCF</vt:lpstr>
      <vt:lpstr>rates</vt:lpstr>
      <vt:lpstr>scenName</vt:lpstr>
      <vt:lpstr>settleDate</vt:lpstr>
      <vt:lpstr>sev</vt:lpstr>
      <vt:lpstr>singleLine</vt:lpstr>
      <vt:lpstr>solvedYield</vt:lpstr>
      <vt:lpstr>solvePrice</vt:lpstr>
    </vt:vector>
  </TitlesOfParts>
  <Company>Bloomberg L.P.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tzainulbhai</dc:creator>
  <cp:lastModifiedBy>QUANT_B</cp:lastModifiedBy>
  <dcterms:created xsi:type="dcterms:W3CDTF">2009-07-20T11:30:57Z</dcterms:created>
  <dcterms:modified xsi:type="dcterms:W3CDTF">2012-07-18T16:33:01Z</dcterms:modified>
</cp:coreProperties>
</file>