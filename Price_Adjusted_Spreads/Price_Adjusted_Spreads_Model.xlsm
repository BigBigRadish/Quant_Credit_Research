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Credit\Price_Adjusted_Spreads\"/>
    </mc:Choice>
  </mc:AlternateContent>
  <bookViews>
    <workbookView xWindow="360" yWindow="240" windowWidth="18780" windowHeight="11445"/>
  </bookViews>
  <sheets>
    <sheet name="PriceAdjustedSpreads" sheetId="1" r:id="rId1"/>
  </sheets>
  <functionGroups builtInGroupCount="18"/>
  <definedNames>
    <definedName name="recovery">PriceAdjustedSpreads!$K$14</definedName>
    <definedName name="recovery_bond">PriceAdjustedSpreads!$K$15</definedName>
  </definedNames>
  <calcPr calcId="162913"/>
</workbook>
</file>

<file path=xl/calcChain.xml><?xml version="1.0" encoding="utf-8"?>
<calcChain xmlns="http://schemas.openxmlformats.org/spreadsheetml/2006/main">
  <c r="AB227" i="1" l="1"/>
  <c r="AY226" i="1"/>
  <c r="AD226" i="1" s="1"/>
  <c r="AX226" i="1"/>
  <c r="AU226" i="1"/>
  <c r="AO226" i="1"/>
  <c r="AJ226" i="1"/>
  <c r="AB226" i="1"/>
  <c r="AL226" i="1" s="1"/>
  <c r="AB225" i="1"/>
  <c r="AU225" i="1" s="1"/>
  <c r="AB224" i="1"/>
  <c r="AX224" i="1" s="1"/>
  <c r="AB223" i="1"/>
  <c r="AU222" i="1"/>
  <c r="AB222" i="1"/>
  <c r="AF222" i="1" s="1"/>
  <c r="AB221" i="1"/>
  <c r="AW221" i="1" s="1"/>
  <c r="AB220" i="1"/>
  <c r="AY220" i="1" s="1"/>
  <c r="AD220" i="1" s="1"/>
  <c r="AB219" i="1"/>
  <c r="AB218" i="1"/>
  <c r="AX218" i="1" s="1"/>
  <c r="AB217" i="1"/>
  <c r="AB216" i="1"/>
  <c r="AM216" i="1" s="1"/>
  <c r="AX215" i="1"/>
  <c r="AB215" i="1"/>
  <c r="AW215" i="1" s="1"/>
  <c r="AB214" i="1"/>
  <c r="AB213" i="1"/>
  <c r="AX213" i="1" s="1"/>
  <c r="AB212" i="1"/>
  <c r="AB211" i="1"/>
  <c r="AE211" i="1" s="1"/>
  <c r="AF210" i="1"/>
  <c r="AB210" i="1"/>
  <c r="AS210" i="1" s="1"/>
  <c r="AB209" i="1"/>
  <c r="AB208" i="1"/>
  <c r="AN208" i="1" s="1"/>
  <c r="AS207" i="1"/>
  <c r="AQ207" i="1"/>
  <c r="AC207" i="1" s="1"/>
  <c r="AO207" i="1"/>
  <c r="AN207" i="1"/>
  <c r="AB207" i="1"/>
  <c r="AE207" i="1" s="1"/>
  <c r="AB206" i="1"/>
  <c r="AY206" i="1" s="1"/>
  <c r="AD206" i="1" s="1"/>
  <c r="AB205" i="1"/>
  <c r="AS205" i="1" s="1"/>
  <c r="AB204" i="1"/>
  <c r="AF204" i="1" s="1"/>
  <c r="AB203" i="1"/>
  <c r="AX202" i="1"/>
  <c r="AT202" i="1"/>
  <c r="AQ202" i="1"/>
  <c r="AC202" i="1" s="1"/>
  <c r="AB202" i="1"/>
  <c r="AS202" i="1" s="1"/>
  <c r="AB201" i="1"/>
  <c r="AB200" i="1"/>
  <c r="AX200" i="1" s="1"/>
  <c r="AB199" i="1"/>
  <c r="AM199" i="1" s="1"/>
  <c r="AB198" i="1"/>
  <c r="AF198" i="1" s="1"/>
  <c r="AV197" i="1"/>
  <c r="AN197" i="1"/>
  <c r="AJ197" i="1"/>
  <c r="AB197" i="1"/>
  <c r="AS197" i="1" s="1"/>
  <c r="AB196" i="1"/>
  <c r="AB195" i="1"/>
  <c r="AL195" i="1" s="1"/>
  <c r="AB194" i="1"/>
  <c r="AB193" i="1"/>
  <c r="AB192" i="1"/>
  <c r="AL192" i="1" s="1"/>
  <c r="AB191" i="1"/>
  <c r="AB190" i="1"/>
  <c r="AJ190" i="1" s="1"/>
  <c r="AB189" i="1"/>
  <c r="AT189" i="1" s="1"/>
  <c r="AB188" i="1"/>
  <c r="AS188" i="1" s="1"/>
  <c r="AY187" i="1"/>
  <c r="AD187" i="1" s="1"/>
  <c r="AB187" i="1"/>
  <c r="AQ187" i="1" s="1"/>
  <c r="AC187" i="1" s="1"/>
  <c r="AB186" i="1"/>
  <c r="AB185" i="1"/>
  <c r="AQ185" i="1" s="1"/>
  <c r="AC185" i="1" s="1"/>
  <c r="AB184" i="1"/>
  <c r="AF184" i="1" s="1"/>
  <c r="AG183" i="1"/>
  <c r="AB183" i="1"/>
  <c r="AB182" i="1"/>
  <c r="AO182" i="1" s="1"/>
  <c r="AB181" i="1"/>
  <c r="AL181" i="1" s="1"/>
  <c r="AB180" i="1"/>
  <c r="AM180" i="1" s="1"/>
  <c r="AB179" i="1"/>
  <c r="AB178" i="1"/>
  <c r="AB177" i="1"/>
  <c r="AY177" i="1" s="1"/>
  <c r="AD177" i="1" s="1"/>
  <c r="AB176" i="1"/>
  <c r="AX175" i="1"/>
  <c r="AP175" i="1"/>
  <c r="AO175" i="1"/>
  <c r="AL175" i="1"/>
  <c r="AH175" i="1"/>
  <c r="AB175" i="1"/>
  <c r="AF175" i="1" s="1"/>
  <c r="AS174" i="1"/>
  <c r="AB174" i="1"/>
  <c r="AQ174" i="1" s="1"/>
  <c r="AC174" i="1" s="1"/>
  <c r="AB173" i="1"/>
  <c r="AF173" i="1" s="1"/>
  <c r="AB172" i="1"/>
  <c r="AW172" i="1" s="1"/>
  <c r="AB171" i="1"/>
  <c r="AY171" i="1" s="1"/>
  <c r="AD171" i="1" s="1"/>
  <c r="AB170" i="1"/>
  <c r="AB169" i="1"/>
  <c r="AW169" i="1" s="1"/>
  <c r="AB168" i="1"/>
  <c r="AS168" i="1" s="1"/>
  <c r="AU167" i="1"/>
  <c r="AB167" i="1"/>
  <c r="AX167" i="1" s="1"/>
  <c r="AB166" i="1"/>
  <c r="AW166" i="1" s="1"/>
  <c r="AV165" i="1"/>
  <c r="AT165" i="1"/>
  <c r="AB165" i="1"/>
  <c r="AE165" i="1" s="1"/>
  <c r="AB164" i="1"/>
  <c r="AU164" i="1" s="1"/>
  <c r="AB163" i="1"/>
  <c r="AX163" i="1" s="1"/>
  <c r="AB162" i="1"/>
  <c r="AX162" i="1" s="1"/>
  <c r="AB161" i="1"/>
  <c r="AW161" i="1" s="1"/>
  <c r="AB160" i="1"/>
  <c r="AQ160" i="1" s="1"/>
  <c r="AC160" i="1" s="1"/>
  <c r="AY159" i="1"/>
  <c r="AD159" i="1" s="1"/>
  <c r="AT159" i="1"/>
  <c r="AS159" i="1"/>
  <c r="AB159" i="1"/>
  <c r="AX159" i="1" s="1"/>
  <c r="AB158" i="1"/>
  <c r="AT158" i="1" s="1"/>
  <c r="AB157" i="1"/>
  <c r="AX156" i="1"/>
  <c r="AW156" i="1"/>
  <c r="AN156" i="1"/>
  <c r="AJ156" i="1"/>
  <c r="AB156" i="1"/>
  <c r="AM156" i="1" s="1"/>
  <c r="AB155" i="1"/>
  <c r="AY155" i="1" s="1"/>
  <c r="AD155" i="1" s="1"/>
  <c r="AB154" i="1"/>
  <c r="AH154" i="1" s="1"/>
  <c r="AB153" i="1"/>
  <c r="AN153" i="1" s="1"/>
  <c r="AB152" i="1"/>
  <c r="AB151" i="1"/>
  <c r="AX150" i="1"/>
  <c r="AB150" i="1"/>
  <c r="AV150" i="1" s="1"/>
  <c r="AX149" i="1"/>
  <c r="AB149" i="1"/>
  <c r="AN149" i="1" s="1"/>
  <c r="AB148" i="1"/>
  <c r="AU148" i="1" s="1"/>
  <c r="AB147" i="1"/>
  <c r="AX147" i="1" s="1"/>
  <c r="AB146" i="1"/>
  <c r="AB145" i="1"/>
  <c r="AB144" i="1"/>
  <c r="AV144" i="1" s="1"/>
  <c r="AB143" i="1"/>
  <c r="AT143" i="1" s="1"/>
  <c r="AY142" i="1"/>
  <c r="AD142" i="1" s="1"/>
  <c r="AX142" i="1"/>
  <c r="AB142" i="1"/>
  <c r="AQ142" i="1" s="1"/>
  <c r="AC142" i="1" s="1"/>
  <c r="AT141" i="1"/>
  <c r="AP141" i="1"/>
  <c r="AN141" i="1"/>
  <c r="AJ141" i="1"/>
  <c r="AG141" i="1"/>
  <c r="AB141" i="1"/>
  <c r="AW141" i="1" s="1"/>
  <c r="AB140" i="1"/>
  <c r="AB139" i="1"/>
  <c r="AY139" i="1" s="1"/>
  <c r="AD139" i="1" s="1"/>
  <c r="AB138" i="1"/>
  <c r="AX138" i="1" s="1"/>
  <c r="AB137" i="1"/>
  <c r="AB136" i="1"/>
  <c r="AE136" i="1" s="1"/>
  <c r="AB135" i="1"/>
  <c r="AP135" i="1" s="1"/>
  <c r="AB134" i="1"/>
  <c r="AB133" i="1"/>
  <c r="AT133" i="1" s="1"/>
  <c r="AW132" i="1"/>
  <c r="AB132" i="1"/>
  <c r="AT132" i="1" s="1"/>
  <c r="AY131" i="1"/>
  <c r="AD131" i="1" s="1"/>
  <c r="AV131" i="1"/>
  <c r="AU131" i="1"/>
  <c r="AQ131" i="1"/>
  <c r="AC131" i="1" s="1"/>
  <c r="AP131" i="1"/>
  <c r="AM131" i="1"/>
  <c r="AL131" i="1"/>
  <c r="AB131" i="1"/>
  <c r="AT131" i="1" s="1"/>
  <c r="AB130" i="1"/>
  <c r="AI130" i="1" s="1"/>
  <c r="AB129" i="1"/>
  <c r="AY129" i="1" s="1"/>
  <c r="AD129" i="1" s="1"/>
  <c r="AB128" i="1"/>
  <c r="AE128" i="1" s="1"/>
  <c r="AT127" i="1"/>
  <c r="AQ127" i="1"/>
  <c r="AC127" i="1" s="1"/>
  <c r="AP127" i="1"/>
  <c r="AO127" i="1"/>
  <c r="AJ127" i="1"/>
  <c r="AH127" i="1"/>
  <c r="AB127" i="1"/>
  <c r="AG127" i="1" s="1"/>
  <c r="AW126" i="1"/>
  <c r="AV126" i="1"/>
  <c r="AS126" i="1"/>
  <c r="AQ126" i="1"/>
  <c r="AC126" i="1" s="1"/>
  <c r="AO126" i="1"/>
  <c r="AJ126" i="1"/>
  <c r="AI126" i="1"/>
  <c r="AH126" i="1"/>
  <c r="AE126" i="1"/>
  <c r="AB126" i="1"/>
  <c r="AF126" i="1" s="1"/>
  <c r="AB125" i="1"/>
  <c r="AF125" i="1" s="1"/>
  <c r="AW124" i="1"/>
  <c r="AV124" i="1"/>
  <c r="AM124" i="1"/>
  <c r="AJ124" i="1"/>
  <c r="AH124" i="1"/>
  <c r="AB124" i="1"/>
  <c r="AX124" i="1" s="1"/>
  <c r="AB123" i="1"/>
  <c r="AQ123" i="1" s="1"/>
  <c r="AC123" i="1" s="1"/>
  <c r="AB122" i="1"/>
  <c r="AF122" i="1" s="1"/>
  <c r="AV121" i="1"/>
  <c r="AT121" i="1"/>
  <c r="AB121" i="1"/>
  <c r="AX121" i="1" s="1"/>
  <c r="AB120" i="1"/>
  <c r="AB119" i="1"/>
  <c r="AY119" i="1" s="1"/>
  <c r="AD119" i="1" s="1"/>
  <c r="AB118" i="1"/>
  <c r="AY118" i="1" s="1"/>
  <c r="AD118" i="1" s="1"/>
  <c r="AB117" i="1"/>
  <c r="AP117" i="1" s="1"/>
  <c r="AU116" i="1"/>
  <c r="AT116" i="1"/>
  <c r="AB116" i="1"/>
  <c r="AB115" i="1"/>
  <c r="AU115" i="1" s="1"/>
  <c r="AB114" i="1"/>
  <c r="AX114" i="1" s="1"/>
  <c r="AB113" i="1"/>
  <c r="AY113" i="1" s="1"/>
  <c r="AD113" i="1" s="1"/>
  <c r="AB112" i="1"/>
  <c r="AL112" i="1" s="1"/>
  <c r="AB111" i="1"/>
  <c r="AB110" i="1"/>
  <c r="AW110" i="1" s="1"/>
  <c r="AB109" i="1"/>
  <c r="AV109" i="1" s="1"/>
  <c r="AB108" i="1"/>
  <c r="AS108" i="1" s="1"/>
  <c r="AB107" i="1"/>
  <c r="AL107" i="1" s="1"/>
  <c r="AB106" i="1"/>
  <c r="AE106" i="1" s="1"/>
  <c r="AY105" i="1"/>
  <c r="AD105" i="1" s="1"/>
  <c r="AW105" i="1"/>
  <c r="AQ105" i="1"/>
  <c r="AC105" i="1" s="1"/>
  <c r="AP105" i="1"/>
  <c r="AO105" i="1"/>
  <c r="AB105" i="1"/>
  <c r="AX105" i="1" s="1"/>
  <c r="AB104" i="1"/>
  <c r="AS104" i="1" s="1"/>
  <c r="AB103" i="1"/>
  <c r="AB102" i="1"/>
  <c r="AF102" i="1" s="1"/>
  <c r="AX101" i="1"/>
  <c r="AW101" i="1"/>
  <c r="AB101" i="1"/>
  <c r="AE101" i="1" s="1"/>
  <c r="AB100" i="1"/>
  <c r="AV100" i="1" s="1"/>
  <c r="AB99" i="1"/>
  <c r="AT99" i="1" s="1"/>
  <c r="AB98" i="1"/>
  <c r="AW98" i="1" s="1"/>
  <c r="AB97" i="1"/>
  <c r="AY97" i="1" s="1"/>
  <c r="AD97" i="1" s="1"/>
  <c r="AB96" i="1"/>
  <c r="AV96" i="1" s="1"/>
  <c r="AB95" i="1"/>
  <c r="AJ95" i="1" s="1"/>
  <c r="AB94" i="1"/>
  <c r="AQ93" i="1"/>
  <c r="AC93" i="1" s="1"/>
  <c r="AN93" i="1"/>
  <c r="AL93" i="1"/>
  <c r="AB93" i="1"/>
  <c r="AO93" i="1" s="1"/>
  <c r="AB92" i="1"/>
  <c r="AU92" i="1" s="1"/>
  <c r="U42" i="1"/>
  <c r="AH125" i="1" l="1"/>
  <c r="AF138" i="1"/>
  <c r="AY95" i="1"/>
  <c r="AD95" i="1" s="1"/>
  <c r="AO138" i="1"/>
  <c r="AT166" i="1"/>
  <c r="AN185" i="1"/>
  <c r="AF225" i="1"/>
  <c r="AW92" i="1"/>
  <c r="AS113" i="1"/>
  <c r="AQ119" i="1"/>
  <c r="AC119" i="1" s="1"/>
  <c r="AO125" i="1"/>
  <c r="AJ154" i="1"/>
  <c r="AF202" i="1"/>
  <c r="AY208" i="1"/>
  <c r="AD208" i="1" s="1"/>
  <c r="AH225" i="1"/>
  <c r="AF105" i="1"/>
  <c r="AF106" i="1"/>
  <c r="AH109" i="1"/>
  <c r="AU113" i="1"/>
  <c r="AS119" i="1"/>
  <c r="AU123" i="1"/>
  <c r="AP125" i="1"/>
  <c r="AU127" i="1"/>
  <c r="AV138" i="1"/>
  <c r="AM142" i="1"/>
  <c r="AM154" i="1"/>
  <c r="AL163" i="1"/>
  <c r="AG202" i="1"/>
  <c r="AM205" i="1"/>
  <c r="AI225" i="1"/>
  <c r="AH93" i="1"/>
  <c r="AG105" i="1"/>
  <c r="AG106" i="1"/>
  <c r="AQ109" i="1"/>
  <c r="AC109" i="1" s="1"/>
  <c r="AX113" i="1"/>
  <c r="AU119" i="1"/>
  <c r="AQ125" i="1"/>
  <c r="AC125" i="1" s="1"/>
  <c r="AT126" i="1"/>
  <c r="AV127" i="1"/>
  <c r="AW138" i="1"/>
  <c r="AN142" i="1"/>
  <c r="AU147" i="1"/>
  <c r="AS154" i="1"/>
  <c r="AM163" i="1"/>
  <c r="AS167" i="1"/>
  <c r="AP187" i="1"/>
  <c r="AH202" i="1"/>
  <c r="AN205" i="1"/>
  <c r="AM225" i="1"/>
  <c r="AE113" i="1"/>
  <c r="AT123" i="1"/>
  <c r="AS138" i="1"/>
  <c r="AW109" i="1"/>
  <c r="AU163" i="1"/>
  <c r="AJ202" i="1"/>
  <c r="AN225" i="1"/>
  <c r="AM93" i="1"/>
  <c r="AL105" i="1"/>
  <c r="AQ106" i="1"/>
  <c r="AC106" i="1" s="1"/>
  <c r="AX109" i="1"/>
  <c r="AI124" i="1"/>
  <c r="AU125" i="1"/>
  <c r="AP142" i="1"/>
  <c r="AY154" i="1"/>
  <c r="AD154" i="1" s="1"/>
  <c r="AV167" i="1"/>
  <c r="AM202" i="1"/>
  <c r="AQ225" i="1"/>
  <c r="AC225" i="1" s="1"/>
  <c r="AM162" i="1"/>
  <c r="AQ171" i="1"/>
  <c r="AC171" i="1" s="1"/>
  <c r="AH184" i="1"/>
  <c r="AO162" i="1"/>
  <c r="AS166" i="1"/>
  <c r="AT171" i="1"/>
  <c r="AE225" i="1"/>
  <c r="AL92" i="1"/>
  <c r="AF109" i="1"/>
  <c r="AP113" i="1"/>
  <c r="AH123" i="1"/>
  <c r="AJ125" i="1"/>
  <c r="AW162" i="1"/>
  <c r="AV171" i="1"/>
  <c r="AG109" i="1"/>
  <c r="AY166" i="1"/>
  <c r="AD166" i="1" s="1"/>
  <c r="AH105" i="1"/>
  <c r="AH106" i="1"/>
  <c r="AV119" i="1"/>
  <c r="AT125" i="1"/>
  <c r="AO142" i="1"/>
  <c r="AX154" i="1"/>
  <c r="AM105" i="1"/>
  <c r="AS106" i="1"/>
  <c r="AY109" i="1"/>
  <c r="AD109" i="1" s="1"/>
  <c r="AV125" i="1"/>
  <c r="AS142" i="1"/>
  <c r="AO202" i="1"/>
  <c r="AV225" i="1"/>
  <c r="AP93" i="1"/>
  <c r="AV101" i="1"/>
  <c r="AN105" i="1"/>
  <c r="AO121" i="1"/>
  <c r="AF127" i="1"/>
  <c r="AU142" i="1"/>
  <c r="AP165" i="1"/>
  <c r="AJ175" i="1"/>
  <c r="AX197" i="1"/>
  <c r="AP202" i="1"/>
  <c r="AM207" i="1"/>
  <c r="AX222" i="1"/>
  <c r="AE109" i="1"/>
  <c r="AI94" i="1"/>
  <c r="AH122" i="1"/>
  <c r="AH136" i="1"/>
  <c r="AH148" i="1"/>
  <c r="AU180" i="1"/>
  <c r="AF97" i="1"/>
  <c r="AF101" i="1"/>
  <c r="AS130" i="1"/>
  <c r="AI148" i="1"/>
  <c r="AJ164" i="1"/>
  <c r="AF167" i="1"/>
  <c r="AS195" i="1"/>
  <c r="AF218" i="1"/>
  <c r="AH221" i="1"/>
  <c r="AF224" i="1"/>
  <c r="AG101" i="1"/>
  <c r="AT106" i="1"/>
  <c r="AL109" i="1"/>
  <c r="AX110" i="1"/>
  <c r="AO114" i="1"/>
  <c r="AN118" i="1"/>
  <c r="AV122" i="1"/>
  <c r="AS136" i="1"/>
  <c r="AP139" i="1"/>
  <c r="AU141" i="1"/>
  <c r="AM148" i="1"/>
  <c r="AN150" i="1"/>
  <c r="AP153" i="1"/>
  <c r="AG159" i="1"/>
  <c r="AM164" i="1"/>
  <c r="AF166" i="1"/>
  <c r="AG167" i="1"/>
  <c r="AG174" i="1"/>
  <c r="AS175" i="1"/>
  <c r="AW180" i="1"/>
  <c r="AU195" i="1"/>
  <c r="AL206" i="1"/>
  <c r="AT207" i="1"/>
  <c r="AU210" i="1"/>
  <c r="AG218" i="1"/>
  <c r="AI221" i="1"/>
  <c r="AG224" i="1"/>
  <c r="AQ97" i="1"/>
  <c r="AC97" i="1" s="1"/>
  <c r="AL101" i="1"/>
  <c r="AV105" i="1"/>
  <c r="AW106" i="1"/>
  <c r="AM109" i="1"/>
  <c r="AP114" i="1"/>
  <c r="AO118" i="1"/>
  <c r="AG121" i="1"/>
  <c r="AO128" i="1"/>
  <c r="AF131" i="1"/>
  <c r="AE132" i="1"/>
  <c r="AW136" i="1"/>
  <c r="AQ139" i="1"/>
  <c r="AC139" i="1" s="1"/>
  <c r="AV141" i="1"/>
  <c r="AN148" i="1"/>
  <c r="AQ150" i="1"/>
  <c r="AC150" i="1" s="1"/>
  <c r="AQ153" i="1"/>
  <c r="AC153" i="1" s="1"/>
  <c r="AH159" i="1"/>
  <c r="AN164" i="1"/>
  <c r="AG166" i="1"/>
  <c r="AH167" i="1"/>
  <c r="AI170" i="1"/>
  <c r="AH174" i="1"/>
  <c r="AT175" i="1"/>
  <c r="AH187" i="1"/>
  <c r="AV195" i="1"/>
  <c r="AU202" i="1"/>
  <c r="AM206" i="1"/>
  <c r="AU207" i="1"/>
  <c r="AO218" i="1"/>
  <c r="AM221" i="1"/>
  <c r="AJ224" i="1"/>
  <c r="AO225" i="1"/>
  <c r="AM130" i="1"/>
  <c r="AY149" i="1"/>
  <c r="AD149" i="1" s="1"/>
  <c r="AG118" i="1"/>
  <c r="AT122" i="1"/>
  <c r="AJ136" i="1"/>
  <c r="AO153" i="1"/>
  <c r="AX160" i="1"/>
  <c r="AE166" i="1"/>
  <c r="AV180" i="1"/>
  <c r="AY189" i="1"/>
  <c r="AD189" i="1" s="1"/>
  <c r="AP200" i="1"/>
  <c r="AH206" i="1"/>
  <c r="AH97" i="1"/>
  <c r="AS97" i="1"/>
  <c r="AM101" i="1"/>
  <c r="AY106" i="1"/>
  <c r="AD106" i="1" s="1"/>
  <c r="AN109" i="1"/>
  <c r="AS114" i="1"/>
  <c r="AP118" i="1"/>
  <c r="AH121" i="1"/>
  <c r="AQ128" i="1"/>
  <c r="AC128" i="1" s="1"/>
  <c r="AG131" i="1"/>
  <c r="AH132" i="1"/>
  <c r="AU139" i="1"/>
  <c r="AY141" i="1"/>
  <c r="AD141" i="1" s="1"/>
  <c r="AO148" i="1"/>
  <c r="AS150" i="1"/>
  <c r="AT153" i="1"/>
  <c r="AJ159" i="1"/>
  <c r="AO164" i="1"/>
  <c r="AH166" i="1"/>
  <c r="AJ167" i="1"/>
  <c r="AP174" i="1"/>
  <c r="AU175" i="1"/>
  <c r="AM187" i="1"/>
  <c r="AO206" i="1"/>
  <c r="AW207" i="1"/>
  <c r="AP218" i="1"/>
  <c r="AS221" i="1"/>
  <c r="AL224" i="1"/>
  <c r="AG95" i="1"/>
  <c r="AU97" i="1"/>
  <c r="AN101" i="1"/>
  <c r="AE105" i="1"/>
  <c r="AP109" i="1"/>
  <c r="AY114" i="1"/>
  <c r="AD114" i="1" s="1"/>
  <c r="AW118" i="1"/>
  <c r="AJ121" i="1"/>
  <c r="AG125" i="1"/>
  <c r="AS128" i="1"/>
  <c r="AH131" i="1"/>
  <c r="AX139" i="1"/>
  <c r="AQ148" i="1"/>
  <c r="AC148" i="1" s="1"/>
  <c r="AT150" i="1"/>
  <c r="AW153" i="1"/>
  <c r="AM159" i="1"/>
  <c r="AN162" i="1"/>
  <c r="AS164" i="1"/>
  <c r="AJ166" i="1"/>
  <c r="AL167" i="1"/>
  <c r="AF171" i="1"/>
  <c r="AV175" i="1"/>
  <c r="AO187" i="1"/>
  <c r="AY202" i="1"/>
  <c r="AD202" i="1" s="1"/>
  <c r="AV206" i="1"/>
  <c r="AX207" i="1"/>
  <c r="AQ218" i="1"/>
  <c r="AC218" i="1" s="1"/>
  <c r="AT221" i="1"/>
  <c r="AP224" i="1"/>
  <c r="AS225" i="1"/>
  <c r="AO101" i="1"/>
  <c r="AX118" i="1"/>
  <c r="AO159" i="1"/>
  <c r="AM166" i="1"/>
  <c r="AU218" i="1"/>
  <c r="AV221" i="1"/>
  <c r="AI95" i="1"/>
  <c r="AX153" i="1"/>
  <c r="AJ130" i="1"/>
  <c r="AV97" i="1"/>
  <c r="AS148" i="1"/>
  <c r="AO167" i="1"/>
  <c r="AQ224" i="1"/>
  <c r="AC224" i="1" s="1"/>
  <c r="AP101" i="1"/>
  <c r="AU109" i="1"/>
  <c r="AU129" i="1"/>
  <c r="AI138" i="1"/>
  <c r="AJ147" i="1"/>
  <c r="AT148" i="1"/>
  <c r="AY150" i="1"/>
  <c r="AD150" i="1" s="1"/>
  <c r="AY153" i="1"/>
  <c r="AD153" i="1" s="1"/>
  <c r="AP159" i="1"/>
  <c r="AJ165" i="1"/>
  <c r="AP166" i="1"/>
  <c r="AP167" i="1"/>
  <c r="AO208" i="1"/>
  <c r="AV218" i="1"/>
  <c r="AX221" i="1"/>
  <c r="AT224" i="1"/>
  <c r="AV95" i="1"/>
  <c r="AQ101" i="1"/>
  <c r="AC101" i="1" s="1"/>
  <c r="AU121" i="1"/>
  <c r="AL125" i="1"/>
  <c r="AO131" i="1"/>
  <c r="AF141" i="1"/>
  <c r="AQ147" i="1"/>
  <c r="AC147" i="1" s="1"/>
  <c r="AW148" i="1"/>
  <c r="AQ159" i="1"/>
  <c r="AC159" i="1" s="1"/>
  <c r="AN165" i="1"/>
  <c r="AQ166" i="1"/>
  <c r="AC166" i="1" s="1"/>
  <c r="AQ167" i="1"/>
  <c r="AC167" i="1" s="1"/>
  <c r="AU171" i="1"/>
  <c r="AV208" i="1"/>
  <c r="AG226" i="1"/>
  <c r="AU149" i="1"/>
  <c r="AF189" i="1"/>
  <c r="AH195" i="1"/>
  <c r="AF148" i="1"/>
  <c r="AM153" i="1"/>
  <c r="AI189" i="1"/>
  <c r="AJ195" i="1"/>
  <c r="AO195" i="1"/>
  <c r="AF221" i="1"/>
  <c r="AN114" i="1"/>
  <c r="AF159" i="1"/>
  <c r="AT134" i="1"/>
  <c r="AM134" i="1"/>
  <c r="AV134" i="1"/>
  <c r="AO134" i="1"/>
  <c r="AN134" i="1"/>
  <c r="AS134" i="1"/>
  <c r="AF134" i="1"/>
  <c r="AE169" i="1"/>
  <c r="AJ182" i="1"/>
  <c r="AI119" i="1"/>
  <c r="AW120" i="1"/>
  <c r="AV120" i="1"/>
  <c r="AE134" i="1"/>
  <c r="AS94" i="1"/>
  <c r="AX94" i="1"/>
  <c r="AW94" i="1"/>
  <c r="AN94" i="1"/>
  <c r="AT94" i="1"/>
  <c r="AP94" i="1"/>
  <c r="AH94" i="1"/>
  <c r="AG102" i="1"/>
  <c r="AX146" i="1"/>
  <c r="AM146" i="1"/>
  <c r="AG146" i="1"/>
  <c r="AW146" i="1"/>
  <c r="AY146" i="1"/>
  <c r="AD146" i="1" s="1"/>
  <c r="AV146" i="1"/>
  <c r="AQ146" i="1"/>
  <c r="AC146" i="1" s="1"/>
  <c r="AP146" i="1"/>
  <c r="AF146" i="1"/>
  <c r="AJ169" i="1"/>
  <c r="AU140" i="1"/>
  <c r="AP140" i="1"/>
  <c r="AT140" i="1"/>
  <c r="AL140" i="1"/>
  <c r="AE140" i="1"/>
  <c r="AG155" i="1"/>
  <c r="AT157" i="1"/>
  <c r="AJ157" i="1"/>
  <c r="AW157" i="1"/>
  <c r="AU169" i="1"/>
  <c r="AV172" i="1"/>
  <c r="AQ182" i="1"/>
  <c r="AC182" i="1" s="1"/>
  <c r="AT209" i="1"/>
  <c r="AQ209" i="1"/>
  <c r="AC209" i="1" s="1"/>
  <c r="AJ209" i="1"/>
  <c r="AE209" i="1"/>
  <c r="AV204" i="1"/>
  <c r="AU204" i="1"/>
  <c r="AP204" i="1"/>
  <c r="AY204" i="1"/>
  <c r="AD204" i="1" s="1"/>
  <c r="AW204" i="1"/>
  <c r="AI203" i="1"/>
  <c r="AM204" i="1"/>
  <c r="AL204" i="1"/>
  <c r="AJ204" i="1"/>
  <c r="AN111" i="1"/>
  <c r="AH111" i="1"/>
  <c r="AU111" i="1"/>
  <c r="AL111" i="1"/>
  <c r="AS111" i="1"/>
  <c r="AQ111" i="1"/>
  <c r="AC111" i="1" s="1"/>
  <c r="AI110" i="1"/>
  <c r="AP111" i="1"/>
  <c r="AV137" i="1"/>
  <c r="AU137" i="1"/>
  <c r="AT137" i="1"/>
  <c r="AQ102" i="1"/>
  <c r="AC102" i="1" s="1"/>
  <c r="AF135" i="1"/>
  <c r="AG94" i="1"/>
  <c r="AE96" i="1"/>
  <c r="AW102" i="1"/>
  <c r="AT113" i="1"/>
  <c r="AW113" i="1"/>
  <c r="AF113" i="1"/>
  <c r="AO113" i="1"/>
  <c r="AM113" i="1"/>
  <c r="AN113" i="1"/>
  <c r="AL113" i="1"/>
  <c r="AH113" i="1"/>
  <c r="AV113" i="1"/>
  <c r="AL117" i="1"/>
  <c r="AH135" i="1"/>
  <c r="AE146" i="1"/>
  <c r="AT155" i="1"/>
  <c r="AH157" i="1"/>
  <c r="AG201" i="1"/>
  <c r="AE201" i="1"/>
  <c r="AY201" i="1"/>
  <c r="AD201" i="1" s="1"/>
  <c r="AX201" i="1"/>
  <c r="AW201" i="1"/>
  <c r="AT201" i="1"/>
  <c r="AS201" i="1"/>
  <c r="AQ201" i="1"/>
  <c r="AC201" i="1" s="1"/>
  <c r="AN201" i="1"/>
  <c r="AM201" i="1"/>
  <c r="AI201" i="1"/>
  <c r="AO217" i="1"/>
  <c r="AM217" i="1"/>
  <c r="AJ217" i="1"/>
  <c r="AX217" i="1"/>
  <c r="AW217" i="1"/>
  <c r="AV217" i="1"/>
  <c r="AS217" i="1"/>
  <c r="AQ217" i="1"/>
  <c r="AC217" i="1" s="1"/>
  <c r="AI217" i="1"/>
  <c r="AH217" i="1"/>
  <c r="AS169" i="1"/>
  <c r="AY169" i="1"/>
  <c r="AD169" i="1" s="1"/>
  <c r="AG169" i="1"/>
  <c r="AX169" i="1"/>
  <c r="AF169" i="1"/>
  <c r="AT169" i="1"/>
  <c r="AQ169" i="1"/>
  <c r="AC169" i="1" s="1"/>
  <c r="AO169" i="1"/>
  <c r="AP169" i="1"/>
  <c r="AN169" i="1"/>
  <c r="AM169" i="1"/>
  <c r="AH169" i="1"/>
  <c r="AY198" i="1"/>
  <c r="AD198" i="1" s="1"/>
  <c r="AI197" i="1"/>
  <c r="AV198" i="1"/>
  <c r="AT198" i="1"/>
  <c r="AL198" i="1"/>
  <c r="AJ198" i="1"/>
  <c r="AX182" i="1"/>
  <c r="AG182" i="1"/>
  <c r="AF182" i="1"/>
  <c r="AW182" i="1"/>
  <c r="AV182" i="1"/>
  <c r="AT182" i="1"/>
  <c r="AI198" i="1"/>
  <c r="AG204" i="1"/>
  <c r="AE94" i="1"/>
  <c r="AY111" i="1"/>
  <c r="AD111" i="1" s="1"/>
  <c r="AI96" i="1"/>
  <c r="AX102" i="1"/>
  <c r="AM117" i="1"/>
  <c r="AQ129" i="1"/>
  <c r="AC129" i="1" s="1"/>
  <c r="AM129" i="1"/>
  <c r="AL129" i="1"/>
  <c r="AJ129" i="1"/>
  <c r="AH129" i="1"/>
  <c r="AG129" i="1"/>
  <c r="AN146" i="1"/>
  <c r="AU155" i="1"/>
  <c r="AX158" i="1"/>
  <c r="AS158" i="1"/>
  <c r="AE158" i="1"/>
  <c r="AQ158" i="1"/>
  <c r="AC158" i="1" s="1"/>
  <c r="AI158" i="1"/>
  <c r="AH158" i="1"/>
  <c r="AG158" i="1"/>
  <c r="AW170" i="1"/>
  <c r="AJ170" i="1"/>
  <c r="AW173" i="1"/>
  <c r="AU173" i="1"/>
  <c r="AT173" i="1"/>
  <c r="AQ173" i="1"/>
  <c r="AC173" i="1" s="1"/>
  <c r="AV173" i="1"/>
  <c r="AN173" i="1"/>
  <c r="AJ173" i="1"/>
  <c r="AG173" i="1"/>
  <c r="AH201" i="1"/>
  <c r="AE217" i="1"/>
  <c r="AP102" i="1"/>
  <c r="AU103" i="1"/>
  <c r="AI102" i="1"/>
  <c r="AL103" i="1"/>
  <c r="AP103" i="1"/>
  <c r="AX155" i="1"/>
  <c r="AV193" i="1"/>
  <c r="AX193" i="1"/>
  <c r="AT193" i="1"/>
  <c r="AS193" i="1"/>
  <c r="AQ193" i="1"/>
  <c r="AC193" i="1" s="1"/>
  <c r="AP193" i="1"/>
  <c r="AN193" i="1"/>
  <c r="AH193" i="1"/>
  <c r="AG193" i="1"/>
  <c r="AF217" i="1"/>
  <c r="AX223" i="1"/>
  <c r="AT223" i="1"/>
  <c r="AS223" i="1"/>
  <c r="AQ223" i="1"/>
  <c r="AC223" i="1" s="1"/>
  <c r="AW223" i="1"/>
  <c r="AJ223" i="1"/>
  <c r="AH223" i="1"/>
  <c r="AF223" i="1"/>
  <c r="AE223" i="1"/>
  <c r="AH181" i="1"/>
  <c r="AG181" i="1"/>
  <c r="AE181" i="1"/>
  <c r="AX181" i="1"/>
  <c r="AV181" i="1"/>
  <c r="AU181" i="1"/>
  <c r="AT181" i="1"/>
  <c r="AP181" i="1"/>
  <c r="AO181" i="1"/>
  <c r="AJ181" i="1"/>
  <c r="AT120" i="1"/>
  <c r="AX134" i="1"/>
  <c r="AJ94" i="1"/>
  <c r="AI109" i="1"/>
  <c r="AG110" i="1"/>
  <c r="AO110" i="1"/>
  <c r="AN110" i="1"/>
  <c r="AH110" i="1"/>
  <c r="AF110" i="1"/>
  <c r="AY110" i="1"/>
  <c r="AD110" i="1" s="1"/>
  <c r="AO117" i="1"/>
  <c r="AY94" i="1"/>
  <c r="AD94" i="1" s="1"/>
  <c r="AJ103" i="1"/>
  <c r="AE110" i="1"/>
  <c r="AG113" i="1"/>
  <c r="AT129" i="1"/>
  <c r="AV158" i="1"/>
  <c r="AM170" i="1"/>
  <c r="AH173" i="1"/>
  <c r="AF193" i="1"/>
  <c r="AW134" i="1"/>
  <c r="AF94" i="1"/>
  <c r="AP95" i="1"/>
  <c r="AU95" i="1"/>
  <c r="AT95" i="1"/>
  <c r="AS95" i="1"/>
  <c r="AQ95" i="1"/>
  <c r="AC95" i="1" s="1"/>
  <c r="AL95" i="1"/>
  <c r="AH95" i="1"/>
  <c r="AW115" i="1"/>
  <c r="AY115" i="1"/>
  <c r="AD115" i="1" s="1"/>
  <c r="AQ115" i="1"/>
  <c r="AC115" i="1" s="1"/>
  <c r="AI114" i="1"/>
  <c r="AP115" i="1"/>
  <c r="AL115" i="1"/>
  <c r="AH115" i="1"/>
  <c r="AG115" i="1"/>
  <c r="AV102" i="1"/>
  <c r="AS102" i="1"/>
  <c r="AO102" i="1"/>
  <c r="AH102" i="1"/>
  <c r="AN102" i="1"/>
  <c r="AJ102" i="1"/>
  <c r="AY102" i="1"/>
  <c r="AD102" i="1" s="1"/>
  <c r="AE102" i="1"/>
  <c r="AG111" i="1"/>
  <c r="AT117" i="1"/>
  <c r="AN117" i="1"/>
  <c r="AH117" i="1"/>
  <c r="AX117" i="1"/>
  <c r="AY117" i="1"/>
  <c r="AD117" i="1" s="1"/>
  <c r="AG117" i="1"/>
  <c r="AV117" i="1"/>
  <c r="AF117" i="1"/>
  <c r="AW117" i="1"/>
  <c r="AE117" i="1"/>
  <c r="AQ117" i="1"/>
  <c r="AC117" i="1" s="1"/>
  <c r="AV135" i="1"/>
  <c r="AO135" i="1"/>
  <c r="AL135" i="1"/>
  <c r="AI134" i="1"/>
  <c r="AY135" i="1"/>
  <c r="AD135" i="1" s="1"/>
  <c r="AX135" i="1"/>
  <c r="AU135" i="1"/>
  <c r="AQ135" i="1"/>
  <c r="AC135" i="1" s="1"/>
  <c r="AG135" i="1"/>
  <c r="AM155" i="1"/>
  <c r="AJ155" i="1"/>
  <c r="AS155" i="1"/>
  <c r="AQ155" i="1"/>
  <c r="AC155" i="1" s="1"/>
  <c r="AP155" i="1"/>
  <c r="AO155" i="1"/>
  <c r="AH155" i="1"/>
  <c r="AI155" i="1"/>
  <c r="AF155" i="1"/>
  <c r="AO172" i="1"/>
  <c r="AN172" i="1"/>
  <c r="AU172" i="1"/>
  <c r="AS172" i="1"/>
  <c r="AI171" i="1"/>
  <c r="AL172" i="1"/>
  <c r="AJ172" i="1"/>
  <c r="AH172" i="1"/>
  <c r="AF172" i="1"/>
  <c r="AL96" i="1"/>
  <c r="AU96" i="1"/>
  <c r="AT96" i="1"/>
  <c r="AO96" i="1"/>
  <c r="AN96" i="1"/>
  <c r="AS96" i="1"/>
  <c r="AF96" i="1"/>
  <c r="AJ96" i="1"/>
  <c r="AW96" i="1"/>
  <c r="AP110" i="1"/>
  <c r="AS117" i="1"/>
  <c r="AT97" i="1"/>
  <c r="AX97" i="1"/>
  <c r="AG97" i="1"/>
  <c r="AP97" i="1"/>
  <c r="AO97" i="1"/>
  <c r="AN97" i="1"/>
  <c r="AL97" i="1"/>
  <c r="AM97" i="1"/>
  <c r="AW97" i="1"/>
  <c r="AE97" i="1"/>
  <c r="AS110" i="1"/>
  <c r="AQ113" i="1"/>
  <c r="AC113" i="1" s="1"/>
  <c r="AS115" i="1"/>
  <c r="AU117" i="1"/>
  <c r="AV129" i="1"/>
  <c r="AI136" i="1"/>
  <c r="AO160" i="1"/>
  <c r="AV185" i="1"/>
  <c r="AU185" i="1"/>
  <c r="AT203" i="1"/>
  <c r="AQ203" i="1"/>
  <c r="AC203" i="1" s="1"/>
  <c r="AN203" i="1"/>
  <c r="AV106" i="1"/>
  <c r="AO106" i="1"/>
  <c r="AX106" i="1"/>
  <c r="AX122" i="1"/>
  <c r="AS122" i="1"/>
  <c r="AO124" i="1"/>
  <c r="AF124" i="1"/>
  <c r="AE124" i="1"/>
  <c r="AN130" i="1"/>
  <c r="AX130" i="1"/>
  <c r="AT156" i="1"/>
  <c r="AF156" i="1"/>
  <c r="AE156" i="1"/>
  <c r="AQ164" i="1"/>
  <c r="AC164" i="1" s="1"/>
  <c r="AU165" i="1"/>
  <c r="AE203" i="1"/>
  <c r="AI202" i="1"/>
  <c r="AF203" i="1"/>
  <c r="AP150" i="1"/>
  <c r="AO150" i="1"/>
  <c r="AT164" i="1"/>
  <c r="AT186" i="1"/>
  <c r="AO186" i="1"/>
  <c r="AN186" i="1"/>
  <c r="AM186" i="1"/>
  <c r="AO191" i="1"/>
  <c r="AX191" i="1"/>
  <c r="AS191" i="1"/>
  <c r="AH199" i="1"/>
  <c r="AV139" i="1"/>
  <c r="AO139" i="1"/>
  <c r="AL139" i="1"/>
  <c r="AE150" i="1"/>
  <c r="AE161" i="1"/>
  <c r="AF168" i="1"/>
  <c r="AP171" i="1"/>
  <c r="AL171" i="1"/>
  <c r="AQ183" i="1"/>
  <c r="AC183" i="1" s="1"/>
  <c r="AI182" i="1"/>
  <c r="AO183" i="1"/>
  <c r="AM183" i="1"/>
  <c r="AJ186" i="1"/>
  <c r="AH188" i="1"/>
  <c r="AF191" i="1"/>
  <c r="AL199" i="1"/>
  <c r="AJ203" i="1"/>
  <c r="AT210" i="1"/>
  <c r="AJ210" i="1"/>
  <c r="AH210" i="1"/>
  <c r="AG210" i="1"/>
  <c r="AX164" i="1"/>
  <c r="AF164" i="1"/>
  <c r="AW164" i="1"/>
  <c r="AE164" i="1"/>
  <c r="AT93" i="1"/>
  <c r="AW93" i="1"/>
  <c r="AF93" i="1"/>
  <c r="AU114" i="1"/>
  <c r="AW114" i="1"/>
  <c r="AW119" i="1"/>
  <c r="AL119" i="1"/>
  <c r="AU93" i="1"/>
  <c r="AM99" i="1"/>
  <c r="AJ108" i="1"/>
  <c r="AT142" i="1"/>
  <c r="AW142" i="1"/>
  <c r="AF142" i="1"/>
  <c r="AV142" i="1"/>
  <c r="AE142" i="1"/>
  <c r="AM161" i="1"/>
  <c r="AM168" i="1"/>
  <c r="AW187" i="1"/>
  <c r="AX187" i="1"/>
  <c r="AV187" i="1"/>
  <c r="AS187" i="1"/>
  <c r="AH191" i="1"/>
  <c r="AX205" i="1"/>
  <c r="AW205" i="1"/>
  <c r="AJ106" i="1"/>
  <c r="AF114" i="1"/>
  <c r="AH119" i="1"/>
  <c r="AQ124" i="1"/>
  <c r="AC124" i="1" s="1"/>
  <c r="AW130" i="1"/>
  <c r="AF139" i="1"/>
  <c r="AO161" i="1"/>
  <c r="AN168" i="1"/>
  <c r="AH171" i="1"/>
  <c r="AX174" i="1"/>
  <c r="AT174" i="1"/>
  <c r="AH183" i="1"/>
  <c r="AL188" i="1"/>
  <c r="AL191" i="1"/>
  <c r="AU203" i="1"/>
  <c r="AF205" i="1"/>
  <c r="AM210" i="1"/>
  <c r="AF150" i="1"/>
  <c r="AW165" i="1"/>
  <c r="AY165" i="1"/>
  <c r="AD165" i="1" s="1"/>
  <c r="AL203" i="1"/>
  <c r="AV222" i="1"/>
  <c r="AL222" i="1"/>
  <c r="AH222" i="1"/>
  <c r="AG222" i="1"/>
  <c r="AX123" i="1"/>
  <c r="AI122" i="1"/>
  <c r="AG142" i="1"/>
  <c r="AS153" i="1"/>
  <c r="AG153" i="1"/>
  <c r="AF153" i="1"/>
  <c r="AX93" i="1"/>
  <c r="AT101" i="1"/>
  <c r="AY101" i="1"/>
  <c r="AD101" i="1" s="1"/>
  <c r="AH101" i="1"/>
  <c r="AS101" i="1"/>
  <c r="AN106" i="1"/>
  <c r="AG114" i="1"/>
  <c r="AM119" i="1"/>
  <c r="AF123" i="1"/>
  <c r="AS124" i="1"/>
  <c r="AT138" i="1"/>
  <c r="AN138" i="1"/>
  <c r="AM138" i="1"/>
  <c r="AG139" i="1"/>
  <c r="AH142" i="1"/>
  <c r="AH150" i="1"/>
  <c r="AE153" i="1"/>
  <c r="AQ156" i="1"/>
  <c r="AC156" i="1" s="1"/>
  <c r="AP161" i="1"/>
  <c r="AH164" i="1"/>
  <c r="AF165" i="1"/>
  <c r="AQ168" i="1"/>
  <c r="AC168" i="1" s="1"/>
  <c r="AE174" i="1"/>
  <c r="AJ180" i="1"/>
  <c r="AF187" i="1"/>
  <c r="AQ188" i="1"/>
  <c r="AC188" i="1" s="1"/>
  <c r="AN191" i="1"/>
  <c r="AL200" i="1"/>
  <c r="AV203" i="1"/>
  <c r="AH205" i="1"/>
  <c r="AJ207" i="1"/>
  <c r="AH207" i="1"/>
  <c r="AF207" i="1"/>
  <c r="AP210" i="1"/>
  <c r="AL218" i="1"/>
  <c r="AJ218" i="1"/>
  <c r="AH218" i="1"/>
  <c r="AM220" i="1"/>
  <c r="AQ222" i="1"/>
  <c r="AC222" i="1" s="1"/>
  <c r="AS227" i="1"/>
  <c r="AN227" i="1"/>
  <c r="AM227" i="1"/>
  <c r="AS93" i="1"/>
  <c r="AU108" i="1"/>
  <c r="AN108" i="1"/>
  <c r="AE114" i="1"/>
  <c r="AG119" i="1"/>
  <c r="AJ188" i="1"/>
  <c r="AV93" i="1"/>
  <c r="AL108" i="1"/>
  <c r="AG150" i="1"/>
  <c r="AO156" i="1"/>
  <c r="AE93" i="1"/>
  <c r="AG93" i="1"/>
  <c r="AY93" i="1"/>
  <c r="AD93" i="1" s="1"/>
  <c r="AU101" i="1"/>
  <c r="AT105" i="1"/>
  <c r="AU105" i="1"/>
  <c r="AS105" i="1"/>
  <c r="AP106" i="1"/>
  <c r="AT109" i="1"/>
  <c r="AO109" i="1"/>
  <c r="AS109" i="1"/>
  <c r="AU118" i="1"/>
  <c r="AF118" i="1"/>
  <c r="AE118" i="1"/>
  <c r="AP119" i="1"/>
  <c r="AG123" i="1"/>
  <c r="AT124" i="1"/>
  <c r="AQ136" i="1"/>
  <c r="AC136" i="1" s="1"/>
  <c r="AN136" i="1"/>
  <c r="AE138" i="1"/>
  <c r="AH139" i="1"/>
  <c r="AL142" i="1"/>
  <c r="AJ150" i="1"/>
  <c r="AH153" i="1"/>
  <c r="AU156" i="1"/>
  <c r="AI164" i="1"/>
  <c r="AH165" i="1"/>
  <c r="AJ171" i="1"/>
  <c r="AF174" i="1"/>
  <c r="AG187" i="1"/>
  <c r="AP189" i="1"/>
  <c r="AN189" i="1"/>
  <c r="AM189" i="1"/>
  <c r="AE195" i="1"/>
  <c r="AN200" i="1"/>
  <c r="AX203" i="1"/>
  <c r="AJ205" i="1"/>
  <c r="AQ210" i="1"/>
  <c r="AC210" i="1" s="1"/>
  <c r="AT222" i="1"/>
  <c r="AJ227" i="1"/>
  <c r="AH226" i="1"/>
  <c r="AX148" i="1"/>
  <c r="AU159" i="1"/>
  <c r="AV224" i="1"/>
  <c r="AW225" i="1"/>
  <c r="AX125" i="1"/>
  <c r="AX131" i="1"/>
  <c r="AE141" i="1"/>
  <c r="AE148" i="1"/>
  <c r="AG197" i="1"/>
  <c r="AX225" i="1"/>
  <c r="AN98" i="1"/>
  <c r="AY98" i="1"/>
  <c r="AD98" i="1" s="1"/>
  <c r="AL99" i="1"/>
  <c r="AY99" i="1"/>
  <c r="AD99" i="1" s="1"/>
  <c r="AL100" i="1"/>
  <c r="AX100" i="1"/>
  <c r="AF104" i="1"/>
  <c r="AQ104" i="1"/>
  <c r="AC104" i="1" s="1"/>
  <c r="AH104" i="1"/>
  <c r="AY104" i="1"/>
  <c r="AD104" i="1" s="1"/>
  <c r="AP104" i="1"/>
  <c r="AG104" i="1"/>
  <c r="AX104" i="1"/>
  <c r="AO104" i="1"/>
  <c r="AN104" i="1"/>
  <c r="AQ107" i="1"/>
  <c r="AC107" i="1" s="1"/>
  <c r="AU112" i="1"/>
  <c r="AY176" i="1"/>
  <c r="AD176" i="1" s="1"/>
  <c r="AP176" i="1"/>
  <c r="AG176" i="1"/>
  <c r="AW176" i="1"/>
  <c r="AM176" i="1"/>
  <c r="AX176" i="1"/>
  <c r="AL176" i="1"/>
  <c r="AV176" i="1"/>
  <c r="AJ176" i="1"/>
  <c r="AU176" i="1"/>
  <c r="AT176" i="1"/>
  <c r="AH176" i="1"/>
  <c r="AI175" i="1"/>
  <c r="AQ176" i="1"/>
  <c r="AC176" i="1" s="1"/>
  <c r="AO176" i="1"/>
  <c r="AN176" i="1"/>
  <c r="AF176" i="1"/>
  <c r="AS176" i="1"/>
  <c r="AU178" i="1"/>
  <c r="AL178" i="1"/>
  <c r="AI177" i="1"/>
  <c r="AY178" i="1"/>
  <c r="AD178" i="1" s="1"/>
  <c r="AO178" i="1"/>
  <c r="AE178" i="1"/>
  <c r="AV178" i="1"/>
  <c r="AT178" i="1"/>
  <c r="AH178" i="1"/>
  <c r="AS178" i="1"/>
  <c r="AG178" i="1"/>
  <c r="AQ178" i="1"/>
  <c r="AC178" i="1" s="1"/>
  <c r="AF178" i="1"/>
  <c r="AN178" i="1"/>
  <c r="AM178" i="1"/>
  <c r="AJ178" i="1"/>
  <c r="AP178" i="1"/>
  <c r="AO98" i="1"/>
  <c r="AS107" i="1"/>
  <c r="AS145" i="1"/>
  <c r="AX145" i="1"/>
  <c r="AN145" i="1"/>
  <c r="AW145" i="1"/>
  <c r="AM145" i="1"/>
  <c r="AL145" i="1"/>
  <c r="AV145" i="1"/>
  <c r="AH145" i="1"/>
  <c r="AU145" i="1"/>
  <c r="AG145" i="1"/>
  <c r="AO145" i="1"/>
  <c r="AQ145" i="1"/>
  <c r="AC145" i="1" s="1"/>
  <c r="AP145" i="1"/>
  <c r="AJ145" i="1"/>
  <c r="AI144" i="1"/>
  <c r="AF145" i="1"/>
  <c r="AT145" i="1"/>
  <c r="AN92" i="1"/>
  <c r="AN100" i="1"/>
  <c r="AY116" i="1"/>
  <c r="AD116" i="1" s="1"/>
  <c r="AP116" i="1"/>
  <c r="AG116" i="1"/>
  <c r="AX116" i="1"/>
  <c r="AO116" i="1"/>
  <c r="AF116" i="1"/>
  <c r="AW116" i="1"/>
  <c r="AN116" i="1"/>
  <c r="AE116" i="1"/>
  <c r="AV116" i="1"/>
  <c r="AM116" i="1"/>
  <c r="AQ116" i="1"/>
  <c r="AC116" i="1" s="1"/>
  <c r="AH116" i="1"/>
  <c r="AS100" i="1"/>
  <c r="AQ103" i="1"/>
  <c r="AC103" i="1" s="1"/>
  <c r="AY107" i="1"/>
  <c r="AD107" i="1" s="1"/>
  <c r="AU120" i="1"/>
  <c r="AY120" i="1"/>
  <c r="AD120" i="1" s="1"/>
  <c r="AP120" i="1"/>
  <c r="AQ120" i="1"/>
  <c r="AC120" i="1" s="1"/>
  <c r="AG120" i="1"/>
  <c r="AO120" i="1"/>
  <c r="AF120" i="1"/>
  <c r="AN120" i="1"/>
  <c r="AE120" i="1"/>
  <c r="AX120" i="1"/>
  <c r="AM120" i="1"/>
  <c r="AS120" i="1"/>
  <c r="AH120" i="1"/>
  <c r="AE92" i="1"/>
  <c r="AG98" i="1"/>
  <c r="AG99" i="1"/>
  <c r="AT100" i="1"/>
  <c r="AS103" i="1"/>
  <c r="AV104" i="1"/>
  <c r="AH107" i="1"/>
  <c r="AT108" i="1"/>
  <c r="AW151" i="1"/>
  <c r="AN151" i="1"/>
  <c r="AE151" i="1"/>
  <c r="AT151" i="1"/>
  <c r="AS151" i="1"/>
  <c r="AH151" i="1"/>
  <c r="AV151" i="1"/>
  <c r="AG151" i="1"/>
  <c r="AQ151" i="1"/>
  <c r="AC151" i="1" s="1"/>
  <c r="AP151" i="1"/>
  <c r="AX151" i="1"/>
  <c r="AJ151" i="1"/>
  <c r="AI150" i="1"/>
  <c r="AO151" i="1"/>
  <c r="AM151" i="1"/>
  <c r="AL151" i="1"/>
  <c r="AF151" i="1"/>
  <c r="AU151" i="1"/>
  <c r="AF92" i="1"/>
  <c r="AT92" i="1"/>
  <c r="AV94" i="1"/>
  <c r="AM94" i="1"/>
  <c r="AU94" i="1"/>
  <c r="AL94" i="1"/>
  <c r="AI93" i="1"/>
  <c r="AO94" i="1"/>
  <c r="AN95" i="1"/>
  <c r="AX95" i="1"/>
  <c r="AO95" i="1"/>
  <c r="AF95" i="1"/>
  <c r="AW95" i="1"/>
  <c r="AE95" i="1"/>
  <c r="AM95" i="1"/>
  <c r="AQ96" i="1"/>
  <c r="AC96" i="1" s="1"/>
  <c r="AH96" i="1"/>
  <c r="AY96" i="1"/>
  <c r="AD96" i="1" s="1"/>
  <c r="AP96" i="1"/>
  <c r="AG96" i="1"/>
  <c r="AM96" i="1"/>
  <c r="AX96" i="1"/>
  <c r="AH98" i="1"/>
  <c r="AT98" i="1"/>
  <c r="AH99" i="1"/>
  <c r="AF100" i="1"/>
  <c r="AU100" i="1"/>
  <c r="AG103" i="1"/>
  <c r="AT103" i="1"/>
  <c r="AJ104" i="1"/>
  <c r="AW104" i="1"/>
  <c r="AI107" i="1"/>
  <c r="AJ116" i="1"/>
  <c r="AI120" i="1"/>
  <c r="AP133" i="1"/>
  <c r="AY151" i="1"/>
  <c r="AD151" i="1" s="1"/>
  <c r="AW178" i="1"/>
  <c r="AM92" i="1"/>
  <c r="AX99" i="1"/>
  <c r="AO99" i="1"/>
  <c r="AF99" i="1"/>
  <c r="AW99" i="1"/>
  <c r="AN99" i="1"/>
  <c r="AE99" i="1"/>
  <c r="AM100" i="1"/>
  <c r="AX112" i="1"/>
  <c r="AO112" i="1"/>
  <c r="AW112" i="1"/>
  <c r="AN112" i="1"/>
  <c r="AE112" i="1"/>
  <c r="AV112" i="1"/>
  <c r="AM112" i="1"/>
  <c r="AQ112" i="1"/>
  <c r="AC112" i="1" s="1"/>
  <c r="AH112" i="1"/>
  <c r="AY112" i="1"/>
  <c r="AD112" i="1" s="1"/>
  <c r="AP112" i="1"/>
  <c r="AG112" i="1"/>
  <c r="AF112" i="1"/>
  <c r="AP99" i="1"/>
  <c r="AT104" i="1"/>
  <c r="AU107" i="1"/>
  <c r="AO92" i="1"/>
  <c r="AQ98" i="1"/>
  <c r="AC98" i="1" s="1"/>
  <c r="AU104" i="1"/>
  <c r="AS92" i="1"/>
  <c r="AS98" i="1"/>
  <c r="AS99" i="1"/>
  <c r="AI104" i="1"/>
  <c r="AX108" i="1"/>
  <c r="AV108" i="1"/>
  <c r="AM108" i="1"/>
  <c r="AQ108" i="1"/>
  <c r="AC108" i="1" s="1"/>
  <c r="AH108" i="1"/>
  <c r="AY108" i="1"/>
  <c r="AD108" i="1" s="1"/>
  <c r="AP108" i="1"/>
  <c r="AG108" i="1"/>
  <c r="AO108" i="1"/>
  <c r="AF108" i="1"/>
  <c r="AJ112" i="1"/>
  <c r="AI116" i="1"/>
  <c r="AM133" i="1"/>
  <c r="AW143" i="1"/>
  <c r="AN143" i="1"/>
  <c r="AE143" i="1"/>
  <c r="AV143" i="1"/>
  <c r="AM143" i="1"/>
  <c r="AU143" i="1"/>
  <c r="AS143" i="1"/>
  <c r="AG143" i="1"/>
  <c r="AI142" i="1"/>
  <c r="AQ143" i="1"/>
  <c r="AC143" i="1" s="1"/>
  <c r="AF143" i="1"/>
  <c r="AX143" i="1"/>
  <c r="AJ143" i="1"/>
  <c r="AO143" i="1"/>
  <c r="AL143" i="1"/>
  <c r="AH143" i="1"/>
  <c r="AP143" i="1"/>
  <c r="AU99" i="1"/>
  <c r="AH103" i="1"/>
  <c r="AL104" i="1"/>
  <c r="AI106" i="1"/>
  <c r="AE108" i="1"/>
  <c r="AW108" i="1"/>
  <c r="AS112" i="1"/>
  <c r="AL116" i="1"/>
  <c r="AJ120" i="1"/>
  <c r="AV128" i="1"/>
  <c r="AM128" i="1"/>
  <c r="AU128" i="1"/>
  <c r="AL128" i="1"/>
  <c r="AI127" i="1"/>
  <c r="AY128" i="1"/>
  <c r="AD128" i="1" s="1"/>
  <c r="AP128" i="1"/>
  <c r="AG128" i="1"/>
  <c r="AJ128" i="1"/>
  <c r="AX128" i="1"/>
  <c r="AI128" i="1"/>
  <c r="AW128" i="1"/>
  <c r="AH128" i="1"/>
  <c r="AT128" i="1"/>
  <c r="AF128" i="1"/>
  <c r="AN128" i="1"/>
  <c r="AX132" i="1"/>
  <c r="AO132" i="1"/>
  <c r="AF132" i="1"/>
  <c r="AV132" i="1"/>
  <c r="AM132" i="1"/>
  <c r="AU132" i="1"/>
  <c r="AL132" i="1"/>
  <c r="AI131" i="1"/>
  <c r="AY132" i="1"/>
  <c r="AD132" i="1" s="1"/>
  <c r="AP132" i="1"/>
  <c r="AG132" i="1"/>
  <c r="AQ132" i="1"/>
  <c r="AC132" i="1" s="1"/>
  <c r="AN132" i="1"/>
  <c r="AJ132" i="1"/>
  <c r="AS132" i="1"/>
  <c r="AQ137" i="1"/>
  <c r="AC137" i="1" s="1"/>
  <c r="AH137" i="1"/>
  <c r="AX137" i="1"/>
  <c r="AO137" i="1"/>
  <c r="AF137" i="1"/>
  <c r="AW137" i="1"/>
  <c r="AN137" i="1"/>
  <c r="AE137" i="1"/>
  <c r="AS137" i="1"/>
  <c r="AM137" i="1"/>
  <c r="AL137" i="1"/>
  <c r="AJ137" i="1"/>
  <c r="AY137" i="1"/>
  <c r="AD137" i="1" s="1"/>
  <c r="AG137" i="1"/>
  <c r="AP137" i="1"/>
  <c r="AY143" i="1"/>
  <c r="AD143" i="1" s="1"/>
  <c r="AY152" i="1"/>
  <c r="AD152" i="1" s="1"/>
  <c r="AP152" i="1"/>
  <c r="AG152" i="1"/>
  <c r="AS152" i="1"/>
  <c r="AO152" i="1"/>
  <c r="AE152" i="1"/>
  <c r="AI151" i="1"/>
  <c r="AX152" i="1"/>
  <c r="AN152" i="1"/>
  <c r="AJ152" i="1"/>
  <c r="AV152" i="1"/>
  <c r="AH152" i="1"/>
  <c r="AU152" i="1"/>
  <c r="AF152" i="1"/>
  <c r="AL152" i="1"/>
  <c r="AT152" i="1"/>
  <c r="AQ152" i="1"/>
  <c r="AC152" i="1" s="1"/>
  <c r="AM152" i="1"/>
  <c r="AI152" i="1"/>
  <c r="AW152" i="1"/>
  <c r="AX178" i="1"/>
  <c r="AP92" i="1"/>
  <c r="AQ92" i="1"/>
  <c r="AC92" i="1" s="1"/>
  <c r="AH92" i="1"/>
  <c r="AY92" i="1"/>
  <c r="AD92" i="1" s="1"/>
  <c r="AG92" i="1"/>
  <c r="AX92" i="1"/>
  <c r="AV98" i="1"/>
  <c r="AM98" i="1"/>
  <c r="AU98" i="1"/>
  <c r="AL98" i="1"/>
  <c r="AI97" i="1"/>
  <c r="AY100" i="1"/>
  <c r="AD100" i="1" s="1"/>
  <c r="AQ100" i="1"/>
  <c r="AC100" i="1" s="1"/>
  <c r="AH100" i="1"/>
  <c r="AP100" i="1"/>
  <c r="AG100" i="1"/>
  <c r="AO100" i="1"/>
  <c r="AT107" i="1"/>
  <c r="AJ107" i="1"/>
  <c r="AX107" i="1"/>
  <c r="AO107" i="1"/>
  <c r="AF107" i="1"/>
  <c r="AW107" i="1"/>
  <c r="AN107" i="1"/>
  <c r="AE107" i="1"/>
  <c r="AV107" i="1"/>
  <c r="AM107" i="1"/>
  <c r="AE98" i="1"/>
  <c r="AP98" i="1"/>
  <c r="AI111" i="1"/>
  <c r="AE145" i="1"/>
  <c r="AE176" i="1"/>
  <c r="AF98" i="1"/>
  <c r="AQ99" i="1"/>
  <c r="AC99" i="1" s="1"/>
  <c r="AW103" i="1"/>
  <c r="AX103" i="1"/>
  <c r="AO103" i="1"/>
  <c r="AF103" i="1"/>
  <c r="AN103" i="1"/>
  <c r="AE103" i="1"/>
  <c r="AV103" i="1"/>
  <c r="AM103" i="1"/>
  <c r="AE104" i="1"/>
  <c r="AG107" i="1"/>
  <c r="AI112" i="1"/>
  <c r="AI115" i="1"/>
  <c r="AQ133" i="1"/>
  <c r="AC133" i="1" s="1"/>
  <c r="AH133" i="1"/>
  <c r="AX133" i="1"/>
  <c r="AO133" i="1"/>
  <c r="AF133" i="1"/>
  <c r="AW133" i="1"/>
  <c r="AN133" i="1"/>
  <c r="AE133" i="1"/>
  <c r="AS133" i="1"/>
  <c r="AJ133" i="1"/>
  <c r="AY133" i="1"/>
  <c r="AD133" i="1" s="1"/>
  <c r="AG133" i="1"/>
  <c r="AV133" i="1"/>
  <c r="AU133" i="1"/>
  <c r="AI132" i="1"/>
  <c r="AL133" i="1"/>
  <c r="AY145" i="1"/>
  <c r="AD145" i="1" s="1"/>
  <c r="AE100" i="1"/>
  <c r="AI92" i="1"/>
  <c r="AI98" i="1"/>
  <c r="AI99" i="1"/>
  <c r="AI100" i="1"/>
  <c r="AJ92" i="1"/>
  <c r="AV92" i="1"/>
  <c r="AQ94" i="1"/>
  <c r="AC94" i="1" s="1"/>
  <c r="AJ98" i="1"/>
  <c r="AX98" i="1"/>
  <c r="AJ99" i="1"/>
  <c r="AV99" i="1"/>
  <c r="AJ100" i="1"/>
  <c r="AW100" i="1"/>
  <c r="AI103" i="1"/>
  <c r="AY103" i="1"/>
  <c r="AD103" i="1" s="1"/>
  <c r="AM104" i="1"/>
  <c r="AP107" i="1"/>
  <c r="AI108" i="1"/>
  <c r="AT112" i="1"/>
  <c r="AS116" i="1"/>
  <c r="AL120" i="1"/>
  <c r="AY144" i="1"/>
  <c r="AD144" i="1" s="1"/>
  <c r="AP144" i="1"/>
  <c r="AG144" i="1"/>
  <c r="AS144" i="1"/>
  <c r="AH144" i="1"/>
  <c r="AQ144" i="1"/>
  <c r="AC144" i="1" s="1"/>
  <c r="AF144" i="1"/>
  <c r="AW144" i="1"/>
  <c r="AJ144" i="1"/>
  <c r="AI143" i="1"/>
  <c r="AU144" i="1"/>
  <c r="AE144" i="1"/>
  <c r="AT144" i="1"/>
  <c r="AX144" i="1"/>
  <c r="AL144" i="1"/>
  <c r="AN144" i="1"/>
  <c r="AM144" i="1"/>
  <c r="AO144" i="1"/>
  <c r="AT102" i="1"/>
  <c r="AJ110" i="1"/>
  <c r="AT110" i="1"/>
  <c r="AM111" i="1"/>
  <c r="AJ114" i="1"/>
  <c r="AI101" i="1"/>
  <c r="AL102" i="1"/>
  <c r="AU102" i="1"/>
  <c r="AI105" i="1"/>
  <c r="AL106" i="1"/>
  <c r="AU106" i="1"/>
  <c r="AL110" i="1"/>
  <c r="AU110" i="1"/>
  <c r="AE111" i="1"/>
  <c r="AW111" i="1"/>
  <c r="AI113" i="1"/>
  <c r="AL114" i="1"/>
  <c r="AJ93" i="1"/>
  <c r="AJ97" i="1"/>
  <c r="AJ101" i="1"/>
  <c r="AM102" i="1"/>
  <c r="AJ105" i="1"/>
  <c r="AM106" i="1"/>
  <c r="AJ109" i="1"/>
  <c r="AM110" i="1"/>
  <c r="AV110" i="1"/>
  <c r="AF111" i="1"/>
  <c r="AO111" i="1"/>
  <c r="AX111" i="1"/>
  <c r="AJ113" i="1"/>
  <c r="AM114" i="1"/>
  <c r="AV114" i="1"/>
  <c r="AF115" i="1"/>
  <c r="AO115" i="1"/>
  <c r="AX115" i="1"/>
  <c r="AJ117" i="1"/>
  <c r="AM118" i="1"/>
  <c r="AV118" i="1"/>
  <c r="AF119" i="1"/>
  <c r="AO119" i="1"/>
  <c r="AX119" i="1"/>
  <c r="AF121" i="1"/>
  <c r="AQ121" i="1"/>
  <c r="AC121" i="1" s="1"/>
  <c r="AE122" i="1"/>
  <c r="AQ122" i="1"/>
  <c r="AC122" i="1" s="1"/>
  <c r="AP123" i="1"/>
  <c r="AY126" i="1"/>
  <c r="AD126" i="1" s="1"/>
  <c r="AP126" i="1"/>
  <c r="AG126" i="1"/>
  <c r="AU126" i="1"/>
  <c r="AL126" i="1"/>
  <c r="AI125" i="1"/>
  <c r="AN126" i="1"/>
  <c r="AS127" i="1"/>
  <c r="AW127" i="1"/>
  <c r="AN127" i="1"/>
  <c r="AE127" i="1"/>
  <c r="AM127" i="1"/>
  <c r="AY127" i="1"/>
  <c r="AD127" i="1" s="1"/>
  <c r="AF130" i="1"/>
  <c r="AV130" i="1"/>
  <c r="AJ140" i="1"/>
  <c r="AI147" i="1"/>
  <c r="AQ110" i="1"/>
  <c r="AC110" i="1" s="1"/>
  <c r="AJ111" i="1"/>
  <c r="AT111" i="1"/>
  <c r="AH114" i="1"/>
  <c r="AQ114" i="1"/>
  <c r="AC114" i="1" s="1"/>
  <c r="AJ115" i="1"/>
  <c r="AT115" i="1"/>
  <c r="AH118" i="1"/>
  <c r="AQ118" i="1"/>
  <c r="AC118" i="1" s="1"/>
  <c r="AJ119" i="1"/>
  <c r="AT119" i="1"/>
  <c r="AL121" i="1"/>
  <c r="AJ122" i="1"/>
  <c r="AW122" i="1"/>
  <c r="AJ123" i="1"/>
  <c r="AV123" i="1"/>
  <c r="AV147" i="1"/>
  <c r="AS149" i="1"/>
  <c r="AQ149" i="1"/>
  <c r="AC149" i="1" s="1"/>
  <c r="AG149" i="1"/>
  <c r="AP149" i="1"/>
  <c r="AF149" i="1"/>
  <c r="AV149" i="1"/>
  <c r="AH149" i="1"/>
  <c r="AT149" i="1"/>
  <c r="AO149" i="1"/>
  <c r="AW149" i="1"/>
  <c r="AJ149" i="1"/>
  <c r="AS177" i="1"/>
  <c r="AT177" i="1"/>
  <c r="AH177" i="1"/>
  <c r="AW177" i="1"/>
  <c r="AL177" i="1"/>
  <c r="AV177" i="1"/>
  <c r="AJ177" i="1"/>
  <c r="AU177" i="1"/>
  <c r="AG177" i="1"/>
  <c r="AI176" i="1"/>
  <c r="AQ177" i="1"/>
  <c r="AC177" i="1" s="1"/>
  <c r="AF177" i="1"/>
  <c r="AO177" i="1"/>
  <c r="AN177" i="1"/>
  <c r="AM177" i="1"/>
  <c r="AE177" i="1"/>
  <c r="AP177" i="1"/>
  <c r="AW179" i="1"/>
  <c r="AN179" i="1"/>
  <c r="AE179" i="1"/>
  <c r="AU179" i="1"/>
  <c r="AJ179" i="1"/>
  <c r="AT179" i="1"/>
  <c r="AH179" i="1"/>
  <c r="AI178" i="1"/>
  <c r="AS179" i="1"/>
  <c r="AG179" i="1"/>
  <c r="AQ179" i="1"/>
  <c r="AC179" i="1" s="1"/>
  <c r="AF179" i="1"/>
  <c r="AP179" i="1"/>
  <c r="AM179" i="1"/>
  <c r="AL179" i="1"/>
  <c r="AO179" i="1"/>
  <c r="AI118" i="1"/>
  <c r="AS118" i="1"/>
  <c r="AW121" i="1"/>
  <c r="AN121" i="1"/>
  <c r="AE121" i="1"/>
  <c r="AS121" i="1"/>
  <c r="AM121" i="1"/>
  <c r="AY121" i="1"/>
  <c r="AD121" i="1" s="1"/>
  <c r="AM122" i="1"/>
  <c r="AL123" i="1"/>
  <c r="AQ130" i="1"/>
  <c r="AC130" i="1" s="1"/>
  <c r="AH130" i="1"/>
  <c r="AY130" i="1"/>
  <c r="AD130" i="1" s="1"/>
  <c r="AP130" i="1"/>
  <c r="AG130" i="1"/>
  <c r="AU130" i="1"/>
  <c r="AL130" i="1"/>
  <c r="AI129" i="1"/>
  <c r="AO130" i="1"/>
  <c r="AY140" i="1"/>
  <c r="AD140" i="1" s="1"/>
  <c r="AX140" i="1"/>
  <c r="AO140" i="1"/>
  <c r="AF140" i="1"/>
  <c r="AQ140" i="1"/>
  <c r="AC140" i="1" s="1"/>
  <c r="AG140" i="1"/>
  <c r="AN140" i="1"/>
  <c r="AW140" i="1"/>
  <c r="AM140" i="1"/>
  <c r="AI139" i="1"/>
  <c r="AS140" i="1"/>
  <c r="AH140" i="1"/>
  <c r="AV140" i="1"/>
  <c r="AE149" i="1"/>
  <c r="AV179" i="1"/>
  <c r="AV111" i="1"/>
  <c r="AT114" i="1"/>
  <c r="AM115" i="1"/>
  <c r="AV115" i="1"/>
  <c r="AJ118" i="1"/>
  <c r="AT118" i="1"/>
  <c r="AY122" i="1"/>
  <c r="AD122" i="1" s="1"/>
  <c r="AP122" i="1"/>
  <c r="AG122" i="1"/>
  <c r="AU122" i="1"/>
  <c r="AL122" i="1"/>
  <c r="AI121" i="1"/>
  <c r="AN122" i="1"/>
  <c r="AS123" i="1"/>
  <c r="AW123" i="1"/>
  <c r="AN123" i="1"/>
  <c r="AE123" i="1"/>
  <c r="AM123" i="1"/>
  <c r="AY123" i="1"/>
  <c r="AD123" i="1" s="1"/>
  <c r="AW147" i="1"/>
  <c r="AN147" i="1"/>
  <c r="AE147" i="1"/>
  <c r="AP147" i="1"/>
  <c r="AF147" i="1"/>
  <c r="AI146" i="1"/>
  <c r="AY147" i="1"/>
  <c r="AD147" i="1" s="1"/>
  <c r="AO147" i="1"/>
  <c r="AS147" i="1"/>
  <c r="AM147" i="1"/>
  <c r="AL147" i="1"/>
  <c r="AT147" i="1"/>
  <c r="AG147" i="1"/>
  <c r="AL149" i="1"/>
  <c r="AX179" i="1"/>
  <c r="AE115" i="1"/>
  <c r="AN115" i="1"/>
  <c r="AI117" i="1"/>
  <c r="AL118" i="1"/>
  <c r="AE119" i="1"/>
  <c r="AN119" i="1"/>
  <c r="AP121" i="1"/>
  <c r="AO122" i="1"/>
  <c r="AO123" i="1"/>
  <c r="AU124" i="1"/>
  <c r="AL124" i="1"/>
  <c r="AI123" i="1"/>
  <c r="AY124" i="1"/>
  <c r="AD124" i="1" s="1"/>
  <c r="AP124" i="1"/>
  <c r="AG124" i="1"/>
  <c r="AN124" i="1"/>
  <c r="AW125" i="1"/>
  <c r="AN125" i="1"/>
  <c r="AE125" i="1"/>
  <c r="AS125" i="1"/>
  <c r="AM125" i="1"/>
  <c r="AY125" i="1"/>
  <c r="AD125" i="1" s="1"/>
  <c r="AM126" i="1"/>
  <c r="AX126" i="1"/>
  <c r="AL127" i="1"/>
  <c r="AX127" i="1"/>
  <c r="AX129" i="1"/>
  <c r="AO129" i="1"/>
  <c r="AF129" i="1"/>
  <c r="AW129" i="1"/>
  <c r="AN129" i="1"/>
  <c r="AE129" i="1"/>
  <c r="AS129" i="1"/>
  <c r="AP129" i="1"/>
  <c r="AE130" i="1"/>
  <c r="AT130" i="1"/>
  <c r="AX136" i="1"/>
  <c r="AO136" i="1"/>
  <c r="AF136" i="1"/>
  <c r="AV136" i="1"/>
  <c r="AM136" i="1"/>
  <c r="AU136" i="1"/>
  <c r="AL136" i="1"/>
  <c r="AI135" i="1"/>
  <c r="AY136" i="1"/>
  <c r="AD136" i="1" s="1"/>
  <c r="AP136" i="1"/>
  <c r="AG136" i="1"/>
  <c r="AT136" i="1"/>
  <c r="AI140" i="1"/>
  <c r="AH147" i="1"/>
  <c r="AM149" i="1"/>
  <c r="AU154" i="1"/>
  <c r="AL154" i="1"/>
  <c r="AI153" i="1"/>
  <c r="AT154" i="1"/>
  <c r="AI154" i="1"/>
  <c r="AQ154" i="1"/>
  <c r="AC154" i="1" s="1"/>
  <c r="AG154" i="1"/>
  <c r="AP154" i="1"/>
  <c r="AF154" i="1"/>
  <c r="AV154" i="1"/>
  <c r="AO154" i="1"/>
  <c r="AN154" i="1"/>
  <c r="AW154" i="1"/>
  <c r="AE154" i="1"/>
  <c r="AY160" i="1"/>
  <c r="AD160" i="1" s="1"/>
  <c r="AP160" i="1"/>
  <c r="AG160" i="1"/>
  <c r="AS160" i="1"/>
  <c r="AH160" i="1"/>
  <c r="AW160" i="1"/>
  <c r="AL160" i="1"/>
  <c r="AV160" i="1"/>
  <c r="AJ160" i="1"/>
  <c r="AU160" i="1"/>
  <c r="AI159" i="1"/>
  <c r="AT160" i="1"/>
  <c r="AF160" i="1"/>
  <c r="AM160" i="1"/>
  <c r="AE160" i="1"/>
  <c r="AN160" i="1"/>
  <c r="AX177" i="1"/>
  <c r="AY179" i="1"/>
  <c r="AD179" i="1" s="1"/>
  <c r="AE131" i="1"/>
  <c r="AN131" i="1"/>
  <c r="AW131" i="1"/>
  <c r="AI133" i="1"/>
  <c r="AL134" i="1"/>
  <c r="AU134" i="1"/>
  <c r="AE135" i="1"/>
  <c r="AN135" i="1"/>
  <c r="AW135" i="1"/>
  <c r="AI137" i="1"/>
  <c r="AL138" i="1"/>
  <c r="AU138" i="1"/>
  <c r="AE139" i="1"/>
  <c r="AN139" i="1"/>
  <c r="AW139" i="1"/>
  <c r="AS157" i="1"/>
  <c r="AQ157" i="1"/>
  <c r="AC157" i="1" s="1"/>
  <c r="AG157" i="1"/>
  <c r="AP157" i="1"/>
  <c r="AF157" i="1"/>
  <c r="AY157" i="1"/>
  <c r="AD157" i="1" s="1"/>
  <c r="AO157" i="1"/>
  <c r="AE157" i="1"/>
  <c r="AI156" i="1"/>
  <c r="AX157" i="1"/>
  <c r="AN157" i="1"/>
  <c r="AV157" i="1"/>
  <c r="AJ163" i="1"/>
  <c r="AU170" i="1"/>
  <c r="AL170" i="1"/>
  <c r="AI169" i="1"/>
  <c r="AQ170" i="1"/>
  <c r="AC170" i="1" s="1"/>
  <c r="AG170" i="1"/>
  <c r="AT170" i="1"/>
  <c r="AH170" i="1"/>
  <c r="AS170" i="1"/>
  <c r="AF170" i="1"/>
  <c r="AP170" i="1"/>
  <c r="AE170" i="1"/>
  <c r="AO170" i="1"/>
  <c r="AY170" i="1"/>
  <c r="AD170" i="1" s="1"/>
  <c r="AY184" i="1"/>
  <c r="AD184" i="1" s="1"/>
  <c r="AP184" i="1"/>
  <c r="AG184" i="1"/>
  <c r="AW184" i="1"/>
  <c r="AN184" i="1"/>
  <c r="AE184" i="1"/>
  <c r="AV184" i="1"/>
  <c r="AM184" i="1"/>
  <c r="AO184" i="1"/>
  <c r="AI183" i="1"/>
  <c r="AX184" i="1"/>
  <c r="AS184" i="1"/>
  <c r="AQ184" i="1"/>
  <c r="AC184" i="1" s="1"/>
  <c r="AL184" i="1"/>
  <c r="AJ184" i="1"/>
  <c r="AS131" i="1"/>
  <c r="AG134" i="1"/>
  <c r="AP134" i="1"/>
  <c r="AY134" i="1"/>
  <c r="AD134" i="1" s="1"/>
  <c r="AS135" i="1"/>
  <c r="AG138" i="1"/>
  <c r="AP138" i="1"/>
  <c r="AY138" i="1"/>
  <c r="AD138" i="1" s="1"/>
  <c r="AS139" i="1"/>
  <c r="AL141" i="1"/>
  <c r="AJ146" i="1"/>
  <c r="AL157" i="1"/>
  <c r="AS161" i="1"/>
  <c r="AX161" i="1"/>
  <c r="AN161" i="1"/>
  <c r="AV161" i="1"/>
  <c r="AJ161" i="1"/>
  <c r="AU161" i="1"/>
  <c r="AH161" i="1"/>
  <c r="AT161" i="1"/>
  <c r="AG161" i="1"/>
  <c r="AI160" i="1"/>
  <c r="AQ161" i="1"/>
  <c r="AC161" i="1" s="1"/>
  <c r="AF161" i="1"/>
  <c r="AY161" i="1"/>
  <c r="AD161" i="1" s="1"/>
  <c r="AV163" i="1"/>
  <c r="AN170" i="1"/>
  <c r="AY180" i="1"/>
  <c r="AD180" i="1" s="1"/>
  <c r="AP180" i="1"/>
  <c r="AG180" i="1"/>
  <c r="AQ180" i="1"/>
  <c r="AC180" i="1" s="1"/>
  <c r="AF180" i="1"/>
  <c r="AT180" i="1"/>
  <c r="AH180" i="1"/>
  <c r="AS180" i="1"/>
  <c r="AE180" i="1"/>
  <c r="AO180" i="1"/>
  <c r="AN180" i="1"/>
  <c r="AX180" i="1"/>
  <c r="AT184" i="1"/>
  <c r="AW190" i="1"/>
  <c r="AN190" i="1"/>
  <c r="AE190" i="1"/>
  <c r="AQ190" i="1"/>
  <c r="AC190" i="1" s="1"/>
  <c r="AG190" i="1"/>
  <c r="AY190" i="1"/>
  <c r="AD190" i="1" s="1"/>
  <c r="AO190" i="1"/>
  <c r="AX190" i="1"/>
  <c r="AM190" i="1"/>
  <c r="AL190" i="1"/>
  <c r="AI190" i="1"/>
  <c r="AV190" i="1"/>
  <c r="AH190" i="1"/>
  <c r="AU190" i="1"/>
  <c r="AT190" i="1"/>
  <c r="AS190" i="1"/>
  <c r="AP190" i="1"/>
  <c r="AJ131" i="1"/>
  <c r="AH134" i="1"/>
  <c r="AQ134" i="1"/>
  <c r="AC134" i="1" s="1"/>
  <c r="AJ135" i="1"/>
  <c r="AT135" i="1"/>
  <c r="AH138" i="1"/>
  <c r="AQ138" i="1"/>
  <c r="AC138" i="1" s="1"/>
  <c r="AJ139" i="1"/>
  <c r="AT139" i="1"/>
  <c r="AS141" i="1"/>
  <c r="AI141" i="1"/>
  <c r="AQ141" i="1"/>
  <c r="AC141" i="1" s="1"/>
  <c r="AH141" i="1"/>
  <c r="AM141" i="1"/>
  <c r="AX141" i="1"/>
  <c r="AM157" i="1"/>
  <c r="AU162" i="1"/>
  <c r="AL162" i="1"/>
  <c r="AI161" i="1"/>
  <c r="AT162" i="1"/>
  <c r="AV162" i="1"/>
  <c r="AH162" i="1"/>
  <c r="AS162" i="1"/>
  <c r="AG162" i="1"/>
  <c r="AQ162" i="1"/>
  <c r="AC162" i="1" s="1"/>
  <c r="AF162" i="1"/>
  <c r="AP162" i="1"/>
  <c r="AE162" i="1"/>
  <c r="AY162" i="1"/>
  <c r="AD162" i="1" s="1"/>
  <c r="AY168" i="1"/>
  <c r="AD168" i="1" s="1"/>
  <c r="AP168" i="1"/>
  <c r="AG168" i="1"/>
  <c r="AO168" i="1"/>
  <c r="AE168" i="1"/>
  <c r="AI167" i="1"/>
  <c r="AW168" i="1"/>
  <c r="AL168" i="1"/>
  <c r="AV168" i="1"/>
  <c r="AJ168" i="1"/>
  <c r="AU168" i="1"/>
  <c r="AI168" i="1"/>
  <c r="AT168" i="1"/>
  <c r="AH168" i="1"/>
  <c r="AX168" i="1"/>
  <c r="AV170" i="1"/>
  <c r="AI179" i="1"/>
  <c r="AI180" i="1"/>
  <c r="AU184" i="1"/>
  <c r="AF190" i="1"/>
  <c r="AW194" i="1"/>
  <c r="AN194" i="1"/>
  <c r="AE194" i="1"/>
  <c r="AU194" i="1"/>
  <c r="AJ194" i="1"/>
  <c r="AS194" i="1"/>
  <c r="AH194" i="1"/>
  <c r="AQ194" i="1"/>
  <c r="AC194" i="1" s="1"/>
  <c r="AG194" i="1"/>
  <c r="AL194" i="1"/>
  <c r="AY194" i="1"/>
  <c r="AD194" i="1" s="1"/>
  <c r="AI194" i="1"/>
  <c r="AX194" i="1"/>
  <c r="AF194" i="1"/>
  <c r="AV194" i="1"/>
  <c r="AP194" i="1"/>
  <c r="AO194" i="1"/>
  <c r="AM194" i="1"/>
  <c r="AI193" i="1"/>
  <c r="AT194" i="1"/>
  <c r="AW214" i="1"/>
  <c r="AN214" i="1"/>
  <c r="AE214" i="1"/>
  <c r="AS214" i="1"/>
  <c r="AV214" i="1"/>
  <c r="AJ214" i="1"/>
  <c r="AU214" i="1"/>
  <c r="AH214" i="1"/>
  <c r="AI213" i="1"/>
  <c r="AT214" i="1"/>
  <c r="AG214" i="1"/>
  <c r="AP214" i="1"/>
  <c r="AQ214" i="1"/>
  <c r="AC214" i="1" s="1"/>
  <c r="AM214" i="1"/>
  <c r="AL214" i="1"/>
  <c r="AF214" i="1"/>
  <c r="AY214" i="1"/>
  <c r="AD214" i="1" s="1"/>
  <c r="AX214" i="1"/>
  <c r="AO214" i="1"/>
  <c r="AW163" i="1"/>
  <c r="AN163" i="1"/>
  <c r="AE163" i="1"/>
  <c r="AP163" i="1"/>
  <c r="AF163" i="1"/>
  <c r="AI162" i="1"/>
  <c r="AT163" i="1"/>
  <c r="AH163" i="1"/>
  <c r="AS163" i="1"/>
  <c r="AG163" i="1"/>
  <c r="AQ163" i="1"/>
  <c r="AC163" i="1" s="1"/>
  <c r="AO163" i="1"/>
  <c r="AY163" i="1"/>
  <c r="AD163" i="1" s="1"/>
  <c r="AS185" i="1"/>
  <c r="AY185" i="1"/>
  <c r="AD185" i="1" s="1"/>
  <c r="AP185" i="1"/>
  <c r="AG185" i="1"/>
  <c r="AX185" i="1"/>
  <c r="AO185" i="1"/>
  <c r="AF185" i="1"/>
  <c r="AT185" i="1"/>
  <c r="AM185" i="1"/>
  <c r="AI184" i="1"/>
  <c r="AL185" i="1"/>
  <c r="AJ185" i="1"/>
  <c r="AH185" i="1"/>
  <c r="AW185" i="1"/>
  <c r="AE185" i="1"/>
  <c r="AS196" i="1"/>
  <c r="AW196" i="1"/>
  <c r="AM196" i="1"/>
  <c r="AU196" i="1"/>
  <c r="AJ196" i="1"/>
  <c r="AT196" i="1"/>
  <c r="AH196" i="1"/>
  <c r="AL196" i="1"/>
  <c r="AY196" i="1"/>
  <c r="AD196" i="1" s="1"/>
  <c r="AG196" i="1"/>
  <c r="AX196" i="1"/>
  <c r="AF196" i="1"/>
  <c r="AV196" i="1"/>
  <c r="AE196" i="1"/>
  <c r="AQ196" i="1"/>
  <c r="AC196" i="1" s="1"/>
  <c r="AP196" i="1"/>
  <c r="AO196" i="1"/>
  <c r="AN196" i="1"/>
  <c r="AI195" i="1"/>
  <c r="AJ134" i="1"/>
  <c r="AM135" i="1"/>
  <c r="AJ138" i="1"/>
  <c r="AM139" i="1"/>
  <c r="AO141" i="1"/>
  <c r="AU146" i="1"/>
  <c r="AL146" i="1"/>
  <c r="AI145" i="1"/>
  <c r="AT146" i="1"/>
  <c r="AS146" i="1"/>
  <c r="AH146" i="1"/>
  <c r="AO146" i="1"/>
  <c r="AU157" i="1"/>
  <c r="AL161" i="1"/>
  <c r="AJ162" i="1"/>
  <c r="AI163" i="1"/>
  <c r="AX170" i="1"/>
  <c r="AL180" i="1"/>
  <c r="AS192" i="1"/>
  <c r="AT192" i="1"/>
  <c r="AH192" i="1"/>
  <c r="AP192" i="1"/>
  <c r="AF192" i="1"/>
  <c r="AY192" i="1"/>
  <c r="AD192" i="1" s="1"/>
  <c r="AO192" i="1"/>
  <c r="AE192" i="1"/>
  <c r="AI191" i="1"/>
  <c r="AM192" i="1"/>
  <c r="AX192" i="1"/>
  <c r="AJ192" i="1"/>
  <c r="AW192" i="1"/>
  <c r="AG192" i="1"/>
  <c r="AS216" i="1"/>
  <c r="AW216" i="1"/>
  <c r="AN216" i="1"/>
  <c r="AE216" i="1"/>
  <c r="AU216" i="1"/>
  <c r="AH216" i="1"/>
  <c r="AI215" i="1"/>
  <c r="AT216" i="1"/>
  <c r="AG216" i="1"/>
  <c r="AQ216" i="1"/>
  <c r="AC216" i="1" s="1"/>
  <c r="AF216" i="1"/>
  <c r="AO216" i="1"/>
  <c r="AP216" i="1"/>
  <c r="AL216" i="1"/>
  <c r="AJ216" i="1"/>
  <c r="AY216" i="1"/>
  <c r="AD216" i="1" s="1"/>
  <c r="AX216" i="1"/>
  <c r="AV216" i="1"/>
  <c r="AJ142" i="1"/>
  <c r="AJ148" i="1"/>
  <c r="AU150" i="1"/>
  <c r="AL150" i="1"/>
  <c r="AI149" i="1"/>
  <c r="AM150" i="1"/>
  <c r="AW150" i="1"/>
  <c r="AJ153" i="1"/>
  <c r="AU153" i="1"/>
  <c r="AW155" i="1"/>
  <c r="AN155" i="1"/>
  <c r="AE155" i="1"/>
  <c r="AL155" i="1"/>
  <c r="AV155" i="1"/>
  <c r="AH156" i="1"/>
  <c r="AS156" i="1"/>
  <c r="AJ158" i="1"/>
  <c r="AW158" i="1"/>
  <c r="AL165" i="1"/>
  <c r="AI166" i="1"/>
  <c r="AV166" i="1"/>
  <c r="AW171" i="1"/>
  <c r="AN171" i="1"/>
  <c r="AE171" i="1"/>
  <c r="AX171" i="1"/>
  <c r="AM171" i="1"/>
  <c r="AO171" i="1"/>
  <c r="AY172" i="1"/>
  <c r="AD172" i="1" s="1"/>
  <c r="AP172" i="1"/>
  <c r="AG172" i="1"/>
  <c r="AT172" i="1"/>
  <c r="AM172" i="1"/>
  <c r="AX172" i="1"/>
  <c r="AL173" i="1"/>
  <c r="AI174" i="1"/>
  <c r="AW174" i="1"/>
  <c r="AS181" i="1"/>
  <c r="AW181" i="1"/>
  <c r="AM181" i="1"/>
  <c r="AN181" i="1"/>
  <c r="AY181" i="1"/>
  <c r="AD181" i="1" s="1"/>
  <c r="AM182" i="1"/>
  <c r="AP183" i="1"/>
  <c r="AN192" i="1"/>
  <c r="AS212" i="1"/>
  <c r="AW212" i="1"/>
  <c r="AN212" i="1"/>
  <c r="AE212" i="1"/>
  <c r="AX212" i="1"/>
  <c r="AL212" i="1"/>
  <c r="AV212" i="1"/>
  <c r="AJ212" i="1"/>
  <c r="AU212" i="1"/>
  <c r="AH212" i="1"/>
  <c r="AI211" i="1"/>
  <c r="AQ212" i="1"/>
  <c r="AC212" i="1" s="1"/>
  <c r="AF212" i="1"/>
  <c r="AT212" i="1"/>
  <c r="AO212" i="1"/>
  <c r="AM212" i="1"/>
  <c r="AG212" i="1"/>
  <c r="AY212" i="1"/>
  <c r="AD212" i="1" s="1"/>
  <c r="AY219" i="1"/>
  <c r="AD219" i="1" s="1"/>
  <c r="AP219" i="1"/>
  <c r="AG219" i="1"/>
  <c r="AU219" i="1"/>
  <c r="AL219" i="1"/>
  <c r="AI218" i="1"/>
  <c r="AS219" i="1"/>
  <c r="AF219" i="1"/>
  <c r="AQ219" i="1"/>
  <c r="AC219" i="1" s="1"/>
  <c r="AE219" i="1"/>
  <c r="AO219" i="1"/>
  <c r="AX219" i="1"/>
  <c r="AM219" i="1"/>
  <c r="AH219" i="1"/>
  <c r="AW219" i="1"/>
  <c r="AV219" i="1"/>
  <c r="AT219" i="1"/>
  <c r="AN219" i="1"/>
  <c r="AY148" i="1"/>
  <c r="AD148" i="1" s="1"/>
  <c r="AP148" i="1"/>
  <c r="AG148" i="1"/>
  <c r="AL148" i="1"/>
  <c r="AV148" i="1"/>
  <c r="AL153" i="1"/>
  <c r="AV153" i="1"/>
  <c r="AM158" i="1"/>
  <c r="AS165" i="1"/>
  <c r="AQ165" i="1"/>
  <c r="AC165" i="1" s="1"/>
  <c r="AG165" i="1"/>
  <c r="AM165" i="1"/>
  <c r="AX165" i="1"/>
  <c r="AS173" i="1"/>
  <c r="AY173" i="1"/>
  <c r="AD173" i="1" s="1"/>
  <c r="AO173" i="1"/>
  <c r="AE173" i="1"/>
  <c r="AI172" i="1"/>
  <c r="AM173" i="1"/>
  <c r="AX173" i="1"/>
  <c r="AM174" i="1"/>
  <c r="AU182" i="1"/>
  <c r="AL182" i="1"/>
  <c r="AI181" i="1"/>
  <c r="AS182" i="1"/>
  <c r="AH182" i="1"/>
  <c r="AN182" i="1"/>
  <c r="AY182" i="1"/>
  <c r="AD182" i="1" s="1"/>
  <c r="AU186" i="1"/>
  <c r="AL186" i="1"/>
  <c r="AI185" i="1"/>
  <c r="AS186" i="1"/>
  <c r="AQ186" i="1"/>
  <c r="AC186" i="1" s="1"/>
  <c r="AH186" i="1"/>
  <c r="AW186" i="1"/>
  <c r="AG186" i="1"/>
  <c r="AP186" i="1"/>
  <c r="AV186" i="1"/>
  <c r="AY188" i="1"/>
  <c r="AD188" i="1" s="1"/>
  <c r="AP188" i="1"/>
  <c r="AG188" i="1"/>
  <c r="AW188" i="1"/>
  <c r="AN188" i="1"/>
  <c r="AE188" i="1"/>
  <c r="AV188" i="1"/>
  <c r="AM188" i="1"/>
  <c r="AO188" i="1"/>
  <c r="AI187" i="1"/>
  <c r="AX188" i="1"/>
  <c r="AT188" i="1"/>
  <c r="AQ192" i="1"/>
  <c r="AC192" i="1" s="1"/>
  <c r="AI219" i="1"/>
  <c r="AU158" i="1"/>
  <c r="AL158" i="1"/>
  <c r="AI157" i="1"/>
  <c r="AP158" i="1"/>
  <c r="AF158" i="1"/>
  <c r="AN158" i="1"/>
  <c r="AY158" i="1"/>
  <c r="AD158" i="1" s="1"/>
  <c r="AU174" i="1"/>
  <c r="AL174" i="1"/>
  <c r="AI173" i="1"/>
  <c r="AV174" i="1"/>
  <c r="AJ174" i="1"/>
  <c r="AN174" i="1"/>
  <c r="AY174" i="1"/>
  <c r="AD174" i="1" s="1"/>
  <c r="AW183" i="1"/>
  <c r="AN183" i="1"/>
  <c r="AE183" i="1"/>
  <c r="AU183" i="1"/>
  <c r="AL183" i="1"/>
  <c r="AT183" i="1"/>
  <c r="AJ183" i="1"/>
  <c r="AY183" i="1"/>
  <c r="AD183" i="1" s="1"/>
  <c r="AS183" i="1"/>
  <c r="AF183" i="1"/>
  <c r="AV183" i="1"/>
  <c r="AE186" i="1"/>
  <c r="AX186" i="1"/>
  <c r="AU188" i="1"/>
  <c r="AU192" i="1"/>
  <c r="AJ219" i="1"/>
  <c r="AY156" i="1"/>
  <c r="AD156" i="1" s="1"/>
  <c r="AP156" i="1"/>
  <c r="AG156" i="1"/>
  <c r="AL156" i="1"/>
  <c r="AV156" i="1"/>
  <c r="AO158" i="1"/>
  <c r="AO165" i="1"/>
  <c r="AU166" i="1"/>
  <c r="AL166" i="1"/>
  <c r="AI165" i="1"/>
  <c r="AX166" i="1"/>
  <c r="AN166" i="1"/>
  <c r="AO166" i="1"/>
  <c r="AW167" i="1"/>
  <c r="AN167" i="1"/>
  <c r="AE167" i="1"/>
  <c r="AT167" i="1"/>
  <c r="AM167" i="1"/>
  <c r="AY167" i="1"/>
  <c r="AD167" i="1" s="1"/>
  <c r="AG171" i="1"/>
  <c r="AS171" i="1"/>
  <c r="AE172" i="1"/>
  <c r="AQ172" i="1"/>
  <c r="AC172" i="1" s="1"/>
  <c r="AP173" i="1"/>
  <c r="AO174" i="1"/>
  <c r="AW175" i="1"/>
  <c r="AN175" i="1"/>
  <c r="AE175" i="1"/>
  <c r="AQ175" i="1"/>
  <c r="AC175" i="1" s="1"/>
  <c r="AG175" i="1"/>
  <c r="AM175" i="1"/>
  <c r="AY175" i="1"/>
  <c r="AD175" i="1" s="1"/>
  <c r="AF181" i="1"/>
  <c r="AQ181" i="1"/>
  <c r="AC181" i="1" s="1"/>
  <c r="AE182" i="1"/>
  <c r="AP182" i="1"/>
  <c r="AX183" i="1"/>
  <c r="AF186" i="1"/>
  <c r="AY186" i="1"/>
  <c r="AD186" i="1" s="1"/>
  <c r="AF188" i="1"/>
  <c r="AU189" i="1"/>
  <c r="AL189" i="1"/>
  <c r="AV189" i="1"/>
  <c r="AJ189" i="1"/>
  <c r="AS189" i="1"/>
  <c r="AH189" i="1"/>
  <c r="AQ189" i="1"/>
  <c r="AC189" i="1" s="1"/>
  <c r="AG189" i="1"/>
  <c r="AW189" i="1"/>
  <c r="AE189" i="1"/>
  <c r="AO189" i="1"/>
  <c r="AI188" i="1"/>
  <c r="AX189" i="1"/>
  <c r="AV192" i="1"/>
  <c r="AY199" i="1"/>
  <c r="AD199" i="1" s="1"/>
  <c r="AP199" i="1"/>
  <c r="AG199" i="1"/>
  <c r="AT199" i="1"/>
  <c r="AX199" i="1"/>
  <c r="AN199" i="1"/>
  <c r="AW199" i="1"/>
  <c r="AJ199" i="1"/>
  <c r="AU199" i="1"/>
  <c r="AF199" i="1"/>
  <c r="AS199" i="1"/>
  <c r="AE199" i="1"/>
  <c r="AQ199" i="1"/>
  <c r="AC199" i="1" s="1"/>
  <c r="AV199" i="1"/>
  <c r="AO199" i="1"/>
  <c r="AP212" i="1"/>
  <c r="AW159" i="1"/>
  <c r="AN159" i="1"/>
  <c r="AE159" i="1"/>
  <c r="AL159" i="1"/>
  <c r="AV159" i="1"/>
  <c r="AY164" i="1"/>
  <c r="AD164" i="1" s="1"/>
  <c r="AP164" i="1"/>
  <c r="AG164" i="1"/>
  <c r="AL164" i="1"/>
  <c r="AV164" i="1"/>
  <c r="AL169" i="1"/>
  <c r="AV169" i="1"/>
  <c r="AQ200" i="1"/>
  <c r="AC200" i="1" s="1"/>
  <c r="AU209" i="1"/>
  <c r="AL209" i="1"/>
  <c r="AI208" i="1"/>
  <c r="AS209" i="1"/>
  <c r="AH209" i="1"/>
  <c r="AP209" i="1"/>
  <c r="AX209" i="1"/>
  <c r="AN209" i="1"/>
  <c r="AM209" i="1"/>
  <c r="AY209" i="1"/>
  <c r="AD209" i="1" s="1"/>
  <c r="AI209" i="1"/>
  <c r="AW209" i="1"/>
  <c r="AG209" i="1"/>
  <c r="AV209" i="1"/>
  <c r="AF209" i="1"/>
  <c r="AY211" i="1"/>
  <c r="AD211" i="1" s="1"/>
  <c r="AP211" i="1"/>
  <c r="AG211" i="1"/>
  <c r="AU211" i="1"/>
  <c r="AL211" i="1"/>
  <c r="AX211" i="1"/>
  <c r="AM211" i="1"/>
  <c r="AW211" i="1"/>
  <c r="AJ211" i="1"/>
  <c r="AV211" i="1"/>
  <c r="AS211" i="1"/>
  <c r="AF211" i="1"/>
  <c r="AI210" i="1"/>
  <c r="AT211" i="1"/>
  <c r="AO211" i="1"/>
  <c r="AN211" i="1"/>
  <c r="AH211" i="1"/>
  <c r="AY191" i="1"/>
  <c r="AD191" i="1" s="1"/>
  <c r="AP191" i="1"/>
  <c r="AG191" i="1"/>
  <c r="AW191" i="1"/>
  <c r="AM191" i="1"/>
  <c r="AU191" i="1"/>
  <c r="AJ191" i="1"/>
  <c r="AT191" i="1"/>
  <c r="AQ191" i="1"/>
  <c r="AC191" i="1" s="1"/>
  <c r="AS208" i="1"/>
  <c r="AW208" i="1"/>
  <c r="AM208" i="1"/>
  <c r="AQ208" i="1"/>
  <c r="AC208" i="1" s="1"/>
  <c r="AG208" i="1"/>
  <c r="AX208" i="1"/>
  <c r="AJ208" i="1"/>
  <c r="AI207" i="1"/>
  <c r="AU208" i="1"/>
  <c r="AF208" i="1"/>
  <c r="AT208" i="1"/>
  <c r="AE208" i="1"/>
  <c r="AP208" i="1"/>
  <c r="AU213" i="1"/>
  <c r="AL213" i="1"/>
  <c r="AI212" i="1"/>
  <c r="AY213" i="1"/>
  <c r="AD213" i="1" s="1"/>
  <c r="AP213" i="1"/>
  <c r="AG213" i="1"/>
  <c r="AW213" i="1"/>
  <c r="AJ213" i="1"/>
  <c r="AV213" i="1"/>
  <c r="AT213" i="1"/>
  <c r="AH213" i="1"/>
  <c r="AQ213" i="1"/>
  <c r="AC213" i="1" s="1"/>
  <c r="AE213" i="1"/>
  <c r="AS213" i="1"/>
  <c r="AN213" i="1"/>
  <c r="AM213" i="1"/>
  <c r="AF213" i="1"/>
  <c r="AS220" i="1"/>
  <c r="AW220" i="1"/>
  <c r="AN220" i="1"/>
  <c r="AE220" i="1"/>
  <c r="AQ220" i="1"/>
  <c r="AC220" i="1" s="1"/>
  <c r="AF220" i="1"/>
  <c r="AP220" i="1"/>
  <c r="AO220" i="1"/>
  <c r="AX220" i="1"/>
  <c r="AL220" i="1"/>
  <c r="AG220" i="1"/>
  <c r="AV220" i="1"/>
  <c r="AU220" i="1"/>
  <c r="AT220" i="1"/>
  <c r="AS200" i="1"/>
  <c r="AY200" i="1"/>
  <c r="AD200" i="1" s="1"/>
  <c r="AO200" i="1"/>
  <c r="AE200" i="1"/>
  <c r="AI199" i="1"/>
  <c r="AU200" i="1"/>
  <c r="AJ200" i="1"/>
  <c r="AM200" i="1"/>
  <c r="AW200" i="1"/>
  <c r="AH200" i="1"/>
  <c r="AV200" i="1"/>
  <c r="AG200" i="1"/>
  <c r="AT200" i="1"/>
  <c r="AF200" i="1"/>
  <c r="AH208" i="1"/>
  <c r="AY215" i="1"/>
  <c r="AD215" i="1" s="1"/>
  <c r="AP215" i="1"/>
  <c r="AG215" i="1"/>
  <c r="AU215" i="1"/>
  <c r="AL215" i="1"/>
  <c r="AI214" i="1"/>
  <c r="AV215" i="1"/>
  <c r="AT215" i="1"/>
  <c r="AH215" i="1"/>
  <c r="AS215" i="1"/>
  <c r="AF215" i="1"/>
  <c r="AO215" i="1"/>
  <c r="AQ215" i="1"/>
  <c r="AC215" i="1" s="1"/>
  <c r="AM215" i="1"/>
  <c r="AJ215" i="1"/>
  <c r="AE215" i="1"/>
  <c r="AH220" i="1"/>
  <c r="AE191" i="1"/>
  <c r="AV191" i="1"/>
  <c r="AY195" i="1"/>
  <c r="AD195" i="1" s="1"/>
  <c r="AP195" i="1"/>
  <c r="AG195" i="1"/>
  <c r="AQ195" i="1"/>
  <c r="AC195" i="1" s="1"/>
  <c r="AF195" i="1"/>
  <c r="AX195" i="1"/>
  <c r="AN195" i="1"/>
  <c r="AW195" i="1"/>
  <c r="AM195" i="1"/>
  <c r="AT195" i="1"/>
  <c r="AU197" i="1"/>
  <c r="AL197" i="1"/>
  <c r="AW197" i="1"/>
  <c r="AM197" i="1"/>
  <c r="AI196" i="1"/>
  <c r="AT197" i="1"/>
  <c r="AH197" i="1"/>
  <c r="AQ197" i="1"/>
  <c r="AC197" i="1" s="1"/>
  <c r="AF197" i="1"/>
  <c r="AP197" i="1"/>
  <c r="AE197" i="1"/>
  <c r="AO197" i="1"/>
  <c r="AY197" i="1"/>
  <c r="AD197" i="1" s="1"/>
  <c r="AW206" i="1"/>
  <c r="AN206" i="1"/>
  <c r="AE206" i="1"/>
  <c r="AU206" i="1"/>
  <c r="AJ206" i="1"/>
  <c r="AP206" i="1"/>
  <c r="AF206" i="1"/>
  <c r="AI205" i="1"/>
  <c r="AX206" i="1"/>
  <c r="AI206" i="1"/>
  <c r="AT206" i="1"/>
  <c r="AG206" i="1"/>
  <c r="AS206" i="1"/>
  <c r="AQ206" i="1"/>
  <c r="AC206" i="1" s="1"/>
  <c r="AL208" i="1"/>
  <c r="AO209" i="1"/>
  <c r="AQ211" i="1"/>
  <c r="AC211" i="1" s="1"/>
  <c r="AO213" i="1"/>
  <c r="AN215" i="1"/>
  <c r="AJ220" i="1"/>
  <c r="AW198" i="1"/>
  <c r="AN198" i="1"/>
  <c r="AE198" i="1"/>
  <c r="AX198" i="1"/>
  <c r="AM198" i="1"/>
  <c r="AS198" i="1"/>
  <c r="AH198" i="1"/>
  <c r="AO198" i="1"/>
  <c r="AJ187" i="1"/>
  <c r="AT187" i="1"/>
  <c r="AJ193" i="1"/>
  <c r="AP198" i="1"/>
  <c r="AU205" i="1"/>
  <c r="AL205" i="1"/>
  <c r="AI204" i="1"/>
  <c r="AY205" i="1"/>
  <c r="AD205" i="1" s="1"/>
  <c r="AO205" i="1"/>
  <c r="AE205" i="1"/>
  <c r="AT205" i="1"/>
  <c r="AP205" i="1"/>
  <c r="AI186" i="1"/>
  <c r="AL187" i="1"/>
  <c r="AU187" i="1"/>
  <c r="AU193" i="1"/>
  <c r="AL193" i="1"/>
  <c r="AI192" i="1"/>
  <c r="AM193" i="1"/>
  <c r="AW193" i="1"/>
  <c r="AQ198" i="1"/>
  <c r="AC198" i="1" s="1"/>
  <c r="AS204" i="1"/>
  <c r="AT204" i="1"/>
  <c r="AH204" i="1"/>
  <c r="AX204" i="1"/>
  <c r="AN204" i="1"/>
  <c r="AO204" i="1"/>
  <c r="AQ205" i="1"/>
  <c r="AC205" i="1" s="1"/>
  <c r="AE187" i="1"/>
  <c r="AN187" i="1"/>
  <c r="AE193" i="1"/>
  <c r="AO193" i="1"/>
  <c r="AY193" i="1"/>
  <c r="AD193" i="1" s="1"/>
  <c r="AG198" i="1"/>
  <c r="AU198" i="1"/>
  <c r="AU201" i="1"/>
  <c r="AL201" i="1"/>
  <c r="AI200" i="1"/>
  <c r="AV201" i="1"/>
  <c r="AJ201" i="1"/>
  <c r="AP201" i="1"/>
  <c r="AF201" i="1"/>
  <c r="AO201" i="1"/>
  <c r="AY203" i="1"/>
  <c r="AD203" i="1" s="1"/>
  <c r="AP203" i="1"/>
  <c r="AG203" i="1"/>
  <c r="AW203" i="1"/>
  <c r="AM203" i="1"/>
  <c r="AS203" i="1"/>
  <c r="AH203" i="1"/>
  <c r="AO203" i="1"/>
  <c r="AE204" i="1"/>
  <c r="AQ204" i="1"/>
  <c r="AC204" i="1" s="1"/>
  <c r="AG205" i="1"/>
  <c r="AV205" i="1"/>
  <c r="AW202" i="1"/>
  <c r="AN202" i="1"/>
  <c r="AE202" i="1"/>
  <c r="AL202" i="1"/>
  <c r="AV202" i="1"/>
  <c r="AY207" i="1"/>
  <c r="AD207" i="1" s="1"/>
  <c r="AP207" i="1"/>
  <c r="AG207" i="1"/>
  <c r="AL207" i="1"/>
  <c r="AV207" i="1"/>
  <c r="AU217" i="1"/>
  <c r="AL217" i="1"/>
  <c r="AI216" i="1"/>
  <c r="AY217" i="1"/>
  <c r="AD217" i="1" s="1"/>
  <c r="AP217" i="1"/>
  <c r="AG217" i="1"/>
  <c r="AN217" i="1"/>
  <c r="AW218" i="1"/>
  <c r="AN218" i="1"/>
  <c r="AE218" i="1"/>
  <c r="AS218" i="1"/>
  <c r="AM218" i="1"/>
  <c r="AY218" i="1"/>
  <c r="AD218" i="1" s="1"/>
  <c r="AJ221" i="1"/>
  <c r="AJ222" i="1"/>
  <c r="AI223" i="1"/>
  <c r="AV223" i="1"/>
  <c r="AH224" i="1"/>
  <c r="AU224" i="1"/>
  <c r="AY227" i="1"/>
  <c r="AD227" i="1" s="1"/>
  <c r="AP227" i="1"/>
  <c r="AG227" i="1"/>
  <c r="AX227" i="1"/>
  <c r="AO227" i="1"/>
  <c r="AF227" i="1"/>
  <c r="AU227" i="1"/>
  <c r="AL227" i="1"/>
  <c r="AI226" i="1"/>
  <c r="AQ227" i="1"/>
  <c r="AC227" i="1" s="1"/>
  <c r="AW210" i="1"/>
  <c r="AN210" i="1"/>
  <c r="AE210" i="1"/>
  <c r="AL210" i="1"/>
  <c r="AV210" i="1"/>
  <c r="AU221" i="1"/>
  <c r="AL221" i="1"/>
  <c r="AI220" i="1"/>
  <c r="AY221" i="1"/>
  <c r="AD221" i="1" s="1"/>
  <c r="AP221" i="1"/>
  <c r="AG221" i="1"/>
  <c r="AN221" i="1"/>
  <c r="AW222" i="1"/>
  <c r="AN222" i="1"/>
  <c r="AE222" i="1"/>
  <c r="AS222" i="1"/>
  <c r="AM222" i="1"/>
  <c r="AY222" i="1"/>
  <c r="AD222" i="1" s="1"/>
  <c r="AM223" i="1"/>
  <c r="AW226" i="1"/>
  <c r="AN226" i="1"/>
  <c r="AE226" i="1"/>
  <c r="AV226" i="1"/>
  <c r="AM226" i="1"/>
  <c r="AS226" i="1"/>
  <c r="AP226" i="1"/>
  <c r="AE227" i="1"/>
  <c r="AT227" i="1"/>
  <c r="AX210" i="1"/>
  <c r="AO221" i="1"/>
  <c r="AO222" i="1"/>
  <c r="AY223" i="1"/>
  <c r="AD223" i="1" s="1"/>
  <c r="AP223" i="1"/>
  <c r="AG223" i="1"/>
  <c r="AU223" i="1"/>
  <c r="AL223" i="1"/>
  <c r="AI222" i="1"/>
  <c r="AN223" i="1"/>
  <c r="AS224" i="1"/>
  <c r="AW224" i="1"/>
  <c r="AN224" i="1"/>
  <c r="AE224" i="1"/>
  <c r="AM224" i="1"/>
  <c r="AY224" i="1"/>
  <c r="AD224" i="1" s="1"/>
  <c r="AQ226" i="1"/>
  <c r="AC226" i="1" s="1"/>
  <c r="AH227" i="1"/>
  <c r="AV227" i="1"/>
  <c r="AO210" i="1"/>
  <c r="AY210" i="1"/>
  <c r="AD210" i="1" s="1"/>
  <c r="AT217" i="1"/>
  <c r="AT218" i="1"/>
  <c r="AE221" i="1"/>
  <c r="AQ221" i="1"/>
  <c r="AC221" i="1" s="1"/>
  <c r="AP222" i="1"/>
  <c r="AO223" i="1"/>
  <c r="AO224" i="1"/>
  <c r="AF226" i="1"/>
  <c r="AT226" i="1"/>
  <c r="AI227" i="1"/>
  <c r="AW227" i="1"/>
  <c r="AG225" i="1"/>
  <c r="AP225" i="1"/>
  <c r="AY225" i="1"/>
  <c r="AD225" i="1" s="1"/>
  <c r="AJ225" i="1"/>
  <c r="AT225" i="1"/>
  <c r="AI224" i="1"/>
  <c r="AL225" i="1"/>
  <c r="AB91" i="1"/>
  <c r="AE91" i="1" s="1"/>
  <c r="AF91" i="1" l="1"/>
  <c r="AX91" i="1"/>
  <c r="AO91" i="1"/>
  <c r="AW91" i="1"/>
  <c r="AN91" i="1"/>
  <c r="AV91" i="1"/>
  <c r="AJ91" i="1"/>
  <c r="AS91" i="1"/>
  <c r="AQ91" i="1"/>
  <c r="AC91" i="1" s="1"/>
  <c r="AM91" i="1"/>
  <c r="AU91" i="1"/>
  <c r="AG91" i="1"/>
  <c r="AY91" i="1"/>
  <c r="AD91" i="1" s="1"/>
  <c r="AT91" i="1"/>
  <c r="AH91" i="1"/>
  <c r="AP91" i="1"/>
  <c r="AL91" i="1"/>
  <c r="AI91" i="1"/>
  <c r="AB90" i="1"/>
  <c r="AF90" i="1" s="1"/>
  <c r="AG90" i="1" l="1"/>
  <c r="AW90" i="1"/>
  <c r="AS90" i="1"/>
  <c r="AN90" i="1"/>
  <c r="AV90" i="1"/>
  <c r="AU90" i="1"/>
  <c r="AJ90" i="1"/>
  <c r="AT90" i="1"/>
  <c r="AQ90" i="1"/>
  <c r="AC90" i="1" s="1"/>
  <c r="AH90" i="1"/>
  <c r="AY90" i="1"/>
  <c r="AD90" i="1" s="1"/>
  <c r="AP90" i="1"/>
  <c r="AX90" i="1"/>
  <c r="AO90" i="1"/>
  <c r="AM90" i="1"/>
  <c r="AL90" i="1"/>
  <c r="AI90" i="1"/>
  <c r="AE90" i="1"/>
  <c r="AB89" i="1"/>
  <c r="AF89" i="1" s="1"/>
  <c r="AV89" i="1" l="1"/>
  <c r="AU89" i="1"/>
  <c r="AL89" i="1"/>
  <c r="AT89" i="1"/>
  <c r="AJ89" i="1"/>
  <c r="AP89" i="1"/>
  <c r="AS89" i="1"/>
  <c r="AH89" i="1"/>
  <c r="AO89" i="1"/>
  <c r="AX89" i="1"/>
  <c r="AQ89" i="1"/>
  <c r="AC89" i="1" s="1"/>
  <c r="AY89" i="1"/>
  <c r="AD89" i="1" s="1"/>
  <c r="AG89" i="1"/>
  <c r="AM89" i="1"/>
  <c r="AW89" i="1"/>
  <c r="AN89" i="1"/>
  <c r="AE89" i="1"/>
  <c r="AI89" i="1"/>
  <c r="AB88" i="1"/>
  <c r="AF88" i="1" s="1"/>
  <c r="AO88" i="1" l="1"/>
  <c r="AW88" i="1"/>
  <c r="AN88" i="1"/>
  <c r="AV88" i="1"/>
  <c r="AL88" i="1"/>
  <c r="AQ88" i="1"/>
  <c r="AC88" i="1" s="1"/>
  <c r="AM88" i="1"/>
  <c r="AU88" i="1"/>
  <c r="AJ88" i="1"/>
  <c r="AS88" i="1"/>
  <c r="AY88" i="1"/>
  <c r="AD88" i="1" s="1"/>
  <c r="AG88" i="1"/>
  <c r="AX88" i="1"/>
  <c r="AH88" i="1"/>
  <c r="AP88" i="1"/>
  <c r="AT88" i="1"/>
  <c r="AE88" i="1"/>
  <c r="AI88" i="1"/>
  <c r="AB87" i="1"/>
  <c r="AF87" i="1" s="1"/>
  <c r="AX87" i="1" l="1"/>
  <c r="AO87" i="1"/>
  <c r="AV87" i="1"/>
  <c r="AM87" i="1"/>
  <c r="AU87" i="1"/>
  <c r="AL87" i="1"/>
  <c r="AT87" i="1"/>
  <c r="AQ87" i="1"/>
  <c r="AC87" i="1" s="1"/>
  <c r="AH87" i="1"/>
  <c r="AY87" i="1"/>
  <c r="AD87" i="1" s="1"/>
  <c r="AW87" i="1"/>
  <c r="AN87" i="1"/>
  <c r="AJ87" i="1"/>
  <c r="AS87" i="1"/>
  <c r="AP87" i="1"/>
  <c r="AG87" i="1"/>
  <c r="AE87" i="1"/>
  <c r="AI87" i="1"/>
  <c r="AB86" i="1"/>
  <c r="AF86" i="1" s="1"/>
  <c r="AX86" i="1" l="1"/>
  <c r="AO86" i="1"/>
  <c r="AW86" i="1"/>
  <c r="AN86" i="1"/>
  <c r="AV86" i="1"/>
  <c r="AM86" i="1"/>
  <c r="AU86" i="1"/>
  <c r="AL86" i="1"/>
  <c r="AJ86" i="1"/>
  <c r="AS86" i="1"/>
  <c r="AY86" i="1"/>
  <c r="AD86" i="1" s="1"/>
  <c r="AG86" i="1"/>
  <c r="AT86" i="1"/>
  <c r="AQ86" i="1"/>
  <c r="AC86" i="1" s="1"/>
  <c r="AH86" i="1"/>
  <c r="AP86" i="1"/>
  <c r="AE86" i="1"/>
  <c r="AI86" i="1"/>
  <c r="AB85" i="1"/>
  <c r="AF85" i="1" s="1"/>
  <c r="AX85" i="1" l="1"/>
  <c r="AO85" i="1"/>
  <c r="AW85" i="1"/>
  <c r="AN85" i="1"/>
  <c r="AV85" i="1"/>
  <c r="AM85" i="1"/>
  <c r="AU85" i="1"/>
  <c r="AL85" i="1"/>
  <c r="AT85" i="1"/>
  <c r="AJ85" i="1"/>
  <c r="AS85" i="1"/>
  <c r="AQ85" i="1"/>
  <c r="AC85" i="1" s="1"/>
  <c r="AH85" i="1"/>
  <c r="AY85" i="1"/>
  <c r="AD85" i="1" s="1"/>
  <c r="AP85" i="1"/>
  <c r="AG85" i="1"/>
  <c r="AE85" i="1"/>
  <c r="AI85" i="1"/>
  <c r="AB84" i="1"/>
  <c r="AF84" i="1" s="1"/>
  <c r="AX84" i="1" l="1"/>
  <c r="AO84" i="1"/>
  <c r="AW84" i="1"/>
  <c r="AU84" i="1"/>
  <c r="AL84" i="1"/>
  <c r="AJ84" i="1"/>
  <c r="AH84" i="1"/>
  <c r="AY84" i="1"/>
  <c r="AD84" i="1" s="1"/>
  <c r="AP84" i="1"/>
  <c r="AG84" i="1"/>
  <c r="AN84" i="1"/>
  <c r="AV84" i="1"/>
  <c r="AM84" i="1"/>
  <c r="AT84" i="1"/>
  <c r="AS84" i="1"/>
  <c r="AQ84" i="1"/>
  <c r="AC84" i="1" s="1"/>
  <c r="AE84" i="1"/>
  <c r="AI84" i="1"/>
  <c r="AB83" i="1"/>
  <c r="AE83" i="1" s="1"/>
  <c r="AF83" i="1" l="1"/>
  <c r="AX83" i="1"/>
  <c r="AO83" i="1"/>
  <c r="AW83" i="1"/>
  <c r="AN83" i="1"/>
  <c r="AV83" i="1"/>
  <c r="AM83" i="1"/>
  <c r="AU83" i="1"/>
  <c r="AL83" i="1"/>
  <c r="AT83" i="1"/>
  <c r="AJ83" i="1"/>
  <c r="AS83" i="1"/>
  <c r="AQ83" i="1"/>
  <c r="AC83" i="1" s="1"/>
  <c r="AH83" i="1"/>
  <c r="AY83" i="1"/>
  <c r="AD83" i="1" s="1"/>
  <c r="AP83" i="1"/>
  <c r="AG83" i="1"/>
  <c r="AI83" i="1"/>
  <c r="AB82" i="1"/>
  <c r="AF82" i="1" s="1"/>
  <c r="AX82" i="1" l="1"/>
  <c r="AO82" i="1"/>
  <c r="AT82" i="1"/>
  <c r="AG82" i="1"/>
  <c r="AW82" i="1"/>
  <c r="AN82" i="1"/>
  <c r="AV82" i="1"/>
  <c r="AM82" i="1"/>
  <c r="AU82" i="1"/>
  <c r="AL82" i="1"/>
  <c r="AJ82" i="1"/>
  <c r="AS82" i="1"/>
  <c r="AQ82" i="1"/>
  <c r="AC82" i="1" s="1"/>
  <c r="AY82" i="1"/>
  <c r="AD82" i="1" s="1"/>
  <c r="AH82" i="1"/>
  <c r="AP82" i="1"/>
  <c r="AE82" i="1"/>
  <c r="AI82" i="1"/>
  <c r="AB81" i="1"/>
  <c r="AF81" i="1" s="1"/>
  <c r="AW81" i="1" l="1"/>
  <c r="AN81" i="1"/>
  <c r="AM81" i="1"/>
  <c r="AL81" i="1"/>
  <c r="AJ81" i="1"/>
  <c r="AS81" i="1"/>
  <c r="AQ81" i="1"/>
  <c r="AC81" i="1" s="1"/>
  <c r="AO81" i="1"/>
  <c r="AV81" i="1"/>
  <c r="AU81" i="1"/>
  <c r="AT81" i="1"/>
  <c r="AP81" i="1"/>
  <c r="AH81" i="1"/>
  <c r="AY81" i="1"/>
  <c r="AD81" i="1" s="1"/>
  <c r="AG81" i="1"/>
  <c r="AX81" i="1"/>
  <c r="AE81" i="1"/>
  <c r="AI81" i="1"/>
  <c r="AB80" i="1"/>
  <c r="AF80" i="1" s="1"/>
  <c r="AX80" i="1" l="1"/>
  <c r="AO80" i="1"/>
  <c r="AW80" i="1"/>
  <c r="AM80" i="1"/>
  <c r="AU80" i="1"/>
  <c r="AJ80" i="1"/>
  <c r="AS80" i="1"/>
  <c r="AQ80" i="1"/>
  <c r="AC80" i="1" s="1"/>
  <c r="AY80" i="1"/>
  <c r="AD80" i="1" s="1"/>
  <c r="AP80" i="1"/>
  <c r="AG80" i="1"/>
  <c r="AN80" i="1"/>
  <c r="AV80" i="1"/>
  <c r="AL80" i="1"/>
  <c r="AT80" i="1"/>
  <c r="AH80" i="1"/>
  <c r="AE80" i="1"/>
  <c r="AI80" i="1"/>
  <c r="AB79" i="1"/>
  <c r="AF79" i="1"/>
  <c r="AX79" i="1" l="1"/>
  <c r="AO79" i="1"/>
  <c r="AN79" i="1"/>
  <c r="AU79" i="1"/>
  <c r="AL79" i="1"/>
  <c r="AT79" i="1"/>
  <c r="AJ79" i="1"/>
  <c r="AS79" i="1"/>
  <c r="AY79" i="1"/>
  <c r="AD79" i="1" s="1"/>
  <c r="AP79" i="1"/>
  <c r="AW79" i="1"/>
  <c r="AV79" i="1"/>
  <c r="AM79" i="1"/>
  <c r="AQ79" i="1"/>
  <c r="AC79" i="1" s="1"/>
  <c r="AH79" i="1"/>
  <c r="AG79" i="1"/>
  <c r="AE79" i="1"/>
  <c r="AI79" i="1"/>
  <c r="AB78" i="1"/>
  <c r="AF78" i="1" s="1"/>
  <c r="AX78" i="1" l="1"/>
  <c r="AO78" i="1"/>
  <c r="AN78" i="1"/>
  <c r="AM78" i="1"/>
  <c r="AU78" i="1"/>
  <c r="AS78" i="1"/>
  <c r="AW78" i="1"/>
  <c r="AV78" i="1"/>
  <c r="AH78" i="1"/>
  <c r="AL78" i="1"/>
  <c r="AT78" i="1"/>
  <c r="AJ78" i="1"/>
  <c r="AQ78" i="1"/>
  <c r="AC78" i="1" s="1"/>
  <c r="AY78" i="1"/>
  <c r="AD78" i="1" s="1"/>
  <c r="AP78" i="1"/>
  <c r="AG78" i="1"/>
  <c r="AE78" i="1"/>
  <c r="AI78" i="1"/>
  <c r="AB77" i="1"/>
  <c r="AF77" i="1" s="1"/>
  <c r="AX77" i="1" l="1"/>
  <c r="AO77" i="1"/>
  <c r="AW77" i="1"/>
  <c r="AN77" i="1"/>
  <c r="AV77" i="1"/>
  <c r="AM77" i="1"/>
  <c r="AL77" i="1"/>
  <c r="AJ77" i="1"/>
  <c r="AH77" i="1"/>
  <c r="AP77" i="1"/>
  <c r="AU77" i="1"/>
  <c r="AT77" i="1"/>
  <c r="AS77" i="1"/>
  <c r="AG77" i="1"/>
  <c r="AQ77" i="1"/>
  <c r="AC77" i="1" s="1"/>
  <c r="AY77" i="1"/>
  <c r="AD77" i="1" s="1"/>
  <c r="AE77" i="1"/>
  <c r="AI77" i="1"/>
  <c r="AB76" i="1"/>
  <c r="AE76" i="1" s="1"/>
  <c r="AF76" i="1" l="1"/>
  <c r="AX76" i="1"/>
  <c r="AO76" i="1"/>
  <c r="AW76" i="1"/>
  <c r="AN76" i="1"/>
  <c r="AV76" i="1"/>
  <c r="AU76" i="1"/>
  <c r="AL76" i="1"/>
  <c r="AS76" i="1"/>
  <c r="AQ76" i="1"/>
  <c r="AC76" i="1" s="1"/>
  <c r="AY76" i="1"/>
  <c r="AD76" i="1" s="1"/>
  <c r="AM76" i="1"/>
  <c r="AJ76" i="1"/>
  <c r="AH76" i="1"/>
  <c r="AP76" i="1"/>
  <c r="AT76" i="1"/>
  <c r="AG76" i="1"/>
  <c r="AI76" i="1"/>
  <c r="AB75" i="1"/>
  <c r="AF75" i="1" s="1"/>
  <c r="AX75" i="1" l="1"/>
  <c r="AO75" i="1"/>
  <c r="AU75" i="1"/>
  <c r="AJ75" i="1"/>
  <c r="AW75" i="1"/>
  <c r="AN75" i="1"/>
  <c r="AV75" i="1"/>
  <c r="AM75" i="1"/>
  <c r="AL75" i="1"/>
  <c r="AT75" i="1"/>
  <c r="AS75" i="1"/>
  <c r="AQ75" i="1"/>
  <c r="AC75" i="1" s="1"/>
  <c r="AH75" i="1"/>
  <c r="AP75" i="1"/>
  <c r="AY75" i="1"/>
  <c r="AD75" i="1" s="1"/>
  <c r="AG75" i="1"/>
  <c r="AE75" i="1"/>
  <c r="AI75" i="1"/>
  <c r="AB74" i="1"/>
  <c r="AE74" i="1" s="1"/>
  <c r="AF74" i="1" l="1"/>
  <c r="AW74" i="1"/>
  <c r="AN74" i="1"/>
  <c r="AV74" i="1"/>
  <c r="AM74" i="1"/>
  <c r="AU74" i="1"/>
  <c r="AL74" i="1"/>
  <c r="AT74" i="1"/>
  <c r="AJ74" i="1"/>
  <c r="AS74" i="1"/>
  <c r="AH74" i="1"/>
  <c r="AY74" i="1"/>
  <c r="AD74" i="1" s="1"/>
  <c r="AP74" i="1"/>
  <c r="AG74" i="1"/>
  <c r="AX74" i="1"/>
  <c r="AO74" i="1"/>
  <c r="AQ74" i="1"/>
  <c r="AC74" i="1" s="1"/>
  <c r="AI74" i="1"/>
  <c r="AB73" i="1"/>
  <c r="AF73" i="1" s="1"/>
  <c r="AE73" i="1" l="1"/>
  <c r="AX73" i="1"/>
  <c r="AO73" i="1"/>
  <c r="AV73" i="1"/>
  <c r="AQ73" i="1"/>
  <c r="AC73" i="1" s="1"/>
  <c r="AH73" i="1"/>
  <c r="AW73" i="1"/>
  <c r="AN73" i="1"/>
  <c r="AM73" i="1"/>
  <c r="AT73" i="1"/>
  <c r="AJ73" i="1"/>
  <c r="AU73" i="1"/>
  <c r="AL73" i="1"/>
  <c r="AS73" i="1"/>
  <c r="AY73" i="1"/>
  <c r="AD73" i="1" s="1"/>
  <c r="AP73" i="1"/>
  <c r="AG73" i="1"/>
  <c r="AI73" i="1"/>
  <c r="AB72" i="1"/>
  <c r="AF72" i="1" s="1"/>
  <c r="AW72" i="1" l="1"/>
  <c r="AN72" i="1"/>
  <c r="AV72" i="1"/>
  <c r="AM72" i="1"/>
  <c r="AT72" i="1"/>
  <c r="AQ72" i="1"/>
  <c r="AC72" i="1" s="1"/>
  <c r="AG72" i="1"/>
  <c r="AU72" i="1"/>
  <c r="AL72" i="1"/>
  <c r="AJ72" i="1"/>
  <c r="AH72" i="1"/>
  <c r="AP72" i="1"/>
  <c r="AS72" i="1"/>
  <c r="AY72" i="1"/>
  <c r="AD72" i="1" s="1"/>
  <c r="AX72" i="1"/>
  <c r="AO72" i="1"/>
  <c r="AE72" i="1"/>
  <c r="AI72" i="1"/>
  <c r="AB71" i="1"/>
  <c r="AF71" i="1" s="1"/>
  <c r="AX71" i="1" l="1"/>
  <c r="AO71" i="1"/>
  <c r="AW71" i="1"/>
  <c r="AV71" i="1"/>
  <c r="AM71" i="1"/>
  <c r="AL71" i="1"/>
  <c r="AT71" i="1"/>
  <c r="AS71" i="1"/>
  <c r="AN71" i="1"/>
  <c r="AU71" i="1"/>
  <c r="AP71" i="1"/>
  <c r="AH71" i="1"/>
  <c r="AY71" i="1"/>
  <c r="AD71" i="1" s="1"/>
  <c r="AG71" i="1"/>
  <c r="AQ71" i="1"/>
  <c r="AC71" i="1" s="1"/>
  <c r="AJ71" i="1"/>
  <c r="AE71" i="1"/>
  <c r="AI71" i="1"/>
  <c r="AB70" i="1"/>
  <c r="AF70" i="1" s="1"/>
  <c r="AX70" i="1" l="1"/>
  <c r="AO70" i="1"/>
  <c r="AW70" i="1"/>
  <c r="AN70" i="1"/>
  <c r="AL70" i="1"/>
  <c r="AH70" i="1"/>
  <c r="AV70" i="1"/>
  <c r="AU70" i="1"/>
  <c r="AM70" i="1"/>
  <c r="AJ70" i="1"/>
  <c r="AT70" i="1"/>
  <c r="AY70" i="1"/>
  <c r="AD70" i="1" s="1"/>
  <c r="AP70" i="1"/>
  <c r="AG70" i="1"/>
  <c r="AS70" i="1"/>
  <c r="AQ70" i="1"/>
  <c r="AC70" i="1" s="1"/>
  <c r="AE70" i="1"/>
  <c r="AI70" i="1"/>
  <c r="AB69" i="1"/>
  <c r="AE69" i="1" s="1"/>
  <c r="AF69" i="1" l="1"/>
  <c r="AX69" i="1"/>
  <c r="AO69" i="1"/>
  <c r="AN69" i="1"/>
  <c r="AM69" i="1"/>
  <c r="AU69" i="1"/>
  <c r="AL69" i="1"/>
  <c r="AT69" i="1"/>
  <c r="AJ69" i="1"/>
  <c r="AS69" i="1"/>
  <c r="AH69" i="1"/>
  <c r="AY69" i="1"/>
  <c r="AD69" i="1" s="1"/>
  <c r="AG69" i="1"/>
  <c r="AW69" i="1"/>
  <c r="AV69" i="1"/>
  <c r="AQ69" i="1"/>
  <c r="AC69" i="1" s="1"/>
  <c r="AP69" i="1"/>
  <c r="AI69" i="1"/>
  <c r="AB68" i="1"/>
  <c r="AF68" i="1" s="1"/>
  <c r="AX68" i="1" l="1"/>
  <c r="AO68" i="1"/>
  <c r="AW68" i="1"/>
  <c r="AN68" i="1"/>
  <c r="AM68" i="1"/>
  <c r="AL68" i="1"/>
  <c r="AT68" i="1"/>
  <c r="AJ68" i="1"/>
  <c r="AS68" i="1"/>
  <c r="AH68" i="1"/>
  <c r="AY68" i="1"/>
  <c r="AD68" i="1" s="1"/>
  <c r="AG68" i="1"/>
  <c r="AV68" i="1"/>
  <c r="AU68" i="1"/>
  <c r="AQ68" i="1"/>
  <c r="AC68" i="1" s="1"/>
  <c r="AP68" i="1"/>
  <c r="AE68" i="1"/>
  <c r="AI68" i="1"/>
  <c r="AB67" i="1"/>
  <c r="AF67" i="1" s="1"/>
  <c r="AW67" i="1" l="1"/>
  <c r="AN67" i="1"/>
  <c r="AS67" i="1"/>
  <c r="AQ67" i="1"/>
  <c r="AC67" i="1" s="1"/>
  <c r="AG67" i="1"/>
  <c r="AV67" i="1"/>
  <c r="AM67" i="1"/>
  <c r="AU67" i="1"/>
  <c r="AL67" i="1"/>
  <c r="AT67" i="1"/>
  <c r="AJ67" i="1"/>
  <c r="AH67" i="1"/>
  <c r="AY67" i="1"/>
  <c r="AD67" i="1" s="1"/>
  <c r="AP67" i="1"/>
  <c r="AX67" i="1"/>
  <c r="AO67" i="1"/>
  <c r="AE67" i="1"/>
  <c r="AI67" i="1"/>
  <c r="AB66" i="1"/>
  <c r="AF66" i="1" s="1"/>
  <c r="AX66" i="1" l="1"/>
  <c r="AO66" i="1"/>
  <c r="AN66" i="1"/>
  <c r="AV66" i="1"/>
  <c r="AM66" i="1"/>
  <c r="AU66" i="1"/>
  <c r="AL66" i="1"/>
  <c r="AQ66" i="1"/>
  <c r="AC66" i="1" s="1"/>
  <c r="AH66" i="1"/>
  <c r="AY66" i="1"/>
  <c r="AD66" i="1" s="1"/>
  <c r="AP66" i="1"/>
  <c r="AG66" i="1"/>
  <c r="AW66" i="1"/>
  <c r="AJ66" i="1"/>
  <c r="AS66" i="1"/>
  <c r="AT66" i="1"/>
  <c r="AE66" i="1"/>
  <c r="AI66" i="1"/>
  <c r="AB65" i="1"/>
  <c r="AE65" i="1" s="1"/>
  <c r="AF65" i="1" l="1"/>
  <c r="AX65" i="1"/>
  <c r="AO65" i="1"/>
  <c r="AW65" i="1"/>
  <c r="AN65" i="1"/>
  <c r="AM65" i="1"/>
  <c r="AU65" i="1"/>
  <c r="AL65" i="1"/>
  <c r="AT65" i="1"/>
  <c r="AJ65" i="1"/>
  <c r="AS65" i="1"/>
  <c r="AY65" i="1"/>
  <c r="AD65" i="1" s="1"/>
  <c r="AP65" i="1"/>
  <c r="AG65" i="1"/>
  <c r="AV65" i="1"/>
  <c r="AQ65" i="1"/>
  <c r="AC65" i="1" s="1"/>
  <c r="AH65" i="1"/>
  <c r="AI65" i="1"/>
  <c r="AB64" i="1"/>
  <c r="AF64" i="1" s="1"/>
  <c r="AX64" i="1" l="1"/>
  <c r="AO64" i="1"/>
  <c r="AN64" i="1"/>
  <c r="AV64" i="1"/>
  <c r="AU64" i="1"/>
  <c r="AL64" i="1"/>
  <c r="AT64" i="1"/>
  <c r="AJ64" i="1"/>
  <c r="AS64" i="1"/>
  <c r="AY64" i="1"/>
  <c r="AD64" i="1" s="1"/>
  <c r="AG64" i="1"/>
  <c r="AW64" i="1"/>
  <c r="AM64" i="1"/>
  <c r="AQ64" i="1"/>
  <c r="AC64" i="1" s="1"/>
  <c r="AH64" i="1"/>
  <c r="AP64" i="1"/>
  <c r="AE64" i="1"/>
  <c r="AI64" i="1"/>
  <c r="AB63" i="1"/>
  <c r="AF63" i="1" s="1"/>
  <c r="AW63" i="1" l="1"/>
  <c r="AN63" i="1"/>
  <c r="AV63" i="1"/>
  <c r="AM63" i="1"/>
  <c r="AU63" i="1"/>
  <c r="AL63" i="1"/>
  <c r="AT63" i="1"/>
  <c r="AJ63" i="1"/>
  <c r="AS63" i="1"/>
  <c r="AH63" i="1"/>
  <c r="AY63" i="1"/>
  <c r="AD63" i="1" s="1"/>
  <c r="AP63" i="1"/>
  <c r="AG63" i="1"/>
  <c r="AO63" i="1"/>
  <c r="AX63" i="1"/>
  <c r="AQ63" i="1"/>
  <c r="AC63" i="1" s="1"/>
  <c r="AE63" i="1"/>
  <c r="AI63" i="1"/>
  <c r="AB62" i="1"/>
  <c r="AF62" i="1" s="1"/>
  <c r="AX62" i="1" l="1"/>
  <c r="AO62" i="1"/>
  <c r="AW62" i="1"/>
  <c r="AN62" i="1"/>
  <c r="AV62" i="1"/>
  <c r="AM62" i="1"/>
  <c r="AU62" i="1"/>
  <c r="AL62" i="1"/>
  <c r="AT62" i="1"/>
  <c r="AH62" i="1"/>
  <c r="AP62" i="1"/>
  <c r="AY62" i="1"/>
  <c r="AD62" i="1" s="1"/>
  <c r="AJ62" i="1"/>
  <c r="AS62" i="1"/>
  <c r="AQ62" i="1"/>
  <c r="AC62" i="1" s="1"/>
  <c r="AG62" i="1"/>
  <c r="AE62" i="1"/>
  <c r="AI62" i="1"/>
  <c r="AB61" i="1"/>
  <c r="AL61" i="1" l="1"/>
  <c r="AO61" i="1" s="1"/>
  <c r="AS61" i="1"/>
  <c r="AT61" i="1" s="1"/>
  <c r="AW61" i="1" s="1"/>
  <c r="AB60" i="1"/>
  <c r="AL60" i="1" l="1"/>
  <c r="AO60" i="1" s="1"/>
  <c r="AS60" i="1"/>
  <c r="AT60" i="1" s="1"/>
  <c r="AM61" i="1"/>
  <c r="AN61" i="1"/>
  <c r="AP61" i="1"/>
  <c r="AX61" i="1"/>
  <c r="AU61" i="1"/>
  <c r="AV61" i="1"/>
  <c r="AB59" i="1"/>
  <c r="AX60" i="1" l="1"/>
  <c r="AW60" i="1"/>
  <c r="AV60" i="1"/>
  <c r="AU60" i="1"/>
  <c r="AY61" i="1"/>
  <c r="AD61" i="1" s="1"/>
  <c r="AM60" i="1"/>
  <c r="AL59" i="1"/>
  <c r="AN59" i="1" s="1"/>
  <c r="AS59" i="1"/>
  <c r="AT59" i="1" s="1"/>
  <c r="AI59" i="1"/>
  <c r="AP60" i="1"/>
  <c r="AN60" i="1"/>
  <c r="AQ61" i="1"/>
  <c r="AC61" i="1" s="1"/>
  <c r="AB58" i="1"/>
  <c r="AI58" i="1" s="1"/>
  <c r="AO59" i="1" l="1"/>
  <c r="AQ60" i="1"/>
  <c r="AC60" i="1" s="1"/>
  <c r="AP59" i="1"/>
  <c r="AM59" i="1"/>
  <c r="AV59" i="1"/>
  <c r="AU59" i="1"/>
  <c r="AW59" i="1"/>
  <c r="AX59" i="1"/>
  <c r="AL58" i="1"/>
  <c r="AM58" i="1" s="1"/>
  <c r="AS58" i="1"/>
  <c r="AT58" i="1" s="1"/>
  <c r="AY60" i="1"/>
  <c r="AD60" i="1" s="1"/>
  <c r="AB57" i="1"/>
  <c r="AN58" i="1" l="1"/>
  <c r="AO58" i="1"/>
  <c r="AP58" i="1"/>
  <c r="AQ59" i="1"/>
  <c r="AC59" i="1" s="1"/>
  <c r="AW58" i="1"/>
  <c r="AX58" i="1"/>
  <c r="AU58" i="1"/>
  <c r="AV58" i="1"/>
  <c r="AL57" i="1"/>
  <c r="AN57" i="1" s="1"/>
  <c r="AS57" i="1"/>
  <c r="AT57" i="1" s="1"/>
  <c r="AI57" i="1"/>
  <c r="AY59" i="1"/>
  <c r="AD59" i="1" s="1"/>
  <c r="AB56" i="1"/>
  <c r="AQ58" i="1" l="1"/>
  <c r="AC58" i="1" s="1"/>
  <c r="AU57" i="1"/>
  <c r="AW57" i="1"/>
  <c r="AV57" i="1"/>
  <c r="AX57" i="1"/>
  <c r="AO57" i="1"/>
  <c r="AL56" i="1"/>
  <c r="AM56" i="1" s="1"/>
  <c r="AS56" i="1"/>
  <c r="AT56" i="1" s="1"/>
  <c r="AM57" i="1"/>
  <c r="AI56" i="1"/>
  <c r="AP57" i="1"/>
  <c r="AY58" i="1"/>
  <c r="AD58" i="1" s="1"/>
  <c r="AB55" i="1"/>
  <c r="AV56" i="1" l="1"/>
  <c r="AX56" i="1"/>
  <c r="AO56" i="1"/>
  <c r="AQ57" i="1"/>
  <c r="AC57" i="1" s="1"/>
  <c r="AU56" i="1"/>
  <c r="AN56" i="1"/>
  <c r="AL55" i="1"/>
  <c r="AN55" i="1" s="1"/>
  <c r="AS55" i="1"/>
  <c r="AT55" i="1" s="1"/>
  <c r="AX55" i="1" s="1"/>
  <c r="AP56" i="1"/>
  <c r="AW56" i="1"/>
  <c r="AI55" i="1"/>
  <c r="AY57" i="1"/>
  <c r="AD57" i="1" s="1"/>
  <c r="AB54" i="1"/>
  <c r="AI54" i="1" s="1"/>
  <c r="AQ56" i="1" l="1"/>
  <c r="AC56" i="1" s="1"/>
  <c r="AY56" i="1"/>
  <c r="AD56" i="1" s="1"/>
  <c r="AU55" i="1"/>
  <c r="AW55" i="1"/>
  <c r="AV55" i="1"/>
  <c r="AO55" i="1"/>
  <c r="AL54" i="1"/>
  <c r="AP54" i="1" s="1"/>
  <c r="AS54" i="1"/>
  <c r="AT54" i="1" s="1"/>
  <c r="AM55" i="1"/>
  <c r="AP55" i="1"/>
  <c r="AB53" i="1"/>
  <c r="AI53" i="1" s="1"/>
  <c r="AM54" i="1" l="1"/>
  <c r="AN54" i="1"/>
  <c r="AY55" i="1"/>
  <c r="AD55" i="1" s="1"/>
  <c r="AU54" i="1"/>
  <c r="AX54" i="1"/>
  <c r="AW54" i="1"/>
  <c r="AV54" i="1"/>
  <c r="AL53" i="1"/>
  <c r="AM53" i="1" s="1"/>
  <c r="AS53" i="1"/>
  <c r="AT53" i="1" s="1"/>
  <c r="AO54" i="1"/>
  <c r="AQ55" i="1"/>
  <c r="AC55" i="1" s="1"/>
  <c r="AB52" i="1"/>
  <c r="AI52" i="1" s="1"/>
  <c r="AQ54" i="1" l="1"/>
  <c r="AC54" i="1" s="1"/>
  <c r="AP53" i="1"/>
  <c r="AN53" i="1"/>
  <c r="AV53" i="1"/>
  <c r="AX53" i="1"/>
  <c r="AU53" i="1"/>
  <c r="AW53" i="1"/>
  <c r="AO53" i="1"/>
  <c r="AL52" i="1"/>
  <c r="AO52" i="1" s="1"/>
  <c r="AS52" i="1"/>
  <c r="AT52" i="1" s="1"/>
  <c r="AY54" i="1"/>
  <c r="AD54" i="1" s="1"/>
  <c r="AB51" i="1"/>
  <c r="AQ53" i="1" l="1"/>
  <c r="AC53" i="1" s="1"/>
  <c r="AX52" i="1"/>
  <c r="AW52" i="1"/>
  <c r="AV52" i="1"/>
  <c r="AU52" i="1"/>
  <c r="AL51" i="1"/>
  <c r="AM51" i="1" s="1"/>
  <c r="AS51" i="1"/>
  <c r="AT51" i="1" s="1"/>
  <c r="AW51" i="1" s="1"/>
  <c r="AM52" i="1"/>
  <c r="AP52" i="1"/>
  <c r="AN52" i="1"/>
  <c r="AY53" i="1"/>
  <c r="AD53" i="1" s="1"/>
  <c r="AI51" i="1"/>
  <c r="AB50" i="1"/>
  <c r="AI50" i="1" s="1"/>
  <c r="AY52" i="1" l="1"/>
  <c r="AD52" i="1" s="1"/>
  <c r="AN51" i="1"/>
  <c r="AV51" i="1"/>
  <c r="AO51" i="1"/>
  <c r="AQ52" i="1"/>
  <c r="AC52" i="1" s="1"/>
  <c r="AX51" i="1"/>
  <c r="AU51" i="1"/>
  <c r="AP51" i="1"/>
  <c r="AL50" i="1"/>
  <c r="AO50" i="1" s="1"/>
  <c r="AS50" i="1"/>
  <c r="AT50" i="1" s="1"/>
  <c r="AB49" i="1"/>
  <c r="AQ51" i="1" l="1"/>
  <c r="AC51" i="1" s="1"/>
  <c r="AY51" i="1"/>
  <c r="AD51" i="1" s="1"/>
  <c r="AP50" i="1"/>
  <c r="AM50" i="1"/>
  <c r="AN50" i="1"/>
  <c r="AU50" i="1"/>
  <c r="AW50" i="1"/>
  <c r="AV50" i="1"/>
  <c r="AX50" i="1"/>
  <c r="AI49" i="1"/>
  <c r="AS49" i="1"/>
  <c r="AT49" i="1" s="1"/>
  <c r="AL49" i="1"/>
  <c r="AM49" i="1" s="1"/>
  <c r="AB48" i="1"/>
  <c r="AQ50" i="1" l="1"/>
  <c r="AC50" i="1" s="1"/>
  <c r="AN49" i="1"/>
  <c r="AO49" i="1"/>
  <c r="AP49" i="1"/>
  <c r="AV49" i="1"/>
  <c r="AU49" i="1"/>
  <c r="AX49" i="1"/>
  <c r="AW49" i="1"/>
  <c r="AS48" i="1"/>
  <c r="AT48" i="1" s="1"/>
  <c r="AL48" i="1"/>
  <c r="AP48" i="1" s="1"/>
  <c r="AY50" i="1"/>
  <c r="AD50" i="1" s="1"/>
  <c r="AI48" i="1"/>
  <c r="AB47" i="1"/>
  <c r="AI47" i="1" s="1"/>
  <c r="AQ49" i="1" l="1"/>
  <c r="AC49" i="1" s="1"/>
  <c r="AM48" i="1"/>
  <c r="AX48" i="1"/>
  <c r="AW48" i="1"/>
  <c r="AU48" i="1"/>
  <c r="AV48" i="1"/>
  <c r="AL47" i="1"/>
  <c r="AP47" i="1" s="1"/>
  <c r="AS47" i="1"/>
  <c r="AT47" i="1" s="1"/>
  <c r="AX47" i="1" s="1"/>
  <c r="AO48" i="1"/>
  <c r="AN48" i="1"/>
  <c r="AY49" i="1"/>
  <c r="AD49" i="1" s="1"/>
  <c r="AB46" i="1"/>
  <c r="AY48" i="1" l="1"/>
  <c r="AD48" i="1" s="1"/>
  <c r="AQ48" i="1"/>
  <c r="AC48" i="1" s="1"/>
  <c r="AL46" i="1"/>
  <c r="AM46" i="1" s="1"/>
  <c r="AS46" i="1"/>
  <c r="AT46" i="1" s="1"/>
  <c r="AU47" i="1"/>
  <c r="AM47" i="1"/>
  <c r="AW47" i="1"/>
  <c r="AN47" i="1"/>
  <c r="AI46" i="1"/>
  <c r="AV47" i="1"/>
  <c r="AO47" i="1"/>
  <c r="AB45" i="1"/>
  <c r="AW46" i="1" l="1"/>
  <c r="AX46" i="1"/>
  <c r="AU46" i="1"/>
  <c r="AV46" i="1"/>
  <c r="AP46" i="1"/>
  <c r="AL45" i="1"/>
  <c r="AN45" i="1" s="1"/>
  <c r="AS45" i="1"/>
  <c r="AT45" i="1" s="1"/>
  <c r="AO46" i="1"/>
  <c r="AQ47" i="1"/>
  <c r="AC47" i="1" s="1"/>
  <c r="AN46" i="1"/>
  <c r="AY47" i="1"/>
  <c r="AD47" i="1" s="1"/>
  <c r="AI45" i="1"/>
  <c r="AB44" i="1"/>
  <c r="AI44" i="1" s="1"/>
  <c r="AM45" i="1" l="1"/>
  <c r="AO45" i="1"/>
  <c r="AP45" i="1"/>
  <c r="AQ46" i="1"/>
  <c r="AC46" i="1" s="1"/>
  <c r="AW45" i="1"/>
  <c r="AV45" i="1"/>
  <c r="AU45" i="1"/>
  <c r="AX45" i="1"/>
  <c r="AY46" i="1"/>
  <c r="AD46" i="1" s="1"/>
  <c r="AL44" i="1"/>
  <c r="AM44" i="1" s="1"/>
  <c r="AS44" i="1"/>
  <c r="AT44" i="1" s="1"/>
  <c r="AV44" i="1" s="1"/>
  <c r="AB43" i="1"/>
  <c r="AY45" i="1" l="1"/>
  <c r="AD45" i="1" s="1"/>
  <c r="AQ45" i="1"/>
  <c r="AC45" i="1" s="1"/>
  <c r="AU44" i="1"/>
  <c r="AW44" i="1"/>
  <c r="AO44" i="1"/>
  <c r="AL43" i="1"/>
  <c r="AP43" i="1" s="1"/>
  <c r="AI43" i="1"/>
  <c r="AX44" i="1"/>
  <c r="AN44" i="1"/>
  <c r="AP44" i="1"/>
  <c r="AQ44" i="1" l="1"/>
  <c r="AC44" i="1" s="1"/>
  <c r="AO43" i="1"/>
  <c r="AM43" i="1"/>
  <c r="AS43" i="1"/>
  <c r="AT43" i="1" s="1"/>
  <c r="AB42" i="1"/>
  <c r="AN43" i="1"/>
  <c r="AY44" i="1"/>
  <c r="AD44" i="1" s="1"/>
  <c r="AQ43" i="1" l="1"/>
  <c r="AC43" i="1" s="1"/>
  <c r="AW43" i="1"/>
  <c r="AV43" i="1"/>
  <c r="AX43" i="1"/>
  <c r="AU43" i="1"/>
  <c r="W35" i="1"/>
  <c r="AY43" i="1" l="1"/>
  <c r="AD43" i="1" s="1"/>
  <c r="X35" i="1"/>
  <c r="Y35" i="1" s="1"/>
  <c r="W34" i="1"/>
  <c r="X34" i="1" l="1"/>
  <c r="Y34" i="1" s="1"/>
  <c r="W33" i="1"/>
  <c r="AA35" i="1"/>
  <c r="Z35" i="1"/>
  <c r="X33" i="1" l="1"/>
  <c r="Y33" i="1" s="1"/>
  <c r="W32" i="1"/>
  <c r="AA34" i="1"/>
  <c r="Z34" i="1"/>
  <c r="X32" i="1" l="1"/>
  <c r="Y32" i="1" s="1"/>
  <c r="AA33" i="1"/>
  <c r="W31" i="1"/>
  <c r="Z33" i="1"/>
  <c r="X31" i="1" l="1"/>
  <c r="Y31" i="1" s="1"/>
  <c r="AA32" i="1"/>
  <c r="Z32" i="1"/>
  <c r="W30" i="1"/>
  <c r="X30" i="1" l="1"/>
  <c r="Y30" i="1" s="1"/>
  <c r="W29" i="1"/>
  <c r="AA31" i="1"/>
  <c r="Z31" i="1"/>
  <c r="X29" i="1" l="1"/>
  <c r="Y29" i="1" s="1"/>
  <c r="W28" i="1"/>
  <c r="Z30" i="1"/>
  <c r="AA30" i="1"/>
  <c r="X28" i="1" l="1"/>
  <c r="Y28" i="1" s="1"/>
  <c r="AE27" i="1"/>
  <c r="Z29" i="1"/>
  <c r="AA29" i="1"/>
  <c r="AD25" i="1"/>
  <c r="AE61" i="1" l="1"/>
  <c r="AE59" i="1"/>
  <c r="AE60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D35" i="1"/>
  <c r="AD34" i="1"/>
  <c r="AD33" i="1"/>
  <c r="AD32" i="1"/>
  <c r="AD31" i="1"/>
  <c r="AD30" i="1"/>
  <c r="AD29" i="1"/>
  <c r="X25" i="1"/>
  <c r="AB15" i="1" s="1"/>
  <c r="AH14" i="1"/>
  <c r="AB17" i="1"/>
  <c r="AB13" i="1"/>
  <c r="AB16" i="1"/>
  <c r="Z28" i="1"/>
  <c r="AA28" i="1"/>
  <c r="AD28" i="1" l="1"/>
  <c r="I14" i="1"/>
  <c r="AB12" i="1"/>
  <c r="I15" i="1" l="1"/>
  <c r="K15" i="1" s="1"/>
  <c r="K14" i="1"/>
  <c r="AG10" i="1"/>
  <c r="AB11" i="1"/>
  <c r="AB10" i="1"/>
  <c r="U41" i="1" l="1"/>
  <c r="AS42" i="1" s="1"/>
  <c r="I10" i="1"/>
  <c r="AH10" i="1" s="1"/>
  <c r="H10" i="1"/>
  <c r="AG9" i="1"/>
  <c r="W9" i="1"/>
  <c r="W10" i="1" l="1"/>
  <c r="AJ10" i="1"/>
  <c r="I9" i="1"/>
  <c r="AH9" i="1" s="1"/>
  <c r="H9" i="1"/>
  <c r="AG8" i="1"/>
  <c r="W8" i="1"/>
  <c r="AB8" i="1" l="1"/>
  <c r="AB9" i="1" s="1"/>
  <c r="AJ9" i="1"/>
  <c r="I8" i="1"/>
  <c r="AH8" i="1" s="1"/>
  <c r="H8" i="1"/>
  <c r="A8" i="1"/>
  <c r="AG7" i="1"/>
  <c r="AB7" i="1"/>
  <c r="Y42" i="1" s="1"/>
  <c r="W7" i="1"/>
  <c r="AB18" i="1" l="1"/>
  <c r="AJ8" i="1"/>
  <c r="I7" i="1"/>
  <c r="AH7" i="1" s="1"/>
  <c r="H7" i="1"/>
  <c r="D7" i="1"/>
  <c r="AG6" i="1"/>
  <c r="AB6" i="1"/>
  <c r="W6" i="1"/>
  <c r="AT42" i="1" l="1"/>
  <c r="AW42" i="1" s="1"/>
  <c r="AL42" i="1"/>
  <c r="AM42" i="1" s="1"/>
  <c r="AE6" i="1"/>
  <c r="AJ7" i="1"/>
  <c r="I6" i="1"/>
  <c r="AH6" i="1" s="1"/>
  <c r="H6" i="1"/>
  <c r="AG5" i="1"/>
  <c r="W5" i="1"/>
  <c r="AU42" i="1" l="1"/>
  <c r="AX42" i="1"/>
  <c r="AV42" i="1"/>
  <c r="AN42" i="1"/>
  <c r="AP42" i="1"/>
  <c r="AO42" i="1"/>
  <c r="AQ42" i="1"/>
  <c r="AC42" i="1" s="1"/>
  <c r="AJ6" i="1"/>
  <c r="I5" i="1"/>
  <c r="AH5" i="1" s="1"/>
  <c r="H5" i="1"/>
  <c r="AG4" i="1"/>
  <c r="W4" i="1"/>
  <c r="AY42" i="1" l="1"/>
  <c r="AD42" i="1" s="1"/>
  <c r="AJ5" i="1"/>
  <c r="I4" i="1"/>
  <c r="AH4" i="1" s="1"/>
  <c r="H4" i="1"/>
  <c r="AG3" i="1"/>
  <c r="W3" i="1"/>
  <c r="AB19" i="1" s="1"/>
  <c r="AJ4" i="1" l="1"/>
  <c r="I3" i="1"/>
  <c r="AH3" i="1" s="1"/>
  <c r="H3" i="1"/>
  <c r="AE2" i="1"/>
  <c r="AE8" i="1" s="1"/>
  <c r="B26" i="1" s="1"/>
  <c r="AB2" i="1"/>
  <c r="G1" i="1"/>
  <c r="AB5" i="1"/>
  <c r="B14" i="1" l="1"/>
  <c r="AH15" i="1" s="1"/>
  <c r="AJ3" i="1"/>
  <c r="AI3" i="1"/>
  <c r="AI4" i="1" s="1"/>
  <c r="B9" i="1"/>
  <c r="B10" i="1" s="1"/>
  <c r="AE5" i="1"/>
  <c r="AB3" i="1"/>
  <c r="AK3" i="1" l="1"/>
  <c r="K3" i="1" s="1"/>
  <c r="AI5" i="1"/>
  <c r="AK4" i="1"/>
  <c r="K4" i="1" s="1"/>
  <c r="AB20" i="1"/>
  <c r="B13" i="1" s="1"/>
  <c r="B11" i="1"/>
  <c r="AB4" i="1"/>
  <c r="B12" i="1" s="1"/>
  <c r="AE15" i="1"/>
  <c r="B18" i="1" s="1"/>
  <c r="AI6" i="1" l="1"/>
  <c r="AK5" i="1"/>
  <c r="K5" i="1" l="1"/>
  <c r="AI7" i="1"/>
  <c r="AK6" i="1"/>
  <c r="K6" i="1" s="1"/>
  <c r="AI8" i="1" l="1"/>
  <c r="AK7" i="1"/>
  <c r="K7" i="1" s="1"/>
  <c r="AI9" i="1" l="1"/>
  <c r="AK8" i="1"/>
  <c r="K8" i="1" s="1"/>
  <c r="AK9" i="1" l="1"/>
  <c r="K9" i="1" s="1"/>
  <c r="AI10" i="1"/>
  <c r="AK10" i="1" s="1"/>
  <c r="K10" i="1" s="1"/>
  <c r="AH13" i="1" l="1"/>
  <c r="AH16" i="1" s="1"/>
  <c r="G16" i="1" s="1"/>
  <c r="AB14" i="1" l="1"/>
  <c r="K12" i="1" s="1"/>
  <c r="AF61" i="1"/>
  <c r="AI42" i="1" l="1"/>
  <c r="I12" i="1"/>
  <c r="AG61" i="1"/>
  <c r="AJ61" i="1"/>
  <c r="AH61" i="1"/>
  <c r="AI61" i="1"/>
  <c r="AC29" i="1"/>
  <c r="AC30" i="1"/>
  <c r="AC35" i="1"/>
  <c r="AC31" i="1"/>
  <c r="AC34" i="1"/>
  <c r="AC28" i="1"/>
  <c r="AC32" i="1"/>
  <c r="AC33" i="1"/>
  <c r="AE33" i="1" l="1"/>
  <c r="AE32" i="1"/>
  <c r="AE34" i="1"/>
  <c r="AE28" i="1"/>
  <c r="AF28" i="1" s="1"/>
  <c r="AE31" i="1"/>
  <c r="AE35" i="1"/>
  <c r="AE30" i="1"/>
  <c r="AE29" i="1"/>
  <c r="AF29" i="1" l="1"/>
  <c r="AF32" i="1"/>
  <c r="AF35" i="1"/>
  <c r="AF30" i="1"/>
  <c r="AF33" i="1"/>
  <c r="AF34" i="1"/>
  <c r="AF31" i="1"/>
  <c r="AF55" i="1"/>
  <c r="AF42" i="1"/>
  <c r="AF46" i="1"/>
  <c r="AF59" i="1"/>
  <c r="AF49" i="1"/>
  <c r="AF43" i="1"/>
  <c r="AF48" i="1"/>
  <c r="AF52" i="1"/>
  <c r="AF45" i="1"/>
  <c r="AF47" i="1"/>
  <c r="AF57" i="1"/>
  <c r="AF54" i="1"/>
  <c r="AF58" i="1"/>
  <c r="AF50" i="1"/>
  <c r="AF53" i="1"/>
  <c r="AF60" i="1"/>
  <c r="AF51" i="1"/>
  <c r="AF44" i="1"/>
  <c r="AF56" i="1"/>
  <c r="AH56" i="1" l="1"/>
  <c r="AG57" i="1"/>
  <c r="AJ57" i="1"/>
  <c r="AJ45" i="1"/>
  <c r="AH44" i="1"/>
  <c r="AG45" i="1"/>
  <c r="AG52" i="1"/>
  <c r="AH51" i="1"/>
  <c r="AJ52" i="1"/>
  <c r="AI60" i="1"/>
  <c r="AH60" i="1"/>
  <c r="AJ54" i="1"/>
  <c r="AH53" i="1"/>
  <c r="AG54" i="1"/>
  <c r="AH50" i="1"/>
  <c r="AJ51" i="1"/>
  <c r="AG51" i="1"/>
  <c r="AG59" i="1"/>
  <c r="AJ59" i="1"/>
  <c r="AH58" i="1"/>
  <c r="AH54" i="1"/>
  <c r="AJ55" i="1"/>
  <c r="AG55" i="1"/>
  <c r="AH57" i="1"/>
  <c r="AG58" i="1"/>
  <c r="AJ58" i="1"/>
  <c r="AG48" i="1"/>
  <c r="AJ48" i="1"/>
  <c r="AH47" i="1"/>
  <c r="AH45" i="1"/>
  <c r="AG46" i="1"/>
  <c r="AJ46" i="1"/>
  <c r="AG53" i="1"/>
  <c r="AJ53" i="1"/>
  <c r="AH52" i="1"/>
  <c r="AG49" i="1"/>
  <c r="AJ49" i="1"/>
  <c r="AH48" i="1"/>
  <c r="AG44" i="1"/>
  <c r="AJ44" i="1"/>
  <c r="AH43" i="1"/>
  <c r="AJ50" i="1"/>
  <c r="AG50" i="1"/>
  <c r="AH49" i="1"/>
  <c r="AH59" i="1"/>
  <c r="AG60" i="1"/>
  <c r="AJ60" i="1"/>
  <c r="AG47" i="1"/>
  <c r="AJ47" i="1"/>
  <c r="AH46" i="1"/>
  <c r="AJ42" i="1"/>
  <c r="AG43" i="1"/>
  <c r="AH42" i="1"/>
  <c r="AJ43" i="1"/>
  <c r="AG42" i="1"/>
  <c r="AH55" i="1"/>
  <c r="AJ56" i="1"/>
  <c r="AG56" i="1"/>
  <c r="AE16" i="1" l="1"/>
  <c r="AE17" i="1" s="1"/>
  <c r="AE18" i="1" s="1"/>
  <c r="AE19" i="1" s="1"/>
  <c r="E3" i="1" s="1"/>
  <c r="AE4" i="1"/>
  <c r="AE3" i="1"/>
  <c r="B19" i="1" l="1"/>
  <c r="B20" i="1" s="1"/>
  <c r="AE7" i="1"/>
  <c r="B25" i="1" s="1"/>
  <c r="B24" i="1"/>
  <c r="AE10" i="1" l="1"/>
  <c r="AE11" i="1" s="1"/>
  <c r="AE12" i="1" s="1"/>
  <c r="E5" i="1" s="1"/>
  <c r="E7" i="1" s="1"/>
  <c r="E8" i="1" l="1"/>
  <c r="E4" i="1"/>
</calcChain>
</file>

<file path=xl/comments1.xml><?xml version="1.0" encoding="utf-8"?>
<comments xmlns="http://schemas.openxmlformats.org/spreadsheetml/2006/main">
  <authors>
    <author>Yuriy Shchuchinov</author>
  </authors>
  <commentList>
    <comment ref="A3" authorId="0" shapeId="0">
      <text>
        <r>
          <rPr>
            <b/>
            <sz val="8"/>
            <color indexed="81"/>
            <rFont val="Tahoma"/>
            <family val="2"/>
          </rPr>
          <t>Enter any ID recognized by Bloomberg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2" authorId="0" shapeId="0">
      <text>
        <r>
          <rPr>
            <b/>
            <sz val="8"/>
            <color indexed="81"/>
            <rFont val="Tahoma"/>
            <family val="2"/>
          </rPr>
          <t>Enter a flat spread to override the full CDS curve.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
Leave blank to use the full CDS curve.</t>
        </r>
      </text>
    </comment>
  </commentList>
</comments>
</file>

<file path=xl/sharedStrings.xml><?xml version="1.0" encoding="utf-8"?>
<sst xmlns="http://schemas.openxmlformats.org/spreadsheetml/2006/main" count="187" uniqueCount="141">
  <si>
    <t>Tenor</t>
  </si>
  <si>
    <t>Maturity</t>
  </si>
  <si>
    <t>Spread</t>
  </si>
  <si>
    <t>Override</t>
  </si>
  <si>
    <t>6M</t>
  </si>
  <si>
    <t>1Y</t>
  </si>
  <si>
    <t>2Y</t>
  </si>
  <si>
    <t>3Y</t>
  </si>
  <si>
    <t>4Y</t>
  </si>
  <si>
    <t>5Y</t>
  </si>
  <si>
    <t>7Y</t>
  </si>
  <si>
    <t>10Y</t>
  </si>
  <si>
    <t>Benchmark</t>
  </si>
  <si>
    <t>or Bond Price</t>
  </si>
  <si>
    <t>USGG12M Index</t>
  </si>
  <si>
    <t>USGG2YR Index</t>
  </si>
  <si>
    <t>USGG3YR Index</t>
  </si>
  <si>
    <t>USGG5YR Index</t>
  </si>
  <si>
    <t>USGG7YR Index</t>
  </si>
  <si>
    <t>USGG10YR Index</t>
  </si>
  <si>
    <t>USGG30YR Index</t>
  </si>
  <si>
    <t>30Y</t>
  </si>
  <si>
    <t>Coupon</t>
  </si>
  <si>
    <t>Yield</t>
  </si>
  <si>
    <t>BM Yield</t>
  </si>
  <si>
    <t>Ticker</t>
  </si>
  <si>
    <t>Bond Yield</t>
  </si>
  <si>
    <t>SETTLE_DT</t>
  </si>
  <si>
    <t>CPN_FREQ</t>
  </si>
  <si>
    <t>Final Yield</t>
  </si>
  <si>
    <t>Final Price</t>
  </si>
  <si>
    <t>INT_ACC</t>
  </si>
  <si>
    <t>CDS_SPREAD_TICKER_6M</t>
  </si>
  <si>
    <t>CDS_SPREAD_TICKER_1Y</t>
  </si>
  <si>
    <t>CDS_SPREAD_TICKER_2Y</t>
  </si>
  <si>
    <t>CDS_SPREAD_TICKER_3Y</t>
  </si>
  <si>
    <t>CDS_SPREAD_TICKER_4Y</t>
  </si>
  <si>
    <t>CDS_SPREAD_TICKER_5Y</t>
  </si>
  <si>
    <t>CDS_SPREAD_TICKER_7Y</t>
  </si>
  <si>
    <t>CDS_SPREAD_TICKER_10Y</t>
  </si>
  <si>
    <t>CDS Ticker</t>
  </si>
  <si>
    <t>Is Error</t>
  </si>
  <si>
    <t>MATURITY</t>
  </si>
  <si>
    <t>CDS_RR</t>
  </si>
  <si>
    <t>Flat Spread</t>
  </si>
  <si>
    <t>CDS_6_MTH_DEFAULT_PROB</t>
  </si>
  <si>
    <t>CDS_1_YR_DEFAULT_PROB</t>
  </si>
  <si>
    <t>CDS_2_YR_DEFAULT_PROB</t>
  </si>
  <si>
    <t>CDS_3_YR_DEFAULT_PROB</t>
  </si>
  <si>
    <t>CDS_4_YR_DEFAULT_PROB</t>
  </si>
  <si>
    <t>CDS_5_YR_DEFAULT_PROB</t>
  </si>
  <si>
    <t>CDS_7_YR_DEFAULT_PROB</t>
  </si>
  <si>
    <t>CDS_10_YR_DEFAULT_PROB</t>
  </si>
  <si>
    <t>Is Flat</t>
  </si>
  <si>
    <t>Final CDS Ticker</t>
  </si>
  <si>
    <t>Tickers missing</t>
  </si>
  <si>
    <t>Default probability</t>
  </si>
  <si>
    <t>Survival probability</t>
  </si>
  <si>
    <t>Hazard rate</t>
  </si>
  <si>
    <t>DES_CASH_FLOW</t>
  </si>
  <si>
    <t>Date</t>
  </si>
  <si>
    <t>Notional</t>
  </si>
  <si>
    <t>DF</t>
  </si>
  <si>
    <t>Mid DF</t>
  </si>
  <si>
    <t>Use</t>
  </si>
  <si>
    <t>Survival Probability</t>
  </si>
  <si>
    <t>Default Leg</t>
  </si>
  <si>
    <t>Survival Leg</t>
  </si>
  <si>
    <t>Recovery</t>
  </si>
  <si>
    <t>Final</t>
  </si>
  <si>
    <t>AI</t>
  </si>
  <si>
    <t>PV</t>
  </si>
  <si>
    <t>Price</t>
  </si>
  <si>
    <t>alpha</t>
  </si>
  <si>
    <t>CF</t>
  </si>
  <si>
    <t>par coupon</t>
  </si>
  <si>
    <t>par spread</t>
  </si>
  <si>
    <t>Final Treasury Spread</t>
  </si>
  <si>
    <t>CDS notional</t>
  </si>
  <si>
    <t>CDS price</t>
  </si>
  <si>
    <t>Adjusted price</t>
  </si>
  <si>
    <t>Adjusted yield</t>
  </si>
  <si>
    <t>px adjustment</t>
  </si>
  <si>
    <t>recovery adjustment</t>
  </si>
  <si>
    <t>Value</t>
  </si>
  <si>
    <t>Model inputs:</t>
  </si>
  <si>
    <t>Paramter</t>
  </si>
  <si>
    <t>LONG_COMP_NAME</t>
  </si>
  <si>
    <t>Item</t>
  </si>
  <si>
    <t>Value (bps)</t>
  </si>
  <si>
    <t>Total</t>
  </si>
  <si>
    <t>Total upfront cost</t>
  </si>
  <si>
    <t>Principal value (Z)</t>
  </si>
  <si>
    <t>Cash flow BPV (CF)</t>
  </si>
  <si>
    <t>AI factor (α)</t>
  </si>
  <si>
    <t>Questions/Comments. Please contact:</t>
  </si>
  <si>
    <t>Hans Mikkelsen</t>
  </si>
  <si>
    <t>+1-646-855-6468</t>
  </si>
  <si>
    <t>hans.mikkelsen@baml.com</t>
  </si>
  <si>
    <t>+1-646-855-7209</t>
  </si>
  <si>
    <t>Premium/Discount</t>
  </si>
  <si>
    <t>Dollar price adjustments:</t>
  </si>
  <si>
    <t>Recovery adjustment:</t>
  </si>
  <si>
    <t>Model details:</t>
  </si>
  <si>
    <t>SECURITY_NAME</t>
  </si>
  <si>
    <t>Credit curve</t>
  </si>
  <si>
    <t>Bond tenor</t>
  </si>
  <si>
    <t>Interpolated Treasury Yield</t>
  </si>
  <si>
    <t>Spread to Benchmark</t>
  </si>
  <si>
    <t>G-Spread</t>
  </si>
  <si>
    <t>Implied par bond spread:</t>
  </si>
  <si>
    <t>Spread to Benchmark (bps)</t>
  </si>
  <si>
    <t>Bond cusip / ISIN</t>
  </si>
  <si>
    <t>Default</t>
  </si>
  <si>
    <t>Flat down</t>
  </si>
  <si>
    <t>Flat up</t>
  </si>
  <si>
    <t>Flat Final</t>
  </si>
  <si>
    <t>YAS_ZSPREAD</t>
  </si>
  <si>
    <t>Z-Spread</t>
  </si>
  <si>
    <t>Have Curve data</t>
  </si>
  <si>
    <t>Have Z-Spread</t>
  </si>
  <si>
    <t>Use Z-Spread</t>
  </si>
  <si>
    <t>Have flat override</t>
  </si>
  <si>
    <t>Senior recovery</t>
  </si>
  <si>
    <t>Bond recovery</t>
  </si>
  <si>
    <t>CDS payout</t>
  </si>
  <si>
    <t>DF date</t>
  </si>
  <si>
    <t>Match</t>
  </si>
  <si>
    <t>date start</t>
  </si>
  <si>
    <t>date end</t>
  </si>
  <si>
    <t>DF start</t>
  </si>
  <si>
    <t>DF end</t>
  </si>
  <si>
    <t>Yuri Seliger</t>
  </si>
  <si>
    <t>yuri.seliger@baml.com</t>
  </si>
  <si>
    <t>Note: the spreadsheet requires Bloomberg and macros need to be enabled.</t>
  </si>
  <si>
    <t>US907818FC74</t>
  </si>
  <si>
    <t>Price (P)</t>
  </si>
  <si>
    <t>Coupon (C )</t>
  </si>
  <si>
    <t>Zero PV (Z)</t>
  </si>
  <si>
    <t>00206RHJ4</t>
  </si>
  <si>
    <t>Note: run Bloomberg -&gt; Refresh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</si>
</sst>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yy;@"/>
    <numFmt numFmtId="165" formatCode="&quot;$&quot;#,##0.000"/>
    <numFmt numFmtId="166" formatCode="0.000%"/>
    <numFmt numFmtId="167" formatCode="0.0"/>
    <numFmt numFmtId="168" formatCode="0.0%"/>
    <numFmt numFmtId="169" formatCode="#,##0.000"/>
    <numFmt numFmtId="170" formatCode="&quot;$&quot;#,##0.00"/>
    <numFmt numFmtId="171" formatCode="0000"/>
    <numFmt numFmtId="172" formatCode="#,##0.000_);[Red]\(#,##0.000\)"/>
    <numFmt numFmtId="173" formatCode="#,##0.0000_);[Red]\(#,##0.0000\)"/>
    <numFmt numFmtId="174" formatCode="_(&quot;$&quot;* #,##0.00000_);_(&quot;$&quot;* \(#,##0.00000\);_(&quot;$&quot;* &quot;-&quot;??_);_(@_)"/>
    <numFmt numFmtId="175" formatCode="&quot;€&quot;#,##0_);[Red]\(&quot;€&quot;#,##0\);&quot;-&quot;"/>
    <numFmt numFmtId="176" formatCode="0.0000%"/>
    <numFmt numFmtId="177" formatCode="0.000_)"/>
    <numFmt numFmtId="178" formatCode="0.00_);\(0.00\)"/>
    <numFmt numFmtId="179" formatCode="0.0_);\(0.0\)"/>
    <numFmt numFmtId="180" formatCode="0_);\(0\)"/>
    <numFmt numFmtId="181" formatCode="0.000_);\(0.000\)"/>
    <numFmt numFmtId="182" formatCode="mm/dd/yy"/>
    <numFmt numFmtId="183" formatCode="_([$€-2]* #,##0.00_);_([$€-2]* \(#,##0.00\);_([$€-2]* &quot;-&quot;??_)"/>
    <numFmt numFmtId="184" formatCode="ddd\ d\-mmm\-yy"/>
    <numFmt numFmtId="185" formatCode="_-* #,##0_-;\-* #,##0_-;_-* &quot;-&quot;_-;_-@_-"/>
    <numFmt numFmtId="186" formatCode="0.00_)"/>
    <numFmt numFmtId="187" formatCode="mm\ dd\ yy"/>
    <numFmt numFmtId="188" formatCode="00,###"/>
    <numFmt numFmtId="189" formatCode="00###"/>
    <numFmt numFmtId="190" formatCode="[Blue]#,##0;[Red]\-#,##0"/>
    <numFmt numFmtId="191" formatCode="#,##0.0000"/>
    <numFmt numFmtId="192" formatCode="00###.00"/>
    <numFmt numFmtId="193" formatCode="_(* #,##0_);_(* \(#,##0\);_(* &quot;-&quot;??_);_(@_)"/>
    <numFmt numFmtId="194" formatCode="_(&quot;$&quot;* #,##0.0_);_(&quot;$&quot;* \(#,##0.0\);_(&quot;$&quot;* &quot;-&quot;??_);_(@_)"/>
    <numFmt numFmtId="195" formatCode="_(&quot;$&quot;* #,##0_);_(&quot;$&quot;* \(#,##0\);_(&quot;$&quot;* &quot;-&quot;??_);_(@_)"/>
    <numFmt numFmtId="196" formatCode="_(* #,##0.0_);_(* \(#,##0.0\);_(* &quot;-&quot;??_);_(@_)"/>
    <numFmt numFmtId="197" formatCode="_(* #,##0.0000_);_(* \(#,##0.0000\);_(* &quot;-&quot;??_);_(@_)"/>
    <numFmt numFmtId="198" formatCode="&quot;$&quot;#,##0;\(&quot;$&quot;#,##0\)"/>
    <numFmt numFmtId="199" formatCode="&quot;$&quot;#,##0.0;\(&quot;$&quot;#,##0.0\)"/>
    <numFmt numFmtId="200" formatCode="&quot;$&quot;#,##0.00;\(&quot;$&quot;#,##0.00\)"/>
    <numFmt numFmtId="201" formatCode="_ * #,##0_ ;_ * \-#,##0_ ;_ * &quot;-&quot;_ ;_ @_ "/>
    <numFmt numFmtId="202" formatCode="_ * #,##0.00_ ;_ * \-#,##0.00_ ;_ * &quot;-&quot;??_ ;_ @_ "/>
    <numFmt numFmtId="203" formatCode="d/m/yy"/>
    <numFmt numFmtId="204" formatCode="#,##0&quot;£&quot;_);[Red]\(#,##0&quot;£&quot;\)"/>
    <numFmt numFmtId="205" formatCode="&quot;£&quot;#,##0.00;[Red]\-&quot;£&quot;#,##0.00"/>
    <numFmt numFmtId="206" formatCode="0\ &quot;bps&quot;"/>
    <numFmt numFmtId="207" formatCode="m/yy"/>
    <numFmt numFmtId="208" formatCode="General_)"/>
    <numFmt numFmtId="209" formatCode="&quot;$&quot;#,##0"/>
    <numFmt numFmtId="210" formatCode="0.00\x"/>
    <numFmt numFmtId="211" formatCode="0&quot; bps&quot;"/>
    <numFmt numFmtId="212" formatCode="#,##0.0"/>
    <numFmt numFmtId="213" formatCode="#,##0.0_);\(#,##0.0\)"/>
    <numFmt numFmtId="214" formatCode="#,##0.0%;\(#,##0.0\)%"/>
    <numFmt numFmtId="215" formatCode="0.0\x"/>
    <numFmt numFmtId="216" formatCode="#,##0.0_);[Red]\(#,##0.0\)"/>
    <numFmt numFmtId="217" formatCode="&quot;$&quot;#,##0.0_);&quot;$&quot;\(#,##0.0\)"/>
    <numFmt numFmtId="218" formatCode="&quot;$&quot;#,##0.00_);&quot;$&quot;\(#,##0.00\)"/>
    <numFmt numFmtId="219" formatCode="0.0_)"/>
    <numFmt numFmtId="220" formatCode="&quot;$&quot;#,##0.0_);\(&quot;$&quot;#,##0.0\)"/>
    <numFmt numFmtId="221" formatCode="&quot;$&quot;#,##0.0_);[Red]\(&quot;$&quot;#,##0.0\)"/>
    <numFmt numFmtId="222" formatCode="00000"/>
    <numFmt numFmtId="223" formatCode="0.0&quot;x&quot;"/>
    <numFmt numFmtId="224" formatCode="&quot;£&quot;#,##0.00;\-&quot;£&quot;#,##0.00"/>
    <numFmt numFmtId="225" formatCode="#,##0;\(#,##0\)"/>
    <numFmt numFmtId="226" formatCode="#,##0.0;\(#,##0.0\)"/>
    <numFmt numFmtId="227" formatCode="#,##0.00;\(#,##0.00\)"/>
    <numFmt numFmtId="228" formatCode="_ * #,##0.00_)&quot;£&quot;_ ;_ * \(#,##0.00\)&quot;£&quot;_ ;_ * &quot;-&quot;??_)&quot;£&quot;_ ;_ @_ "/>
  </numFmts>
  <fonts count="113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sz val="8"/>
      <name val="Arial Narrow"/>
      <family val="2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u/>
      <sz val="10"/>
      <name val="Arial"/>
      <family val="2"/>
    </font>
    <font>
      <u/>
      <sz val="10"/>
      <color indexed="12"/>
      <name val="Arial"/>
      <family val="2"/>
    </font>
    <font>
      <sz val="8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Helv"/>
      <family val="2"/>
    </font>
    <font>
      <sz val="11"/>
      <color indexed="10"/>
      <name val="–¾’©"/>
      <charset val="128"/>
    </font>
    <font>
      <sz val="11"/>
      <color indexed="8"/>
      <name val="Calibri"/>
      <family val="2"/>
    </font>
    <font>
      <sz val="10"/>
      <name val="Times New Roman"/>
      <family val="1"/>
    </font>
    <font>
      <sz val="11"/>
      <color indexed="9"/>
      <name val="Calibri"/>
      <family val="2"/>
    </font>
    <font>
      <sz val="10"/>
      <name val="CG Times (WN)"/>
    </font>
    <font>
      <sz val="8"/>
      <color indexed="16"/>
      <name val="Helv"/>
    </font>
    <font>
      <sz val="8"/>
      <color indexed="12"/>
      <name val="Helv"/>
    </font>
    <font>
      <sz val="12"/>
      <name val="¹ÙÅÁÃ¼"/>
      <family val="1"/>
      <charset val="129"/>
    </font>
    <font>
      <sz val="11"/>
      <color indexed="20"/>
      <name val="Calibri"/>
      <family val="2"/>
    </font>
    <font>
      <sz val="10"/>
      <name val="Times New Roman"/>
      <family val="1"/>
    </font>
    <font>
      <sz val="8"/>
      <color indexed="12"/>
      <name val="Tms Rmn"/>
    </font>
    <font>
      <sz val="12"/>
      <name val="Tms Rmn"/>
    </font>
    <font>
      <sz val="10"/>
      <name val="Palatino"/>
    </font>
    <font>
      <b/>
      <sz val="8"/>
      <color indexed="15"/>
      <name val="ZapfDingbats"/>
    </font>
    <font>
      <b/>
      <sz val="10"/>
      <name val="Arial"/>
      <family val="2"/>
    </font>
    <font>
      <b/>
      <sz val="11"/>
      <color indexed="52"/>
      <name val="Calibri"/>
      <family val="2"/>
    </font>
    <font>
      <b/>
      <sz val="10"/>
      <name val="Helv"/>
    </font>
    <font>
      <sz val="10"/>
      <color indexed="14"/>
      <name val="Times New Roman"/>
      <family val="1"/>
    </font>
    <font>
      <i/>
      <sz val="9"/>
      <name val="Times New Roman"/>
      <family val="1"/>
    </font>
    <font>
      <b/>
      <sz val="11"/>
      <color indexed="9"/>
      <name val="Calibri"/>
      <family val="2"/>
    </font>
    <font>
      <sz val="10"/>
      <name val="Helv"/>
    </font>
    <font>
      <sz val="11"/>
      <name val="Tms Rmn"/>
    </font>
    <font>
      <sz val="8"/>
      <name val="Palatino"/>
      <family val="1"/>
    </font>
    <font>
      <sz val="10"/>
      <name val="MS Sans Serif"/>
      <family val="2"/>
    </font>
    <font>
      <i/>
      <sz val="6"/>
      <name val="Helv"/>
    </font>
    <font>
      <sz val="10"/>
      <name val="Book Antiqua"/>
      <family val="1"/>
    </font>
    <font>
      <b/>
      <sz val="16"/>
      <color indexed="16"/>
      <name val="Helv"/>
    </font>
    <font>
      <b/>
      <sz val="1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8"/>
      <name val="Palatino"/>
    </font>
    <font>
      <b/>
      <sz val="10"/>
      <name val="Palatino"/>
    </font>
    <font>
      <sz val="10"/>
      <color indexed="12"/>
      <name val="Times New Roman"/>
      <family val="1"/>
    </font>
    <font>
      <sz val="11"/>
      <color indexed="26"/>
      <name val="Calibri"/>
      <family val="2"/>
    </font>
    <font>
      <b/>
      <sz val="10"/>
      <name val="Arial"/>
      <family val="2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5"/>
      <color indexed="15"/>
      <name val="Calibri"/>
      <family val="2"/>
    </font>
    <font>
      <sz val="18"/>
      <name val="Helvetica-Black"/>
    </font>
    <font>
      <i/>
      <sz val="14"/>
      <name val="Palatino"/>
      <family val="1"/>
    </font>
    <font>
      <b/>
      <sz val="11"/>
      <color indexed="15"/>
      <name val="Calibri"/>
      <family val="2"/>
    </font>
    <font>
      <sz val="8"/>
      <color indexed="17"/>
      <name val="Arial"/>
      <family val="2"/>
    </font>
    <font>
      <sz val="10"/>
      <color indexed="12"/>
      <name val="MS Sans Serif"/>
      <family val="2"/>
    </font>
    <font>
      <sz val="10"/>
      <color indexed="12"/>
      <name val="MS Sans Serif"/>
      <family val="2"/>
    </font>
    <font>
      <i/>
      <sz val="10"/>
      <name val="Arial"/>
      <family val="2"/>
    </font>
    <font>
      <b/>
      <i/>
      <sz val="10"/>
      <name val="Times New Roman"/>
      <family val="1"/>
    </font>
    <font>
      <b/>
      <sz val="8"/>
      <color indexed="14"/>
      <name val="Arial"/>
      <family val="2"/>
    </font>
    <font>
      <sz val="14"/>
      <name val="Times New Roman"/>
      <family val="1"/>
    </font>
    <font>
      <sz val="16"/>
      <name val="Times New Roman"/>
      <family val="1"/>
    </font>
    <font>
      <sz val="11"/>
      <color indexed="52"/>
      <name val="Calibri"/>
      <family val="2"/>
    </font>
    <font>
      <b/>
      <sz val="8"/>
      <name val="Arial"/>
      <family val="2"/>
    </font>
    <font>
      <sz val="8"/>
      <color indexed="8"/>
      <name val="Helv"/>
    </font>
    <font>
      <sz val="8"/>
      <color indexed="1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0"/>
      <color indexed="8"/>
      <name val="MS Sans Serif"/>
      <family val="2"/>
    </font>
    <font>
      <i/>
      <sz val="10"/>
      <name val="Helv"/>
    </font>
    <font>
      <sz val="11"/>
      <name val="‚l‚r –¾’©"/>
      <charset val="128"/>
    </font>
    <font>
      <b/>
      <sz val="10"/>
      <color indexed="22"/>
      <name val="Arial"/>
      <family val="2"/>
    </font>
    <font>
      <b/>
      <sz val="9"/>
      <name val="Arial"/>
      <family val="2"/>
    </font>
    <font>
      <sz val="8"/>
      <color indexed="72"/>
      <name val="Arial"/>
      <family val="2"/>
    </font>
    <font>
      <sz val="10"/>
      <name val="Arial Narrow"/>
      <family val="2"/>
    </font>
    <font>
      <sz val="10"/>
      <color indexed="16"/>
      <name val="Helvetica-Black"/>
    </font>
    <font>
      <sz val="10"/>
      <color indexed="10"/>
      <name val="Times New Roman"/>
      <family val="1"/>
    </font>
    <font>
      <sz val="9"/>
      <name val="Arial"/>
      <family val="2"/>
    </font>
    <font>
      <b/>
      <sz val="10"/>
      <name val="MS Sans Serif"/>
      <family val="2"/>
    </font>
    <font>
      <b/>
      <i/>
      <sz val="8"/>
      <name val="Helv"/>
    </font>
    <font>
      <sz val="8"/>
      <color indexed="10"/>
      <name val="Helv"/>
    </font>
    <font>
      <sz val="8"/>
      <color indexed="18"/>
      <name val="Helvetica"/>
      <family val="2"/>
    </font>
    <font>
      <b/>
      <i/>
      <sz val="8"/>
      <name val="Times New Roman"/>
      <family val="1"/>
    </font>
    <font>
      <i/>
      <sz val="9"/>
      <color indexed="50"/>
      <name val="Times New Roman"/>
      <family val="1"/>
    </font>
    <font>
      <sz val="10"/>
      <name val="Tms Rmn"/>
    </font>
    <font>
      <sz val="10"/>
      <color indexed="9"/>
      <name val="Arial"/>
      <family val="2"/>
    </font>
    <font>
      <b/>
      <sz val="18"/>
      <name val="Times New Roman"/>
      <family val="1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sz val="7"/>
      <name val="Palatino"/>
      <family val="1"/>
    </font>
    <font>
      <b/>
      <sz val="14"/>
      <name val="Palatino"/>
    </font>
    <font>
      <b/>
      <sz val="12"/>
      <name val="Palatino"/>
    </font>
    <font>
      <b/>
      <i/>
      <sz val="20"/>
      <name val="Arial"/>
      <family val="2"/>
    </font>
    <font>
      <b/>
      <i/>
      <sz val="12"/>
      <name val="Galliard BT"/>
      <family val="1"/>
    </font>
    <font>
      <b/>
      <sz val="20"/>
      <name val="Palatino"/>
    </font>
    <font>
      <b/>
      <sz val="12"/>
      <name val="Times New Roman"/>
      <family val="1"/>
    </font>
    <font>
      <sz val="8"/>
      <name val="Helv"/>
    </font>
    <font>
      <sz val="10"/>
      <color indexed="23"/>
      <name val="Times New Roman"/>
      <family val="1"/>
    </font>
    <font>
      <u/>
      <sz val="8"/>
      <name val="Times New Roman"/>
      <family val="1"/>
    </font>
    <font>
      <b/>
      <sz val="8"/>
      <name val="Times New Roman"/>
      <family val="1"/>
    </font>
    <font>
      <b/>
      <sz val="10"/>
      <color indexed="10"/>
      <name val="Times New Roman"/>
      <family val="1"/>
    </font>
    <font>
      <sz val="11"/>
      <color indexed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40"/>
      </patternFill>
    </fill>
    <fill>
      <patternFill patternType="solid">
        <fgColor indexed="14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28"/>
      </patternFill>
    </fill>
    <fill>
      <patternFill patternType="solid">
        <fgColor indexed="49"/>
      </patternFill>
    </fill>
    <fill>
      <patternFill patternType="solid">
        <fgColor indexed="11"/>
      </patternFill>
    </fill>
    <fill>
      <patternFill patternType="solid">
        <fgColor indexed="61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53"/>
      </patternFill>
    </fill>
    <fill>
      <patternFill patternType="solid">
        <fgColor indexed="18"/>
        <bgColor indexed="16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13"/>
      </patternFill>
    </fill>
    <fill>
      <patternFill patternType="gray0625">
        <fgColor indexed="13"/>
        <b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7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1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1">
    <xf numFmtId="0" fontId="0" fillId="0" borderId="0"/>
    <xf numFmtId="0" fontId="2" fillId="0" borderId="0">
      <alignment horizontal="left" wrapText="1"/>
    </xf>
    <xf numFmtId="198" fontId="10" fillId="0" borderId="0">
      <alignment horizontal="right"/>
    </xf>
    <xf numFmtId="199" fontId="10" fillId="0" borderId="0">
      <alignment horizontal="right"/>
    </xf>
    <xf numFmtId="200" fontId="10" fillId="0" borderId="0">
      <alignment horizontal="right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6" fillId="0" borderId="0">
      <alignment horizontal="left"/>
    </xf>
    <xf numFmtId="0" fontId="6" fillId="0" borderId="0">
      <alignment horizontal="left" wrapText="1"/>
    </xf>
    <xf numFmtId="0" fontId="6" fillId="0" borderId="0">
      <alignment horizontal="left"/>
    </xf>
    <xf numFmtId="0" fontId="2" fillId="0" borderId="0">
      <alignment horizontal="left" wrapText="1"/>
    </xf>
    <xf numFmtId="0" fontId="12" fillId="0" borderId="0">
      <alignment vertical="center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13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6" fillId="0" borderId="0">
      <alignment horizontal="left"/>
    </xf>
    <xf numFmtId="0" fontId="2" fillId="0" borderId="0">
      <alignment horizontal="left" wrapText="1"/>
    </xf>
    <xf numFmtId="0" fontId="11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vertical="top"/>
    </xf>
    <xf numFmtId="0" fontId="14" fillId="0" borderId="0"/>
    <xf numFmtId="171" fontId="2" fillId="0" borderId="0" applyFont="0" applyFill="0" applyBorder="0" applyAlignment="0" applyProtection="0">
      <alignment vertical="top"/>
    </xf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2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40" fontId="16" fillId="0" borderId="0" applyFont="0" applyFill="0" applyBorder="0" applyAlignment="0" applyProtection="0">
      <alignment vertical="top"/>
    </xf>
    <xf numFmtId="172" fontId="16" fillId="0" borderId="0" applyFont="0" applyFill="0" applyBorder="0" applyAlignment="0" applyProtection="0">
      <alignment vertical="top"/>
    </xf>
    <xf numFmtId="0" fontId="15" fillId="7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6" borderId="0" applyNumberFormat="0" applyBorder="0" applyAlignment="0" applyProtection="0"/>
    <xf numFmtId="173" fontId="16" fillId="0" borderId="0" applyFont="0" applyFill="0" applyBorder="0" applyAlignment="0" applyProtection="0">
      <alignment vertical="top"/>
    </xf>
    <xf numFmtId="0" fontId="17" fillId="8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174" fontId="2" fillId="0" borderId="0" applyFont="0" applyFill="0" applyBorder="0" applyAlignment="0" applyProtection="0">
      <alignment vertical="top"/>
    </xf>
    <xf numFmtId="1" fontId="18" fillId="0" borderId="0" applyFont="0" applyFill="0" applyBorder="0" applyProtection="0">
      <alignment horizontal="left" vertical="top"/>
    </xf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8" borderId="0" applyNumberFormat="0" applyBorder="0" applyAlignment="0" applyProtection="0"/>
    <xf numFmtId="0" fontId="17" fillId="13" borderId="0" applyNumberFormat="0" applyBorder="0" applyAlignment="0" applyProtection="0"/>
    <xf numFmtId="0" fontId="11" fillId="0" borderId="0"/>
    <xf numFmtId="0" fontId="19" fillId="0" borderId="1" applyNumberFormat="0" applyFill="0" applyAlignment="0" applyProtection="0">
      <alignment horizontal="left"/>
    </xf>
    <xf numFmtId="0" fontId="10" fillId="0" borderId="0">
      <alignment horizontal="center" wrapText="1"/>
      <protection locked="0"/>
    </xf>
    <xf numFmtId="0" fontId="20" fillId="0" borderId="1">
      <protection hidden="1"/>
    </xf>
    <xf numFmtId="201" fontId="21" fillId="0" borderId="0" applyFont="0" applyFill="0" applyBorder="0" applyAlignment="0" applyProtection="0"/>
    <xf numFmtId="202" fontId="21" fillId="0" borderId="0" applyFont="0" applyFill="0" applyBorder="0" applyAlignment="0" applyProtection="0"/>
    <xf numFmtId="0" fontId="22" fillId="5" borderId="0" applyNumberFormat="0" applyBorder="0" applyAlignment="0" applyProtection="0"/>
    <xf numFmtId="175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14" borderId="0" applyNumberFormat="0" applyFont="0" applyBorder="0" applyAlignment="0" applyProtection="0">
      <alignment horizontal="center"/>
    </xf>
    <xf numFmtId="0" fontId="27" fillId="0" borderId="0">
      <alignment horizontal="right"/>
    </xf>
    <xf numFmtId="38" fontId="28" fillId="0" borderId="0" applyFont="0" applyBorder="0" applyAlignment="0">
      <alignment horizontal="centerContinuous"/>
    </xf>
    <xf numFmtId="0" fontId="21" fillId="0" borderId="0"/>
    <xf numFmtId="203" fontId="2" fillId="0" borderId="0" applyFill="0" applyBorder="0" applyAlignment="0"/>
    <xf numFmtId="0" fontId="29" fillId="15" borderId="2" applyNumberFormat="0" applyAlignment="0" applyProtection="0"/>
    <xf numFmtId="0" fontId="30" fillId="0" borderId="0"/>
    <xf numFmtId="38" fontId="31" fillId="0" borderId="0" applyNumberFormat="0" applyFill="0" applyBorder="0" applyAlignment="0" applyProtection="0">
      <alignment vertical="top"/>
    </xf>
    <xf numFmtId="176" fontId="32" fillId="0" borderId="0" applyNumberFormat="0" applyFill="0" applyBorder="0" applyAlignment="0" applyProtection="0">
      <alignment vertical="top"/>
    </xf>
    <xf numFmtId="0" fontId="33" fillId="16" borderId="3" applyNumberFormat="0" applyAlignment="0" applyProtection="0"/>
    <xf numFmtId="0" fontId="34" fillId="0" borderId="1" applyNumberFormat="0" applyBorder="0" applyAlignment="0" applyProtection="0">
      <alignment horizontal="left"/>
    </xf>
    <xf numFmtId="38" fontId="16" fillId="0" borderId="0" applyNumberFormat="0" applyFont="0" applyBorder="0" applyAlignment="0" applyProtection="0">
      <alignment vertical="top"/>
    </xf>
    <xf numFmtId="177" fontId="35" fillId="0" borderId="0"/>
    <xf numFmtId="177" fontId="35" fillId="0" borderId="0"/>
    <xf numFmtId="177" fontId="35" fillId="0" borderId="0"/>
    <xf numFmtId="177" fontId="35" fillId="0" borderId="0"/>
    <xf numFmtId="177" fontId="35" fillId="0" borderId="0"/>
    <xf numFmtId="177" fontId="35" fillId="0" borderId="0"/>
    <xf numFmtId="177" fontId="35" fillId="0" borderId="0"/>
    <xf numFmtId="177" fontId="35" fillId="0" borderId="0"/>
    <xf numFmtId="204" fontId="2" fillId="0" borderId="0" applyFont="0" applyFill="0" applyBorder="0" applyAlignment="0" applyProtection="0"/>
    <xf numFmtId="0" fontId="36" fillId="0" borderId="0" applyFont="0" applyFill="0" applyBorder="0" applyAlignment="0" applyProtection="0">
      <alignment horizontal="right"/>
    </xf>
    <xf numFmtId="0" fontId="36" fillId="0" borderId="0" applyFont="0" applyFill="0" applyBorder="0" applyAlignment="0" applyProtection="0">
      <alignment horizontal="right"/>
    </xf>
    <xf numFmtId="40" fontId="37" fillId="0" borderId="0" applyFont="0" applyFill="0" applyBorder="0" applyAlignment="0" applyProtection="0"/>
    <xf numFmtId="0" fontId="38" fillId="0" borderId="0"/>
    <xf numFmtId="10" fontId="2" fillId="0" borderId="0"/>
    <xf numFmtId="0" fontId="34" fillId="0" borderId="4"/>
    <xf numFmtId="0" fontId="16" fillId="0" borderId="0">
      <alignment horizontal="center"/>
    </xf>
    <xf numFmtId="203" fontId="2" fillId="0" borderId="0" applyFont="0" applyFill="0" applyBorder="0" applyAlignment="0" applyProtection="0"/>
    <xf numFmtId="8" fontId="39" fillId="0" borderId="0" applyBorder="0"/>
    <xf numFmtId="0" fontId="36" fillId="0" borderId="0" applyFont="0" applyFill="0" applyBorder="0" applyAlignment="0" applyProtection="0">
      <alignment horizontal="right"/>
    </xf>
    <xf numFmtId="0" fontId="36" fillId="0" borderId="0" applyFont="0" applyFill="0" applyBorder="0" applyAlignment="0" applyProtection="0">
      <alignment horizontal="right"/>
    </xf>
    <xf numFmtId="176" fontId="2" fillId="0" borderId="0" applyFont="0" applyFill="0" applyBorder="0" applyAlignment="0" applyProtection="0"/>
    <xf numFmtId="205" fontId="2" fillId="17" borderId="0" applyFont="0" applyBorder="0"/>
    <xf numFmtId="0" fontId="2" fillId="0" borderId="0" applyFont="0" applyFill="0" applyBorder="0" applyAlignment="0" applyProtection="0"/>
    <xf numFmtId="193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8" fontId="2" fillId="0" borderId="0" applyFont="0" applyFill="0" applyBorder="0" applyAlignment="0" applyProtection="0"/>
    <xf numFmtId="13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208" fontId="2" fillId="0" borderId="0" applyFont="0" applyFill="0" applyBorder="0" applyAlignment="0" applyProtection="0"/>
    <xf numFmtId="5" fontId="2" fillId="0" borderId="0" applyFont="0" applyFill="0" applyBorder="0" applyAlignment="0" applyProtection="0"/>
    <xf numFmtId="209" fontId="2" fillId="0" borderId="0" applyFont="0" applyFill="0" applyBorder="0" applyAlignment="0" applyProtection="0"/>
    <xf numFmtId="210" fontId="2" fillId="0" borderId="0" applyFont="0" applyFill="0" applyBorder="0" applyAlignment="0" applyProtection="0"/>
    <xf numFmtId="14" fontId="2" fillId="0" borderId="0" applyFont="0" applyFill="0" applyBorder="0" applyAlignment="0" applyProtection="0"/>
    <xf numFmtId="46" fontId="2" fillId="0" borderId="0" applyFont="0" applyFill="0" applyBorder="0" applyAlignment="0" applyProtection="0"/>
    <xf numFmtId="195" fontId="2" fillId="0" borderId="0" applyFont="0" applyFill="0" applyBorder="0" applyAlignment="0" applyProtection="0"/>
    <xf numFmtId="211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1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21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80" fontId="2" fillId="0" borderId="0" applyFont="0" applyFill="0" applyBorder="0" applyAlignment="0" applyProtection="0"/>
    <xf numFmtId="37" fontId="2" fillId="0" borderId="0" applyFont="0" applyFill="0" applyBorder="0" applyAlignment="0" applyProtection="0"/>
    <xf numFmtId="213" fontId="2" fillId="0" borderId="0" applyFont="0" applyFill="0" applyBorder="0" applyAlignment="0" applyProtection="0"/>
    <xf numFmtId="17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197" fontId="2" fillId="0" borderId="0" applyFont="0" applyFill="0" applyBorder="0" applyAlignment="0" applyProtection="0"/>
    <xf numFmtId="215" fontId="2" fillId="0" borderId="0" applyFont="0" applyFill="0" applyBorder="0" applyAlignment="0" applyProtection="0"/>
    <xf numFmtId="15" fontId="2" fillId="0" borderId="0" applyFont="0" applyFill="0" applyBorder="0" applyAlignment="0" applyProtection="0"/>
    <xf numFmtId="21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17" fontId="2" fillId="0" borderId="0" applyFont="0" applyFill="0" applyBorder="0" applyAlignment="0" applyProtection="0"/>
    <xf numFmtId="218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219" fontId="2" fillId="0" borderId="0" applyFont="0" applyFill="0" applyBorder="0" applyAlignment="0" applyProtection="0"/>
    <xf numFmtId="220" fontId="2" fillId="0" borderId="0" applyFont="0" applyFill="0" applyBorder="0" applyAlignment="0" applyProtection="0"/>
    <xf numFmtId="40" fontId="2" fillId="0" borderId="0" applyFont="0" applyFill="0" applyBorder="0" applyAlignment="0" applyProtection="0"/>
    <xf numFmtId="221" fontId="2" fillId="0" borderId="0" applyFont="0" applyFill="0" applyBorder="0" applyAlignment="0" applyProtection="0"/>
    <xf numFmtId="222" fontId="2" fillId="0" borderId="0" applyFont="0" applyFill="0" applyBorder="0" applyAlignment="0" applyProtection="0"/>
    <xf numFmtId="49" fontId="2" fillId="0" borderId="0" applyFont="0" applyFill="0" applyBorder="0" applyAlignment="0" applyProtection="0"/>
    <xf numFmtId="6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223" fontId="2" fillId="0" borderId="0" applyFont="0" applyFill="0" applyBorder="0" applyAlignment="0" applyProtection="0"/>
    <xf numFmtId="196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40" fillId="0" borderId="0">
      <alignment horizontal="right"/>
    </xf>
    <xf numFmtId="14" fontId="41" fillId="0" borderId="0"/>
    <xf numFmtId="0" fontId="36" fillId="0" borderId="0" applyFont="0" applyFill="0" applyBorder="0" applyAlignment="0" applyProtection="0"/>
    <xf numFmtId="207" fontId="10" fillId="0" borderId="0">
      <alignment horizontal="right"/>
    </xf>
    <xf numFmtId="14" fontId="42" fillId="0" borderId="0" applyFill="0" applyBorder="0" applyAlignment="0"/>
    <xf numFmtId="224" fontId="2" fillId="0" borderId="0" applyFont="0" applyFill="0" applyBorder="0" applyProtection="0">
      <alignment horizontal="centerContinuous"/>
    </xf>
    <xf numFmtId="178" fontId="2" fillId="0" borderId="0" applyFont="0" applyFill="0" applyBorder="0" applyProtection="0">
      <alignment horizontal="left" vertical="top"/>
    </xf>
    <xf numFmtId="14" fontId="2" fillId="0" borderId="0"/>
    <xf numFmtId="179" fontId="2" fillId="0" borderId="0" applyFont="0" applyFill="0" applyBorder="0" applyProtection="0">
      <alignment horizontal="left" vertical="top"/>
    </xf>
    <xf numFmtId="180" fontId="2" fillId="0" borderId="0" applyFont="0" applyFill="0" applyBorder="0" applyProtection="0">
      <alignment horizontal="left" vertical="top"/>
    </xf>
    <xf numFmtId="181" fontId="2" fillId="0" borderId="0" applyFont="0" applyFill="0" applyBorder="0" applyProtection="0">
      <alignment horizontal="left" vertical="top"/>
    </xf>
    <xf numFmtId="182" fontId="2" fillId="0" borderId="0" applyFont="0" applyFill="0" applyBorder="0" applyProtection="0">
      <alignment horizontal="left" vertical="top"/>
    </xf>
    <xf numFmtId="225" fontId="10" fillId="0" borderId="0">
      <alignment horizontal="right"/>
    </xf>
    <xf numFmtId="226" fontId="10" fillId="0" borderId="0">
      <alignment horizontal="right"/>
    </xf>
    <xf numFmtId="227" fontId="10" fillId="0" borderId="0">
      <alignment horizontal="right"/>
    </xf>
    <xf numFmtId="41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0" fontId="5" fillId="1" borderId="5"/>
    <xf numFmtId="15" fontId="44" fillId="0" borderId="0">
      <alignment horizontal="right"/>
    </xf>
    <xf numFmtId="0" fontId="42" fillId="0" borderId="0">
      <alignment horizontal="right"/>
    </xf>
    <xf numFmtId="0" fontId="36" fillId="0" borderId="6" applyNumberFormat="0" applyFont="0" applyFill="0" applyAlignment="0" applyProtection="0"/>
    <xf numFmtId="0" fontId="2" fillId="18" borderId="0"/>
    <xf numFmtId="204" fontId="2" fillId="0" borderId="0" applyFill="0" applyBorder="0" applyAlignment="0"/>
    <xf numFmtId="203" fontId="2" fillId="0" borderId="0" applyFill="0" applyBorder="0" applyAlignment="0"/>
    <xf numFmtId="204" fontId="2" fillId="0" borderId="0" applyFill="0" applyBorder="0" applyAlignment="0"/>
    <xf numFmtId="195" fontId="2" fillId="0" borderId="0" applyFill="0" applyBorder="0" applyAlignment="0"/>
    <xf numFmtId="203" fontId="2" fillId="0" borderId="0" applyFill="0" applyBorder="0" applyAlignment="0"/>
    <xf numFmtId="37" fontId="23" fillId="19" borderId="0" applyNumberFormat="0" applyBorder="0" applyAlignment="0">
      <protection locked="0"/>
    </xf>
    <xf numFmtId="183" fontId="2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38" fontId="10" fillId="0" borderId="0"/>
    <xf numFmtId="0" fontId="47" fillId="0" borderId="0"/>
    <xf numFmtId="0" fontId="48" fillId="0" borderId="0" applyNumberFormat="0" applyFill="0" applyBorder="0" applyAlignment="0" applyProtection="0"/>
    <xf numFmtId="38" fontId="49" fillId="0" borderId="0" applyNumberFormat="0" applyFill="0" applyBorder="0" applyAlignment="0" applyProtection="0">
      <alignment vertical="top"/>
    </xf>
    <xf numFmtId="0" fontId="50" fillId="4" borderId="0" applyNumberFormat="0" applyBorder="0" applyAlignment="0" applyProtection="0"/>
    <xf numFmtId="38" fontId="6" fillId="17" borderId="0" applyNumberFormat="0" applyBorder="0" applyAlignment="0" applyProtection="0"/>
    <xf numFmtId="0" fontId="51" fillId="20" borderId="7" applyAlignment="0" applyProtection="0"/>
    <xf numFmtId="0" fontId="36" fillId="0" borderId="0" applyFont="0" applyFill="0" applyBorder="0" applyAlignment="0" applyProtection="0">
      <alignment horizontal="right"/>
    </xf>
    <xf numFmtId="0" fontId="52" fillId="0" borderId="0" applyProtection="0">
      <alignment horizontal="right"/>
    </xf>
    <xf numFmtId="0" fontId="53" fillId="0" borderId="8" applyNumberFormat="0" applyAlignment="0" applyProtection="0">
      <alignment horizontal="left" vertical="center"/>
    </xf>
    <xf numFmtId="0" fontId="53" fillId="0" borderId="7">
      <alignment horizontal="left" vertical="center"/>
    </xf>
    <xf numFmtId="0" fontId="54" fillId="0" borderId="9" applyNumberFormat="0" applyFill="0" applyAlignment="0" applyProtection="0"/>
    <xf numFmtId="0" fontId="55" fillId="0" borderId="0" applyProtection="0">
      <alignment horizontal="left"/>
    </xf>
    <xf numFmtId="0" fontId="56" fillId="0" borderId="0" applyProtection="0">
      <alignment horizontal="left"/>
    </xf>
    <xf numFmtId="0" fontId="57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58" fillId="0" borderId="0"/>
    <xf numFmtId="184" fontId="59" fillId="0" borderId="10" applyNumberFormat="0" applyFill="0" applyAlignment="0">
      <alignment horizontal="center"/>
      <protection locked="0"/>
    </xf>
    <xf numFmtId="10" fontId="6" fillId="21" borderId="5" applyNumberFormat="0" applyBorder="0" applyAlignment="0" applyProtection="0"/>
    <xf numFmtId="2" fontId="60" fillId="0" borderId="11" applyNumberFormat="0" applyFill="0" applyBorder="0" applyAlignment="0">
      <alignment horizontal="center"/>
      <protection locked="0"/>
    </xf>
    <xf numFmtId="2" fontId="11" fillId="22" borderId="12" applyNumberFormat="0" applyBorder="0">
      <alignment horizontal="right" vertical="center"/>
    </xf>
    <xf numFmtId="15" fontId="61" fillId="23" borderId="13" applyNumberFormat="0" applyBorder="0">
      <alignment horizontal="right" vertical="center"/>
    </xf>
    <xf numFmtId="0" fontId="62" fillId="0" borderId="0"/>
    <xf numFmtId="0" fontId="63" fillId="0" borderId="1" applyNumberFormat="0" applyFill="0" applyBorder="0" applyAlignment="0" applyProtection="0"/>
    <xf numFmtId="38" fontId="46" fillId="0" borderId="0" applyNumberFormat="0" applyFill="0" applyBorder="0" applyAlignment="0" applyProtection="0">
      <alignment vertical="top"/>
    </xf>
    <xf numFmtId="38" fontId="64" fillId="0" borderId="0" applyNumberFormat="0" applyFill="0" applyBorder="0" applyAlignment="0" applyProtection="0">
      <alignment vertical="top"/>
    </xf>
    <xf numFmtId="38" fontId="65" fillId="0" borderId="0" applyNumberFormat="0" applyFill="0" applyBorder="0" applyAlignment="0" applyProtection="0">
      <alignment vertical="top"/>
    </xf>
    <xf numFmtId="38" fontId="10" fillId="0" borderId="0">
      <alignment horizontal="right"/>
    </xf>
    <xf numFmtId="204" fontId="2" fillId="0" borderId="0" applyFill="0" applyBorder="0" applyAlignment="0"/>
    <xf numFmtId="203" fontId="2" fillId="0" borderId="0" applyFill="0" applyBorder="0" applyAlignment="0"/>
    <xf numFmtId="38" fontId="16" fillId="17" borderId="0" applyNumberFormat="0" applyFont="0" applyBorder="0" applyAlignment="0" applyProtection="0">
      <alignment vertical="top"/>
    </xf>
    <xf numFmtId="38" fontId="16" fillId="24" borderId="0" applyNumberFormat="0" applyFont="0" applyBorder="0" applyAlignment="0" applyProtection="0">
      <alignment vertical="top"/>
    </xf>
    <xf numFmtId="204" fontId="2" fillId="0" borderId="0" applyFill="0" applyBorder="0" applyAlignment="0"/>
    <xf numFmtId="195" fontId="2" fillId="0" borderId="0" applyFill="0" applyBorder="0" applyAlignment="0"/>
    <xf numFmtId="203" fontId="2" fillId="0" borderId="0" applyFill="0" applyBorder="0" applyAlignment="0"/>
    <xf numFmtId="0" fontId="66" fillId="0" borderId="14" applyNumberFormat="0" applyFill="0" applyAlignment="0" applyProtection="0"/>
    <xf numFmtId="0" fontId="67" fillId="0" borderId="15"/>
    <xf numFmtId="0" fontId="5" fillId="0" borderId="0"/>
    <xf numFmtId="0" fontId="68" fillId="0" borderId="1">
      <alignment horizontal="left"/>
      <protection locked="0"/>
    </xf>
    <xf numFmtId="0" fontId="6" fillId="17" borderId="0" applyNumberFormat="0"/>
    <xf numFmtId="0" fontId="6" fillId="0" borderId="0"/>
    <xf numFmtId="0" fontId="69" fillId="0" borderId="16">
      <alignment horizontal="left"/>
    </xf>
    <xf numFmtId="0" fontId="42" fillId="0" borderId="17">
      <alignment horizontal="center"/>
    </xf>
    <xf numFmtId="185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70" fillId="0" borderId="18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36" fillId="0" borderId="0" applyFont="0" applyFill="0" applyBorder="0" applyAlignment="0" applyProtection="0">
      <alignment horizontal="right"/>
    </xf>
    <xf numFmtId="0" fontId="71" fillId="6" borderId="0" applyNumberFormat="0" applyBorder="0" applyAlignment="0" applyProtection="0"/>
    <xf numFmtId="0" fontId="72" fillId="17" borderId="19" applyNumberFormat="0" applyFont="0" applyFill="0" applyAlignment="0" applyProtection="0">
      <alignment horizontal="center"/>
    </xf>
    <xf numFmtId="37" fontId="73" fillId="0" borderId="0"/>
    <xf numFmtId="186" fontId="74" fillId="0" borderId="0"/>
    <xf numFmtId="0" fontId="2" fillId="0" borderId="0"/>
    <xf numFmtId="0" fontId="2" fillId="0" borderId="0"/>
    <xf numFmtId="0" fontId="75" fillId="0" borderId="0"/>
    <xf numFmtId="0" fontId="2" fillId="6" borderId="20" applyNumberFormat="0" applyFont="0" applyAlignment="0" applyProtection="0"/>
    <xf numFmtId="0" fontId="76" fillId="0" borderId="1" applyNumberFormat="0" applyFill="0" applyBorder="0" applyAlignment="0" applyProtection="0">
      <alignment horizontal="left"/>
      <protection locked="0"/>
    </xf>
    <xf numFmtId="37" fontId="2" fillId="0" borderId="0"/>
    <xf numFmtId="40" fontId="77" fillId="0" borderId="0" applyFont="0" applyFill="0" applyBorder="0" applyAlignment="0" applyProtection="0"/>
    <xf numFmtId="38" fontId="77" fillId="0" borderId="0" applyFont="0" applyFill="0" applyBorder="0" applyAlignment="0" applyProtection="0"/>
    <xf numFmtId="0" fontId="78" fillId="25" borderId="21" applyNumberFormat="0" applyBorder="0" applyAlignment="0">
      <alignment horizontal="center"/>
      <protection hidden="1"/>
    </xf>
    <xf numFmtId="0" fontId="79" fillId="0" borderId="21" applyNumberFormat="0" applyBorder="0" applyAlignment="0">
      <alignment horizontal="center"/>
      <protection locked="0"/>
    </xf>
    <xf numFmtId="0" fontId="80" fillId="0" borderId="0">
      <alignment horizontal="left" vertical="top"/>
      <protection locked="0"/>
    </xf>
    <xf numFmtId="173" fontId="16" fillId="26" borderId="0" applyNumberFormat="0" applyFont="0" applyBorder="0" applyAlignment="0" applyProtection="0">
      <alignment vertical="top"/>
    </xf>
    <xf numFmtId="37" fontId="81" fillId="27" borderId="0" applyAlignment="0"/>
    <xf numFmtId="38" fontId="16" fillId="28" borderId="0" applyNumberFormat="0" applyFont="0" applyBorder="0" applyAlignment="0" applyProtection="0">
      <alignment vertical="top"/>
    </xf>
    <xf numFmtId="1" fontId="82" fillId="0" borderId="0" applyProtection="0">
      <alignment horizontal="right" vertical="center"/>
    </xf>
    <xf numFmtId="14" fontId="10" fillId="0" borderId="0">
      <alignment horizontal="center" wrapText="1"/>
      <protection locked="0"/>
    </xf>
    <xf numFmtId="194" fontId="2" fillId="0" borderId="0" applyFont="0" applyFill="0" applyBorder="0" applyAlignment="0" applyProtection="0"/>
    <xf numFmtId="228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68" fontId="10" fillId="0" borderId="0">
      <alignment horizontal="right"/>
    </xf>
    <xf numFmtId="10" fontId="10" fillId="0" borderId="0">
      <alignment horizontal="right"/>
    </xf>
    <xf numFmtId="9" fontId="10" fillId="0" borderId="0">
      <alignment horizontal="right"/>
    </xf>
    <xf numFmtId="9" fontId="37" fillId="0" borderId="0" applyFont="0" applyFill="0" applyBorder="0" applyAlignment="0" applyProtection="0"/>
    <xf numFmtId="10" fontId="37" fillId="0" borderId="0" applyFont="0" applyFill="0" applyBorder="0" applyAlignment="0" applyProtection="0"/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9" fontId="2" fillId="0" borderId="0" applyFont="0" applyFill="0" applyBorder="0" applyAlignment="0" applyProtection="0">
      <alignment vertical="top"/>
    </xf>
    <xf numFmtId="190" fontId="2" fillId="0" borderId="0"/>
    <xf numFmtId="38" fontId="83" fillId="0" borderId="0" applyNumberFormat="0" applyFill="0" applyBorder="0" applyAlignment="0" applyProtection="0">
      <alignment vertical="top"/>
    </xf>
    <xf numFmtId="204" fontId="2" fillId="0" borderId="0" applyFill="0" applyBorder="0" applyAlignment="0"/>
    <xf numFmtId="203" fontId="2" fillId="0" borderId="0" applyFill="0" applyBorder="0" applyAlignment="0"/>
    <xf numFmtId="204" fontId="2" fillId="0" borderId="0" applyFill="0" applyBorder="0" applyAlignment="0"/>
    <xf numFmtId="195" fontId="2" fillId="0" borderId="0" applyFill="0" applyBorder="0" applyAlignment="0"/>
    <xf numFmtId="203" fontId="2" fillId="0" borderId="0" applyFill="0" applyBorder="0" applyAlignment="0"/>
    <xf numFmtId="39" fontId="84" fillId="0" borderId="5">
      <alignment horizontal="center"/>
    </xf>
    <xf numFmtId="0" fontId="37" fillId="0" borderId="0" applyNumberFormat="0" applyFont="0" applyFill="0" applyBorder="0" applyAlignment="0" applyProtection="0">
      <alignment horizontal="left"/>
    </xf>
    <xf numFmtId="15" fontId="37" fillId="0" borderId="0" applyFont="0" applyFill="0" applyBorder="0" applyAlignment="0" applyProtection="0"/>
    <xf numFmtId="4" fontId="37" fillId="0" borderId="0" applyFont="0" applyFill="0" applyBorder="0" applyAlignment="0" applyProtection="0"/>
    <xf numFmtId="0" fontId="85" fillId="0" borderId="18">
      <alignment horizontal="center"/>
    </xf>
    <xf numFmtId="3" fontId="37" fillId="0" borderId="0" applyFont="0" applyFill="0" applyBorder="0" applyAlignment="0" applyProtection="0"/>
    <xf numFmtId="0" fontId="37" fillId="29" borderId="0" applyNumberFormat="0" applyFont="0" applyBorder="0" applyAlignment="0" applyProtection="0"/>
    <xf numFmtId="0" fontId="86" fillId="0" borderId="22" applyBorder="0"/>
    <xf numFmtId="0" fontId="87" fillId="0" borderId="0"/>
    <xf numFmtId="3" fontId="88" fillId="0" borderId="23">
      <alignment horizontal="center"/>
      <protection locked="0"/>
    </xf>
    <xf numFmtId="38" fontId="89" fillId="0" borderId="0">
      <alignment horizontal="center"/>
    </xf>
    <xf numFmtId="38" fontId="90" fillId="30" borderId="0" applyNumberFormat="0" applyBorder="0" applyAlignment="0" applyProtection="0">
      <alignment vertical="top"/>
    </xf>
    <xf numFmtId="0" fontId="91" fillId="0" borderId="24"/>
    <xf numFmtId="0" fontId="92" fillId="31" borderId="0" applyNumberFormat="0" applyBorder="0" applyAlignment="0" applyProtection="0"/>
    <xf numFmtId="0" fontId="2" fillId="0" borderId="0" applyNumberFormat="0" applyFont="0" applyFill="0" applyBorder="0" applyAlignment="0" applyProtection="0"/>
    <xf numFmtId="0" fontId="92" fillId="31" borderId="0" applyNumberFormat="0" applyBorder="0" applyAlignment="0" applyProtection="0"/>
    <xf numFmtId="0" fontId="11" fillId="21" borderId="0" applyNumberFormat="0" applyAlignment="0" applyProtection="0"/>
    <xf numFmtId="3" fontId="11" fillId="0" borderId="0" applyNumberFormat="0" applyFont="0" applyFill="0" applyBorder="0" applyAlignment="0" applyProtection="0"/>
    <xf numFmtId="0" fontId="92" fillId="31" borderId="0" applyNumberFormat="0" applyBorder="0" applyAlignment="0" applyProtection="0"/>
    <xf numFmtId="0" fontId="11" fillId="21" borderId="0" applyNumberFormat="0" applyBorder="0" applyAlignment="0" applyProtection="0"/>
    <xf numFmtId="3" fontId="11" fillId="0" borderId="0" applyNumberFormat="0" applyFont="0" applyFill="0" applyBorder="0" applyAlignment="0" applyProtection="0"/>
    <xf numFmtId="0" fontId="11" fillId="32" borderId="0" applyNumberFormat="0" applyBorder="0" applyAlignment="0" applyProtection="0"/>
    <xf numFmtId="0" fontId="92" fillId="32" borderId="0" applyNumberFormat="0" applyBorder="0" applyAlignment="0" applyProtection="0"/>
    <xf numFmtId="3" fontId="11" fillId="0" borderId="0" applyNumberFormat="0" applyFont="0" applyFill="0" applyBorder="0" applyAlignment="0" applyProtection="0"/>
    <xf numFmtId="3" fontId="92" fillId="33" borderId="0" applyNumberFormat="0" applyBorder="0" applyAlignment="0" applyProtection="0"/>
    <xf numFmtId="3" fontId="92" fillId="33" borderId="0" applyNumberFormat="0" applyBorder="0" applyAlignment="0" applyProtection="0"/>
    <xf numFmtId="3" fontId="11" fillId="0" borderId="0" applyNumberFormat="0" applyFont="0" applyFill="0" applyBorder="0" applyAlignment="0" applyProtection="0"/>
    <xf numFmtId="3" fontId="92" fillId="34" borderId="0" applyNumberFormat="0" applyBorder="0" applyAlignment="0" applyProtection="0"/>
    <xf numFmtId="3" fontId="92" fillId="34" borderId="0" applyNumberFormat="0" applyBorder="0" applyAlignment="0" applyProtection="0"/>
    <xf numFmtId="0" fontId="2" fillId="0" borderId="0" applyFont="0" applyFill="0" applyBorder="0" applyAlignment="0" applyProtection="0"/>
    <xf numFmtId="3" fontId="2" fillId="17" borderId="0" applyFont="0" applyBorder="0" applyAlignment="0" applyProtection="0"/>
    <xf numFmtId="0" fontId="2" fillId="34" borderId="0" applyNumberFormat="0" applyFont="0" applyBorder="0" applyAlignment="0" applyProtection="0"/>
    <xf numFmtId="4" fontId="2" fillId="17" borderId="0" applyFont="0" applyBorder="0" applyAlignment="0" applyProtection="0"/>
    <xf numFmtId="194" fontId="2" fillId="0" borderId="0">
      <alignment horizontal="center"/>
    </xf>
    <xf numFmtId="0" fontId="70" fillId="0" borderId="0"/>
    <xf numFmtId="0" fontId="93" fillId="0" borderId="0"/>
    <xf numFmtId="37" fontId="18" fillId="0" borderId="25" applyNumberFormat="0" applyFont="0" applyFill="0" applyAlignment="0"/>
    <xf numFmtId="0" fontId="94" fillId="0" borderId="0" applyBorder="0" applyProtection="0">
      <alignment vertical="center"/>
    </xf>
    <xf numFmtId="0" fontId="94" fillId="0" borderId="26" applyBorder="0" applyProtection="0">
      <alignment horizontal="right" vertical="center"/>
    </xf>
    <xf numFmtId="0" fontId="95" fillId="35" borderId="0" applyBorder="0" applyProtection="0">
      <alignment horizontal="centerContinuous" vertical="center"/>
    </xf>
    <xf numFmtId="0" fontId="95" fillId="36" borderId="26" applyBorder="0" applyProtection="0">
      <alignment horizontal="centerContinuous" vertical="center"/>
    </xf>
    <xf numFmtId="0" fontId="96" fillId="0" borderId="0" applyFill="0" applyBorder="0" applyProtection="0">
      <alignment horizontal="left"/>
    </xf>
    <xf numFmtId="0" fontId="97" fillId="0" borderId="22" applyFill="0" applyBorder="0" applyProtection="0">
      <alignment horizontal="left" vertical="top"/>
    </xf>
    <xf numFmtId="2" fontId="11" fillId="37" borderId="27" applyNumberFormat="0" applyBorder="0">
      <alignment horizontal="right" vertical="center"/>
    </xf>
    <xf numFmtId="0" fontId="98" fillId="0" borderId="0"/>
    <xf numFmtId="49" fontId="42" fillId="0" borderId="0" applyFill="0" applyBorder="0" applyAlignment="0"/>
    <xf numFmtId="208" fontId="2" fillId="0" borderId="0" applyFill="0" applyBorder="0" applyAlignment="0"/>
    <xf numFmtId="208" fontId="2" fillId="0" borderId="0" applyFill="0" applyBorder="0" applyAlignment="0"/>
    <xf numFmtId="213" fontId="84" fillId="0" borderId="5">
      <alignment horizontal="center"/>
    </xf>
    <xf numFmtId="0" fontId="99" fillId="0" borderId="0"/>
    <xf numFmtId="20" fontId="16" fillId="0" borderId="0" applyFont="0" applyFill="0" applyBorder="0" applyAlignment="0" applyProtection="0">
      <alignment vertical="top"/>
    </xf>
    <xf numFmtId="21" fontId="16" fillId="0" borderId="0" applyFont="0" applyFill="0" applyBorder="0" applyAlignment="0" applyProtection="0">
      <alignment vertical="top"/>
    </xf>
    <xf numFmtId="0" fontId="100" fillId="0" borderId="0"/>
    <xf numFmtId="0" fontId="101" fillId="0" borderId="0"/>
    <xf numFmtId="0" fontId="102" fillId="0" borderId="0">
      <alignment horizontal="center"/>
    </xf>
    <xf numFmtId="38" fontId="103" fillId="17" borderId="0" applyAlignment="0">
      <alignment vertical="top" wrapText="1"/>
    </xf>
    <xf numFmtId="0" fontId="2" fillId="0" borderId="0" applyNumberFormat="0" applyFill="0" applyBorder="0" applyAlignment="0" applyProtection="0"/>
    <xf numFmtId="0" fontId="104" fillId="38" borderId="1"/>
    <xf numFmtId="37" fontId="18" fillId="0" borderId="28" applyNumberFormat="0" applyFont="0" applyFill="0" applyAlignment="0"/>
    <xf numFmtId="38" fontId="10" fillId="0" borderId="29">
      <alignment horizontal="right"/>
    </xf>
    <xf numFmtId="38" fontId="105" fillId="0" borderId="0" applyNumberFormat="0" applyFill="0" applyBorder="0" applyAlignment="0" applyProtection="0">
      <alignment vertical="top"/>
    </xf>
    <xf numFmtId="226" fontId="106" fillId="0" borderId="0">
      <alignment horizontal="right"/>
    </xf>
    <xf numFmtId="227" fontId="106" fillId="0" borderId="0">
      <alignment horizontal="right"/>
    </xf>
    <xf numFmtId="1" fontId="106" fillId="0" borderId="0">
      <alignment horizontal="left"/>
    </xf>
    <xf numFmtId="225" fontId="106" fillId="0" borderId="0">
      <alignment horizontal="right"/>
    </xf>
    <xf numFmtId="37" fontId="107" fillId="0" borderId="26">
      <alignment horizontal="center"/>
    </xf>
    <xf numFmtId="208" fontId="91" fillId="0" borderId="0"/>
    <xf numFmtId="42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38" fontId="108" fillId="26" borderId="0" applyNumberFormat="0" applyBorder="0" applyAlignment="0" applyProtection="0">
      <alignment vertical="top"/>
    </xf>
    <xf numFmtId="0" fontId="109" fillId="0" borderId="0" applyNumberFormat="0" applyFill="0" applyBorder="0" applyAlignment="0" applyProtection="0"/>
    <xf numFmtId="0" fontId="51" fillId="0" borderId="0">
      <alignment horizontal="left"/>
    </xf>
    <xf numFmtId="176" fontId="16" fillId="0" borderId="0" applyNumberFormat="0" applyFont="0" applyFill="0" applyBorder="0" applyProtection="0">
      <alignment vertical="top" wrapText="1"/>
    </xf>
    <xf numFmtId="191" fontId="16" fillId="0" borderId="0" applyFont="0" applyFill="0" applyBorder="0" applyAlignment="0" applyProtection="0"/>
    <xf numFmtId="14" fontId="23" fillId="0" borderId="0" applyFont="0" applyFill="0" applyBorder="0" applyProtection="0"/>
    <xf numFmtId="1" fontId="18" fillId="0" borderId="0" applyFont="0" applyFill="0" applyBorder="0" applyProtection="0">
      <alignment horizontal="right" vertical="top"/>
    </xf>
    <xf numFmtId="38" fontId="16" fillId="39" borderId="0" applyNumberFormat="0" applyFont="0" applyBorder="0" applyAlignment="0" applyProtection="0">
      <alignment horizontal="right" vertical="top"/>
    </xf>
    <xf numFmtId="192" fontId="2" fillId="0" borderId="0" applyFont="0" applyFill="0" applyBorder="0" applyAlignment="0" applyProtection="0">
      <alignment vertical="top" wrapText="1"/>
    </xf>
    <xf numFmtId="38" fontId="16" fillId="0" borderId="0" applyFont="0" applyFill="0" applyBorder="0" applyAlignment="0" applyProtection="0">
      <alignment horizontal="right" vertical="top"/>
    </xf>
    <xf numFmtId="0" fontId="112" fillId="0" borderId="0"/>
    <xf numFmtId="0" fontId="1" fillId="0" borderId="0"/>
    <xf numFmtId="9" fontId="2" fillId="0" borderId="0" applyFont="0" applyFill="0" applyBorder="0" applyAlignment="0" applyProtection="0"/>
  </cellStyleXfs>
  <cellXfs count="81">
    <xf numFmtId="0" fontId="0" fillId="0" borderId="0" xfId="0"/>
    <xf numFmtId="14" fontId="6" fillId="0" borderId="0" xfId="316" applyNumberFormat="1" applyFont="1" applyFill="1" applyBorder="1" applyAlignment="1">
      <alignment horizontal="center"/>
    </xf>
    <xf numFmtId="3" fontId="5" fillId="0" borderId="0" xfId="316" applyNumberFormat="1" applyFont="1" applyBorder="1" applyAlignment="1">
      <alignment horizontal="center"/>
    </xf>
    <xf numFmtId="3" fontId="5" fillId="40" borderId="5" xfId="316" quotePrefix="1" applyNumberFormat="1" applyFont="1" applyFill="1" applyBorder="1" applyAlignment="1" applyProtection="1">
      <alignment horizontal="center"/>
      <protection locked="0"/>
    </xf>
    <xf numFmtId="0" fontId="4" fillId="32" borderId="0" xfId="316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40" borderId="5" xfId="0" applyFont="1" applyFill="1" applyBorder="1" applyAlignment="1">
      <alignment horizontal="center"/>
    </xf>
    <xf numFmtId="164" fontId="5" fillId="0" borderId="0" xfId="0" applyNumberFormat="1" applyFont="1"/>
    <xf numFmtId="166" fontId="5" fillId="0" borderId="0" xfId="0" applyNumberFormat="1" applyFont="1"/>
    <xf numFmtId="165" fontId="5" fillId="40" borderId="5" xfId="0" applyNumberFormat="1" applyFont="1" applyFill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3" fontId="5" fillId="0" borderId="0" xfId="0" applyNumberFormat="1" applyFont="1"/>
    <xf numFmtId="14" fontId="5" fillId="0" borderId="0" xfId="0" applyNumberFormat="1" applyFont="1"/>
    <xf numFmtId="168" fontId="5" fillId="40" borderId="5" xfId="316" quotePrefix="1" applyNumberFormat="1" applyFont="1" applyFill="1" applyBorder="1" applyAlignment="1" applyProtection="1">
      <alignment horizontal="center"/>
      <protection locked="0"/>
    </xf>
    <xf numFmtId="165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 applyAlignment="1"/>
    <xf numFmtId="0" fontId="3" fillId="41" borderId="30" xfId="316" applyFont="1" applyFill="1" applyBorder="1" applyAlignment="1"/>
    <xf numFmtId="0" fontId="3" fillId="41" borderId="31" xfId="316" applyFont="1" applyFill="1" applyBorder="1" applyAlignment="1">
      <alignment horizontal="center"/>
    </xf>
    <xf numFmtId="0" fontId="4" fillId="32" borderId="22" xfId="316" applyFont="1" applyFill="1" applyBorder="1" applyAlignment="1">
      <alignment horizontal="center"/>
    </xf>
    <xf numFmtId="0" fontId="4" fillId="32" borderId="32" xfId="316" applyFont="1" applyFill="1" applyBorder="1" applyAlignment="1">
      <alignment horizontal="center"/>
    </xf>
    <xf numFmtId="0" fontId="5" fillId="0" borderId="22" xfId="0" applyFont="1" applyBorder="1"/>
    <xf numFmtId="0" fontId="5" fillId="0" borderId="32" xfId="0" applyFont="1" applyBorder="1"/>
    <xf numFmtId="166" fontId="6" fillId="0" borderId="32" xfId="0" applyNumberFormat="1" applyFont="1" applyBorder="1" applyAlignment="1">
      <alignment horizontal="center"/>
    </xf>
    <xf numFmtId="0" fontId="3" fillId="41" borderId="22" xfId="316" applyFont="1" applyFill="1" applyBorder="1" applyAlignment="1"/>
    <xf numFmtId="0" fontId="3" fillId="41" borderId="32" xfId="316" applyFont="1" applyFill="1" applyBorder="1" applyAlignment="1">
      <alignment horizontal="center"/>
    </xf>
    <xf numFmtId="170" fontId="6" fillId="0" borderId="32" xfId="0" applyNumberFormat="1" applyFont="1" applyBorder="1" applyAlignment="1">
      <alignment horizontal="center"/>
    </xf>
    <xf numFmtId="0" fontId="5" fillId="42" borderId="22" xfId="0" applyFont="1" applyFill="1" applyBorder="1"/>
    <xf numFmtId="170" fontId="6" fillId="42" borderId="32" xfId="0" applyNumberFormat="1" applyFont="1" applyFill="1" applyBorder="1" applyAlignment="1">
      <alignment horizontal="center"/>
    </xf>
    <xf numFmtId="0" fontId="5" fillId="0" borderId="22" xfId="0" applyFont="1" applyFill="1" applyBorder="1"/>
    <xf numFmtId="4" fontId="6" fillId="0" borderId="32" xfId="0" applyNumberFormat="1" applyFont="1" applyFill="1" applyBorder="1" applyAlignment="1">
      <alignment horizontal="center"/>
    </xf>
    <xf numFmtId="0" fontId="5" fillId="0" borderId="33" xfId="0" applyFont="1" applyFill="1" applyBorder="1"/>
    <xf numFmtId="169" fontId="6" fillId="0" borderId="34" xfId="0" applyNumberFormat="1" applyFont="1" applyFill="1" applyBorder="1" applyAlignment="1">
      <alignment horizontal="center"/>
    </xf>
    <xf numFmtId="0" fontId="5" fillId="0" borderId="22" xfId="0" applyFont="1" applyBorder="1" applyAlignment="1"/>
    <xf numFmtId="3" fontId="5" fillId="0" borderId="32" xfId="0" applyNumberFormat="1" applyFont="1" applyBorder="1"/>
    <xf numFmtId="0" fontId="7" fillId="42" borderId="22" xfId="0" applyFont="1" applyFill="1" applyBorder="1" applyAlignment="1"/>
    <xf numFmtId="3" fontId="7" fillId="42" borderId="32" xfId="0" applyNumberFormat="1" applyFont="1" applyFill="1" applyBorder="1"/>
    <xf numFmtId="0" fontId="7" fillId="42" borderId="33" xfId="0" applyFont="1" applyFill="1" applyBorder="1" applyAlignment="1"/>
    <xf numFmtId="3" fontId="7" fillId="42" borderId="34" xfId="0" applyNumberFormat="1" applyFont="1" applyFill="1" applyBorder="1"/>
    <xf numFmtId="0" fontId="3" fillId="41" borderId="30" xfId="316" applyFont="1" applyFill="1" applyBorder="1" applyAlignment="1">
      <alignment horizontal="left"/>
    </xf>
    <xf numFmtId="0" fontId="3" fillId="41" borderId="25" xfId="316" applyFont="1" applyFill="1" applyBorder="1" applyAlignment="1">
      <alignment horizontal="left"/>
    </xf>
    <xf numFmtId="0" fontId="3" fillId="41" borderId="31" xfId="316" applyFont="1" applyFill="1" applyBorder="1" applyAlignment="1">
      <alignment horizontal="left"/>
    </xf>
    <xf numFmtId="0" fontId="5" fillId="0" borderId="22" xfId="316" applyFont="1" applyFill="1" applyBorder="1" applyAlignment="1">
      <alignment horizontal="center"/>
    </xf>
    <xf numFmtId="3" fontId="5" fillId="0" borderId="32" xfId="0" applyNumberFormat="1" applyFont="1" applyBorder="1" applyAlignment="1">
      <alignment horizontal="center"/>
    </xf>
    <xf numFmtId="0" fontId="5" fillId="0" borderId="0" xfId="0" applyFont="1" applyBorder="1"/>
    <xf numFmtId="3" fontId="5" fillId="0" borderId="0" xfId="0" applyNumberFormat="1" applyFont="1" applyBorder="1" applyAlignment="1">
      <alignment horizontal="center"/>
    </xf>
    <xf numFmtId="0" fontId="5" fillId="0" borderId="33" xfId="0" applyFont="1" applyBorder="1"/>
    <xf numFmtId="168" fontId="5" fillId="0" borderId="26" xfId="0" applyNumberFormat="1" applyFont="1" applyBorder="1" applyAlignment="1">
      <alignment horizontal="center"/>
    </xf>
    <xf numFmtId="168" fontId="5" fillId="0" borderId="34" xfId="0" applyNumberFormat="1" applyFont="1" applyBorder="1" applyAlignment="1">
      <alignment horizontal="center"/>
    </xf>
    <xf numFmtId="0" fontId="8" fillId="27" borderId="0" xfId="315" applyFont="1" applyFill="1"/>
    <xf numFmtId="0" fontId="2" fillId="27" borderId="0" xfId="315" applyFill="1"/>
    <xf numFmtId="0" fontId="2" fillId="27" borderId="0" xfId="315" quotePrefix="1" applyFont="1" applyFill="1"/>
    <xf numFmtId="0" fontId="9" fillId="27" borderId="0" xfId="275" applyFill="1" applyAlignment="1" applyProtection="1"/>
    <xf numFmtId="0" fontId="2" fillId="27" borderId="0" xfId="315" applyFill="1" applyAlignment="1"/>
    <xf numFmtId="3" fontId="6" fillId="0" borderId="32" xfId="0" applyNumberFormat="1" applyFont="1" applyBorder="1" applyAlignment="1">
      <alignment horizontal="center"/>
    </xf>
    <xf numFmtId="170" fontId="5" fillId="0" borderId="0" xfId="0" applyNumberFormat="1" applyFont="1"/>
    <xf numFmtId="0" fontId="5" fillId="0" borderId="0" xfId="0" applyNumberFormat="1" applyFont="1"/>
    <xf numFmtId="14" fontId="5" fillId="42" borderId="0" xfId="0" applyNumberFormat="1" applyFont="1" applyFill="1"/>
    <xf numFmtId="49" fontId="5" fillId="40" borderId="5" xfId="0" applyNumberFormat="1" applyFont="1" applyFill="1" applyBorder="1" applyAlignment="1">
      <alignment horizontal="center"/>
    </xf>
    <xf numFmtId="3" fontId="5" fillId="0" borderId="34" xfId="0" applyNumberFormat="1" applyFont="1" applyBorder="1" applyAlignment="1">
      <alignment horizontal="center"/>
    </xf>
    <xf numFmtId="0" fontId="7" fillId="0" borderId="22" xfId="0" applyFont="1" applyBorder="1"/>
    <xf numFmtId="0" fontId="5" fillId="42" borderId="0" xfId="0" applyFont="1" applyFill="1"/>
    <xf numFmtId="0" fontId="5" fillId="0" borderId="26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168" fontId="5" fillId="0" borderId="0" xfId="0" applyNumberFormat="1" applyFont="1" applyBorder="1" applyAlignment="1">
      <alignment horizontal="center"/>
    </xf>
    <xf numFmtId="168" fontId="5" fillId="0" borderId="32" xfId="0" applyNumberFormat="1" applyFont="1" applyBorder="1" applyAlignment="1">
      <alignment horizontal="center"/>
    </xf>
    <xf numFmtId="168" fontId="5" fillId="0" borderId="0" xfId="0" applyNumberFormat="1" applyFont="1"/>
    <xf numFmtId="0" fontId="5" fillId="0" borderId="0" xfId="0" quotePrefix="1" applyFont="1"/>
    <xf numFmtId="0" fontId="7" fillId="0" borderId="0" xfId="0" applyFont="1"/>
    <xf numFmtId="0" fontId="5" fillId="0" borderId="0" xfId="0" applyFont="1" applyAlignment="1">
      <alignment vertical="center"/>
    </xf>
    <xf numFmtId="169" fontId="6" fillId="0" borderId="32" xfId="0" applyNumberFormat="1" applyFont="1" applyBorder="1" applyAlignment="1">
      <alignment horizontal="center"/>
    </xf>
    <xf numFmtId="0" fontId="28" fillId="0" borderId="0" xfId="0" applyFont="1" applyAlignment="1">
      <alignment vertical="center" wrapText="1"/>
    </xf>
    <xf numFmtId="0" fontId="5" fillId="42" borderId="22" xfId="0" applyFont="1" applyFill="1" applyBorder="1" applyAlignment="1">
      <alignment horizontal="center"/>
    </xf>
    <xf numFmtId="0" fontId="5" fillId="42" borderId="32" xfId="0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</cellXfs>
  <cellStyles count="431">
    <cellStyle name="$ 0 decimal" xfId="2"/>
    <cellStyle name="$ 1 decimal" xfId="3"/>
    <cellStyle name="$ 2 decimals" xfId="4"/>
    <cellStyle name="_~3364576" xfId="5"/>
    <cellStyle name="_1 MBIA" xfId="6"/>
    <cellStyle name="_2 Indy6" xfId="7"/>
    <cellStyle name="_3 Vandy Dunhill" xfId="8"/>
    <cellStyle name="_6 Chotin" xfId="9"/>
    <cellStyle name="_8 TCW" xfId="10"/>
    <cellStyle name="_A Wint AAA" xfId="11"/>
    <cellStyle name="_Assets" xfId="12"/>
    <cellStyle name="_AutopricerEODMarks" xfId="13"/>
    <cellStyle name="_B Vandy2" xfId="14"/>
    <cellStyle name="_Bespoke Pricer (Bank of Tokyo)" xfId="15"/>
    <cellStyle name="_Bespoke Pricer (Calyon LSS)" xfId="16"/>
    <cellStyle name="_Best Porfolio Set" xfId="17"/>
    <cellStyle name="_Book5" xfId="18"/>
    <cellStyle name="_BSAM Forward Tranche Pricer" xfId="19"/>
    <cellStyle name="_CDO Matrix" xfId="20"/>
    <cellStyle name="_CDO^2" xfId="21"/>
    <cellStyle name="_CDOonCDO 2Factor v 1.0 01.19.05" xfId="22"/>
    <cellStyle name="_Collateral Detail+Summary" xfId="23"/>
    <cellStyle name="_Conversion Sheet" xfId="24"/>
    <cellStyle name="_country" xfId="25"/>
    <cellStyle name="_CSV Menu" xfId="26"/>
    <cellStyle name="_EDS .08_AA" xfId="27"/>
    <cellStyle name="_EDS combined" xfId="28"/>
    <cellStyle name="_EDS v0.2" xfId="29"/>
    <cellStyle name="_F Lakes3" xfId="30"/>
    <cellStyle name="_Feasibility" xfId="31"/>
    <cellStyle name="_fitch ind lookup" xfId="32"/>
    <cellStyle name="_HY Marks v2" xfId="33"/>
    <cellStyle name="_HY REMARKS" xfId="34"/>
    <cellStyle name="_IG2" xfId="35"/>
    <cellStyle name="_Index Correlation Calibrator 20051018" xfId="36"/>
    <cellStyle name="_INPUT HY REMARKS" xfId="37"/>
    <cellStyle name="_Inputs" xfId="38"/>
    <cellStyle name="_March_22_04Optimiser_Bob12" xfId="39"/>
    <cellStyle name="_March_22_04Optimiser_xin" xfId="40"/>
    <cellStyle name="_Marks Jan18" xfId="41"/>
    <cellStyle name="_Marks Jan19" xfId="42"/>
    <cellStyle name="_Moodys Analysis_v3" xfId="43"/>
    <cellStyle name="_Optimization" xfId="44"/>
    <cellStyle name="_Optimization_1" xfId="45"/>
    <cellStyle name="_Options" xfId="46"/>
    <cellStyle name="_PDF Tables" xfId="47"/>
    <cellStyle name="_Pricer" xfId="48"/>
    <cellStyle name="_Pricer (Archeus ML Axe)" xfId="49"/>
    <cellStyle name="_Pricer (CDX6)" xfId="50"/>
    <cellStyle name="_Pricer (RiverCapital)" xfId="51"/>
    <cellStyle name="_QC Sheet" xfId="52"/>
    <cellStyle name="_rating" xfId="53"/>
    <cellStyle name="_ratings" xfId="54"/>
    <cellStyle name="_RecalcBaseCorr" xfId="55"/>
    <cellStyle name="_RiskMaster" xfId="56"/>
    <cellStyle name="_RiskMaster4" xfId="57"/>
    <cellStyle name="_S&amp;P Quick rating" xfId="58"/>
    <cellStyle name="_Sheet1" xfId="59"/>
    <cellStyle name="_Sheet1_1" xfId="60"/>
    <cellStyle name="_Sheet1_20060206_Pricer" xfId="61"/>
    <cellStyle name="_Sheet1_20061703_Pricer(Antonin Portfolio)v2" xfId="62"/>
    <cellStyle name="_Sheet1_Attachments" xfId="63"/>
    <cellStyle name="_Sheet1_Bespoke Pricer (Calyon LSS)" xfId="64"/>
    <cellStyle name="_Sheet1_BespokePricer_20060119" xfId="65"/>
    <cellStyle name="_Sheet1_BSAM Forward Tranche Pricer" xfId="66"/>
    <cellStyle name="_Sheet1_CurveBuild" xfId="67"/>
    <cellStyle name="_Sheet1_CurveBuild (2)" xfId="68"/>
    <cellStyle name="_Sheet1_Index Correlation Calibrator 20051018" xfId="69"/>
    <cellStyle name="_Sheet1_Indicative Portfolio" xfId="70"/>
    <cellStyle name="_Sheet1_Inputs&amp;Results" xfId="71"/>
    <cellStyle name="_Sheet1_PDF Tables" xfId="72"/>
    <cellStyle name="_Sheet1_Pricer" xfId="73"/>
    <cellStyle name="_Sheet1_Pricer (Archeus ML Axe)" xfId="74"/>
    <cellStyle name="_Sheet1_Pricer (BM#20)" xfId="75"/>
    <cellStyle name="_Sheet1_Pricer (RiverCapital)" xfId="76"/>
    <cellStyle name="_Sheet1_Pricer_20060206_Pricer" xfId="77"/>
    <cellStyle name="_Sheet1_Pricer_20061703_Pricer(Antonin Portfolio)v2" xfId="78"/>
    <cellStyle name="_Sheet1_Pricer_Attachments" xfId="79"/>
    <cellStyle name="_Sheet1_Pricer_BespokePricer_20060119" xfId="80"/>
    <cellStyle name="_Sheet1_Pricer_CurveBuild" xfId="81"/>
    <cellStyle name="_Sheet1_Pricer_CurveBuild (2)" xfId="82"/>
    <cellStyle name="_Sheet1_Pricer_Inputs&amp;Results" xfId="83"/>
    <cellStyle name="_Sheet1_Pricer_PricerForAlex" xfId="84"/>
    <cellStyle name="_Sheet1_Pricer_PricerNew" xfId="85"/>
    <cellStyle name="_Sheet1_Pricer_PricerPort1" xfId="86"/>
    <cellStyle name="_Sheet1_Pricer_PricerPort4" xfId="87"/>
    <cellStyle name="_Sheet1_Pricer_PricingOutput" xfId="88"/>
    <cellStyle name="_Sheet1_Pricer_Universe Info" xfId="89"/>
    <cellStyle name="_Sheet1_PricerForAlex" xfId="90"/>
    <cellStyle name="_Sheet1_PricerNew" xfId="91"/>
    <cellStyle name="_Sheet1_PricerPort1" xfId="92"/>
    <cellStyle name="_Sheet1_PricerPort4" xfId="93"/>
    <cellStyle name="_Sheet1_PricingOutput" xfId="94"/>
    <cellStyle name="_Sheet1_rating" xfId="95"/>
    <cellStyle name="_Sheet1_RecalcBaseCorr" xfId="96"/>
    <cellStyle name="_Sheet1_S&amp;P Quick rating" xfId="97"/>
    <cellStyle name="_Sheet1_Universe Info" xfId="98"/>
    <cellStyle name="_Tables" xfId="99"/>
    <cellStyle name="_TOTAL" xfId="100"/>
    <cellStyle name="_Trades" xfId="101"/>
    <cellStyle name="_trades 01_18_07exdura" xfId="102"/>
    <cellStyle name="_Tranche2 (2)" xfId="103"/>
    <cellStyle name="=C:\WINNT35\SYSTEM32\COMMAND.COM" xfId="104"/>
    <cellStyle name="•W€_NewOriginal100" xfId="105"/>
    <cellStyle name="1dp" xfId="106"/>
    <cellStyle name="20% - Accent1" xfId="107" builtinId="30" customBuiltin="1"/>
    <cellStyle name="20% - Accent2" xfId="108" builtinId="34" customBuiltin="1"/>
    <cellStyle name="20% - Accent3" xfId="109" builtinId="38" customBuiltin="1"/>
    <cellStyle name="20% - Accent4" xfId="110" builtinId="42" customBuiltin="1"/>
    <cellStyle name="20% - Accent5" xfId="111" builtinId="46" customBuiltin="1"/>
    <cellStyle name="20% - Accent6" xfId="112" builtinId="50" customBuiltin="1"/>
    <cellStyle name="2dp" xfId="113"/>
    <cellStyle name="3dp" xfId="114"/>
    <cellStyle name="40% - Accent1" xfId="115" builtinId="31" customBuiltin="1"/>
    <cellStyle name="40% - Accent2" xfId="116" builtinId="35" customBuiltin="1"/>
    <cellStyle name="40% - Accent3" xfId="117" builtinId="39" customBuiltin="1"/>
    <cellStyle name="40% - Accent4" xfId="118" builtinId="43" customBuiltin="1"/>
    <cellStyle name="40% - Accent5" xfId="119" builtinId="47" customBuiltin="1"/>
    <cellStyle name="40% - Accent6" xfId="120" builtinId="51" customBuiltin="1"/>
    <cellStyle name="4dp" xfId="121"/>
    <cellStyle name="60% - Accent1" xfId="122" builtinId="32" customBuiltin="1"/>
    <cellStyle name="60% - Accent2" xfId="123" builtinId="36" customBuiltin="1"/>
    <cellStyle name="60% - Accent3" xfId="124" builtinId="40" customBuiltin="1"/>
    <cellStyle name="60% - Accent4" xfId="125" builtinId="44" customBuiltin="1"/>
    <cellStyle name="60% - Accent5" xfId="126" builtinId="48" customBuiltin="1"/>
    <cellStyle name="60% - Accent6" xfId="127" builtinId="52" customBuiltin="1"/>
    <cellStyle name="8dp" xfId="128"/>
    <cellStyle name="a/c" xfId="129"/>
    <cellStyle name="Accent1" xfId="130" builtinId="29" customBuiltin="1"/>
    <cellStyle name="Accent2" xfId="131" builtinId="33" customBuiltin="1"/>
    <cellStyle name="Accent3" xfId="132" builtinId="37" customBuiltin="1"/>
    <cellStyle name="Accent4" xfId="133" builtinId="41" customBuiltin="1"/>
    <cellStyle name="Accent5" xfId="134" builtinId="45" customBuiltin="1"/>
    <cellStyle name="Accent6" xfId="135" builtinId="49" customBuiltin="1"/>
    <cellStyle name="AFE" xfId="136"/>
    <cellStyle name="AppSvrCode" xfId="137"/>
    <cellStyle name="args.style" xfId="138"/>
    <cellStyle name="Array" xfId="139"/>
    <cellStyle name="ÄÞ¸¶ [0]_´Ü°èº° ±¸Ãà¾È" xfId="140"/>
    <cellStyle name="ÄÞ¸¶_´Ü°èº° ±¸Ãà¾È" xfId="141"/>
    <cellStyle name="Bad" xfId="142" builtinId="27" customBuiltin="1"/>
    <cellStyle name="BlankedZeros" xfId="143"/>
    <cellStyle name="Blue" xfId="144"/>
    <cellStyle name="Body" xfId="145"/>
    <cellStyle name="Border" xfId="146"/>
    <cellStyle name="bullet" xfId="147"/>
    <cellStyle name="c" xfId="148"/>
    <cellStyle name="Ç¥ÁØ_´Ü°èº° ±¸Ãà¾È" xfId="149"/>
    <cellStyle name="Calc Units (2)" xfId="150"/>
    <cellStyle name="Calculation" xfId="151" builtinId="22" customBuiltin="1"/>
    <cellStyle name="category" xfId="152"/>
    <cellStyle name="Changed" xfId="153"/>
    <cellStyle name="Check" xfId="154"/>
    <cellStyle name="Check Cell" xfId="155" builtinId="23" customBuiltin="1"/>
    <cellStyle name="code" xfId="156"/>
    <cellStyle name="Colourless" xfId="157"/>
    <cellStyle name="Comma  - Style1" xfId="158"/>
    <cellStyle name="Comma  - Style2" xfId="159"/>
    <cellStyle name="Comma  - Style3" xfId="160"/>
    <cellStyle name="Comma  - Style4" xfId="161"/>
    <cellStyle name="Comma  - Style5" xfId="162"/>
    <cellStyle name="Comma  - Style6" xfId="163"/>
    <cellStyle name="Comma  - Style7" xfId="164"/>
    <cellStyle name="Comma  - Style8" xfId="165"/>
    <cellStyle name="Comma [00]" xfId="166"/>
    <cellStyle name="Comma 0" xfId="167"/>
    <cellStyle name="Comma 2" xfId="168"/>
    <cellStyle name="Comma[2]" xfId="169"/>
    <cellStyle name="COMMENTS" xfId="170"/>
    <cellStyle name="Convergence" xfId="171"/>
    <cellStyle name="Curren - Style2" xfId="172"/>
    <cellStyle name="Currency $" xfId="173"/>
    <cellStyle name="Currency [00]" xfId="174"/>
    <cellStyle name="Currency [2]" xfId="175"/>
    <cellStyle name="Currency 0" xfId="176"/>
    <cellStyle name="Currency 2" xfId="177"/>
    <cellStyle name="Currency[2]" xfId="178"/>
    <cellStyle name="custom" xfId="179"/>
    <cellStyle name="CustomStyle1" xfId="180"/>
    <cellStyle name="CustomStyle10" xfId="181"/>
    <cellStyle name="CustomStyle11" xfId="182"/>
    <cellStyle name="CustomStyle12" xfId="183"/>
    <cellStyle name="CustomStyle13" xfId="184"/>
    <cellStyle name="CustomStyle14" xfId="185"/>
    <cellStyle name="CustomStyle15" xfId="186"/>
    <cellStyle name="CustomStyle16" xfId="187"/>
    <cellStyle name="CustomStyle17" xfId="188"/>
    <cellStyle name="CustomStyle18" xfId="189"/>
    <cellStyle name="CustomStyle19" xfId="190"/>
    <cellStyle name="CustomStyle2" xfId="191"/>
    <cellStyle name="CustomStyle20" xfId="192"/>
    <cellStyle name="CustomStyle21" xfId="193"/>
    <cellStyle name="CustomStyle22" xfId="194"/>
    <cellStyle name="CustomStyle23" xfId="195"/>
    <cellStyle name="CustomStyle24" xfId="196"/>
    <cellStyle name="CustomStyle25" xfId="197"/>
    <cellStyle name="CustomStyle26" xfId="198"/>
    <cellStyle name="CustomStyle27" xfId="199"/>
    <cellStyle name="CustomStyle28" xfId="200"/>
    <cellStyle name="CustomStyle29" xfId="201"/>
    <cellStyle name="CustomStyle3" xfId="202"/>
    <cellStyle name="CustomStyle30" xfId="203"/>
    <cellStyle name="CustomStyle31" xfId="204"/>
    <cellStyle name="CustomStyle32" xfId="205"/>
    <cellStyle name="CustomStyle33" xfId="206"/>
    <cellStyle name="CustomStyle34" xfId="207"/>
    <cellStyle name="CustomStyle35" xfId="208"/>
    <cellStyle name="CustomStyle36" xfId="209"/>
    <cellStyle name="CustomStyle37" xfId="210"/>
    <cellStyle name="CustomStyle38" xfId="211"/>
    <cellStyle name="CustomStyle39" xfId="212"/>
    <cellStyle name="CustomStyle4" xfId="213"/>
    <cellStyle name="CustomStyle40" xfId="214"/>
    <cellStyle name="CustomStyle41" xfId="215"/>
    <cellStyle name="CustomStyle42" xfId="216"/>
    <cellStyle name="CustomStyle43" xfId="217"/>
    <cellStyle name="CustomStyle44" xfId="218"/>
    <cellStyle name="CustomStyle45" xfId="219"/>
    <cellStyle name="CustomStyle46" xfId="220"/>
    <cellStyle name="CustomStyle47" xfId="221"/>
    <cellStyle name="CustomStyle48" xfId="222"/>
    <cellStyle name="CustomStyle49" xfId="223"/>
    <cellStyle name="CustomStyle5" xfId="224"/>
    <cellStyle name="CustomStyle6" xfId="225"/>
    <cellStyle name="CustomStyle7" xfId="226"/>
    <cellStyle name="CustomStyle8" xfId="227"/>
    <cellStyle name="CustomStyle9" xfId="228"/>
    <cellStyle name="dash" xfId="229"/>
    <cellStyle name="Date" xfId="230"/>
    <cellStyle name="Date Aligned" xfId="231"/>
    <cellStyle name="date month-year" xfId="232"/>
    <cellStyle name="Date Short" xfId="233"/>
    <cellStyle name="Date_DataWork" xfId="234"/>
    <cellStyle name="Date-day" xfId="235"/>
    <cellStyle name="DateFormat" xfId="236"/>
    <cellStyle name="Date-month" xfId="237"/>
    <cellStyle name="Date-short" xfId="238"/>
    <cellStyle name="Date-weekday" xfId="239"/>
    <cellStyle name="Date-year" xfId="240"/>
    <cellStyle name="decimal 0" xfId="241"/>
    <cellStyle name="decimal 1" xfId="242"/>
    <cellStyle name="decimal 2" xfId="243"/>
    <cellStyle name="Dezimal [0]_Country" xfId="244"/>
    <cellStyle name="Dezimal_Country" xfId="245"/>
    <cellStyle name="Dialog" xfId="246"/>
    <cellStyle name="documentation data" xfId="247"/>
    <cellStyle name="documentation titles" xfId="248"/>
    <cellStyle name="Dotted Line" xfId="249"/>
    <cellStyle name="EditableStyle" xfId="250"/>
    <cellStyle name="Enter Currency (0)" xfId="251"/>
    <cellStyle name="Enter Currency (2)" xfId="252"/>
    <cellStyle name="Enter Units (0)" xfId="253"/>
    <cellStyle name="Enter Units (1)" xfId="254"/>
    <cellStyle name="Enter Units (2)" xfId="255"/>
    <cellStyle name="Entry" xfId="256"/>
    <cellStyle name="Euro" xfId="257"/>
    <cellStyle name="Explanatory Text" xfId="258" builtinId="53" customBuiltin="1"/>
    <cellStyle name="EY House" xfId="259"/>
    <cellStyle name="FirstNumbers_Avg_BS " xfId="260"/>
    <cellStyle name="footnote" xfId="261"/>
    <cellStyle name="footnote2" xfId="262"/>
    <cellStyle name="Gas" xfId="263"/>
    <cellStyle name="Good" xfId="264" builtinId="26" customBuiltin="1"/>
    <cellStyle name="Grey" xfId="265"/>
    <cellStyle name="GreybarHeader" xfId="266"/>
    <cellStyle name="Hard Percent" xfId="267"/>
    <cellStyle name="Header" xfId="268"/>
    <cellStyle name="Header1" xfId="269"/>
    <cellStyle name="Header2" xfId="270"/>
    <cellStyle name="Heading 1" xfId="271" builtinId="16" customBuiltin="1"/>
    <cellStyle name="Heading 2" xfId="272" builtinId="17" customBuiltin="1"/>
    <cellStyle name="Heading 3" xfId="273" builtinId="18" customBuiltin="1"/>
    <cellStyle name="Heading 4" xfId="274" builtinId="19" customBuiltin="1"/>
    <cellStyle name="Hyperlink" xfId="275" builtinId="8"/>
    <cellStyle name="implemented" xfId="276"/>
    <cellStyle name="input" xfId="277"/>
    <cellStyle name="Input [yellow]" xfId="278"/>
    <cellStyle name="Input_Assets" xfId="279"/>
    <cellStyle name="InputDataRow" xfId="280"/>
    <cellStyle name="IntermediateDataColumn" xfId="281"/>
    <cellStyle name="ItalicHeader" xfId="282"/>
    <cellStyle name="JG" xfId="283"/>
    <cellStyle name="Large12" xfId="284"/>
    <cellStyle name="Large14" xfId="285"/>
    <cellStyle name="Large16" xfId="286"/>
    <cellStyle name="LineNumbers_Avg_BS " xfId="287"/>
    <cellStyle name="Link Currency (0)" xfId="288"/>
    <cellStyle name="Link Currency (2)" xfId="289"/>
    <cellStyle name="Link in" xfId="290"/>
    <cellStyle name="Link out" xfId="291"/>
    <cellStyle name="Link Units (0)" xfId="292"/>
    <cellStyle name="Link Units (1)" xfId="293"/>
    <cellStyle name="Link Units (2)" xfId="294"/>
    <cellStyle name="Linked Cell" xfId="295" builtinId="24" customBuiltin="1"/>
    <cellStyle name="Macro Header" xfId="296"/>
    <cellStyle name="Macro Text" xfId="297"/>
    <cellStyle name="MacroCode" xfId="298"/>
    <cellStyle name="McForm" xfId="299"/>
    <cellStyle name="McFormBody" xfId="300"/>
    <cellStyle name="MCNewReport" xfId="301"/>
    <cellStyle name="MCReport" xfId="302"/>
    <cellStyle name="Migliaia (0)_RiepilogoNQ" xfId="303"/>
    <cellStyle name="Milliers [0]_!!!GO" xfId="304"/>
    <cellStyle name="Milliers_!!!GO" xfId="305"/>
    <cellStyle name="Model" xfId="306"/>
    <cellStyle name="Monétaire [0]_!!!GO" xfId="307"/>
    <cellStyle name="Monétaire_!!!GO" xfId="308"/>
    <cellStyle name="MS_COL_STYLE" xfId="309"/>
    <cellStyle name="Multiple" xfId="310"/>
    <cellStyle name="Neutral" xfId="311" builtinId="28" customBuiltin="1"/>
    <cellStyle name="NEW" xfId="312"/>
    <cellStyle name="no dec" xfId="313"/>
    <cellStyle name="Normal" xfId="0" builtinId="0"/>
    <cellStyle name="Normal - Style1" xfId="314"/>
    <cellStyle name="Normal 2" xfId="428"/>
    <cellStyle name="Normal 3" xfId="429"/>
    <cellStyle name="Normal_Important Disclosures" xfId="315"/>
    <cellStyle name="Normal_PxAdjPrice_ParEq7" xfId="316"/>
    <cellStyle name="Normale_Foglio1" xfId="317"/>
    <cellStyle name="Note" xfId="318" builtinId="10" customBuiltin="1"/>
    <cellStyle name="Notes" xfId="319"/>
    <cellStyle name="NumberFormat" xfId="320"/>
    <cellStyle name="Œ…‹æØ‚è [0.00]_!!!GO" xfId="321"/>
    <cellStyle name="Œ…‹æØ‚è_!!!GO" xfId="322"/>
    <cellStyle name="OptionPricerGreyed" xfId="323"/>
    <cellStyle name="OptionPricerVisible" xfId="324"/>
    <cellStyle name="OSW_TableText" xfId="325"/>
    <cellStyle name="Output" xfId="326" builtinId="21" customBuiltin="1"/>
    <cellStyle name="OutputPlain" xfId="327"/>
    <cellStyle name="Outstanding" xfId="328"/>
    <cellStyle name="Page Number" xfId="329"/>
    <cellStyle name="per.style" xfId="330"/>
    <cellStyle name="Percent [0]" xfId="331"/>
    <cellStyle name="Percent [00]" xfId="332"/>
    <cellStyle name="Percent [2]" xfId="333"/>
    <cellStyle name="percent 1 decimal" xfId="334"/>
    <cellStyle name="Percent 2" xfId="430"/>
    <cellStyle name="percent 2 decimal" xfId="335"/>
    <cellStyle name="percent no decimal" xfId="336"/>
    <cellStyle name="Percent[0]" xfId="337"/>
    <cellStyle name="Percent[2]" xfId="338"/>
    <cellStyle name="Percent1" xfId="339"/>
    <cellStyle name="Percent2" xfId="340"/>
    <cellStyle name="Percent4" xfId="341"/>
    <cellStyle name="Pivot Table" xfId="342"/>
    <cellStyle name="Power" xfId="343"/>
    <cellStyle name="PrePop Currency (0)" xfId="344"/>
    <cellStyle name="PrePop Currency (2)" xfId="345"/>
    <cellStyle name="PrePop Units (0)" xfId="346"/>
    <cellStyle name="PrePop Units (1)" xfId="347"/>
    <cellStyle name="PrePop Units (2)" xfId="348"/>
    <cellStyle name="PRICE" xfId="349"/>
    <cellStyle name="PSChar" xfId="350"/>
    <cellStyle name="PSDate" xfId="351"/>
    <cellStyle name="PSDec" xfId="352"/>
    <cellStyle name="PSHeading" xfId="353"/>
    <cellStyle name="PSInt" xfId="354"/>
    <cellStyle name="PSSpacer" xfId="355"/>
    <cellStyle name="RangeName" xfId="356"/>
    <cellStyle name="red" xfId="357"/>
    <cellStyle name="ReserveStyle" xfId="358"/>
    <cellStyle name="RoundingPrecision_Avg_BS " xfId="359"/>
    <cellStyle name="SBZero" xfId="360"/>
    <cellStyle name="ScotchRule" xfId="361"/>
    <cellStyle name="SS Col Hdr" xfId="362"/>
    <cellStyle name="SS Dim 1 Blank" xfId="363"/>
    <cellStyle name="SS Dim 1 Title" xfId="364"/>
    <cellStyle name="SS Dim 1 Value" xfId="365"/>
    <cellStyle name="SS Dim 2 Blank" xfId="366"/>
    <cellStyle name="SS Dim 2 Title" xfId="367"/>
    <cellStyle name="SS Dim 2 Value" xfId="368"/>
    <cellStyle name="SS Dim 3 Blank" xfId="369"/>
    <cellStyle name="SS Dim 3 Title" xfId="370"/>
    <cellStyle name="SS Dim 3 Value" xfId="371"/>
    <cellStyle name="SS Dim 4 Blank" xfId="372"/>
    <cellStyle name="SS Dim 4 Title" xfId="373"/>
    <cellStyle name="SS Dim 4 Value" xfId="374"/>
    <cellStyle name="SS Dim 5 Blank" xfId="375"/>
    <cellStyle name="SS Dim 5 Title" xfId="376"/>
    <cellStyle name="SS Dim 5 Value" xfId="377"/>
    <cellStyle name="SS Other Measure" xfId="378"/>
    <cellStyle name="SS Sum Measure" xfId="379"/>
    <cellStyle name="SS Unbound Dim" xfId="380"/>
    <cellStyle name="SS WAvg Measure" xfId="381"/>
    <cellStyle name="STANDARD" xfId="382"/>
    <cellStyle name="Style 1" xfId="1"/>
    <cellStyle name="subhead" xfId="383"/>
    <cellStyle name="Subtitle" xfId="384"/>
    <cellStyle name="sum" xfId="385"/>
    <cellStyle name="Table Head" xfId="386"/>
    <cellStyle name="Table Head Aligned" xfId="387"/>
    <cellStyle name="Table Head Blue" xfId="388"/>
    <cellStyle name="Table Head Green" xfId="389"/>
    <cellStyle name="Table Title" xfId="390"/>
    <cellStyle name="Table Units" xfId="391"/>
    <cellStyle name="TableDataColumn" xfId="392"/>
    <cellStyle name="text" xfId="393"/>
    <cellStyle name="Text Indent A" xfId="394"/>
    <cellStyle name="Text Indent B" xfId="395"/>
    <cellStyle name="Text Indent C" xfId="396"/>
    <cellStyle name="TEXT_Feasibility" xfId="397"/>
    <cellStyle name="text2" xfId="398"/>
    <cellStyle name="Time-minutes" xfId="399"/>
    <cellStyle name="Time-seconds" xfId="400"/>
    <cellStyle name="Title" xfId="401" builtinId="15" customBuiltin="1"/>
    <cellStyle name="Title 2" xfId="402"/>
    <cellStyle name="title2" xfId="403"/>
    <cellStyle name="Titles" xfId="404"/>
    <cellStyle name="Titles - Col. Headings" xfId="405"/>
    <cellStyle name="TopGrey" xfId="406"/>
    <cellStyle name="total" xfId="407"/>
    <cellStyle name="TotalNumbers_Avg_BS " xfId="408"/>
    <cellStyle name="Transportation" xfId="409"/>
    <cellStyle name="underline 1 decimal" xfId="410"/>
    <cellStyle name="underline 2 decimals" xfId="411"/>
    <cellStyle name="underline flush left" xfId="412"/>
    <cellStyle name="underline no decimals" xfId="413"/>
    <cellStyle name="underlineHeading_Avg_BS " xfId="414"/>
    <cellStyle name="ValCht - Style1" xfId="415"/>
    <cellStyle name="Währung [0]_Country" xfId="416"/>
    <cellStyle name="Währung_Country" xfId="417"/>
    <cellStyle name="Warning" xfId="418"/>
    <cellStyle name="Warning Text" xfId="419" builtinId="11" customBuiltin="1"/>
    <cellStyle name="weekly" xfId="420"/>
    <cellStyle name="Wrapped" xfId="421"/>
    <cellStyle name="xrate" xfId="422"/>
    <cellStyle name="Y2K Compliant Date Fmt" xfId="423"/>
    <cellStyle name="year" xfId="424"/>
    <cellStyle name="Yesterday" xfId="425"/>
    <cellStyle name="Zero suppress" xfId="426"/>
    <cellStyle name="zpatchnumbers" xfId="42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66"/>
      <rgbColor rgb="00FA7100"/>
      <rgbColor rgb="00507810"/>
      <rgbColor rgb="00149CAA"/>
      <rgbColor rgb="00000000"/>
      <rgbColor rgb="00EC0034"/>
      <rgbColor rgb="00CCCCCC"/>
      <rgbColor rgb="00450074"/>
      <rgbColor rgb="00999999"/>
      <rgbColor rgb="00FCAA66"/>
      <rgbColor rgb="0096AE70"/>
      <rgbColor rgb="008F66AC"/>
      <rgbColor rgb="00666666"/>
      <rgbColor rgb="00F46685"/>
      <rgbColor rgb="0072C4CC"/>
      <rgbColor rgb="00003366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1.0852181398094074E-2</v>
        <stp/>
        <stp>##V3_BDPV12</stp>
        <stp>CX357750 Corp</stp>
        <stp>CDS_2_YR_DEFAULT_PROB</stp>
        <stp>[12035023.xlsm]PriceAdjustedSpreads!R30C29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30" s="1"/>
      </tp>
      <tp>
        <v>4.3499999999999996</v>
        <stp/>
        <stp>##V3_BDPV12</stp>
        <stp>00206RHJ4 Corp</stp>
        <stp>Coupon</stp>
        <stp>[12035023.xlsm]PriceAdjustedSpreads!R6C28</stp>
        <tr r="AB6" s="1"/>
      </tp>
      <tp>
        <v>4.8333333333333332E-2</v>
        <stp/>
        <stp>##V3_BDPV12</stp>
        <stp>00206RHJ4 Corp</stp>
        <stp>INT_ACC</stp>
        <stp>[12035023.xlsm]PriceAdjustedSpreads!R12C28</stp>
        <tr r="AB12" s="1"/>
      </tp>
      <tp>
        <v>9.9263350052480881E-4</v>
        <stp/>
        <stp>##V3_BDPV12</stp>
        <stp>CT684610 Corp</stp>
        <stp>CDS_6_MTH_DEFAULT_PROB</stp>
        <stp>[12035023.xlsm]PriceAdjustedSpreads!R28C29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28" s="1"/>
      </tp>
      <tp>
        <v>0.14051690087578927</v>
        <stp/>
        <stp>##V3_BDPV12</stp>
        <stp>CT353836 Corp</stp>
        <stp>CDS_7_YR_DEFAULT_PROB</stp>
        <stp>[12035023.xlsm]PriceAdjustedSpreads!R34C29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34" s="1"/>
      </tp>
      <tp>
        <v>4.3236618234901769E-2</v>
        <stp/>
        <stp>##V3_BDPV12</stp>
        <stp>CT388272 Corp</stp>
        <stp>CDS_4_YR_DEFAULT_PROB</stp>
        <stp>[12035023.xlsm]PriceAdjustedSpreads!R32C29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32" s="1"/>
      </tp>
      <tp t="s">
        <v>12/20/2019</v>
        <stp/>
        <stp>##V3_BDPV12</stp>
        <stp>CT684610 Corp</stp>
        <stp>MATURITY</stp>
        <stp>[12035023.xlsm]PriceAdjustedSpreads!R28C26</stp>
        <tr r="Z28" s="1"/>
      </tp>
      <tp>
        <v>0.22299639685779027</v>
        <stp/>
        <stp>##V3_BDPV12</stp>
        <stp>CSBC1U10 Corp</stp>
        <stp>CDS_10_YR_DEFAULT_PROB</stp>
        <stp>[12035023.xlsm]PriceAdjustedSpreads!R35C29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35" s="1"/>
      </tp>
      <tp t="s">
        <v>6/20/2021</v>
        <stp/>
        <stp>##V3_BDPV12</stp>
        <stp>CX357750 Corp</stp>
        <stp>MATURITY</stp>
        <stp>[12035023.xlsm]PriceAdjustedSpreads!R30C26</stp>
        <tr r="Z30" s="1"/>
      </tp>
      <tp t="s">
        <v>6/20/2023</v>
        <stp/>
        <stp>##V3_BDPV12</stp>
        <stp>CT388272 Corp</stp>
        <stp>MATURITY</stp>
        <stp>[12035023.xlsm]PriceAdjustedSpreads!R32C26</stp>
        <tr r="Z32" s="1"/>
      </tp>
      <tp t="s">
        <v>6/20/2026</v>
        <stp/>
        <stp>##V3_BDPV12</stp>
        <stp>CT353836 Corp</stp>
        <stp>MATURITY</stp>
        <stp>[12035023.xlsm]PriceAdjustedSpreads!R34C26</stp>
        <tr r="Z34" s="1"/>
      </tp>
    </main>
    <main first="bloomberg.rtd">
      <tp t="s">
        <v>CSBC1U10</v>
        <stp/>
        <stp>##V3_BDPV12</stp>
        <stp>00206RHJ4 Corp</stp>
        <stp>CDS_SPREAD_TICKER_10Y</stp>
        <stp>[12035023.xlsm]PriceAdjustedSpreads!R35C23</stp>
        <tr r="W35" s="1"/>
      </tp>
      <tp t="s">
        <v>CSBC1U1</v>
        <stp/>
        <stp>##V3_BDPV12</stp>
        <stp>00206RHJ4 Corp</stp>
        <stp>CDS_SPREAD_TICKER_1Y</stp>
        <stp>[12035023.xlsm]PriceAdjustedSpreads!R29C23</stp>
        <tr r="W29" s="1"/>
      </tp>
      <tp t="s">
        <v>CSBC1U3</v>
        <stp/>
        <stp>##V3_BDPV12</stp>
        <stp>00206RHJ4 Corp</stp>
        <stp>CDS_SPREAD_TICKER_3Y</stp>
        <stp>[12035023.xlsm]PriceAdjustedSpreads!R31C23</stp>
        <tr r="W31" s="1"/>
      </tp>
      <tp t="s">
        <v>CX357750</v>
        <stp/>
        <stp>##V3_BDPV12</stp>
        <stp>00206RHJ4 Corp</stp>
        <stp>CDS_SPREAD_TICKER_2Y</stp>
        <stp>[12035023.xlsm]PriceAdjustedSpreads!R30C23</stp>
        <tr r="W30" s="1"/>
      </tp>
      <tp t="s">
        <v>CSBC1U5</v>
        <stp/>
        <stp>##V3_BDPV12</stp>
        <stp>00206RHJ4 Corp</stp>
        <stp>CDS_SPREAD_TICKER_5Y</stp>
        <stp>[12035023.xlsm]PriceAdjustedSpreads!R33C23</stp>
        <tr r="W33" s="1"/>
      </tp>
      <tp t="s">
        <v>CT388272</v>
        <stp/>
        <stp>##V3_BDPV12</stp>
        <stp>00206RHJ4 Corp</stp>
        <stp>CDS_SPREAD_TICKER_4Y</stp>
        <stp>[12035023.xlsm]PriceAdjustedSpreads!R32C23</stp>
        <tr r="W32" s="1"/>
      </tp>
      <tp t="s">
        <v>CT353836</v>
        <stp/>
        <stp>##V3_BDPV12</stp>
        <stp>00206RHJ4 Corp</stp>
        <stp>CDS_SPREAD_TICKER_7Y</stp>
        <stp>[12035023.xlsm]PriceAdjustedSpreads!R34C23</stp>
        <tr r="W34" s="1"/>
      </tp>
      <tp t="s">
        <v>CT684610</v>
        <stp/>
        <stp>##V3_BDPV12</stp>
        <stp>00206RHJ4 Corp</stp>
        <stp>CDS_SPREAD_TICKER_6M</stp>
        <stp>[12035023.xlsm]PriceAdjustedSpreads!R28C23</stp>
        <tr r="W28" s="1"/>
      </tp>
      <tp>
        <v>152.58000000000001</v>
        <stp/>
        <stp>##V3_BDPV12</stp>
        <stp>CSBC1U10 Corp</stp>
        <stp>CDS_FLAT_SPREAD</stp>
        <stp>[12035023.xlsm]PriceAdjustedSpreads!R35C27</stp>
        <tr r="AA35" s="1"/>
      </tp>
      <tp t="s">
        <v>T 4.35 03/01/29</v>
        <stp/>
        <stp>##V3_BDPV12</stp>
        <stp>00206RHJ4 Corp</stp>
        <stp>SECURITY_NAME</stp>
        <stp>[12035023.xlsm]PriceAdjustedSpreads!R17C28</stp>
        <tr r="AB17" s="1"/>
      </tp>
      <tp>
        <v>1.9612000000000001</v>
        <stp/>
        <stp>##V3_BDPV12</stp>
        <stp>USGG30YR Index</stp>
        <stp>px_last</stp>
        <stp>[12035023.xlsm]PriceAdjustedSpreads!R9C23</stp>
        <tr r="W9" s="1"/>
      </tp>
      <tp>
        <v>1.4943</v>
        <stp/>
        <stp>##V3_BDPV12</stp>
        <stp>USGG10YR Index</stp>
        <stp>px_last</stp>
        <stp>[12035023.xlsm]PriceAdjustedSpreads!R8C23</stp>
        <tr r="W8" s="1"/>
      </tp>
      <tp t="s">
        <v>3/1/2029</v>
        <stp/>
        <stp>##V3_BDPV12</stp>
        <stp>00206RHJ4 Corp</stp>
        <stp>Maturity</stp>
        <stp>[12035023.xlsm]PriceAdjustedSpreads!R7C28</stp>
        <tr r="AB7" s="1"/>
      </tp>
      <tp>
        <v>1.7497</v>
        <stp/>
        <stp>##V3_BDPV12</stp>
        <stp>USGG12M Index</stp>
        <stp>px_last</stp>
        <stp>[12035023.xlsm]PriceAdjustedSpreads!R3C23</stp>
        <tr r="W3" s="1"/>
      </tp>
      <tp>
        <v>1.502</v>
        <stp/>
        <stp>##V3_BDPV12</stp>
        <stp>USGG2YR Index</stp>
        <stp>px_last</stp>
        <stp>[12035023.xlsm]PriceAdjustedSpreads!R4C23</stp>
        <tr r="W4" s="1"/>
      </tp>
      <tp>
        <v>0.4</v>
        <stp/>
        <stp>##V3_BDPV12</stp>
        <stp>CSBC1U5 Corp</stp>
        <stp>CDS_RR</stp>
        <stp>[12035023.xlsm]PriceAdjustedSpreads!R13C28</stp>
        <tr r="AB13" s="1"/>
      </tp>
      <tp>
        <v>1.4211</v>
        <stp/>
        <stp>##V3_BDPV12</stp>
        <stp>USGG3YR Index</stp>
        <stp>px_last</stp>
        <stp>[12035023.xlsm]PriceAdjustedSpreads!R5C23</stp>
        <tr r="W5" s="1"/>
      </tp>
      <tp>
        <v>1.3833</v>
        <stp/>
        <stp>##V3_BDPV12</stp>
        <stp>USGG5YR Index</stp>
        <stp>px_last</stp>
        <stp>[12035023.xlsm]PriceAdjustedSpreads!R6C23</stp>
        <tr r="W6" s="1"/>
      </tp>
      <tp>
        <v>1.4434</v>
        <stp/>
        <stp>##V3_BDPV12</stp>
        <stp>USGG7YR Index</stp>
        <stp>px_last</stp>
        <stp>[12035023.xlsm]PriceAdjustedSpreads!R7C23</stp>
        <tr r="W7" s="1"/>
      </tp>
      <tp>
        <v>36</v>
        <stp/>
        <stp>##V3_BDPV12</stp>
        <stp>CX357750 Corp</stp>
        <stp>CDS_FLAT_SPREAD</stp>
        <stp>[12035023.xlsm]PriceAdjustedSpreads!R30C27</stp>
        <tr r="AA30" s="1"/>
      </tp>
      <tp>
        <v>132</v>
        <stp/>
        <stp>##V3_BDPV12</stp>
        <stp>CT353836 Corp</stp>
        <stp>CDS_FLAT_SPREAD</stp>
        <stp>[12035023.xlsm]PriceAdjustedSpreads!R34C27</stp>
        <tr r="AA34" s="1"/>
      </tp>
      <tp t="s">
        <v>AT&amp;T Inc</v>
        <stp/>
        <stp>##V3_BDPV12</stp>
        <stp>00206RHJ4 Corp</stp>
        <stp>LONG_COMP_NAME</stp>
        <stp>[12035023.xlsm]PriceAdjustedSpreads!R16C28</stp>
        <tr r="AB16" s="1"/>
      </tp>
      <tp>
        <v>69</v>
        <stp/>
        <stp>##V3_BDPV12</stp>
        <stp>CT388272 Corp</stp>
        <stp>CDS_FLAT_SPREAD</stp>
        <stp>[12035023.xlsm]PriceAdjustedSpreads!R32C27</stp>
        <tr r="AA32" s="1"/>
      </tp>
      <tp>
        <v>19.920000000000002</v>
        <stp/>
        <stp>##V3_BDPV12</stp>
        <stp>CT684610 Corp</stp>
        <stp>CDS_FLAT_SPREAD</stp>
        <stp>[12035023.xlsm]PriceAdjustedSpreads!R28C27</stp>
        <tr r="AA28" s="1"/>
      </tp>
      <tp>
        <v>43891</v>
        <stp/>
        <stp>##V3_BDSV12</stp>
        <stp>00206RHJ4 Corp</stp>
        <stp>DES_CASH_FLOW</stp>
        <stp>[12035023.xlsm]PriceAdjustedSpreads!R42C21</stp>
        <stp>cols=3;rows=19</stp>
        <tr r="U42" s="1"/>
      </tp>
      <tp t="s">
        <v>6/20/2022</v>
        <stp/>
        <stp>##V3_BDPV12</stp>
        <stp>CSBC1U3 Corp</stp>
        <stp>MATURITY</stp>
        <stp>[12035023.xlsm]PriceAdjustedSpreads!R31C26</stp>
        <tr r="Z31" s="1"/>
      </tp>
      <tp t="s">
        <v>6/20/2020</v>
        <stp/>
        <stp>##V3_BDPV12</stp>
        <stp>CSBC1U1 Corp</stp>
        <stp>MATURITY</stp>
        <stp>[12035023.xlsm]PriceAdjustedSpreads!R29C26</stp>
        <tr r="Z29" s="1"/>
      </tp>
      <tp t="s">
        <v>6/20/2024</v>
        <stp/>
        <stp>##V3_BDPV12</stp>
        <stp>CSBC1U5 Corp</stp>
        <stp>MATURITY</stp>
        <stp>[12035023.xlsm]PriceAdjustedSpreads!R33C26</stp>
        <tr r="Z33" s="1"/>
      </tp>
      <tp>
        <v>87</v>
        <stp/>
        <stp>##V3_BDPV12</stp>
        <stp>CSBC1U5 Corp</stp>
        <stp>CDS_FLAT_SPREAD</stp>
        <stp>[12035023.xlsm]PriceAdjustedSpreads!R33C27</stp>
        <tr r="AA33" s="1"/>
      </tp>
      <tp>
        <v>27</v>
        <stp/>
        <stp>##V3_BDPV12</stp>
        <stp>CSBC1U1 Corp</stp>
        <stp>CDS_FLAT_SPREAD</stp>
        <stp>[12035023.xlsm]PriceAdjustedSpreads!R29C27</stp>
        <tr r="AA29" s="1"/>
      </tp>
      <tp>
        <v>51.000000000000007</v>
        <stp/>
        <stp>##V3_BDPV12</stp>
        <stp>CSBC1U3 Corp</stp>
        <stp>CDS_FLAT_SPREAD</stp>
        <stp>[12035023.xlsm]PriceAdjustedSpreads!R31C27</stp>
        <tr r="AA31" s="1"/>
      </tp>
      <tp>
        <v>43713</v>
        <stp/>
        <stp>##V3_BDSV12</stp>
        <stp>usd CMPN Curncy</stp>
        <stp>SW_CRV_DISCOUNT_FACTORS</stp>
        <stp>[12035023.xlsm]PriceAdjustedSpreads!R42C25</stp>
        <stp>SW_CRV_ZR_DF_END_DT=20290301</stp>
        <stp>cols=2;rows=39</stp>
        <tr r="Y42" s="1"/>
      </tp>
      <tp t="s">
        <v>9/5/2019</v>
        <stp/>
        <stp>##V3_BDPV12</stp>
        <stp>CSBC1U5 Corp</stp>
        <stp>SETTLE_DT</stp>
        <stp>[12035023.xlsm]PriceAdjustedSpreads!R25C30</stp>
        <tr r="AD25" s="1"/>
      </tp>
      <tp t="s">
        <v>6/20/2029</v>
        <stp/>
        <stp>##V3_BDPV12</stp>
        <stp>CSBC1U10 Corp</stp>
        <stp>MATURITY</stp>
        <stp>[12035023.xlsm]PriceAdjustedSpreads!R35C26</stp>
        <tr r="Z35" s="1"/>
      </tp>
      <tp>
        <v>2.377636074043421E-2</v>
        <stp/>
        <stp>##V3_BDPV12</stp>
        <stp>CSBC1U3 Corp</stp>
        <stp>CDS_3_YR_DEFAULT_PROB</stp>
        <stp>[12035023.xlsm]PriceAdjustedSpreads!R31C29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31" s="1"/>
      </tp>
      <tp>
        <v>2</v>
        <stp/>
        <stp>##V3_BDPV12</stp>
        <stp>00206RHJ4 Corp</stp>
        <stp>CPN_FREQ</stp>
        <stp>[12035023.xlsm]PriceAdjustedSpreads!R11C28</stp>
        <tr r="AB11" s="1"/>
      </tp>
      <tp t="s">
        <v>9/5/2019</v>
        <stp/>
        <stp>##V3_BDPV12</stp>
        <stp>00206RHJ4 Corp</stp>
        <stp>SETTLE_DT</stp>
        <stp>[12035023.xlsm]PriceAdjustedSpreads!R10C28</stp>
        <tr r="AB10" s="1"/>
      </tp>
      <tp>
        <v>3.6213870460074515E-3</v>
        <stp/>
        <stp>##V3_BDPV12</stp>
        <stp>CSBC1U1 Corp</stp>
        <stp>CDS_1_YR_DEFAULT_PROB</stp>
        <stp>[12035023.xlsm]PriceAdjustedSpreads!R29C29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29" s="1"/>
      </tp>
      <tp>
        <v>6.8024159565405529E-2</v>
        <stp/>
        <stp>##V3_BDPV12</stp>
        <stp>CSBC1U5 Corp</stp>
        <stp>CDS_5_YR_DEFAULT_PROB</stp>
        <stp>[12035023.xlsm]PriceAdjustedSpreads!R33C29</stp>
        <stp>CDS_6M=19.92</stp>
        <stp>CDS_1Y=27</stp>
        <stp>CDS_2Y=36</stp>
        <stp>CDS_3Y=51</stp>
        <stp>CDS_4Y=69</stp>
        <stp>CDS_5Y=87</stp>
        <stp>CDS_7Y=132</stp>
        <stp>CDS_10Y=152.58</stp>
        <stp>CDS_RR=0.4</stp>
        <tr r="AC33" s="1"/>
      </tp>
      <tp>
        <v>7.1388310558331387</v>
        <stp/>
        <stp>##V3_BDPV12</stp>
        <stp>00206RHJ4 Corp</stp>
        <stp>YAS_ZSPREAD</stp>
        <stp>[12035023.xlsm]PriceAdjustedSpreads!R5C28</stp>
        <stp>YAS_BOND_PX=125.176374469332</stp>
        <tr r="AB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hans.mikkelsen@baml.com" TargetMode="External"/><Relationship Id="rId1" Type="http://schemas.openxmlformats.org/officeDocument/2006/relationships/hyperlink" Target="mailto:yuri.seliger@bam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376"/>
  <sheetViews>
    <sheetView showGridLines="0" tabSelected="1" workbookViewId="0"/>
  </sheetViews>
  <sheetFormatPr defaultRowHeight="11.25"/>
  <cols>
    <col min="1" max="1" width="19.85546875" style="5" customWidth="1"/>
    <col min="2" max="2" width="11.140625" style="5" customWidth="1"/>
    <col min="3" max="3" width="1.42578125" style="5" customWidth="1"/>
    <col min="4" max="4" width="18.140625" style="5" customWidth="1"/>
    <col min="5" max="5" width="6.85546875" style="5" customWidth="1"/>
    <col min="6" max="6" width="1.42578125" style="5" customWidth="1"/>
    <col min="7" max="7" width="8.28515625" style="5" customWidth="1"/>
    <col min="8" max="8" width="9.42578125" style="5" customWidth="1"/>
    <col min="9" max="26" width="9.140625" style="5"/>
    <col min="27" max="28" width="9.28515625" style="5" bestFit="1" customWidth="1"/>
    <col min="29" max="16384" width="9.140625" style="5"/>
  </cols>
  <sheetData>
    <row r="1" spans="1:38">
      <c r="A1" s="21" t="s">
        <v>85</v>
      </c>
      <c r="B1" s="22"/>
      <c r="D1" s="21" t="s">
        <v>101</v>
      </c>
      <c r="E1" s="22"/>
      <c r="G1" s="43" t="str">
        <f>"CDS Curve: "&amp;AB16</f>
        <v>CDS Curve: AT&amp;T Inc</v>
      </c>
      <c r="H1" s="44"/>
      <c r="I1" s="44"/>
      <c r="J1" s="44"/>
      <c r="K1" s="45"/>
    </row>
    <row r="2" spans="1:38" ht="12.75">
      <c r="A2" s="23" t="s">
        <v>86</v>
      </c>
      <c r="B2" s="24" t="s">
        <v>84</v>
      </c>
      <c r="D2" s="23" t="s">
        <v>88</v>
      </c>
      <c r="E2" s="24" t="s">
        <v>89</v>
      </c>
      <c r="G2" s="23" t="s">
        <v>0</v>
      </c>
      <c r="H2" s="4" t="s">
        <v>1</v>
      </c>
      <c r="I2" s="4" t="s">
        <v>2</v>
      </c>
      <c r="J2" s="4" t="s">
        <v>3</v>
      </c>
      <c r="K2" s="24" t="s">
        <v>69</v>
      </c>
      <c r="U2" s="5" t="s">
        <v>12</v>
      </c>
      <c r="V2" s="5" t="s">
        <v>25</v>
      </c>
      <c r="W2" s="5" t="s">
        <v>23</v>
      </c>
      <c r="X2" s="5" t="s">
        <v>0</v>
      </c>
      <c r="AA2" s="19" t="s">
        <v>30</v>
      </c>
      <c r="AB2" s="15">
        <f>IF(ISNUMBER(B6), B6,PRICE( AB10, AB7, AB6/100, AB9/100, 100, AB11))</f>
        <v>125.17637446933171</v>
      </c>
      <c r="AD2" s="18" t="s">
        <v>70</v>
      </c>
      <c r="AE2" s="5">
        <f>AB12/100</f>
        <v>4.8333333333333334E-4</v>
      </c>
      <c r="AG2" s="5" t="s">
        <v>0</v>
      </c>
      <c r="AH2" s="5" t="s">
        <v>113</v>
      </c>
      <c r="AI2" s="5" t="s">
        <v>114</v>
      </c>
      <c r="AJ2" s="5" t="s">
        <v>115</v>
      </c>
      <c r="AK2" s="5" t="s">
        <v>116</v>
      </c>
    </row>
    <row r="3" spans="1:38">
      <c r="A3" s="25" t="s">
        <v>112</v>
      </c>
      <c r="B3" s="62" t="s">
        <v>139</v>
      </c>
      <c r="D3" s="37" t="s">
        <v>68</v>
      </c>
      <c r="E3" s="38">
        <f ca="1">IF(ISNUMBER(AE19), AE19, "n.a.")</f>
        <v>-19.248181947213276</v>
      </c>
      <c r="G3" s="46" t="s">
        <v>4</v>
      </c>
      <c r="H3" s="1">
        <f>Z28</f>
        <v>43819</v>
      </c>
      <c r="I3" s="2">
        <f t="shared" ref="I3:I10" si="0">IF(X28=0, AA28, "n.a.")</f>
        <v>19.920000000000002</v>
      </c>
      <c r="J3" s="3"/>
      <c r="K3" s="47">
        <f>AK3</f>
        <v>19.920000000000002</v>
      </c>
      <c r="M3" s="70"/>
      <c r="N3" s="12"/>
      <c r="O3" s="12"/>
      <c r="P3" s="12"/>
      <c r="U3" s="6" t="s">
        <v>5</v>
      </c>
      <c r="V3" s="5" t="s">
        <v>14</v>
      </c>
      <c r="W3" s="5">
        <f>_xll.BDP(V3, "px_last")</f>
        <v>1.7497</v>
      </c>
      <c r="X3" s="6">
        <v>1</v>
      </c>
      <c r="AA3" s="19" t="s">
        <v>29</v>
      </c>
      <c r="AB3" s="16">
        <f>YIELD(AB10, AB7, AB6/100, AB2, 100, AB11)</f>
        <v>1.4942999999999859E-2</v>
      </c>
      <c r="AD3" s="18" t="s">
        <v>71</v>
      </c>
      <c r="AE3" s="60">
        <f ca="1">SUM(AG42:AH198)/100</f>
        <v>1.1212269566153907</v>
      </c>
      <c r="AG3" s="5" t="str">
        <f>G3</f>
        <v>6M</v>
      </c>
      <c r="AH3" s="5">
        <f>IF($AH$14,"n.a.",IF(J3&lt;&gt;"",J3,I3))</f>
        <v>19.920000000000002</v>
      </c>
      <c r="AI3" s="65">
        <f>AH3</f>
        <v>19.920000000000002</v>
      </c>
      <c r="AJ3" s="5">
        <f>IF(ISNUMBER(AH3), AH3, IF(ISNUMBER(AH4), AH4, AJ4))</f>
        <v>19.920000000000002</v>
      </c>
      <c r="AK3" s="5">
        <f>IF(ISNUMBER(AH3),AH3,IF(ISNUMBER(AI3),AI3,AJ3))</f>
        <v>19.920000000000002</v>
      </c>
    </row>
    <row r="4" spans="1:38">
      <c r="A4" s="25" t="s">
        <v>111</v>
      </c>
      <c r="B4" s="7"/>
      <c r="D4" s="37" t="s">
        <v>105</v>
      </c>
      <c r="E4" s="38">
        <f ca="1">IF(ISNUMBER(E5-E3), E5-E3, "n.a.")</f>
        <v>20.32357009500404</v>
      </c>
      <c r="G4" s="46" t="s">
        <v>5</v>
      </c>
      <c r="H4" s="1">
        <f t="shared" ref="H4:H10" si="1">Z29</f>
        <v>44002</v>
      </c>
      <c r="I4" s="2">
        <f t="shared" si="0"/>
        <v>27</v>
      </c>
      <c r="J4" s="3"/>
      <c r="K4" s="47">
        <f t="shared" ref="K4:K10" si="2">AK4</f>
        <v>27</v>
      </c>
      <c r="U4" s="6" t="s">
        <v>6</v>
      </c>
      <c r="V4" s="5" t="s">
        <v>15</v>
      </c>
      <c r="W4" s="5">
        <f>_xll.BDP(V4, "px_last")</f>
        <v>1.502</v>
      </c>
      <c r="X4" s="6">
        <v>2</v>
      </c>
      <c r="AA4" s="19" t="s">
        <v>77</v>
      </c>
      <c r="AB4" s="17">
        <f>(AB3-AB8/100)*10^4</f>
        <v>-1.4051260155412137E-12</v>
      </c>
      <c r="AD4" s="18" t="s">
        <v>138</v>
      </c>
      <c r="AE4" s="60">
        <f ca="1">(SUM(AG42:AG198)+SUM(AI42:AI198))/100</f>
        <v>0.77608249232630255</v>
      </c>
      <c r="AG4" s="5" t="str">
        <f t="shared" ref="AG4:AG10" si="3">G4</f>
        <v>1Y</v>
      </c>
      <c r="AH4" s="5">
        <f t="shared" ref="AH4:AH10" si="4">IF($AH$14,"n.a.",IF(J4&lt;&gt;"",J4,I4))</f>
        <v>27</v>
      </c>
      <c r="AI4" s="5">
        <f>IF(ISNUMBER(AH4), AH4, IF(ISNUMBER(AH3), AH3, AI3))</f>
        <v>27</v>
      </c>
      <c r="AJ4" s="5">
        <f t="shared" ref="AJ4:AJ9" si="5">IF(ISNUMBER(AH4), AH4, IF(ISNUMBER(AH5), AH5, AJ5))</f>
        <v>27</v>
      </c>
      <c r="AK4" s="5">
        <f t="shared" ref="AK4:AK10" si="6">IF(ISNUMBER(AH4),AH4,IF(ISNUMBER(AI4),AI4,AJ4))</f>
        <v>27</v>
      </c>
    </row>
    <row r="5" spans="1:38">
      <c r="A5" s="25" t="s">
        <v>12</v>
      </c>
      <c r="B5" s="7" t="s">
        <v>11</v>
      </c>
      <c r="D5" s="39" t="s">
        <v>90</v>
      </c>
      <c r="E5" s="40">
        <f ca="1">IF(ISNUMBER(AE12),AE12,"n.a.")</f>
        <v>1.0753881477907656</v>
      </c>
      <c r="G5" s="46" t="s">
        <v>6</v>
      </c>
      <c r="H5" s="1">
        <f t="shared" si="1"/>
        <v>44367</v>
      </c>
      <c r="I5" s="2">
        <f t="shared" si="0"/>
        <v>36</v>
      </c>
      <c r="J5" s="3"/>
      <c r="K5" s="47">
        <f t="shared" si="2"/>
        <v>36</v>
      </c>
      <c r="U5" s="6" t="s">
        <v>7</v>
      </c>
      <c r="V5" s="5" t="s">
        <v>16</v>
      </c>
      <c r="W5" s="5">
        <f>_xll.BDP(V5, "px_last")</f>
        <v>1.4211</v>
      </c>
      <c r="X5" s="6">
        <v>3</v>
      </c>
      <c r="AA5" s="18" t="s">
        <v>117</v>
      </c>
      <c r="AB5" s="5">
        <f>_xll.BDP($B$3&amp;" Corp", AA5, "YAS_BOND_PX="&amp;AB2)</f>
        <v>7.1388310558331387</v>
      </c>
      <c r="AD5" s="18" t="s">
        <v>136</v>
      </c>
      <c r="AE5" s="60">
        <f>AB2/100</f>
        <v>1.251763744693317</v>
      </c>
      <c r="AG5" s="5" t="str">
        <f t="shared" si="3"/>
        <v>2Y</v>
      </c>
      <c r="AH5" s="5">
        <f t="shared" si="4"/>
        <v>36</v>
      </c>
      <c r="AI5" s="5">
        <f t="shared" ref="AI5:AI10" si="7">IF(ISNUMBER(AH5), AH5, IF(ISNUMBER(AH4), AH4, AI4))</f>
        <v>36</v>
      </c>
      <c r="AJ5" s="5">
        <f t="shared" si="5"/>
        <v>36</v>
      </c>
      <c r="AK5" s="5">
        <f t="shared" si="6"/>
        <v>36</v>
      </c>
    </row>
    <row r="6" spans="1:38">
      <c r="A6" s="25" t="s">
        <v>13</v>
      </c>
      <c r="B6" s="10"/>
      <c r="D6" s="64" t="s">
        <v>110</v>
      </c>
      <c r="E6" s="26"/>
      <c r="G6" s="46" t="s">
        <v>7</v>
      </c>
      <c r="H6" s="1">
        <f t="shared" si="1"/>
        <v>44732</v>
      </c>
      <c r="I6" s="2">
        <f t="shared" si="0"/>
        <v>51.000000000000007</v>
      </c>
      <c r="J6" s="3"/>
      <c r="K6" s="47">
        <f t="shared" si="2"/>
        <v>51.000000000000007</v>
      </c>
      <c r="M6" s="70"/>
      <c r="N6" s="12"/>
      <c r="O6" s="12"/>
      <c r="P6" s="12"/>
      <c r="U6" s="6" t="s">
        <v>9</v>
      </c>
      <c r="V6" s="5" t="s">
        <v>17</v>
      </c>
      <c r="W6" s="5">
        <f>_xll.BDP(V6, "px_last")</f>
        <v>1.3833</v>
      </c>
      <c r="X6" s="6">
        <v>5</v>
      </c>
      <c r="AA6" s="18" t="s">
        <v>22</v>
      </c>
      <c r="AB6" s="5">
        <f>_xll.BDP($B$3&amp;" Corp", AA6)</f>
        <v>4.3499999999999996</v>
      </c>
      <c r="AD6" s="18" t="s">
        <v>137</v>
      </c>
      <c r="AE6" s="5">
        <f>AB6/100</f>
        <v>4.3499999999999997E-2</v>
      </c>
      <c r="AG6" s="5" t="str">
        <f t="shared" si="3"/>
        <v>3Y</v>
      </c>
      <c r="AH6" s="5">
        <f t="shared" si="4"/>
        <v>51.000000000000007</v>
      </c>
      <c r="AI6" s="5">
        <f t="shared" si="7"/>
        <v>51.000000000000007</v>
      </c>
      <c r="AJ6" s="5">
        <f t="shared" si="5"/>
        <v>51.000000000000007</v>
      </c>
      <c r="AK6" s="5">
        <f t="shared" si="6"/>
        <v>51.000000000000007</v>
      </c>
    </row>
    <row r="7" spans="1:38">
      <c r="A7" s="25"/>
      <c r="B7" s="26"/>
      <c r="D7" s="39" t="str">
        <f>"To Benchmark (CT"&amp;LEFT(B5, LEN(B5)-1)&amp;")"</f>
        <v>To Benchmark (CT10)</v>
      </c>
      <c r="E7" s="40">
        <f ca="1">IF(ISNUMBER(B12+E5), B12+E5, "n.a.")</f>
        <v>1.0753881477893605</v>
      </c>
      <c r="G7" s="46" t="s">
        <v>8</v>
      </c>
      <c r="H7" s="1">
        <f t="shared" si="1"/>
        <v>45097</v>
      </c>
      <c r="I7" s="2">
        <f t="shared" si="0"/>
        <v>69</v>
      </c>
      <c r="J7" s="3"/>
      <c r="K7" s="47">
        <f t="shared" si="2"/>
        <v>69</v>
      </c>
      <c r="M7" s="70"/>
      <c r="N7" s="12"/>
      <c r="O7" s="12"/>
      <c r="P7" s="12"/>
      <c r="U7" s="6" t="s">
        <v>10</v>
      </c>
      <c r="V7" s="5" t="s">
        <v>18</v>
      </c>
      <c r="W7" s="5">
        <f>_xll.BDP(V7, "px_last")</f>
        <v>1.4434</v>
      </c>
      <c r="X7" s="6">
        <v>7</v>
      </c>
      <c r="AA7" s="18" t="s">
        <v>1</v>
      </c>
      <c r="AB7" s="8">
        <f>DATEVALUE(_xll.BDP($B$3&amp;" Corp", AA7))</f>
        <v>47178</v>
      </c>
      <c r="AD7" s="18" t="s">
        <v>74</v>
      </c>
      <c r="AE7" s="5">
        <f ca="1">(AE3-AE4)/AE6</f>
        <v>7.9343555008985795</v>
      </c>
      <c r="AG7" s="5" t="str">
        <f t="shared" si="3"/>
        <v>4Y</v>
      </c>
      <c r="AH7" s="5">
        <f t="shared" si="4"/>
        <v>69</v>
      </c>
      <c r="AI7" s="5">
        <f t="shared" si="7"/>
        <v>69</v>
      </c>
      <c r="AJ7" s="5">
        <f t="shared" si="5"/>
        <v>69</v>
      </c>
      <c r="AK7" s="5">
        <f t="shared" si="6"/>
        <v>69</v>
      </c>
    </row>
    <row r="8" spans="1:38">
      <c r="A8" s="76" t="str">
        <f>AB17</f>
        <v>T 4.35 03/01/29</v>
      </c>
      <c r="B8" s="77"/>
      <c r="D8" s="41" t="s">
        <v>109</v>
      </c>
      <c r="E8" s="42">
        <f ca="1">IF(ISNUMBER(B13+E5), B13+E5, "n.a.")</f>
        <v>1.7229708449903804</v>
      </c>
      <c r="G8" s="46" t="s">
        <v>9</v>
      </c>
      <c r="H8" s="1">
        <f t="shared" si="1"/>
        <v>45463</v>
      </c>
      <c r="I8" s="2">
        <f t="shared" si="0"/>
        <v>87</v>
      </c>
      <c r="J8" s="3"/>
      <c r="K8" s="47">
        <f t="shared" si="2"/>
        <v>87</v>
      </c>
      <c r="M8" s="70"/>
      <c r="N8" s="12"/>
      <c r="O8" s="12"/>
      <c r="P8" s="12"/>
      <c r="U8" s="6" t="s">
        <v>11</v>
      </c>
      <c r="V8" s="5" t="s">
        <v>19</v>
      </c>
      <c r="W8" s="5">
        <f>_xll.BDP(V8, "px_last")</f>
        <v>1.4943</v>
      </c>
      <c r="X8" s="6">
        <v>10</v>
      </c>
      <c r="AA8" s="18" t="s">
        <v>24</v>
      </c>
      <c r="AB8" s="5">
        <f>VLOOKUP(B5, U3:W9, 3, FALSE)</f>
        <v>1.4943</v>
      </c>
      <c r="AD8" s="18" t="s">
        <v>73</v>
      </c>
      <c r="AE8" s="5">
        <f>AE2/AE6</f>
        <v>1.1111111111111112E-2</v>
      </c>
      <c r="AG8" s="5" t="str">
        <f t="shared" si="3"/>
        <v>5Y</v>
      </c>
      <c r="AH8" s="5">
        <f t="shared" si="4"/>
        <v>87</v>
      </c>
      <c r="AI8" s="5">
        <f t="shared" si="7"/>
        <v>87</v>
      </c>
      <c r="AJ8" s="5">
        <f t="shared" si="5"/>
        <v>87</v>
      </c>
      <c r="AK8" s="5">
        <f t="shared" si="6"/>
        <v>87</v>
      </c>
    </row>
    <row r="9" spans="1:38">
      <c r="A9" s="25" t="s">
        <v>72</v>
      </c>
      <c r="B9" s="30">
        <f>IF(ISNUMBER(AB2), AB2, "n.a.")</f>
        <v>125.17637446933171</v>
      </c>
      <c r="G9" s="46" t="s">
        <v>10</v>
      </c>
      <c r="H9" s="1">
        <f t="shared" si="1"/>
        <v>46193</v>
      </c>
      <c r="I9" s="2">
        <f t="shared" si="0"/>
        <v>132</v>
      </c>
      <c r="J9" s="3"/>
      <c r="K9" s="47">
        <f t="shared" si="2"/>
        <v>132</v>
      </c>
      <c r="M9" s="70"/>
      <c r="N9" s="12"/>
      <c r="O9" s="12"/>
      <c r="P9" s="12"/>
      <c r="U9" s="6" t="s">
        <v>21</v>
      </c>
      <c r="V9" s="5" t="s">
        <v>20</v>
      </c>
      <c r="W9" s="5">
        <f>_xll.BDP(V9, "px_last")</f>
        <v>1.9612000000000001</v>
      </c>
      <c r="X9" s="6">
        <v>30</v>
      </c>
      <c r="AA9" s="18" t="s">
        <v>26</v>
      </c>
      <c r="AB9" s="5">
        <f>B4/100+AB8</f>
        <v>1.4943</v>
      </c>
      <c r="AG9" s="5" t="str">
        <f t="shared" si="3"/>
        <v>7Y</v>
      </c>
      <c r="AH9" s="5">
        <f t="shared" si="4"/>
        <v>132</v>
      </c>
      <c r="AI9" s="5">
        <f t="shared" si="7"/>
        <v>132</v>
      </c>
      <c r="AJ9" s="5">
        <f t="shared" si="5"/>
        <v>132</v>
      </c>
      <c r="AK9" s="5">
        <f t="shared" si="6"/>
        <v>132</v>
      </c>
    </row>
    <row r="10" spans="1:38">
      <c r="A10" s="25" t="s">
        <v>100</v>
      </c>
      <c r="B10" s="30">
        <f>IF(ISNUMBER(B9-100), B9-100, "n.a.")</f>
        <v>25.176374469331705</v>
      </c>
      <c r="G10" s="46" t="s">
        <v>11</v>
      </c>
      <c r="H10" s="1">
        <f t="shared" si="1"/>
        <v>47289</v>
      </c>
      <c r="I10" s="2">
        <f t="shared" si="0"/>
        <v>152.58000000000001</v>
      </c>
      <c r="J10" s="3"/>
      <c r="K10" s="47">
        <f t="shared" si="2"/>
        <v>152.58000000000001</v>
      </c>
      <c r="M10" s="70"/>
      <c r="N10" s="12"/>
      <c r="O10" s="12"/>
      <c r="P10" s="12"/>
      <c r="U10" s="6"/>
      <c r="W10" s="5">
        <f>W9</f>
        <v>1.9612000000000001</v>
      </c>
      <c r="X10" s="6">
        <v>200</v>
      </c>
      <c r="AA10" s="18" t="s">
        <v>27</v>
      </c>
      <c r="AB10" s="8">
        <f>DATEVALUE(_xll.BDP($B$3&amp;" Corp", AA10))</f>
        <v>43713</v>
      </c>
      <c r="AD10" s="18" t="s">
        <v>75</v>
      </c>
      <c r="AE10" s="9">
        <f ca="1">(AE4*(1-AE5)+AE6*(AE7-AE8))/(AE5*(AE7-AE8))</f>
        <v>1.5050538814778936E-2</v>
      </c>
      <c r="AG10" s="5" t="str">
        <f t="shared" si="3"/>
        <v>10Y</v>
      </c>
      <c r="AH10" s="5">
        <f t="shared" si="4"/>
        <v>152.58000000000001</v>
      </c>
      <c r="AI10" s="5">
        <f t="shared" si="7"/>
        <v>152.58000000000001</v>
      </c>
      <c r="AJ10" s="65">
        <f>AH10</f>
        <v>152.58000000000001</v>
      </c>
      <c r="AK10" s="5">
        <f t="shared" si="6"/>
        <v>152.58000000000001</v>
      </c>
    </row>
    <row r="11" spans="1:38">
      <c r="A11" s="25" t="s">
        <v>23</v>
      </c>
      <c r="B11" s="27">
        <f>IF(ISNUMBER(AB3), AB3, "n.a.")</f>
        <v>1.4942999999999859E-2</v>
      </c>
      <c r="G11" s="25"/>
      <c r="H11" s="48"/>
      <c r="I11" s="48"/>
      <c r="J11" s="48"/>
      <c r="K11" s="26"/>
      <c r="M11" s="70"/>
      <c r="N11" s="12"/>
      <c r="O11" s="12"/>
      <c r="P11" s="12"/>
      <c r="U11" s="6"/>
      <c r="AA11" s="18" t="s">
        <v>28</v>
      </c>
      <c r="AB11" s="5">
        <f>_xll.BDP($B$3&amp;" Corp", AA11)</f>
        <v>2</v>
      </c>
      <c r="AD11" s="18" t="s">
        <v>76</v>
      </c>
      <c r="AE11" s="12">
        <f ca="1">(AE10-AB8/100)*10^4</f>
        <v>1.0753881477893605</v>
      </c>
    </row>
    <row r="12" spans="1:38">
      <c r="A12" s="25" t="s">
        <v>108</v>
      </c>
      <c r="B12" s="58">
        <f>IF(ISNUMBER(AB4), AB4, "n.a.")</f>
        <v>-1.4051260155412137E-12</v>
      </c>
      <c r="G12" s="25"/>
      <c r="H12" s="48" t="s">
        <v>44</v>
      </c>
      <c r="I12" s="49" t="str">
        <f>IF($AB$14,IF(ISNUMBER(I8),I8,IF(AH16,B14,"n.a.")), "n.a.")</f>
        <v>n.a.</v>
      </c>
      <c r="J12" s="3"/>
      <c r="K12" s="47" t="str">
        <f>IF($AB$14,IF(AH14,J12,IF(AH16,B14,"n.a.")), "n.a.")</f>
        <v>n.a.</v>
      </c>
      <c r="M12" s="70"/>
      <c r="N12" s="12"/>
      <c r="O12" s="12"/>
      <c r="P12" s="12"/>
      <c r="U12" s="6"/>
      <c r="AA12" s="18" t="s">
        <v>31</v>
      </c>
      <c r="AB12" s="5">
        <f>_xll.BDP($B$3&amp;" Corp", AA12)</f>
        <v>4.8333333333333332E-2</v>
      </c>
      <c r="AD12" s="18" t="s">
        <v>82</v>
      </c>
      <c r="AE12" s="12">
        <f ca="1">AE11-AB4</f>
        <v>1.0753881477907656</v>
      </c>
      <c r="AG12" s="18"/>
    </row>
    <row r="13" spans="1:38">
      <c r="A13" s="25" t="s">
        <v>109</v>
      </c>
      <c r="B13" s="47">
        <f ca="1">IF(ISNUMBER(AB20), AB20, "n.a.")</f>
        <v>0.6475826971996147</v>
      </c>
      <c r="G13" s="25"/>
      <c r="H13" s="48"/>
      <c r="I13" s="48"/>
      <c r="J13" s="48"/>
      <c r="K13" s="26"/>
      <c r="U13" s="6"/>
      <c r="AA13" s="18" t="s">
        <v>43</v>
      </c>
      <c r="AB13" s="5">
        <f>_xll.BDP(Y33&amp;" Corp", AA13)</f>
        <v>0.4</v>
      </c>
      <c r="AD13" s="18"/>
      <c r="AG13" s="18" t="s">
        <v>119</v>
      </c>
      <c r="AH13" s="5" t="b">
        <f>COUNT(AK3:AK10)&gt;0</f>
        <v>1</v>
      </c>
    </row>
    <row r="14" spans="1:38">
      <c r="A14" s="50" t="s">
        <v>118</v>
      </c>
      <c r="B14" s="63">
        <f>IF(ISNUMBER(AB5), AB5, "n.a.")</f>
        <v>7.1388310558331387</v>
      </c>
      <c r="G14" s="25"/>
      <c r="H14" s="67" t="s">
        <v>123</v>
      </c>
      <c r="I14" s="68">
        <f>AB13</f>
        <v>0.4</v>
      </c>
      <c r="J14" s="14"/>
      <c r="K14" s="69">
        <f>IF(ISNUMBER(J14), J14, I14)</f>
        <v>0.4</v>
      </c>
      <c r="U14" s="6"/>
      <c r="AA14" s="18" t="s">
        <v>53</v>
      </c>
      <c r="AB14" s="5" t="b">
        <f>OR(AH14, AH16)</f>
        <v>0</v>
      </c>
      <c r="AD14" s="18"/>
      <c r="AG14" s="18" t="s">
        <v>122</v>
      </c>
      <c r="AH14" s="5" t="b">
        <f>ISNUMBER(J12)</f>
        <v>0</v>
      </c>
    </row>
    <row r="15" spans="1:38">
      <c r="G15" s="50"/>
      <c r="H15" s="66" t="s">
        <v>124</v>
      </c>
      <c r="I15" s="51">
        <f>I14</f>
        <v>0.4</v>
      </c>
      <c r="J15" s="14"/>
      <c r="K15" s="52">
        <f>IF(ISNUMBER(J15), J15, I15)</f>
        <v>0.4</v>
      </c>
      <c r="U15" s="6"/>
      <c r="AA15" s="18" t="s">
        <v>55</v>
      </c>
      <c r="AB15" s="5" t="b">
        <f>X25&gt;0</f>
        <v>0</v>
      </c>
      <c r="AD15" s="18" t="s">
        <v>78</v>
      </c>
      <c r="AE15" s="5">
        <f>(AE5*100-100)*recovery_bond/(1-recovery)</f>
        <v>16.784249646221131</v>
      </c>
      <c r="AG15" s="18" t="s">
        <v>120</v>
      </c>
      <c r="AH15" s="5" t="b">
        <f>ISNUMBER(B14)</f>
        <v>1</v>
      </c>
    </row>
    <row r="16" spans="1:38">
      <c r="A16" s="28" t="s">
        <v>102</v>
      </c>
      <c r="B16" s="29"/>
      <c r="G16" s="78" t="str">
        <f>IF(AH16, "Note: CDS data are missing. The flat flat CDS spread is set to equal bond Z-Spread. Please override CDS spreads in column K for more precise calculations.", "")</f>
        <v/>
      </c>
      <c r="H16" s="78"/>
      <c r="I16" s="78"/>
      <c r="J16" s="78"/>
      <c r="K16" s="78"/>
      <c r="U16" s="6"/>
      <c r="AA16" s="18" t="s">
        <v>87</v>
      </c>
      <c r="AB16" s="5" t="str">
        <f>_xll.BDP($B$3&amp;" Corp", AA16)</f>
        <v>AT&amp;T Inc</v>
      </c>
      <c r="AD16" s="18" t="s">
        <v>79</v>
      </c>
      <c r="AE16" s="5">
        <f ca="1">SUM(AJ42:AJ198)</f>
        <v>11.614259906462832</v>
      </c>
      <c r="AG16" s="18" t="s">
        <v>121</v>
      </c>
      <c r="AH16" s="5" t="b">
        <f>AND(NOT(AH13), NOT(AH14), AH15)</f>
        <v>0</v>
      </c>
      <c r="AJ16" s="18"/>
      <c r="AK16" s="9"/>
      <c r="AL16" s="9"/>
    </row>
    <row r="17" spans="1:37" ht="12.75">
      <c r="A17" s="23" t="s">
        <v>88</v>
      </c>
      <c r="B17" s="24" t="s">
        <v>84</v>
      </c>
      <c r="G17" s="78"/>
      <c r="H17" s="78"/>
      <c r="I17" s="78"/>
      <c r="J17" s="78"/>
      <c r="K17" s="78"/>
      <c r="U17" s="6"/>
      <c r="AA17" s="18" t="s">
        <v>104</v>
      </c>
      <c r="AB17" s="5" t="str">
        <f>_xll.BDP($B$3&amp;" Corp", AA17)</f>
        <v>T 4.35 03/01/29</v>
      </c>
      <c r="AD17" s="18" t="s">
        <v>80</v>
      </c>
      <c r="AE17" s="5">
        <f ca="1">AE5*100+AE15*AE16/100</f>
        <v>127.12574084659339</v>
      </c>
    </row>
    <row r="18" spans="1:37">
      <c r="A18" s="25" t="s">
        <v>78</v>
      </c>
      <c r="B18" s="30">
        <f>IF(ISNUMBER(AE15), AE15, "n.a.")</f>
        <v>16.784249646221131</v>
      </c>
      <c r="D18" s="59"/>
      <c r="G18" s="79"/>
      <c r="H18" s="79"/>
      <c r="I18" s="79"/>
      <c r="J18" s="79"/>
      <c r="K18" s="79"/>
      <c r="U18" s="6"/>
      <c r="AA18" s="18" t="s">
        <v>106</v>
      </c>
      <c r="AB18" s="5">
        <f>(AB7-AB10)/360.25</f>
        <v>9.6183206106870234</v>
      </c>
      <c r="AD18" s="18" t="s">
        <v>81</v>
      </c>
      <c r="AE18" s="16">
        <f ca="1">YIELD(AB10, AB7, AB6/100, AE17, 100, AB11)</f>
        <v>1.3018181805278532E-2</v>
      </c>
      <c r="AK18" s="60"/>
    </row>
    <row r="19" spans="1:37">
      <c r="A19" s="25" t="s">
        <v>79</v>
      </c>
      <c r="B19" s="30">
        <f ca="1">IF(ISNUMBER(AE16), AE16, "n.a.")</f>
        <v>11.614259906462832</v>
      </c>
      <c r="G19" s="72"/>
      <c r="U19" s="6"/>
      <c r="AA19" s="18" t="s">
        <v>107</v>
      </c>
      <c r="AB19" s="5">
        <f ca="1">InterpLinearLocal($X$3:$X$10, $W$3:$W$10, AB18)</f>
        <v>1.4878241730279897</v>
      </c>
      <c r="AD19" s="18" t="s">
        <v>83</v>
      </c>
      <c r="AE19" s="12">
        <f ca="1">(AE18-AB3)*10^4</f>
        <v>-19.248181947213276</v>
      </c>
    </row>
    <row r="20" spans="1:37">
      <c r="A20" s="31" t="s">
        <v>91</v>
      </c>
      <c r="B20" s="32">
        <f ca="1">IF(ISNUMBER(B19*B18/100), B19*B18/100, "n.a.")</f>
        <v>1.9493663772616907</v>
      </c>
      <c r="G20" s="75" t="s">
        <v>140</v>
      </c>
      <c r="H20" s="80"/>
      <c r="I20" s="80"/>
      <c r="J20" s="80"/>
      <c r="K20" s="80"/>
      <c r="U20" s="6"/>
      <c r="AA20" s="5" t="s">
        <v>109</v>
      </c>
      <c r="AB20" s="5">
        <f ca="1">(AB3-AB19/100)*10^4</f>
        <v>0.6475826971996147</v>
      </c>
    </row>
    <row r="21" spans="1:37">
      <c r="A21" s="25"/>
      <c r="B21" s="26"/>
      <c r="G21" s="80"/>
      <c r="H21" s="80"/>
      <c r="I21" s="80"/>
      <c r="J21" s="80"/>
      <c r="K21" s="80"/>
      <c r="U21" s="6"/>
    </row>
    <row r="22" spans="1:37">
      <c r="A22" s="28" t="s">
        <v>103</v>
      </c>
      <c r="B22" s="29"/>
      <c r="G22" s="73"/>
      <c r="H22" s="73"/>
      <c r="I22" s="73"/>
      <c r="J22" s="73"/>
      <c r="K22" s="73"/>
      <c r="U22" s="6"/>
    </row>
    <row r="23" spans="1:37" ht="12.75">
      <c r="A23" s="23" t="s">
        <v>88</v>
      </c>
      <c r="B23" s="24" t="s">
        <v>84</v>
      </c>
      <c r="G23" s="75" t="s">
        <v>134</v>
      </c>
      <c r="H23" s="75"/>
      <c r="I23" s="75"/>
      <c r="J23" s="75"/>
      <c r="K23" s="75"/>
      <c r="U23" s="6"/>
      <c r="AJ23" s="18"/>
      <c r="AK23" s="71"/>
    </row>
    <row r="24" spans="1:37">
      <c r="A24" s="33" t="s">
        <v>92</v>
      </c>
      <c r="B24" s="74">
        <f ca="1">IF(ISNUMBER(AE4), AE4, "n.a.")</f>
        <v>0.77608249232630255</v>
      </c>
      <c r="G24" s="75"/>
      <c r="H24" s="75"/>
      <c r="I24" s="75"/>
      <c r="J24" s="75"/>
      <c r="K24" s="75"/>
      <c r="AD24" s="5" t="s">
        <v>27</v>
      </c>
      <c r="AJ24" s="18"/>
      <c r="AK24" s="9"/>
    </row>
    <row r="25" spans="1:37">
      <c r="A25" s="33" t="s">
        <v>93</v>
      </c>
      <c r="B25" s="34">
        <f ca="1">IF(ISNUMBER(AE7), AE7, "n.a.")</f>
        <v>7.9343555008985795</v>
      </c>
      <c r="G25" s="75"/>
      <c r="H25" s="75"/>
      <c r="I25" s="75"/>
      <c r="J25" s="75"/>
      <c r="K25" s="75"/>
      <c r="X25" s="6">
        <f>SUM(X28:X35)</f>
        <v>0</v>
      </c>
      <c r="Y25" s="6" t="s">
        <v>135</v>
      </c>
      <c r="AD25" s="8">
        <f>DATEVALUE(_xll.BDP($Y$33&amp;" Corp", AD24))</f>
        <v>43713</v>
      </c>
    </row>
    <row r="26" spans="1:37">
      <c r="A26" s="35" t="s">
        <v>94</v>
      </c>
      <c r="B26" s="36">
        <f>IF(ISNUMBER(AE8), AE8, "n.a.")</f>
        <v>1.1111111111111112E-2</v>
      </c>
      <c r="U26" s="5" t="s">
        <v>0</v>
      </c>
      <c r="W26" s="5" t="s">
        <v>40</v>
      </c>
      <c r="X26" s="5" t="s">
        <v>41</v>
      </c>
      <c r="Y26" s="5" t="s">
        <v>54</v>
      </c>
      <c r="Z26" s="5" t="s">
        <v>42</v>
      </c>
      <c r="AA26" s="5" t="s">
        <v>2</v>
      </c>
      <c r="AC26" s="5" t="s">
        <v>56</v>
      </c>
      <c r="AD26" s="5" t="s">
        <v>0</v>
      </c>
      <c r="AE26" s="5" t="s">
        <v>57</v>
      </c>
      <c r="AF26" s="5" t="s">
        <v>58</v>
      </c>
    </row>
    <row r="27" spans="1:37">
      <c r="AD27" s="5">
        <v>0</v>
      </c>
      <c r="AE27" s="5">
        <f>1-AC27</f>
        <v>1</v>
      </c>
    </row>
    <row r="28" spans="1:37" ht="12.75">
      <c r="H28" s="54"/>
      <c r="U28" s="6" t="s">
        <v>4</v>
      </c>
      <c r="V28" s="5" t="s">
        <v>32</v>
      </c>
      <c r="W28" s="6" t="str">
        <f>_xll.BDP($B$3&amp;" Corp", V28)</f>
        <v>CT684610</v>
      </c>
      <c r="X28" s="6">
        <f>IF(LEFT(W28)="#", 1, 0)</f>
        <v>0</v>
      </c>
      <c r="Y28" s="6" t="str">
        <f>IF(X28=0, $W28, _xll.BDP($Y$25&amp;" Corp", V28))</f>
        <v>CT684610</v>
      </c>
      <c r="Z28" s="8">
        <f>DATEVALUE(_xll.BDP(Y28&amp;" Corp", Z$26))</f>
        <v>43819</v>
      </c>
      <c r="AA28" s="11">
        <f>_xll.BDP(Y28&amp;" Corp", "CDS_FLAT_SPREAD")</f>
        <v>19.920000000000002</v>
      </c>
      <c r="AB28" s="5" t="s">
        <v>45</v>
      </c>
      <c r="AC28" s="5">
        <f>IF($AB$14,  _xll.BDP(Y28&amp;" Corp", AB28, "CDS_FLAT_SPREAD="&amp;$K$12, "CDS_RR="&amp;recovery), _xll.BDP(Y28&amp;" Corp", AB28, "CDS_6M="&amp;$K$3, "CDS_1Y="&amp;$K$4, "CDS_2Y="&amp;$K$5, "CDS_3Y="&amp;$K$6, "CDS_4Y="&amp;$K$7, "CDS_5Y="&amp;$K$8, "CDS_7Y="&amp;$K$9, "CDS_10Y="&amp;$K$10, "CDS_RR="&amp;recovery))</f>
        <v>9.9263350052480881E-4</v>
      </c>
      <c r="AD28" s="5">
        <f t="shared" ref="AD28:AD35" si="8">(Z28-AD$25)/360</f>
        <v>0.29444444444444445</v>
      </c>
      <c r="AE28" s="5">
        <f t="shared" ref="AE28:AE35" si="9">1-AC28</f>
        <v>0.99900736649947519</v>
      </c>
      <c r="AF28" s="5">
        <f>-(1/(AD28-AD27))*LN(AE28/AE27)</f>
        <v>3.372882410111991E-3</v>
      </c>
    </row>
    <row r="29" spans="1:37" ht="12.75">
      <c r="A29" s="53" t="s">
        <v>95</v>
      </c>
      <c r="B29" s="54"/>
      <c r="C29" s="54"/>
      <c r="D29" s="54"/>
      <c r="E29" s="54"/>
      <c r="F29" s="54"/>
      <c r="G29" s="54"/>
      <c r="H29" s="54"/>
      <c r="U29" s="6" t="s">
        <v>5</v>
      </c>
      <c r="V29" s="5" t="s">
        <v>33</v>
      </c>
      <c r="W29" s="6" t="str">
        <f>_xll.BDP($B$3&amp;" Corp", V29)</f>
        <v>CSBC1U1</v>
      </c>
      <c r="X29" s="6">
        <f>IF(LEFT(W29)="#", 1, 0)</f>
        <v>0</v>
      </c>
      <c r="Y29" s="6" t="str">
        <f>IF(X29=0, $W29, _xll.BDP($Y$25&amp;" Corp", V29))</f>
        <v>CSBC1U1</v>
      </c>
      <c r="Z29" s="8">
        <f>DATEVALUE(_xll.BDP(Y29&amp;" Corp", Z$26))</f>
        <v>44002</v>
      </c>
      <c r="AA29" s="11">
        <f>_xll.BDP(Y29&amp;" Corp", "CDS_FLAT_SPREAD")</f>
        <v>27</v>
      </c>
      <c r="AB29" s="5" t="s">
        <v>46</v>
      </c>
      <c r="AC29" s="5">
        <f>IF($AB$14,  _xll.BDP(Y29&amp;" Corp", AB29, "CDS_FLAT_SPREAD="&amp;$K$12, "CDS_RR="&amp;recovery), _xll.BDP(Y29&amp;" Corp", AB29, "CDS_6M="&amp;$K$3, "CDS_1Y="&amp;$K$4, "CDS_2Y="&amp;$K$5, "CDS_3Y="&amp;$K$6, "CDS_4Y="&amp;$K$7, "CDS_5Y="&amp;$K$8, "CDS_7Y="&amp;$K$9, "CDS_10Y="&amp;$K$10, "CDS_RR="&amp;recovery))</f>
        <v>3.6213870460074515E-3</v>
      </c>
      <c r="AD29" s="5">
        <f t="shared" si="8"/>
        <v>0.80277777777777781</v>
      </c>
      <c r="AE29" s="5">
        <f t="shared" si="9"/>
        <v>0.99637861295399255</v>
      </c>
      <c r="AF29" s="5">
        <f t="shared" ref="AF29:AF35" si="10">-(1/(AD29-AD28))*LN(AE29/AE28)</f>
        <v>5.1832793205289097E-3</v>
      </c>
    </row>
    <row r="30" spans="1:37" ht="12.75">
      <c r="A30" s="57" t="s">
        <v>132</v>
      </c>
      <c r="C30" s="55" t="s">
        <v>99</v>
      </c>
      <c r="E30" s="56" t="s">
        <v>133</v>
      </c>
      <c r="F30" s="20"/>
      <c r="G30" s="20"/>
      <c r="H30" s="54"/>
      <c r="U30" s="6" t="s">
        <v>6</v>
      </c>
      <c r="V30" s="5" t="s">
        <v>34</v>
      </c>
      <c r="W30" s="6" t="str">
        <f>_xll.BDP($B$3&amp;" Corp", V30)</f>
        <v>CX357750</v>
      </c>
      <c r="X30" s="6">
        <f t="shared" ref="X30:X35" si="11">IF(LEFT(W30)="#", 1, 0)</f>
        <v>0</v>
      </c>
      <c r="Y30" s="6" t="str">
        <f>IF(X30=0, $W30, _xll.BDP($Y$25&amp;" Corp", V30))</f>
        <v>CX357750</v>
      </c>
      <c r="Z30" s="8">
        <f>DATEVALUE(_xll.BDP(Y30&amp;" Corp", Z$26))</f>
        <v>44367</v>
      </c>
      <c r="AA30" s="11">
        <f>_xll.BDP(Y30&amp;" Corp", "CDS_FLAT_SPREAD")</f>
        <v>36</v>
      </c>
      <c r="AB30" s="5" t="s">
        <v>47</v>
      </c>
      <c r="AC30" s="5">
        <f>IF($AB$14,  _xll.BDP(Y30&amp;" Corp", AB30, "CDS_FLAT_SPREAD="&amp;$K$12, "CDS_RR="&amp;recovery), _xll.BDP(Y30&amp;" Corp", AB30, "CDS_6M="&amp;$K$3, "CDS_1Y="&amp;$K$4, "CDS_2Y="&amp;$K$5, "CDS_3Y="&amp;$K$6, "CDS_4Y="&amp;$K$7, "CDS_5Y="&amp;$K$8, "CDS_7Y="&amp;$K$9, "CDS_10Y="&amp;$K$10, "CDS_RR="&amp;recovery))</f>
        <v>1.0852181398094074E-2</v>
      </c>
      <c r="AD30" s="5">
        <f t="shared" si="8"/>
        <v>1.8166666666666667</v>
      </c>
      <c r="AE30" s="5">
        <f t="shared" si="9"/>
        <v>0.98914781860190593</v>
      </c>
      <c r="AF30" s="5">
        <f t="shared" si="10"/>
        <v>7.1837612327574898E-3</v>
      </c>
    </row>
    <row r="31" spans="1:37" ht="12.75">
      <c r="A31" s="57" t="s">
        <v>96</v>
      </c>
      <c r="C31" s="55" t="s">
        <v>97</v>
      </c>
      <c r="E31" s="56" t="s">
        <v>98</v>
      </c>
      <c r="F31" s="20"/>
      <c r="G31" s="20"/>
      <c r="U31" s="6" t="s">
        <v>7</v>
      </c>
      <c r="V31" s="5" t="s">
        <v>35</v>
      </c>
      <c r="W31" s="6" t="str">
        <f>_xll.BDP($B$3&amp;" Corp", V31)</f>
        <v>CSBC1U3</v>
      </c>
      <c r="X31" s="6">
        <f t="shared" si="11"/>
        <v>0</v>
      </c>
      <c r="Y31" s="6" t="str">
        <f>IF(X31=0, $W31, _xll.BDP($Y$25&amp;" Corp", V31))</f>
        <v>CSBC1U3</v>
      </c>
      <c r="Z31" s="8">
        <f>DATEVALUE(_xll.BDP(Y31&amp;" Corp", Z$26))</f>
        <v>44732</v>
      </c>
      <c r="AA31" s="11">
        <f>_xll.BDP(Y31&amp;" Corp", "CDS_FLAT_SPREAD")</f>
        <v>51.000000000000007</v>
      </c>
      <c r="AB31" s="5" t="s">
        <v>48</v>
      </c>
      <c r="AC31" s="5">
        <f>IF($AB$14,  _xll.BDP(Y31&amp;" Corp", AB31, "CDS_FLAT_SPREAD="&amp;$K$12, "CDS_RR="&amp;recovery), _xll.BDP(Y31&amp;" Corp", AB31, "CDS_6M="&amp;$K$3, "CDS_1Y="&amp;$K$4, "CDS_2Y="&amp;$K$5, "CDS_3Y="&amp;$K$6, "CDS_4Y="&amp;$K$7, "CDS_5Y="&amp;$K$8, "CDS_7Y="&amp;$K$9, "CDS_10Y="&amp;$K$10, "CDS_RR="&amp;recovery))</f>
        <v>2.377636074043421E-2</v>
      </c>
      <c r="AD31" s="5">
        <f t="shared" si="8"/>
        <v>2.8305555555555557</v>
      </c>
      <c r="AE31" s="5">
        <f t="shared" si="9"/>
        <v>0.97622363925956579</v>
      </c>
      <c r="AF31" s="5">
        <f t="shared" si="10"/>
        <v>1.2971918855650579E-2</v>
      </c>
    </row>
    <row r="32" spans="1:37">
      <c r="U32" s="6" t="s">
        <v>8</v>
      </c>
      <c r="V32" s="5" t="s">
        <v>36</v>
      </c>
      <c r="W32" s="6" t="str">
        <f>_xll.BDP($B$3&amp;" Corp", V32)</f>
        <v>CT388272</v>
      </c>
      <c r="X32" s="6">
        <f t="shared" si="11"/>
        <v>0</v>
      </c>
      <c r="Y32" s="6" t="str">
        <f>IF(X32=0, $W32, _xll.BDP($Y$25&amp;" Corp", V32))</f>
        <v>CT388272</v>
      </c>
      <c r="Z32" s="8">
        <f>DATEVALUE(_xll.BDP(Y32&amp;" Corp", Z$26))</f>
        <v>45097</v>
      </c>
      <c r="AA32" s="11">
        <f>_xll.BDP(Y32&amp;" Corp", "CDS_FLAT_SPREAD")</f>
        <v>69</v>
      </c>
      <c r="AB32" s="5" t="s">
        <v>49</v>
      </c>
      <c r="AC32" s="5">
        <f>IF($AB$14,  _xll.BDP(Y32&amp;" Corp", AB32, "CDS_FLAT_SPREAD="&amp;$K$12, "CDS_RR="&amp;recovery), _xll.BDP(Y32&amp;" Corp", AB32, "CDS_6M="&amp;$K$3, "CDS_1Y="&amp;$K$4, "CDS_2Y="&amp;$K$5, "CDS_3Y="&amp;$K$6, "CDS_4Y="&amp;$K$7, "CDS_5Y="&amp;$K$8, "CDS_7Y="&amp;$K$9, "CDS_10Y="&amp;$K$10, "CDS_RR="&amp;recovery))</f>
        <v>4.3236618234901769E-2</v>
      </c>
      <c r="AD32" s="5">
        <f t="shared" si="8"/>
        <v>3.8444444444444446</v>
      </c>
      <c r="AE32" s="5">
        <f t="shared" si="9"/>
        <v>0.95676338176509823</v>
      </c>
      <c r="AF32" s="5">
        <f t="shared" si="10"/>
        <v>1.9859757882472927E-2</v>
      </c>
    </row>
    <row r="33" spans="21:51">
      <c r="U33" s="6" t="s">
        <v>9</v>
      </c>
      <c r="V33" s="5" t="s">
        <v>37</v>
      </c>
      <c r="W33" s="6" t="str">
        <f>_xll.BDP($B$3&amp;" Corp", V33)</f>
        <v>CSBC1U5</v>
      </c>
      <c r="X33" s="6">
        <f t="shared" si="11"/>
        <v>0</v>
      </c>
      <c r="Y33" s="6" t="str">
        <f>IF(X33=0, $W33, _xll.BDP($Y$25&amp;" Corp", V33))</f>
        <v>CSBC1U5</v>
      </c>
      <c r="Z33" s="8">
        <f>DATEVALUE(_xll.BDP(Y33&amp;" Corp", Z$26))</f>
        <v>45463</v>
      </c>
      <c r="AA33" s="11">
        <f>_xll.BDP(Y33&amp;" Corp", "CDS_FLAT_SPREAD")</f>
        <v>87</v>
      </c>
      <c r="AB33" s="5" t="s">
        <v>50</v>
      </c>
      <c r="AC33" s="5">
        <f>IF($AB$14,  _xll.BDP(Y33&amp;" Corp", AB33, "CDS_FLAT_SPREAD="&amp;$K$12, "CDS_RR="&amp;recovery), _xll.BDP(Y33&amp;" Corp", AB33, "CDS_6M="&amp;$K$3, "CDS_1Y="&amp;$K$4, "CDS_2Y="&amp;$K$5, "CDS_3Y="&amp;$K$6, "CDS_4Y="&amp;$K$7, "CDS_5Y="&amp;$K$8, "CDS_7Y="&amp;$K$9, "CDS_10Y="&amp;$K$10, "CDS_RR="&amp;recovery))</f>
        <v>6.8024159565405529E-2</v>
      </c>
      <c r="AD33" s="5">
        <f t="shared" si="8"/>
        <v>4.8611111111111107</v>
      </c>
      <c r="AE33" s="5">
        <f t="shared" si="9"/>
        <v>0.93197584043459447</v>
      </c>
      <c r="AF33" s="5">
        <f t="shared" si="10"/>
        <v>2.5818903765530383E-2</v>
      </c>
    </row>
    <row r="34" spans="21:51">
      <c r="U34" s="6" t="s">
        <v>10</v>
      </c>
      <c r="V34" s="5" t="s">
        <v>38</v>
      </c>
      <c r="W34" s="6" t="str">
        <f>_xll.BDP($B$3&amp;" Corp", V34)</f>
        <v>CT353836</v>
      </c>
      <c r="X34" s="6">
        <f t="shared" si="11"/>
        <v>0</v>
      </c>
      <c r="Y34" s="6" t="str">
        <f>IF(X34=0, $W34, _xll.BDP($Y$25&amp;" Corp", V34))</f>
        <v>CT353836</v>
      </c>
      <c r="Z34" s="8">
        <f>DATEVALUE(_xll.BDP(Y34&amp;" Corp", Z$26))</f>
        <v>46193</v>
      </c>
      <c r="AA34" s="11">
        <f>_xll.BDP(Y34&amp;" Corp", "CDS_FLAT_SPREAD")</f>
        <v>132</v>
      </c>
      <c r="AB34" s="5" t="s">
        <v>51</v>
      </c>
      <c r="AC34" s="5">
        <f>IF($AB$14,  _xll.BDP(Y34&amp;" Corp", AB34, "CDS_FLAT_SPREAD="&amp;$K$12, "CDS_RR="&amp;recovery), _xll.BDP(Y34&amp;" Corp", AB34, "CDS_6M="&amp;$K$3, "CDS_1Y="&amp;$K$4, "CDS_2Y="&amp;$K$5, "CDS_3Y="&amp;$K$6, "CDS_4Y="&amp;$K$7, "CDS_5Y="&amp;$K$8, "CDS_7Y="&amp;$K$9, "CDS_10Y="&amp;$K$10, "CDS_RR="&amp;recovery))</f>
        <v>0.14051690087578927</v>
      </c>
      <c r="AD34" s="5">
        <f t="shared" si="8"/>
        <v>6.8888888888888893</v>
      </c>
      <c r="AE34" s="5">
        <f t="shared" si="9"/>
        <v>0.85948309912421073</v>
      </c>
      <c r="AF34" s="5">
        <f t="shared" si="10"/>
        <v>3.9933237231634285E-2</v>
      </c>
    </row>
    <row r="35" spans="21:51">
      <c r="U35" s="6" t="s">
        <v>11</v>
      </c>
      <c r="V35" s="5" t="s">
        <v>39</v>
      </c>
      <c r="W35" s="6" t="str">
        <f>_xll.BDP($B$3&amp;" Corp", V35)</f>
        <v>CSBC1U10</v>
      </c>
      <c r="X35" s="6">
        <f t="shared" si="11"/>
        <v>0</v>
      </c>
      <c r="Y35" s="6" t="str">
        <f>IF(X35=0, $W35, _xll.BDP($Y$25&amp;" Corp", V35))</f>
        <v>CSBC1U10</v>
      </c>
      <c r="Z35" s="8">
        <f>DATEVALUE(_xll.BDP(Y35&amp;" Corp", Z$26))</f>
        <v>47289</v>
      </c>
      <c r="AA35" s="11">
        <f>_xll.BDP(Y35&amp;" Corp", "CDS_FLAT_SPREAD")</f>
        <v>152.58000000000001</v>
      </c>
      <c r="AB35" s="5" t="s">
        <v>52</v>
      </c>
      <c r="AC35" s="5">
        <f>IF($AB$14,  _xll.BDP(Y35&amp;" Corp", AB35, "CDS_FLAT_SPREAD="&amp;$K$12, "CDS_RR="&amp;recovery), _xll.BDP(Y35&amp;" Corp", AB35, "CDS_6M="&amp;$K$3, "CDS_1Y="&amp;$K$4, "CDS_2Y="&amp;$K$5, "CDS_3Y="&amp;$K$6, "CDS_4Y="&amp;$K$7, "CDS_5Y="&amp;$K$8, "CDS_7Y="&amp;$K$9, "CDS_10Y="&amp;$K$10, "CDS_RR="&amp;recovery))</f>
        <v>0.22299639685779027</v>
      </c>
      <c r="AD35" s="5">
        <f t="shared" si="8"/>
        <v>9.9333333333333336</v>
      </c>
      <c r="AE35" s="5">
        <f t="shared" si="9"/>
        <v>0.77700360314220973</v>
      </c>
      <c r="AF35" s="5">
        <f t="shared" si="10"/>
        <v>3.3137794185941226E-2</v>
      </c>
    </row>
    <row r="37" spans="21:51">
      <c r="AA37" s="13"/>
    </row>
    <row r="38" spans="21:51">
      <c r="Y38" s="13"/>
      <c r="AA38" s="13"/>
    </row>
    <row r="39" spans="21:51">
      <c r="U39" s="5" t="s">
        <v>59</v>
      </c>
      <c r="AC39" s="60"/>
      <c r="AL39" s="5" t="s">
        <v>126</v>
      </c>
      <c r="AS39" s="13" t="s">
        <v>63</v>
      </c>
    </row>
    <row r="40" spans="21:51">
      <c r="U40" s="5" t="s">
        <v>60</v>
      </c>
      <c r="V40" s="5" t="s">
        <v>22</v>
      </c>
      <c r="W40" s="5" t="s">
        <v>61</v>
      </c>
      <c r="Y40" s="5" t="s">
        <v>60</v>
      </c>
      <c r="Z40" s="5" t="s">
        <v>62</v>
      </c>
      <c r="AB40" s="5" t="s">
        <v>64</v>
      </c>
      <c r="AC40" s="5" t="s">
        <v>62</v>
      </c>
      <c r="AD40" s="13" t="s">
        <v>63</v>
      </c>
      <c r="AE40" s="5" t="s">
        <v>0</v>
      </c>
      <c r="AF40" s="5" t="s">
        <v>65</v>
      </c>
      <c r="AG40" s="5" t="s">
        <v>66</v>
      </c>
      <c r="AH40" s="5" t="s">
        <v>67</v>
      </c>
      <c r="AI40" s="5" t="s">
        <v>61</v>
      </c>
      <c r="AJ40" s="5" t="s">
        <v>125</v>
      </c>
      <c r="AL40" s="5" t="s">
        <v>127</v>
      </c>
      <c r="AM40" s="5" t="s">
        <v>128</v>
      </c>
      <c r="AN40" s="5" t="s">
        <v>129</v>
      </c>
      <c r="AO40" s="5" t="s">
        <v>130</v>
      </c>
      <c r="AP40" s="5" t="s">
        <v>131</v>
      </c>
      <c r="AQ40" s="5" t="s">
        <v>62</v>
      </c>
      <c r="AS40" s="5" t="s">
        <v>60</v>
      </c>
      <c r="AT40" s="5" t="s">
        <v>127</v>
      </c>
      <c r="AU40" s="5" t="s">
        <v>128</v>
      </c>
      <c r="AV40" s="5" t="s">
        <v>129</v>
      </c>
      <c r="AW40" s="5" t="s">
        <v>130</v>
      </c>
      <c r="AX40" s="5" t="s">
        <v>131</v>
      </c>
      <c r="AY40" s="13" t="s">
        <v>63</v>
      </c>
    </row>
    <row r="41" spans="21:51">
      <c r="U41" s="8">
        <f>AB10</f>
        <v>43713</v>
      </c>
      <c r="AC41" s="13"/>
      <c r="AD41" s="13"/>
      <c r="AF41" s="5">
        <v>1</v>
      </c>
    </row>
    <row r="42" spans="21:51">
      <c r="U42" s="61">
        <f>_xll.BDS(B3&amp;" Corp",U39,"cols=3;rows=19")</f>
        <v>43891</v>
      </c>
      <c r="V42" s="5">
        <v>21750</v>
      </c>
      <c r="W42" s="60">
        <v>0</v>
      </c>
      <c r="Y42" s="61">
        <f>_xll.BDS("usd CMPN Curncy","SW_CRV_DISCOUNT_FACTORS","SW_CRV_ZR_DF_END_DT="&amp;TEXT(AB7,"yyyymmdd"),,"cols=2;rows=39")</f>
        <v>43713</v>
      </c>
      <c r="Z42" s="5">
        <v>1</v>
      </c>
      <c r="AB42" s="5" t="b">
        <f t="shared" ref="AB42" si="12">LEN(U42)&gt;2</f>
        <v>1</v>
      </c>
      <c r="AC42" s="60">
        <f ca="1">IF(ISNUMBER(AQ42), AQ42, 0)</f>
        <v>0.99013511747252769</v>
      </c>
      <c r="AD42" s="5">
        <f ca="1">IF(ISNUMBER(AY42), AY42, 0)</f>
        <v>0.99476734252747256</v>
      </c>
      <c r="AE42" s="5">
        <f t="shared" ref="AE42" si="13">IF($AB42, (U42-$AD$25)/360, 0)</f>
        <v>0.49444444444444446</v>
      </c>
      <c r="AF42" s="5">
        <f t="shared" ref="AF42" si="14">IF($AB42, survivalProb($AD$27:$AD$35, $AF$27:$AF$35, AE42), 0)</f>
        <v>0.9979722762635872</v>
      </c>
      <c r="AG42" s="5">
        <f t="shared" ref="AG42" ca="1" si="15">IF($AB42, IF(AD42&lt;0, 0, (AF41-AF42)*100*recovery_bond*AD42), 0)</f>
        <v>8.0684534106049574E-2</v>
      </c>
      <c r="AH42" s="5">
        <f ca="1">IF($AB42, IF(AC42&lt;0, 0, AF42*AC42*SUM(V42:W42)/10000), 0)</f>
        <v>2.1491770884588459</v>
      </c>
      <c r="AI42" s="5">
        <f t="shared" ref="AI42" si="16">IF(AND($AB42, NOT($AB43)), AF42*AC42*W42/10000, 0)</f>
        <v>0</v>
      </c>
      <c r="AJ42" s="5">
        <f t="shared" ref="AJ42" ca="1" si="17">IF(AB42,(AF41-AF42)*(1-recovery)*AD42*100, 0)</f>
        <v>0.12102680115907434</v>
      </c>
      <c r="AL42" s="5">
        <f>IF($AB42, MATCH($U42, $Y$42:$Y$294, TRUE), 0)</f>
        <v>2</v>
      </c>
      <c r="AM42" s="8">
        <f ca="1">IF($AB42, OFFSET($Y$41, $AL42, 0), 0)</f>
        <v>43801</v>
      </c>
      <c r="AN42" s="8">
        <f ca="1">IF($AB42, OFFSET($Y$41, $AL42+1, 0), 0)</f>
        <v>43892</v>
      </c>
      <c r="AO42" s="5">
        <f ca="1">IF($AB42, OFFSET($Z$41, $AL42, 0), 0)</f>
        <v>0.99481938999999997</v>
      </c>
      <c r="AP42" s="5">
        <f ca="1">IF($AB42, OFFSET($Z$41, $AL42+1, 0), 0)</f>
        <v>0.99008306999999995</v>
      </c>
      <c r="AQ42" s="5">
        <f ca="1">IF($AB42, TREND(AO42:AP42, AM42:AN42, $U42), 0)</f>
        <v>0.99013511747252769</v>
      </c>
      <c r="AR42" s="60"/>
      <c r="AS42" s="8">
        <f>IF($AB42, AVERAGE($U41:$U42), 0)</f>
        <v>43802</v>
      </c>
      <c r="AT42" s="5">
        <f>IF($AB42, MATCH($AS42, $Y$42:$Y$294, TRUE), 0)</f>
        <v>2</v>
      </c>
      <c r="AU42" s="8">
        <f ca="1">IF($AB42, OFFSET($Y$41, $AT42, 0), 0)</f>
        <v>43801</v>
      </c>
      <c r="AV42" s="8">
        <f ca="1">IF($AB42, OFFSET($Y$41, $AT42+1, 0), 0)</f>
        <v>43892</v>
      </c>
      <c r="AW42" s="5">
        <f ca="1">IF($AB42, OFFSET($Z$41, $AT42, 0), 0)</f>
        <v>0.99481938999999997</v>
      </c>
      <c r="AX42" s="5">
        <f ca="1">IF($AB42, OFFSET($Z$41, $AT42+1, 0), 0)</f>
        <v>0.99008306999999995</v>
      </c>
      <c r="AY42" s="5">
        <f ca="1">IF($AB42, TREND(AW42:AX42, AU42:AV42, AS42), 0)</f>
        <v>0.99476734252747256</v>
      </c>
    </row>
    <row r="43" spans="21:51">
      <c r="U43" s="13">
        <v>44075</v>
      </c>
      <c r="V43" s="5">
        <v>21750</v>
      </c>
      <c r="W43" s="5">
        <v>0</v>
      </c>
      <c r="Y43" s="13">
        <v>43801</v>
      </c>
      <c r="Z43" s="5">
        <v>0.99481938999999997</v>
      </c>
      <c r="AB43" s="5" t="b">
        <f t="shared" ref="AB43:AB106" si="18">LEN(U43)&gt;2</f>
        <v>1</v>
      </c>
      <c r="AC43" s="60">
        <f t="shared" ref="AC43:AC106" ca="1" si="19">IF(ISNUMBER(AQ43), AQ43, 0)</f>
        <v>0.98083993000000014</v>
      </c>
      <c r="AD43" s="5">
        <f t="shared" ref="AD43:AD106" ca="1" si="20">IF(ISNUMBER(AY43), AY43, 0)</f>
        <v>0.98530934000000014</v>
      </c>
      <c r="AE43" s="5">
        <f t="shared" ref="AE43:AE106" si="21">IF($AB43, (U43-$AD$25)/360, 0)</f>
        <v>1.0055555555555555</v>
      </c>
      <c r="AF43" s="5">
        <f t="shared" ref="AF43:AF106" si="22">IF($AB43, survivalProb($AD$27:$AD$35, $AF$27:$AF$35, AE43), 0)</f>
        <v>0.99492823775791561</v>
      </c>
      <c r="AG43" s="5">
        <f t="shared" ref="AG43:AG106" ca="1" si="23">IF($AB43, IF(AD43&lt;0, 0, (AF42-AF43)*100*recovery_bond*AD43), 0)</f>
        <v>0.11997278283831432</v>
      </c>
      <c r="AH43" s="5">
        <f t="shared" ref="AH43:AH106" ca="1" si="24">IF($AB43, IF(AC43&lt;0, 0, AF43*AC43*SUM(V43:W43)/10000), 0)</f>
        <v>2.1225071211935567</v>
      </c>
      <c r="AI43" s="5">
        <f t="shared" ref="AI43:AI106" si="25">IF(AND($AB43, NOT($AB44)), AF43*AC43*W43/10000, 0)</f>
        <v>0</v>
      </c>
      <c r="AJ43" s="5">
        <f t="shared" ref="AJ43:AJ106" ca="1" si="26">IF(AB43,(AF42-AF43)*(1-recovery)*AD43*100, 0)</f>
        <v>0.17995917425747146</v>
      </c>
      <c r="AL43" s="5">
        <f t="shared" ref="AL43:AL106" si="27">IF($AB43, MATCH($U43, $Y$42:$Y$294, TRUE), 0)</f>
        <v>5</v>
      </c>
      <c r="AM43" s="8">
        <f t="shared" ref="AM43:AM106" ca="1" si="28">IF($AB43, OFFSET($Y$41, $AL43, 0), 0)</f>
        <v>44075</v>
      </c>
      <c r="AN43" s="8">
        <f t="shared" ref="AN43:AN106" ca="1" si="29">IF($AB43, OFFSET($Y$41, $AL43+1, 0), 0)</f>
        <v>44166</v>
      </c>
      <c r="AO43" s="5">
        <f t="shared" ref="AO43:AO106" ca="1" si="30">IF($AB43, OFFSET($Z$41, $AL43, 0), 0)</f>
        <v>0.98083993000000003</v>
      </c>
      <c r="AP43" s="5">
        <f t="shared" ref="AP43:AP106" ca="1" si="31">IF($AB43, OFFSET($Z$41, $AL43+1, 0), 0)</f>
        <v>0.97743338999999996</v>
      </c>
      <c r="AQ43" s="5">
        <f t="shared" ref="AQ43:AQ106" ca="1" si="32">IF($AB43, TREND(AO43:AP43, AM43:AN43, $U43), 0)</f>
        <v>0.98083993000000014</v>
      </c>
      <c r="AR43" s="60"/>
      <c r="AS43" s="8">
        <f t="shared" ref="AS43:AS106" si="33">IF($AB43, AVERAGE($U42:$U43), 0)</f>
        <v>43983</v>
      </c>
      <c r="AT43" s="5">
        <f t="shared" ref="AT43:AT106" si="34">IF($AB43, MATCH($AS43, $Y$42:$Y$294, TRUE), 0)</f>
        <v>4</v>
      </c>
      <c r="AU43" s="8">
        <f t="shared" ref="AU43:AU106" ca="1" si="35">IF($AB43, OFFSET($Y$41, $AT43, 0), 0)</f>
        <v>43983</v>
      </c>
      <c r="AV43" s="8">
        <f t="shared" ref="AV43:AV106" ca="1" si="36">IF($AB43, OFFSET($Y$41, $AT43+1, 0), 0)</f>
        <v>44075</v>
      </c>
      <c r="AW43" s="5">
        <f t="shared" ref="AW43:AW106" ca="1" si="37">IF($AB43, OFFSET($Z$41, $AT43, 0), 0)</f>
        <v>0.98530934000000003</v>
      </c>
      <c r="AX43" s="5">
        <f t="shared" ref="AX43:AX106" ca="1" si="38">IF($AB43, OFFSET($Z$41, $AT43+1, 0), 0)</f>
        <v>0.98083993000000003</v>
      </c>
      <c r="AY43" s="5">
        <f t="shared" ref="AY43:AY106" ca="1" si="39">IF($AB43, TREND(AW43:AX43, AU43:AV43, AS43), 0)</f>
        <v>0.98530934000000014</v>
      </c>
    </row>
    <row r="44" spans="21:51">
      <c r="U44" s="13">
        <v>44256</v>
      </c>
      <c r="V44" s="5">
        <v>21750</v>
      </c>
      <c r="W44" s="5">
        <v>0</v>
      </c>
      <c r="Y44" s="13">
        <v>43892</v>
      </c>
      <c r="Z44" s="5">
        <v>0.99008306999999995</v>
      </c>
      <c r="AB44" s="5" t="b">
        <f t="shared" si="18"/>
        <v>1</v>
      </c>
      <c r="AC44" s="60">
        <f t="shared" ca="1" si="19"/>
        <v>0.97489773999999962</v>
      </c>
      <c r="AD44" s="5">
        <f t="shared" ca="1" si="20"/>
        <v>0.97745210725274734</v>
      </c>
      <c r="AE44" s="5">
        <f t="shared" si="21"/>
        <v>1.5083333333333333</v>
      </c>
      <c r="AF44" s="5">
        <f t="shared" si="22"/>
        <v>0.99134120241051249</v>
      </c>
      <c r="AG44" s="5">
        <f t="shared" ca="1" si="23"/>
        <v>0.1402462103643709</v>
      </c>
      <c r="AH44" s="5">
        <f t="shared" ca="1" si="24"/>
        <v>2.1020424477125874</v>
      </c>
      <c r="AI44" s="5">
        <f t="shared" si="25"/>
        <v>0</v>
      </c>
      <c r="AJ44" s="5">
        <f t="shared" ca="1" si="26"/>
        <v>0.21036931554655633</v>
      </c>
      <c r="AL44" s="5">
        <f t="shared" si="27"/>
        <v>7</v>
      </c>
      <c r="AM44" s="8">
        <f t="shared" ca="1" si="28"/>
        <v>44256</v>
      </c>
      <c r="AN44" s="8">
        <f t="shared" ca="1" si="29"/>
        <v>44348</v>
      </c>
      <c r="AO44" s="5">
        <f t="shared" ca="1" si="30"/>
        <v>0.97489773999999996</v>
      </c>
      <c r="AP44" s="5">
        <f t="shared" ca="1" si="31"/>
        <v>0.97274236999999997</v>
      </c>
      <c r="AQ44" s="5">
        <f t="shared" ca="1" si="32"/>
        <v>0.97489773999999962</v>
      </c>
      <c r="AR44" s="60"/>
      <c r="AS44" s="8">
        <f t="shared" si="33"/>
        <v>44165.5</v>
      </c>
      <c r="AT44" s="5">
        <f t="shared" si="34"/>
        <v>5</v>
      </c>
      <c r="AU44" s="8">
        <f t="shared" ca="1" si="35"/>
        <v>44075</v>
      </c>
      <c r="AV44" s="8">
        <f t="shared" ca="1" si="36"/>
        <v>44166</v>
      </c>
      <c r="AW44" s="5">
        <f t="shared" ca="1" si="37"/>
        <v>0.98083993000000003</v>
      </c>
      <c r="AX44" s="5">
        <f t="shared" ca="1" si="38"/>
        <v>0.97743338999999996</v>
      </c>
      <c r="AY44" s="5">
        <f t="shared" ca="1" si="39"/>
        <v>0.97745210725274734</v>
      </c>
    </row>
    <row r="45" spans="21:51">
      <c r="U45" s="13">
        <v>44440</v>
      </c>
      <c r="V45" s="5">
        <v>21750</v>
      </c>
      <c r="W45" s="5">
        <v>0</v>
      </c>
      <c r="Y45" s="13">
        <v>43983</v>
      </c>
      <c r="Z45" s="5">
        <v>0.98530934000000003</v>
      </c>
      <c r="AB45" s="5" t="b">
        <f t="shared" si="18"/>
        <v>1</v>
      </c>
      <c r="AC45" s="60">
        <f t="shared" ca="1" si="19"/>
        <v>0.97060688000000006</v>
      </c>
      <c r="AD45" s="5">
        <f t="shared" ca="1" si="20"/>
        <v>0.97274236999999975</v>
      </c>
      <c r="AE45" s="5">
        <f t="shared" si="21"/>
        <v>2.0194444444444444</v>
      </c>
      <c r="AF45" s="5">
        <f t="shared" si="22"/>
        <v>0.98654936648836133</v>
      </c>
      <c r="AG45" s="5">
        <f t="shared" ca="1" si="23"/>
        <v>0.18644887326257797</v>
      </c>
      <c r="AH45" s="5">
        <f t="shared" ca="1" si="24"/>
        <v>2.0826747355968078</v>
      </c>
      <c r="AI45" s="5">
        <f t="shared" si="25"/>
        <v>0</v>
      </c>
      <c r="AJ45" s="5">
        <f t="shared" ca="1" si="26"/>
        <v>0.27967330989386696</v>
      </c>
      <c r="AL45" s="5">
        <f t="shared" si="27"/>
        <v>9</v>
      </c>
      <c r="AM45" s="8">
        <f t="shared" ca="1" si="28"/>
        <v>44440</v>
      </c>
      <c r="AN45" s="8">
        <f t="shared" ca="1" si="29"/>
        <v>44531</v>
      </c>
      <c r="AO45" s="5">
        <f t="shared" ca="1" si="30"/>
        <v>0.97060687999999995</v>
      </c>
      <c r="AP45" s="5">
        <f t="shared" ca="1" si="31"/>
        <v>0.96817449</v>
      </c>
      <c r="AQ45" s="5">
        <f t="shared" ca="1" si="32"/>
        <v>0.97060688000000006</v>
      </c>
      <c r="AR45" s="60"/>
      <c r="AS45" s="8">
        <f t="shared" si="33"/>
        <v>44348</v>
      </c>
      <c r="AT45" s="5">
        <f t="shared" si="34"/>
        <v>8</v>
      </c>
      <c r="AU45" s="8">
        <f t="shared" ca="1" si="35"/>
        <v>44348</v>
      </c>
      <c r="AV45" s="8">
        <f t="shared" ca="1" si="36"/>
        <v>44440</v>
      </c>
      <c r="AW45" s="5">
        <f t="shared" ca="1" si="37"/>
        <v>0.97274236999999997</v>
      </c>
      <c r="AX45" s="5">
        <f t="shared" ca="1" si="38"/>
        <v>0.97060687999999995</v>
      </c>
      <c r="AY45" s="5">
        <f t="shared" ca="1" si="39"/>
        <v>0.97274236999999975</v>
      </c>
    </row>
    <row r="46" spans="21:51">
      <c r="U46" s="13">
        <v>44621</v>
      </c>
      <c r="V46" s="5">
        <v>21750</v>
      </c>
      <c r="W46" s="5">
        <v>0</v>
      </c>
      <c r="Y46" s="13">
        <v>44075</v>
      </c>
      <c r="Z46" s="5">
        <v>0.98083993000000003</v>
      </c>
      <c r="AB46" s="5" t="b">
        <f t="shared" si="18"/>
        <v>1</v>
      </c>
      <c r="AC46" s="60">
        <f t="shared" ca="1" si="19"/>
        <v>0.96547664000000011</v>
      </c>
      <c r="AD46" s="5">
        <f t="shared" ca="1" si="20"/>
        <v>0.96818785478021985</v>
      </c>
      <c r="AE46" s="5">
        <f t="shared" si="21"/>
        <v>2.5222222222222221</v>
      </c>
      <c r="AF46" s="5">
        <f t="shared" si="22"/>
        <v>0.98013603546580808</v>
      </c>
      <c r="AG46" s="5">
        <f t="shared" ca="1" si="23"/>
        <v>0.24837236818885094</v>
      </c>
      <c r="AH46" s="5">
        <f t="shared" ca="1" si="24"/>
        <v>2.0581991206251771</v>
      </c>
      <c r="AI46" s="5">
        <f t="shared" si="25"/>
        <v>0</v>
      </c>
      <c r="AJ46" s="5">
        <f t="shared" ca="1" si="26"/>
        <v>0.37255855228327639</v>
      </c>
      <c r="AL46" s="5">
        <f t="shared" si="27"/>
        <v>11</v>
      </c>
      <c r="AM46" s="8">
        <f t="shared" ca="1" si="28"/>
        <v>44621</v>
      </c>
      <c r="AN46" s="8">
        <f t="shared" ca="1" si="29"/>
        <v>44713</v>
      </c>
      <c r="AO46" s="5">
        <f t="shared" ca="1" si="30"/>
        <v>0.96547664</v>
      </c>
      <c r="AP46" s="5">
        <f t="shared" ca="1" si="31"/>
        <v>0.96255020999999996</v>
      </c>
      <c r="AQ46" s="5">
        <f t="shared" ca="1" si="32"/>
        <v>0.96547664000000011</v>
      </c>
      <c r="AR46" s="60"/>
      <c r="AS46" s="8">
        <f t="shared" si="33"/>
        <v>44530.5</v>
      </c>
      <c r="AT46" s="5">
        <f t="shared" si="34"/>
        <v>9</v>
      </c>
      <c r="AU46" s="8">
        <f t="shared" ca="1" si="35"/>
        <v>44440</v>
      </c>
      <c r="AV46" s="8">
        <f t="shared" ca="1" si="36"/>
        <v>44531</v>
      </c>
      <c r="AW46" s="5">
        <f t="shared" ca="1" si="37"/>
        <v>0.97060687999999995</v>
      </c>
      <c r="AX46" s="5">
        <f t="shared" ca="1" si="38"/>
        <v>0.96817449</v>
      </c>
      <c r="AY46" s="5">
        <f t="shared" ca="1" si="39"/>
        <v>0.96818785478021985</v>
      </c>
    </row>
    <row r="47" spans="21:51">
      <c r="U47" s="13">
        <v>44805</v>
      </c>
      <c r="V47" s="5">
        <v>21750</v>
      </c>
      <c r="W47" s="5">
        <v>0</v>
      </c>
      <c r="Y47" s="13">
        <v>44166</v>
      </c>
      <c r="Z47" s="5">
        <v>0.97743338999999996</v>
      </c>
      <c r="AB47" s="5" t="b">
        <f t="shared" si="18"/>
        <v>1</v>
      </c>
      <c r="AC47" s="60">
        <f t="shared" ca="1" si="19"/>
        <v>0.95958555000000012</v>
      </c>
      <c r="AD47" s="5">
        <f t="shared" ca="1" si="20"/>
        <v>0.96255021000000007</v>
      </c>
      <c r="AE47" s="5">
        <f t="shared" si="21"/>
        <v>3.0333333333333332</v>
      </c>
      <c r="AF47" s="5">
        <f t="shared" si="22"/>
        <v>0.97230017731277951</v>
      </c>
      <c r="AG47" s="5">
        <f t="shared" ca="1" si="23"/>
        <v>0.30169627642911423</v>
      </c>
      <c r="AH47" s="5">
        <f t="shared" ca="1" si="24"/>
        <v>2.0292863108956238</v>
      </c>
      <c r="AI47" s="5">
        <f t="shared" si="25"/>
        <v>0</v>
      </c>
      <c r="AJ47" s="5">
        <f t="shared" ca="1" si="26"/>
        <v>0.45254441464367134</v>
      </c>
      <c r="AL47" s="5">
        <f t="shared" si="27"/>
        <v>13</v>
      </c>
      <c r="AM47" s="8">
        <f t="shared" ca="1" si="28"/>
        <v>44805</v>
      </c>
      <c r="AN47" s="8">
        <f t="shared" ca="1" si="29"/>
        <v>44896</v>
      </c>
      <c r="AO47" s="5">
        <f t="shared" ca="1" si="30"/>
        <v>0.95958555000000001</v>
      </c>
      <c r="AP47" s="5">
        <f t="shared" ca="1" si="31"/>
        <v>0.95672239999999997</v>
      </c>
      <c r="AQ47" s="5">
        <f t="shared" ca="1" si="32"/>
        <v>0.95958555000000012</v>
      </c>
      <c r="AR47" s="60"/>
      <c r="AS47" s="8">
        <f t="shared" si="33"/>
        <v>44713</v>
      </c>
      <c r="AT47" s="5">
        <f t="shared" si="34"/>
        <v>12</v>
      </c>
      <c r="AU47" s="8">
        <f t="shared" ca="1" si="35"/>
        <v>44713</v>
      </c>
      <c r="AV47" s="8">
        <f t="shared" ca="1" si="36"/>
        <v>44805</v>
      </c>
      <c r="AW47" s="5">
        <f t="shared" ca="1" si="37"/>
        <v>0.96255020999999996</v>
      </c>
      <c r="AX47" s="5">
        <f t="shared" ca="1" si="38"/>
        <v>0.95958555000000001</v>
      </c>
      <c r="AY47" s="5">
        <f t="shared" ca="1" si="39"/>
        <v>0.96255021000000007</v>
      </c>
    </row>
    <row r="48" spans="21:51">
      <c r="U48" s="13">
        <v>44986</v>
      </c>
      <c r="V48" s="5">
        <v>21750</v>
      </c>
      <c r="W48" s="5">
        <v>0</v>
      </c>
      <c r="Y48" s="13">
        <v>44256</v>
      </c>
      <c r="Z48" s="5">
        <v>0.97489773999999996</v>
      </c>
      <c r="AB48" s="5" t="b">
        <f t="shared" si="18"/>
        <v>1</v>
      </c>
      <c r="AC48" s="60">
        <f t="shared" ca="1" si="19"/>
        <v>0.95395883999999986</v>
      </c>
      <c r="AD48" s="5">
        <f t="shared" ca="1" si="20"/>
        <v>0.9567381315934067</v>
      </c>
      <c r="AE48" s="5">
        <f t="shared" si="21"/>
        <v>3.536111111111111</v>
      </c>
      <c r="AF48" s="5">
        <f t="shared" si="22"/>
        <v>0.96264002513896163</v>
      </c>
      <c r="AG48" s="5">
        <f t="shared" ca="1" si="23"/>
        <v>0.36968943766746026</v>
      </c>
      <c r="AH48" s="5">
        <f t="shared" ca="1" si="24"/>
        <v>1.9973437417391176</v>
      </c>
      <c r="AI48" s="5">
        <f t="shared" si="25"/>
        <v>0</v>
      </c>
      <c r="AJ48" s="5">
        <f t="shared" ca="1" si="26"/>
        <v>0.55453415650119031</v>
      </c>
      <c r="AL48" s="5">
        <f t="shared" si="27"/>
        <v>15</v>
      </c>
      <c r="AM48" s="8">
        <f t="shared" ca="1" si="28"/>
        <v>44986</v>
      </c>
      <c r="AN48" s="8">
        <f t="shared" ca="1" si="29"/>
        <v>45078</v>
      </c>
      <c r="AO48" s="5">
        <f t="shared" ca="1" si="30"/>
        <v>0.95395883999999997</v>
      </c>
      <c r="AP48" s="5">
        <f t="shared" ca="1" si="31"/>
        <v>0.95117288</v>
      </c>
      <c r="AQ48" s="5">
        <f t="shared" ca="1" si="32"/>
        <v>0.95395883999999986</v>
      </c>
      <c r="AR48" s="60"/>
      <c r="AS48" s="8">
        <f t="shared" si="33"/>
        <v>44895.5</v>
      </c>
      <c r="AT48" s="5">
        <f t="shared" si="34"/>
        <v>13</v>
      </c>
      <c r="AU48" s="8">
        <f t="shared" ca="1" si="35"/>
        <v>44805</v>
      </c>
      <c r="AV48" s="8">
        <f t="shared" ca="1" si="36"/>
        <v>44896</v>
      </c>
      <c r="AW48" s="5">
        <f t="shared" ca="1" si="37"/>
        <v>0.95958555000000001</v>
      </c>
      <c r="AX48" s="5">
        <f t="shared" ca="1" si="38"/>
        <v>0.95672239999999997</v>
      </c>
      <c r="AY48" s="5">
        <f t="shared" ca="1" si="39"/>
        <v>0.9567381315934067</v>
      </c>
    </row>
    <row r="49" spans="21:51">
      <c r="U49" s="13">
        <v>45170</v>
      </c>
      <c r="V49" s="5">
        <v>21750</v>
      </c>
      <c r="W49" s="5">
        <v>0</v>
      </c>
      <c r="Y49" s="13">
        <v>44348</v>
      </c>
      <c r="Z49" s="5">
        <v>0.97274236999999997</v>
      </c>
      <c r="AB49" s="5" t="b">
        <f t="shared" si="18"/>
        <v>1</v>
      </c>
      <c r="AC49" s="60">
        <f t="shared" ca="1" si="19"/>
        <v>0.94839527999999995</v>
      </c>
      <c r="AD49" s="5">
        <f t="shared" ca="1" si="20"/>
        <v>0.95117287999999989</v>
      </c>
      <c r="AE49" s="5">
        <f t="shared" si="21"/>
        <v>4.0472222222222225</v>
      </c>
      <c r="AF49" s="5">
        <f t="shared" si="22"/>
        <v>0.95176733695473126</v>
      </c>
      <c r="AG49" s="5">
        <f t="shared" ca="1" si="23"/>
        <v>0.41367224534145491</v>
      </c>
      <c r="AH49" s="5">
        <f t="shared" ca="1" si="24"/>
        <v>1.9632673388066297</v>
      </c>
      <c r="AI49" s="5">
        <f t="shared" si="25"/>
        <v>0</v>
      </c>
      <c r="AJ49" s="5">
        <f t="shared" ca="1" si="26"/>
        <v>0.62050836801218234</v>
      </c>
      <c r="AL49" s="5">
        <f t="shared" si="27"/>
        <v>17</v>
      </c>
      <c r="AM49" s="8">
        <f t="shared" ca="1" si="28"/>
        <v>45170</v>
      </c>
      <c r="AN49" s="8">
        <f t="shared" ca="1" si="29"/>
        <v>45261</v>
      </c>
      <c r="AO49" s="5">
        <f t="shared" ca="1" si="30"/>
        <v>0.94839527999999995</v>
      </c>
      <c r="AP49" s="5">
        <f t="shared" ca="1" si="31"/>
        <v>0.94562877000000001</v>
      </c>
      <c r="AQ49" s="5">
        <f t="shared" ca="1" si="32"/>
        <v>0.94839527999999995</v>
      </c>
      <c r="AR49" s="60"/>
      <c r="AS49" s="8">
        <f t="shared" si="33"/>
        <v>45078</v>
      </c>
      <c r="AT49" s="5">
        <f t="shared" si="34"/>
        <v>16</v>
      </c>
      <c r="AU49" s="8">
        <f t="shared" ca="1" si="35"/>
        <v>45078</v>
      </c>
      <c r="AV49" s="8">
        <f t="shared" ca="1" si="36"/>
        <v>45170</v>
      </c>
      <c r="AW49" s="5">
        <f t="shared" ca="1" si="37"/>
        <v>0.95117288</v>
      </c>
      <c r="AX49" s="5">
        <f t="shared" ca="1" si="38"/>
        <v>0.94839527999999995</v>
      </c>
      <c r="AY49" s="5">
        <f t="shared" ca="1" si="39"/>
        <v>0.95117287999999989</v>
      </c>
    </row>
    <row r="50" spans="21:51">
      <c r="U50" s="13">
        <v>45352</v>
      </c>
      <c r="V50" s="5">
        <v>21750</v>
      </c>
      <c r="W50" s="5">
        <v>0</v>
      </c>
      <c r="Y50" s="13">
        <v>44440</v>
      </c>
      <c r="Z50" s="5">
        <v>0.97060687999999995</v>
      </c>
      <c r="AB50" s="5" t="b">
        <f t="shared" si="18"/>
        <v>1</v>
      </c>
      <c r="AC50" s="60">
        <f t="shared" ca="1" si="19"/>
        <v>0.94283036000000009</v>
      </c>
      <c r="AD50" s="5">
        <f t="shared" ca="1" si="20"/>
        <v>0.94562877000000012</v>
      </c>
      <c r="AE50" s="5">
        <f t="shared" si="21"/>
        <v>4.552777777777778</v>
      </c>
      <c r="AF50" s="5">
        <f t="shared" si="22"/>
        <v>0.93942475082680554</v>
      </c>
      <c r="AG50" s="5">
        <f t="shared" ca="1" si="23"/>
        <v>0.4668601815507783</v>
      </c>
      <c r="AH50" s="5">
        <f t="shared" ca="1" si="24"/>
        <v>1.9264370328325104</v>
      </c>
      <c r="AI50" s="5">
        <f t="shared" si="25"/>
        <v>0</v>
      </c>
      <c r="AJ50" s="5">
        <f t="shared" ca="1" si="26"/>
        <v>0.70029027232616747</v>
      </c>
      <c r="AL50" s="5">
        <f t="shared" si="27"/>
        <v>19</v>
      </c>
      <c r="AM50" s="8">
        <f t="shared" ca="1" si="28"/>
        <v>45352</v>
      </c>
      <c r="AN50" s="8">
        <f t="shared" ca="1" si="29"/>
        <v>45446</v>
      </c>
      <c r="AO50" s="5">
        <f t="shared" ca="1" si="30"/>
        <v>0.94283035999999998</v>
      </c>
      <c r="AP50" s="5">
        <f t="shared" ca="1" si="31"/>
        <v>0.93989692000000002</v>
      </c>
      <c r="AQ50" s="5">
        <f t="shared" ca="1" si="32"/>
        <v>0.94283036000000009</v>
      </c>
      <c r="AR50" s="60"/>
      <c r="AS50" s="8">
        <f t="shared" si="33"/>
        <v>45261</v>
      </c>
      <c r="AT50" s="5">
        <f t="shared" si="34"/>
        <v>18</v>
      </c>
      <c r="AU50" s="8">
        <f t="shared" ca="1" si="35"/>
        <v>45261</v>
      </c>
      <c r="AV50" s="8">
        <f t="shared" ca="1" si="36"/>
        <v>45352</v>
      </c>
      <c r="AW50" s="5">
        <f t="shared" ca="1" si="37"/>
        <v>0.94562877000000001</v>
      </c>
      <c r="AX50" s="5">
        <f t="shared" ca="1" si="38"/>
        <v>0.94283035999999998</v>
      </c>
      <c r="AY50" s="5">
        <f t="shared" ca="1" si="39"/>
        <v>0.94562877000000012</v>
      </c>
    </row>
    <row r="51" spans="21:51">
      <c r="U51" s="13">
        <v>45536</v>
      </c>
      <c r="V51" s="5">
        <v>21750</v>
      </c>
      <c r="W51" s="5">
        <v>0</v>
      </c>
      <c r="Y51" s="13">
        <v>44531</v>
      </c>
      <c r="Z51" s="5">
        <v>0.96817449</v>
      </c>
      <c r="AB51" s="5" t="b">
        <f t="shared" si="18"/>
        <v>1</v>
      </c>
      <c r="AC51" s="60">
        <f t="shared" ca="1" si="19"/>
        <v>0.9370382949999998</v>
      </c>
      <c r="AD51" s="5">
        <f t="shared" ca="1" si="20"/>
        <v>0.93995933361702133</v>
      </c>
      <c r="AE51" s="5">
        <f t="shared" si="21"/>
        <v>5.0638888888888891</v>
      </c>
      <c r="AF51" s="5">
        <f t="shared" si="22"/>
        <v>0.92445957077635443</v>
      </c>
      <c r="AG51" s="5">
        <f t="shared" ca="1" si="23"/>
        <v>0.56266642670723066</v>
      </c>
      <c r="AH51" s="5">
        <f t="shared" ca="1" si="24"/>
        <v>1.8841024934928372</v>
      </c>
      <c r="AI51" s="5">
        <f t="shared" si="25"/>
        <v>0</v>
      </c>
      <c r="AJ51" s="5">
        <f t="shared" ca="1" si="26"/>
        <v>0.84399964006084593</v>
      </c>
      <c r="AL51" s="5">
        <f t="shared" si="27"/>
        <v>20</v>
      </c>
      <c r="AM51" s="8">
        <f t="shared" ca="1" si="28"/>
        <v>45446</v>
      </c>
      <c r="AN51" s="8">
        <f t="shared" ca="1" si="29"/>
        <v>45538</v>
      </c>
      <c r="AO51" s="5">
        <f t="shared" ca="1" si="30"/>
        <v>0.93989692000000002</v>
      </c>
      <c r="AP51" s="5">
        <f t="shared" ca="1" si="31"/>
        <v>0.93697476999999996</v>
      </c>
      <c r="AQ51" s="5">
        <f t="shared" ca="1" si="32"/>
        <v>0.9370382949999998</v>
      </c>
      <c r="AR51" s="60"/>
      <c r="AS51" s="8">
        <f t="shared" si="33"/>
        <v>45444</v>
      </c>
      <c r="AT51" s="5">
        <f t="shared" si="34"/>
        <v>19</v>
      </c>
      <c r="AU51" s="8">
        <f t="shared" ca="1" si="35"/>
        <v>45352</v>
      </c>
      <c r="AV51" s="8">
        <f t="shared" ca="1" si="36"/>
        <v>45446</v>
      </c>
      <c r="AW51" s="5">
        <f t="shared" ca="1" si="37"/>
        <v>0.94283035999999998</v>
      </c>
      <c r="AX51" s="5">
        <f t="shared" ca="1" si="38"/>
        <v>0.93989692000000002</v>
      </c>
      <c r="AY51" s="5">
        <f t="shared" ca="1" si="39"/>
        <v>0.93995933361702133</v>
      </c>
    </row>
    <row r="52" spans="21:51">
      <c r="U52" s="13">
        <v>45717</v>
      </c>
      <c r="V52" s="5">
        <v>21750</v>
      </c>
      <c r="W52" s="5">
        <v>0</v>
      </c>
      <c r="Y52" s="13">
        <v>44621</v>
      </c>
      <c r="Z52" s="5">
        <v>0.96547664</v>
      </c>
      <c r="AB52" s="5" t="b">
        <f t="shared" si="18"/>
        <v>1</v>
      </c>
      <c r="AC52" s="60">
        <f t="shared" ca="1" si="19"/>
        <v>0.93113424351648355</v>
      </c>
      <c r="AD52" s="5">
        <f t="shared" ca="1" si="20"/>
        <v>0.9341101626666668</v>
      </c>
      <c r="AE52" s="5">
        <f t="shared" si="21"/>
        <v>5.5666666666666664</v>
      </c>
      <c r="AF52" s="5">
        <f t="shared" si="22"/>
        <v>0.90608378046679305</v>
      </c>
      <c r="AG52" s="5">
        <f t="shared" ca="1" si="23"/>
        <v>0.68660049900771758</v>
      </c>
      <c r="AH52" s="5">
        <f t="shared" ca="1" si="24"/>
        <v>1.8350162571853186</v>
      </c>
      <c r="AI52" s="5">
        <f t="shared" si="25"/>
        <v>0</v>
      </c>
      <c r="AJ52" s="5">
        <f t="shared" ca="1" si="26"/>
        <v>1.0299007485115763</v>
      </c>
      <c r="AL52" s="5">
        <f t="shared" si="27"/>
        <v>22</v>
      </c>
      <c r="AM52" s="8">
        <f t="shared" ca="1" si="28"/>
        <v>45628</v>
      </c>
      <c r="AN52" s="8">
        <f t="shared" ca="1" si="29"/>
        <v>45719</v>
      </c>
      <c r="AO52" s="5">
        <f t="shared" ca="1" si="30"/>
        <v>0.93406160999999999</v>
      </c>
      <c r="AP52" s="5">
        <f t="shared" ca="1" si="31"/>
        <v>0.93106845999999999</v>
      </c>
      <c r="AQ52" s="5">
        <f t="shared" ca="1" si="32"/>
        <v>0.93113424351648355</v>
      </c>
      <c r="AR52" s="60"/>
      <c r="AS52" s="8">
        <f t="shared" si="33"/>
        <v>45626.5</v>
      </c>
      <c r="AT52" s="5">
        <f t="shared" si="34"/>
        <v>21</v>
      </c>
      <c r="AU52" s="8">
        <f t="shared" ca="1" si="35"/>
        <v>45538</v>
      </c>
      <c r="AV52" s="8">
        <f t="shared" ca="1" si="36"/>
        <v>45628</v>
      </c>
      <c r="AW52" s="5">
        <f t="shared" ca="1" si="37"/>
        <v>0.93697476999999996</v>
      </c>
      <c r="AX52" s="5">
        <f t="shared" ca="1" si="38"/>
        <v>0.93406160999999999</v>
      </c>
      <c r="AY52" s="5">
        <f t="shared" ca="1" si="39"/>
        <v>0.9341101626666668</v>
      </c>
    </row>
    <row r="53" spans="21:51">
      <c r="U53" s="13">
        <v>45901</v>
      </c>
      <c r="V53" s="5">
        <v>21750</v>
      </c>
      <c r="W53" s="5">
        <v>0</v>
      </c>
      <c r="Y53" s="13">
        <v>44713</v>
      </c>
      <c r="Z53" s="5">
        <v>0.96255020999999996</v>
      </c>
      <c r="AB53" s="5" t="b">
        <f t="shared" si="18"/>
        <v>1</v>
      </c>
      <c r="AC53" s="60">
        <f t="shared" ca="1" si="19"/>
        <v>0.92498078619565227</v>
      </c>
      <c r="AD53" s="5">
        <f t="shared" ca="1" si="20"/>
        <v>0.92807134131868141</v>
      </c>
      <c r="AE53" s="5">
        <f t="shared" si="21"/>
        <v>6.0777777777777775</v>
      </c>
      <c r="AF53" s="5">
        <f t="shared" si="22"/>
        <v>0.88777777068727637</v>
      </c>
      <c r="AG53" s="5">
        <f t="shared" ca="1" si="23"/>
        <v>0.67957132201075798</v>
      </c>
      <c r="AH53" s="5">
        <f t="shared" ca="1" si="24"/>
        <v>1.7860608021467153</v>
      </c>
      <c r="AI53" s="5">
        <f t="shared" si="25"/>
        <v>0</v>
      </c>
      <c r="AJ53" s="5">
        <f t="shared" ca="1" si="26"/>
        <v>1.0193569830161369</v>
      </c>
      <c r="AL53" s="5">
        <f t="shared" si="27"/>
        <v>24</v>
      </c>
      <c r="AM53" s="8">
        <f t="shared" ca="1" si="28"/>
        <v>45810</v>
      </c>
      <c r="AN53" s="8">
        <f t="shared" ca="1" si="29"/>
        <v>45902</v>
      </c>
      <c r="AO53" s="5">
        <f t="shared" ca="1" si="30"/>
        <v>0.92803804000000001</v>
      </c>
      <c r="AP53" s="5">
        <f t="shared" ca="1" si="31"/>
        <v>0.92494719000000003</v>
      </c>
      <c r="AQ53" s="5">
        <f t="shared" ca="1" si="32"/>
        <v>0.92498078619565227</v>
      </c>
      <c r="AR53" s="60"/>
      <c r="AS53" s="8">
        <f t="shared" si="33"/>
        <v>45809</v>
      </c>
      <c r="AT53" s="5">
        <f t="shared" si="34"/>
        <v>23</v>
      </c>
      <c r="AU53" s="8">
        <f t="shared" ca="1" si="35"/>
        <v>45719</v>
      </c>
      <c r="AV53" s="8">
        <f t="shared" ca="1" si="36"/>
        <v>45810</v>
      </c>
      <c r="AW53" s="5">
        <f t="shared" ca="1" si="37"/>
        <v>0.93106845999999999</v>
      </c>
      <c r="AX53" s="5">
        <f t="shared" ca="1" si="38"/>
        <v>0.92803804000000001</v>
      </c>
      <c r="AY53" s="5">
        <f t="shared" ca="1" si="39"/>
        <v>0.92807134131868141</v>
      </c>
    </row>
    <row r="54" spans="21:51">
      <c r="U54" s="13">
        <v>46082</v>
      </c>
      <c r="V54" s="5">
        <v>21750</v>
      </c>
      <c r="W54" s="5">
        <v>0</v>
      </c>
      <c r="Y54" s="13">
        <v>44805</v>
      </c>
      <c r="Z54" s="5">
        <v>0.95958555000000001</v>
      </c>
      <c r="AB54" s="5" t="b">
        <f t="shared" si="18"/>
        <v>1</v>
      </c>
      <c r="AC54" s="60">
        <f t="shared" ca="1" si="19"/>
        <v>0.91884388560439545</v>
      </c>
      <c r="AD54" s="5">
        <f t="shared" ca="1" si="20"/>
        <v>0.92192218944444426</v>
      </c>
      <c r="AE54" s="5">
        <f t="shared" si="21"/>
        <v>6.5805555555555557</v>
      </c>
      <c r="AF54" s="5">
        <f t="shared" si="22"/>
        <v>0.87013111671630905</v>
      </c>
      <c r="AG54" s="5">
        <f t="shared" ca="1" si="23"/>
        <v>0.65075367461130751</v>
      </c>
      <c r="AH54" s="5">
        <f t="shared" ca="1" si="24"/>
        <v>1.738944377384869</v>
      </c>
      <c r="AI54" s="5">
        <f t="shared" si="25"/>
        <v>0</v>
      </c>
      <c r="AJ54" s="5">
        <f t="shared" ca="1" si="26"/>
        <v>0.9761305119169611</v>
      </c>
      <c r="AL54" s="5">
        <f t="shared" si="27"/>
        <v>26</v>
      </c>
      <c r="AM54" s="8">
        <f t="shared" ca="1" si="28"/>
        <v>45992</v>
      </c>
      <c r="AN54" s="8">
        <f t="shared" ca="1" si="29"/>
        <v>46083</v>
      </c>
      <c r="AO54" s="5">
        <f t="shared" ca="1" si="30"/>
        <v>0.92190528999999999</v>
      </c>
      <c r="AP54" s="5">
        <f t="shared" ca="1" si="31"/>
        <v>0.91880987000000003</v>
      </c>
      <c r="AQ54" s="5">
        <f t="shared" ca="1" si="32"/>
        <v>0.91884388560439545</v>
      </c>
      <c r="AR54" s="60"/>
      <c r="AS54" s="8">
        <f t="shared" si="33"/>
        <v>45991.5</v>
      </c>
      <c r="AT54" s="5">
        <f t="shared" si="34"/>
        <v>25</v>
      </c>
      <c r="AU54" s="8">
        <f t="shared" ca="1" si="35"/>
        <v>45902</v>
      </c>
      <c r="AV54" s="8">
        <f t="shared" ca="1" si="36"/>
        <v>45992</v>
      </c>
      <c r="AW54" s="5">
        <f t="shared" ca="1" si="37"/>
        <v>0.92494719000000003</v>
      </c>
      <c r="AX54" s="5">
        <f t="shared" ca="1" si="38"/>
        <v>0.92190528999999999</v>
      </c>
      <c r="AY54" s="5">
        <f t="shared" ca="1" si="39"/>
        <v>0.92192218944444426</v>
      </c>
    </row>
    <row r="55" spans="21:51">
      <c r="U55" s="13">
        <v>46266</v>
      </c>
      <c r="V55" s="5">
        <v>21750</v>
      </c>
      <c r="W55" s="5">
        <v>0</v>
      </c>
      <c r="Y55" s="13">
        <v>44896</v>
      </c>
      <c r="Z55" s="5">
        <v>0.95672239999999997</v>
      </c>
      <c r="AB55" s="5" t="b">
        <f t="shared" si="18"/>
        <v>1</v>
      </c>
      <c r="AC55" s="60">
        <f t="shared" ca="1" si="19"/>
        <v>0.9125086</v>
      </c>
      <c r="AD55" s="5">
        <f t="shared" ca="1" si="20"/>
        <v>0.91569055999999982</v>
      </c>
      <c r="AE55" s="5">
        <f t="shared" si="21"/>
        <v>7.0916666666666668</v>
      </c>
      <c r="AF55" s="5">
        <f t="shared" si="22"/>
        <v>0.85372707017568905</v>
      </c>
      <c r="AG55" s="5">
        <f t="shared" ca="1" si="23"/>
        <v>0.60084122252185546</v>
      </c>
      <c r="AH55" s="5">
        <f t="shared" ca="1" si="24"/>
        <v>1.6943974135541604</v>
      </c>
      <c r="AI55" s="5">
        <f t="shared" si="25"/>
        <v>0</v>
      </c>
      <c r="AJ55" s="5">
        <f t="shared" ca="1" si="26"/>
        <v>0.90126183378278313</v>
      </c>
      <c r="AL55" s="5">
        <f t="shared" si="27"/>
        <v>29</v>
      </c>
      <c r="AM55" s="8">
        <f t="shared" ca="1" si="28"/>
        <v>46266</v>
      </c>
      <c r="AN55" s="8">
        <f t="shared" ca="1" si="29"/>
        <v>46357</v>
      </c>
      <c r="AO55" s="5">
        <f t="shared" ca="1" si="30"/>
        <v>0.9125086</v>
      </c>
      <c r="AP55" s="5">
        <f t="shared" ca="1" si="31"/>
        <v>0.90933012999999996</v>
      </c>
      <c r="AQ55" s="5">
        <f t="shared" ca="1" si="32"/>
        <v>0.9125086</v>
      </c>
      <c r="AR55" s="60"/>
      <c r="AS55" s="8">
        <f t="shared" si="33"/>
        <v>46174</v>
      </c>
      <c r="AT55" s="5">
        <f t="shared" si="34"/>
        <v>28</v>
      </c>
      <c r="AU55" s="8">
        <f t="shared" ca="1" si="35"/>
        <v>46174</v>
      </c>
      <c r="AV55" s="8">
        <f t="shared" ca="1" si="36"/>
        <v>46266</v>
      </c>
      <c r="AW55" s="5">
        <f t="shared" ca="1" si="37"/>
        <v>0.91569056000000004</v>
      </c>
      <c r="AX55" s="5">
        <f t="shared" ca="1" si="38"/>
        <v>0.9125086</v>
      </c>
      <c r="AY55" s="5">
        <f t="shared" ca="1" si="39"/>
        <v>0.91569055999999982</v>
      </c>
    </row>
    <row r="56" spans="21:51">
      <c r="U56" s="13">
        <v>46447</v>
      </c>
      <c r="V56" s="5">
        <v>21750</v>
      </c>
      <c r="W56" s="5">
        <v>0</v>
      </c>
      <c r="Y56" s="13">
        <v>44986</v>
      </c>
      <c r="Z56" s="5">
        <v>0.95395883999999997</v>
      </c>
      <c r="AB56" s="5" t="b">
        <f t="shared" si="18"/>
        <v>1</v>
      </c>
      <c r="AC56" s="60">
        <f t="shared" ca="1" si="19"/>
        <v>0.90615800000000002</v>
      </c>
      <c r="AD56" s="5">
        <f t="shared" ca="1" si="20"/>
        <v>0.90934759412087907</v>
      </c>
      <c r="AE56" s="5">
        <f t="shared" si="21"/>
        <v>7.5944444444444441</v>
      </c>
      <c r="AF56" s="5">
        <f t="shared" si="22"/>
        <v>0.8396210056130532</v>
      </c>
      <c r="AG56" s="5">
        <f t="shared" ca="1" si="23"/>
        <v>0.51309263490186818</v>
      </c>
      <c r="AH56" s="5">
        <f t="shared" ca="1" si="24"/>
        <v>1.654803708369381</v>
      </c>
      <c r="AI56" s="5">
        <f t="shared" si="25"/>
        <v>0</v>
      </c>
      <c r="AJ56" s="5">
        <f t="shared" ca="1" si="26"/>
        <v>0.76963895235280233</v>
      </c>
      <c r="AL56" s="5">
        <f t="shared" si="27"/>
        <v>31</v>
      </c>
      <c r="AM56" s="8">
        <f t="shared" ca="1" si="28"/>
        <v>46447</v>
      </c>
      <c r="AN56" s="8">
        <f t="shared" ca="1" si="29"/>
        <v>46539</v>
      </c>
      <c r="AO56" s="5">
        <f t="shared" ca="1" si="30"/>
        <v>0.90615800000000002</v>
      </c>
      <c r="AP56" s="5">
        <f t="shared" ca="1" si="31"/>
        <v>0.90288944000000004</v>
      </c>
      <c r="AQ56" s="5">
        <f t="shared" ca="1" si="32"/>
        <v>0.90615800000000002</v>
      </c>
      <c r="AR56" s="60"/>
      <c r="AS56" s="8">
        <f t="shared" si="33"/>
        <v>46356.5</v>
      </c>
      <c r="AT56" s="5">
        <f t="shared" si="34"/>
        <v>29</v>
      </c>
      <c r="AU56" s="8">
        <f t="shared" ca="1" si="35"/>
        <v>46266</v>
      </c>
      <c r="AV56" s="8">
        <f t="shared" ca="1" si="36"/>
        <v>46357</v>
      </c>
      <c r="AW56" s="5">
        <f t="shared" ca="1" si="37"/>
        <v>0.9125086</v>
      </c>
      <c r="AX56" s="5">
        <f t="shared" ca="1" si="38"/>
        <v>0.90933012999999996</v>
      </c>
      <c r="AY56" s="5">
        <f t="shared" ca="1" si="39"/>
        <v>0.90934759412087907</v>
      </c>
    </row>
    <row r="57" spans="21:51">
      <c r="U57" s="13">
        <v>46631</v>
      </c>
      <c r="V57" s="5">
        <v>21750</v>
      </c>
      <c r="W57" s="5">
        <v>0</v>
      </c>
      <c r="Y57" s="13">
        <v>45078</v>
      </c>
      <c r="Z57" s="5">
        <v>0.95117288</v>
      </c>
      <c r="AB57" s="5" t="b">
        <f t="shared" si="18"/>
        <v>1</v>
      </c>
      <c r="AC57" s="60">
        <f t="shared" ca="1" si="19"/>
        <v>0.89959807000000014</v>
      </c>
      <c r="AD57" s="5">
        <f t="shared" ca="1" si="20"/>
        <v>0.90288944000000004</v>
      </c>
      <c r="AE57" s="5">
        <f t="shared" si="21"/>
        <v>8.1055555555555561</v>
      </c>
      <c r="AF57" s="5">
        <f t="shared" si="22"/>
        <v>0.82552001701870148</v>
      </c>
      <c r="AG57" s="5">
        <f t="shared" ca="1" si="23"/>
        <v>0.50926534781602428</v>
      </c>
      <c r="AH57" s="5">
        <f t="shared" ca="1" si="24"/>
        <v>1.6152337655726507</v>
      </c>
      <c r="AI57" s="5">
        <f t="shared" si="25"/>
        <v>0</v>
      </c>
      <c r="AJ57" s="5">
        <f t="shared" ca="1" si="26"/>
        <v>0.76389802172403642</v>
      </c>
      <c r="AL57" s="5">
        <f t="shared" si="27"/>
        <v>33</v>
      </c>
      <c r="AM57" s="8">
        <f t="shared" ca="1" si="28"/>
        <v>46631</v>
      </c>
      <c r="AN57" s="8">
        <f t="shared" ca="1" si="29"/>
        <v>46722</v>
      </c>
      <c r="AO57" s="5">
        <f t="shared" ca="1" si="30"/>
        <v>0.89959807000000003</v>
      </c>
      <c r="AP57" s="5">
        <f t="shared" ca="1" si="31"/>
        <v>0.89632095000000001</v>
      </c>
      <c r="AQ57" s="5">
        <f t="shared" ca="1" si="32"/>
        <v>0.89959807000000014</v>
      </c>
      <c r="AR57" s="60"/>
      <c r="AS57" s="8">
        <f t="shared" si="33"/>
        <v>46539</v>
      </c>
      <c r="AT57" s="5">
        <f t="shared" si="34"/>
        <v>32</v>
      </c>
      <c r="AU57" s="8">
        <f t="shared" ca="1" si="35"/>
        <v>46539</v>
      </c>
      <c r="AV57" s="8">
        <f t="shared" ca="1" si="36"/>
        <v>46631</v>
      </c>
      <c r="AW57" s="5">
        <f t="shared" ca="1" si="37"/>
        <v>0.90288944000000004</v>
      </c>
      <c r="AX57" s="5">
        <f t="shared" ca="1" si="38"/>
        <v>0.89959807000000003</v>
      </c>
      <c r="AY57" s="5">
        <f t="shared" ca="1" si="39"/>
        <v>0.90288944000000004</v>
      </c>
    </row>
    <row r="58" spans="21:51">
      <c r="U58" s="13">
        <v>46813</v>
      </c>
      <c r="V58" s="5">
        <v>21750</v>
      </c>
      <c r="W58" s="5">
        <v>0</v>
      </c>
      <c r="Y58" s="13">
        <v>45170</v>
      </c>
      <c r="Z58" s="5">
        <v>0.94839527999999995</v>
      </c>
      <c r="AB58" s="5" t="b">
        <f t="shared" si="18"/>
        <v>1</v>
      </c>
      <c r="AC58" s="60">
        <f t="shared" ca="1" si="19"/>
        <v>0.89301142000000011</v>
      </c>
      <c r="AD58" s="5">
        <f t="shared" ca="1" si="20"/>
        <v>0.89632094999999956</v>
      </c>
      <c r="AE58" s="5">
        <f t="shared" si="21"/>
        <v>8.6111111111111107</v>
      </c>
      <c r="AF58" s="5">
        <f t="shared" si="22"/>
        <v>0.81180528570288979</v>
      </c>
      <c r="AG58" s="5">
        <f t="shared" ca="1" si="23"/>
        <v>0.49171204007932312</v>
      </c>
      <c r="AH58" s="5">
        <f t="shared" ca="1" si="24"/>
        <v>1.5767692753141693</v>
      </c>
      <c r="AI58" s="5">
        <f t="shared" si="25"/>
        <v>0</v>
      </c>
      <c r="AJ58" s="5">
        <f t="shared" ca="1" si="26"/>
        <v>0.73756806011898468</v>
      </c>
      <c r="AL58" s="5">
        <f t="shared" si="27"/>
        <v>35</v>
      </c>
      <c r="AM58" s="8">
        <f t="shared" ca="1" si="28"/>
        <v>46813</v>
      </c>
      <c r="AN58" s="8">
        <f t="shared" ca="1" si="29"/>
        <v>46905</v>
      </c>
      <c r="AO58" s="5">
        <f t="shared" ca="1" si="30"/>
        <v>0.89301142</v>
      </c>
      <c r="AP58" s="5">
        <f t="shared" ca="1" si="31"/>
        <v>0.88961785000000004</v>
      </c>
      <c r="AQ58" s="5">
        <f t="shared" ca="1" si="32"/>
        <v>0.89301142000000011</v>
      </c>
      <c r="AR58" s="60"/>
      <c r="AS58" s="8">
        <f t="shared" si="33"/>
        <v>46722</v>
      </c>
      <c r="AT58" s="5">
        <f t="shared" si="34"/>
        <v>34</v>
      </c>
      <c r="AU58" s="8">
        <f t="shared" ca="1" si="35"/>
        <v>46722</v>
      </c>
      <c r="AV58" s="8">
        <f t="shared" ca="1" si="36"/>
        <v>46813</v>
      </c>
      <c r="AW58" s="5">
        <f t="shared" ca="1" si="37"/>
        <v>0.89632095000000001</v>
      </c>
      <c r="AX58" s="5">
        <f t="shared" ca="1" si="38"/>
        <v>0.89301142</v>
      </c>
      <c r="AY58" s="5">
        <f t="shared" ca="1" si="39"/>
        <v>0.89632094999999956</v>
      </c>
    </row>
    <row r="59" spans="21:51">
      <c r="U59" s="13">
        <v>46997</v>
      </c>
      <c r="V59" s="5">
        <v>21750</v>
      </c>
      <c r="W59" s="5">
        <v>0</v>
      </c>
      <c r="Y59" s="13">
        <v>45261</v>
      </c>
      <c r="Z59" s="5">
        <v>0.94562877000000001</v>
      </c>
      <c r="AB59" s="5" t="b">
        <f t="shared" si="18"/>
        <v>1</v>
      </c>
      <c r="AC59" s="60">
        <f t="shared" ca="1" si="19"/>
        <v>0.88616173999999992</v>
      </c>
      <c r="AD59" s="5">
        <f t="shared" ca="1" si="20"/>
        <v>0.88961785000000027</v>
      </c>
      <c r="AE59" s="5">
        <f t="shared" si="21"/>
        <v>9.1222222222222218</v>
      </c>
      <c r="AF59" s="5">
        <f t="shared" si="22"/>
        <v>0.79817144734248258</v>
      </c>
      <c r="AG59" s="5">
        <f t="shared" ca="1" si="23"/>
        <v>0.48515623877731978</v>
      </c>
      <c r="AH59" s="5">
        <f t="shared" ca="1" si="24"/>
        <v>1.5383970719448485</v>
      </c>
      <c r="AI59" s="5">
        <f t="shared" si="25"/>
        <v>0</v>
      </c>
      <c r="AJ59" s="5">
        <f t="shared" ca="1" si="26"/>
        <v>0.72773435816597953</v>
      </c>
      <c r="AL59" s="5">
        <f t="shared" si="27"/>
        <v>37</v>
      </c>
      <c r="AM59" s="8">
        <f t="shared" ca="1" si="28"/>
        <v>46997</v>
      </c>
      <c r="AN59" s="8">
        <f t="shared" ca="1" si="29"/>
        <v>47088</v>
      </c>
      <c r="AO59" s="5">
        <f t="shared" ca="1" si="30"/>
        <v>0.88616174000000003</v>
      </c>
      <c r="AP59" s="5">
        <f t="shared" ca="1" si="31"/>
        <v>0.88268122000000004</v>
      </c>
      <c r="AQ59" s="5">
        <f t="shared" ca="1" si="32"/>
        <v>0.88616173999999992</v>
      </c>
      <c r="AR59" s="60"/>
      <c r="AS59" s="8">
        <f t="shared" si="33"/>
        <v>46905</v>
      </c>
      <c r="AT59" s="5">
        <f t="shared" si="34"/>
        <v>36</v>
      </c>
      <c r="AU59" s="8">
        <f t="shared" ca="1" si="35"/>
        <v>46905</v>
      </c>
      <c r="AV59" s="8">
        <f t="shared" ca="1" si="36"/>
        <v>46997</v>
      </c>
      <c r="AW59" s="5">
        <f t="shared" ca="1" si="37"/>
        <v>0.88961785000000004</v>
      </c>
      <c r="AX59" s="5">
        <f t="shared" ca="1" si="38"/>
        <v>0.88616174000000003</v>
      </c>
      <c r="AY59" s="5">
        <f t="shared" ca="1" si="39"/>
        <v>0.88961785000000027</v>
      </c>
    </row>
    <row r="60" spans="21:51">
      <c r="U60" s="13">
        <v>47088</v>
      </c>
      <c r="V60" s="5">
        <v>10875</v>
      </c>
      <c r="W60" s="5">
        <v>1000000</v>
      </c>
      <c r="Y60" s="13">
        <v>45352</v>
      </c>
      <c r="Z60" s="5">
        <v>0.94283035999999998</v>
      </c>
      <c r="AB60" s="5" t="b">
        <f t="shared" si="18"/>
        <v>1</v>
      </c>
      <c r="AC60" s="60">
        <f t="shared" ca="1" si="19"/>
        <v>0.88268122000000027</v>
      </c>
      <c r="AD60" s="5">
        <f t="shared" ca="1" si="20"/>
        <v>0.88442147999999987</v>
      </c>
      <c r="AE60" s="5">
        <f t="shared" si="21"/>
        <v>9.375</v>
      </c>
      <c r="AF60" s="5">
        <f t="shared" si="22"/>
        <v>0.79151348994361004</v>
      </c>
      <c r="AG60" s="5">
        <f t="shared" ca="1" si="23"/>
        <v>0.23553762145951199</v>
      </c>
      <c r="AH60" s="5">
        <f t="shared" ca="1" si="24"/>
        <v>70.62519562107137</v>
      </c>
      <c r="AI60" s="5">
        <f t="shared" ca="1" si="25"/>
        <v>69.865409294988368</v>
      </c>
      <c r="AJ60" s="5">
        <f t="shared" ca="1" si="26"/>
        <v>0.35330643218926794</v>
      </c>
      <c r="AL60" s="5">
        <f t="shared" si="27"/>
        <v>38</v>
      </c>
      <c r="AM60" s="8">
        <f t="shared" ca="1" si="28"/>
        <v>47088</v>
      </c>
      <c r="AN60" s="8">
        <f t="shared" ca="1" si="29"/>
        <v>47178</v>
      </c>
      <c r="AO60" s="5">
        <f t="shared" ca="1" si="30"/>
        <v>0.88268122000000004</v>
      </c>
      <c r="AP60" s="5">
        <f t="shared" ca="1" si="31"/>
        <v>0.87923903000000003</v>
      </c>
      <c r="AQ60" s="5">
        <f t="shared" ca="1" si="32"/>
        <v>0.88268122000000027</v>
      </c>
      <c r="AR60" s="60"/>
      <c r="AS60" s="8">
        <f t="shared" si="33"/>
        <v>47042.5</v>
      </c>
      <c r="AT60" s="5">
        <f t="shared" si="34"/>
        <v>37</v>
      </c>
      <c r="AU60" s="8">
        <f t="shared" ca="1" si="35"/>
        <v>46997</v>
      </c>
      <c r="AV60" s="8">
        <f t="shared" ca="1" si="36"/>
        <v>47088</v>
      </c>
      <c r="AW60" s="5">
        <f t="shared" ca="1" si="37"/>
        <v>0.88616174000000003</v>
      </c>
      <c r="AX60" s="5">
        <f t="shared" ca="1" si="38"/>
        <v>0.88268122000000004</v>
      </c>
      <c r="AY60" s="5">
        <f t="shared" ca="1" si="39"/>
        <v>0.88442147999999987</v>
      </c>
    </row>
    <row r="61" spans="21:51">
      <c r="U61" s="13"/>
      <c r="Y61" s="13">
        <v>45446</v>
      </c>
      <c r="Z61" s="5">
        <v>0.93989692000000002</v>
      </c>
      <c r="AB61" s="5" t="b">
        <f t="shared" si="18"/>
        <v>0</v>
      </c>
      <c r="AC61" s="60">
        <f t="shared" si="19"/>
        <v>0</v>
      </c>
      <c r="AD61" s="5">
        <f t="shared" si="20"/>
        <v>0</v>
      </c>
      <c r="AE61" s="5">
        <f t="shared" si="21"/>
        <v>0</v>
      </c>
      <c r="AF61" s="5">
        <f t="shared" si="22"/>
        <v>0</v>
      </c>
      <c r="AG61" s="5">
        <f t="shared" si="23"/>
        <v>0</v>
      </c>
      <c r="AH61" s="5">
        <f t="shared" si="24"/>
        <v>0</v>
      </c>
      <c r="AI61" s="5">
        <f t="shared" si="25"/>
        <v>0</v>
      </c>
      <c r="AJ61" s="5">
        <f t="shared" si="26"/>
        <v>0</v>
      </c>
      <c r="AL61" s="5">
        <f t="shared" si="27"/>
        <v>0</v>
      </c>
      <c r="AM61" s="8">
        <f t="shared" ca="1" si="28"/>
        <v>0</v>
      </c>
      <c r="AN61" s="8">
        <f t="shared" ca="1" si="29"/>
        <v>0</v>
      </c>
      <c r="AO61" s="5">
        <f t="shared" ca="1" si="30"/>
        <v>0</v>
      </c>
      <c r="AP61" s="5">
        <f t="shared" ca="1" si="31"/>
        <v>0</v>
      </c>
      <c r="AQ61" s="5">
        <f t="shared" si="32"/>
        <v>0</v>
      </c>
      <c r="AR61" s="60"/>
      <c r="AS61" s="8">
        <f t="shared" si="33"/>
        <v>0</v>
      </c>
      <c r="AT61" s="5">
        <f t="shared" si="34"/>
        <v>0</v>
      </c>
      <c r="AU61" s="8">
        <f t="shared" ca="1" si="35"/>
        <v>0</v>
      </c>
      <c r="AV61" s="8">
        <f t="shared" ca="1" si="36"/>
        <v>0</v>
      </c>
      <c r="AW61" s="5">
        <f t="shared" ca="1" si="37"/>
        <v>0</v>
      </c>
      <c r="AX61" s="5">
        <f t="shared" ca="1" si="38"/>
        <v>0</v>
      </c>
      <c r="AY61" s="5">
        <f t="shared" si="39"/>
        <v>0</v>
      </c>
    </row>
    <row r="62" spans="21:51">
      <c r="U62" s="13"/>
      <c r="Y62" s="13">
        <v>45538</v>
      </c>
      <c r="Z62" s="5">
        <v>0.93697476999999996</v>
      </c>
      <c r="AB62" s="5" t="b">
        <f t="shared" si="18"/>
        <v>0</v>
      </c>
      <c r="AC62" s="60">
        <f t="shared" si="19"/>
        <v>0</v>
      </c>
      <c r="AD62" s="5">
        <f t="shared" si="20"/>
        <v>0</v>
      </c>
      <c r="AE62" s="5">
        <f t="shared" si="21"/>
        <v>0</v>
      </c>
      <c r="AF62" s="5">
        <f t="shared" si="22"/>
        <v>0</v>
      </c>
      <c r="AG62" s="5">
        <f t="shared" si="23"/>
        <v>0</v>
      </c>
      <c r="AH62" s="5">
        <f t="shared" si="24"/>
        <v>0</v>
      </c>
      <c r="AI62" s="5">
        <f t="shared" si="25"/>
        <v>0</v>
      </c>
      <c r="AJ62" s="5">
        <f t="shared" si="26"/>
        <v>0</v>
      </c>
      <c r="AL62" s="5">
        <f t="shared" si="27"/>
        <v>0</v>
      </c>
      <c r="AM62" s="8">
        <f t="shared" ca="1" si="28"/>
        <v>0</v>
      </c>
      <c r="AN62" s="8">
        <f t="shared" ca="1" si="29"/>
        <v>0</v>
      </c>
      <c r="AO62" s="5">
        <f t="shared" ca="1" si="30"/>
        <v>0</v>
      </c>
      <c r="AP62" s="5">
        <f t="shared" ca="1" si="31"/>
        <v>0</v>
      </c>
      <c r="AQ62" s="5">
        <f t="shared" si="32"/>
        <v>0</v>
      </c>
      <c r="AR62" s="60"/>
      <c r="AS62" s="8">
        <f t="shared" si="33"/>
        <v>0</v>
      </c>
      <c r="AT62" s="5">
        <f t="shared" si="34"/>
        <v>0</v>
      </c>
      <c r="AU62" s="8">
        <f t="shared" ca="1" si="35"/>
        <v>0</v>
      </c>
      <c r="AV62" s="8">
        <f t="shared" ca="1" si="36"/>
        <v>0</v>
      </c>
      <c r="AW62" s="5">
        <f t="shared" ca="1" si="37"/>
        <v>0</v>
      </c>
      <c r="AX62" s="5">
        <f t="shared" ca="1" si="38"/>
        <v>0</v>
      </c>
      <c r="AY62" s="5">
        <f t="shared" si="39"/>
        <v>0</v>
      </c>
    </row>
    <row r="63" spans="21:51">
      <c r="U63" s="13"/>
      <c r="Y63" s="13">
        <v>45628</v>
      </c>
      <c r="Z63" s="5">
        <v>0.93406160999999999</v>
      </c>
      <c r="AB63" s="5" t="b">
        <f t="shared" si="18"/>
        <v>0</v>
      </c>
      <c r="AC63" s="60">
        <f t="shared" si="19"/>
        <v>0</v>
      </c>
      <c r="AD63" s="5">
        <f t="shared" si="20"/>
        <v>0</v>
      </c>
      <c r="AE63" s="5">
        <f t="shared" si="21"/>
        <v>0</v>
      </c>
      <c r="AF63" s="5">
        <f t="shared" si="22"/>
        <v>0</v>
      </c>
      <c r="AG63" s="5">
        <f t="shared" si="23"/>
        <v>0</v>
      </c>
      <c r="AH63" s="5">
        <f t="shared" si="24"/>
        <v>0</v>
      </c>
      <c r="AI63" s="5">
        <f t="shared" si="25"/>
        <v>0</v>
      </c>
      <c r="AJ63" s="5">
        <f t="shared" si="26"/>
        <v>0</v>
      </c>
      <c r="AL63" s="5">
        <f t="shared" si="27"/>
        <v>0</v>
      </c>
      <c r="AM63" s="8">
        <f t="shared" ca="1" si="28"/>
        <v>0</v>
      </c>
      <c r="AN63" s="8">
        <f t="shared" ca="1" si="29"/>
        <v>0</v>
      </c>
      <c r="AO63" s="5">
        <f t="shared" ca="1" si="30"/>
        <v>0</v>
      </c>
      <c r="AP63" s="5">
        <f t="shared" ca="1" si="31"/>
        <v>0</v>
      </c>
      <c r="AQ63" s="5">
        <f t="shared" si="32"/>
        <v>0</v>
      </c>
      <c r="AR63" s="60"/>
      <c r="AS63" s="8">
        <f t="shared" si="33"/>
        <v>0</v>
      </c>
      <c r="AT63" s="5">
        <f t="shared" si="34"/>
        <v>0</v>
      </c>
      <c r="AU63" s="8">
        <f t="shared" ca="1" si="35"/>
        <v>0</v>
      </c>
      <c r="AV63" s="8">
        <f t="shared" ca="1" si="36"/>
        <v>0</v>
      </c>
      <c r="AW63" s="5">
        <f t="shared" ca="1" si="37"/>
        <v>0</v>
      </c>
      <c r="AX63" s="5">
        <f t="shared" ca="1" si="38"/>
        <v>0</v>
      </c>
      <c r="AY63" s="5">
        <f t="shared" si="39"/>
        <v>0</v>
      </c>
    </row>
    <row r="64" spans="21:51">
      <c r="U64" s="13"/>
      <c r="Y64" s="13">
        <v>45719</v>
      </c>
      <c r="Z64" s="5">
        <v>0.93106845999999999</v>
      </c>
      <c r="AB64" s="5" t="b">
        <f t="shared" si="18"/>
        <v>0</v>
      </c>
      <c r="AC64" s="60">
        <f t="shared" si="19"/>
        <v>0</v>
      </c>
      <c r="AD64" s="5">
        <f t="shared" si="20"/>
        <v>0</v>
      </c>
      <c r="AE64" s="5">
        <f t="shared" si="21"/>
        <v>0</v>
      </c>
      <c r="AF64" s="5">
        <f t="shared" si="22"/>
        <v>0</v>
      </c>
      <c r="AG64" s="5">
        <f t="shared" si="23"/>
        <v>0</v>
      </c>
      <c r="AH64" s="5">
        <f t="shared" si="24"/>
        <v>0</v>
      </c>
      <c r="AI64" s="5">
        <f t="shared" si="25"/>
        <v>0</v>
      </c>
      <c r="AJ64" s="5">
        <f t="shared" si="26"/>
        <v>0</v>
      </c>
      <c r="AL64" s="5">
        <f t="shared" si="27"/>
        <v>0</v>
      </c>
      <c r="AM64" s="8">
        <f t="shared" ca="1" si="28"/>
        <v>0</v>
      </c>
      <c r="AN64" s="8">
        <f t="shared" ca="1" si="29"/>
        <v>0</v>
      </c>
      <c r="AO64" s="5">
        <f t="shared" ca="1" si="30"/>
        <v>0</v>
      </c>
      <c r="AP64" s="5">
        <f t="shared" ca="1" si="31"/>
        <v>0</v>
      </c>
      <c r="AQ64" s="5">
        <f t="shared" si="32"/>
        <v>0</v>
      </c>
      <c r="AR64" s="60"/>
      <c r="AS64" s="8">
        <f t="shared" si="33"/>
        <v>0</v>
      </c>
      <c r="AT64" s="5">
        <f t="shared" si="34"/>
        <v>0</v>
      </c>
      <c r="AU64" s="8">
        <f t="shared" ca="1" si="35"/>
        <v>0</v>
      </c>
      <c r="AV64" s="8">
        <f t="shared" ca="1" si="36"/>
        <v>0</v>
      </c>
      <c r="AW64" s="5">
        <f t="shared" ca="1" si="37"/>
        <v>0</v>
      </c>
      <c r="AX64" s="5">
        <f t="shared" ca="1" si="38"/>
        <v>0</v>
      </c>
      <c r="AY64" s="5">
        <f t="shared" si="39"/>
        <v>0</v>
      </c>
    </row>
    <row r="65" spans="21:51">
      <c r="U65" s="13"/>
      <c r="Y65" s="13">
        <v>45810</v>
      </c>
      <c r="Z65" s="5">
        <v>0.92803804000000001</v>
      </c>
      <c r="AB65" s="5" t="b">
        <f t="shared" si="18"/>
        <v>0</v>
      </c>
      <c r="AC65" s="60">
        <f t="shared" si="19"/>
        <v>0</v>
      </c>
      <c r="AD65" s="5">
        <f t="shared" si="20"/>
        <v>0</v>
      </c>
      <c r="AE65" s="5">
        <f t="shared" si="21"/>
        <v>0</v>
      </c>
      <c r="AF65" s="5">
        <f t="shared" si="22"/>
        <v>0</v>
      </c>
      <c r="AG65" s="5">
        <f t="shared" si="23"/>
        <v>0</v>
      </c>
      <c r="AH65" s="5">
        <f t="shared" si="24"/>
        <v>0</v>
      </c>
      <c r="AI65" s="5">
        <f t="shared" si="25"/>
        <v>0</v>
      </c>
      <c r="AJ65" s="5">
        <f t="shared" si="26"/>
        <v>0</v>
      </c>
      <c r="AL65" s="5">
        <f t="shared" si="27"/>
        <v>0</v>
      </c>
      <c r="AM65" s="8">
        <f t="shared" ca="1" si="28"/>
        <v>0</v>
      </c>
      <c r="AN65" s="8">
        <f t="shared" ca="1" si="29"/>
        <v>0</v>
      </c>
      <c r="AO65" s="5">
        <f t="shared" ca="1" si="30"/>
        <v>0</v>
      </c>
      <c r="AP65" s="5">
        <f t="shared" ca="1" si="31"/>
        <v>0</v>
      </c>
      <c r="AQ65" s="5">
        <f t="shared" si="32"/>
        <v>0</v>
      </c>
      <c r="AR65" s="60"/>
      <c r="AS65" s="8">
        <f t="shared" si="33"/>
        <v>0</v>
      </c>
      <c r="AT65" s="5">
        <f t="shared" si="34"/>
        <v>0</v>
      </c>
      <c r="AU65" s="8">
        <f t="shared" ca="1" si="35"/>
        <v>0</v>
      </c>
      <c r="AV65" s="8">
        <f t="shared" ca="1" si="36"/>
        <v>0</v>
      </c>
      <c r="AW65" s="5">
        <f t="shared" ca="1" si="37"/>
        <v>0</v>
      </c>
      <c r="AX65" s="5">
        <f t="shared" ca="1" si="38"/>
        <v>0</v>
      </c>
      <c r="AY65" s="5">
        <f t="shared" si="39"/>
        <v>0</v>
      </c>
    </row>
    <row r="66" spans="21:51">
      <c r="U66" s="13"/>
      <c r="Y66" s="13">
        <v>45902</v>
      </c>
      <c r="Z66" s="5">
        <v>0.92494719000000003</v>
      </c>
      <c r="AB66" s="5" t="b">
        <f t="shared" si="18"/>
        <v>0</v>
      </c>
      <c r="AC66" s="60">
        <f t="shared" si="19"/>
        <v>0</v>
      </c>
      <c r="AD66" s="5">
        <f t="shared" si="20"/>
        <v>0</v>
      </c>
      <c r="AE66" s="5">
        <f t="shared" si="21"/>
        <v>0</v>
      </c>
      <c r="AF66" s="5">
        <f t="shared" si="22"/>
        <v>0</v>
      </c>
      <c r="AG66" s="5">
        <f t="shared" si="23"/>
        <v>0</v>
      </c>
      <c r="AH66" s="5">
        <f t="shared" si="24"/>
        <v>0</v>
      </c>
      <c r="AI66" s="5">
        <f t="shared" si="25"/>
        <v>0</v>
      </c>
      <c r="AJ66" s="5">
        <f t="shared" si="26"/>
        <v>0</v>
      </c>
      <c r="AL66" s="5">
        <f t="shared" si="27"/>
        <v>0</v>
      </c>
      <c r="AM66" s="8">
        <f t="shared" ca="1" si="28"/>
        <v>0</v>
      </c>
      <c r="AN66" s="8">
        <f t="shared" ca="1" si="29"/>
        <v>0</v>
      </c>
      <c r="AO66" s="5">
        <f t="shared" ca="1" si="30"/>
        <v>0</v>
      </c>
      <c r="AP66" s="5">
        <f t="shared" ca="1" si="31"/>
        <v>0</v>
      </c>
      <c r="AQ66" s="5">
        <f t="shared" si="32"/>
        <v>0</v>
      </c>
      <c r="AR66" s="60"/>
      <c r="AS66" s="8">
        <f t="shared" si="33"/>
        <v>0</v>
      </c>
      <c r="AT66" s="5">
        <f t="shared" si="34"/>
        <v>0</v>
      </c>
      <c r="AU66" s="8">
        <f t="shared" ca="1" si="35"/>
        <v>0</v>
      </c>
      <c r="AV66" s="8">
        <f t="shared" ca="1" si="36"/>
        <v>0</v>
      </c>
      <c r="AW66" s="5">
        <f t="shared" ca="1" si="37"/>
        <v>0</v>
      </c>
      <c r="AX66" s="5">
        <f t="shared" ca="1" si="38"/>
        <v>0</v>
      </c>
      <c r="AY66" s="5">
        <f t="shared" si="39"/>
        <v>0</v>
      </c>
    </row>
    <row r="67" spans="21:51">
      <c r="U67" s="13"/>
      <c r="Y67" s="13">
        <v>45992</v>
      </c>
      <c r="Z67" s="5">
        <v>0.92190528999999999</v>
      </c>
      <c r="AB67" s="5" t="b">
        <f t="shared" si="18"/>
        <v>0</v>
      </c>
      <c r="AC67" s="60">
        <f t="shared" si="19"/>
        <v>0</v>
      </c>
      <c r="AD67" s="5">
        <f t="shared" si="20"/>
        <v>0</v>
      </c>
      <c r="AE67" s="5">
        <f t="shared" si="21"/>
        <v>0</v>
      </c>
      <c r="AF67" s="5">
        <f t="shared" si="22"/>
        <v>0</v>
      </c>
      <c r="AG67" s="5">
        <f t="shared" si="23"/>
        <v>0</v>
      </c>
      <c r="AH67" s="5">
        <f t="shared" si="24"/>
        <v>0</v>
      </c>
      <c r="AI67" s="5">
        <f t="shared" si="25"/>
        <v>0</v>
      </c>
      <c r="AJ67" s="5">
        <f t="shared" si="26"/>
        <v>0</v>
      </c>
      <c r="AL67" s="5">
        <f t="shared" si="27"/>
        <v>0</v>
      </c>
      <c r="AM67" s="8">
        <f t="shared" ca="1" si="28"/>
        <v>0</v>
      </c>
      <c r="AN67" s="8">
        <f t="shared" ca="1" si="29"/>
        <v>0</v>
      </c>
      <c r="AO67" s="5">
        <f t="shared" ca="1" si="30"/>
        <v>0</v>
      </c>
      <c r="AP67" s="5">
        <f t="shared" ca="1" si="31"/>
        <v>0</v>
      </c>
      <c r="AQ67" s="5">
        <f t="shared" si="32"/>
        <v>0</v>
      </c>
      <c r="AR67" s="60"/>
      <c r="AS67" s="8">
        <f t="shared" si="33"/>
        <v>0</v>
      </c>
      <c r="AT67" s="5">
        <f t="shared" si="34"/>
        <v>0</v>
      </c>
      <c r="AU67" s="8">
        <f t="shared" ca="1" si="35"/>
        <v>0</v>
      </c>
      <c r="AV67" s="8">
        <f t="shared" ca="1" si="36"/>
        <v>0</v>
      </c>
      <c r="AW67" s="5">
        <f t="shared" ca="1" si="37"/>
        <v>0</v>
      </c>
      <c r="AX67" s="5">
        <f t="shared" ca="1" si="38"/>
        <v>0</v>
      </c>
      <c r="AY67" s="5">
        <f t="shared" si="39"/>
        <v>0</v>
      </c>
    </row>
    <row r="68" spans="21:51">
      <c r="U68" s="13"/>
      <c r="Y68" s="13">
        <v>46083</v>
      </c>
      <c r="Z68" s="5">
        <v>0.91880987000000003</v>
      </c>
      <c r="AB68" s="5" t="b">
        <f t="shared" si="18"/>
        <v>0</v>
      </c>
      <c r="AC68" s="60">
        <f t="shared" si="19"/>
        <v>0</v>
      </c>
      <c r="AD68" s="5">
        <f t="shared" si="20"/>
        <v>0</v>
      </c>
      <c r="AE68" s="5">
        <f t="shared" si="21"/>
        <v>0</v>
      </c>
      <c r="AF68" s="5">
        <f t="shared" si="22"/>
        <v>0</v>
      </c>
      <c r="AG68" s="5">
        <f t="shared" si="23"/>
        <v>0</v>
      </c>
      <c r="AH68" s="5">
        <f t="shared" si="24"/>
        <v>0</v>
      </c>
      <c r="AI68" s="5">
        <f t="shared" si="25"/>
        <v>0</v>
      </c>
      <c r="AJ68" s="5">
        <f t="shared" si="26"/>
        <v>0</v>
      </c>
      <c r="AL68" s="5">
        <f t="shared" si="27"/>
        <v>0</v>
      </c>
      <c r="AM68" s="8">
        <f t="shared" ca="1" si="28"/>
        <v>0</v>
      </c>
      <c r="AN68" s="8">
        <f t="shared" ca="1" si="29"/>
        <v>0</v>
      </c>
      <c r="AO68" s="5">
        <f t="shared" ca="1" si="30"/>
        <v>0</v>
      </c>
      <c r="AP68" s="5">
        <f t="shared" ca="1" si="31"/>
        <v>0</v>
      </c>
      <c r="AQ68" s="5">
        <f t="shared" si="32"/>
        <v>0</v>
      </c>
      <c r="AR68" s="60"/>
      <c r="AS68" s="8">
        <f t="shared" si="33"/>
        <v>0</v>
      </c>
      <c r="AT68" s="5">
        <f t="shared" si="34"/>
        <v>0</v>
      </c>
      <c r="AU68" s="8">
        <f t="shared" ca="1" si="35"/>
        <v>0</v>
      </c>
      <c r="AV68" s="8">
        <f t="shared" ca="1" si="36"/>
        <v>0</v>
      </c>
      <c r="AW68" s="5">
        <f t="shared" ca="1" si="37"/>
        <v>0</v>
      </c>
      <c r="AX68" s="5">
        <f t="shared" ca="1" si="38"/>
        <v>0</v>
      </c>
      <c r="AY68" s="5">
        <f t="shared" si="39"/>
        <v>0</v>
      </c>
    </row>
    <row r="69" spans="21:51">
      <c r="U69" s="13"/>
      <c r="Y69" s="13">
        <v>46174</v>
      </c>
      <c r="Z69" s="5">
        <v>0.91569056000000004</v>
      </c>
      <c r="AB69" s="5" t="b">
        <f t="shared" si="18"/>
        <v>0</v>
      </c>
      <c r="AC69" s="60">
        <f t="shared" si="19"/>
        <v>0</v>
      </c>
      <c r="AD69" s="5">
        <f t="shared" si="20"/>
        <v>0</v>
      </c>
      <c r="AE69" s="5">
        <f t="shared" si="21"/>
        <v>0</v>
      </c>
      <c r="AF69" s="5">
        <f t="shared" si="22"/>
        <v>0</v>
      </c>
      <c r="AG69" s="5">
        <f t="shared" si="23"/>
        <v>0</v>
      </c>
      <c r="AH69" s="5">
        <f t="shared" si="24"/>
        <v>0</v>
      </c>
      <c r="AI69" s="5">
        <f t="shared" si="25"/>
        <v>0</v>
      </c>
      <c r="AJ69" s="5">
        <f t="shared" si="26"/>
        <v>0</v>
      </c>
      <c r="AL69" s="5">
        <f t="shared" si="27"/>
        <v>0</v>
      </c>
      <c r="AM69" s="8">
        <f t="shared" ca="1" si="28"/>
        <v>0</v>
      </c>
      <c r="AN69" s="8">
        <f t="shared" ca="1" si="29"/>
        <v>0</v>
      </c>
      <c r="AO69" s="5">
        <f t="shared" ca="1" si="30"/>
        <v>0</v>
      </c>
      <c r="AP69" s="5">
        <f t="shared" ca="1" si="31"/>
        <v>0</v>
      </c>
      <c r="AQ69" s="5">
        <f t="shared" si="32"/>
        <v>0</v>
      </c>
      <c r="AR69" s="60"/>
      <c r="AS69" s="8">
        <f t="shared" si="33"/>
        <v>0</v>
      </c>
      <c r="AT69" s="5">
        <f t="shared" si="34"/>
        <v>0</v>
      </c>
      <c r="AU69" s="8">
        <f t="shared" ca="1" si="35"/>
        <v>0</v>
      </c>
      <c r="AV69" s="8">
        <f t="shared" ca="1" si="36"/>
        <v>0</v>
      </c>
      <c r="AW69" s="5">
        <f t="shared" ca="1" si="37"/>
        <v>0</v>
      </c>
      <c r="AX69" s="5">
        <f t="shared" ca="1" si="38"/>
        <v>0</v>
      </c>
      <c r="AY69" s="5">
        <f t="shared" si="39"/>
        <v>0</v>
      </c>
    </row>
    <row r="70" spans="21:51">
      <c r="U70" s="13"/>
      <c r="Y70" s="13">
        <v>46266</v>
      </c>
      <c r="Z70" s="5">
        <v>0.9125086</v>
      </c>
      <c r="AB70" s="5" t="b">
        <f t="shared" si="18"/>
        <v>0</v>
      </c>
      <c r="AC70" s="60">
        <f t="shared" si="19"/>
        <v>0</v>
      </c>
      <c r="AD70" s="5">
        <f t="shared" si="20"/>
        <v>0</v>
      </c>
      <c r="AE70" s="5">
        <f t="shared" si="21"/>
        <v>0</v>
      </c>
      <c r="AF70" s="5">
        <f t="shared" si="22"/>
        <v>0</v>
      </c>
      <c r="AG70" s="5">
        <f t="shared" si="23"/>
        <v>0</v>
      </c>
      <c r="AH70" s="5">
        <f t="shared" si="24"/>
        <v>0</v>
      </c>
      <c r="AI70" s="5">
        <f t="shared" si="25"/>
        <v>0</v>
      </c>
      <c r="AJ70" s="5">
        <f t="shared" si="26"/>
        <v>0</v>
      </c>
      <c r="AL70" s="5">
        <f t="shared" si="27"/>
        <v>0</v>
      </c>
      <c r="AM70" s="8">
        <f t="shared" ca="1" si="28"/>
        <v>0</v>
      </c>
      <c r="AN70" s="8">
        <f t="shared" ca="1" si="29"/>
        <v>0</v>
      </c>
      <c r="AO70" s="5">
        <f t="shared" ca="1" si="30"/>
        <v>0</v>
      </c>
      <c r="AP70" s="5">
        <f t="shared" ca="1" si="31"/>
        <v>0</v>
      </c>
      <c r="AQ70" s="5">
        <f t="shared" si="32"/>
        <v>0</v>
      </c>
      <c r="AR70" s="60"/>
      <c r="AS70" s="8">
        <f t="shared" si="33"/>
        <v>0</v>
      </c>
      <c r="AT70" s="5">
        <f t="shared" si="34"/>
        <v>0</v>
      </c>
      <c r="AU70" s="8">
        <f t="shared" ca="1" si="35"/>
        <v>0</v>
      </c>
      <c r="AV70" s="8">
        <f t="shared" ca="1" si="36"/>
        <v>0</v>
      </c>
      <c r="AW70" s="5">
        <f t="shared" ca="1" si="37"/>
        <v>0</v>
      </c>
      <c r="AX70" s="5">
        <f t="shared" ca="1" si="38"/>
        <v>0</v>
      </c>
      <c r="AY70" s="5">
        <f t="shared" si="39"/>
        <v>0</v>
      </c>
    </row>
    <row r="71" spans="21:51">
      <c r="U71" s="13"/>
      <c r="Y71" s="13">
        <v>46357</v>
      </c>
      <c r="Z71" s="5">
        <v>0.90933012999999996</v>
      </c>
      <c r="AB71" s="5" t="b">
        <f t="shared" si="18"/>
        <v>0</v>
      </c>
      <c r="AC71" s="60">
        <f t="shared" si="19"/>
        <v>0</v>
      </c>
      <c r="AD71" s="5">
        <f t="shared" si="20"/>
        <v>0</v>
      </c>
      <c r="AE71" s="5">
        <f t="shared" si="21"/>
        <v>0</v>
      </c>
      <c r="AF71" s="5">
        <f t="shared" si="22"/>
        <v>0</v>
      </c>
      <c r="AG71" s="5">
        <f t="shared" si="23"/>
        <v>0</v>
      </c>
      <c r="AH71" s="5">
        <f t="shared" si="24"/>
        <v>0</v>
      </c>
      <c r="AI71" s="5">
        <f t="shared" si="25"/>
        <v>0</v>
      </c>
      <c r="AJ71" s="5">
        <f t="shared" si="26"/>
        <v>0</v>
      </c>
      <c r="AL71" s="5">
        <f t="shared" si="27"/>
        <v>0</v>
      </c>
      <c r="AM71" s="8">
        <f t="shared" ca="1" si="28"/>
        <v>0</v>
      </c>
      <c r="AN71" s="8">
        <f t="shared" ca="1" si="29"/>
        <v>0</v>
      </c>
      <c r="AO71" s="5">
        <f t="shared" ca="1" si="30"/>
        <v>0</v>
      </c>
      <c r="AP71" s="5">
        <f t="shared" ca="1" si="31"/>
        <v>0</v>
      </c>
      <c r="AQ71" s="5">
        <f t="shared" si="32"/>
        <v>0</v>
      </c>
      <c r="AR71" s="60"/>
      <c r="AS71" s="8">
        <f t="shared" si="33"/>
        <v>0</v>
      </c>
      <c r="AT71" s="5">
        <f t="shared" si="34"/>
        <v>0</v>
      </c>
      <c r="AU71" s="8">
        <f t="shared" ca="1" si="35"/>
        <v>0</v>
      </c>
      <c r="AV71" s="8">
        <f t="shared" ca="1" si="36"/>
        <v>0</v>
      </c>
      <c r="AW71" s="5">
        <f t="shared" ca="1" si="37"/>
        <v>0</v>
      </c>
      <c r="AX71" s="5">
        <f t="shared" ca="1" si="38"/>
        <v>0</v>
      </c>
      <c r="AY71" s="5">
        <f t="shared" si="39"/>
        <v>0</v>
      </c>
    </row>
    <row r="72" spans="21:51">
      <c r="U72" s="13"/>
      <c r="Y72" s="13">
        <v>46447</v>
      </c>
      <c r="Z72" s="5">
        <v>0.90615800000000002</v>
      </c>
      <c r="AB72" s="5" t="b">
        <f t="shared" si="18"/>
        <v>0</v>
      </c>
      <c r="AC72" s="60">
        <f t="shared" si="19"/>
        <v>0</v>
      </c>
      <c r="AD72" s="5">
        <f t="shared" si="20"/>
        <v>0</v>
      </c>
      <c r="AE72" s="5">
        <f t="shared" si="21"/>
        <v>0</v>
      </c>
      <c r="AF72" s="5">
        <f t="shared" si="22"/>
        <v>0</v>
      </c>
      <c r="AG72" s="5">
        <f t="shared" si="23"/>
        <v>0</v>
      </c>
      <c r="AH72" s="5">
        <f t="shared" si="24"/>
        <v>0</v>
      </c>
      <c r="AI72" s="5">
        <f t="shared" si="25"/>
        <v>0</v>
      </c>
      <c r="AJ72" s="5">
        <f t="shared" si="26"/>
        <v>0</v>
      </c>
      <c r="AL72" s="5">
        <f t="shared" si="27"/>
        <v>0</v>
      </c>
      <c r="AM72" s="8">
        <f t="shared" ca="1" si="28"/>
        <v>0</v>
      </c>
      <c r="AN72" s="8">
        <f t="shared" ca="1" si="29"/>
        <v>0</v>
      </c>
      <c r="AO72" s="5">
        <f t="shared" ca="1" si="30"/>
        <v>0</v>
      </c>
      <c r="AP72" s="5">
        <f t="shared" ca="1" si="31"/>
        <v>0</v>
      </c>
      <c r="AQ72" s="5">
        <f t="shared" si="32"/>
        <v>0</v>
      </c>
      <c r="AR72" s="60"/>
      <c r="AS72" s="8">
        <f t="shared" si="33"/>
        <v>0</v>
      </c>
      <c r="AT72" s="5">
        <f t="shared" si="34"/>
        <v>0</v>
      </c>
      <c r="AU72" s="8">
        <f t="shared" ca="1" si="35"/>
        <v>0</v>
      </c>
      <c r="AV72" s="8">
        <f t="shared" ca="1" si="36"/>
        <v>0</v>
      </c>
      <c r="AW72" s="5">
        <f t="shared" ca="1" si="37"/>
        <v>0</v>
      </c>
      <c r="AX72" s="5">
        <f t="shared" ca="1" si="38"/>
        <v>0</v>
      </c>
      <c r="AY72" s="5">
        <f t="shared" si="39"/>
        <v>0</v>
      </c>
    </row>
    <row r="73" spans="21:51">
      <c r="U73" s="13"/>
      <c r="Y73" s="13">
        <v>46539</v>
      </c>
      <c r="Z73" s="5">
        <v>0.90288944000000004</v>
      </c>
      <c r="AB73" s="5" t="b">
        <f t="shared" si="18"/>
        <v>0</v>
      </c>
      <c r="AC73" s="60">
        <f t="shared" si="19"/>
        <v>0</v>
      </c>
      <c r="AD73" s="5">
        <f t="shared" si="20"/>
        <v>0</v>
      </c>
      <c r="AE73" s="5">
        <f t="shared" si="21"/>
        <v>0</v>
      </c>
      <c r="AF73" s="5">
        <f t="shared" si="22"/>
        <v>0</v>
      </c>
      <c r="AG73" s="5">
        <f t="shared" si="23"/>
        <v>0</v>
      </c>
      <c r="AH73" s="5">
        <f t="shared" si="24"/>
        <v>0</v>
      </c>
      <c r="AI73" s="5">
        <f t="shared" si="25"/>
        <v>0</v>
      </c>
      <c r="AJ73" s="5">
        <f t="shared" si="26"/>
        <v>0</v>
      </c>
      <c r="AL73" s="5">
        <f t="shared" si="27"/>
        <v>0</v>
      </c>
      <c r="AM73" s="8">
        <f t="shared" ca="1" si="28"/>
        <v>0</v>
      </c>
      <c r="AN73" s="8">
        <f t="shared" ca="1" si="29"/>
        <v>0</v>
      </c>
      <c r="AO73" s="5">
        <f t="shared" ca="1" si="30"/>
        <v>0</v>
      </c>
      <c r="AP73" s="5">
        <f t="shared" ca="1" si="31"/>
        <v>0</v>
      </c>
      <c r="AQ73" s="5">
        <f t="shared" si="32"/>
        <v>0</v>
      </c>
      <c r="AR73" s="60"/>
      <c r="AS73" s="8">
        <f t="shared" si="33"/>
        <v>0</v>
      </c>
      <c r="AT73" s="5">
        <f t="shared" si="34"/>
        <v>0</v>
      </c>
      <c r="AU73" s="8">
        <f t="shared" ca="1" si="35"/>
        <v>0</v>
      </c>
      <c r="AV73" s="8">
        <f t="shared" ca="1" si="36"/>
        <v>0</v>
      </c>
      <c r="AW73" s="5">
        <f t="shared" ca="1" si="37"/>
        <v>0</v>
      </c>
      <c r="AX73" s="5">
        <f t="shared" ca="1" si="38"/>
        <v>0</v>
      </c>
      <c r="AY73" s="5">
        <f t="shared" si="39"/>
        <v>0</v>
      </c>
    </row>
    <row r="74" spans="21:51">
      <c r="U74" s="13"/>
      <c r="Y74" s="13">
        <v>46631</v>
      </c>
      <c r="Z74" s="5">
        <v>0.89959807000000003</v>
      </c>
      <c r="AB74" s="5" t="b">
        <f t="shared" si="18"/>
        <v>0</v>
      </c>
      <c r="AC74" s="60">
        <f t="shared" si="19"/>
        <v>0</v>
      </c>
      <c r="AD74" s="5">
        <f t="shared" si="20"/>
        <v>0</v>
      </c>
      <c r="AE74" s="5">
        <f t="shared" si="21"/>
        <v>0</v>
      </c>
      <c r="AF74" s="5">
        <f t="shared" si="22"/>
        <v>0</v>
      </c>
      <c r="AG74" s="5">
        <f t="shared" si="23"/>
        <v>0</v>
      </c>
      <c r="AH74" s="5">
        <f t="shared" si="24"/>
        <v>0</v>
      </c>
      <c r="AI74" s="5">
        <f t="shared" si="25"/>
        <v>0</v>
      </c>
      <c r="AJ74" s="5">
        <f t="shared" si="26"/>
        <v>0</v>
      </c>
      <c r="AL74" s="5">
        <f t="shared" si="27"/>
        <v>0</v>
      </c>
      <c r="AM74" s="8">
        <f t="shared" ca="1" si="28"/>
        <v>0</v>
      </c>
      <c r="AN74" s="8">
        <f t="shared" ca="1" si="29"/>
        <v>0</v>
      </c>
      <c r="AO74" s="5">
        <f t="shared" ca="1" si="30"/>
        <v>0</v>
      </c>
      <c r="AP74" s="5">
        <f t="shared" ca="1" si="31"/>
        <v>0</v>
      </c>
      <c r="AQ74" s="5">
        <f t="shared" si="32"/>
        <v>0</v>
      </c>
      <c r="AR74" s="60"/>
      <c r="AS74" s="8">
        <f t="shared" si="33"/>
        <v>0</v>
      </c>
      <c r="AT74" s="5">
        <f t="shared" si="34"/>
        <v>0</v>
      </c>
      <c r="AU74" s="8">
        <f t="shared" ca="1" si="35"/>
        <v>0</v>
      </c>
      <c r="AV74" s="8">
        <f t="shared" ca="1" si="36"/>
        <v>0</v>
      </c>
      <c r="AW74" s="5">
        <f t="shared" ca="1" si="37"/>
        <v>0</v>
      </c>
      <c r="AX74" s="5">
        <f t="shared" ca="1" si="38"/>
        <v>0</v>
      </c>
      <c r="AY74" s="5">
        <f t="shared" si="39"/>
        <v>0</v>
      </c>
    </row>
    <row r="75" spans="21:51">
      <c r="U75" s="13"/>
      <c r="Y75" s="13">
        <v>46722</v>
      </c>
      <c r="Z75" s="5">
        <v>0.89632095000000001</v>
      </c>
      <c r="AB75" s="5" t="b">
        <f t="shared" si="18"/>
        <v>0</v>
      </c>
      <c r="AC75" s="60">
        <f t="shared" si="19"/>
        <v>0</v>
      </c>
      <c r="AD75" s="5">
        <f t="shared" si="20"/>
        <v>0</v>
      </c>
      <c r="AE75" s="5">
        <f t="shared" si="21"/>
        <v>0</v>
      </c>
      <c r="AF75" s="5">
        <f t="shared" si="22"/>
        <v>0</v>
      </c>
      <c r="AG75" s="5">
        <f t="shared" si="23"/>
        <v>0</v>
      </c>
      <c r="AH75" s="5">
        <f t="shared" si="24"/>
        <v>0</v>
      </c>
      <c r="AI75" s="5">
        <f t="shared" si="25"/>
        <v>0</v>
      </c>
      <c r="AJ75" s="5">
        <f t="shared" si="26"/>
        <v>0</v>
      </c>
      <c r="AL75" s="5">
        <f t="shared" si="27"/>
        <v>0</v>
      </c>
      <c r="AM75" s="8">
        <f t="shared" ca="1" si="28"/>
        <v>0</v>
      </c>
      <c r="AN75" s="8">
        <f t="shared" ca="1" si="29"/>
        <v>0</v>
      </c>
      <c r="AO75" s="5">
        <f t="shared" ca="1" si="30"/>
        <v>0</v>
      </c>
      <c r="AP75" s="5">
        <f t="shared" ca="1" si="31"/>
        <v>0</v>
      </c>
      <c r="AQ75" s="5">
        <f t="shared" si="32"/>
        <v>0</v>
      </c>
      <c r="AR75" s="60"/>
      <c r="AS75" s="8">
        <f t="shared" si="33"/>
        <v>0</v>
      </c>
      <c r="AT75" s="5">
        <f t="shared" si="34"/>
        <v>0</v>
      </c>
      <c r="AU75" s="8">
        <f t="shared" ca="1" si="35"/>
        <v>0</v>
      </c>
      <c r="AV75" s="8">
        <f t="shared" ca="1" si="36"/>
        <v>0</v>
      </c>
      <c r="AW75" s="5">
        <f t="shared" ca="1" si="37"/>
        <v>0</v>
      </c>
      <c r="AX75" s="5">
        <f t="shared" ca="1" si="38"/>
        <v>0</v>
      </c>
      <c r="AY75" s="5">
        <f t="shared" si="39"/>
        <v>0</v>
      </c>
    </row>
    <row r="76" spans="21:51">
      <c r="U76" s="13"/>
      <c r="Y76" s="13">
        <v>46813</v>
      </c>
      <c r="Z76" s="5">
        <v>0.89301142</v>
      </c>
      <c r="AB76" s="5" t="b">
        <f t="shared" si="18"/>
        <v>0</v>
      </c>
      <c r="AC76" s="60">
        <f t="shared" si="19"/>
        <v>0</v>
      </c>
      <c r="AD76" s="5">
        <f t="shared" si="20"/>
        <v>0</v>
      </c>
      <c r="AE76" s="5">
        <f t="shared" si="21"/>
        <v>0</v>
      </c>
      <c r="AF76" s="5">
        <f t="shared" si="22"/>
        <v>0</v>
      </c>
      <c r="AG76" s="5">
        <f t="shared" si="23"/>
        <v>0</v>
      </c>
      <c r="AH76" s="5">
        <f t="shared" si="24"/>
        <v>0</v>
      </c>
      <c r="AI76" s="5">
        <f t="shared" si="25"/>
        <v>0</v>
      </c>
      <c r="AJ76" s="5">
        <f t="shared" si="26"/>
        <v>0</v>
      </c>
      <c r="AL76" s="5">
        <f t="shared" si="27"/>
        <v>0</v>
      </c>
      <c r="AM76" s="8">
        <f t="shared" ca="1" si="28"/>
        <v>0</v>
      </c>
      <c r="AN76" s="8">
        <f t="shared" ca="1" si="29"/>
        <v>0</v>
      </c>
      <c r="AO76" s="5">
        <f t="shared" ca="1" si="30"/>
        <v>0</v>
      </c>
      <c r="AP76" s="5">
        <f t="shared" ca="1" si="31"/>
        <v>0</v>
      </c>
      <c r="AQ76" s="5">
        <f t="shared" si="32"/>
        <v>0</v>
      </c>
      <c r="AR76" s="60"/>
      <c r="AS76" s="8">
        <f t="shared" si="33"/>
        <v>0</v>
      </c>
      <c r="AT76" s="5">
        <f t="shared" si="34"/>
        <v>0</v>
      </c>
      <c r="AU76" s="8">
        <f t="shared" ca="1" si="35"/>
        <v>0</v>
      </c>
      <c r="AV76" s="8">
        <f t="shared" ca="1" si="36"/>
        <v>0</v>
      </c>
      <c r="AW76" s="5">
        <f t="shared" ca="1" si="37"/>
        <v>0</v>
      </c>
      <c r="AX76" s="5">
        <f t="shared" ca="1" si="38"/>
        <v>0</v>
      </c>
      <c r="AY76" s="5">
        <f t="shared" si="39"/>
        <v>0</v>
      </c>
    </row>
    <row r="77" spans="21:51">
      <c r="U77" s="13"/>
      <c r="Y77" s="13">
        <v>46905</v>
      </c>
      <c r="Z77" s="5">
        <v>0.88961785000000004</v>
      </c>
      <c r="AB77" s="5" t="b">
        <f t="shared" si="18"/>
        <v>0</v>
      </c>
      <c r="AC77" s="60">
        <f t="shared" si="19"/>
        <v>0</v>
      </c>
      <c r="AD77" s="5">
        <f t="shared" si="20"/>
        <v>0</v>
      </c>
      <c r="AE77" s="5">
        <f t="shared" si="21"/>
        <v>0</v>
      </c>
      <c r="AF77" s="5">
        <f t="shared" si="22"/>
        <v>0</v>
      </c>
      <c r="AG77" s="5">
        <f t="shared" si="23"/>
        <v>0</v>
      </c>
      <c r="AH77" s="5">
        <f t="shared" si="24"/>
        <v>0</v>
      </c>
      <c r="AI77" s="5">
        <f t="shared" si="25"/>
        <v>0</v>
      </c>
      <c r="AJ77" s="5">
        <f t="shared" si="26"/>
        <v>0</v>
      </c>
      <c r="AL77" s="5">
        <f t="shared" si="27"/>
        <v>0</v>
      </c>
      <c r="AM77" s="8">
        <f t="shared" ca="1" si="28"/>
        <v>0</v>
      </c>
      <c r="AN77" s="8">
        <f t="shared" ca="1" si="29"/>
        <v>0</v>
      </c>
      <c r="AO77" s="5">
        <f t="shared" ca="1" si="30"/>
        <v>0</v>
      </c>
      <c r="AP77" s="5">
        <f t="shared" ca="1" si="31"/>
        <v>0</v>
      </c>
      <c r="AQ77" s="5">
        <f t="shared" si="32"/>
        <v>0</v>
      </c>
      <c r="AR77" s="60"/>
      <c r="AS77" s="8">
        <f t="shared" si="33"/>
        <v>0</v>
      </c>
      <c r="AT77" s="5">
        <f t="shared" si="34"/>
        <v>0</v>
      </c>
      <c r="AU77" s="8">
        <f t="shared" ca="1" si="35"/>
        <v>0</v>
      </c>
      <c r="AV77" s="8">
        <f t="shared" ca="1" si="36"/>
        <v>0</v>
      </c>
      <c r="AW77" s="5">
        <f t="shared" ca="1" si="37"/>
        <v>0</v>
      </c>
      <c r="AX77" s="5">
        <f t="shared" ca="1" si="38"/>
        <v>0</v>
      </c>
      <c r="AY77" s="5">
        <f t="shared" si="39"/>
        <v>0</v>
      </c>
    </row>
    <row r="78" spans="21:51">
      <c r="U78" s="13"/>
      <c r="Y78" s="13">
        <v>46997</v>
      </c>
      <c r="Z78" s="5">
        <v>0.88616174000000003</v>
      </c>
      <c r="AB78" s="5" t="b">
        <f t="shared" si="18"/>
        <v>0</v>
      </c>
      <c r="AC78" s="60">
        <f t="shared" si="19"/>
        <v>0</v>
      </c>
      <c r="AD78" s="5">
        <f t="shared" si="20"/>
        <v>0</v>
      </c>
      <c r="AE78" s="5">
        <f t="shared" si="21"/>
        <v>0</v>
      </c>
      <c r="AF78" s="5">
        <f t="shared" si="22"/>
        <v>0</v>
      </c>
      <c r="AG78" s="5">
        <f t="shared" si="23"/>
        <v>0</v>
      </c>
      <c r="AH78" s="5">
        <f t="shared" si="24"/>
        <v>0</v>
      </c>
      <c r="AI78" s="5">
        <f t="shared" si="25"/>
        <v>0</v>
      </c>
      <c r="AJ78" s="5">
        <f t="shared" si="26"/>
        <v>0</v>
      </c>
      <c r="AL78" s="5">
        <f t="shared" si="27"/>
        <v>0</v>
      </c>
      <c r="AM78" s="8">
        <f t="shared" ca="1" si="28"/>
        <v>0</v>
      </c>
      <c r="AN78" s="8">
        <f t="shared" ca="1" si="29"/>
        <v>0</v>
      </c>
      <c r="AO78" s="5">
        <f t="shared" ca="1" si="30"/>
        <v>0</v>
      </c>
      <c r="AP78" s="5">
        <f t="shared" ca="1" si="31"/>
        <v>0</v>
      </c>
      <c r="AQ78" s="5">
        <f t="shared" si="32"/>
        <v>0</v>
      </c>
      <c r="AR78" s="60"/>
      <c r="AS78" s="8">
        <f t="shared" si="33"/>
        <v>0</v>
      </c>
      <c r="AT78" s="5">
        <f t="shared" si="34"/>
        <v>0</v>
      </c>
      <c r="AU78" s="8">
        <f t="shared" ca="1" si="35"/>
        <v>0</v>
      </c>
      <c r="AV78" s="8">
        <f t="shared" ca="1" si="36"/>
        <v>0</v>
      </c>
      <c r="AW78" s="5">
        <f t="shared" ca="1" si="37"/>
        <v>0</v>
      </c>
      <c r="AX78" s="5">
        <f t="shared" ca="1" si="38"/>
        <v>0</v>
      </c>
      <c r="AY78" s="5">
        <f t="shared" si="39"/>
        <v>0</v>
      </c>
    </row>
    <row r="79" spans="21:51">
      <c r="U79" s="13"/>
      <c r="Y79" s="13">
        <v>47088</v>
      </c>
      <c r="Z79" s="5">
        <v>0.88268122000000004</v>
      </c>
      <c r="AB79" s="5" t="b">
        <f t="shared" si="18"/>
        <v>0</v>
      </c>
      <c r="AC79" s="60">
        <f t="shared" si="19"/>
        <v>0</v>
      </c>
      <c r="AD79" s="5">
        <f t="shared" si="20"/>
        <v>0</v>
      </c>
      <c r="AE79" s="5">
        <f t="shared" si="21"/>
        <v>0</v>
      </c>
      <c r="AF79" s="5">
        <f t="shared" si="22"/>
        <v>0</v>
      </c>
      <c r="AG79" s="5">
        <f t="shared" si="23"/>
        <v>0</v>
      </c>
      <c r="AH79" s="5">
        <f t="shared" si="24"/>
        <v>0</v>
      </c>
      <c r="AI79" s="5">
        <f t="shared" si="25"/>
        <v>0</v>
      </c>
      <c r="AJ79" s="5">
        <f t="shared" si="26"/>
        <v>0</v>
      </c>
      <c r="AL79" s="5">
        <f t="shared" si="27"/>
        <v>0</v>
      </c>
      <c r="AM79" s="8">
        <f t="shared" ca="1" si="28"/>
        <v>0</v>
      </c>
      <c r="AN79" s="8">
        <f t="shared" ca="1" si="29"/>
        <v>0</v>
      </c>
      <c r="AO79" s="5">
        <f t="shared" ca="1" si="30"/>
        <v>0</v>
      </c>
      <c r="AP79" s="5">
        <f t="shared" ca="1" si="31"/>
        <v>0</v>
      </c>
      <c r="AQ79" s="5">
        <f t="shared" si="32"/>
        <v>0</v>
      </c>
      <c r="AR79" s="60"/>
      <c r="AS79" s="8">
        <f t="shared" si="33"/>
        <v>0</v>
      </c>
      <c r="AT79" s="5">
        <f t="shared" si="34"/>
        <v>0</v>
      </c>
      <c r="AU79" s="8">
        <f t="shared" ca="1" si="35"/>
        <v>0</v>
      </c>
      <c r="AV79" s="8">
        <f t="shared" ca="1" si="36"/>
        <v>0</v>
      </c>
      <c r="AW79" s="5">
        <f t="shared" ca="1" si="37"/>
        <v>0</v>
      </c>
      <c r="AX79" s="5">
        <f t="shared" ca="1" si="38"/>
        <v>0</v>
      </c>
      <c r="AY79" s="5">
        <f t="shared" si="39"/>
        <v>0</v>
      </c>
    </row>
    <row r="80" spans="21:51">
      <c r="U80" s="13"/>
      <c r="Y80" s="13">
        <v>47178</v>
      </c>
      <c r="Z80" s="5">
        <v>0.87923903000000003</v>
      </c>
      <c r="AB80" s="5" t="b">
        <f t="shared" si="18"/>
        <v>0</v>
      </c>
      <c r="AC80" s="60">
        <f t="shared" si="19"/>
        <v>0</v>
      </c>
      <c r="AD80" s="5">
        <f t="shared" si="20"/>
        <v>0</v>
      </c>
      <c r="AE80" s="5">
        <f t="shared" si="21"/>
        <v>0</v>
      </c>
      <c r="AF80" s="5">
        <f t="shared" si="22"/>
        <v>0</v>
      </c>
      <c r="AG80" s="5">
        <f t="shared" si="23"/>
        <v>0</v>
      </c>
      <c r="AH80" s="5">
        <f t="shared" si="24"/>
        <v>0</v>
      </c>
      <c r="AI80" s="5">
        <f t="shared" si="25"/>
        <v>0</v>
      </c>
      <c r="AJ80" s="5">
        <f t="shared" si="26"/>
        <v>0</v>
      </c>
      <c r="AL80" s="5">
        <f t="shared" si="27"/>
        <v>0</v>
      </c>
      <c r="AM80" s="8">
        <f t="shared" ca="1" si="28"/>
        <v>0</v>
      </c>
      <c r="AN80" s="8">
        <f t="shared" ca="1" si="29"/>
        <v>0</v>
      </c>
      <c r="AO80" s="5">
        <f t="shared" ca="1" si="30"/>
        <v>0</v>
      </c>
      <c r="AP80" s="5">
        <f t="shared" ca="1" si="31"/>
        <v>0</v>
      </c>
      <c r="AQ80" s="5">
        <f t="shared" si="32"/>
        <v>0</v>
      </c>
      <c r="AR80" s="60"/>
      <c r="AS80" s="8">
        <f t="shared" si="33"/>
        <v>0</v>
      </c>
      <c r="AT80" s="5">
        <f t="shared" si="34"/>
        <v>0</v>
      </c>
      <c r="AU80" s="8">
        <f t="shared" ca="1" si="35"/>
        <v>0</v>
      </c>
      <c r="AV80" s="8">
        <f t="shared" ca="1" si="36"/>
        <v>0</v>
      </c>
      <c r="AW80" s="5">
        <f t="shared" ca="1" si="37"/>
        <v>0</v>
      </c>
      <c r="AX80" s="5">
        <f t="shared" ca="1" si="38"/>
        <v>0</v>
      </c>
      <c r="AY80" s="5">
        <f t="shared" si="39"/>
        <v>0</v>
      </c>
    </row>
    <row r="81" spans="21:51">
      <c r="U81" s="13"/>
      <c r="Y81" s="13"/>
      <c r="AB81" s="5" t="b">
        <f t="shared" si="18"/>
        <v>0</v>
      </c>
      <c r="AC81" s="60">
        <f t="shared" si="19"/>
        <v>0</v>
      </c>
      <c r="AD81" s="5">
        <f t="shared" si="20"/>
        <v>0</v>
      </c>
      <c r="AE81" s="5">
        <f t="shared" si="21"/>
        <v>0</v>
      </c>
      <c r="AF81" s="5">
        <f t="shared" si="22"/>
        <v>0</v>
      </c>
      <c r="AG81" s="5">
        <f t="shared" si="23"/>
        <v>0</v>
      </c>
      <c r="AH81" s="5">
        <f t="shared" si="24"/>
        <v>0</v>
      </c>
      <c r="AI81" s="5">
        <f t="shared" si="25"/>
        <v>0</v>
      </c>
      <c r="AJ81" s="5">
        <f t="shared" si="26"/>
        <v>0</v>
      </c>
      <c r="AL81" s="5">
        <f t="shared" si="27"/>
        <v>0</v>
      </c>
      <c r="AM81" s="8">
        <f t="shared" ca="1" si="28"/>
        <v>0</v>
      </c>
      <c r="AN81" s="8">
        <f t="shared" ca="1" si="29"/>
        <v>0</v>
      </c>
      <c r="AO81" s="5">
        <f t="shared" ca="1" si="30"/>
        <v>0</v>
      </c>
      <c r="AP81" s="5">
        <f t="shared" ca="1" si="31"/>
        <v>0</v>
      </c>
      <c r="AQ81" s="5">
        <f t="shared" si="32"/>
        <v>0</v>
      </c>
      <c r="AR81" s="60"/>
      <c r="AS81" s="8">
        <f t="shared" si="33"/>
        <v>0</v>
      </c>
      <c r="AT81" s="5">
        <f t="shared" si="34"/>
        <v>0</v>
      </c>
      <c r="AU81" s="8">
        <f t="shared" ca="1" si="35"/>
        <v>0</v>
      </c>
      <c r="AV81" s="8">
        <f t="shared" ca="1" si="36"/>
        <v>0</v>
      </c>
      <c r="AW81" s="5">
        <f t="shared" ca="1" si="37"/>
        <v>0</v>
      </c>
      <c r="AX81" s="5">
        <f t="shared" ca="1" si="38"/>
        <v>0</v>
      </c>
      <c r="AY81" s="5">
        <f t="shared" si="39"/>
        <v>0</v>
      </c>
    </row>
    <row r="82" spans="21:51">
      <c r="U82" s="13"/>
      <c r="Y82" s="13"/>
      <c r="AB82" s="5" t="b">
        <f t="shared" si="18"/>
        <v>0</v>
      </c>
      <c r="AC82" s="60">
        <f t="shared" si="19"/>
        <v>0</v>
      </c>
      <c r="AD82" s="5">
        <f t="shared" si="20"/>
        <v>0</v>
      </c>
      <c r="AE82" s="5">
        <f t="shared" si="21"/>
        <v>0</v>
      </c>
      <c r="AF82" s="5">
        <f t="shared" si="22"/>
        <v>0</v>
      </c>
      <c r="AG82" s="5">
        <f t="shared" si="23"/>
        <v>0</v>
      </c>
      <c r="AH82" s="5">
        <f t="shared" si="24"/>
        <v>0</v>
      </c>
      <c r="AI82" s="5">
        <f t="shared" si="25"/>
        <v>0</v>
      </c>
      <c r="AJ82" s="5">
        <f t="shared" si="26"/>
        <v>0</v>
      </c>
      <c r="AL82" s="5">
        <f t="shared" si="27"/>
        <v>0</v>
      </c>
      <c r="AM82" s="8">
        <f t="shared" ca="1" si="28"/>
        <v>0</v>
      </c>
      <c r="AN82" s="8">
        <f t="shared" ca="1" si="29"/>
        <v>0</v>
      </c>
      <c r="AO82" s="5">
        <f t="shared" ca="1" si="30"/>
        <v>0</v>
      </c>
      <c r="AP82" s="5">
        <f t="shared" ca="1" si="31"/>
        <v>0</v>
      </c>
      <c r="AQ82" s="5">
        <f t="shared" si="32"/>
        <v>0</v>
      </c>
      <c r="AR82" s="60"/>
      <c r="AS82" s="8">
        <f t="shared" si="33"/>
        <v>0</v>
      </c>
      <c r="AT82" s="5">
        <f t="shared" si="34"/>
        <v>0</v>
      </c>
      <c r="AU82" s="8">
        <f t="shared" ca="1" si="35"/>
        <v>0</v>
      </c>
      <c r="AV82" s="8">
        <f t="shared" ca="1" si="36"/>
        <v>0</v>
      </c>
      <c r="AW82" s="5">
        <f t="shared" ca="1" si="37"/>
        <v>0</v>
      </c>
      <c r="AX82" s="5">
        <f t="shared" ca="1" si="38"/>
        <v>0</v>
      </c>
      <c r="AY82" s="5">
        <f t="shared" si="39"/>
        <v>0</v>
      </c>
    </row>
    <row r="83" spans="21:51">
      <c r="U83" s="13"/>
      <c r="Y83" s="13"/>
      <c r="AB83" s="5" t="b">
        <f t="shared" si="18"/>
        <v>0</v>
      </c>
      <c r="AC83" s="60">
        <f t="shared" si="19"/>
        <v>0</v>
      </c>
      <c r="AD83" s="5">
        <f t="shared" si="20"/>
        <v>0</v>
      </c>
      <c r="AE83" s="5">
        <f t="shared" si="21"/>
        <v>0</v>
      </c>
      <c r="AF83" s="5">
        <f t="shared" si="22"/>
        <v>0</v>
      </c>
      <c r="AG83" s="5">
        <f t="shared" si="23"/>
        <v>0</v>
      </c>
      <c r="AH83" s="5">
        <f t="shared" si="24"/>
        <v>0</v>
      </c>
      <c r="AI83" s="5">
        <f t="shared" si="25"/>
        <v>0</v>
      </c>
      <c r="AJ83" s="5">
        <f t="shared" si="26"/>
        <v>0</v>
      </c>
      <c r="AL83" s="5">
        <f t="shared" si="27"/>
        <v>0</v>
      </c>
      <c r="AM83" s="8">
        <f t="shared" ca="1" si="28"/>
        <v>0</v>
      </c>
      <c r="AN83" s="8">
        <f t="shared" ca="1" si="29"/>
        <v>0</v>
      </c>
      <c r="AO83" s="5">
        <f t="shared" ca="1" si="30"/>
        <v>0</v>
      </c>
      <c r="AP83" s="5">
        <f t="shared" ca="1" si="31"/>
        <v>0</v>
      </c>
      <c r="AQ83" s="5">
        <f t="shared" si="32"/>
        <v>0</v>
      </c>
      <c r="AR83" s="60"/>
      <c r="AS83" s="8">
        <f t="shared" si="33"/>
        <v>0</v>
      </c>
      <c r="AT83" s="5">
        <f t="shared" si="34"/>
        <v>0</v>
      </c>
      <c r="AU83" s="8">
        <f t="shared" ca="1" si="35"/>
        <v>0</v>
      </c>
      <c r="AV83" s="8">
        <f t="shared" ca="1" si="36"/>
        <v>0</v>
      </c>
      <c r="AW83" s="5">
        <f t="shared" ca="1" si="37"/>
        <v>0</v>
      </c>
      <c r="AX83" s="5">
        <f t="shared" ca="1" si="38"/>
        <v>0</v>
      </c>
      <c r="AY83" s="5">
        <f t="shared" si="39"/>
        <v>0</v>
      </c>
    </row>
    <row r="84" spans="21:51">
      <c r="U84" s="13"/>
      <c r="Y84" s="13"/>
      <c r="AB84" s="5" t="b">
        <f t="shared" si="18"/>
        <v>0</v>
      </c>
      <c r="AC84" s="60">
        <f t="shared" si="19"/>
        <v>0</v>
      </c>
      <c r="AD84" s="5">
        <f t="shared" si="20"/>
        <v>0</v>
      </c>
      <c r="AE84" s="5">
        <f t="shared" si="21"/>
        <v>0</v>
      </c>
      <c r="AF84" s="5">
        <f t="shared" si="22"/>
        <v>0</v>
      </c>
      <c r="AG84" s="5">
        <f t="shared" si="23"/>
        <v>0</v>
      </c>
      <c r="AH84" s="5">
        <f t="shared" si="24"/>
        <v>0</v>
      </c>
      <c r="AI84" s="5">
        <f t="shared" si="25"/>
        <v>0</v>
      </c>
      <c r="AJ84" s="5">
        <f t="shared" si="26"/>
        <v>0</v>
      </c>
      <c r="AL84" s="5">
        <f t="shared" si="27"/>
        <v>0</v>
      </c>
      <c r="AM84" s="8">
        <f t="shared" ca="1" si="28"/>
        <v>0</v>
      </c>
      <c r="AN84" s="8">
        <f t="shared" ca="1" si="29"/>
        <v>0</v>
      </c>
      <c r="AO84" s="5">
        <f t="shared" ca="1" si="30"/>
        <v>0</v>
      </c>
      <c r="AP84" s="5">
        <f t="shared" ca="1" si="31"/>
        <v>0</v>
      </c>
      <c r="AQ84" s="5">
        <f t="shared" si="32"/>
        <v>0</v>
      </c>
      <c r="AR84" s="60"/>
      <c r="AS84" s="8">
        <f t="shared" si="33"/>
        <v>0</v>
      </c>
      <c r="AT84" s="5">
        <f t="shared" si="34"/>
        <v>0</v>
      </c>
      <c r="AU84" s="8">
        <f t="shared" ca="1" si="35"/>
        <v>0</v>
      </c>
      <c r="AV84" s="8">
        <f t="shared" ca="1" si="36"/>
        <v>0</v>
      </c>
      <c r="AW84" s="5">
        <f t="shared" ca="1" si="37"/>
        <v>0</v>
      </c>
      <c r="AX84" s="5">
        <f t="shared" ca="1" si="38"/>
        <v>0</v>
      </c>
      <c r="AY84" s="5">
        <f t="shared" si="39"/>
        <v>0</v>
      </c>
    </row>
    <row r="85" spans="21:51">
      <c r="U85" s="13"/>
      <c r="Y85" s="13"/>
      <c r="AB85" s="5" t="b">
        <f t="shared" si="18"/>
        <v>0</v>
      </c>
      <c r="AC85" s="60">
        <f t="shared" si="19"/>
        <v>0</v>
      </c>
      <c r="AD85" s="5">
        <f t="shared" si="20"/>
        <v>0</v>
      </c>
      <c r="AE85" s="5">
        <f t="shared" si="21"/>
        <v>0</v>
      </c>
      <c r="AF85" s="5">
        <f t="shared" si="22"/>
        <v>0</v>
      </c>
      <c r="AG85" s="5">
        <f t="shared" si="23"/>
        <v>0</v>
      </c>
      <c r="AH85" s="5">
        <f t="shared" si="24"/>
        <v>0</v>
      </c>
      <c r="AI85" s="5">
        <f t="shared" si="25"/>
        <v>0</v>
      </c>
      <c r="AJ85" s="5">
        <f t="shared" si="26"/>
        <v>0</v>
      </c>
      <c r="AL85" s="5">
        <f t="shared" si="27"/>
        <v>0</v>
      </c>
      <c r="AM85" s="8">
        <f t="shared" ca="1" si="28"/>
        <v>0</v>
      </c>
      <c r="AN85" s="8">
        <f t="shared" ca="1" si="29"/>
        <v>0</v>
      </c>
      <c r="AO85" s="5">
        <f t="shared" ca="1" si="30"/>
        <v>0</v>
      </c>
      <c r="AP85" s="5">
        <f t="shared" ca="1" si="31"/>
        <v>0</v>
      </c>
      <c r="AQ85" s="5">
        <f t="shared" si="32"/>
        <v>0</v>
      </c>
      <c r="AR85" s="60"/>
      <c r="AS85" s="8">
        <f t="shared" si="33"/>
        <v>0</v>
      </c>
      <c r="AT85" s="5">
        <f t="shared" si="34"/>
        <v>0</v>
      </c>
      <c r="AU85" s="8">
        <f t="shared" ca="1" si="35"/>
        <v>0</v>
      </c>
      <c r="AV85" s="8">
        <f t="shared" ca="1" si="36"/>
        <v>0</v>
      </c>
      <c r="AW85" s="5">
        <f t="shared" ca="1" si="37"/>
        <v>0</v>
      </c>
      <c r="AX85" s="5">
        <f t="shared" ca="1" si="38"/>
        <v>0</v>
      </c>
      <c r="AY85" s="5">
        <f t="shared" si="39"/>
        <v>0</v>
      </c>
    </row>
    <row r="86" spans="21:51">
      <c r="U86" s="13"/>
      <c r="Y86" s="13"/>
      <c r="AB86" s="5" t="b">
        <f t="shared" si="18"/>
        <v>0</v>
      </c>
      <c r="AC86" s="60">
        <f t="shared" si="19"/>
        <v>0</v>
      </c>
      <c r="AD86" s="5">
        <f t="shared" si="20"/>
        <v>0</v>
      </c>
      <c r="AE86" s="5">
        <f t="shared" si="21"/>
        <v>0</v>
      </c>
      <c r="AF86" s="5">
        <f t="shared" si="22"/>
        <v>0</v>
      </c>
      <c r="AG86" s="5">
        <f t="shared" si="23"/>
        <v>0</v>
      </c>
      <c r="AH86" s="5">
        <f t="shared" si="24"/>
        <v>0</v>
      </c>
      <c r="AI86" s="5">
        <f t="shared" si="25"/>
        <v>0</v>
      </c>
      <c r="AJ86" s="5">
        <f t="shared" si="26"/>
        <v>0</v>
      </c>
      <c r="AL86" s="5">
        <f t="shared" si="27"/>
        <v>0</v>
      </c>
      <c r="AM86" s="8">
        <f t="shared" ca="1" si="28"/>
        <v>0</v>
      </c>
      <c r="AN86" s="8">
        <f t="shared" ca="1" si="29"/>
        <v>0</v>
      </c>
      <c r="AO86" s="5">
        <f t="shared" ca="1" si="30"/>
        <v>0</v>
      </c>
      <c r="AP86" s="5">
        <f t="shared" ca="1" si="31"/>
        <v>0</v>
      </c>
      <c r="AQ86" s="5">
        <f t="shared" si="32"/>
        <v>0</v>
      </c>
      <c r="AR86" s="60"/>
      <c r="AS86" s="8">
        <f t="shared" si="33"/>
        <v>0</v>
      </c>
      <c r="AT86" s="5">
        <f t="shared" si="34"/>
        <v>0</v>
      </c>
      <c r="AU86" s="8">
        <f t="shared" ca="1" si="35"/>
        <v>0</v>
      </c>
      <c r="AV86" s="8">
        <f t="shared" ca="1" si="36"/>
        <v>0</v>
      </c>
      <c r="AW86" s="5">
        <f t="shared" ca="1" si="37"/>
        <v>0</v>
      </c>
      <c r="AX86" s="5">
        <f t="shared" ca="1" si="38"/>
        <v>0</v>
      </c>
      <c r="AY86" s="5">
        <f t="shared" si="39"/>
        <v>0</v>
      </c>
    </row>
    <row r="87" spans="21:51">
      <c r="U87" s="13"/>
      <c r="Y87" s="13"/>
      <c r="AB87" s="5" t="b">
        <f t="shared" si="18"/>
        <v>0</v>
      </c>
      <c r="AC87" s="60">
        <f t="shared" si="19"/>
        <v>0</v>
      </c>
      <c r="AD87" s="5">
        <f t="shared" si="20"/>
        <v>0</v>
      </c>
      <c r="AE87" s="5">
        <f t="shared" si="21"/>
        <v>0</v>
      </c>
      <c r="AF87" s="5">
        <f t="shared" si="22"/>
        <v>0</v>
      </c>
      <c r="AG87" s="5">
        <f t="shared" si="23"/>
        <v>0</v>
      </c>
      <c r="AH87" s="5">
        <f t="shared" si="24"/>
        <v>0</v>
      </c>
      <c r="AI87" s="5">
        <f t="shared" si="25"/>
        <v>0</v>
      </c>
      <c r="AJ87" s="5">
        <f t="shared" si="26"/>
        <v>0</v>
      </c>
      <c r="AL87" s="5">
        <f t="shared" si="27"/>
        <v>0</v>
      </c>
      <c r="AM87" s="8">
        <f t="shared" ca="1" si="28"/>
        <v>0</v>
      </c>
      <c r="AN87" s="8">
        <f t="shared" ca="1" si="29"/>
        <v>0</v>
      </c>
      <c r="AO87" s="5">
        <f t="shared" ca="1" si="30"/>
        <v>0</v>
      </c>
      <c r="AP87" s="5">
        <f t="shared" ca="1" si="31"/>
        <v>0</v>
      </c>
      <c r="AQ87" s="5">
        <f t="shared" si="32"/>
        <v>0</v>
      </c>
      <c r="AR87" s="60"/>
      <c r="AS87" s="8">
        <f t="shared" si="33"/>
        <v>0</v>
      </c>
      <c r="AT87" s="5">
        <f t="shared" si="34"/>
        <v>0</v>
      </c>
      <c r="AU87" s="8">
        <f t="shared" ca="1" si="35"/>
        <v>0</v>
      </c>
      <c r="AV87" s="8">
        <f t="shared" ca="1" si="36"/>
        <v>0</v>
      </c>
      <c r="AW87" s="5">
        <f t="shared" ca="1" si="37"/>
        <v>0</v>
      </c>
      <c r="AX87" s="5">
        <f t="shared" ca="1" si="38"/>
        <v>0</v>
      </c>
      <c r="AY87" s="5">
        <f t="shared" si="39"/>
        <v>0</v>
      </c>
    </row>
    <row r="88" spans="21:51">
      <c r="U88" s="13"/>
      <c r="Y88" s="13"/>
      <c r="AB88" s="5" t="b">
        <f t="shared" si="18"/>
        <v>0</v>
      </c>
      <c r="AC88" s="60">
        <f t="shared" si="19"/>
        <v>0</v>
      </c>
      <c r="AD88" s="5">
        <f t="shared" si="20"/>
        <v>0</v>
      </c>
      <c r="AE88" s="5">
        <f t="shared" si="21"/>
        <v>0</v>
      </c>
      <c r="AF88" s="5">
        <f t="shared" si="22"/>
        <v>0</v>
      </c>
      <c r="AG88" s="5">
        <f t="shared" si="23"/>
        <v>0</v>
      </c>
      <c r="AH88" s="5">
        <f t="shared" si="24"/>
        <v>0</v>
      </c>
      <c r="AI88" s="5">
        <f t="shared" si="25"/>
        <v>0</v>
      </c>
      <c r="AJ88" s="5">
        <f t="shared" si="26"/>
        <v>0</v>
      </c>
      <c r="AL88" s="5">
        <f t="shared" si="27"/>
        <v>0</v>
      </c>
      <c r="AM88" s="8">
        <f t="shared" ca="1" si="28"/>
        <v>0</v>
      </c>
      <c r="AN88" s="8">
        <f t="shared" ca="1" si="29"/>
        <v>0</v>
      </c>
      <c r="AO88" s="5">
        <f t="shared" ca="1" si="30"/>
        <v>0</v>
      </c>
      <c r="AP88" s="5">
        <f t="shared" ca="1" si="31"/>
        <v>0</v>
      </c>
      <c r="AQ88" s="5">
        <f t="shared" si="32"/>
        <v>0</v>
      </c>
      <c r="AR88" s="60"/>
      <c r="AS88" s="8">
        <f t="shared" si="33"/>
        <v>0</v>
      </c>
      <c r="AT88" s="5">
        <f t="shared" si="34"/>
        <v>0</v>
      </c>
      <c r="AU88" s="8">
        <f t="shared" ca="1" si="35"/>
        <v>0</v>
      </c>
      <c r="AV88" s="8">
        <f t="shared" ca="1" si="36"/>
        <v>0</v>
      </c>
      <c r="AW88" s="5">
        <f t="shared" ca="1" si="37"/>
        <v>0</v>
      </c>
      <c r="AX88" s="5">
        <f t="shared" ca="1" si="38"/>
        <v>0</v>
      </c>
      <c r="AY88" s="5">
        <f t="shared" si="39"/>
        <v>0</v>
      </c>
    </row>
    <row r="89" spans="21:51">
      <c r="U89" s="13"/>
      <c r="Y89" s="13"/>
      <c r="AB89" s="5" t="b">
        <f t="shared" si="18"/>
        <v>0</v>
      </c>
      <c r="AC89" s="60">
        <f t="shared" si="19"/>
        <v>0</v>
      </c>
      <c r="AD89" s="5">
        <f t="shared" si="20"/>
        <v>0</v>
      </c>
      <c r="AE89" s="5">
        <f t="shared" si="21"/>
        <v>0</v>
      </c>
      <c r="AF89" s="5">
        <f t="shared" si="22"/>
        <v>0</v>
      </c>
      <c r="AG89" s="5">
        <f t="shared" si="23"/>
        <v>0</v>
      </c>
      <c r="AH89" s="5">
        <f t="shared" si="24"/>
        <v>0</v>
      </c>
      <c r="AI89" s="5">
        <f t="shared" si="25"/>
        <v>0</v>
      </c>
      <c r="AJ89" s="5">
        <f t="shared" si="26"/>
        <v>0</v>
      </c>
      <c r="AL89" s="5">
        <f t="shared" si="27"/>
        <v>0</v>
      </c>
      <c r="AM89" s="8">
        <f t="shared" ca="1" si="28"/>
        <v>0</v>
      </c>
      <c r="AN89" s="8">
        <f t="shared" ca="1" si="29"/>
        <v>0</v>
      </c>
      <c r="AO89" s="5">
        <f t="shared" ca="1" si="30"/>
        <v>0</v>
      </c>
      <c r="AP89" s="5">
        <f t="shared" ca="1" si="31"/>
        <v>0</v>
      </c>
      <c r="AQ89" s="5">
        <f t="shared" si="32"/>
        <v>0</v>
      </c>
      <c r="AR89" s="60"/>
      <c r="AS89" s="8">
        <f t="shared" si="33"/>
        <v>0</v>
      </c>
      <c r="AT89" s="5">
        <f t="shared" si="34"/>
        <v>0</v>
      </c>
      <c r="AU89" s="8">
        <f t="shared" ca="1" si="35"/>
        <v>0</v>
      </c>
      <c r="AV89" s="8">
        <f t="shared" ca="1" si="36"/>
        <v>0</v>
      </c>
      <c r="AW89" s="5">
        <f t="shared" ca="1" si="37"/>
        <v>0</v>
      </c>
      <c r="AX89" s="5">
        <f t="shared" ca="1" si="38"/>
        <v>0</v>
      </c>
      <c r="AY89" s="5">
        <f t="shared" si="39"/>
        <v>0</v>
      </c>
    </row>
    <row r="90" spans="21:51">
      <c r="U90" s="13"/>
      <c r="Y90" s="13"/>
      <c r="AB90" s="5" t="b">
        <f t="shared" si="18"/>
        <v>0</v>
      </c>
      <c r="AC90" s="60">
        <f t="shared" si="19"/>
        <v>0</v>
      </c>
      <c r="AD90" s="5">
        <f t="shared" si="20"/>
        <v>0</v>
      </c>
      <c r="AE90" s="5">
        <f t="shared" si="21"/>
        <v>0</v>
      </c>
      <c r="AF90" s="5">
        <f t="shared" si="22"/>
        <v>0</v>
      </c>
      <c r="AG90" s="5">
        <f t="shared" si="23"/>
        <v>0</v>
      </c>
      <c r="AH90" s="5">
        <f t="shared" si="24"/>
        <v>0</v>
      </c>
      <c r="AI90" s="5">
        <f t="shared" si="25"/>
        <v>0</v>
      </c>
      <c r="AJ90" s="5">
        <f t="shared" si="26"/>
        <v>0</v>
      </c>
      <c r="AL90" s="5">
        <f t="shared" si="27"/>
        <v>0</v>
      </c>
      <c r="AM90" s="8">
        <f t="shared" ca="1" si="28"/>
        <v>0</v>
      </c>
      <c r="AN90" s="8">
        <f t="shared" ca="1" si="29"/>
        <v>0</v>
      </c>
      <c r="AO90" s="5">
        <f t="shared" ca="1" si="30"/>
        <v>0</v>
      </c>
      <c r="AP90" s="5">
        <f t="shared" ca="1" si="31"/>
        <v>0</v>
      </c>
      <c r="AQ90" s="5">
        <f t="shared" si="32"/>
        <v>0</v>
      </c>
      <c r="AR90" s="60"/>
      <c r="AS90" s="8">
        <f t="shared" si="33"/>
        <v>0</v>
      </c>
      <c r="AT90" s="5">
        <f t="shared" si="34"/>
        <v>0</v>
      </c>
      <c r="AU90" s="8">
        <f t="shared" ca="1" si="35"/>
        <v>0</v>
      </c>
      <c r="AV90" s="8">
        <f t="shared" ca="1" si="36"/>
        <v>0</v>
      </c>
      <c r="AW90" s="5">
        <f t="shared" ca="1" si="37"/>
        <v>0</v>
      </c>
      <c r="AX90" s="5">
        <f t="shared" ca="1" si="38"/>
        <v>0</v>
      </c>
      <c r="AY90" s="5">
        <f t="shared" si="39"/>
        <v>0</v>
      </c>
    </row>
    <row r="91" spans="21:51">
      <c r="U91" s="13"/>
      <c r="Y91" s="13"/>
      <c r="AB91" s="5" t="b">
        <f t="shared" si="18"/>
        <v>0</v>
      </c>
      <c r="AC91" s="60">
        <f t="shared" si="19"/>
        <v>0</v>
      </c>
      <c r="AD91" s="5">
        <f t="shared" si="20"/>
        <v>0</v>
      </c>
      <c r="AE91" s="5">
        <f t="shared" si="21"/>
        <v>0</v>
      </c>
      <c r="AF91" s="5">
        <f t="shared" si="22"/>
        <v>0</v>
      </c>
      <c r="AG91" s="5">
        <f t="shared" si="23"/>
        <v>0</v>
      </c>
      <c r="AH91" s="5">
        <f t="shared" si="24"/>
        <v>0</v>
      </c>
      <c r="AI91" s="5">
        <f t="shared" si="25"/>
        <v>0</v>
      </c>
      <c r="AJ91" s="5">
        <f t="shared" si="26"/>
        <v>0</v>
      </c>
      <c r="AL91" s="5">
        <f t="shared" si="27"/>
        <v>0</v>
      </c>
      <c r="AM91" s="8">
        <f t="shared" ca="1" si="28"/>
        <v>0</v>
      </c>
      <c r="AN91" s="8">
        <f t="shared" ca="1" si="29"/>
        <v>0</v>
      </c>
      <c r="AO91" s="5">
        <f t="shared" ca="1" si="30"/>
        <v>0</v>
      </c>
      <c r="AP91" s="5">
        <f t="shared" ca="1" si="31"/>
        <v>0</v>
      </c>
      <c r="AQ91" s="5">
        <f t="shared" si="32"/>
        <v>0</v>
      </c>
      <c r="AR91" s="60"/>
      <c r="AS91" s="8">
        <f t="shared" si="33"/>
        <v>0</v>
      </c>
      <c r="AT91" s="5">
        <f t="shared" si="34"/>
        <v>0</v>
      </c>
      <c r="AU91" s="8">
        <f t="shared" ca="1" si="35"/>
        <v>0</v>
      </c>
      <c r="AV91" s="8">
        <f t="shared" ca="1" si="36"/>
        <v>0</v>
      </c>
      <c r="AW91" s="5">
        <f t="shared" ca="1" si="37"/>
        <v>0</v>
      </c>
      <c r="AX91" s="5">
        <f t="shared" ca="1" si="38"/>
        <v>0</v>
      </c>
      <c r="AY91" s="5">
        <f t="shared" si="39"/>
        <v>0</v>
      </c>
    </row>
    <row r="92" spans="21:51">
      <c r="U92" s="13"/>
      <c r="Y92" s="13"/>
      <c r="AB92" s="5" t="b">
        <f t="shared" si="18"/>
        <v>0</v>
      </c>
      <c r="AC92" s="60">
        <f t="shared" si="19"/>
        <v>0</v>
      </c>
      <c r="AD92" s="5">
        <f t="shared" si="20"/>
        <v>0</v>
      </c>
      <c r="AE92" s="5">
        <f t="shared" si="21"/>
        <v>0</v>
      </c>
      <c r="AF92" s="5">
        <f t="shared" si="22"/>
        <v>0</v>
      </c>
      <c r="AG92" s="5">
        <f t="shared" si="23"/>
        <v>0</v>
      </c>
      <c r="AH92" s="5">
        <f t="shared" si="24"/>
        <v>0</v>
      </c>
      <c r="AI92" s="5">
        <f t="shared" si="25"/>
        <v>0</v>
      </c>
      <c r="AJ92" s="5">
        <f t="shared" si="26"/>
        <v>0</v>
      </c>
      <c r="AL92" s="5">
        <f t="shared" si="27"/>
        <v>0</v>
      </c>
      <c r="AM92" s="8">
        <f t="shared" ca="1" si="28"/>
        <v>0</v>
      </c>
      <c r="AN92" s="8">
        <f t="shared" ca="1" si="29"/>
        <v>0</v>
      </c>
      <c r="AO92" s="5">
        <f t="shared" ca="1" si="30"/>
        <v>0</v>
      </c>
      <c r="AP92" s="5">
        <f t="shared" ca="1" si="31"/>
        <v>0</v>
      </c>
      <c r="AQ92" s="5">
        <f t="shared" si="32"/>
        <v>0</v>
      </c>
      <c r="AR92" s="60"/>
      <c r="AS92" s="8">
        <f t="shared" si="33"/>
        <v>0</v>
      </c>
      <c r="AT92" s="5">
        <f t="shared" si="34"/>
        <v>0</v>
      </c>
      <c r="AU92" s="8">
        <f t="shared" ca="1" si="35"/>
        <v>0</v>
      </c>
      <c r="AV92" s="8">
        <f t="shared" ca="1" si="36"/>
        <v>0</v>
      </c>
      <c r="AW92" s="5">
        <f t="shared" ca="1" si="37"/>
        <v>0</v>
      </c>
      <c r="AX92" s="5">
        <f t="shared" ca="1" si="38"/>
        <v>0</v>
      </c>
      <c r="AY92" s="5">
        <f t="shared" si="39"/>
        <v>0</v>
      </c>
    </row>
    <row r="93" spans="21:51">
      <c r="U93" s="13"/>
      <c r="Y93" s="13"/>
      <c r="AB93" s="5" t="b">
        <f t="shared" si="18"/>
        <v>0</v>
      </c>
      <c r="AC93" s="60">
        <f t="shared" si="19"/>
        <v>0</v>
      </c>
      <c r="AD93" s="5">
        <f t="shared" si="20"/>
        <v>0</v>
      </c>
      <c r="AE93" s="5">
        <f t="shared" si="21"/>
        <v>0</v>
      </c>
      <c r="AF93" s="5">
        <f t="shared" si="22"/>
        <v>0</v>
      </c>
      <c r="AG93" s="5">
        <f t="shared" si="23"/>
        <v>0</v>
      </c>
      <c r="AH93" s="5">
        <f t="shared" si="24"/>
        <v>0</v>
      </c>
      <c r="AI93" s="5">
        <f t="shared" si="25"/>
        <v>0</v>
      </c>
      <c r="AJ93" s="5">
        <f t="shared" si="26"/>
        <v>0</v>
      </c>
      <c r="AL93" s="5">
        <f t="shared" si="27"/>
        <v>0</v>
      </c>
      <c r="AM93" s="8">
        <f t="shared" ca="1" si="28"/>
        <v>0</v>
      </c>
      <c r="AN93" s="8">
        <f t="shared" ca="1" si="29"/>
        <v>0</v>
      </c>
      <c r="AO93" s="5">
        <f t="shared" ca="1" si="30"/>
        <v>0</v>
      </c>
      <c r="AP93" s="5">
        <f t="shared" ca="1" si="31"/>
        <v>0</v>
      </c>
      <c r="AQ93" s="5">
        <f t="shared" si="32"/>
        <v>0</v>
      </c>
      <c r="AR93" s="60"/>
      <c r="AS93" s="8">
        <f t="shared" si="33"/>
        <v>0</v>
      </c>
      <c r="AT93" s="5">
        <f t="shared" si="34"/>
        <v>0</v>
      </c>
      <c r="AU93" s="8">
        <f t="shared" ca="1" si="35"/>
        <v>0</v>
      </c>
      <c r="AV93" s="8">
        <f t="shared" ca="1" si="36"/>
        <v>0</v>
      </c>
      <c r="AW93" s="5">
        <f t="shared" ca="1" si="37"/>
        <v>0</v>
      </c>
      <c r="AX93" s="5">
        <f t="shared" ca="1" si="38"/>
        <v>0</v>
      </c>
      <c r="AY93" s="5">
        <f t="shared" si="39"/>
        <v>0</v>
      </c>
    </row>
    <row r="94" spans="21:51">
      <c r="U94" s="13"/>
      <c r="Y94" s="13"/>
      <c r="AB94" s="5" t="b">
        <f t="shared" si="18"/>
        <v>0</v>
      </c>
      <c r="AC94" s="60">
        <f t="shared" si="19"/>
        <v>0</v>
      </c>
      <c r="AD94" s="5">
        <f t="shared" si="20"/>
        <v>0</v>
      </c>
      <c r="AE94" s="5">
        <f t="shared" si="21"/>
        <v>0</v>
      </c>
      <c r="AF94" s="5">
        <f t="shared" si="22"/>
        <v>0</v>
      </c>
      <c r="AG94" s="5">
        <f t="shared" si="23"/>
        <v>0</v>
      </c>
      <c r="AH94" s="5">
        <f t="shared" si="24"/>
        <v>0</v>
      </c>
      <c r="AI94" s="5">
        <f t="shared" si="25"/>
        <v>0</v>
      </c>
      <c r="AJ94" s="5">
        <f t="shared" si="26"/>
        <v>0</v>
      </c>
      <c r="AL94" s="5">
        <f t="shared" si="27"/>
        <v>0</v>
      </c>
      <c r="AM94" s="8">
        <f t="shared" ca="1" si="28"/>
        <v>0</v>
      </c>
      <c r="AN94" s="8">
        <f t="shared" ca="1" si="29"/>
        <v>0</v>
      </c>
      <c r="AO94" s="5">
        <f t="shared" ca="1" si="30"/>
        <v>0</v>
      </c>
      <c r="AP94" s="5">
        <f t="shared" ca="1" si="31"/>
        <v>0</v>
      </c>
      <c r="AQ94" s="5">
        <f t="shared" si="32"/>
        <v>0</v>
      </c>
      <c r="AR94" s="60"/>
      <c r="AS94" s="8">
        <f t="shared" si="33"/>
        <v>0</v>
      </c>
      <c r="AT94" s="5">
        <f t="shared" si="34"/>
        <v>0</v>
      </c>
      <c r="AU94" s="8">
        <f t="shared" ca="1" si="35"/>
        <v>0</v>
      </c>
      <c r="AV94" s="8">
        <f t="shared" ca="1" si="36"/>
        <v>0</v>
      </c>
      <c r="AW94" s="5">
        <f t="shared" ca="1" si="37"/>
        <v>0</v>
      </c>
      <c r="AX94" s="5">
        <f t="shared" ca="1" si="38"/>
        <v>0</v>
      </c>
      <c r="AY94" s="5">
        <f t="shared" si="39"/>
        <v>0</v>
      </c>
    </row>
    <row r="95" spans="21:51">
      <c r="U95" s="13"/>
      <c r="Y95" s="13"/>
      <c r="AB95" s="5" t="b">
        <f t="shared" si="18"/>
        <v>0</v>
      </c>
      <c r="AC95" s="60">
        <f t="shared" si="19"/>
        <v>0</v>
      </c>
      <c r="AD95" s="5">
        <f t="shared" si="20"/>
        <v>0</v>
      </c>
      <c r="AE95" s="5">
        <f t="shared" si="21"/>
        <v>0</v>
      </c>
      <c r="AF95" s="5">
        <f t="shared" si="22"/>
        <v>0</v>
      </c>
      <c r="AG95" s="5">
        <f t="shared" si="23"/>
        <v>0</v>
      </c>
      <c r="AH95" s="5">
        <f t="shared" si="24"/>
        <v>0</v>
      </c>
      <c r="AI95" s="5">
        <f t="shared" si="25"/>
        <v>0</v>
      </c>
      <c r="AJ95" s="5">
        <f t="shared" si="26"/>
        <v>0</v>
      </c>
      <c r="AL95" s="5">
        <f t="shared" si="27"/>
        <v>0</v>
      </c>
      <c r="AM95" s="8">
        <f t="shared" ca="1" si="28"/>
        <v>0</v>
      </c>
      <c r="AN95" s="8">
        <f t="shared" ca="1" si="29"/>
        <v>0</v>
      </c>
      <c r="AO95" s="5">
        <f t="shared" ca="1" si="30"/>
        <v>0</v>
      </c>
      <c r="AP95" s="5">
        <f t="shared" ca="1" si="31"/>
        <v>0</v>
      </c>
      <c r="AQ95" s="5">
        <f t="shared" si="32"/>
        <v>0</v>
      </c>
      <c r="AR95" s="60"/>
      <c r="AS95" s="8">
        <f t="shared" si="33"/>
        <v>0</v>
      </c>
      <c r="AT95" s="5">
        <f t="shared" si="34"/>
        <v>0</v>
      </c>
      <c r="AU95" s="8">
        <f t="shared" ca="1" si="35"/>
        <v>0</v>
      </c>
      <c r="AV95" s="8">
        <f t="shared" ca="1" si="36"/>
        <v>0</v>
      </c>
      <c r="AW95" s="5">
        <f t="shared" ca="1" si="37"/>
        <v>0</v>
      </c>
      <c r="AX95" s="5">
        <f t="shared" ca="1" si="38"/>
        <v>0</v>
      </c>
      <c r="AY95" s="5">
        <f t="shared" si="39"/>
        <v>0</v>
      </c>
    </row>
    <row r="96" spans="21:51">
      <c r="U96" s="13"/>
      <c r="Y96" s="13"/>
      <c r="AB96" s="5" t="b">
        <f t="shared" si="18"/>
        <v>0</v>
      </c>
      <c r="AC96" s="60">
        <f t="shared" si="19"/>
        <v>0</v>
      </c>
      <c r="AD96" s="5">
        <f t="shared" si="20"/>
        <v>0</v>
      </c>
      <c r="AE96" s="5">
        <f t="shared" si="21"/>
        <v>0</v>
      </c>
      <c r="AF96" s="5">
        <f t="shared" si="22"/>
        <v>0</v>
      </c>
      <c r="AG96" s="5">
        <f t="shared" si="23"/>
        <v>0</v>
      </c>
      <c r="AH96" s="5">
        <f t="shared" si="24"/>
        <v>0</v>
      </c>
      <c r="AI96" s="5">
        <f t="shared" si="25"/>
        <v>0</v>
      </c>
      <c r="AJ96" s="5">
        <f t="shared" si="26"/>
        <v>0</v>
      </c>
      <c r="AL96" s="5">
        <f t="shared" si="27"/>
        <v>0</v>
      </c>
      <c r="AM96" s="8">
        <f t="shared" ca="1" si="28"/>
        <v>0</v>
      </c>
      <c r="AN96" s="8">
        <f t="shared" ca="1" si="29"/>
        <v>0</v>
      </c>
      <c r="AO96" s="5">
        <f t="shared" ca="1" si="30"/>
        <v>0</v>
      </c>
      <c r="AP96" s="5">
        <f t="shared" ca="1" si="31"/>
        <v>0</v>
      </c>
      <c r="AQ96" s="5">
        <f t="shared" si="32"/>
        <v>0</v>
      </c>
      <c r="AR96" s="60"/>
      <c r="AS96" s="8">
        <f t="shared" si="33"/>
        <v>0</v>
      </c>
      <c r="AT96" s="5">
        <f t="shared" si="34"/>
        <v>0</v>
      </c>
      <c r="AU96" s="8">
        <f t="shared" ca="1" si="35"/>
        <v>0</v>
      </c>
      <c r="AV96" s="8">
        <f t="shared" ca="1" si="36"/>
        <v>0</v>
      </c>
      <c r="AW96" s="5">
        <f t="shared" ca="1" si="37"/>
        <v>0</v>
      </c>
      <c r="AX96" s="5">
        <f t="shared" ca="1" si="38"/>
        <v>0</v>
      </c>
      <c r="AY96" s="5">
        <f t="shared" si="39"/>
        <v>0</v>
      </c>
    </row>
    <row r="97" spans="21:51">
      <c r="U97" s="13"/>
      <c r="Y97" s="13"/>
      <c r="AB97" s="5" t="b">
        <f t="shared" si="18"/>
        <v>0</v>
      </c>
      <c r="AC97" s="60">
        <f t="shared" si="19"/>
        <v>0</v>
      </c>
      <c r="AD97" s="5">
        <f t="shared" si="20"/>
        <v>0</v>
      </c>
      <c r="AE97" s="5">
        <f t="shared" si="21"/>
        <v>0</v>
      </c>
      <c r="AF97" s="5">
        <f t="shared" si="22"/>
        <v>0</v>
      </c>
      <c r="AG97" s="5">
        <f t="shared" si="23"/>
        <v>0</v>
      </c>
      <c r="AH97" s="5">
        <f t="shared" si="24"/>
        <v>0</v>
      </c>
      <c r="AI97" s="5">
        <f t="shared" si="25"/>
        <v>0</v>
      </c>
      <c r="AJ97" s="5">
        <f t="shared" si="26"/>
        <v>0</v>
      </c>
      <c r="AL97" s="5">
        <f t="shared" si="27"/>
        <v>0</v>
      </c>
      <c r="AM97" s="8">
        <f t="shared" ca="1" si="28"/>
        <v>0</v>
      </c>
      <c r="AN97" s="8">
        <f t="shared" ca="1" si="29"/>
        <v>0</v>
      </c>
      <c r="AO97" s="5">
        <f t="shared" ca="1" si="30"/>
        <v>0</v>
      </c>
      <c r="AP97" s="5">
        <f t="shared" ca="1" si="31"/>
        <v>0</v>
      </c>
      <c r="AQ97" s="5">
        <f t="shared" si="32"/>
        <v>0</v>
      </c>
      <c r="AR97" s="60"/>
      <c r="AS97" s="8">
        <f t="shared" si="33"/>
        <v>0</v>
      </c>
      <c r="AT97" s="5">
        <f t="shared" si="34"/>
        <v>0</v>
      </c>
      <c r="AU97" s="8">
        <f t="shared" ca="1" si="35"/>
        <v>0</v>
      </c>
      <c r="AV97" s="8">
        <f t="shared" ca="1" si="36"/>
        <v>0</v>
      </c>
      <c r="AW97" s="5">
        <f t="shared" ca="1" si="37"/>
        <v>0</v>
      </c>
      <c r="AX97" s="5">
        <f t="shared" ca="1" si="38"/>
        <v>0</v>
      </c>
      <c r="AY97" s="5">
        <f t="shared" si="39"/>
        <v>0</v>
      </c>
    </row>
    <row r="98" spans="21:51">
      <c r="U98" s="13"/>
      <c r="Y98" s="13"/>
      <c r="AB98" s="5" t="b">
        <f t="shared" si="18"/>
        <v>0</v>
      </c>
      <c r="AC98" s="60">
        <f t="shared" si="19"/>
        <v>0</v>
      </c>
      <c r="AD98" s="5">
        <f t="shared" si="20"/>
        <v>0</v>
      </c>
      <c r="AE98" s="5">
        <f t="shared" si="21"/>
        <v>0</v>
      </c>
      <c r="AF98" s="5">
        <f t="shared" si="22"/>
        <v>0</v>
      </c>
      <c r="AG98" s="5">
        <f t="shared" si="23"/>
        <v>0</v>
      </c>
      <c r="AH98" s="5">
        <f t="shared" si="24"/>
        <v>0</v>
      </c>
      <c r="AI98" s="5">
        <f t="shared" si="25"/>
        <v>0</v>
      </c>
      <c r="AJ98" s="5">
        <f t="shared" si="26"/>
        <v>0</v>
      </c>
      <c r="AL98" s="5">
        <f t="shared" si="27"/>
        <v>0</v>
      </c>
      <c r="AM98" s="8">
        <f t="shared" ca="1" si="28"/>
        <v>0</v>
      </c>
      <c r="AN98" s="8">
        <f t="shared" ca="1" si="29"/>
        <v>0</v>
      </c>
      <c r="AO98" s="5">
        <f t="shared" ca="1" si="30"/>
        <v>0</v>
      </c>
      <c r="AP98" s="5">
        <f t="shared" ca="1" si="31"/>
        <v>0</v>
      </c>
      <c r="AQ98" s="5">
        <f t="shared" si="32"/>
        <v>0</v>
      </c>
      <c r="AR98" s="60"/>
      <c r="AS98" s="8">
        <f t="shared" si="33"/>
        <v>0</v>
      </c>
      <c r="AT98" s="5">
        <f t="shared" si="34"/>
        <v>0</v>
      </c>
      <c r="AU98" s="8">
        <f t="shared" ca="1" si="35"/>
        <v>0</v>
      </c>
      <c r="AV98" s="8">
        <f t="shared" ca="1" si="36"/>
        <v>0</v>
      </c>
      <c r="AW98" s="5">
        <f t="shared" ca="1" si="37"/>
        <v>0</v>
      </c>
      <c r="AX98" s="5">
        <f t="shared" ca="1" si="38"/>
        <v>0</v>
      </c>
      <c r="AY98" s="5">
        <f t="shared" si="39"/>
        <v>0</v>
      </c>
    </row>
    <row r="99" spans="21:51">
      <c r="U99" s="13"/>
      <c r="Y99" s="13"/>
      <c r="AB99" s="5" t="b">
        <f t="shared" si="18"/>
        <v>0</v>
      </c>
      <c r="AC99" s="60">
        <f t="shared" si="19"/>
        <v>0</v>
      </c>
      <c r="AD99" s="5">
        <f t="shared" si="20"/>
        <v>0</v>
      </c>
      <c r="AE99" s="5">
        <f t="shared" si="21"/>
        <v>0</v>
      </c>
      <c r="AF99" s="5">
        <f t="shared" si="22"/>
        <v>0</v>
      </c>
      <c r="AG99" s="5">
        <f t="shared" si="23"/>
        <v>0</v>
      </c>
      <c r="AH99" s="5">
        <f t="shared" si="24"/>
        <v>0</v>
      </c>
      <c r="AI99" s="5">
        <f t="shared" si="25"/>
        <v>0</v>
      </c>
      <c r="AJ99" s="5">
        <f t="shared" si="26"/>
        <v>0</v>
      </c>
      <c r="AL99" s="5">
        <f t="shared" si="27"/>
        <v>0</v>
      </c>
      <c r="AM99" s="8">
        <f t="shared" ca="1" si="28"/>
        <v>0</v>
      </c>
      <c r="AN99" s="8">
        <f t="shared" ca="1" si="29"/>
        <v>0</v>
      </c>
      <c r="AO99" s="5">
        <f t="shared" ca="1" si="30"/>
        <v>0</v>
      </c>
      <c r="AP99" s="5">
        <f t="shared" ca="1" si="31"/>
        <v>0</v>
      </c>
      <c r="AQ99" s="5">
        <f t="shared" si="32"/>
        <v>0</v>
      </c>
      <c r="AR99" s="60"/>
      <c r="AS99" s="8">
        <f t="shared" si="33"/>
        <v>0</v>
      </c>
      <c r="AT99" s="5">
        <f t="shared" si="34"/>
        <v>0</v>
      </c>
      <c r="AU99" s="8">
        <f t="shared" ca="1" si="35"/>
        <v>0</v>
      </c>
      <c r="AV99" s="8">
        <f t="shared" ca="1" si="36"/>
        <v>0</v>
      </c>
      <c r="AW99" s="5">
        <f t="shared" ca="1" si="37"/>
        <v>0</v>
      </c>
      <c r="AX99" s="5">
        <f t="shared" ca="1" si="38"/>
        <v>0</v>
      </c>
      <c r="AY99" s="5">
        <f t="shared" si="39"/>
        <v>0</v>
      </c>
    </row>
    <row r="100" spans="21:51">
      <c r="U100" s="13"/>
      <c r="Y100" s="13"/>
      <c r="AB100" s="5" t="b">
        <f t="shared" si="18"/>
        <v>0</v>
      </c>
      <c r="AC100" s="60">
        <f t="shared" si="19"/>
        <v>0</v>
      </c>
      <c r="AD100" s="5">
        <f t="shared" si="20"/>
        <v>0</v>
      </c>
      <c r="AE100" s="5">
        <f t="shared" si="21"/>
        <v>0</v>
      </c>
      <c r="AF100" s="5">
        <f t="shared" si="22"/>
        <v>0</v>
      </c>
      <c r="AG100" s="5">
        <f t="shared" si="23"/>
        <v>0</v>
      </c>
      <c r="AH100" s="5">
        <f t="shared" si="24"/>
        <v>0</v>
      </c>
      <c r="AI100" s="5">
        <f t="shared" si="25"/>
        <v>0</v>
      </c>
      <c r="AJ100" s="5">
        <f t="shared" si="26"/>
        <v>0</v>
      </c>
      <c r="AL100" s="5">
        <f t="shared" si="27"/>
        <v>0</v>
      </c>
      <c r="AM100" s="8">
        <f t="shared" ca="1" si="28"/>
        <v>0</v>
      </c>
      <c r="AN100" s="8">
        <f t="shared" ca="1" si="29"/>
        <v>0</v>
      </c>
      <c r="AO100" s="5">
        <f t="shared" ca="1" si="30"/>
        <v>0</v>
      </c>
      <c r="AP100" s="5">
        <f t="shared" ca="1" si="31"/>
        <v>0</v>
      </c>
      <c r="AQ100" s="5">
        <f t="shared" si="32"/>
        <v>0</v>
      </c>
      <c r="AR100" s="60"/>
      <c r="AS100" s="8">
        <f t="shared" si="33"/>
        <v>0</v>
      </c>
      <c r="AT100" s="5">
        <f t="shared" si="34"/>
        <v>0</v>
      </c>
      <c r="AU100" s="8">
        <f t="shared" ca="1" si="35"/>
        <v>0</v>
      </c>
      <c r="AV100" s="8">
        <f t="shared" ca="1" si="36"/>
        <v>0</v>
      </c>
      <c r="AW100" s="5">
        <f t="shared" ca="1" si="37"/>
        <v>0</v>
      </c>
      <c r="AX100" s="5">
        <f t="shared" ca="1" si="38"/>
        <v>0</v>
      </c>
      <c r="AY100" s="5">
        <f t="shared" si="39"/>
        <v>0</v>
      </c>
    </row>
    <row r="101" spans="21:51">
      <c r="U101" s="13"/>
      <c r="Y101" s="13"/>
      <c r="AB101" s="5" t="b">
        <f t="shared" si="18"/>
        <v>0</v>
      </c>
      <c r="AC101" s="60">
        <f t="shared" si="19"/>
        <v>0</v>
      </c>
      <c r="AD101" s="5">
        <f t="shared" si="20"/>
        <v>0</v>
      </c>
      <c r="AE101" s="5">
        <f t="shared" si="21"/>
        <v>0</v>
      </c>
      <c r="AF101" s="5">
        <f t="shared" si="22"/>
        <v>0</v>
      </c>
      <c r="AG101" s="5">
        <f t="shared" si="23"/>
        <v>0</v>
      </c>
      <c r="AH101" s="5">
        <f t="shared" si="24"/>
        <v>0</v>
      </c>
      <c r="AI101" s="5">
        <f t="shared" si="25"/>
        <v>0</v>
      </c>
      <c r="AJ101" s="5">
        <f t="shared" si="26"/>
        <v>0</v>
      </c>
      <c r="AL101" s="5">
        <f t="shared" si="27"/>
        <v>0</v>
      </c>
      <c r="AM101" s="8">
        <f t="shared" ca="1" si="28"/>
        <v>0</v>
      </c>
      <c r="AN101" s="8">
        <f t="shared" ca="1" si="29"/>
        <v>0</v>
      </c>
      <c r="AO101" s="5">
        <f t="shared" ca="1" si="30"/>
        <v>0</v>
      </c>
      <c r="AP101" s="5">
        <f t="shared" ca="1" si="31"/>
        <v>0</v>
      </c>
      <c r="AQ101" s="5">
        <f t="shared" si="32"/>
        <v>0</v>
      </c>
      <c r="AR101" s="60"/>
      <c r="AS101" s="8">
        <f t="shared" si="33"/>
        <v>0</v>
      </c>
      <c r="AT101" s="5">
        <f t="shared" si="34"/>
        <v>0</v>
      </c>
      <c r="AU101" s="8">
        <f t="shared" ca="1" si="35"/>
        <v>0</v>
      </c>
      <c r="AV101" s="8">
        <f t="shared" ca="1" si="36"/>
        <v>0</v>
      </c>
      <c r="AW101" s="5">
        <f t="shared" ca="1" si="37"/>
        <v>0</v>
      </c>
      <c r="AX101" s="5">
        <f t="shared" ca="1" si="38"/>
        <v>0</v>
      </c>
      <c r="AY101" s="5">
        <f t="shared" si="39"/>
        <v>0</v>
      </c>
    </row>
    <row r="102" spans="21:51">
      <c r="U102" s="13"/>
      <c r="Y102" s="13"/>
      <c r="AB102" s="5" t="b">
        <f t="shared" si="18"/>
        <v>0</v>
      </c>
      <c r="AC102" s="60">
        <f t="shared" si="19"/>
        <v>0</v>
      </c>
      <c r="AD102" s="5">
        <f t="shared" si="20"/>
        <v>0</v>
      </c>
      <c r="AE102" s="5">
        <f t="shared" si="21"/>
        <v>0</v>
      </c>
      <c r="AF102" s="5">
        <f t="shared" si="22"/>
        <v>0</v>
      </c>
      <c r="AG102" s="5">
        <f t="shared" si="23"/>
        <v>0</v>
      </c>
      <c r="AH102" s="5">
        <f t="shared" si="24"/>
        <v>0</v>
      </c>
      <c r="AI102" s="5">
        <f t="shared" si="25"/>
        <v>0</v>
      </c>
      <c r="AJ102" s="5">
        <f t="shared" si="26"/>
        <v>0</v>
      </c>
      <c r="AL102" s="5">
        <f t="shared" si="27"/>
        <v>0</v>
      </c>
      <c r="AM102" s="8">
        <f t="shared" ca="1" si="28"/>
        <v>0</v>
      </c>
      <c r="AN102" s="8">
        <f t="shared" ca="1" si="29"/>
        <v>0</v>
      </c>
      <c r="AO102" s="5">
        <f t="shared" ca="1" si="30"/>
        <v>0</v>
      </c>
      <c r="AP102" s="5">
        <f t="shared" ca="1" si="31"/>
        <v>0</v>
      </c>
      <c r="AQ102" s="5">
        <f t="shared" si="32"/>
        <v>0</v>
      </c>
      <c r="AR102" s="60"/>
      <c r="AS102" s="8">
        <f t="shared" si="33"/>
        <v>0</v>
      </c>
      <c r="AT102" s="5">
        <f t="shared" si="34"/>
        <v>0</v>
      </c>
      <c r="AU102" s="8">
        <f t="shared" ca="1" si="35"/>
        <v>0</v>
      </c>
      <c r="AV102" s="8">
        <f t="shared" ca="1" si="36"/>
        <v>0</v>
      </c>
      <c r="AW102" s="5">
        <f t="shared" ca="1" si="37"/>
        <v>0</v>
      </c>
      <c r="AX102" s="5">
        <f t="shared" ca="1" si="38"/>
        <v>0</v>
      </c>
      <c r="AY102" s="5">
        <f t="shared" si="39"/>
        <v>0</v>
      </c>
    </row>
    <row r="103" spans="21:51">
      <c r="U103" s="13"/>
      <c r="Y103" s="13"/>
      <c r="AB103" s="5" t="b">
        <f t="shared" si="18"/>
        <v>0</v>
      </c>
      <c r="AC103" s="60">
        <f t="shared" si="19"/>
        <v>0</v>
      </c>
      <c r="AD103" s="5">
        <f t="shared" si="20"/>
        <v>0</v>
      </c>
      <c r="AE103" s="5">
        <f t="shared" si="21"/>
        <v>0</v>
      </c>
      <c r="AF103" s="5">
        <f t="shared" si="22"/>
        <v>0</v>
      </c>
      <c r="AG103" s="5">
        <f t="shared" si="23"/>
        <v>0</v>
      </c>
      <c r="AH103" s="5">
        <f t="shared" si="24"/>
        <v>0</v>
      </c>
      <c r="AI103" s="5">
        <f t="shared" si="25"/>
        <v>0</v>
      </c>
      <c r="AJ103" s="5">
        <f t="shared" si="26"/>
        <v>0</v>
      </c>
      <c r="AL103" s="5">
        <f t="shared" si="27"/>
        <v>0</v>
      </c>
      <c r="AM103" s="8">
        <f t="shared" ca="1" si="28"/>
        <v>0</v>
      </c>
      <c r="AN103" s="8">
        <f t="shared" ca="1" si="29"/>
        <v>0</v>
      </c>
      <c r="AO103" s="5">
        <f t="shared" ca="1" si="30"/>
        <v>0</v>
      </c>
      <c r="AP103" s="5">
        <f t="shared" ca="1" si="31"/>
        <v>0</v>
      </c>
      <c r="AQ103" s="5">
        <f t="shared" si="32"/>
        <v>0</v>
      </c>
      <c r="AR103" s="60"/>
      <c r="AS103" s="8">
        <f t="shared" si="33"/>
        <v>0</v>
      </c>
      <c r="AT103" s="5">
        <f t="shared" si="34"/>
        <v>0</v>
      </c>
      <c r="AU103" s="8">
        <f t="shared" ca="1" si="35"/>
        <v>0</v>
      </c>
      <c r="AV103" s="8">
        <f t="shared" ca="1" si="36"/>
        <v>0</v>
      </c>
      <c r="AW103" s="5">
        <f t="shared" ca="1" si="37"/>
        <v>0</v>
      </c>
      <c r="AX103" s="5">
        <f t="shared" ca="1" si="38"/>
        <v>0</v>
      </c>
      <c r="AY103" s="5">
        <f t="shared" si="39"/>
        <v>0</v>
      </c>
    </row>
    <row r="104" spans="21:51">
      <c r="U104" s="13"/>
      <c r="Y104" s="13"/>
      <c r="AB104" s="5" t="b">
        <f t="shared" si="18"/>
        <v>0</v>
      </c>
      <c r="AC104" s="60">
        <f t="shared" si="19"/>
        <v>0</v>
      </c>
      <c r="AD104" s="5">
        <f t="shared" si="20"/>
        <v>0</v>
      </c>
      <c r="AE104" s="5">
        <f t="shared" si="21"/>
        <v>0</v>
      </c>
      <c r="AF104" s="5">
        <f t="shared" si="22"/>
        <v>0</v>
      </c>
      <c r="AG104" s="5">
        <f t="shared" si="23"/>
        <v>0</v>
      </c>
      <c r="AH104" s="5">
        <f t="shared" si="24"/>
        <v>0</v>
      </c>
      <c r="AI104" s="5">
        <f t="shared" si="25"/>
        <v>0</v>
      </c>
      <c r="AJ104" s="5">
        <f t="shared" si="26"/>
        <v>0</v>
      </c>
      <c r="AL104" s="5">
        <f t="shared" si="27"/>
        <v>0</v>
      </c>
      <c r="AM104" s="8">
        <f t="shared" ca="1" si="28"/>
        <v>0</v>
      </c>
      <c r="AN104" s="8">
        <f t="shared" ca="1" si="29"/>
        <v>0</v>
      </c>
      <c r="AO104" s="5">
        <f t="shared" ca="1" si="30"/>
        <v>0</v>
      </c>
      <c r="AP104" s="5">
        <f t="shared" ca="1" si="31"/>
        <v>0</v>
      </c>
      <c r="AQ104" s="5">
        <f t="shared" si="32"/>
        <v>0</v>
      </c>
      <c r="AR104" s="60"/>
      <c r="AS104" s="8">
        <f t="shared" si="33"/>
        <v>0</v>
      </c>
      <c r="AT104" s="5">
        <f t="shared" si="34"/>
        <v>0</v>
      </c>
      <c r="AU104" s="8">
        <f t="shared" ca="1" si="35"/>
        <v>0</v>
      </c>
      <c r="AV104" s="8">
        <f t="shared" ca="1" si="36"/>
        <v>0</v>
      </c>
      <c r="AW104" s="5">
        <f t="shared" ca="1" si="37"/>
        <v>0</v>
      </c>
      <c r="AX104" s="5">
        <f t="shared" ca="1" si="38"/>
        <v>0</v>
      </c>
      <c r="AY104" s="5">
        <f t="shared" si="39"/>
        <v>0</v>
      </c>
    </row>
    <row r="105" spans="21:51">
      <c r="U105" s="13"/>
      <c r="Y105" s="13"/>
      <c r="AB105" s="5" t="b">
        <f t="shared" si="18"/>
        <v>0</v>
      </c>
      <c r="AC105" s="60">
        <f t="shared" si="19"/>
        <v>0</v>
      </c>
      <c r="AD105" s="5">
        <f t="shared" si="20"/>
        <v>0</v>
      </c>
      <c r="AE105" s="5">
        <f t="shared" si="21"/>
        <v>0</v>
      </c>
      <c r="AF105" s="5">
        <f t="shared" si="22"/>
        <v>0</v>
      </c>
      <c r="AG105" s="5">
        <f t="shared" si="23"/>
        <v>0</v>
      </c>
      <c r="AH105" s="5">
        <f t="shared" si="24"/>
        <v>0</v>
      </c>
      <c r="AI105" s="5">
        <f t="shared" si="25"/>
        <v>0</v>
      </c>
      <c r="AJ105" s="5">
        <f t="shared" si="26"/>
        <v>0</v>
      </c>
      <c r="AL105" s="5">
        <f t="shared" si="27"/>
        <v>0</v>
      </c>
      <c r="AM105" s="8">
        <f t="shared" ca="1" si="28"/>
        <v>0</v>
      </c>
      <c r="AN105" s="8">
        <f t="shared" ca="1" si="29"/>
        <v>0</v>
      </c>
      <c r="AO105" s="5">
        <f t="shared" ca="1" si="30"/>
        <v>0</v>
      </c>
      <c r="AP105" s="5">
        <f t="shared" ca="1" si="31"/>
        <v>0</v>
      </c>
      <c r="AQ105" s="5">
        <f t="shared" si="32"/>
        <v>0</v>
      </c>
      <c r="AR105" s="60"/>
      <c r="AS105" s="8">
        <f t="shared" si="33"/>
        <v>0</v>
      </c>
      <c r="AT105" s="5">
        <f t="shared" si="34"/>
        <v>0</v>
      </c>
      <c r="AU105" s="8">
        <f t="shared" ca="1" si="35"/>
        <v>0</v>
      </c>
      <c r="AV105" s="8">
        <f t="shared" ca="1" si="36"/>
        <v>0</v>
      </c>
      <c r="AW105" s="5">
        <f t="shared" ca="1" si="37"/>
        <v>0</v>
      </c>
      <c r="AX105" s="5">
        <f t="shared" ca="1" si="38"/>
        <v>0</v>
      </c>
      <c r="AY105" s="5">
        <f t="shared" si="39"/>
        <v>0</v>
      </c>
    </row>
    <row r="106" spans="21:51">
      <c r="U106" s="13"/>
      <c r="Y106" s="13"/>
      <c r="AB106" s="5" t="b">
        <f t="shared" si="18"/>
        <v>0</v>
      </c>
      <c r="AC106" s="60">
        <f t="shared" si="19"/>
        <v>0</v>
      </c>
      <c r="AD106" s="5">
        <f t="shared" si="20"/>
        <v>0</v>
      </c>
      <c r="AE106" s="5">
        <f t="shared" si="21"/>
        <v>0</v>
      </c>
      <c r="AF106" s="5">
        <f t="shared" si="22"/>
        <v>0</v>
      </c>
      <c r="AG106" s="5">
        <f t="shared" si="23"/>
        <v>0</v>
      </c>
      <c r="AH106" s="5">
        <f t="shared" si="24"/>
        <v>0</v>
      </c>
      <c r="AI106" s="5">
        <f t="shared" si="25"/>
        <v>0</v>
      </c>
      <c r="AJ106" s="5">
        <f t="shared" si="26"/>
        <v>0</v>
      </c>
      <c r="AL106" s="5">
        <f t="shared" si="27"/>
        <v>0</v>
      </c>
      <c r="AM106" s="8">
        <f t="shared" ca="1" si="28"/>
        <v>0</v>
      </c>
      <c r="AN106" s="8">
        <f t="shared" ca="1" si="29"/>
        <v>0</v>
      </c>
      <c r="AO106" s="5">
        <f t="shared" ca="1" si="30"/>
        <v>0</v>
      </c>
      <c r="AP106" s="5">
        <f t="shared" ca="1" si="31"/>
        <v>0</v>
      </c>
      <c r="AQ106" s="5">
        <f t="shared" si="32"/>
        <v>0</v>
      </c>
      <c r="AR106" s="60"/>
      <c r="AS106" s="8">
        <f t="shared" si="33"/>
        <v>0</v>
      </c>
      <c r="AT106" s="5">
        <f t="shared" si="34"/>
        <v>0</v>
      </c>
      <c r="AU106" s="8">
        <f t="shared" ca="1" si="35"/>
        <v>0</v>
      </c>
      <c r="AV106" s="8">
        <f t="shared" ca="1" si="36"/>
        <v>0</v>
      </c>
      <c r="AW106" s="5">
        <f t="shared" ca="1" si="37"/>
        <v>0</v>
      </c>
      <c r="AX106" s="5">
        <f t="shared" ca="1" si="38"/>
        <v>0</v>
      </c>
      <c r="AY106" s="5">
        <f t="shared" si="39"/>
        <v>0</v>
      </c>
    </row>
    <row r="107" spans="21:51">
      <c r="U107" s="13"/>
      <c r="Y107" s="13"/>
      <c r="AB107" s="5" t="b">
        <f t="shared" ref="AB107:AB170" si="40">LEN(U107)&gt;2</f>
        <v>0</v>
      </c>
      <c r="AC107" s="60">
        <f t="shared" ref="AC107:AC170" si="41">IF(ISNUMBER(AQ107), AQ107, 0)</f>
        <v>0</v>
      </c>
      <c r="AD107" s="5">
        <f t="shared" ref="AD107:AD170" si="42">IF(ISNUMBER(AY107), AY107, 0)</f>
        <v>0</v>
      </c>
      <c r="AE107" s="5">
        <f t="shared" ref="AE107:AE170" si="43">IF($AB107, (U107-$AD$25)/360, 0)</f>
        <v>0</v>
      </c>
      <c r="AF107" s="5">
        <f t="shared" ref="AF107:AF170" si="44">IF($AB107, survivalProb($AD$27:$AD$35, $AF$27:$AF$35, AE107), 0)</f>
        <v>0</v>
      </c>
      <c r="AG107" s="5">
        <f t="shared" ref="AG107:AG170" si="45">IF($AB107, IF(AD107&lt;0, 0, (AF106-AF107)*100*recovery_bond*AD107), 0)</f>
        <v>0</v>
      </c>
      <c r="AH107" s="5">
        <f t="shared" ref="AH107:AH170" si="46">IF($AB107, IF(AC107&lt;0, 0, AF107*AC107*SUM(V107:W107)/10000), 0)</f>
        <v>0</v>
      </c>
      <c r="AI107" s="5">
        <f t="shared" ref="AI107:AI170" si="47">IF(AND($AB107, NOT($AB108)), AF107*AC107*W107/10000, 0)</f>
        <v>0</v>
      </c>
      <c r="AJ107" s="5">
        <f t="shared" ref="AJ107:AJ170" si="48">IF(AB107,(AF106-AF107)*(1-recovery)*AD107*100, 0)</f>
        <v>0</v>
      </c>
      <c r="AL107" s="5">
        <f t="shared" ref="AL107:AL170" si="49">IF($AB107, MATCH($U107, $Y$42:$Y$294, TRUE), 0)</f>
        <v>0</v>
      </c>
      <c r="AM107" s="8">
        <f t="shared" ref="AM107:AM170" ca="1" si="50">IF($AB107, OFFSET($Y$41, $AL107, 0), 0)</f>
        <v>0</v>
      </c>
      <c r="AN107" s="8">
        <f t="shared" ref="AN107:AN170" ca="1" si="51">IF($AB107, OFFSET($Y$41, $AL107+1, 0), 0)</f>
        <v>0</v>
      </c>
      <c r="AO107" s="5">
        <f t="shared" ref="AO107:AO170" ca="1" si="52">IF($AB107, OFFSET($Z$41, $AL107, 0), 0)</f>
        <v>0</v>
      </c>
      <c r="AP107" s="5">
        <f t="shared" ref="AP107:AP170" ca="1" si="53">IF($AB107, OFFSET($Z$41, $AL107+1, 0), 0)</f>
        <v>0</v>
      </c>
      <c r="AQ107" s="5">
        <f t="shared" ref="AQ107:AQ170" si="54">IF($AB107, TREND(AO107:AP107, AM107:AN107, $U107), 0)</f>
        <v>0</v>
      </c>
      <c r="AR107" s="60"/>
      <c r="AS107" s="8">
        <f t="shared" ref="AS107:AS170" si="55">IF($AB107, AVERAGE($U106:$U107), 0)</f>
        <v>0</v>
      </c>
      <c r="AT107" s="5">
        <f t="shared" ref="AT107:AT170" si="56">IF($AB107, MATCH($AS107, $Y$42:$Y$294, TRUE), 0)</f>
        <v>0</v>
      </c>
      <c r="AU107" s="8">
        <f t="shared" ref="AU107:AU170" ca="1" si="57">IF($AB107, OFFSET($Y$41, $AT107, 0), 0)</f>
        <v>0</v>
      </c>
      <c r="AV107" s="8">
        <f t="shared" ref="AV107:AV170" ca="1" si="58">IF($AB107, OFFSET($Y$41, $AT107+1, 0), 0)</f>
        <v>0</v>
      </c>
      <c r="AW107" s="5">
        <f t="shared" ref="AW107:AW170" ca="1" si="59">IF($AB107, OFFSET($Z$41, $AT107, 0), 0)</f>
        <v>0</v>
      </c>
      <c r="AX107" s="5">
        <f t="shared" ref="AX107:AX170" ca="1" si="60">IF($AB107, OFFSET($Z$41, $AT107+1, 0), 0)</f>
        <v>0</v>
      </c>
      <c r="AY107" s="5">
        <f t="shared" ref="AY107:AY170" si="61">IF($AB107, TREND(AW107:AX107, AU107:AV107, AS107), 0)</f>
        <v>0</v>
      </c>
    </row>
    <row r="108" spans="21:51">
      <c r="U108" s="13"/>
      <c r="Y108" s="13"/>
      <c r="AB108" s="5" t="b">
        <f t="shared" si="40"/>
        <v>0</v>
      </c>
      <c r="AC108" s="60">
        <f t="shared" si="41"/>
        <v>0</v>
      </c>
      <c r="AD108" s="5">
        <f t="shared" si="42"/>
        <v>0</v>
      </c>
      <c r="AE108" s="5">
        <f t="shared" si="43"/>
        <v>0</v>
      </c>
      <c r="AF108" s="5">
        <f t="shared" si="44"/>
        <v>0</v>
      </c>
      <c r="AG108" s="5">
        <f t="shared" si="45"/>
        <v>0</v>
      </c>
      <c r="AH108" s="5">
        <f t="shared" si="46"/>
        <v>0</v>
      </c>
      <c r="AI108" s="5">
        <f t="shared" si="47"/>
        <v>0</v>
      </c>
      <c r="AJ108" s="5">
        <f t="shared" si="48"/>
        <v>0</v>
      </c>
      <c r="AL108" s="5">
        <f t="shared" si="49"/>
        <v>0</v>
      </c>
      <c r="AM108" s="8">
        <f t="shared" ca="1" si="50"/>
        <v>0</v>
      </c>
      <c r="AN108" s="8">
        <f t="shared" ca="1" si="51"/>
        <v>0</v>
      </c>
      <c r="AO108" s="5">
        <f t="shared" ca="1" si="52"/>
        <v>0</v>
      </c>
      <c r="AP108" s="5">
        <f t="shared" ca="1" si="53"/>
        <v>0</v>
      </c>
      <c r="AQ108" s="5">
        <f t="shared" si="54"/>
        <v>0</v>
      </c>
      <c r="AR108" s="60"/>
      <c r="AS108" s="8">
        <f t="shared" si="55"/>
        <v>0</v>
      </c>
      <c r="AT108" s="5">
        <f t="shared" si="56"/>
        <v>0</v>
      </c>
      <c r="AU108" s="8">
        <f t="shared" ca="1" si="57"/>
        <v>0</v>
      </c>
      <c r="AV108" s="8">
        <f t="shared" ca="1" si="58"/>
        <v>0</v>
      </c>
      <c r="AW108" s="5">
        <f t="shared" ca="1" si="59"/>
        <v>0</v>
      </c>
      <c r="AX108" s="5">
        <f t="shared" ca="1" si="60"/>
        <v>0</v>
      </c>
      <c r="AY108" s="5">
        <f t="shared" si="61"/>
        <v>0</v>
      </c>
    </row>
    <row r="109" spans="21:51">
      <c r="U109" s="13"/>
      <c r="Y109" s="13"/>
      <c r="AB109" s="5" t="b">
        <f t="shared" si="40"/>
        <v>0</v>
      </c>
      <c r="AC109" s="60">
        <f t="shared" si="41"/>
        <v>0</v>
      </c>
      <c r="AD109" s="5">
        <f t="shared" si="42"/>
        <v>0</v>
      </c>
      <c r="AE109" s="5">
        <f t="shared" si="43"/>
        <v>0</v>
      </c>
      <c r="AF109" s="5">
        <f t="shared" si="44"/>
        <v>0</v>
      </c>
      <c r="AG109" s="5">
        <f t="shared" si="45"/>
        <v>0</v>
      </c>
      <c r="AH109" s="5">
        <f t="shared" si="46"/>
        <v>0</v>
      </c>
      <c r="AI109" s="5">
        <f t="shared" si="47"/>
        <v>0</v>
      </c>
      <c r="AJ109" s="5">
        <f t="shared" si="48"/>
        <v>0</v>
      </c>
      <c r="AL109" s="5">
        <f t="shared" si="49"/>
        <v>0</v>
      </c>
      <c r="AM109" s="8">
        <f t="shared" ca="1" si="50"/>
        <v>0</v>
      </c>
      <c r="AN109" s="8">
        <f t="shared" ca="1" si="51"/>
        <v>0</v>
      </c>
      <c r="AO109" s="5">
        <f t="shared" ca="1" si="52"/>
        <v>0</v>
      </c>
      <c r="AP109" s="5">
        <f t="shared" ca="1" si="53"/>
        <v>0</v>
      </c>
      <c r="AQ109" s="5">
        <f t="shared" si="54"/>
        <v>0</v>
      </c>
      <c r="AR109" s="60"/>
      <c r="AS109" s="8">
        <f t="shared" si="55"/>
        <v>0</v>
      </c>
      <c r="AT109" s="5">
        <f t="shared" si="56"/>
        <v>0</v>
      </c>
      <c r="AU109" s="8">
        <f t="shared" ca="1" si="57"/>
        <v>0</v>
      </c>
      <c r="AV109" s="8">
        <f t="shared" ca="1" si="58"/>
        <v>0</v>
      </c>
      <c r="AW109" s="5">
        <f t="shared" ca="1" si="59"/>
        <v>0</v>
      </c>
      <c r="AX109" s="5">
        <f t="shared" ca="1" si="60"/>
        <v>0</v>
      </c>
      <c r="AY109" s="5">
        <f t="shared" si="61"/>
        <v>0</v>
      </c>
    </row>
    <row r="110" spans="21:51">
      <c r="U110" s="13"/>
      <c r="Y110" s="13"/>
      <c r="AB110" s="5" t="b">
        <f t="shared" si="40"/>
        <v>0</v>
      </c>
      <c r="AC110" s="60">
        <f t="shared" si="41"/>
        <v>0</v>
      </c>
      <c r="AD110" s="5">
        <f t="shared" si="42"/>
        <v>0</v>
      </c>
      <c r="AE110" s="5">
        <f t="shared" si="43"/>
        <v>0</v>
      </c>
      <c r="AF110" s="5">
        <f t="shared" si="44"/>
        <v>0</v>
      </c>
      <c r="AG110" s="5">
        <f t="shared" si="45"/>
        <v>0</v>
      </c>
      <c r="AH110" s="5">
        <f t="shared" si="46"/>
        <v>0</v>
      </c>
      <c r="AI110" s="5">
        <f t="shared" si="47"/>
        <v>0</v>
      </c>
      <c r="AJ110" s="5">
        <f t="shared" si="48"/>
        <v>0</v>
      </c>
      <c r="AL110" s="5">
        <f t="shared" si="49"/>
        <v>0</v>
      </c>
      <c r="AM110" s="8">
        <f t="shared" ca="1" si="50"/>
        <v>0</v>
      </c>
      <c r="AN110" s="8">
        <f t="shared" ca="1" si="51"/>
        <v>0</v>
      </c>
      <c r="AO110" s="5">
        <f t="shared" ca="1" si="52"/>
        <v>0</v>
      </c>
      <c r="AP110" s="5">
        <f t="shared" ca="1" si="53"/>
        <v>0</v>
      </c>
      <c r="AQ110" s="5">
        <f t="shared" si="54"/>
        <v>0</v>
      </c>
      <c r="AR110" s="60"/>
      <c r="AS110" s="8">
        <f t="shared" si="55"/>
        <v>0</v>
      </c>
      <c r="AT110" s="5">
        <f t="shared" si="56"/>
        <v>0</v>
      </c>
      <c r="AU110" s="8">
        <f t="shared" ca="1" si="57"/>
        <v>0</v>
      </c>
      <c r="AV110" s="8">
        <f t="shared" ca="1" si="58"/>
        <v>0</v>
      </c>
      <c r="AW110" s="5">
        <f t="shared" ca="1" si="59"/>
        <v>0</v>
      </c>
      <c r="AX110" s="5">
        <f t="shared" ca="1" si="60"/>
        <v>0</v>
      </c>
      <c r="AY110" s="5">
        <f t="shared" si="61"/>
        <v>0</v>
      </c>
    </row>
    <row r="111" spans="21:51">
      <c r="U111" s="13"/>
      <c r="Y111" s="13"/>
      <c r="AB111" s="5" t="b">
        <f t="shared" si="40"/>
        <v>0</v>
      </c>
      <c r="AC111" s="60">
        <f t="shared" si="41"/>
        <v>0</v>
      </c>
      <c r="AD111" s="5">
        <f t="shared" si="42"/>
        <v>0</v>
      </c>
      <c r="AE111" s="5">
        <f t="shared" si="43"/>
        <v>0</v>
      </c>
      <c r="AF111" s="5">
        <f t="shared" si="44"/>
        <v>0</v>
      </c>
      <c r="AG111" s="5">
        <f t="shared" si="45"/>
        <v>0</v>
      </c>
      <c r="AH111" s="5">
        <f t="shared" si="46"/>
        <v>0</v>
      </c>
      <c r="AI111" s="5">
        <f t="shared" si="47"/>
        <v>0</v>
      </c>
      <c r="AJ111" s="5">
        <f t="shared" si="48"/>
        <v>0</v>
      </c>
      <c r="AL111" s="5">
        <f t="shared" si="49"/>
        <v>0</v>
      </c>
      <c r="AM111" s="8">
        <f t="shared" ca="1" si="50"/>
        <v>0</v>
      </c>
      <c r="AN111" s="8">
        <f t="shared" ca="1" si="51"/>
        <v>0</v>
      </c>
      <c r="AO111" s="5">
        <f t="shared" ca="1" si="52"/>
        <v>0</v>
      </c>
      <c r="AP111" s="5">
        <f t="shared" ca="1" si="53"/>
        <v>0</v>
      </c>
      <c r="AQ111" s="5">
        <f t="shared" si="54"/>
        <v>0</v>
      </c>
      <c r="AR111" s="60"/>
      <c r="AS111" s="8">
        <f t="shared" si="55"/>
        <v>0</v>
      </c>
      <c r="AT111" s="5">
        <f t="shared" si="56"/>
        <v>0</v>
      </c>
      <c r="AU111" s="8">
        <f t="shared" ca="1" si="57"/>
        <v>0</v>
      </c>
      <c r="AV111" s="8">
        <f t="shared" ca="1" si="58"/>
        <v>0</v>
      </c>
      <c r="AW111" s="5">
        <f t="shared" ca="1" si="59"/>
        <v>0</v>
      </c>
      <c r="AX111" s="5">
        <f t="shared" ca="1" si="60"/>
        <v>0</v>
      </c>
      <c r="AY111" s="5">
        <f t="shared" si="61"/>
        <v>0</v>
      </c>
    </row>
    <row r="112" spans="21:51">
      <c r="U112" s="13"/>
      <c r="Y112" s="13"/>
      <c r="AB112" s="5" t="b">
        <f t="shared" si="40"/>
        <v>0</v>
      </c>
      <c r="AC112" s="60">
        <f t="shared" si="41"/>
        <v>0</v>
      </c>
      <c r="AD112" s="5">
        <f t="shared" si="42"/>
        <v>0</v>
      </c>
      <c r="AE112" s="5">
        <f t="shared" si="43"/>
        <v>0</v>
      </c>
      <c r="AF112" s="5">
        <f t="shared" si="44"/>
        <v>0</v>
      </c>
      <c r="AG112" s="5">
        <f t="shared" si="45"/>
        <v>0</v>
      </c>
      <c r="AH112" s="5">
        <f t="shared" si="46"/>
        <v>0</v>
      </c>
      <c r="AI112" s="5">
        <f t="shared" si="47"/>
        <v>0</v>
      </c>
      <c r="AJ112" s="5">
        <f t="shared" si="48"/>
        <v>0</v>
      </c>
      <c r="AL112" s="5">
        <f t="shared" si="49"/>
        <v>0</v>
      </c>
      <c r="AM112" s="8">
        <f t="shared" ca="1" si="50"/>
        <v>0</v>
      </c>
      <c r="AN112" s="8">
        <f t="shared" ca="1" si="51"/>
        <v>0</v>
      </c>
      <c r="AO112" s="5">
        <f t="shared" ca="1" si="52"/>
        <v>0</v>
      </c>
      <c r="AP112" s="5">
        <f t="shared" ca="1" si="53"/>
        <v>0</v>
      </c>
      <c r="AQ112" s="5">
        <f t="shared" si="54"/>
        <v>0</v>
      </c>
      <c r="AR112" s="60"/>
      <c r="AS112" s="8">
        <f t="shared" si="55"/>
        <v>0</v>
      </c>
      <c r="AT112" s="5">
        <f t="shared" si="56"/>
        <v>0</v>
      </c>
      <c r="AU112" s="8">
        <f t="shared" ca="1" si="57"/>
        <v>0</v>
      </c>
      <c r="AV112" s="8">
        <f t="shared" ca="1" si="58"/>
        <v>0</v>
      </c>
      <c r="AW112" s="5">
        <f t="shared" ca="1" si="59"/>
        <v>0</v>
      </c>
      <c r="AX112" s="5">
        <f t="shared" ca="1" si="60"/>
        <v>0</v>
      </c>
      <c r="AY112" s="5">
        <f t="shared" si="61"/>
        <v>0</v>
      </c>
    </row>
    <row r="113" spans="21:51">
      <c r="U113" s="13"/>
      <c r="Y113" s="13"/>
      <c r="AB113" s="5" t="b">
        <f t="shared" si="40"/>
        <v>0</v>
      </c>
      <c r="AC113" s="60">
        <f t="shared" si="41"/>
        <v>0</v>
      </c>
      <c r="AD113" s="5">
        <f t="shared" si="42"/>
        <v>0</v>
      </c>
      <c r="AE113" s="5">
        <f t="shared" si="43"/>
        <v>0</v>
      </c>
      <c r="AF113" s="5">
        <f t="shared" si="44"/>
        <v>0</v>
      </c>
      <c r="AG113" s="5">
        <f t="shared" si="45"/>
        <v>0</v>
      </c>
      <c r="AH113" s="5">
        <f t="shared" si="46"/>
        <v>0</v>
      </c>
      <c r="AI113" s="5">
        <f t="shared" si="47"/>
        <v>0</v>
      </c>
      <c r="AJ113" s="5">
        <f t="shared" si="48"/>
        <v>0</v>
      </c>
      <c r="AL113" s="5">
        <f t="shared" si="49"/>
        <v>0</v>
      </c>
      <c r="AM113" s="8">
        <f t="shared" ca="1" si="50"/>
        <v>0</v>
      </c>
      <c r="AN113" s="8">
        <f t="shared" ca="1" si="51"/>
        <v>0</v>
      </c>
      <c r="AO113" s="5">
        <f t="shared" ca="1" si="52"/>
        <v>0</v>
      </c>
      <c r="AP113" s="5">
        <f t="shared" ca="1" si="53"/>
        <v>0</v>
      </c>
      <c r="AQ113" s="5">
        <f t="shared" si="54"/>
        <v>0</v>
      </c>
      <c r="AR113" s="60"/>
      <c r="AS113" s="8">
        <f t="shared" si="55"/>
        <v>0</v>
      </c>
      <c r="AT113" s="5">
        <f t="shared" si="56"/>
        <v>0</v>
      </c>
      <c r="AU113" s="8">
        <f t="shared" ca="1" si="57"/>
        <v>0</v>
      </c>
      <c r="AV113" s="8">
        <f t="shared" ca="1" si="58"/>
        <v>0</v>
      </c>
      <c r="AW113" s="5">
        <f t="shared" ca="1" si="59"/>
        <v>0</v>
      </c>
      <c r="AX113" s="5">
        <f t="shared" ca="1" si="60"/>
        <v>0</v>
      </c>
      <c r="AY113" s="5">
        <f t="shared" si="61"/>
        <v>0</v>
      </c>
    </row>
    <row r="114" spans="21:51">
      <c r="U114" s="13"/>
      <c r="Y114" s="13"/>
      <c r="AB114" s="5" t="b">
        <f t="shared" si="40"/>
        <v>0</v>
      </c>
      <c r="AC114" s="60">
        <f t="shared" si="41"/>
        <v>0</v>
      </c>
      <c r="AD114" s="5">
        <f t="shared" si="42"/>
        <v>0</v>
      </c>
      <c r="AE114" s="5">
        <f t="shared" si="43"/>
        <v>0</v>
      </c>
      <c r="AF114" s="5">
        <f t="shared" si="44"/>
        <v>0</v>
      </c>
      <c r="AG114" s="5">
        <f t="shared" si="45"/>
        <v>0</v>
      </c>
      <c r="AH114" s="5">
        <f t="shared" si="46"/>
        <v>0</v>
      </c>
      <c r="AI114" s="5">
        <f t="shared" si="47"/>
        <v>0</v>
      </c>
      <c r="AJ114" s="5">
        <f t="shared" si="48"/>
        <v>0</v>
      </c>
      <c r="AL114" s="5">
        <f t="shared" si="49"/>
        <v>0</v>
      </c>
      <c r="AM114" s="8">
        <f t="shared" ca="1" si="50"/>
        <v>0</v>
      </c>
      <c r="AN114" s="8">
        <f t="shared" ca="1" si="51"/>
        <v>0</v>
      </c>
      <c r="AO114" s="5">
        <f t="shared" ca="1" si="52"/>
        <v>0</v>
      </c>
      <c r="AP114" s="5">
        <f t="shared" ca="1" si="53"/>
        <v>0</v>
      </c>
      <c r="AQ114" s="5">
        <f t="shared" si="54"/>
        <v>0</v>
      </c>
      <c r="AR114" s="60"/>
      <c r="AS114" s="8">
        <f t="shared" si="55"/>
        <v>0</v>
      </c>
      <c r="AT114" s="5">
        <f t="shared" si="56"/>
        <v>0</v>
      </c>
      <c r="AU114" s="8">
        <f t="shared" ca="1" si="57"/>
        <v>0</v>
      </c>
      <c r="AV114" s="8">
        <f t="shared" ca="1" si="58"/>
        <v>0</v>
      </c>
      <c r="AW114" s="5">
        <f t="shared" ca="1" si="59"/>
        <v>0</v>
      </c>
      <c r="AX114" s="5">
        <f t="shared" ca="1" si="60"/>
        <v>0</v>
      </c>
      <c r="AY114" s="5">
        <f t="shared" si="61"/>
        <v>0</v>
      </c>
    </row>
    <row r="115" spans="21:51">
      <c r="U115" s="13"/>
      <c r="Y115" s="13"/>
      <c r="AB115" s="5" t="b">
        <f t="shared" si="40"/>
        <v>0</v>
      </c>
      <c r="AC115" s="60">
        <f t="shared" si="41"/>
        <v>0</v>
      </c>
      <c r="AD115" s="5">
        <f t="shared" si="42"/>
        <v>0</v>
      </c>
      <c r="AE115" s="5">
        <f t="shared" si="43"/>
        <v>0</v>
      </c>
      <c r="AF115" s="5">
        <f t="shared" si="44"/>
        <v>0</v>
      </c>
      <c r="AG115" s="5">
        <f t="shared" si="45"/>
        <v>0</v>
      </c>
      <c r="AH115" s="5">
        <f t="shared" si="46"/>
        <v>0</v>
      </c>
      <c r="AI115" s="5">
        <f t="shared" si="47"/>
        <v>0</v>
      </c>
      <c r="AJ115" s="5">
        <f t="shared" si="48"/>
        <v>0</v>
      </c>
      <c r="AL115" s="5">
        <f t="shared" si="49"/>
        <v>0</v>
      </c>
      <c r="AM115" s="8">
        <f t="shared" ca="1" si="50"/>
        <v>0</v>
      </c>
      <c r="AN115" s="8">
        <f t="shared" ca="1" si="51"/>
        <v>0</v>
      </c>
      <c r="AO115" s="5">
        <f t="shared" ca="1" si="52"/>
        <v>0</v>
      </c>
      <c r="AP115" s="5">
        <f t="shared" ca="1" si="53"/>
        <v>0</v>
      </c>
      <c r="AQ115" s="5">
        <f t="shared" si="54"/>
        <v>0</v>
      </c>
      <c r="AR115" s="60"/>
      <c r="AS115" s="8">
        <f t="shared" si="55"/>
        <v>0</v>
      </c>
      <c r="AT115" s="5">
        <f t="shared" si="56"/>
        <v>0</v>
      </c>
      <c r="AU115" s="8">
        <f t="shared" ca="1" si="57"/>
        <v>0</v>
      </c>
      <c r="AV115" s="8">
        <f t="shared" ca="1" si="58"/>
        <v>0</v>
      </c>
      <c r="AW115" s="5">
        <f t="shared" ca="1" si="59"/>
        <v>0</v>
      </c>
      <c r="AX115" s="5">
        <f t="shared" ca="1" si="60"/>
        <v>0</v>
      </c>
      <c r="AY115" s="5">
        <f t="shared" si="61"/>
        <v>0</v>
      </c>
    </row>
    <row r="116" spans="21:51">
      <c r="U116" s="13"/>
      <c r="Y116" s="13"/>
      <c r="AB116" s="5" t="b">
        <f t="shared" si="40"/>
        <v>0</v>
      </c>
      <c r="AC116" s="60">
        <f t="shared" si="41"/>
        <v>0</v>
      </c>
      <c r="AD116" s="5">
        <f t="shared" si="42"/>
        <v>0</v>
      </c>
      <c r="AE116" s="5">
        <f t="shared" si="43"/>
        <v>0</v>
      </c>
      <c r="AF116" s="5">
        <f t="shared" si="44"/>
        <v>0</v>
      </c>
      <c r="AG116" s="5">
        <f t="shared" si="45"/>
        <v>0</v>
      </c>
      <c r="AH116" s="5">
        <f t="shared" si="46"/>
        <v>0</v>
      </c>
      <c r="AI116" s="5">
        <f t="shared" si="47"/>
        <v>0</v>
      </c>
      <c r="AJ116" s="5">
        <f t="shared" si="48"/>
        <v>0</v>
      </c>
      <c r="AL116" s="5">
        <f t="shared" si="49"/>
        <v>0</v>
      </c>
      <c r="AM116" s="8">
        <f t="shared" ca="1" si="50"/>
        <v>0</v>
      </c>
      <c r="AN116" s="8">
        <f t="shared" ca="1" si="51"/>
        <v>0</v>
      </c>
      <c r="AO116" s="5">
        <f t="shared" ca="1" si="52"/>
        <v>0</v>
      </c>
      <c r="AP116" s="5">
        <f t="shared" ca="1" si="53"/>
        <v>0</v>
      </c>
      <c r="AQ116" s="5">
        <f t="shared" si="54"/>
        <v>0</v>
      </c>
      <c r="AR116" s="60"/>
      <c r="AS116" s="8">
        <f t="shared" si="55"/>
        <v>0</v>
      </c>
      <c r="AT116" s="5">
        <f t="shared" si="56"/>
        <v>0</v>
      </c>
      <c r="AU116" s="8">
        <f t="shared" ca="1" si="57"/>
        <v>0</v>
      </c>
      <c r="AV116" s="8">
        <f t="shared" ca="1" si="58"/>
        <v>0</v>
      </c>
      <c r="AW116" s="5">
        <f t="shared" ca="1" si="59"/>
        <v>0</v>
      </c>
      <c r="AX116" s="5">
        <f t="shared" ca="1" si="60"/>
        <v>0</v>
      </c>
      <c r="AY116" s="5">
        <f t="shared" si="61"/>
        <v>0</v>
      </c>
    </row>
    <row r="117" spans="21:51">
      <c r="U117" s="13"/>
      <c r="Y117" s="13"/>
      <c r="AB117" s="5" t="b">
        <f t="shared" si="40"/>
        <v>0</v>
      </c>
      <c r="AC117" s="60">
        <f t="shared" si="41"/>
        <v>0</v>
      </c>
      <c r="AD117" s="5">
        <f t="shared" si="42"/>
        <v>0</v>
      </c>
      <c r="AE117" s="5">
        <f t="shared" si="43"/>
        <v>0</v>
      </c>
      <c r="AF117" s="5">
        <f t="shared" si="44"/>
        <v>0</v>
      </c>
      <c r="AG117" s="5">
        <f t="shared" si="45"/>
        <v>0</v>
      </c>
      <c r="AH117" s="5">
        <f t="shared" si="46"/>
        <v>0</v>
      </c>
      <c r="AI117" s="5">
        <f t="shared" si="47"/>
        <v>0</v>
      </c>
      <c r="AJ117" s="5">
        <f t="shared" si="48"/>
        <v>0</v>
      </c>
      <c r="AL117" s="5">
        <f t="shared" si="49"/>
        <v>0</v>
      </c>
      <c r="AM117" s="8">
        <f t="shared" ca="1" si="50"/>
        <v>0</v>
      </c>
      <c r="AN117" s="8">
        <f t="shared" ca="1" si="51"/>
        <v>0</v>
      </c>
      <c r="AO117" s="5">
        <f t="shared" ca="1" si="52"/>
        <v>0</v>
      </c>
      <c r="AP117" s="5">
        <f t="shared" ca="1" si="53"/>
        <v>0</v>
      </c>
      <c r="AQ117" s="5">
        <f t="shared" si="54"/>
        <v>0</v>
      </c>
      <c r="AR117" s="60"/>
      <c r="AS117" s="8">
        <f t="shared" si="55"/>
        <v>0</v>
      </c>
      <c r="AT117" s="5">
        <f t="shared" si="56"/>
        <v>0</v>
      </c>
      <c r="AU117" s="8">
        <f t="shared" ca="1" si="57"/>
        <v>0</v>
      </c>
      <c r="AV117" s="8">
        <f t="shared" ca="1" si="58"/>
        <v>0</v>
      </c>
      <c r="AW117" s="5">
        <f t="shared" ca="1" si="59"/>
        <v>0</v>
      </c>
      <c r="AX117" s="5">
        <f t="shared" ca="1" si="60"/>
        <v>0</v>
      </c>
      <c r="AY117" s="5">
        <f t="shared" si="61"/>
        <v>0</v>
      </c>
    </row>
    <row r="118" spans="21:51">
      <c r="U118" s="13"/>
      <c r="Y118" s="13"/>
      <c r="AB118" s="5" t="b">
        <f t="shared" si="40"/>
        <v>0</v>
      </c>
      <c r="AC118" s="60">
        <f t="shared" si="41"/>
        <v>0</v>
      </c>
      <c r="AD118" s="5">
        <f t="shared" si="42"/>
        <v>0</v>
      </c>
      <c r="AE118" s="5">
        <f t="shared" si="43"/>
        <v>0</v>
      </c>
      <c r="AF118" s="5">
        <f t="shared" si="44"/>
        <v>0</v>
      </c>
      <c r="AG118" s="5">
        <f t="shared" si="45"/>
        <v>0</v>
      </c>
      <c r="AH118" s="5">
        <f t="shared" si="46"/>
        <v>0</v>
      </c>
      <c r="AI118" s="5">
        <f t="shared" si="47"/>
        <v>0</v>
      </c>
      <c r="AJ118" s="5">
        <f t="shared" si="48"/>
        <v>0</v>
      </c>
      <c r="AL118" s="5">
        <f t="shared" si="49"/>
        <v>0</v>
      </c>
      <c r="AM118" s="8">
        <f t="shared" ca="1" si="50"/>
        <v>0</v>
      </c>
      <c r="AN118" s="8">
        <f t="shared" ca="1" si="51"/>
        <v>0</v>
      </c>
      <c r="AO118" s="5">
        <f t="shared" ca="1" si="52"/>
        <v>0</v>
      </c>
      <c r="AP118" s="5">
        <f t="shared" ca="1" si="53"/>
        <v>0</v>
      </c>
      <c r="AQ118" s="5">
        <f t="shared" si="54"/>
        <v>0</v>
      </c>
      <c r="AR118" s="60"/>
      <c r="AS118" s="8">
        <f t="shared" si="55"/>
        <v>0</v>
      </c>
      <c r="AT118" s="5">
        <f t="shared" si="56"/>
        <v>0</v>
      </c>
      <c r="AU118" s="8">
        <f t="shared" ca="1" si="57"/>
        <v>0</v>
      </c>
      <c r="AV118" s="8">
        <f t="shared" ca="1" si="58"/>
        <v>0</v>
      </c>
      <c r="AW118" s="5">
        <f t="shared" ca="1" si="59"/>
        <v>0</v>
      </c>
      <c r="AX118" s="5">
        <f t="shared" ca="1" si="60"/>
        <v>0</v>
      </c>
      <c r="AY118" s="5">
        <f t="shared" si="61"/>
        <v>0</v>
      </c>
    </row>
    <row r="119" spans="21:51">
      <c r="U119" s="13"/>
      <c r="Y119" s="13"/>
      <c r="AB119" s="5" t="b">
        <f t="shared" si="40"/>
        <v>0</v>
      </c>
      <c r="AC119" s="60">
        <f t="shared" si="41"/>
        <v>0</v>
      </c>
      <c r="AD119" s="5">
        <f t="shared" si="42"/>
        <v>0</v>
      </c>
      <c r="AE119" s="5">
        <f t="shared" si="43"/>
        <v>0</v>
      </c>
      <c r="AF119" s="5">
        <f t="shared" si="44"/>
        <v>0</v>
      </c>
      <c r="AG119" s="5">
        <f t="shared" si="45"/>
        <v>0</v>
      </c>
      <c r="AH119" s="5">
        <f t="shared" si="46"/>
        <v>0</v>
      </c>
      <c r="AI119" s="5">
        <f t="shared" si="47"/>
        <v>0</v>
      </c>
      <c r="AJ119" s="5">
        <f t="shared" si="48"/>
        <v>0</v>
      </c>
      <c r="AL119" s="5">
        <f t="shared" si="49"/>
        <v>0</v>
      </c>
      <c r="AM119" s="8">
        <f t="shared" ca="1" si="50"/>
        <v>0</v>
      </c>
      <c r="AN119" s="8">
        <f t="shared" ca="1" si="51"/>
        <v>0</v>
      </c>
      <c r="AO119" s="5">
        <f t="shared" ca="1" si="52"/>
        <v>0</v>
      </c>
      <c r="AP119" s="5">
        <f t="shared" ca="1" si="53"/>
        <v>0</v>
      </c>
      <c r="AQ119" s="5">
        <f t="shared" si="54"/>
        <v>0</v>
      </c>
      <c r="AR119" s="60"/>
      <c r="AS119" s="8">
        <f t="shared" si="55"/>
        <v>0</v>
      </c>
      <c r="AT119" s="5">
        <f t="shared" si="56"/>
        <v>0</v>
      </c>
      <c r="AU119" s="8">
        <f t="shared" ca="1" si="57"/>
        <v>0</v>
      </c>
      <c r="AV119" s="8">
        <f t="shared" ca="1" si="58"/>
        <v>0</v>
      </c>
      <c r="AW119" s="5">
        <f t="shared" ca="1" si="59"/>
        <v>0</v>
      </c>
      <c r="AX119" s="5">
        <f t="shared" ca="1" si="60"/>
        <v>0</v>
      </c>
      <c r="AY119" s="5">
        <f t="shared" si="61"/>
        <v>0</v>
      </c>
    </row>
    <row r="120" spans="21:51">
      <c r="U120" s="13"/>
      <c r="Y120" s="13"/>
      <c r="AB120" s="5" t="b">
        <f t="shared" si="40"/>
        <v>0</v>
      </c>
      <c r="AC120" s="60">
        <f t="shared" si="41"/>
        <v>0</v>
      </c>
      <c r="AD120" s="5">
        <f t="shared" si="42"/>
        <v>0</v>
      </c>
      <c r="AE120" s="5">
        <f t="shared" si="43"/>
        <v>0</v>
      </c>
      <c r="AF120" s="5">
        <f t="shared" si="44"/>
        <v>0</v>
      </c>
      <c r="AG120" s="5">
        <f t="shared" si="45"/>
        <v>0</v>
      </c>
      <c r="AH120" s="5">
        <f t="shared" si="46"/>
        <v>0</v>
      </c>
      <c r="AI120" s="5">
        <f t="shared" si="47"/>
        <v>0</v>
      </c>
      <c r="AJ120" s="5">
        <f t="shared" si="48"/>
        <v>0</v>
      </c>
      <c r="AL120" s="5">
        <f t="shared" si="49"/>
        <v>0</v>
      </c>
      <c r="AM120" s="8">
        <f t="shared" ca="1" si="50"/>
        <v>0</v>
      </c>
      <c r="AN120" s="8">
        <f t="shared" ca="1" si="51"/>
        <v>0</v>
      </c>
      <c r="AO120" s="5">
        <f t="shared" ca="1" si="52"/>
        <v>0</v>
      </c>
      <c r="AP120" s="5">
        <f t="shared" ca="1" si="53"/>
        <v>0</v>
      </c>
      <c r="AQ120" s="5">
        <f t="shared" si="54"/>
        <v>0</v>
      </c>
      <c r="AR120" s="60"/>
      <c r="AS120" s="8">
        <f t="shared" si="55"/>
        <v>0</v>
      </c>
      <c r="AT120" s="5">
        <f t="shared" si="56"/>
        <v>0</v>
      </c>
      <c r="AU120" s="8">
        <f t="shared" ca="1" si="57"/>
        <v>0</v>
      </c>
      <c r="AV120" s="8">
        <f t="shared" ca="1" si="58"/>
        <v>0</v>
      </c>
      <c r="AW120" s="5">
        <f t="shared" ca="1" si="59"/>
        <v>0</v>
      </c>
      <c r="AX120" s="5">
        <f t="shared" ca="1" si="60"/>
        <v>0</v>
      </c>
      <c r="AY120" s="5">
        <f t="shared" si="61"/>
        <v>0</v>
      </c>
    </row>
    <row r="121" spans="21:51">
      <c r="U121" s="13"/>
      <c r="Y121" s="13"/>
      <c r="AB121" s="5" t="b">
        <f t="shared" si="40"/>
        <v>0</v>
      </c>
      <c r="AC121" s="60">
        <f t="shared" si="41"/>
        <v>0</v>
      </c>
      <c r="AD121" s="5">
        <f t="shared" si="42"/>
        <v>0</v>
      </c>
      <c r="AE121" s="5">
        <f t="shared" si="43"/>
        <v>0</v>
      </c>
      <c r="AF121" s="5">
        <f t="shared" si="44"/>
        <v>0</v>
      </c>
      <c r="AG121" s="5">
        <f t="shared" si="45"/>
        <v>0</v>
      </c>
      <c r="AH121" s="5">
        <f t="shared" si="46"/>
        <v>0</v>
      </c>
      <c r="AI121" s="5">
        <f t="shared" si="47"/>
        <v>0</v>
      </c>
      <c r="AJ121" s="5">
        <f t="shared" si="48"/>
        <v>0</v>
      </c>
      <c r="AL121" s="5">
        <f t="shared" si="49"/>
        <v>0</v>
      </c>
      <c r="AM121" s="8">
        <f t="shared" ca="1" si="50"/>
        <v>0</v>
      </c>
      <c r="AN121" s="8">
        <f t="shared" ca="1" si="51"/>
        <v>0</v>
      </c>
      <c r="AO121" s="5">
        <f t="shared" ca="1" si="52"/>
        <v>0</v>
      </c>
      <c r="AP121" s="5">
        <f t="shared" ca="1" si="53"/>
        <v>0</v>
      </c>
      <c r="AQ121" s="5">
        <f t="shared" si="54"/>
        <v>0</v>
      </c>
      <c r="AR121" s="60"/>
      <c r="AS121" s="8">
        <f t="shared" si="55"/>
        <v>0</v>
      </c>
      <c r="AT121" s="5">
        <f t="shared" si="56"/>
        <v>0</v>
      </c>
      <c r="AU121" s="8">
        <f t="shared" ca="1" si="57"/>
        <v>0</v>
      </c>
      <c r="AV121" s="8">
        <f t="shared" ca="1" si="58"/>
        <v>0</v>
      </c>
      <c r="AW121" s="5">
        <f t="shared" ca="1" si="59"/>
        <v>0</v>
      </c>
      <c r="AX121" s="5">
        <f t="shared" ca="1" si="60"/>
        <v>0</v>
      </c>
      <c r="AY121" s="5">
        <f t="shared" si="61"/>
        <v>0</v>
      </c>
    </row>
    <row r="122" spans="21:51">
      <c r="U122" s="13"/>
      <c r="Y122" s="13"/>
      <c r="AB122" s="5" t="b">
        <f t="shared" si="40"/>
        <v>0</v>
      </c>
      <c r="AC122" s="60">
        <f t="shared" si="41"/>
        <v>0</v>
      </c>
      <c r="AD122" s="5">
        <f t="shared" si="42"/>
        <v>0</v>
      </c>
      <c r="AE122" s="5">
        <f t="shared" si="43"/>
        <v>0</v>
      </c>
      <c r="AF122" s="5">
        <f t="shared" si="44"/>
        <v>0</v>
      </c>
      <c r="AG122" s="5">
        <f t="shared" si="45"/>
        <v>0</v>
      </c>
      <c r="AH122" s="5">
        <f t="shared" si="46"/>
        <v>0</v>
      </c>
      <c r="AI122" s="5">
        <f t="shared" si="47"/>
        <v>0</v>
      </c>
      <c r="AJ122" s="5">
        <f t="shared" si="48"/>
        <v>0</v>
      </c>
      <c r="AL122" s="5">
        <f t="shared" si="49"/>
        <v>0</v>
      </c>
      <c r="AM122" s="8">
        <f t="shared" ca="1" si="50"/>
        <v>0</v>
      </c>
      <c r="AN122" s="8">
        <f t="shared" ca="1" si="51"/>
        <v>0</v>
      </c>
      <c r="AO122" s="5">
        <f t="shared" ca="1" si="52"/>
        <v>0</v>
      </c>
      <c r="AP122" s="5">
        <f t="shared" ca="1" si="53"/>
        <v>0</v>
      </c>
      <c r="AQ122" s="5">
        <f t="shared" si="54"/>
        <v>0</v>
      </c>
      <c r="AR122" s="60"/>
      <c r="AS122" s="8">
        <f t="shared" si="55"/>
        <v>0</v>
      </c>
      <c r="AT122" s="5">
        <f t="shared" si="56"/>
        <v>0</v>
      </c>
      <c r="AU122" s="8">
        <f t="shared" ca="1" si="57"/>
        <v>0</v>
      </c>
      <c r="AV122" s="8">
        <f t="shared" ca="1" si="58"/>
        <v>0</v>
      </c>
      <c r="AW122" s="5">
        <f t="shared" ca="1" si="59"/>
        <v>0</v>
      </c>
      <c r="AX122" s="5">
        <f t="shared" ca="1" si="60"/>
        <v>0</v>
      </c>
      <c r="AY122" s="5">
        <f t="shared" si="61"/>
        <v>0</v>
      </c>
    </row>
    <row r="123" spans="21:51">
      <c r="U123" s="13"/>
      <c r="Y123" s="13"/>
      <c r="AB123" s="5" t="b">
        <f t="shared" si="40"/>
        <v>0</v>
      </c>
      <c r="AC123" s="60">
        <f t="shared" si="41"/>
        <v>0</v>
      </c>
      <c r="AD123" s="5">
        <f t="shared" si="42"/>
        <v>0</v>
      </c>
      <c r="AE123" s="5">
        <f t="shared" si="43"/>
        <v>0</v>
      </c>
      <c r="AF123" s="5">
        <f t="shared" si="44"/>
        <v>0</v>
      </c>
      <c r="AG123" s="5">
        <f t="shared" si="45"/>
        <v>0</v>
      </c>
      <c r="AH123" s="5">
        <f t="shared" si="46"/>
        <v>0</v>
      </c>
      <c r="AI123" s="5">
        <f t="shared" si="47"/>
        <v>0</v>
      </c>
      <c r="AJ123" s="5">
        <f t="shared" si="48"/>
        <v>0</v>
      </c>
      <c r="AL123" s="5">
        <f t="shared" si="49"/>
        <v>0</v>
      </c>
      <c r="AM123" s="8">
        <f t="shared" ca="1" si="50"/>
        <v>0</v>
      </c>
      <c r="AN123" s="8">
        <f t="shared" ca="1" si="51"/>
        <v>0</v>
      </c>
      <c r="AO123" s="5">
        <f t="shared" ca="1" si="52"/>
        <v>0</v>
      </c>
      <c r="AP123" s="5">
        <f t="shared" ca="1" si="53"/>
        <v>0</v>
      </c>
      <c r="AQ123" s="5">
        <f t="shared" si="54"/>
        <v>0</v>
      </c>
      <c r="AR123" s="60"/>
      <c r="AS123" s="8">
        <f t="shared" si="55"/>
        <v>0</v>
      </c>
      <c r="AT123" s="5">
        <f t="shared" si="56"/>
        <v>0</v>
      </c>
      <c r="AU123" s="8">
        <f t="shared" ca="1" si="57"/>
        <v>0</v>
      </c>
      <c r="AV123" s="8">
        <f t="shared" ca="1" si="58"/>
        <v>0</v>
      </c>
      <c r="AW123" s="5">
        <f t="shared" ca="1" si="59"/>
        <v>0</v>
      </c>
      <c r="AX123" s="5">
        <f t="shared" ca="1" si="60"/>
        <v>0</v>
      </c>
      <c r="AY123" s="5">
        <f t="shared" si="61"/>
        <v>0</v>
      </c>
    </row>
    <row r="124" spans="21:51">
      <c r="U124" s="13"/>
      <c r="Y124" s="13"/>
      <c r="AB124" s="5" t="b">
        <f t="shared" si="40"/>
        <v>0</v>
      </c>
      <c r="AC124" s="60">
        <f t="shared" si="41"/>
        <v>0</v>
      </c>
      <c r="AD124" s="5">
        <f t="shared" si="42"/>
        <v>0</v>
      </c>
      <c r="AE124" s="5">
        <f t="shared" si="43"/>
        <v>0</v>
      </c>
      <c r="AF124" s="5">
        <f t="shared" si="44"/>
        <v>0</v>
      </c>
      <c r="AG124" s="5">
        <f t="shared" si="45"/>
        <v>0</v>
      </c>
      <c r="AH124" s="5">
        <f t="shared" si="46"/>
        <v>0</v>
      </c>
      <c r="AI124" s="5">
        <f t="shared" si="47"/>
        <v>0</v>
      </c>
      <c r="AJ124" s="5">
        <f t="shared" si="48"/>
        <v>0</v>
      </c>
      <c r="AL124" s="5">
        <f t="shared" si="49"/>
        <v>0</v>
      </c>
      <c r="AM124" s="8">
        <f t="shared" ca="1" si="50"/>
        <v>0</v>
      </c>
      <c r="AN124" s="8">
        <f t="shared" ca="1" si="51"/>
        <v>0</v>
      </c>
      <c r="AO124" s="5">
        <f t="shared" ca="1" si="52"/>
        <v>0</v>
      </c>
      <c r="AP124" s="5">
        <f t="shared" ca="1" si="53"/>
        <v>0</v>
      </c>
      <c r="AQ124" s="5">
        <f t="shared" si="54"/>
        <v>0</v>
      </c>
      <c r="AR124" s="60"/>
      <c r="AS124" s="8">
        <f t="shared" si="55"/>
        <v>0</v>
      </c>
      <c r="AT124" s="5">
        <f t="shared" si="56"/>
        <v>0</v>
      </c>
      <c r="AU124" s="8">
        <f t="shared" ca="1" si="57"/>
        <v>0</v>
      </c>
      <c r="AV124" s="8">
        <f t="shared" ca="1" si="58"/>
        <v>0</v>
      </c>
      <c r="AW124" s="5">
        <f t="shared" ca="1" si="59"/>
        <v>0</v>
      </c>
      <c r="AX124" s="5">
        <f t="shared" ca="1" si="60"/>
        <v>0</v>
      </c>
      <c r="AY124" s="5">
        <f t="shared" si="61"/>
        <v>0</v>
      </c>
    </row>
    <row r="125" spans="21:51">
      <c r="U125" s="13"/>
      <c r="Y125" s="13"/>
      <c r="AB125" s="5" t="b">
        <f t="shared" si="40"/>
        <v>0</v>
      </c>
      <c r="AC125" s="60">
        <f t="shared" si="41"/>
        <v>0</v>
      </c>
      <c r="AD125" s="5">
        <f t="shared" si="42"/>
        <v>0</v>
      </c>
      <c r="AE125" s="5">
        <f t="shared" si="43"/>
        <v>0</v>
      </c>
      <c r="AF125" s="5">
        <f t="shared" si="44"/>
        <v>0</v>
      </c>
      <c r="AG125" s="5">
        <f t="shared" si="45"/>
        <v>0</v>
      </c>
      <c r="AH125" s="5">
        <f t="shared" si="46"/>
        <v>0</v>
      </c>
      <c r="AI125" s="5">
        <f t="shared" si="47"/>
        <v>0</v>
      </c>
      <c r="AJ125" s="5">
        <f t="shared" si="48"/>
        <v>0</v>
      </c>
      <c r="AL125" s="5">
        <f t="shared" si="49"/>
        <v>0</v>
      </c>
      <c r="AM125" s="8">
        <f t="shared" ca="1" si="50"/>
        <v>0</v>
      </c>
      <c r="AN125" s="8">
        <f t="shared" ca="1" si="51"/>
        <v>0</v>
      </c>
      <c r="AO125" s="5">
        <f t="shared" ca="1" si="52"/>
        <v>0</v>
      </c>
      <c r="AP125" s="5">
        <f t="shared" ca="1" si="53"/>
        <v>0</v>
      </c>
      <c r="AQ125" s="5">
        <f t="shared" si="54"/>
        <v>0</v>
      </c>
      <c r="AR125" s="60"/>
      <c r="AS125" s="8">
        <f t="shared" si="55"/>
        <v>0</v>
      </c>
      <c r="AT125" s="5">
        <f t="shared" si="56"/>
        <v>0</v>
      </c>
      <c r="AU125" s="8">
        <f t="shared" ca="1" si="57"/>
        <v>0</v>
      </c>
      <c r="AV125" s="8">
        <f t="shared" ca="1" si="58"/>
        <v>0</v>
      </c>
      <c r="AW125" s="5">
        <f t="shared" ca="1" si="59"/>
        <v>0</v>
      </c>
      <c r="AX125" s="5">
        <f t="shared" ca="1" si="60"/>
        <v>0</v>
      </c>
      <c r="AY125" s="5">
        <f t="shared" si="61"/>
        <v>0</v>
      </c>
    </row>
    <row r="126" spans="21:51">
      <c r="U126" s="13"/>
      <c r="Y126" s="13"/>
      <c r="AB126" s="5" t="b">
        <f t="shared" si="40"/>
        <v>0</v>
      </c>
      <c r="AC126" s="60">
        <f t="shared" si="41"/>
        <v>0</v>
      </c>
      <c r="AD126" s="5">
        <f t="shared" si="42"/>
        <v>0</v>
      </c>
      <c r="AE126" s="5">
        <f t="shared" si="43"/>
        <v>0</v>
      </c>
      <c r="AF126" s="5">
        <f t="shared" si="44"/>
        <v>0</v>
      </c>
      <c r="AG126" s="5">
        <f t="shared" si="45"/>
        <v>0</v>
      </c>
      <c r="AH126" s="5">
        <f t="shared" si="46"/>
        <v>0</v>
      </c>
      <c r="AI126" s="5">
        <f t="shared" si="47"/>
        <v>0</v>
      </c>
      <c r="AJ126" s="5">
        <f t="shared" si="48"/>
        <v>0</v>
      </c>
      <c r="AL126" s="5">
        <f t="shared" si="49"/>
        <v>0</v>
      </c>
      <c r="AM126" s="8">
        <f t="shared" ca="1" si="50"/>
        <v>0</v>
      </c>
      <c r="AN126" s="8">
        <f t="shared" ca="1" si="51"/>
        <v>0</v>
      </c>
      <c r="AO126" s="5">
        <f t="shared" ca="1" si="52"/>
        <v>0</v>
      </c>
      <c r="AP126" s="5">
        <f t="shared" ca="1" si="53"/>
        <v>0</v>
      </c>
      <c r="AQ126" s="5">
        <f t="shared" si="54"/>
        <v>0</v>
      </c>
      <c r="AR126" s="60"/>
      <c r="AS126" s="8">
        <f t="shared" si="55"/>
        <v>0</v>
      </c>
      <c r="AT126" s="5">
        <f t="shared" si="56"/>
        <v>0</v>
      </c>
      <c r="AU126" s="8">
        <f t="shared" ca="1" si="57"/>
        <v>0</v>
      </c>
      <c r="AV126" s="8">
        <f t="shared" ca="1" si="58"/>
        <v>0</v>
      </c>
      <c r="AW126" s="5">
        <f t="shared" ca="1" si="59"/>
        <v>0</v>
      </c>
      <c r="AX126" s="5">
        <f t="shared" ca="1" si="60"/>
        <v>0</v>
      </c>
      <c r="AY126" s="5">
        <f t="shared" si="61"/>
        <v>0</v>
      </c>
    </row>
    <row r="127" spans="21:51">
      <c r="U127" s="13"/>
      <c r="Y127" s="13"/>
      <c r="AB127" s="5" t="b">
        <f t="shared" si="40"/>
        <v>0</v>
      </c>
      <c r="AC127" s="60">
        <f t="shared" si="41"/>
        <v>0</v>
      </c>
      <c r="AD127" s="5">
        <f t="shared" si="42"/>
        <v>0</v>
      </c>
      <c r="AE127" s="5">
        <f t="shared" si="43"/>
        <v>0</v>
      </c>
      <c r="AF127" s="5">
        <f t="shared" si="44"/>
        <v>0</v>
      </c>
      <c r="AG127" s="5">
        <f t="shared" si="45"/>
        <v>0</v>
      </c>
      <c r="AH127" s="5">
        <f t="shared" si="46"/>
        <v>0</v>
      </c>
      <c r="AI127" s="5">
        <f t="shared" si="47"/>
        <v>0</v>
      </c>
      <c r="AJ127" s="5">
        <f t="shared" si="48"/>
        <v>0</v>
      </c>
      <c r="AL127" s="5">
        <f t="shared" si="49"/>
        <v>0</v>
      </c>
      <c r="AM127" s="8">
        <f t="shared" ca="1" si="50"/>
        <v>0</v>
      </c>
      <c r="AN127" s="8">
        <f t="shared" ca="1" si="51"/>
        <v>0</v>
      </c>
      <c r="AO127" s="5">
        <f t="shared" ca="1" si="52"/>
        <v>0</v>
      </c>
      <c r="AP127" s="5">
        <f t="shared" ca="1" si="53"/>
        <v>0</v>
      </c>
      <c r="AQ127" s="5">
        <f t="shared" si="54"/>
        <v>0</v>
      </c>
      <c r="AR127" s="60"/>
      <c r="AS127" s="8">
        <f t="shared" si="55"/>
        <v>0</v>
      </c>
      <c r="AT127" s="5">
        <f t="shared" si="56"/>
        <v>0</v>
      </c>
      <c r="AU127" s="8">
        <f t="shared" ca="1" si="57"/>
        <v>0</v>
      </c>
      <c r="AV127" s="8">
        <f t="shared" ca="1" si="58"/>
        <v>0</v>
      </c>
      <c r="AW127" s="5">
        <f t="shared" ca="1" si="59"/>
        <v>0</v>
      </c>
      <c r="AX127" s="5">
        <f t="shared" ca="1" si="60"/>
        <v>0</v>
      </c>
      <c r="AY127" s="5">
        <f t="shared" si="61"/>
        <v>0</v>
      </c>
    </row>
    <row r="128" spans="21:51">
      <c r="U128" s="13"/>
      <c r="Y128" s="13"/>
      <c r="AB128" s="5" t="b">
        <f t="shared" si="40"/>
        <v>0</v>
      </c>
      <c r="AC128" s="60">
        <f t="shared" si="41"/>
        <v>0</v>
      </c>
      <c r="AD128" s="5">
        <f t="shared" si="42"/>
        <v>0</v>
      </c>
      <c r="AE128" s="5">
        <f t="shared" si="43"/>
        <v>0</v>
      </c>
      <c r="AF128" s="5">
        <f t="shared" si="44"/>
        <v>0</v>
      </c>
      <c r="AG128" s="5">
        <f t="shared" si="45"/>
        <v>0</v>
      </c>
      <c r="AH128" s="5">
        <f t="shared" si="46"/>
        <v>0</v>
      </c>
      <c r="AI128" s="5">
        <f t="shared" si="47"/>
        <v>0</v>
      </c>
      <c r="AJ128" s="5">
        <f t="shared" si="48"/>
        <v>0</v>
      </c>
      <c r="AL128" s="5">
        <f t="shared" si="49"/>
        <v>0</v>
      </c>
      <c r="AM128" s="8">
        <f t="shared" ca="1" si="50"/>
        <v>0</v>
      </c>
      <c r="AN128" s="8">
        <f t="shared" ca="1" si="51"/>
        <v>0</v>
      </c>
      <c r="AO128" s="5">
        <f t="shared" ca="1" si="52"/>
        <v>0</v>
      </c>
      <c r="AP128" s="5">
        <f t="shared" ca="1" si="53"/>
        <v>0</v>
      </c>
      <c r="AQ128" s="5">
        <f t="shared" si="54"/>
        <v>0</v>
      </c>
      <c r="AR128" s="60"/>
      <c r="AS128" s="8">
        <f t="shared" si="55"/>
        <v>0</v>
      </c>
      <c r="AT128" s="5">
        <f t="shared" si="56"/>
        <v>0</v>
      </c>
      <c r="AU128" s="8">
        <f t="shared" ca="1" si="57"/>
        <v>0</v>
      </c>
      <c r="AV128" s="8">
        <f t="shared" ca="1" si="58"/>
        <v>0</v>
      </c>
      <c r="AW128" s="5">
        <f t="shared" ca="1" si="59"/>
        <v>0</v>
      </c>
      <c r="AX128" s="5">
        <f t="shared" ca="1" si="60"/>
        <v>0</v>
      </c>
      <c r="AY128" s="5">
        <f t="shared" si="61"/>
        <v>0</v>
      </c>
    </row>
    <row r="129" spans="21:51">
      <c r="U129" s="13"/>
      <c r="Y129" s="13"/>
      <c r="AB129" s="5" t="b">
        <f t="shared" si="40"/>
        <v>0</v>
      </c>
      <c r="AC129" s="60">
        <f t="shared" si="41"/>
        <v>0</v>
      </c>
      <c r="AD129" s="5">
        <f t="shared" si="42"/>
        <v>0</v>
      </c>
      <c r="AE129" s="5">
        <f t="shared" si="43"/>
        <v>0</v>
      </c>
      <c r="AF129" s="5">
        <f t="shared" si="44"/>
        <v>0</v>
      </c>
      <c r="AG129" s="5">
        <f t="shared" si="45"/>
        <v>0</v>
      </c>
      <c r="AH129" s="5">
        <f t="shared" si="46"/>
        <v>0</v>
      </c>
      <c r="AI129" s="5">
        <f t="shared" si="47"/>
        <v>0</v>
      </c>
      <c r="AJ129" s="5">
        <f t="shared" si="48"/>
        <v>0</v>
      </c>
      <c r="AL129" s="5">
        <f t="shared" si="49"/>
        <v>0</v>
      </c>
      <c r="AM129" s="8">
        <f t="shared" ca="1" si="50"/>
        <v>0</v>
      </c>
      <c r="AN129" s="8">
        <f t="shared" ca="1" si="51"/>
        <v>0</v>
      </c>
      <c r="AO129" s="5">
        <f t="shared" ca="1" si="52"/>
        <v>0</v>
      </c>
      <c r="AP129" s="5">
        <f t="shared" ca="1" si="53"/>
        <v>0</v>
      </c>
      <c r="AQ129" s="5">
        <f t="shared" si="54"/>
        <v>0</v>
      </c>
      <c r="AR129" s="60"/>
      <c r="AS129" s="8">
        <f t="shared" si="55"/>
        <v>0</v>
      </c>
      <c r="AT129" s="5">
        <f t="shared" si="56"/>
        <v>0</v>
      </c>
      <c r="AU129" s="8">
        <f t="shared" ca="1" si="57"/>
        <v>0</v>
      </c>
      <c r="AV129" s="8">
        <f t="shared" ca="1" si="58"/>
        <v>0</v>
      </c>
      <c r="AW129" s="5">
        <f t="shared" ca="1" si="59"/>
        <v>0</v>
      </c>
      <c r="AX129" s="5">
        <f t="shared" ca="1" si="60"/>
        <v>0</v>
      </c>
      <c r="AY129" s="5">
        <f t="shared" si="61"/>
        <v>0</v>
      </c>
    </row>
    <row r="130" spans="21:51">
      <c r="U130" s="13"/>
      <c r="Y130" s="13"/>
      <c r="AB130" s="5" t="b">
        <f t="shared" si="40"/>
        <v>0</v>
      </c>
      <c r="AC130" s="60">
        <f t="shared" si="41"/>
        <v>0</v>
      </c>
      <c r="AD130" s="5">
        <f t="shared" si="42"/>
        <v>0</v>
      </c>
      <c r="AE130" s="5">
        <f t="shared" si="43"/>
        <v>0</v>
      </c>
      <c r="AF130" s="5">
        <f t="shared" si="44"/>
        <v>0</v>
      </c>
      <c r="AG130" s="5">
        <f t="shared" si="45"/>
        <v>0</v>
      </c>
      <c r="AH130" s="5">
        <f t="shared" si="46"/>
        <v>0</v>
      </c>
      <c r="AI130" s="5">
        <f t="shared" si="47"/>
        <v>0</v>
      </c>
      <c r="AJ130" s="5">
        <f t="shared" si="48"/>
        <v>0</v>
      </c>
      <c r="AL130" s="5">
        <f t="shared" si="49"/>
        <v>0</v>
      </c>
      <c r="AM130" s="8">
        <f t="shared" ca="1" si="50"/>
        <v>0</v>
      </c>
      <c r="AN130" s="8">
        <f t="shared" ca="1" si="51"/>
        <v>0</v>
      </c>
      <c r="AO130" s="5">
        <f t="shared" ca="1" si="52"/>
        <v>0</v>
      </c>
      <c r="AP130" s="5">
        <f t="shared" ca="1" si="53"/>
        <v>0</v>
      </c>
      <c r="AQ130" s="5">
        <f t="shared" si="54"/>
        <v>0</v>
      </c>
      <c r="AR130" s="60"/>
      <c r="AS130" s="8">
        <f t="shared" si="55"/>
        <v>0</v>
      </c>
      <c r="AT130" s="5">
        <f t="shared" si="56"/>
        <v>0</v>
      </c>
      <c r="AU130" s="8">
        <f t="shared" ca="1" si="57"/>
        <v>0</v>
      </c>
      <c r="AV130" s="8">
        <f t="shared" ca="1" si="58"/>
        <v>0</v>
      </c>
      <c r="AW130" s="5">
        <f t="shared" ca="1" si="59"/>
        <v>0</v>
      </c>
      <c r="AX130" s="5">
        <f t="shared" ca="1" si="60"/>
        <v>0</v>
      </c>
      <c r="AY130" s="5">
        <f t="shared" si="61"/>
        <v>0</v>
      </c>
    </row>
    <row r="131" spans="21:51">
      <c r="U131" s="13"/>
      <c r="Y131" s="13"/>
      <c r="AB131" s="5" t="b">
        <f t="shared" si="40"/>
        <v>0</v>
      </c>
      <c r="AC131" s="60">
        <f t="shared" si="41"/>
        <v>0</v>
      </c>
      <c r="AD131" s="5">
        <f t="shared" si="42"/>
        <v>0</v>
      </c>
      <c r="AE131" s="5">
        <f t="shared" si="43"/>
        <v>0</v>
      </c>
      <c r="AF131" s="5">
        <f t="shared" si="44"/>
        <v>0</v>
      </c>
      <c r="AG131" s="5">
        <f t="shared" si="45"/>
        <v>0</v>
      </c>
      <c r="AH131" s="5">
        <f t="shared" si="46"/>
        <v>0</v>
      </c>
      <c r="AI131" s="5">
        <f t="shared" si="47"/>
        <v>0</v>
      </c>
      <c r="AJ131" s="5">
        <f t="shared" si="48"/>
        <v>0</v>
      </c>
      <c r="AL131" s="5">
        <f t="shared" si="49"/>
        <v>0</v>
      </c>
      <c r="AM131" s="8">
        <f t="shared" ca="1" si="50"/>
        <v>0</v>
      </c>
      <c r="AN131" s="8">
        <f t="shared" ca="1" si="51"/>
        <v>0</v>
      </c>
      <c r="AO131" s="5">
        <f t="shared" ca="1" si="52"/>
        <v>0</v>
      </c>
      <c r="AP131" s="5">
        <f t="shared" ca="1" si="53"/>
        <v>0</v>
      </c>
      <c r="AQ131" s="5">
        <f t="shared" si="54"/>
        <v>0</v>
      </c>
      <c r="AR131" s="60"/>
      <c r="AS131" s="8">
        <f t="shared" si="55"/>
        <v>0</v>
      </c>
      <c r="AT131" s="5">
        <f t="shared" si="56"/>
        <v>0</v>
      </c>
      <c r="AU131" s="8">
        <f t="shared" ca="1" si="57"/>
        <v>0</v>
      </c>
      <c r="AV131" s="8">
        <f t="shared" ca="1" si="58"/>
        <v>0</v>
      </c>
      <c r="AW131" s="5">
        <f t="shared" ca="1" si="59"/>
        <v>0</v>
      </c>
      <c r="AX131" s="5">
        <f t="shared" ca="1" si="60"/>
        <v>0</v>
      </c>
      <c r="AY131" s="5">
        <f t="shared" si="61"/>
        <v>0</v>
      </c>
    </row>
    <row r="132" spans="21:51">
      <c r="U132" s="13"/>
      <c r="Y132" s="13"/>
      <c r="AB132" s="5" t="b">
        <f t="shared" si="40"/>
        <v>0</v>
      </c>
      <c r="AC132" s="60">
        <f t="shared" si="41"/>
        <v>0</v>
      </c>
      <c r="AD132" s="5">
        <f t="shared" si="42"/>
        <v>0</v>
      </c>
      <c r="AE132" s="5">
        <f t="shared" si="43"/>
        <v>0</v>
      </c>
      <c r="AF132" s="5">
        <f t="shared" si="44"/>
        <v>0</v>
      </c>
      <c r="AG132" s="5">
        <f t="shared" si="45"/>
        <v>0</v>
      </c>
      <c r="AH132" s="5">
        <f t="shared" si="46"/>
        <v>0</v>
      </c>
      <c r="AI132" s="5">
        <f t="shared" si="47"/>
        <v>0</v>
      </c>
      <c r="AJ132" s="5">
        <f t="shared" si="48"/>
        <v>0</v>
      </c>
      <c r="AL132" s="5">
        <f t="shared" si="49"/>
        <v>0</v>
      </c>
      <c r="AM132" s="8">
        <f t="shared" ca="1" si="50"/>
        <v>0</v>
      </c>
      <c r="AN132" s="8">
        <f t="shared" ca="1" si="51"/>
        <v>0</v>
      </c>
      <c r="AO132" s="5">
        <f t="shared" ca="1" si="52"/>
        <v>0</v>
      </c>
      <c r="AP132" s="5">
        <f t="shared" ca="1" si="53"/>
        <v>0</v>
      </c>
      <c r="AQ132" s="5">
        <f t="shared" si="54"/>
        <v>0</v>
      </c>
      <c r="AR132" s="60"/>
      <c r="AS132" s="8">
        <f t="shared" si="55"/>
        <v>0</v>
      </c>
      <c r="AT132" s="5">
        <f t="shared" si="56"/>
        <v>0</v>
      </c>
      <c r="AU132" s="8">
        <f t="shared" ca="1" si="57"/>
        <v>0</v>
      </c>
      <c r="AV132" s="8">
        <f t="shared" ca="1" si="58"/>
        <v>0</v>
      </c>
      <c r="AW132" s="5">
        <f t="shared" ca="1" si="59"/>
        <v>0</v>
      </c>
      <c r="AX132" s="5">
        <f t="shared" ca="1" si="60"/>
        <v>0</v>
      </c>
      <c r="AY132" s="5">
        <f t="shared" si="61"/>
        <v>0</v>
      </c>
    </row>
    <row r="133" spans="21:51">
      <c r="U133" s="13"/>
      <c r="Y133" s="13"/>
      <c r="AB133" s="5" t="b">
        <f t="shared" si="40"/>
        <v>0</v>
      </c>
      <c r="AC133" s="60">
        <f t="shared" si="41"/>
        <v>0</v>
      </c>
      <c r="AD133" s="5">
        <f t="shared" si="42"/>
        <v>0</v>
      </c>
      <c r="AE133" s="5">
        <f t="shared" si="43"/>
        <v>0</v>
      </c>
      <c r="AF133" s="5">
        <f t="shared" si="44"/>
        <v>0</v>
      </c>
      <c r="AG133" s="5">
        <f t="shared" si="45"/>
        <v>0</v>
      </c>
      <c r="AH133" s="5">
        <f t="shared" si="46"/>
        <v>0</v>
      </c>
      <c r="AI133" s="5">
        <f t="shared" si="47"/>
        <v>0</v>
      </c>
      <c r="AJ133" s="5">
        <f t="shared" si="48"/>
        <v>0</v>
      </c>
      <c r="AL133" s="5">
        <f t="shared" si="49"/>
        <v>0</v>
      </c>
      <c r="AM133" s="8">
        <f t="shared" ca="1" si="50"/>
        <v>0</v>
      </c>
      <c r="AN133" s="8">
        <f t="shared" ca="1" si="51"/>
        <v>0</v>
      </c>
      <c r="AO133" s="5">
        <f t="shared" ca="1" si="52"/>
        <v>0</v>
      </c>
      <c r="AP133" s="5">
        <f t="shared" ca="1" si="53"/>
        <v>0</v>
      </c>
      <c r="AQ133" s="5">
        <f t="shared" si="54"/>
        <v>0</v>
      </c>
      <c r="AR133" s="60"/>
      <c r="AS133" s="8">
        <f t="shared" si="55"/>
        <v>0</v>
      </c>
      <c r="AT133" s="5">
        <f t="shared" si="56"/>
        <v>0</v>
      </c>
      <c r="AU133" s="8">
        <f t="shared" ca="1" si="57"/>
        <v>0</v>
      </c>
      <c r="AV133" s="8">
        <f t="shared" ca="1" si="58"/>
        <v>0</v>
      </c>
      <c r="AW133" s="5">
        <f t="shared" ca="1" si="59"/>
        <v>0</v>
      </c>
      <c r="AX133" s="5">
        <f t="shared" ca="1" si="60"/>
        <v>0</v>
      </c>
      <c r="AY133" s="5">
        <f t="shared" si="61"/>
        <v>0</v>
      </c>
    </row>
    <row r="134" spans="21:51">
      <c r="U134" s="13"/>
      <c r="Y134" s="13"/>
      <c r="AB134" s="5" t="b">
        <f t="shared" si="40"/>
        <v>0</v>
      </c>
      <c r="AC134" s="60">
        <f t="shared" si="41"/>
        <v>0</v>
      </c>
      <c r="AD134" s="5">
        <f t="shared" si="42"/>
        <v>0</v>
      </c>
      <c r="AE134" s="5">
        <f t="shared" si="43"/>
        <v>0</v>
      </c>
      <c r="AF134" s="5">
        <f t="shared" si="44"/>
        <v>0</v>
      </c>
      <c r="AG134" s="5">
        <f t="shared" si="45"/>
        <v>0</v>
      </c>
      <c r="AH134" s="5">
        <f t="shared" si="46"/>
        <v>0</v>
      </c>
      <c r="AI134" s="5">
        <f t="shared" si="47"/>
        <v>0</v>
      </c>
      <c r="AJ134" s="5">
        <f t="shared" si="48"/>
        <v>0</v>
      </c>
      <c r="AL134" s="5">
        <f t="shared" si="49"/>
        <v>0</v>
      </c>
      <c r="AM134" s="8">
        <f t="shared" ca="1" si="50"/>
        <v>0</v>
      </c>
      <c r="AN134" s="8">
        <f t="shared" ca="1" si="51"/>
        <v>0</v>
      </c>
      <c r="AO134" s="5">
        <f t="shared" ca="1" si="52"/>
        <v>0</v>
      </c>
      <c r="AP134" s="5">
        <f t="shared" ca="1" si="53"/>
        <v>0</v>
      </c>
      <c r="AQ134" s="5">
        <f t="shared" si="54"/>
        <v>0</v>
      </c>
      <c r="AR134" s="60"/>
      <c r="AS134" s="8">
        <f t="shared" si="55"/>
        <v>0</v>
      </c>
      <c r="AT134" s="5">
        <f t="shared" si="56"/>
        <v>0</v>
      </c>
      <c r="AU134" s="8">
        <f t="shared" ca="1" si="57"/>
        <v>0</v>
      </c>
      <c r="AV134" s="8">
        <f t="shared" ca="1" si="58"/>
        <v>0</v>
      </c>
      <c r="AW134" s="5">
        <f t="shared" ca="1" si="59"/>
        <v>0</v>
      </c>
      <c r="AX134" s="5">
        <f t="shared" ca="1" si="60"/>
        <v>0</v>
      </c>
      <c r="AY134" s="5">
        <f t="shared" si="61"/>
        <v>0</v>
      </c>
    </row>
    <row r="135" spans="21:51">
      <c r="U135" s="13"/>
      <c r="Y135" s="13"/>
      <c r="AB135" s="5" t="b">
        <f t="shared" si="40"/>
        <v>0</v>
      </c>
      <c r="AC135" s="60">
        <f t="shared" si="41"/>
        <v>0</v>
      </c>
      <c r="AD135" s="5">
        <f t="shared" si="42"/>
        <v>0</v>
      </c>
      <c r="AE135" s="5">
        <f t="shared" si="43"/>
        <v>0</v>
      </c>
      <c r="AF135" s="5">
        <f t="shared" si="44"/>
        <v>0</v>
      </c>
      <c r="AG135" s="5">
        <f t="shared" si="45"/>
        <v>0</v>
      </c>
      <c r="AH135" s="5">
        <f t="shared" si="46"/>
        <v>0</v>
      </c>
      <c r="AI135" s="5">
        <f t="shared" si="47"/>
        <v>0</v>
      </c>
      <c r="AJ135" s="5">
        <f t="shared" si="48"/>
        <v>0</v>
      </c>
      <c r="AL135" s="5">
        <f t="shared" si="49"/>
        <v>0</v>
      </c>
      <c r="AM135" s="8">
        <f t="shared" ca="1" si="50"/>
        <v>0</v>
      </c>
      <c r="AN135" s="8">
        <f t="shared" ca="1" si="51"/>
        <v>0</v>
      </c>
      <c r="AO135" s="5">
        <f t="shared" ca="1" si="52"/>
        <v>0</v>
      </c>
      <c r="AP135" s="5">
        <f t="shared" ca="1" si="53"/>
        <v>0</v>
      </c>
      <c r="AQ135" s="5">
        <f t="shared" si="54"/>
        <v>0</v>
      </c>
      <c r="AR135" s="60"/>
      <c r="AS135" s="8">
        <f t="shared" si="55"/>
        <v>0</v>
      </c>
      <c r="AT135" s="5">
        <f t="shared" si="56"/>
        <v>0</v>
      </c>
      <c r="AU135" s="8">
        <f t="shared" ca="1" si="57"/>
        <v>0</v>
      </c>
      <c r="AV135" s="8">
        <f t="shared" ca="1" si="58"/>
        <v>0</v>
      </c>
      <c r="AW135" s="5">
        <f t="shared" ca="1" si="59"/>
        <v>0</v>
      </c>
      <c r="AX135" s="5">
        <f t="shared" ca="1" si="60"/>
        <v>0</v>
      </c>
      <c r="AY135" s="5">
        <f t="shared" si="61"/>
        <v>0</v>
      </c>
    </row>
    <row r="136" spans="21:51">
      <c r="U136" s="13"/>
      <c r="Y136" s="13"/>
      <c r="AB136" s="5" t="b">
        <f t="shared" si="40"/>
        <v>0</v>
      </c>
      <c r="AC136" s="60">
        <f t="shared" si="41"/>
        <v>0</v>
      </c>
      <c r="AD136" s="5">
        <f t="shared" si="42"/>
        <v>0</v>
      </c>
      <c r="AE136" s="5">
        <f t="shared" si="43"/>
        <v>0</v>
      </c>
      <c r="AF136" s="5">
        <f t="shared" si="44"/>
        <v>0</v>
      </c>
      <c r="AG136" s="5">
        <f t="shared" si="45"/>
        <v>0</v>
      </c>
      <c r="AH136" s="5">
        <f t="shared" si="46"/>
        <v>0</v>
      </c>
      <c r="AI136" s="5">
        <f t="shared" si="47"/>
        <v>0</v>
      </c>
      <c r="AJ136" s="5">
        <f t="shared" si="48"/>
        <v>0</v>
      </c>
      <c r="AL136" s="5">
        <f t="shared" si="49"/>
        <v>0</v>
      </c>
      <c r="AM136" s="8">
        <f t="shared" ca="1" si="50"/>
        <v>0</v>
      </c>
      <c r="AN136" s="8">
        <f t="shared" ca="1" si="51"/>
        <v>0</v>
      </c>
      <c r="AO136" s="5">
        <f t="shared" ca="1" si="52"/>
        <v>0</v>
      </c>
      <c r="AP136" s="5">
        <f t="shared" ca="1" si="53"/>
        <v>0</v>
      </c>
      <c r="AQ136" s="5">
        <f t="shared" si="54"/>
        <v>0</v>
      </c>
      <c r="AR136" s="60"/>
      <c r="AS136" s="8">
        <f t="shared" si="55"/>
        <v>0</v>
      </c>
      <c r="AT136" s="5">
        <f t="shared" si="56"/>
        <v>0</v>
      </c>
      <c r="AU136" s="8">
        <f t="shared" ca="1" si="57"/>
        <v>0</v>
      </c>
      <c r="AV136" s="8">
        <f t="shared" ca="1" si="58"/>
        <v>0</v>
      </c>
      <c r="AW136" s="5">
        <f t="shared" ca="1" si="59"/>
        <v>0</v>
      </c>
      <c r="AX136" s="5">
        <f t="shared" ca="1" si="60"/>
        <v>0</v>
      </c>
      <c r="AY136" s="5">
        <f t="shared" si="61"/>
        <v>0</v>
      </c>
    </row>
    <row r="137" spans="21:51">
      <c r="U137" s="13"/>
      <c r="Y137" s="13"/>
      <c r="AB137" s="5" t="b">
        <f t="shared" si="40"/>
        <v>0</v>
      </c>
      <c r="AC137" s="60">
        <f t="shared" si="41"/>
        <v>0</v>
      </c>
      <c r="AD137" s="5">
        <f t="shared" si="42"/>
        <v>0</v>
      </c>
      <c r="AE137" s="5">
        <f t="shared" si="43"/>
        <v>0</v>
      </c>
      <c r="AF137" s="5">
        <f t="shared" si="44"/>
        <v>0</v>
      </c>
      <c r="AG137" s="5">
        <f t="shared" si="45"/>
        <v>0</v>
      </c>
      <c r="AH137" s="5">
        <f t="shared" si="46"/>
        <v>0</v>
      </c>
      <c r="AI137" s="5">
        <f t="shared" si="47"/>
        <v>0</v>
      </c>
      <c r="AJ137" s="5">
        <f t="shared" si="48"/>
        <v>0</v>
      </c>
      <c r="AL137" s="5">
        <f t="shared" si="49"/>
        <v>0</v>
      </c>
      <c r="AM137" s="8">
        <f t="shared" ca="1" si="50"/>
        <v>0</v>
      </c>
      <c r="AN137" s="8">
        <f t="shared" ca="1" si="51"/>
        <v>0</v>
      </c>
      <c r="AO137" s="5">
        <f t="shared" ca="1" si="52"/>
        <v>0</v>
      </c>
      <c r="AP137" s="5">
        <f t="shared" ca="1" si="53"/>
        <v>0</v>
      </c>
      <c r="AQ137" s="5">
        <f t="shared" si="54"/>
        <v>0</v>
      </c>
      <c r="AR137" s="60"/>
      <c r="AS137" s="8">
        <f t="shared" si="55"/>
        <v>0</v>
      </c>
      <c r="AT137" s="5">
        <f t="shared" si="56"/>
        <v>0</v>
      </c>
      <c r="AU137" s="8">
        <f t="shared" ca="1" si="57"/>
        <v>0</v>
      </c>
      <c r="AV137" s="8">
        <f t="shared" ca="1" si="58"/>
        <v>0</v>
      </c>
      <c r="AW137" s="5">
        <f t="shared" ca="1" si="59"/>
        <v>0</v>
      </c>
      <c r="AX137" s="5">
        <f t="shared" ca="1" si="60"/>
        <v>0</v>
      </c>
      <c r="AY137" s="5">
        <f t="shared" si="61"/>
        <v>0</v>
      </c>
    </row>
    <row r="138" spans="21:51">
      <c r="U138" s="13"/>
      <c r="Y138" s="13"/>
      <c r="AB138" s="5" t="b">
        <f t="shared" si="40"/>
        <v>0</v>
      </c>
      <c r="AC138" s="60">
        <f t="shared" si="41"/>
        <v>0</v>
      </c>
      <c r="AD138" s="5">
        <f t="shared" si="42"/>
        <v>0</v>
      </c>
      <c r="AE138" s="5">
        <f t="shared" si="43"/>
        <v>0</v>
      </c>
      <c r="AF138" s="5">
        <f t="shared" si="44"/>
        <v>0</v>
      </c>
      <c r="AG138" s="5">
        <f t="shared" si="45"/>
        <v>0</v>
      </c>
      <c r="AH138" s="5">
        <f t="shared" si="46"/>
        <v>0</v>
      </c>
      <c r="AI138" s="5">
        <f t="shared" si="47"/>
        <v>0</v>
      </c>
      <c r="AJ138" s="5">
        <f t="shared" si="48"/>
        <v>0</v>
      </c>
      <c r="AL138" s="5">
        <f t="shared" si="49"/>
        <v>0</v>
      </c>
      <c r="AM138" s="8">
        <f t="shared" ca="1" si="50"/>
        <v>0</v>
      </c>
      <c r="AN138" s="8">
        <f t="shared" ca="1" si="51"/>
        <v>0</v>
      </c>
      <c r="AO138" s="5">
        <f t="shared" ca="1" si="52"/>
        <v>0</v>
      </c>
      <c r="AP138" s="5">
        <f t="shared" ca="1" si="53"/>
        <v>0</v>
      </c>
      <c r="AQ138" s="5">
        <f t="shared" si="54"/>
        <v>0</v>
      </c>
      <c r="AR138" s="60"/>
      <c r="AS138" s="8">
        <f t="shared" si="55"/>
        <v>0</v>
      </c>
      <c r="AT138" s="5">
        <f t="shared" si="56"/>
        <v>0</v>
      </c>
      <c r="AU138" s="8">
        <f t="shared" ca="1" si="57"/>
        <v>0</v>
      </c>
      <c r="AV138" s="8">
        <f t="shared" ca="1" si="58"/>
        <v>0</v>
      </c>
      <c r="AW138" s="5">
        <f t="shared" ca="1" si="59"/>
        <v>0</v>
      </c>
      <c r="AX138" s="5">
        <f t="shared" ca="1" si="60"/>
        <v>0</v>
      </c>
      <c r="AY138" s="5">
        <f t="shared" si="61"/>
        <v>0</v>
      </c>
    </row>
    <row r="139" spans="21:51">
      <c r="U139" s="13"/>
      <c r="Y139" s="13"/>
      <c r="AB139" s="5" t="b">
        <f t="shared" si="40"/>
        <v>0</v>
      </c>
      <c r="AC139" s="60">
        <f t="shared" si="41"/>
        <v>0</v>
      </c>
      <c r="AD139" s="5">
        <f t="shared" si="42"/>
        <v>0</v>
      </c>
      <c r="AE139" s="5">
        <f t="shared" si="43"/>
        <v>0</v>
      </c>
      <c r="AF139" s="5">
        <f t="shared" si="44"/>
        <v>0</v>
      </c>
      <c r="AG139" s="5">
        <f t="shared" si="45"/>
        <v>0</v>
      </c>
      <c r="AH139" s="5">
        <f t="shared" si="46"/>
        <v>0</v>
      </c>
      <c r="AI139" s="5">
        <f t="shared" si="47"/>
        <v>0</v>
      </c>
      <c r="AJ139" s="5">
        <f t="shared" si="48"/>
        <v>0</v>
      </c>
      <c r="AL139" s="5">
        <f t="shared" si="49"/>
        <v>0</v>
      </c>
      <c r="AM139" s="8">
        <f t="shared" ca="1" si="50"/>
        <v>0</v>
      </c>
      <c r="AN139" s="8">
        <f t="shared" ca="1" si="51"/>
        <v>0</v>
      </c>
      <c r="AO139" s="5">
        <f t="shared" ca="1" si="52"/>
        <v>0</v>
      </c>
      <c r="AP139" s="5">
        <f t="shared" ca="1" si="53"/>
        <v>0</v>
      </c>
      <c r="AQ139" s="5">
        <f t="shared" si="54"/>
        <v>0</v>
      </c>
      <c r="AR139" s="60"/>
      <c r="AS139" s="8">
        <f t="shared" si="55"/>
        <v>0</v>
      </c>
      <c r="AT139" s="5">
        <f t="shared" si="56"/>
        <v>0</v>
      </c>
      <c r="AU139" s="8">
        <f t="shared" ca="1" si="57"/>
        <v>0</v>
      </c>
      <c r="AV139" s="8">
        <f t="shared" ca="1" si="58"/>
        <v>0</v>
      </c>
      <c r="AW139" s="5">
        <f t="shared" ca="1" si="59"/>
        <v>0</v>
      </c>
      <c r="AX139" s="5">
        <f t="shared" ca="1" si="60"/>
        <v>0</v>
      </c>
      <c r="AY139" s="5">
        <f t="shared" si="61"/>
        <v>0</v>
      </c>
    </row>
    <row r="140" spans="21:51">
      <c r="U140" s="13"/>
      <c r="Y140" s="13"/>
      <c r="AB140" s="5" t="b">
        <f t="shared" si="40"/>
        <v>0</v>
      </c>
      <c r="AC140" s="60">
        <f t="shared" si="41"/>
        <v>0</v>
      </c>
      <c r="AD140" s="5">
        <f t="shared" si="42"/>
        <v>0</v>
      </c>
      <c r="AE140" s="5">
        <f t="shared" si="43"/>
        <v>0</v>
      </c>
      <c r="AF140" s="5">
        <f t="shared" si="44"/>
        <v>0</v>
      </c>
      <c r="AG140" s="5">
        <f t="shared" si="45"/>
        <v>0</v>
      </c>
      <c r="AH140" s="5">
        <f t="shared" si="46"/>
        <v>0</v>
      </c>
      <c r="AI140" s="5">
        <f t="shared" si="47"/>
        <v>0</v>
      </c>
      <c r="AJ140" s="5">
        <f t="shared" si="48"/>
        <v>0</v>
      </c>
      <c r="AL140" s="5">
        <f t="shared" si="49"/>
        <v>0</v>
      </c>
      <c r="AM140" s="8">
        <f t="shared" ca="1" si="50"/>
        <v>0</v>
      </c>
      <c r="AN140" s="8">
        <f t="shared" ca="1" si="51"/>
        <v>0</v>
      </c>
      <c r="AO140" s="5">
        <f t="shared" ca="1" si="52"/>
        <v>0</v>
      </c>
      <c r="AP140" s="5">
        <f t="shared" ca="1" si="53"/>
        <v>0</v>
      </c>
      <c r="AQ140" s="5">
        <f t="shared" si="54"/>
        <v>0</v>
      </c>
      <c r="AR140" s="60"/>
      <c r="AS140" s="8">
        <f t="shared" si="55"/>
        <v>0</v>
      </c>
      <c r="AT140" s="5">
        <f t="shared" si="56"/>
        <v>0</v>
      </c>
      <c r="AU140" s="8">
        <f t="shared" ca="1" si="57"/>
        <v>0</v>
      </c>
      <c r="AV140" s="8">
        <f t="shared" ca="1" si="58"/>
        <v>0</v>
      </c>
      <c r="AW140" s="5">
        <f t="shared" ca="1" si="59"/>
        <v>0</v>
      </c>
      <c r="AX140" s="5">
        <f t="shared" ca="1" si="60"/>
        <v>0</v>
      </c>
      <c r="AY140" s="5">
        <f t="shared" si="61"/>
        <v>0</v>
      </c>
    </row>
    <row r="141" spans="21:51">
      <c r="U141" s="13"/>
      <c r="Y141" s="13"/>
      <c r="AB141" s="5" t="b">
        <f t="shared" si="40"/>
        <v>0</v>
      </c>
      <c r="AC141" s="60">
        <f t="shared" si="41"/>
        <v>0</v>
      </c>
      <c r="AD141" s="5">
        <f t="shared" si="42"/>
        <v>0</v>
      </c>
      <c r="AE141" s="5">
        <f t="shared" si="43"/>
        <v>0</v>
      </c>
      <c r="AF141" s="5">
        <f t="shared" si="44"/>
        <v>0</v>
      </c>
      <c r="AG141" s="5">
        <f t="shared" si="45"/>
        <v>0</v>
      </c>
      <c r="AH141" s="5">
        <f t="shared" si="46"/>
        <v>0</v>
      </c>
      <c r="AI141" s="5">
        <f t="shared" si="47"/>
        <v>0</v>
      </c>
      <c r="AJ141" s="5">
        <f t="shared" si="48"/>
        <v>0</v>
      </c>
      <c r="AL141" s="5">
        <f t="shared" si="49"/>
        <v>0</v>
      </c>
      <c r="AM141" s="8">
        <f t="shared" ca="1" si="50"/>
        <v>0</v>
      </c>
      <c r="AN141" s="8">
        <f t="shared" ca="1" si="51"/>
        <v>0</v>
      </c>
      <c r="AO141" s="5">
        <f t="shared" ca="1" si="52"/>
        <v>0</v>
      </c>
      <c r="AP141" s="5">
        <f t="shared" ca="1" si="53"/>
        <v>0</v>
      </c>
      <c r="AQ141" s="5">
        <f t="shared" si="54"/>
        <v>0</v>
      </c>
      <c r="AR141" s="60"/>
      <c r="AS141" s="8">
        <f t="shared" si="55"/>
        <v>0</v>
      </c>
      <c r="AT141" s="5">
        <f t="shared" si="56"/>
        <v>0</v>
      </c>
      <c r="AU141" s="8">
        <f t="shared" ca="1" si="57"/>
        <v>0</v>
      </c>
      <c r="AV141" s="8">
        <f t="shared" ca="1" si="58"/>
        <v>0</v>
      </c>
      <c r="AW141" s="5">
        <f t="shared" ca="1" si="59"/>
        <v>0</v>
      </c>
      <c r="AX141" s="5">
        <f t="shared" ca="1" si="60"/>
        <v>0</v>
      </c>
      <c r="AY141" s="5">
        <f t="shared" si="61"/>
        <v>0</v>
      </c>
    </row>
    <row r="142" spans="21:51">
      <c r="U142" s="13"/>
      <c r="Y142" s="13"/>
      <c r="AB142" s="5" t="b">
        <f t="shared" si="40"/>
        <v>0</v>
      </c>
      <c r="AC142" s="60">
        <f t="shared" si="41"/>
        <v>0</v>
      </c>
      <c r="AD142" s="5">
        <f t="shared" si="42"/>
        <v>0</v>
      </c>
      <c r="AE142" s="5">
        <f t="shared" si="43"/>
        <v>0</v>
      </c>
      <c r="AF142" s="5">
        <f t="shared" si="44"/>
        <v>0</v>
      </c>
      <c r="AG142" s="5">
        <f t="shared" si="45"/>
        <v>0</v>
      </c>
      <c r="AH142" s="5">
        <f t="shared" si="46"/>
        <v>0</v>
      </c>
      <c r="AI142" s="5">
        <f t="shared" si="47"/>
        <v>0</v>
      </c>
      <c r="AJ142" s="5">
        <f t="shared" si="48"/>
        <v>0</v>
      </c>
      <c r="AL142" s="5">
        <f t="shared" si="49"/>
        <v>0</v>
      </c>
      <c r="AM142" s="8">
        <f t="shared" ca="1" si="50"/>
        <v>0</v>
      </c>
      <c r="AN142" s="8">
        <f t="shared" ca="1" si="51"/>
        <v>0</v>
      </c>
      <c r="AO142" s="5">
        <f t="shared" ca="1" si="52"/>
        <v>0</v>
      </c>
      <c r="AP142" s="5">
        <f t="shared" ca="1" si="53"/>
        <v>0</v>
      </c>
      <c r="AQ142" s="5">
        <f t="shared" si="54"/>
        <v>0</v>
      </c>
      <c r="AR142" s="60"/>
      <c r="AS142" s="8">
        <f t="shared" si="55"/>
        <v>0</v>
      </c>
      <c r="AT142" s="5">
        <f t="shared" si="56"/>
        <v>0</v>
      </c>
      <c r="AU142" s="8">
        <f t="shared" ca="1" si="57"/>
        <v>0</v>
      </c>
      <c r="AV142" s="8">
        <f t="shared" ca="1" si="58"/>
        <v>0</v>
      </c>
      <c r="AW142" s="5">
        <f t="shared" ca="1" si="59"/>
        <v>0</v>
      </c>
      <c r="AX142" s="5">
        <f t="shared" ca="1" si="60"/>
        <v>0</v>
      </c>
      <c r="AY142" s="5">
        <f t="shared" si="61"/>
        <v>0</v>
      </c>
    </row>
    <row r="143" spans="21:51">
      <c r="U143" s="13"/>
      <c r="Y143" s="13"/>
      <c r="AB143" s="5" t="b">
        <f t="shared" si="40"/>
        <v>0</v>
      </c>
      <c r="AC143" s="60">
        <f t="shared" si="41"/>
        <v>0</v>
      </c>
      <c r="AD143" s="5">
        <f t="shared" si="42"/>
        <v>0</v>
      </c>
      <c r="AE143" s="5">
        <f t="shared" si="43"/>
        <v>0</v>
      </c>
      <c r="AF143" s="5">
        <f t="shared" si="44"/>
        <v>0</v>
      </c>
      <c r="AG143" s="5">
        <f t="shared" si="45"/>
        <v>0</v>
      </c>
      <c r="AH143" s="5">
        <f t="shared" si="46"/>
        <v>0</v>
      </c>
      <c r="AI143" s="5">
        <f t="shared" si="47"/>
        <v>0</v>
      </c>
      <c r="AJ143" s="5">
        <f t="shared" si="48"/>
        <v>0</v>
      </c>
      <c r="AL143" s="5">
        <f t="shared" si="49"/>
        <v>0</v>
      </c>
      <c r="AM143" s="8">
        <f t="shared" ca="1" si="50"/>
        <v>0</v>
      </c>
      <c r="AN143" s="8">
        <f t="shared" ca="1" si="51"/>
        <v>0</v>
      </c>
      <c r="AO143" s="5">
        <f t="shared" ca="1" si="52"/>
        <v>0</v>
      </c>
      <c r="AP143" s="5">
        <f t="shared" ca="1" si="53"/>
        <v>0</v>
      </c>
      <c r="AQ143" s="5">
        <f t="shared" si="54"/>
        <v>0</v>
      </c>
      <c r="AR143" s="60"/>
      <c r="AS143" s="8">
        <f t="shared" si="55"/>
        <v>0</v>
      </c>
      <c r="AT143" s="5">
        <f t="shared" si="56"/>
        <v>0</v>
      </c>
      <c r="AU143" s="8">
        <f t="shared" ca="1" si="57"/>
        <v>0</v>
      </c>
      <c r="AV143" s="8">
        <f t="shared" ca="1" si="58"/>
        <v>0</v>
      </c>
      <c r="AW143" s="5">
        <f t="shared" ca="1" si="59"/>
        <v>0</v>
      </c>
      <c r="AX143" s="5">
        <f t="shared" ca="1" si="60"/>
        <v>0</v>
      </c>
      <c r="AY143" s="5">
        <f t="shared" si="61"/>
        <v>0</v>
      </c>
    </row>
    <row r="144" spans="21:51">
      <c r="U144" s="13"/>
      <c r="Y144" s="13"/>
      <c r="AB144" s="5" t="b">
        <f t="shared" si="40"/>
        <v>0</v>
      </c>
      <c r="AC144" s="60">
        <f t="shared" si="41"/>
        <v>0</v>
      </c>
      <c r="AD144" s="5">
        <f t="shared" si="42"/>
        <v>0</v>
      </c>
      <c r="AE144" s="5">
        <f t="shared" si="43"/>
        <v>0</v>
      </c>
      <c r="AF144" s="5">
        <f t="shared" si="44"/>
        <v>0</v>
      </c>
      <c r="AG144" s="5">
        <f t="shared" si="45"/>
        <v>0</v>
      </c>
      <c r="AH144" s="5">
        <f t="shared" si="46"/>
        <v>0</v>
      </c>
      <c r="AI144" s="5">
        <f t="shared" si="47"/>
        <v>0</v>
      </c>
      <c r="AJ144" s="5">
        <f t="shared" si="48"/>
        <v>0</v>
      </c>
      <c r="AL144" s="5">
        <f t="shared" si="49"/>
        <v>0</v>
      </c>
      <c r="AM144" s="8">
        <f t="shared" ca="1" si="50"/>
        <v>0</v>
      </c>
      <c r="AN144" s="8">
        <f t="shared" ca="1" si="51"/>
        <v>0</v>
      </c>
      <c r="AO144" s="5">
        <f t="shared" ca="1" si="52"/>
        <v>0</v>
      </c>
      <c r="AP144" s="5">
        <f t="shared" ca="1" si="53"/>
        <v>0</v>
      </c>
      <c r="AQ144" s="5">
        <f t="shared" si="54"/>
        <v>0</v>
      </c>
      <c r="AR144" s="60"/>
      <c r="AS144" s="8">
        <f t="shared" si="55"/>
        <v>0</v>
      </c>
      <c r="AT144" s="5">
        <f t="shared" si="56"/>
        <v>0</v>
      </c>
      <c r="AU144" s="8">
        <f t="shared" ca="1" si="57"/>
        <v>0</v>
      </c>
      <c r="AV144" s="8">
        <f t="shared" ca="1" si="58"/>
        <v>0</v>
      </c>
      <c r="AW144" s="5">
        <f t="shared" ca="1" si="59"/>
        <v>0</v>
      </c>
      <c r="AX144" s="5">
        <f t="shared" ca="1" si="60"/>
        <v>0</v>
      </c>
      <c r="AY144" s="5">
        <f t="shared" si="61"/>
        <v>0</v>
      </c>
    </row>
    <row r="145" spans="21:51">
      <c r="U145" s="13"/>
      <c r="Y145" s="13"/>
      <c r="AB145" s="5" t="b">
        <f t="shared" si="40"/>
        <v>0</v>
      </c>
      <c r="AC145" s="60">
        <f t="shared" si="41"/>
        <v>0</v>
      </c>
      <c r="AD145" s="5">
        <f t="shared" si="42"/>
        <v>0</v>
      </c>
      <c r="AE145" s="5">
        <f t="shared" si="43"/>
        <v>0</v>
      </c>
      <c r="AF145" s="5">
        <f t="shared" si="44"/>
        <v>0</v>
      </c>
      <c r="AG145" s="5">
        <f t="shared" si="45"/>
        <v>0</v>
      </c>
      <c r="AH145" s="5">
        <f t="shared" si="46"/>
        <v>0</v>
      </c>
      <c r="AI145" s="5">
        <f t="shared" si="47"/>
        <v>0</v>
      </c>
      <c r="AJ145" s="5">
        <f t="shared" si="48"/>
        <v>0</v>
      </c>
      <c r="AL145" s="5">
        <f t="shared" si="49"/>
        <v>0</v>
      </c>
      <c r="AM145" s="8">
        <f t="shared" ca="1" si="50"/>
        <v>0</v>
      </c>
      <c r="AN145" s="8">
        <f t="shared" ca="1" si="51"/>
        <v>0</v>
      </c>
      <c r="AO145" s="5">
        <f t="shared" ca="1" si="52"/>
        <v>0</v>
      </c>
      <c r="AP145" s="5">
        <f t="shared" ca="1" si="53"/>
        <v>0</v>
      </c>
      <c r="AQ145" s="5">
        <f t="shared" si="54"/>
        <v>0</v>
      </c>
      <c r="AR145" s="60"/>
      <c r="AS145" s="8">
        <f t="shared" si="55"/>
        <v>0</v>
      </c>
      <c r="AT145" s="5">
        <f t="shared" si="56"/>
        <v>0</v>
      </c>
      <c r="AU145" s="8">
        <f t="shared" ca="1" si="57"/>
        <v>0</v>
      </c>
      <c r="AV145" s="8">
        <f t="shared" ca="1" si="58"/>
        <v>0</v>
      </c>
      <c r="AW145" s="5">
        <f t="shared" ca="1" si="59"/>
        <v>0</v>
      </c>
      <c r="AX145" s="5">
        <f t="shared" ca="1" si="60"/>
        <v>0</v>
      </c>
      <c r="AY145" s="5">
        <f t="shared" si="61"/>
        <v>0</v>
      </c>
    </row>
    <row r="146" spans="21:51">
      <c r="U146" s="13"/>
      <c r="Y146" s="13"/>
      <c r="AB146" s="5" t="b">
        <f t="shared" si="40"/>
        <v>0</v>
      </c>
      <c r="AC146" s="60">
        <f t="shared" si="41"/>
        <v>0</v>
      </c>
      <c r="AD146" s="5">
        <f t="shared" si="42"/>
        <v>0</v>
      </c>
      <c r="AE146" s="5">
        <f t="shared" si="43"/>
        <v>0</v>
      </c>
      <c r="AF146" s="5">
        <f t="shared" si="44"/>
        <v>0</v>
      </c>
      <c r="AG146" s="5">
        <f t="shared" si="45"/>
        <v>0</v>
      </c>
      <c r="AH146" s="5">
        <f t="shared" si="46"/>
        <v>0</v>
      </c>
      <c r="AI146" s="5">
        <f t="shared" si="47"/>
        <v>0</v>
      </c>
      <c r="AJ146" s="5">
        <f t="shared" si="48"/>
        <v>0</v>
      </c>
      <c r="AL146" s="5">
        <f t="shared" si="49"/>
        <v>0</v>
      </c>
      <c r="AM146" s="8">
        <f t="shared" ca="1" si="50"/>
        <v>0</v>
      </c>
      <c r="AN146" s="8">
        <f t="shared" ca="1" si="51"/>
        <v>0</v>
      </c>
      <c r="AO146" s="5">
        <f t="shared" ca="1" si="52"/>
        <v>0</v>
      </c>
      <c r="AP146" s="5">
        <f t="shared" ca="1" si="53"/>
        <v>0</v>
      </c>
      <c r="AQ146" s="5">
        <f t="shared" si="54"/>
        <v>0</v>
      </c>
      <c r="AR146" s="60"/>
      <c r="AS146" s="8">
        <f t="shared" si="55"/>
        <v>0</v>
      </c>
      <c r="AT146" s="5">
        <f t="shared" si="56"/>
        <v>0</v>
      </c>
      <c r="AU146" s="8">
        <f t="shared" ca="1" si="57"/>
        <v>0</v>
      </c>
      <c r="AV146" s="8">
        <f t="shared" ca="1" si="58"/>
        <v>0</v>
      </c>
      <c r="AW146" s="5">
        <f t="shared" ca="1" si="59"/>
        <v>0</v>
      </c>
      <c r="AX146" s="5">
        <f t="shared" ca="1" si="60"/>
        <v>0</v>
      </c>
      <c r="AY146" s="5">
        <f t="shared" si="61"/>
        <v>0</v>
      </c>
    </row>
    <row r="147" spans="21:51">
      <c r="U147" s="13"/>
      <c r="Y147" s="13"/>
      <c r="AB147" s="5" t="b">
        <f t="shared" si="40"/>
        <v>0</v>
      </c>
      <c r="AC147" s="60">
        <f t="shared" si="41"/>
        <v>0</v>
      </c>
      <c r="AD147" s="5">
        <f t="shared" si="42"/>
        <v>0</v>
      </c>
      <c r="AE147" s="5">
        <f t="shared" si="43"/>
        <v>0</v>
      </c>
      <c r="AF147" s="5">
        <f t="shared" si="44"/>
        <v>0</v>
      </c>
      <c r="AG147" s="5">
        <f t="shared" si="45"/>
        <v>0</v>
      </c>
      <c r="AH147" s="5">
        <f t="shared" si="46"/>
        <v>0</v>
      </c>
      <c r="AI147" s="5">
        <f t="shared" si="47"/>
        <v>0</v>
      </c>
      <c r="AJ147" s="5">
        <f t="shared" si="48"/>
        <v>0</v>
      </c>
      <c r="AL147" s="5">
        <f t="shared" si="49"/>
        <v>0</v>
      </c>
      <c r="AM147" s="8">
        <f t="shared" ca="1" si="50"/>
        <v>0</v>
      </c>
      <c r="AN147" s="8">
        <f t="shared" ca="1" si="51"/>
        <v>0</v>
      </c>
      <c r="AO147" s="5">
        <f t="shared" ca="1" si="52"/>
        <v>0</v>
      </c>
      <c r="AP147" s="5">
        <f t="shared" ca="1" si="53"/>
        <v>0</v>
      </c>
      <c r="AQ147" s="5">
        <f t="shared" si="54"/>
        <v>0</v>
      </c>
      <c r="AR147" s="60"/>
      <c r="AS147" s="8">
        <f t="shared" si="55"/>
        <v>0</v>
      </c>
      <c r="AT147" s="5">
        <f t="shared" si="56"/>
        <v>0</v>
      </c>
      <c r="AU147" s="8">
        <f t="shared" ca="1" si="57"/>
        <v>0</v>
      </c>
      <c r="AV147" s="8">
        <f t="shared" ca="1" si="58"/>
        <v>0</v>
      </c>
      <c r="AW147" s="5">
        <f t="shared" ca="1" si="59"/>
        <v>0</v>
      </c>
      <c r="AX147" s="5">
        <f t="shared" ca="1" si="60"/>
        <v>0</v>
      </c>
      <c r="AY147" s="5">
        <f t="shared" si="61"/>
        <v>0</v>
      </c>
    </row>
    <row r="148" spans="21:51">
      <c r="U148" s="13"/>
      <c r="Y148" s="13"/>
      <c r="AB148" s="5" t="b">
        <f t="shared" si="40"/>
        <v>0</v>
      </c>
      <c r="AC148" s="60">
        <f t="shared" si="41"/>
        <v>0</v>
      </c>
      <c r="AD148" s="5">
        <f t="shared" si="42"/>
        <v>0</v>
      </c>
      <c r="AE148" s="5">
        <f t="shared" si="43"/>
        <v>0</v>
      </c>
      <c r="AF148" s="5">
        <f t="shared" si="44"/>
        <v>0</v>
      </c>
      <c r="AG148" s="5">
        <f t="shared" si="45"/>
        <v>0</v>
      </c>
      <c r="AH148" s="5">
        <f t="shared" si="46"/>
        <v>0</v>
      </c>
      <c r="AI148" s="5">
        <f t="shared" si="47"/>
        <v>0</v>
      </c>
      <c r="AJ148" s="5">
        <f t="shared" si="48"/>
        <v>0</v>
      </c>
      <c r="AL148" s="5">
        <f t="shared" si="49"/>
        <v>0</v>
      </c>
      <c r="AM148" s="8">
        <f t="shared" ca="1" si="50"/>
        <v>0</v>
      </c>
      <c r="AN148" s="8">
        <f t="shared" ca="1" si="51"/>
        <v>0</v>
      </c>
      <c r="AO148" s="5">
        <f t="shared" ca="1" si="52"/>
        <v>0</v>
      </c>
      <c r="AP148" s="5">
        <f t="shared" ca="1" si="53"/>
        <v>0</v>
      </c>
      <c r="AQ148" s="5">
        <f t="shared" si="54"/>
        <v>0</v>
      </c>
      <c r="AR148" s="60"/>
      <c r="AS148" s="8">
        <f t="shared" si="55"/>
        <v>0</v>
      </c>
      <c r="AT148" s="5">
        <f t="shared" si="56"/>
        <v>0</v>
      </c>
      <c r="AU148" s="8">
        <f t="shared" ca="1" si="57"/>
        <v>0</v>
      </c>
      <c r="AV148" s="8">
        <f t="shared" ca="1" si="58"/>
        <v>0</v>
      </c>
      <c r="AW148" s="5">
        <f t="shared" ca="1" si="59"/>
        <v>0</v>
      </c>
      <c r="AX148" s="5">
        <f t="shared" ca="1" si="60"/>
        <v>0</v>
      </c>
      <c r="AY148" s="5">
        <f t="shared" si="61"/>
        <v>0</v>
      </c>
    </row>
    <row r="149" spans="21:51">
      <c r="U149" s="13"/>
      <c r="Y149" s="13"/>
      <c r="AB149" s="5" t="b">
        <f t="shared" si="40"/>
        <v>0</v>
      </c>
      <c r="AC149" s="60">
        <f t="shared" si="41"/>
        <v>0</v>
      </c>
      <c r="AD149" s="5">
        <f t="shared" si="42"/>
        <v>0</v>
      </c>
      <c r="AE149" s="5">
        <f t="shared" si="43"/>
        <v>0</v>
      </c>
      <c r="AF149" s="5">
        <f t="shared" si="44"/>
        <v>0</v>
      </c>
      <c r="AG149" s="5">
        <f t="shared" si="45"/>
        <v>0</v>
      </c>
      <c r="AH149" s="5">
        <f t="shared" si="46"/>
        <v>0</v>
      </c>
      <c r="AI149" s="5">
        <f t="shared" si="47"/>
        <v>0</v>
      </c>
      <c r="AJ149" s="5">
        <f t="shared" si="48"/>
        <v>0</v>
      </c>
      <c r="AL149" s="5">
        <f t="shared" si="49"/>
        <v>0</v>
      </c>
      <c r="AM149" s="8">
        <f t="shared" ca="1" si="50"/>
        <v>0</v>
      </c>
      <c r="AN149" s="8">
        <f t="shared" ca="1" si="51"/>
        <v>0</v>
      </c>
      <c r="AO149" s="5">
        <f t="shared" ca="1" si="52"/>
        <v>0</v>
      </c>
      <c r="AP149" s="5">
        <f t="shared" ca="1" si="53"/>
        <v>0</v>
      </c>
      <c r="AQ149" s="5">
        <f t="shared" si="54"/>
        <v>0</v>
      </c>
      <c r="AR149" s="60"/>
      <c r="AS149" s="8">
        <f t="shared" si="55"/>
        <v>0</v>
      </c>
      <c r="AT149" s="5">
        <f t="shared" si="56"/>
        <v>0</v>
      </c>
      <c r="AU149" s="8">
        <f t="shared" ca="1" si="57"/>
        <v>0</v>
      </c>
      <c r="AV149" s="8">
        <f t="shared" ca="1" si="58"/>
        <v>0</v>
      </c>
      <c r="AW149" s="5">
        <f t="shared" ca="1" si="59"/>
        <v>0</v>
      </c>
      <c r="AX149" s="5">
        <f t="shared" ca="1" si="60"/>
        <v>0</v>
      </c>
      <c r="AY149" s="5">
        <f t="shared" si="61"/>
        <v>0</v>
      </c>
    </row>
    <row r="150" spans="21:51">
      <c r="U150" s="13"/>
      <c r="Y150" s="13"/>
      <c r="AB150" s="5" t="b">
        <f t="shared" si="40"/>
        <v>0</v>
      </c>
      <c r="AC150" s="60">
        <f t="shared" si="41"/>
        <v>0</v>
      </c>
      <c r="AD150" s="5">
        <f t="shared" si="42"/>
        <v>0</v>
      </c>
      <c r="AE150" s="5">
        <f t="shared" si="43"/>
        <v>0</v>
      </c>
      <c r="AF150" s="5">
        <f t="shared" si="44"/>
        <v>0</v>
      </c>
      <c r="AG150" s="5">
        <f t="shared" si="45"/>
        <v>0</v>
      </c>
      <c r="AH150" s="5">
        <f t="shared" si="46"/>
        <v>0</v>
      </c>
      <c r="AI150" s="5">
        <f t="shared" si="47"/>
        <v>0</v>
      </c>
      <c r="AJ150" s="5">
        <f t="shared" si="48"/>
        <v>0</v>
      </c>
      <c r="AL150" s="5">
        <f t="shared" si="49"/>
        <v>0</v>
      </c>
      <c r="AM150" s="8">
        <f t="shared" ca="1" si="50"/>
        <v>0</v>
      </c>
      <c r="AN150" s="8">
        <f t="shared" ca="1" si="51"/>
        <v>0</v>
      </c>
      <c r="AO150" s="5">
        <f t="shared" ca="1" si="52"/>
        <v>0</v>
      </c>
      <c r="AP150" s="5">
        <f t="shared" ca="1" si="53"/>
        <v>0</v>
      </c>
      <c r="AQ150" s="5">
        <f t="shared" si="54"/>
        <v>0</v>
      </c>
      <c r="AR150" s="60"/>
      <c r="AS150" s="8">
        <f t="shared" si="55"/>
        <v>0</v>
      </c>
      <c r="AT150" s="5">
        <f t="shared" si="56"/>
        <v>0</v>
      </c>
      <c r="AU150" s="8">
        <f t="shared" ca="1" si="57"/>
        <v>0</v>
      </c>
      <c r="AV150" s="8">
        <f t="shared" ca="1" si="58"/>
        <v>0</v>
      </c>
      <c r="AW150" s="5">
        <f t="shared" ca="1" si="59"/>
        <v>0</v>
      </c>
      <c r="AX150" s="5">
        <f t="shared" ca="1" si="60"/>
        <v>0</v>
      </c>
      <c r="AY150" s="5">
        <f t="shared" si="61"/>
        <v>0</v>
      </c>
    </row>
    <row r="151" spans="21:51">
      <c r="U151" s="13"/>
      <c r="Y151" s="13"/>
      <c r="AB151" s="5" t="b">
        <f t="shared" si="40"/>
        <v>0</v>
      </c>
      <c r="AC151" s="60">
        <f t="shared" si="41"/>
        <v>0</v>
      </c>
      <c r="AD151" s="5">
        <f t="shared" si="42"/>
        <v>0</v>
      </c>
      <c r="AE151" s="5">
        <f t="shared" si="43"/>
        <v>0</v>
      </c>
      <c r="AF151" s="5">
        <f t="shared" si="44"/>
        <v>0</v>
      </c>
      <c r="AG151" s="5">
        <f t="shared" si="45"/>
        <v>0</v>
      </c>
      <c r="AH151" s="5">
        <f t="shared" si="46"/>
        <v>0</v>
      </c>
      <c r="AI151" s="5">
        <f t="shared" si="47"/>
        <v>0</v>
      </c>
      <c r="AJ151" s="5">
        <f t="shared" si="48"/>
        <v>0</v>
      </c>
      <c r="AL151" s="5">
        <f t="shared" si="49"/>
        <v>0</v>
      </c>
      <c r="AM151" s="8">
        <f t="shared" ca="1" si="50"/>
        <v>0</v>
      </c>
      <c r="AN151" s="8">
        <f t="shared" ca="1" si="51"/>
        <v>0</v>
      </c>
      <c r="AO151" s="5">
        <f t="shared" ca="1" si="52"/>
        <v>0</v>
      </c>
      <c r="AP151" s="5">
        <f t="shared" ca="1" si="53"/>
        <v>0</v>
      </c>
      <c r="AQ151" s="5">
        <f t="shared" si="54"/>
        <v>0</v>
      </c>
      <c r="AR151" s="60"/>
      <c r="AS151" s="8">
        <f t="shared" si="55"/>
        <v>0</v>
      </c>
      <c r="AT151" s="5">
        <f t="shared" si="56"/>
        <v>0</v>
      </c>
      <c r="AU151" s="8">
        <f t="shared" ca="1" si="57"/>
        <v>0</v>
      </c>
      <c r="AV151" s="8">
        <f t="shared" ca="1" si="58"/>
        <v>0</v>
      </c>
      <c r="AW151" s="5">
        <f t="shared" ca="1" si="59"/>
        <v>0</v>
      </c>
      <c r="AX151" s="5">
        <f t="shared" ca="1" si="60"/>
        <v>0</v>
      </c>
      <c r="AY151" s="5">
        <f t="shared" si="61"/>
        <v>0</v>
      </c>
    </row>
    <row r="152" spans="21:51">
      <c r="U152" s="13"/>
      <c r="Y152" s="13"/>
      <c r="AB152" s="5" t="b">
        <f t="shared" si="40"/>
        <v>0</v>
      </c>
      <c r="AC152" s="60">
        <f t="shared" si="41"/>
        <v>0</v>
      </c>
      <c r="AD152" s="5">
        <f t="shared" si="42"/>
        <v>0</v>
      </c>
      <c r="AE152" s="5">
        <f t="shared" si="43"/>
        <v>0</v>
      </c>
      <c r="AF152" s="5">
        <f t="shared" si="44"/>
        <v>0</v>
      </c>
      <c r="AG152" s="5">
        <f t="shared" si="45"/>
        <v>0</v>
      </c>
      <c r="AH152" s="5">
        <f t="shared" si="46"/>
        <v>0</v>
      </c>
      <c r="AI152" s="5">
        <f t="shared" si="47"/>
        <v>0</v>
      </c>
      <c r="AJ152" s="5">
        <f t="shared" si="48"/>
        <v>0</v>
      </c>
      <c r="AL152" s="5">
        <f t="shared" si="49"/>
        <v>0</v>
      </c>
      <c r="AM152" s="8">
        <f t="shared" ca="1" si="50"/>
        <v>0</v>
      </c>
      <c r="AN152" s="8">
        <f t="shared" ca="1" si="51"/>
        <v>0</v>
      </c>
      <c r="AO152" s="5">
        <f t="shared" ca="1" si="52"/>
        <v>0</v>
      </c>
      <c r="AP152" s="5">
        <f t="shared" ca="1" si="53"/>
        <v>0</v>
      </c>
      <c r="AQ152" s="5">
        <f t="shared" si="54"/>
        <v>0</v>
      </c>
      <c r="AR152" s="60"/>
      <c r="AS152" s="8">
        <f t="shared" si="55"/>
        <v>0</v>
      </c>
      <c r="AT152" s="5">
        <f t="shared" si="56"/>
        <v>0</v>
      </c>
      <c r="AU152" s="8">
        <f t="shared" ca="1" si="57"/>
        <v>0</v>
      </c>
      <c r="AV152" s="8">
        <f t="shared" ca="1" si="58"/>
        <v>0</v>
      </c>
      <c r="AW152" s="5">
        <f t="shared" ca="1" si="59"/>
        <v>0</v>
      </c>
      <c r="AX152" s="5">
        <f t="shared" ca="1" si="60"/>
        <v>0</v>
      </c>
      <c r="AY152" s="5">
        <f t="shared" si="61"/>
        <v>0</v>
      </c>
    </row>
    <row r="153" spans="21:51">
      <c r="U153" s="13"/>
      <c r="Y153" s="13"/>
      <c r="AB153" s="5" t="b">
        <f t="shared" si="40"/>
        <v>0</v>
      </c>
      <c r="AC153" s="60">
        <f t="shared" si="41"/>
        <v>0</v>
      </c>
      <c r="AD153" s="5">
        <f t="shared" si="42"/>
        <v>0</v>
      </c>
      <c r="AE153" s="5">
        <f t="shared" si="43"/>
        <v>0</v>
      </c>
      <c r="AF153" s="5">
        <f t="shared" si="44"/>
        <v>0</v>
      </c>
      <c r="AG153" s="5">
        <f t="shared" si="45"/>
        <v>0</v>
      </c>
      <c r="AH153" s="5">
        <f t="shared" si="46"/>
        <v>0</v>
      </c>
      <c r="AI153" s="5">
        <f t="shared" si="47"/>
        <v>0</v>
      </c>
      <c r="AJ153" s="5">
        <f t="shared" si="48"/>
        <v>0</v>
      </c>
      <c r="AL153" s="5">
        <f t="shared" si="49"/>
        <v>0</v>
      </c>
      <c r="AM153" s="8">
        <f t="shared" ca="1" si="50"/>
        <v>0</v>
      </c>
      <c r="AN153" s="8">
        <f t="shared" ca="1" si="51"/>
        <v>0</v>
      </c>
      <c r="AO153" s="5">
        <f t="shared" ca="1" si="52"/>
        <v>0</v>
      </c>
      <c r="AP153" s="5">
        <f t="shared" ca="1" si="53"/>
        <v>0</v>
      </c>
      <c r="AQ153" s="5">
        <f t="shared" si="54"/>
        <v>0</v>
      </c>
      <c r="AR153" s="60"/>
      <c r="AS153" s="8">
        <f t="shared" si="55"/>
        <v>0</v>
      </c>
      <c r="AT153" s="5">
        <f t="shared" si="56"/>
        <v>0</v>
      </c>
      <c r="AU153" s="8">
        <f t="shared" ca="1" si="57"/>
        <v>0</v>
      </c>
      <c r="AV153" s="8">
        <f t="shared" ca="1" si="58"/>
        <v>0</v>
      </c>
      <c r="AW153" s="5">
        <f t="shared" ca="1" si="59"/>
        <v>0</v>
      </c>
      <c r="AX153" s="5">
        <f t="shared" ca="1" si="60"/>
        <v>0</v>
      </c>
      <c r="AY153" s="5">
        <f t="shared" si="61"/>
        <v>0</v>
      </c>
    </row>
    <row r="154" spans="21:51">
      <c r="U154" s="13"/>
      <c r="Y154" s="13"/>
      <c r="AB154" s="5" t="b">
        <f t="shared" si="40"/>
        <v>0</v>
      </c>
      <c r="AC154" s="60">
        <f t="shared" si="41"/>
        <v>0</v>
      </c>
      <c r="AD154" s="5">
        <f t="shared" si="42"/>
        <v>0</v>
      </c>
      <c r="AE154" s="5">
        <f t="shared" si="43"/>
        <v>0</v>
      </c>
      <c r="AF154" s="5">
        <f t="shared" si="44"/>
        <v>0</v>
      </c>
      <c r="AG154" s="5">
        <f t="shared" si="45"/>
        <v>0</v>
      </c>
      <c r="AH154" s="5">
        <f t="shared" si="46"/>
        <v>0</v>
      </c>
      <c r="AI154" s="5">
        <f t="shared" si="47"/>
        <v>0</v>
      </c>
      <c r="AJ154" s="5">
        <f t="shared" si="48"/>
        <v>0</v>
      </c>
      <c r="AL154" s="5">
        <f t="shared" si="49"/>
        <v>0</v>
      </c>
      <c r="AM154" s="8">
        <f t="shared" ca="1" si="50"/>
        <v>0</v>
      </c>
      <c r="AN154" s="8">
        <f t="shared" ca="1" si="51"/>
        <v>0</v>
      </c>
      <c r="AO154" s="5">
        <f t="shared" ca="1" si="52"/>
        <v>0</v>
      </c>
      <c r="AP154" s="5">
        <f t="shared" ca="1" si="53"/>
        <v>0</v>
      </c>
      <c r="AQ154" s="5">
        <f t="shared" si="54"/>
        <v>0</v>
      </c>
      <c r="AR154" s="60"/>
      <c r="AS154" s="8">
        <f t="shared" si="55"/>
        <v>0</v>
      </c>
      <c r="AT154" s="5">
        <f t="shared" si="56"/>
        <v>0</v>
      </c>
      <c r="AU154" s="8">
        <f t="shared" ca="1" si="57"/>
        <v>0</v>
      </c>
      <c r="AV154" s="8">
        <f t="shared" ca="1" si="58"/>
        <v>0</v>
      </c>
      <c r="AW154" s="5">
        <f t="shared" ca="1" si="59"/>
        <v>0</v>
      </c>
      <c r="AX154" s="5">
        <f t="shared" ca="1" si="60"/>
        <v>0</v>
      </c>
      <c r="AY154" s="5">
        <f t="shared" si="61"/>
        <v>0</v>
      </c>
    </row>
    <row r="155" spans="21:51">
      <c r="U155" s="13"/>
      <c r="Y155" s="13"/>
      <c r="AB155" s="5" t="b">
        <f t="shared" si="40"/>
        <v>0</v>
      </c>
      <c r="AC155" s="60">
        <f t="shared" si="41"/>
        <v>0</v>
      </c>
      <c r="AD155" s="5">
        <f t="shared" si="42"/>
        <v>0</v>
      </c>
      <c r="AE155" s="5">
        <f t="shared" si="43"/>
        <v>0</v>
      </c>
      <c r="AF155" s="5">
        <f t="shared" si="44"/>
        <v>0</v>
      </c>
      <c r="AG155" s="5">
        <f t="shared" si="45"/>
        <v>0</v>
      </c>
      <c r="AH155" s="5">
        <f t="shared" si="46"/>
        <v>0</v>
      </c>
      <c r="AI155" s="5">
        <f t="shared" si="47"/>
        <v>0</v>
      </c>
      <c r="AJ155" s="5">
        <f t="shared" si="48"/>
        <v>0</v>
      </c>
      <c r="AL155" s="5">
        <f t="shared" si="49"/>
        <v>0</v>
      </c>
      <c r="AM155" s="8">
        <f t="shared" ca="1" si="50"/>
        <v>0</v>
      </c>
      <c r="AN155" s="8">
        <f t="shared" ca="1" si="51"/>
        <v>0</v>
      </c>
      <c r="AO155" s="5">
        <f t="shared" ca="1" si="52"/>
        <v>0</v>
      </c>
      <c r="AP155" s="5">
        <f t="shared" ca="1" si="53"/>
        <v>0</v>
      </c>
      <c r="AQ155" s="5">
        <f t="shared" si="54"/>
        <v>0</v>
      </c>
      <c r="AR155" s="60"/>
      <c r="AS155" s="8">
        <f t="shared" si="55"/>
        <v>0</v>
      </c>
      <c r="AT155" s="5">
        <f t="shared" si="56"/>
        <v>0</v>
      </c>
      <c r="AU155" s="8">
        <f t="shared" ca="1" si="57"/>
        <v>0</v>
      </c>
      <c r="AV155" s="8">
        <f t="shared" ca="1" si="58"/>
        <v>0</v>
      </c>
      <c r="AW155" s="5">
        <f t="shared" ca="1" si="59"/>
        <v>0</v>
      </c>
      <c r="AX155" s="5">
        <f t="shared" ca="1" si="60"/>
        <v>0</v>
      </c>
      <c r="AY155" s="5">
        <f t="shared" si="61"/>
        <v>0</v>
      </c>
    </row>
    <row r="156" spans="21:51">
      <c r="U156" s="13"/>
      <c r="Y156" s="13"/>
      <c r="AB156" s="5" t="b">
        <f t="shared" si="40"/>
        <v>0</v>
      </c>
      <c r="AC156" s="60">
        <f t="shared" si="41"/>
        <v>0</v>
      </c>
      <c r="AD156" s="5">
        <f t="shared" si="42"/>
        <v>0</v>
      </c>
      <c r="AE156" s="5">
        <f t="shared" si="43"/>
        <v>0</v>
      </c>
      <c r="AF156" s="5">
        <f t="shared" si="44"/>
        <v>0</v>
      </c>
      <c r="AG156" s="5">
        <f t="shared" si="45"/>
        <v>0</v>
      </c>
      <c r="AH156" s="5">
        <f t="shared" si="46"/>
        <v>0</v>
      </c>
      <c r="AI156" s="5">
        <f t="shared" si="47"/>
        <v>0</v>
      </c>
      <c r="AJ156" s="5">
        <f t="shared" si="48"/>
        <v>0</v>
      </c>
      <c r="AL156" s="5">
        <f t="shared" si="49"/>
        <v>0</v>
      </c>
      <c r="AM156" s="8">
        <f t="shared" ca="1" si="50"/>
        <v>0</v>
      </c>
      <c r="AN156" s="8">
        <f t="shared" ca="1" si="51"/>
        <v>0</v>
      </c>
      <c r="AO156" s="5">
        <f t="shared" ca="1" si="52"/>
        <v>0</v>
      </c>
      <c r="AP156" s="5">
        <f t="shared" ca="1" si="53"/>
        <v>0</v>
      </c>
      <c r="AQ156" s="5">
        <f t="shared" si="54"/>
        <v>0</v>
      </c>
      <c r="AR156" s="60"/>
      <c r="AS156" s="8">
        <f t="shared" si="55"/>
        <v>0</v>
      </c>
      <c r="AT156" s="5">
        <f t="shared" si="56"/>
        <v>0</v>
      </c>
      <c r="AU156" s="8">
        <f t="shared" ca="1" si="57"/>
        <v>0</v>
      </c>
      <c r="AV156" s="8">
        <f t="shared" ca="1" si="58"/>
        <v>0</v>
      </c>
      <c r="AW156" s="5">
        <f t="shared" ca="1" si="59"/>
        <v>0</v>
      </c>
      <c r="AX156" s="5">
        <f t="shared" ca="1" si="60"/>
        <v>0</v>
      </c>
      <c r="AY156" s="5">
        <f t="shared" si="61"/>
        <v>0</v>
      </c>
    </row>
    <row r="157" spans="21:51">
      <c r="U157" s="13"/>
      <c r="Y157" s="13"/>
      <c r="AB157" s="5" t="b">
        <f t="shared" si="40"/>
        <v>0</v>
      </c>
      <c r="AC157" s="60">
        <f t="shared" si="41"/>
        <v>0</v>
      </c>
      <c r="AD157" s="5">
        <f t="shared" si="42"/>
        <v>0</v>
      </c>
      <c r="AE157" s="5">
        <f t="shared" si="43"/>
        <v>0</v>
      </c>
      <c r="AF157" s="5">
        <f t="shared" si="44"/>
        <v>0</v>
      </c>
      <c r="AG157" s="5">
        <f t="shared" si="45"/>
        <v>0</v>
      </c>
      <c r="AH157" s="5">
        <f t="shared" si="46"/>
        <v>0</v>
      </c>
      <c r="AI157" s="5">
        <f t="shared" si="47"/>
        <v>0</v>
      </c>
      <c r="AJ157" s="5">
        <f t="shared" si="48"/>
        <v>0</v>
      </c>
      <c r="AL157" s="5">
        <f t="shared" si="49"/>
        <v>0</v>
      </c>
      <c r="AM157" s="8">
        <f t="shared" ca="1" si="50"/>
        <v>0</v>
      </c>
      <c r="AN157" s="8">
        <f t="shared" ca="1" si="51"/>
        <v>0</v>
      </c>
      <c r="AO157" s="5">
        <f t="shared" ca="1" si="52"/>
        <v>0</v>
      </c>
      <c r="AP157" s="5">
        <f t="shared" ca="1" si="53"/>
        <v>0</v>
      </c>
      <c r="AQ157" s="5">
        <f t="shared" si="54"/>
        <v>0</v>
      </c>
      <c r="AR157" s="60"/>
      <c r="AS157" s="8">
        <f t="shared" si="55"/>
        <v>0</v>
      </c>
      <c r="AT157" s="5">
        <f t="shared" si="56"/>
        <v>0</v>
      </c>
      <c r="AU157" s="8">
        <f t="shared" ca="1" si="57"/>
        <v>0</v>
      </c>
      <c r="AV157" s="8">
        <f t="shared" ca="1" si="58"/>
        <v>0</v>
      </c>
      <c r="AW157" s="5">
        <f t="shared" ca="1" si="59"/>
        <v>0</v>
      </c>
      <c r="AX157" s="5">
        <f t="shared" ca="1" si="60"/>
        <v>0</v>
      </c>
      <c r="AY157" s="5">
        <f t="shared" si="61"/>
        <v>0</v>
      </c>
    </row>
    <row r="158" spans="21:51">
      <c r="U158" s="13"/>
      <c r="Y158" s="13"/>
      <c r="AB158" s="5" t="b">
        <f t="shared" si="40"/>
        <v>0</v>
      </c>
      <c r="AC158" s="60">
        <f t="shared" si="41"/>
        <v>0</v>
      </c>
      <c r="AD158" s="5">
        <f t="shared" si="42"/>
        <v>0</v>
      </c>
      <c r="AE158" s="5">
        <f t="shared" si="43"/>
        <v>0</v>
      </c>
      <c r="AF158" s="5">
        <f t="shared" si="44"/>
        <v>0</v>
      </c>
      <c r="AG158" s="5">
        <f t="shared" si="45"/>
        <v>0</v>
      </c>
      <c r="AH158" s="5">
        <f t="shared" si="46"/>
        <v>0</v>
      </c>
      <c r="AI158" s="5">
        <f t="shared" si="47"/>
        <v>0</v>
      </c>
      <c r="AJ158" s="5">
        <f t="shared" si="48"/>
        <v>0</v>
      </c>
      <c r="AL158" s="5">
        <f t="shared" si="49"/>
        <v>0</v>
      </c>
      <c r="AM158" s="8">
        <f t="shared" ca="1" si="50"/>
        <v>0</v>
      </c>
      <c r="AN158" s="8">
        <f t="shared" ca="1" si="51"/>
        <v>0</v>
      </c>
      <c r="AO158" s="5">
        <f t="shared" ca="1" si="52"/>
        <v>0</v>
      </c>
      <c r="AP158" s="5">
        <f t="shared" ca="1" si="53"/>
        <v>0</v>
      </c>
      <c r="AQ158" s="5">
        <f t="shared" si="54"/>
        <v>0</v>
      </c>
      <c r="AR158" s="60"/>
      <c r="AS158" s="8">
        <f t="shared" si="55"/>
        <v>0</v>
      </c>
      <c r="AT158" s="5">
        <f t="shared" si="56"/>
        <v>0</v>
      </c>
      <c r="AU158" s="8">
        <f t="shared" ca="1" si="57"/>
        <v>0</v>
      </c>
      <c r="AV158" s="8">
        <f t="shared" ca="1" si="58"/>
        <v>0</v>
      </c>
      <c r="AW158" s="5">
        <f t="shared" ca="1" si="59"/>
        <v>0</v>
      </c>
      <c r="AX158" s="5">
        <f t="shared" ca="1" si="60"/>
        <v>0</v>
      </c>
      <c r="AY158" s="5">
        <f t="shared" si="61"/>
        <v>0</v>
      </c>
    </row>
    <row r="159" spans="21:51">
      <c r="U159" s="13"/>
      <c r="Y159" s="13"/>
      <c r="AB159" s="5" t="b">
        <f t="shared" si="40"/>
        <v>0</v>
      </c>
      <c r="AC159" s="60">
        <f t="shared" si="41"/>
        <v>0</v>
      </c>
      <c r="AD159" s="5">
        <f t="shared" si="42"/>
        <v>0</v>
      </c>
      <c r="AE159" s="5">
        <f t="shared" si="43"/>
        <v>0</v>
      </c>
      <c r="AF159" s="5">
        <f t="shared" si="44"/>
        <v>0</v>
      </c>
      <c r="AG159" s="5">
        <f t="shared" si="45"/>
        <v>0</v>
      </c>
      <c r="AH159" s="5">
        <f t="shared" si="46"/>
        <v>0</v>
      </c>
      <c r="AI159" s="5">
        <f t="shared" si="47"/>
        <v>0</v>
      </c>
      <c r="AJ159" s="5">
        <f t="shared" si="48"/>
        <v>0</v>
      </c>
      <c r="AL159" s="5">
        <f t="shared" si="49"/>
        <v>0</v>
      </c>
      <c r="AM159" s="8">
        <f t="shared" ca="1" si="50"/>
        <v>0</v>
      </c>
      <c r="AN159" s="8">
        <f t="shared" ca="1" si="51"/>
        <v>0</v>
      </c>
      <c r="AO159" s="5">
        <f t="shared" ca="1" si="52"/>
        <v>0</v>
      </c>
      <c r="AP159" s="5">
        <f t="shared" ca="1" si="53"/>
        <v>0</v>
      </c>
      <c r="AQ159" s="5">
        <f t="shared" si="54"/>
        <v>0</v>
      </c>
      <c r="AR159" s="60"/>
      <c r="AS159" s="8">
        <f t="shared" si="55"/>
        <v>0</v>
      </c>
      <c r="AT159" s="5">
        <f t="shared" si="56"/>
        <v>0</v>
      </c>
      <c r="AU159" s="8">
        <f t="shared" ca="1" si="57"/>
        <v>0</v>
      </c>
      <c r="AV159" s="8">
        <f t="shared" ca="1" si="58"/>
        <v>0</v>
      </c>
      <c r="AW159" s="5">
        <f t="shared" ca="1" si="59"/>
        <v>0</v>
      </c>
      <c r="AX159" s="5">
        <f t="shared" ca="1" si="60"/>
        <v>0</v>
      </c>
      <c r="AY159" s="5">
        <f t="shared" si="61"/>
        <v>0</v>
      </c>
    </row>
    <row r="160" spans="21:51">
      <c r="U160" s="13"/>
      <c r="Y160" s="13"/>
      <c r="AB160" s="5" t="b">
        <f t="shared" si="40"/>
        <v>0</v>
      </c>
      <c r="AC160" s="60">
        <f t="shared" si="41"/>
        <v>0</v>
      </c>
      <c r="AD160" s="5">
        <f t="shared" si="42"/>
        <v>0</v>
      </c>
      <c r="AE160" s="5">
        <f t="shared" si="43"/>
        <v>0</v>
      </c>
      <c r="AF160" s="5">
        <f t="shared" si="44"/>
        <v>0</v>
      </c>
      <c r="AG160" s="5">
        <f t="shared" si="45"/>
        <v>0</v>
      </c>
      <c r="AH160" s="5">
        <f t="shared" si="46"/>
        <v>0</v>
      </c>
      <c r="AI160" s="5">
        <f t="shared" si="47"/>
        <v>0</v>
      </c>
      <c r="AJ160" s="5">
        <f t="shared" si="48"/>
        <v>0</v>
      </c>
      <c r="AL160" s="5">
        <f t="shared" si="49"/>
        <v>0</v>
      </c>
      <c r="AM160" s="8">
        <f t="shared" ca="1" si="50"/>
        <v>0</v>
      </c>
      <c r="AN160" s="8">
        <f t="shared" ca="1" si="51"/>
        <v>0</v>
      </c>
      <c r="AO160" s="5">
        <f t="shared" ca="1" si="52"/>
        <v>0</v>
      </c>
      <c r="AP160" s="5">
        <f t="shared" ca="1" si="53"/>
        <v>0</v>
      </c>
      <c r="AQ160" s="5">
        <f t="shared" si="54"/>
        <v>0</v>
      </c>
      <c r="AR160" s="60"/>
      <c r="AS160" s="8">
        <f t="shared" si="55"/>
        <v>0</v>
      </c>
      <c r="AT160" s="5">
        <f t="shared" si="56"/>
        <v>0</v>
      </c>
      <c r="AU160" s="8">
        <f t="shared" ca="1" si="57"/>
        <v>0</v>
      </c>
      <c r="AV160" s="8">
        <f t="shared" ca="1" si="58"/>
        <v>0</v>
      </c>
      <c r="AW160" s="5">
        <f t="shared" ca="1" si="59"/>
        <v>0</v>
      </c>
      <c r="AX160" s="5">
        <f t="shared" ca="1" si="60"/>
        <v>0</v>
      </c>
      <c r="AY160" s="5">
        <f t="shared" si="61"/>
        <v>0</v>
      </c>
    </row>
    <row r="161" spans="21:51">
      <c r="U161" s="13"/>
      <c r="Y161" s="13"/>
      <c r="AB161" s="5" t="b">
        <f t="shared" si="40"/>
        <v>0</v>
      </c>
      <c r="AC161" s="60">
        <f t="shared" si="41"/>
        <v>0</v>
      </c>
      <c r="AD161" s="5">
        <f t="shared" si="42"/>
        <v>0</v>
      </c>
      <c r="AE161" s="5">
        <f t="shared" si="43"/>
        <v>0</v>
      </c>
      <c r="AF161" s="5">
        <f t="shared" si="44"/>
        <v>0</v>
      </c>
      <c r="AG161" s="5">
        <f t="shared" si="45"/>
        <v>0</v>
      </c>
      <c r="AH161" s="5">
        <f t="shared" si="46"/>
        <v>0</v>
      </c>
      <c r="AI161" s="5">
        <f t="shared" si="47"/>
        <v>0</v>
      </c>
      <c r="AJ161" s="5">
        <f t="shared" si="48"/>
        <v>0</v>
      </c>
      <c r="AL161" s="5">
        <f t="shared" si="49"/>
        <v>0</v>
      </c>
      <c r="AM161" s="8">
        <f t="shared" ca="1" si="50"/>
        <v>0</v>
      </c>
      <c r="AN161" s="8">
        <f t="shared" ca="1" si="51"/>
        <v>0</v>
      </c>
      <c r="AO161" s="5">
        <f t="shared" ca="1" si="52"/>
        <v>0</v>
      </c>
      <c r="AP161" s="5">
        <f t="shared" ca="1" si="53"/>
        <v>0</v>
      </c>
      <c r="AQ161" s="5">
        <f t="shared" si="54"/>
        <v>0</v>
      </c>
      <c r="AR161" s="60"/>
      <c r="AS161" s="8">
        <f t="shared" si="55"/>
        <v>0</v>
      </c>
      <c r="AT161" s="5">
        <f t="shared" si="56"/>
        <v>0</v>
      </c>
      <c r="AU161" s="8">
        <f t="shared" ca="1" si="57"/>
        <v>0</v>
      </c>
      <c r="AV161" s="8">
        <f t="shared" ca="1" si="58"/>
        <v>0</v>
      </c>
      <c r="AW161" s="5">
        <f t="shared" ca="1" si="59"/>
        <v>0</v>
      </c>
      <c r="AX161" s="5">
        <f t="shared" ca="1" si="60"/>
        <v>0</v>
      </c>
      <c r="AY161" s="5">
        <f t="shared" si="61"/>
        <v>0</v>
      </c>
    </row>
    <row r="162" spans="21:51">
      <c r="U162" s="13"/>
      <c r="Y162" s="13"/>
      <c r="AB162" s="5" t="b">
        <f t="shared" si="40"/>
        <v>0</v>
      </c>
      <c r="AC162" s="60">
        <f t="shared" si="41"/>
        <v>0</v>
      </c>
      <c r="AD162" s="5">
        <f t="shared" si="42"/>
        <v>0</v>
      </c>
      <c r="AE162" s="5">
        <f t="shared" si="43"/>
        <v>0</v>
      </c>
      <c r="AF162" s="5">
        <f t="shared" si="44"/>
        <v>0</v>
      </c>
      <c r="AG162" s="5">
        <f t="shared" si="45"/>
        <v>0</v>
      </c>
      <c r="AH162" s="5">
        <f t="shared" si="46"/>
        <v>0</v>
      </c>
      <c r="AI162" s="5">
        <f t="shared" si="47"/>
        <v>0</v>
      </c>
      <c r="AJ162" s="5">
        <f t="shared" si="48"/>
        <v>0</v>
      </c>
      <c r="AL162" s="5">
        <f t="shared" si="49"/>
        <v>0</v>
      </c>
      <c r="AM162" s="8">
        <f t="shared" ca="1" si="50"/>
        <v>0</v>
      </c>
      <c r="AN162" s="8">
        <f t="shared" ca="1" si="51"/>
        <v>0</v>
      </c>
      <c r="AO162" s="5">
        <f t="shared" ca="1" si="52"/>
        <v>0</v>
      </c>
      <c r="AP162" s="5">
        <f t="shared" ca="1" si="53"/>
        <v>0</v>
      </c>
      <c r="AQ162" s="5">
        <f t="shared" si="54"/>
        <v>0</v>
      </c>
      <c r="AR162" s="60"/>
      <c r="AS162" s="8">
        <f t="shared" si="55"/>
        <v>0</v>
      </c>
      <c r="AT162" s="5">
        <f t="shared" si="56"/>
        <v>0</v>
      </c>
      <c r="AU162" s="8">
        <f t="shared" ca="1" si="57"/>
        <v>0</v>
      </c>
      <c r="AV162" s="8">
        <f t="shared" ca="1" si="58"/>
        <v>0</v>
      </c>
      <c r="AW162" s="5">
        <f t="shared" ca="1" si="59"/>
        <v>0</v>
      </c>
      <c r="AX162" s="5">
        <f t="shared" ca="1" si="60"/>
        <v>0</v>
      </c>
      <c r="AY162" s="5">
        <f t="shared" si="61"/>
        <v>0</v>
      </c>
    </row>
    <row r="163" spans="21:51">
      <c r="U163" s="13"/>
      <c r="Y163" s="13"/>
      <c r="AB163" s="5" t="b">
        <f t="shared" si="40"/>
        <v>0</v>
      </c>
      <c r="AC163" s="60">
        <f t="shared" si="41"/>
        <v>0</v>
      </c>
      <c r="AD163" s="5">
        <f t="shared" si="42"/>
        <v>0</v>
      </c>
      <c r="AE163" s="5">
        <f t="shared" si="43"/>
        <v>0</v>
      </c>
      <c r="AF163" s="5">
        <f t="shared" si="44"/>
        <v>0</v>
      </c>
      <c r="AG163" s="5">
        <f t="shared" si="45"/>
        <v>0</v>
      </c>
      <c r="AH163" s="5">
        <f t="shared" si="46"/>
        <v>0</v>
      </c>
      <c r="AI163" s="5">
        <f t="shared" si="47"/>
        <v>0</v>
      </c>
      <c r="AJ163" s="5">
        <f t="shared" si="48"/>
        <v>0</v>
      </c>
      <c r="AL163" s="5">
        <f t="shared" si="49"/>
        <v>0</v>
      </c>
      <c r="AM163" s="8">
        <f t="shared" ca="1" si="50"/>
        <v>0</v>
      </c>
      <c r="AN163" s="8">
        <f t="shared" ca="1" si="51"/>
        <v>0</v>
      </c>
      <c r="AO163" s="5">
        <f t="shared" ca="1" si="52"/>
        <v>0</v>
      </c>
      <c r="AP163" s="5">
        <f t="shared" ca="1" si="53"/>
        <v>0</v>
      </c>
      <c r="AQ163" s="5">
        <f t="shared" si="54"/>
        <v>0</v>
      </c>
      <c r="AR163" s="60"/>
      <c r="AS163" s="8">
        <f t="shared" si="55"/>
        <v>0</v>
      </c>
      <c r="AT163" s="5">
        <f t="shared" si="56"/>
        <v>0</v>
      </c>
      <c r="AU163" s="8">
        <f t="shared" ca="1" si="57"/>
        <v>0</v>
      </c>
      <c r="AV163" s="8">
        <f t="shared" ca="1" si="58"/>
        <v>0</v>
      </c>
      <c r="AW163" s="5">
        <f t="shared" ca="1" si="59"/>
        <v>0</v>
      </c>
      <c r="AX163" s="5">
        <f t="shared" ca="1" si="60"/>
        <v>0</v>
      </c>
      <c r="AY163" s="5">
        <f t="shared" si="61"/>
        <v>0</v>
      </c>
    </row>
    <row r="164" spans="21:51">
      <c r="U164" s="13"/>
      <c r="Y164" s="13"/>
      <c r="AB164" s="5" t="b">
        <f t="shared" si="40"/>
        <v>0</v>
      </c>
      <c r="AC164" s="60">
        <f t="shared" si="41"/>
        <v>0</v>
      </c>
      <c r="AD164" s="5">
        <f t="shared" si="42"/>
        <v>0</v>
      </c>
      <c r="AE164" s="5">
        <f t="shared" si="43"/>
        <v>0</v>
      </c>
      <c r="AF164" s="5">
        <f t="shared" si="44"/>
        <v>0</v>
      </c>
      <c r="AG164" s="5">
        <f t="shared" si="45"/>
        <v>0</v>
      </c>
      <c r="AH164" s="5">
        <f t="shared" si="46"/>
        <v>0</v>
      </c>
      <c r="AI164" s="5">
        <f t="shared" si="47"/>
        <v>0</v>
      </c>
      <c r="AJ164" s="5">
        <f t="shared" si="48"/>
        <v>0</v>
      </c>
      <c r="AL164" s="5">
        <f t="shared" si="49"/>
        <v>0</v>
      </c>
      <c r="AM164" s="8">
        <f t="shared" ca="1" si="50"/>
        <v>0</v>
      </c>
      <c r="AN164" s="8">
        <f t="shared" ca="1" si="51"/>
        <v>0</v>
      </c>
      <c r="AO164" s="5">
        <f t="shared" ca="1" si="52"/>
        <v>0</v>
      </c>
      <c r="AP164" s="5">
        <f t="shared" ca="1" si="53"/>
        <v>0</v>
      </c>
      <c r="AQ164" s="5">
        <f t="shared" si="54"/>
        <v>0</v>
      </c>
      <c r="AR164" s="60"/>
      <c r="AS164" s="8">
        <f t="shared" si="55"/>
        <v>0</v>
      </c>
      <c r="AT164" s="5">
        <f t="shared" si="56"/>
        <v>0</v>
      </c>
      <c r="AU164" s="8">
        <f t="shared" ca="1" si="57"/>
        <v>0</v>
      </c>
      <c r="AV164" s="8">
        <f t="shared" ca="1" si="58"/>
        <v>0</v>
      </c>
      <c r="AW164" s="5">
        <f t="shared" ca="1" si="59"/>
        <v>0</v>
      </c>
      <c r="AX164" s="5">
        <f t="shared" ca="1" si="60"/>
        <v>0</v>
      </c>
      <c r="AY164" s="5">
        <f t="shared" si="61"/>
        <v>0</v>
      </c>
    </row>
    <row r="165" spans="21:51">
      <c r="U165" s="13"/>
      <c r="Y165" s="13"/>
      <c r="AB165" s="5" t="b">
        <f t="shared" si="40"/>
        <v>0</v>
      </c>
      <c r="AC165" s="60">
        <f t="shared" si="41"/>
        <v>0</v>
      </c>
      <c r="AD165" s="5">
        <f t="shared" si="42"/>
        <v>0</v>
      </c>
      <c r="AE165" s="5">
        <f t="shared" si="43"/>
        <v>0</v>
      </c>
      <c r="AF165" s="5">
        <f t="shared" si="44"/>
        <v>0</v>
      </c>
      <c r="AG165" s="5">
        <f t="shared" si="45"/>
        <v>0</v>
      </c>
      <c r="AH165" s="5">
        <f t="shared" si="46"/>
        <v>0</v>
      </c>
      <c r="AI165" s="5">
        <f t="shared" si="47"/>
        <v>0</v>
      </c>
      <c r="AJ165" s="5">
        <f t="shared" si="48"/>
        <v>0</v>
      </c>
      <c r="AL165" s="5">
        <f t="shared" si="49"/>
        <v>0</v>
      </c>
      <c r="AM165" s="8">
        <f t="shared" ca="1" si="50"/>
        <v>0</v>
      </c>
      <c r="AN165" s="8">
        <f t="shared" ca="1" si="51"/>
        <v>0</v>
      </c>
      <c r="AO165" s="5">
        <f t="shared" ca="1" si="52"/>
        <v>0</v>
      </c>
      <c r="AP165" s="5">
        <f t="shared" ca="1" si="53"/>
        <v>0</v>
      </c>
      <c r="AQ165" s="5">
        <f t="shared" si="54"/>
        <v>0</v>
      </c>
      <c r="AR165" s="60"/>
      <c r="AS165" s="8">
        <f t="shared" si="55"/>
        <v>0</v>
      </c>
      <c r="AT165" s="5">
        <f t="shared" si="56"/>
        <v>0</v>
      </c>
      <c r="AU165" s="8">
        <f t="shared" ca="1" si="57"/>
        <v>0</v>
      </c>
      <c r="AV165" s="8">
        <f t="shared" ca="1" si="58"/>
        <v>0</v>
      </c>
      <c r="AW165" s="5">
        <f t="shared" ca="1" si="59"/>
        <v>0</v>
      </c>
      <c r="AX165" s="5">
        <f t="shared" ca="1" si="60"/>
        <v>0</v>
      </c>
      <c r="AY165" s="5">
        <f t="shared" si="61"/>
        <v>0</v>
      </c>
    </row>
    <row r="166" spans="21:51">
      <c r="U166" s="13"/>
      <c r="Y166" s="13"/>
      <c r="AB166" s="5" t="b">
        <f t="shared" si="40"/>
        <v>0</v>
      </c>
      <c r="AC166" s="60">
        <f t="shared" si="41"/>
        <v>0</v>
      </c>
      <c r="AD166" s="5">
        <f t="shared" si="42"/>
        <v>0</v>
      </c>
      <c r="AE166" s="5">
        <f t="shared" si="43"/>
        <v>0</v>
      </c>
      <c r="AF166" s="5">
        <f t="shared" si="44"/>
        <v>0</v>
      </c>
      <c r="AG166" s="5">
        <f t="shared" si="45"/>
        <v>0</v>
      </c>
      <c r="AH166" s="5">
        <f t="shared" si="46"/>
        <v>0</v>
      </c>
      <c r="AI166" s="5">
        <f t="shared" si="47"/>
        <v>0</v>
      </c>
      <c r="AJ166" s="5">
        <f t="shared" si="48"/>
        <v>0</v>
      </c>
      <c r="AL166" s="5">
        <f t="shared" si="49"/>
        <v>0</v>
      </c>
      <c r="AM166" s="8">
        <f t="shared" ca="1" si="50"/>
        <v>0</v>
      </c>
      <c r="AN166" s="8">
        <f t="shared" ca="1" si="51"/>
        <v>0</v>
      </c>
      <c r="AO166" s="5">
        <f t="shared" ca="1" si="52"/>
        <v>0</v>
      </c>
      <c r="AP166" s="5">
        <f t="shared" ca="1" si="53"/>
        <v>0</v>
      </c>
      <c r="AQ166" s="5">
        <f t="shared" si="54"/>
        <v>0</v>
      </c>
      <c r="AR166" s="60"/>
      <c r="AS166" s="8">
        <f t="shared" si="55"/>
        <v>0</v>
      </c>
      <c r="AT166" s="5">
        <f t="shared" si="56"/>
        <v>0</v>
      </c>
      <c r="AU166" s="8">
        <f t="shared" ca="1" si="57"/>
        <v>0</v>
      </c>
      <c r="AV166" s="8">
        <f t="shared" ca="1" si="58"/>
        <v>0</v>
      </c>
      <c r="AW166" s="5">
        <f t="shared" ca="1" si="59"/>
        <v>0</v>
      </c>
      <c r="AX166" s="5">
        <f t="shared" ca="1" si="60"/>
        <v>0</v>
      </c>
      <c r="AY166" s="5">
        <f t="shared" si="61"/>
        <v>0</v>
      </c>
    </row>
    <row r="167" spans="21:51">
      <c r="U167" s="13"/>
      <c r="Y167" s="13"/>
      <c r="AB167" s="5" t="b">
        <f t="shared" si="40"/>
        <v>0</v>
      </c>
      <c r="AC167" s="60">
        <f t="shared" si="41"/>
        <v>0</v>
      </c>
      <c r="AD167" s="5">
        <f t="shared" si="42"/>
        <v>0</v>
      </c>
      <c r="AE167" s="5">
        <f t="shared" si="43"/>
        <v>0</v>
      </c>
      <c r="AF167" s="5">
        <f t="shared" si="44"/>
        <v>0</v>
      </c>
      <c r="AG167" s="5">
        <f t="shared" si="45"/>
        <v>0</v>
      </c>
      <c r="AH167" s="5">
        <f t="shared" si="46"/>
        <v>0</v>
      </c>
      <c r="AI167" s="5">
        <f t="shared" si="47"/>
        <v>0</v>
      </c>
      <c r="AJ167" s="5">
        <f t="shared" si="48"/>
        <v>0</v>
      </c>
      <c r="AL167" s="5">
        <f t="shared" si="49"/>
        <v>0</v>
      </c>
      <c r="AM167" s="8">
        <f t="shared" ca="1" si="50"/>
        <v>0</v>
      </c>
      <c r="AN167" s="8">
        <f t="shared" ca="1" si="51"/>
        <v>0</v>
      </c>
      <c r="AO167" s="5">
        <f t="shared" ca="1" si="52"/>
        <v>0</v>
      </c>
      <c r="AP167" s="5">
        <f t="shared" ca="1" si="53"/>
        <v>0</v>
      </c>
      <c r="AQ167" s="5">
        <f t="shared" si="54"/>
        <v>0</v>
      </c>
      <c r="AR167" s="60"/>
      <c r="AS167" s="8">
        <f t="shared" si="55"/>
        <v>0</v>
      </c>
      <c r="AT167" s="5">
        <f t="shared" si="56"/>
        <v>0</v>
      </c>
      <c r="AU167" s="8">
        <f t="shared" ca="1" si="57"/>
        <v>0</v>
      </c>
      <c r="AV167" s="8">
        <f t="shared" ca="1" si="58"/>
        <v>0</v>
      </c>
      <c r="AW167" s="5">
        <f t="shared" ca="1" si="59"/>
        <v>0</v>
      </c>
      <c r="AX167" s="5">
        <f t="shared" ca="1" si="60"/>
        <v>0</v>
      </c>
      <c r="AY167" s="5">
        <f t="shared" si="61"/>
        <v>0</v>
      </c>
    </row>
    <row r="168" spans="21:51">
      <c r="U168" s="13"/>
      <c r="Y168" s="13"/>
      <c r="AB168" s="5" t="b">
        <f t="shared" si="40"/>
        <v>0</v>
      </c>
      <c r="AC168" s="60">
        <f t="shared" si="41"/>
        <v>0</v>
      </c>
      <c r="AD168" s="5">
        <f t="shared" si="42"/>
        <v>0</v>
      </c>
      <c r="AE168" s="5">
        <f t="shared" si="43"/>
        <v>0</v>
      </c>
      <c r="AF168" s="5">
        <f t="shared" si="44"/>
        <v>0</v>
      </c>
      <c r="AG168" s="5">
        <f t="shared" si="45"/>
        <v>0</v>
      </c>
      <c r="AH168" s="5">
        <f t="shared" si="46"/>
        <v>0</v>
      </c>
      <c r="AI168" s="5">
        <f t="shared" si="47"/>
        <v>0</v>
      </c>
      <c r="AJ168" s="5">
        <f t="shared" si="48"/>
        <v>0</v>
      </c>
      <c r="AL168" s="5">
        <f t="shared" si="49"/>
        <v>0</v>
      </c>
      <c r="AM168" s="8">
        <f t="shared" ca="1" si="50"/>
        <v>0</v>
      </c>
      <c r="AN168" s="8">
        <f t="shared" ca="1" si="51"/>
        <v>0</v>
      </c>
      <c r="AO168" s="5">
        <f t="shared" ca="1" si="52"/>
        <v>0</v>
      </c>
      <c r="AP168" s="5">
        <f t="shared" ca="1" si="53"/>
        <v>0</v>
      </c>
      <c r="AQ168" s="5">
        <f t="shared" si="54"/>
        <v>0</v>
      </c>
      <c r="AR168" s="60"/>
      <c r="AS168" s="8">
        <f t="shared" si="55"/>
        <v>0</v>
      </c>
      <c r="AT168" s="5">
        <f t="shared" si="56"/>
        <v>0</v>
      </c>
      <c r="AU168" s="8">
        <f t="shared" ca="1" si="57"/>
        <v>0</v>
      </c>
      <c r="AV168" s="8">
        <f t="shared" ca="1" si="58"/>
        <v>0</v>
      </c>
      <c r="AW168" s="5">
        <f t="shared" ca="1" si="59"/>
        <v>0</v>
      </c>
      <c r="AX168" s="5">
        <f t="shared" ca="1" si="60"/>
        <v>0</v>
      </c>
      <c r="AY168" s="5">
        <f t="shared" si="61"/>
        <v>0</v>
      </c>
    </row>
    <row r="169" spans="21:51">
      <c r="U169" s="13"/>
      <c r="Y169" s="13"/>
      <c r="AB169" s="5" t="b">
        <f t="shared" si="40"/>
        <v>0</v>
      </c>
      <c r="AC169" s="60">
        <f t="shared" si="41"/>
        <v>0</v>
      </c>
      <c r="AD169" s="5">
        <f t="shared" si="42"/>
        <v>0</v>
      </c>
      <c r="AE169" s="5">
        <f t="shared" si="43"/>
        <v>0</v>
      </c>
      <c r="AF169" s="5">
        <f t="shared" si="44"/>
        <v>0</v>
      </c>
      <c r="AG169" s="5">
        <f t="shared" si="45"/>
        <v>0</v>
      </c>
      <c r="AH169" s="5">
        <f t="shared" si="46"/>
        <v>0</v>
      </c>
      <c r="AI169" s="5">
        <f t="shared" si="47"/>
        <v>0</v>
      </c>
      <c r="AJ169" s="5">
        <f t="shared" si="48"/>
        <v>0</v>
      </c>
      <c r="AL169" s="5">
        <f t="shared" si="49"/>
        <v>0</v>
      </c>
      <c r="AM169" s="8">
        <f t="shared" ca="1" si="50"/>
        <v>0</v>
      </c>
      <c r="AN169" s="8">
        <f t="shared" ca="1" si="51"/>
        <v>0</v>
      </c>
      <c r="AO169" s="5">
        <f t="shared" ca="1" si="52"/>
        <v>0</v>
      </c>
      <c r="AP169" s="5">
        <f t="shared" ca="1" si="53"/>
        <v>0</v>
      </c>
      <c r="AQ169" s="5">
        <f t="shared" si="54"/>
        <v>0</v>
      </c>
      <c r="AR169" s="60"/>
      <c r="AS169" s="8">
        <f t="shared" si="55"/>
        <v>0</v>
      </c>
      <c r="AT169" s="5">
        <f t="shared" si="56"/>
        <v>0</v>
      </c>
      <c r="AU169" s="8">
        <f t="shared" ca="1" si="57"/>
        <v>0</v>
      </c>
      <c r="AV169" s="8">
        <f t="shared" ca="1" si="58"/>
        <v>0</v>
      </c>
      <c r="AW169" s="5">
        <f t="shared" ca="1" si="59"/>
        <v>0</v>
      </c>
      <c r="AX169" s="5">
        <f t="shared" ca="1" si="60"/>
        <v>0</v>
      </c>
      <c r="AY169" s="5">
        <f t="shared" si="61"/>
        <v>0</v>
      </c>
    </row>
    <row r="170" spans="21:51">
      <c r="U170" s="13"/>
      <c r="Y170" s="13"/>
      <c r="AB170" s="5" t="b">
        <f t="shared" si="40"/>
        <v>0</v>
      </c>
      <c r="AC170" s="60">
        <f t="shared" si="41"/>
        <v>0</v>
      </c>
      <c r="AD170" s="5">
        <f t="shared" si="42"/>
        <v>0</v>
      </c>
      <c r="AE170" s="5">
        <f t="shared" si="43"/>
        <v>0</v>
      </c>
      <c r="AF170" s="5">
        <f t="shared" si="44"/>
        <v>0</v>
      </c>
      <c r="AG170" s="5">
        <f t="shared" si="45"/>
        <v>0</v>
      </c>
      <c r="AH170" s="5">
        <f t="shared" si="46"/>
        <v>0</v>
      </c>
      <c r="AI170" s="5">
        <f t="shared" si="47"/>
        <v>0</v>
      </c>
      <c r="AJ170" s="5">
        <f t="shared" si="48"/>
        <v>0</v>
      </c>
      <c r="AL170" s="5">
        <f t="shared" si="49"/>
        <v>0</v>
      </c>
      <c r="AM170" s="8">
        <f t="shared" ca="1" si="50"/>
        <v>0</v>
      </c>
      <c r="AN170" s="8">
        <f t="shared" ca="1" si="51"/>
        <v>0</v>
      </c>
      <c r="AO170" s="5">
        <f t="shared" ca="1" si="52"/>
        <v>0</v>
      </c>
      <c r="AP170" s="5">
        <f t="shared" ca="1" si="53"/>
        <v>0</v>
      </c>
      <c r="AQ170" s="5">
        <f t="shared" si="54"/>
        <v>0</v>
      </c>
      <c r="AR170" s="60"/>
      <c r="AS170" s="8">
        <f t="shared" si="55"/>
        <v>0</v>
      </c>
      <c r="AT170" s="5">
        <f t="shared" si="56"/>
        <v>0</v>
      </c>
      <c r="AU170" s="8">
        <f t="shared" ca="1" si="57"/>
        <v>0</v>
      </c>
      <c r="AV170" s="8">
        <f t="shared" ca="1" si="58"/>
        <v>0</v>
      </c>
      <c r="AW170" s="5">
        <f t="shared" ca="1" si="59"/>
        <v>0</v>
      </c>
      <c r="AX170" s="5">
        <f t="shared" ca="1" si="60"/>
        <v>0</v>
      </c>
      <c r="AY170" s="5">
        <f t="shared" si="61"/>
        <v>0</v>
      </c>
    </row>
    <row r="171" spans="21:51">
      <c r="U171" s="13"/>
      <c r="Y171" s="13"/>
      <c r="AB171" s="5" t="b">
        <f t="shared" ref="AB171:AB227" si="62">LEN(U171)&gt;2</f>
        <v>0</v>
      </c>
      <c r="AC171" s="60">
        <f t="shared" ref="AC171:AC227" si="63">IF(ISNUMBER(AQ171), AQ171, 0)</f>
        <v>0</v>
      </c>
      <c r="AD171" s="5">
        <f t="shared" ref="AD171:AD227" si="64">IF(ISNUMBER(AY171), AY171, 0)</f>
        <v>0</v>
      </c>
      <c r="AE171" s="5">
        <f t="shared" ref="AE171:AE227" si="65">IF($AB171, (U171-$AD$25)/360, 0)</f>
        <v>0</v>
      </c>
      <c r="AF171" s="5">
        <f t="shared" ref="AF171:AF227" si="66">IF($AB171, survivalProb($AD$27:$AD$35, $AF$27:$AF$35, AE171), 0)</f>
        <v>0</v>
      </c>
      <c r="AG171" s="5">
        <f t="shared" ref="AG171:AG227" si="67">IF($AB171, IF(AD171&lt;0, 0, (AF170-AF171)*100*recovery_bond*AD171), 0)</f>
        <v>0</v>
      </c>
      <c r="AH171" s="5">
        <f t="shared" ref="AH171:AH227" si="68">IF($AB171, IF(AC171&lt;0, 0, AF171*AC171*SUM(V171:W171)/10000), 0)</f>
        <v>0</v>
      </c>
      <c r="AI171" s="5">
        <f t="shared" ref="AI171:AI227" si="69">IF(AND($AB171, NOT($AB172)), AF171*AC171*W171/10000, 0)</f>
        <v>0</v>
      </c>
      <c r="AJ171" s="5">
        <f t="shared" ref="AJ171:AJ227" si="70">IF(AB171,(AF170-AF171)*(1-recovery)*AD171*100, 0)</f>
        <v>0</v>
      </c>
      <c r="AL171" s="5">
        <f t="shared" ref="AL171:AL227" si="71">IF($AB171, MATCH($U171, $Y$42:$Y$294, TRUE), 0)</f>
        <v>0</v>
      </c>
      <c r="AM171" s="8">
        <f t="shared" ref="AM171:AM227" ca="1" si="72">IF($AB171, OFFSET($Y$41, $AL171, 0), 0)</f>
        <v>0</v>
      </c>
      <c r="AN171" s="8">
        <f t="shared" ref="AN171:AN227" ca="1" si="73">IF($AB171, OFFSET($Y$41, $AL171+1, 0), 0)</f>
        <v>0</v>
      </c>
      <c r="AO171" s="5">
        <f t="shared" ref="AO171:AO227" ca="1" si="74">IF($AB171, OFFSET($Z$41, $AL171, 0), 0)</f>
        <v>0</v>
      </c>
      <c r="AP171" s="5">
        <f t="shared" ref="AP171:AP227" ca="1" si="75">IF($AB171, OFFSET($Z$41, $AL171+1, 0), 0)</f>
        <v>0</v>
      </c>
      <c r="AQ171" s="5">
        <f t="shared" ref="AQ171:AQ227" si="76">IF($AB171, TREND(AO171:AP171, AM171:AN171, $U171), 0)</f>
        <v>0</v>
      </c>
      <c r="AR171" s="60"/>
      <c r="AS171" s="8">
        <f t="shared" ref="AS171:AS227" si="77">IF($AB171, AVERAGE($U170:$U171), 0)</f>
        <v>0</v>
      </c>
      <c r="AT171" s="5">
        <f t="shared" ref="AT171:AT227" si="78">IF($AB171, MATCH($AS171, $Y$42:$Y$294, TRUE), 0)</f>
        <v>0</v>
      </c>
      <c r="AU171" s="8">
        <f t="shared" ref="AU171:AU227" ca="1" si="79">IF($AB171, OFFSET($Y$41, $AT171, 0), 0)</f>
        <v>0</v>
      </c>
      <c r="AV171" s="8">
        <f t="shared" ref="AV171:AV227" ca="1" si="80">IF($AB171, OFFSET($Y$41, $AT171+1, 0), 0)</f>
        <v>0</v>
      </c>
      <c r="AW171" s="5">
        <f t="shared" ref="AW171:AW227" ca="1" si="81">IF($AB171, OFFSET($Z$41, $AT171, 0), 0)</f>
        <v>0</v>
      </c>
      <c r="AX171" s="5">
        <f t="shared" ref="AX171:AX227" ca="1" si="82">IF($AB171, OFFSET($Z$41, $AT171+1, 0), 0)</f>
        <v>0</v>
      </c>
      <c r="AY171" s="5">
        <f t="shared" ref="AY171:AY227" si="83">IF($AB171, TREND(AW171:AX171, AU171:AV171, AS171), 0)</f>
        <v>0</v>
      </c>
    </row>
    <row r="172" spans="21:51">
      <c r="U172" s="13"/>
      <c r="Y172" s="13"/>
      <c r="AB172" s="5" t="b">
        <f t="shared" si="62"/>
        <v>0</v>
      </c>
      <c r="AC172" s="60">
        <f t="shared" si="63"/>
        <v>0</v>
      </c>
      <c r="AD172" s="5">
        <f t="shared" si="64"/>
        <v>0</v>
      </c>
      <c r="AE172" s="5">
        <f t="shared" si="65"/>
        <v>0</v>
      </c>
      <c r="AF172" s="5">
        <f t="shared" si="66"/>
        <v>0</v>
      </c>
      <c r="AG172" s="5">
        <f t="shared" si="67"/>
        <v>0</v>
      </c>
      <c r="AH172" s="5">
        <f t="shared" si="68"/>
        <v>0</v>
      </c>
      <c r="AI172" s="5">
        <f t="shared" si="69"/>
        <v>0</v>
      </c>
      <c r="AJ172" s="5">
        <f t="shared" si="70"/>
        <v>0</v>
      </c>
      <c r="AL172" s="5">
        <f t="shared" si="71"/>
        <v>0</v>
      </c>
      <c r="AM172" s="8">
        <f t="shared" ca="1" si="72"/>
        <v>0</v>
      </c>
      <c r="AN172" s="8">
        <f t="shared" ca="1" si="73"/>
        <v>0</v>
      </c>
      <c r="AO172" s="5">
        <f t="shared" ca="1" si="74"/>
        <v>0</v>
      </c>
      <c r="AP172" s="5">
        <f t="shared" ca="1" si="75"/>
        <v>0</v>
      </c>
      <c r="AQ172" s="5">
        <f t="shared" si="76"/>
        <v>0</v>
      </c>
      <c r="AR172" s="60"/>
      <c r="AS172" s="8">
        <f t="shared" si="77"/>
        <v>0</v>
      </c>
      <c r="AT172" s="5">
        <f t="shared" si="78"/>
        <v>0</v>
      </c>
      <c r="AU172" s="8">
        <f t="shared" ca="1" si="79"/>
        <v>0</v>
      </c>
      <c r="AV172" s="8">
        <f t="shared" ca="1" si="80"/>
        <v>0</v>
      </c>
      <c r="AW172" s="5">
        <f t="shared" ca="1" si="81"/>
        <v>0</v>
      </c>
      <c r="AX172" s="5">
        <f t="shared" ca="1" si="82"/>
        <v>0</v>
      </c>
      <c r="AY172" s="5">
        <f t="shared" si="83"/>
        <v>0</v>
      </c>
    </row>
    <row r="173" spans="21:51">
      <c r="U173" s="13"/>
      <c r="Y173" s="13"/>
      <c r="AB173" s="5" t="b">
        <f t="shared" si="62"/>
        <v>0</v>
      </c>
      <c r="AC173" s="60">
        <f t="shared" si="63"/>
        <v>0</v>
      </c>
      <c r="AD173" s="5">
        <f t="shared" si="64"/>
        <v>0</v>
      </c>
      <c r="AE173" s="5">
        <f t="shared" si="65"/>
        <v>0</v>
      </c>
      <c r="AF173" s="5">
        <f t="shared" si="66"/>
        <v>0</v>
      </c>
      <c r="AG173" s="5">
        <f t="shared" si="67"/>
        <v>0</v>
      </c>
      <c r="AH173" s="5">
        <f t="shared" si="68"/>
        <v>0</v>
      </c>
      <c r="AI173" s="5">
        <f t="shared" si="69"/>
        <v>0</v>
      </c>
      <c r="AJ173" s="5">
        <f t="shared" si="70"/>
        <v>0</v>
      </c>
      <c r="AL173" s="5">
        <f t="shared" si="71"/>
        <v>0</v>
      </c>
      <c r="AM173" s="8">
        <f t="shared" ca="1" si="72"/>
        <v>0</v>
      </c>
      <c r="AN173" s="8">
        <f t="shared" ca="1" si="73"/>
        <v>0</v>
      </c>
      <c r="AO173" s="5">
        <f t="shared" ca="1" si="74"/>
        <v>0</v>
      </c>
      <c r="AP173" s="5">
        <f t="shared" ca="1" si="75"/>
        <v>0</v>
      </c>
      <c r="AQ173" s="5">
        <f t="shared" si="76"/>
        <v>0</v>
      </c>
      <c r="AR173" s="60"/>
      <c r="AS173" s="8">
        <f t="shared" si="77"/>
        <v>0</v>
      </c>
      <c r="AT173" s="5">
        <f t="shared" si="78"/>
        <v>0</v>
      </c>
      <c r="AU173" s="8">
        <f t="shared" ca="1" si="79"/>
        <v>0</v>
      </c>
      <c r="AV173" s="8">
        <f t="shared" ca="1" si="80"/>
        <v>0</v>
      </c>
      <c r="AW173" s="5">
        <f t="shared" ca="1" si="81"/>
        <v>0</v>
      </c>
      <c r="AX173" s="5">
        <f t="shared" ca="1" si="82"/>
        <v>0</v>
      </c>
      <c r="AY173" s="5">
        <f t="shared" si="83"/>
        <v>0</v>
      </c>
    </row>
    <row r="174" spans="21:51">
      <c r="U174" s="13"/>
      <c r="Y174" s="13"/>
      <c r="AB174" s="5" t="b">
        <f t="shared" si="62"/>
        <v>0</v>
      </c>
      <c r="AC174" s="60">
        <f t="shared" si="63"/>
        <v>0</v>
      </c>
      <c r="AD174" s="5">
        <f t="shared" si="64"/>
        <v>0</v>
      </c>
      <c r="AE174" s="5">
        <f t="shared" si="65"/>
        <v>0</v>
      </c>
      <c r="AF174" s="5">
        <f t="shared" si="66"/>
        <v>0</v>
      </c>
      <c r="AG174" s="5">
        <f t="shared" si="67"/>
        <v>0</v>
      </c>
      <c r="AH174" s="5">
        <f t="shared" si="68"/>
        <v>0</v>
      </c>
      <c r="AI174" s="5">
        <f t="shared" si="69"/>
        <v>0</v>
      </c>
      <c r="AJ174" s="5">
        <f t="shared" si="70"/>
        <v>0</v>
      </c>
      <c r="AL174" s="5">
        <f t="shared" si="71"/>
        <v>0</v>
      </c>
      <c r="AM174" s="8">
        <f t="shared" ca="1" si="72"/>
        <v>0</v>
      </c>
      <c r="AN174" s="8">
        <f t="shared" ca="1" si="73"/>
        <v>0</v>
      </c>
      <c r="AO174" s="5">
        <f t="shared" ca="1" si="74"/>
        <v>0</v>
      </c>
      <c r="AP174" s="5">
        <f t="shared" ca="1" si="75"/>
        <v>0</v>
      </c>
      <c r="AQ174" s="5">
        <f t="shared" si="76"/>
        <v>0</v>
      </c>
      <c r="AR174" s="60"/>
      <c r="AS174" s="8">
        <f t="shared" si="77"/>
        <v>0</v>
      </c>
      <c r="AT174" s="5">
        <f t="shared" si="78"/>
        <v>0</v>
      </c>
      <c r="AU174" s="8">
        <f t="shared" ca="1" si="79"/>
        <v>0</v>
      </c>
      <c r="AV174" s="8">
        <f t="shared" ca="1" si="80"/>
        <v>0</v>
      </c>
      <c r="AW174" s="5">
        <f t="shared" ca="1" si="81"/>
        <v>0</v>
      </c>
      <c r="AX174" s="5">
        <f t="shared" ca="1" si="82"/>
        <v>0</v>
      </c>
      <c r="AY174" s="5">
        <f t="shared" si="83"/>
        <v>0</v>
      </c>
    </row>
    <row r="175" spans="21:51">
      <c r="U175" s="13"/>
      <c r="Y175" s="13"/>
      <c r="AB175" s="5" t="b">
        <f t="shared" si="62"/>
        <v>0</v>
      </c>
      <c r="AC175" s="60">
        <f t="shared" si="63"/>
        <v>0</v>
      </c>
      <c r="AD175" s="5">
        <f t="shared" si="64"/>
        <v>0</v>
      </c>
      <c r="AE175" s="5">
        <f t="shared" si="65"/>
        <v>0</v>
      </c>
      <c r="AF175" s="5">
        <f t="shared" si="66"/>
        <v>0</v>
      </c>
      <c r="AG175" s="5">
        <f t="shared" si="67"/>
        <v>0</v>
      </c>
      <c r="AH175" s="5">
        <f t="shared" si="68"/>
        <v>0</v>
      </c>
      <c r="AI175" s="5">
        <f t="shared" si="69"/>
        <v>0</v>
      </c>
      <c r="AJ175" s="5">
        <f t="shared" si="70"/>
        <v>0</v>
      </c>
      <c r="AL175" s="5">
        <f t="shared" si="71"/>
        <v>0</v>
      </c>
      <c r="AM175" s="8">
        <f t="shared" ca="1" si="72"/>
        <v>0</v>
      </c>
      <c r="AN175" s="8">
        <f t="shared" ca="1" si="73"/>
        <v>0</v>
      </c>
      <c r="AO175" s="5">
        <f t="shared" ca="1" si="74"/>
        <v>0</v>
      </c>
      <c r="AP175" s="5">
        <f t="shared" ca="1" si="75"/>
        <v>0</v>
      </c>
      <c r="AQ175" s="5">
        <f t="shared" si="76"/>
        <v>0</v>
      </c>
      <c r="AR175" s="60"/>
      <c r="AS175" s="8">
        <f t="shared" si="77"/>
        <v>0</v>
      </c>
      <c r="AT175" s="5">
        <f t="shared" si="78"/>
        <v>0</v>
      </c>
      <c r="AU175" s="8">
        <f t="shared" ca="1" si="79"/>
        <v>0</v>
      </c>
      <c r="AV175" s="8">
        <f t="shared" ca="1" si="80"/>
        <v>0</v>
      </c>
      <c r="AW175" s="5">
        <f t="shared" ca="1" si="81"/>
        <v>0</v>
      </c>
      <c r="AX175" s="5">
        <f t="shared" ca="1" si="82"/>
        <v>0</v>
      </c>
      <c r="AY175" s="5">
        <f t="shared" si="83"/>
        <v>0</v>
      </c>
    </row>
    <row r="176" spans="21:51">
      <c r="U176" s="13"/>
      <c r="Y176" s="13"/>
      <c r="AB176" s="5" t="b">
        <f t="shared" si="62"/>
        <v>0</v>
      </c>
      <c r="AC176" s="60">
        <f t="shared" si="63"/>
        <v>0</v>
      </c>
      <c r="AD176" s="5">
        <f t="shared" si="64"/>
        <v>0</v>
      </c>
      <c r="AE176" s="5">
        <f t="shared" si="65"/>
        <v>0</v>
      </c>
      <c r="AF176" s="5">
        <f t="shared" si="66"/>
        <v>0</v>
      </c>
      <c r="AG176" s="5">
        <f t="shared" si="67"/>
        <v>0</v>
      </c>
      <c r="AH176" s="5">
        <f t="shared" si="68"/>
        <v>0</v>
      </c>
      <c r="AI176" s="5">
        <f t="shared" si="69"/>
        <v>0</v>
      </c>
      <c r="AJ176" s="5">
        <f t="shared" si="70"/>
        <v>0</v>
      </c>
      <c r="AL176" s="5">
        <f t="shared" si="71"/>
        <v>0</v>
      </c>
      <c r="AM176" s="8">
        <f t="shared" ca="1" si="72"/>
        <v>0</v>
      </c>
      <c r="AN176" s="8">
        <f t="shared" ca="1" si="73"/>
        <v>0</v>
      </c>
      <c r="AO176" s="5">
        <f t="shared" ca="1" si="74"/>
        <v>0</v>
      </c>
      <c r="AP176" s="5">
        <f t="shared" ca="1" si="75"/>
        <v>0</v>
      </c>
      <c r="AQ176" s="5">
        <f t="shared" si="76"/>
        <v>0</v>
      </c>
      <c r="AR176" s="60"/>
      <c r="AS176" s="8">
        <f t="shared" si="77"/>
        <v>0</v>
      </c>
      <c r="AT176" s="5">
        <f t="shared" si="78"/>
        <v>0</v>
      </c>
      <c r="AU176" s="8">
        <f t="shared" ca="1" si="79"/>
        <v>0</v>
      </c>
      <c r="AV176" s="8">
        <f t="shared" ca="1" si="80"/>
        <v>0</v>
      </c>
      <c r="AW176" s="5">
        <f t="shared" ca="1" si="81"/>
        <v>0</v>
      </c>
      <c r="AX176" s="5">
        <f t="shared" ca="1" si="82"/>
        <v>0</v>
      </c>
      <c r="AY176" s="5">
        <f t="shared" si="83"/>
        <v>0</v>
      </c>
    </row>
    <row r="177" spans="21:51">
      <c r="U177" s="13"/>
      <c r="Y177" s="13"/>
      <c r="AB177" s="5" t="b">
        <f t="shared" si="62"/>
        <v>0</v>
      </c>
      <c r="AC177" s="60">
        <f t="shared" si="63"/>
        <v>0</v>
      </c>
      <c r="AD177" s="5">
        <f t="shared" si="64"/>
        <v>0</v>
      </c>
      <c r="AE177" s="5">
        <f t="shared" si="65"/>
        <v>0</v>
      </c>
      <c r="AF177" s="5">
        <f t="shared" si="66"/>
        <v>0</v>
      </c>
      <c r="AG177" s="5">
        <f t="shared" si="67"/>
        <v>0</v>
      </c>
      <c r="AH177" s="5">
        <f t="shared" si="68"/>
        <v>0</v>
      </c>
      <c r="AI177" s="5">
        <f t="shared" si="69"/>
        <v>0</v>
      </c>
      <c r="AJ177" s="5">
        <f t="shared" si="70"/>
        <v>0</v>
      </c>
      <c r="AL177" s="5">
        <f t="shared" si="71"/>
        <v>0</v>
      </c>
      <c r="AM177" s="8">
        <f t="shared" ca="1" si="72"/>
        <v>0</v>
      </c>
      <c r="AN177" s="8">
        <f t="shared" ca="1" si="73"/>
        <v>0</v>
      </c>
      <c r="AO177" s="5">
        <f t="shared" ca="1" si="74"/>
        <v>0</v>
      </c>
      <c r="AP177" s="5">
        <f t="shared" ca="1" si="75"/>
        <v>0</v>
      </c>
      <c r="AQ177" s="5">
        <f t="shared" si="76"/>
        <v>0</v>
      </c>
      <c r="AR177" s="60"/>
      <c r="AS177" s="8">
        <f t="shared" si="77"/>
        <v>0</v>
      </c>
      <c r="AT177" s="5">
        <f t="shared" si="78"/>
        <v>0</v>
      </c>
      <c r="AU177" s="8">
        <f t="shared" ca="1" si="79"/>
        <v>0</v>
      </c>
      <c r="AV177" s="8">
        <f t="shared" ca="1" si="80"/>
        <v>0</v>
      </c>
      <c r="AW177" s="5">
        <f t="shared" ca="1" si="81"/>
        <v>0</v>
      </c>
      <c r="AX177" s="5">
        <f t="shared" ca="1" si="82"/>
        <v>0</v>
      </c>
      <c r="AY177" s="5">
        <f t="shared" si="83"/>
        <v>0</v>
      </c>
    </row>
    <row r="178" spans="21:51">
      <c r="U178" s="13"/>
      <c r="Y178" s="13"/>
      <c r="AB178" s="5" t="b">
        <f t="shared" si="62"/>
        <v>0</v>
      </c>
      <c r="AC178" s="60">
        <f t="shared" si="63"/>
        <v>0</v>
      </c>
      <c r="AD178" s="5">
        <f t="shared" si="64"/>
        <v>0</v>
      </c>
      <c r="AE178" s="5">
        <f t="shared" si="65"/>
        <v>0</v>
      </c>
      <c r="AF178" s="5">
        <f t="shared" si="66"/>
        <v>0</v>
      </c>
      <c r="AG178" s="5">
        <f t="shared" si="67"/>
        <v>0</v>
      </c>
      <c r="AH178" s="5">
        <f t="shared" si="68"/>
        <v>0</v>
      </c>
      <c r="AI178" s="5">
        <f t="shared" si="69"/>
        <v>0</v>
      </c>
      <c r="AJ178" s="5">
        <f t="shared" si="70"/>
        <v>0</v>
      </c>
      <c r="AL178" s="5">
        <f t="shared" si="71"/>
        <v>0</v>
      </c>
      <c r="AM178" s="8">
        <f t="shared" ca="1" si="72"/>
        <v>0</v>
      </c>
      <c r="AN178" s="8">
        <f t="shared" ca="1" si="73"/>
        <v>0</v>
      </c>
      <c r="AO178" s="5">
        <f t="shared" ca="1" si="74"/>
        <v>0</v>
      </c>
      <c r="AP178" s="5">
        <f t="shared" ca="1" si="75"/>
        <v>0</v>
      </c>
      <c r="AQ178" s="5">
        <f t="shared" si="76"/>
        <v>0</v>
      </c>
      <c r="AR178" s="60"/>
      <c r="AS178" s="8">
        <f t="shared" si="77"/>
        <v>0</v>
      </c>
      <c r="AT178" s="5">
        <f t="shared" si="78"/>
        <v>0</v>
      </c>
      <c r="AU178" s="8">
        <f t="shared" ca="1" si="79"/>
        <v>0</v>
      </c>
      <c r="AV178" s="8">
        <f t="shared" ca="1" si="80"/>
        <v>0</v>
      </c>
      <c r="AW178" s="5">
        <f t="shared" ca="1" si="81"/>
        <v>0</v>
      </c>
      <c r="AX178" s="5">
        <f t="shared" ca="1" si="82"/>
        <v>0</v>
      </c>
      <c r="AY178" s="5">
        <f t="shared" si="83"/>
        <v>0</v>
      </c>
    </row>
    <row r="179" spans="21:51">
      <c r="U179" s="13"/>
      <c r="Y179" s="13"/>
      <c r="AB179" s="5" t="b">
        <f t="shared" si="62"/>
        <v>0</v>
      </c>
      <c r="AC179" s="60">
        <f t="shared" si="63"/>
        <v>0</v>
      </c>
      <c r="AD179" s="5">
        <f t="shared" si="64"/>
        <v>0</v>
      </c>
      <c r="AE179" s="5">
        <f t="shared" si="65"/>
        <v>0</v>
      </c>
      <c r="AF179" s="5">
        <f t="shared" si="66"/>
        <v>0</v>
      </c>
      <c r="AG179" s="5">
        <f t="shared" si="67"/>
        <v>0</v>
      </c>
      <c r="AH179" s="5">
        <f t="shared" si="68"/>
        <v>0</v>
      </c>
      <c r="AI179" s="5">
        <f t="shared" si="69"/>
        <v>0</v>
      </c>
      <c r="AJ179" s="5">
        <f t="shared" si="70"/>
        <v>0</v>
      </c>
      <c r="AL179" s="5">
        <f t="shared" si="71"/>
        <v>0</v>
      </c>
      <c r="AM179" s="8">
        <f t="shared" ca="1" si="72"/>
        <v>0</v>
      </c>
      <c r="AN179" s="8">
        <f t="shared" ca="1" si="73"/>
        <v>0</v>
      </c>
      <c r="AO179" s="5">
        <f t="shared" ca="1" si="74"/>
        <v>0</v>
      </c>
      <c r="AP179" s="5">
        <f t="shared" ca="1" si="75"/>
        <v>0</v>
      </c>
      <c r="AQ179" s="5">
        <f t="shared" si="76"/>
        <v>0</v>
      </c>
      <c r="AR179" s="60"/>
      <c r="AS179" s="8">
        <f t="shared" si="77"/>
        <v>0</v>
      </c>
      <c r="AT179" s="5">
        <f t="shared" si="78"/>
        <v>0</v>
      </c>
      <c r="AU179" s="8">
        <f t="shared" ca="1" si="79"/>
        <v>0</v>
      </c>
      <c r="AV179" s="8">
        <f t="shared" ca="1" si="80"/>
        <v>0</v>
      </c>
      <c r="AW179" s="5">
        <f t="shared" ca="1" si="81"/>
        <v>0</v>
      </c>
      <c r="AX179" s="5">
        <f t="shared" ca="1" si="82"/>
        <v>0</v>
      </c>
      <c r="AY179" s="5">
        <f t="shared" si="83"/>
        <v>0</v>
      </c>
    </row>
    <row r="180" spans="21:51">
      <c r="U180" s="13"/>
      <c r="Y180" s="13"/>
      <c r="AB180" s="5" t="b">
        <f t="shared" si="62"/>
        <v>0</v>
      </c>
      <c r="AC180" s="60">
        <f t="shared" si="63"/>
        <v>0</v>
      </c>
      <c r="AD180" s="5">
        <f t="shared" si="64"/>
        <v>0</v>
      </c>
      <c r="AE180" s="5">
        <f t="shared" si="65"/>
        <v>0</v>
      </c>
      <c r="AF180" s="5">
        <f t="shared" si="66"/>
        <v>0</v>
      </c>
      <c r="AG180" s="5">
        <f t="shared" si="67"/>
        <v>0</v>
      </c>
      <c r="AH180" s="5">
        <f t="shared" si="68"/>
        <v>0</v>
      </c>
      <c r="AI180" s="5">
        <f t="shared" si="69"/>
        <v>0</v>
      </c>
      <c r="AJ180" s="5">
        <f t="shared" si="70"/>
        <v>0</v>
      </c>
      <c r="AL180" s="5">
        <f t="shared" si="71"/>
        <v>0</v>
      </c>
      <c r="AM180" s="8">
        <f t="shared" ca="1" si="72"/>
        <v>0</v>
      </c>
      <c r="AN180" s="8">
        <f t="shared" ca="1" si="73"/>
        <v>0</v>
      </c>
      <c r="AO180" s="5">
        <f t="shared" ca="1" si="74"/>
        <v>0</v>
      </c>
      <c r="AP180" s="5">
        <f t="shared" ca="1" si="75"/>
        <v>0</v>
      </c>
      <c r="AQ180" s="5">
        <f t="shared" si="76"/>
        <v>0</v>
      </c>
      <c r="AR180" s="60"/>
      <c r="AS180" s="8">
        <f t="shared" si="77"/>
        <v>0</v>
      </c>
      <c r="AT180" s="5">
        <f t="shared" si="78"/>
        <v>0</v>
      </c>
      <c r="AU180" s="8">
        <f t="shared" ca="1" si="79"/>
        <v>0</v>
      </c>
      <c r="AV180" s="8">
        <f t="shared" ca="1" si="80"/>
        <v>0</v>
      </c>
      <c r="AW180" s="5">
        <f t="shared" ca="1" si="81"/>
        <v>0</v>
      </c>
      <c r="AX180" s="5">
        <f t="shared" ca="1" si="82"/>
        <v>0</v>
      </c>
      <c r="AY180" s="5">
        <f t="shared" si="83"/>
        <v>0</v>
      </c>
    </row>
    <row r="181" spans="21:51">
      <c r="U181" s="13"/>
      <c r="Y181" s="13"/>
      <c r="AB181" s="5" t="b">
        <f t="shared" si="62"/>
        <v>0</v>
      </c>
      <c r="AC181" s="60">
        <f t="shared" si="63"/>
        <v>0</v>
      </c>
      <c r="AD181" s="5">
        <f t="shared" si="64"/>
        <v>0</v>
      </c>
      <c r="AE181" s="5">
        <f t="shared" si="65"/>
        <v>0</v>
      </c>
      <c r="AF181" s="5">
        <f t="shared" si="66"/>
        <v>0</v>
      </c>
      <c r="AG181" s="5">
        <f t="shared" si="67"/>
        <v>0</v>
      </c>
      <c r="AH181" s="5">
        <f t="shared" si="68"/>
        <v>0</v>
      </c>
      <c r="AI181" s="5">
        <f t="shared" si="69"/>
        <v>0</v>
      </c>
      <c r="AJ181" s="5">
        <f t="shared" si="70"/>
        <v>0</v>
      </c>
      <c r="AL181" s="5">
        <f t="shared" si="71"/>
        <v>0</v>
      </c>
      <c r="AM181" s="8">
        <f t="shared" ca="1" si="72"/>
        <v>0</v>
      </c>
      <c r="AN181" s="8">
        <f t="shared" ca="1" si="73"/>
        <v>0</v>
      </c>
      <c r="AO181" s="5">
        <f t="shared" ca="1" si="74"/>
        <v>0</v>
      </c>
      <c r="AP181" s="5">
        <f t="shared" ca="1" si="75"/>
        <v>0</v>
      </c>
      <c r="AQ181" s="5">
        <f t="shared" si="76"/>
        <v>0</v>
      </c>
      <c r="AR181" s="60"/>
      <c r="AS181" s="8">
        <f t="shared" si="77"/>
        <v>0</v>
      </c>
      <c r="AT181" s="5">
        <f t="shared" si="78"/>
        <v>0</v>
      </c>
      <c r="AU181" s="8">
        <f t="shared" ca="1" si="79"/>
        <v>0</v>
      </c>
      <c r="AV181" s="8">
        <f t="shared" ca="1" si="80"/>
        <v>0</v>
      </c>
      <c r="AW181" s="5">
        <f t="shared" ca="1" si="81"/>
        <v>0</v>
      </c>
      <c r="AX181" s="5">
        <f t="shared" ca="1" si="82"/>
        <v>0</v>
      </c>
      <c r="AY181" s="5">
        <f t="shared" si="83"/>
        <v>0</v>
      </c>
    </row>
    <row r="182" spans="21:51">
      <c r="U182" s="13"/>
      <c r="Y182" s="13"/>
      <c r="AB182" s="5" t="b">
        <f t="shared" si="62"/>
        <v>0</v>
      </c>
      <c r="AC182" s="60">
        <f t="shared" si="63"/>
        <v>0</v>
      </c>
      <c r="AD182" s="5">
        <f t="shared" si="64"/>
        <v>0</v>
      </c>
      <c r="AE182" s="5">
        <f t="shared" si="65"/>
        <v>0</v>
      </c>
      <c r="AF182" s="5">
        <f t="shared" si="66"/>
        <v>0</v>
      </c>
      <c r="AG182" s="5">
        <f t="shared" si="67"/>
        <v>0</v>
      </c>
      <c r="AH182" s="5">
        <f t="shared" si="68"/>
        <v>0</v>
      </c>
      <c r="AI182" s="5">
        <f t="shared" si="69"/>
        <v>0</v>
      </c>
      <c r="AJ182" s="5">
        <f t="shared" si="70"/>
        <v>0</v>
      </c>
      <c r="AL182" s="5">
        <f t="shared" si="71"/>
        <v>0</v>
      </c>
      <c r="AM182" s="8">
        <f t="shared" ca="1" si="72"/>
        <v>0</v>
      </c>
      <c r="AN182" s="8">
        <f t="shared" ca="1" si="73"/>
        <v>0</v>
      </c>
      <c r="AO182" s="5">
        <f t="shared" ca="1" si="74"/>
        <v>0</v>
      </c>
      <c r="AP182" s="5">
        <f t="shared" ca="1" si="75"/>
        <v>0</v>
      </c>
      <c r="AQ182" s="5">
        <f t="shared" si="76"/>
        <v>0</v>
      </c>
      <c r="AR182" s="60"/>
      <c r="AS182" s="8">
        <f t="shared" si="77"/>
        <v>0</v>
      </c>
      <c r="AT182" s="5">
        <f t="shared" si="78"/>
        <v>0</v>
      </c>
      <c r="AU182" s="8">
        <f t="shared" ca="1" si="79"/>
        <v>0</v>
      </c>
      <c r="AV182" s="8">
        <f t="shared" ca="1" si="80"/>
        <v>0</v>
      </c>
      <c r="AW182" s="5">
        <f t="shared" ca="1" si="81"/>
        <v>0</v>
      </c>
      <c r="AX182" s="5">
        <f t="shared" ca="1" si="82"/>
        <v>0</v>
      </c>
      <c r="AY182" s="5">
        <f t="shared" si="83"/>
        <v>0</v>
      </c>
    </row>
    <row r="183" spans="21:51">
      <c r="U183" s="13"/>
      <c r="Y183" s="13"/>
      <c r="AB183" s="5" t="b">
        <f t="shared" si="62"/>
        <v>0</v>
      </c>
      <c r="AC183" s="60">
        <f t="shared" si="63"/>
        <v>0</v>
      </c>
      <c r="AD183" s="5">
        <f t="shared" si="64"/>
        <v>0</v>
      </c>
      <c r="AE183" s="5">
        <f t="shared" si="65"/>
        <v>0</v>
      </c>
      <c r="AF183" s="5">
        <f t="shared" si="66"/>
        <v>0</v>
      </c>
      <c r="AG183" s="5">
        <f t="shared" si="67"/>
        <v>0</v>
      </c>
      <c r="AH183" s="5">
        <f t="shared" si="68"/>
        <v>0</v>
      </c>
      <c r="AI183" s="5">
        <f t="shared" si="69"/>
        <v>0</v>
      </c>
      <c r="AJ183" s="5">
        <f t="shared" si="70"/>
        <v>0</v>
      </c>
      <c r="AL183" s="5">
        <f t="shared" si="71"/>
        <v>0</v>
      </c>
      <c r="AM183" s="8">
        <f t="shared" ca="1" si="72"/>
        <v>0</v>
      </c>
      <c r="AN183" s="8">
        <f t="shared" ca="1" si="73"/>
        <v>0</v>
      </c>
      <c r="AO183" s="5">
        <f t="shared" ca="1" si="74"/>
        <v>0</v>
      </c>
      <c r="AP183" s="5">
        <f t="shared" ca="1" si="75"/>
        <v>0</v>
      </c>
      <c r="AQ183" s="5">
        <f t="shared" si="76"/>
        <v>0</v>
      </c>
      <c r="AR183" s="60"/>
      <c r="AS183" s="8">
        <f t="shared" si="77"/>
        <v>0</v>
      </c>
      <c r="AT183" s="5">
        <f t="shared" si="78"/>
        <v>0</v>
      </c>
      <c r="AU183" s="8">
        <f t="shared" ca="1" si="79"/>
        <v>0</v>
      </c>
      <c r="AV183" s="8">
        <f t="shared" ca="1" si="80"/>
        <v>0</v>
      </c>
      <c r="AW183" s="5">
        <f t="shared" ca="1" si="81"/>
        <v>0</v>
      </c>
      <c r="AX183" s="5">
        <f t="shared" ca="1" si="82"/>
        <v>0</v>
      </c>
      <c r="AY183" s="5">
        <f t="shared" si="83"/>
        <v>0</v>
      </c>
    </row>
    <row r="184" spans="21:51">
      <c r="U184" s="13"/>
      <c r="Y184" s="13"/>
      <c r="AB184" s="5" t="b">
        <f t="shared" si="62"/>
        <v>0</v>
      </c>
      <c r="AC184" s="60">
        <f t="shared" si="63"/>
        <v>0</v>
      </c>
      <c r="AD184" s="5">
        <f t="shared" si="64"/>
        <v>0</v>
      </c>
      <c r="AE184" s="5">
        <f t="shared" si="65"/>
        <v>0</v>
      </c>
      <c r="AF184" s="5">
        <f t="shared" si="66"/>
        <v>0</v>
      </c>
      <c r="AG184" s="5">
        <f t="shared" si="67"/>
        <v>0</v>
      </c>
      <c r="AH184" s="5">
        <f t="shared" si="68"/>
        <v>0</v>
      </c>
      <c r="AI184" s="5">
        <f t="shared" si="69"/>
        <v>0</v>
      </c>
      <c r="AJ184" s="5">
        <f t="shared" si="70"/>
        <v>0</v>
      </c>
      <c r="AL184" s="5">
        <f t="shared" si="71"/>
        <v>0</v>
      </c>
      <c r="AM184" s="8">
        <f t="shared" ca="1" si="72"/>
        <v>0</v>
      </c>
      <c r="AN184" s="8">
        <f t="shared" ca="1" si="73"/>
        <v>0</v>
      </c>
      <c r="AO184" s="5">
        <f t="shared" ca="1" si="74"/>
        <v>0</v>
      </c>
      <c r="AP184" s="5">
        <f t="shared" ca="1" si="75"/>
        <v>0</v>
      </c>
      <c r="AQ184" s="5">
        <f t="shared" si="76"/>
        <v>0</v>
      </c>
      <c r="AR184" s="60"/>
      <c r="AS184" s="8">
        <f t="shared" si="77"/>
        <v>0</v>
      </c>
      <c r="AT184" s="5">
        <f t="shared" si="78"/>
        <v>0</v>
      </c>
      <c r="AU184" s="8">
        <f t="shared" ca="1" si="79"/>
        <v>0</v>
      </c>
      <c r="AV184" s="8">
        <f t="shared" ca="1" si="80"/>
        <v>0</v>
      </c>
      <c r="AW184" s="5">
        <f t="shared" ca="1" si="81"/>
        <v>0</v>
      </c>
      <c r="AX184" s="5">
        <f t="shared" ca="1" si="82"/>
        <v>0</v>
      </c>
      <c r="AY184" s="5">
        <f t="shared" si="83"/>
        <v>0</v>
      </c>
    </row>
    <row r="185" spans="21:51">
      <c r="U185" s="13"/>
      <c r="Y185" s="13"/>
      <c r="AB185" s="5" t="b">
        <f t="shared" si="62"/>
        <v>0</v>
      </c>
      <c r="AC185" s="60">
        <f t="shared" si="63"/>
        <v>0</v>
      </c>
      <c r="AD185" s="5">
        <f t="shared" si="64"/>
        <v>0</v>
      </c>
      <c r="AE185" s="5">
        <f t="shared" si="65"/>
        <v>0</v>
      </c>
      <c r="AF185" s="5">
        <f t="shared" si="66"/>
        <v>0</v>
      </c>
      <c r="AG185" s="5">
        <f t="shared" si="67"/>
        <v>0</v>
      </c>
      <c r="AH185" s="5">
        <f t="shared" si="68"/>
        <v>0</v>
      </c>
      <c r="AI185" s="5">
        <f t="shared" si="69"/>
        <v>0</v>
      </c>
      <c r="AJ185" s="5">
        <f t="shared" si="70"/>
        <v>0</v>
      </c>
      <c r="AL185" s="5">
        <f t="shared" si="71"/>
        <v>0</v>
      </c>
      <c r="AM185" s="8">
        <f t="shared" ca="1" si="72"/>
        <v>0</v>
      </c>
      <c r="AN185" s="8">
        <f t="shared" ca="1" si="73"/>
        <v>0</v>
      </c>
      <c r="AO185" s="5">
        <f t="shared" ca="1" si="74"/>
        <v>0</v>
      </c>
      <c r="AP185" s="5">
        <f t="shared" ca="1" si="75"/>
        <v>0</v>
      </c>
      <c r="AQ185" s="5">
        <f t="shared" si="76"/>
        <v>0</v>
      </c>
      <c r="AR185" s="60"/>
      <c r="AS185" s="8">
        <f t="shared" si="77"/>
        <v>0</v>
      </c>
      <c r="AT185" s="5">
        <f t="shared" si="78"/>
        <v>0</v>
      </c>
      <c r="AU185" s="8">
        <f t="shared" ca="1" si="79"/>
        <v>0</v>
      </c>
      <c r="AV185" s="8">
        <f t="shared" ca="1" si="80"/>
        <v>0</v>
      </c>
      <c r="AW185" s="5">
        <f t="shared" ca="1" si="81"/>
        <v>0</v>
      </c>
      <c r="AX185" s="5">
        <f t="shared" ca="1" si="82"/>
        <v>0</v>
      </c>
      <c r="AY185" s="5">
        <f t="shared" si="83"/>
        <v>0</v>
      </c>
    </row>
    <row r="186" spans="21:51">
      <c r="U186" s="13"/>
      <c r="Y186" s="13"/>
      <c r="AB186" s="5" t="b">
        <f t="shared" si="62"/>
        <v>0</v>
      </c>
      <c r="AC186" s="60">
        <f t="shared" si="63"/>
        <v>0</v>
      </c>
      <c r="AD186" s="5">
        <f t="shared" si="64"/>
        <v>0</v>
      </c>
      <c r="AE186" s="5">
        <f t="shared" si="65"/>
        <v>0</v>
      </c>
      <c r="AF186" s="5">
        <f t="shared" si="66"/>
        <v>0</v>
      </c>
      <c r="AG186" s="5">
        <f t="shared" si="67"/>
        <v>0</v>
      </c>
      <c r="AH186" s="5">
        <f t="shared" si="68"/>
        <v>0</v>
      </c>
      <c r="AI186" s="5">
        <f t="shared" si="69"/>
        <v>0</v>
      </c>
      <c r="AJ186" s="5">
        <f t="shared" si="70"/>
        <v>0</v>
      </c>
      <c r="AL186" s="5">
        <f t="shared" si="71"/>
        <v>0</v>
      </c>
      <c r="AM186" s="8">
        <f t="shared" ca="1" si="72"/>
        <v>0</v>
      </c>
      <c r="AN186" s="8">
        <f t="shared" ca="1" si="73"/>
        <v>0</v>
      </c>
      <c r="AO186" s="5">
        <f t="shared" ca="1" si="74"/>
        <v>0</v>
      </c>
      <c r="AP186" s="5">
        <f t="shared" ca="1" si="75"/>
        <v>0</v>
      </c>
      <c r="AQ186" s="5">
        <f t="shared" si="76"/>
        <v>0</v>
      </c>
      <c r="AR186" s="60"/>
      <c r="AS186" s="8">
        <f t="shared" si="77"/>
        <v>0</v>
      </c>
      <c r="AT186" s="5">
        <f t="shared" si="78"/>
        <v>0</v>
      </c>
      <c r="AU186" s="8">
        <f t="shared" ca="1" si="79"/>
        <v>0</v>
      </c>
      <c r="AV186" s="8">
        <f t="shared" ca="1" si="80"/>
        <v>0</v>
      </c>
      <c r="AW186" s="5">
        <f t="shared" ca="1" si="81"/>
        <v>0</v>
      </c>
      <c r="AX186" s="5">
        <f t="shared" ca="1" si="82"/>
        <v>0</v>
      </c>
      <c r="AY186" s="5">
        <f t="shared" si="83"/>
        <v>0</v>
      </c>
    </row>
    <row r="187" spans="21:51">
      <c r="U187" s="13"/>
      <c r="Y187" s="13"/>
      <c r="AB187" s="5" t="b">
        <f t="shared" si="62"/>
        <v>0</v>
      </c>
      <c r="AC187" s="60">
        <f t="shared" si="63"/>
        <v>0</v>
      </c>
      <c r="AD187" s="5">
        <f t="shared" si="64"/>
        <v>0</v>
      </c>
      <c r="AE187" s="5">
        <f t="shared" si="65"/>
        <v>0</v>
      </c>
      <c r="AF187" s="5">
        <f t="shared" si="66"/>
        <v>0</v>
      </c>
      <c r="AG187" s="5">
        <f t="shared" si="67"/>
        <v>0</v>
      </c>
      <c r="AH187" s="5">
        <f t="shared" si="68"/>
        <v>0</v>
      </c>
      <c r="AI187" s="5">
        <f t="shared" si="69"/>
        <v>0</v>
      </c>
      <c r="AJ187" s="5">
        <f t="shared" si="70"/>
        <v>0</v>
      </c>
      <c r="AL187" s="5">
        <f t="shared" si="71"/>
        <v>0</v>
      </c>
      <c r="AM187" s="8">
        <f t="shared" ca="1" si="72"/>
        <v>0</v>
      </c>
      <c r="AN187" s="8">
        <f t="shared" ca="1" si="73"/>
        <v>0</v>
      </c>
      <c r="AO187" s="5">
        <f t="shared" ca="1" si="74"/>
        <v>0</v>
      </c>
      <c r="AP187" s="5">
        <f t="shared" ca="1" si="75"/>
        <v>0</v>
      </c>
      <c r="AQ187" s="5">
        <f t="shared" si="76"/>
        <v>0</v>
      </c>
      <c r="AR187" s="60"/>
      <c r="AS187" s="8">
        <f t="shared" si="77"/>
        <v>0</v>
      </c>
      <c r="AT187" s="5">
        <f t="shared" si="78"/>
        <v>0</v>
      </c>
      <c r="AU187" s="8">
        <f t="shared" ca="1" si="79"/>
        <v>0</v>
      </c>
      <c r="AV187" s="8">
        <f t="shared" ca="1" si="80"/>
        <v>0</v>
      </c>
      <c r="AW187" s="5">
        <f t="shared" ca="1" si="81"/>
        <v>0</v>
      </c>
      <c r="AX187" s="5">
        <f t="shared" ca="1" si="82"/>
        <v>0</v>
      </c>
      <c r="AY187" s="5">
        <f t="shared" si="83"/>
        <v>0</v>
      </c>
    </row>
    <row r="188" spans="21:51">
      <c r="U188" s="13"/>
      <c r="Y188" s="13"/>
      <c r="AB188" s="5" t="b">
        <f t="shared" si="62"/>
        <v>0</v>
      </c>
      <c r="AC188" s="60">
        <f t="shared" si="63"/>
        <v>0</v>
      </c>
      <c r="AD188" s="5">
        <f t="shared" si="64"/>
        <v>0</v>
      </c>
      <c r="AE188" s="5">
        <f t="shared" si="65"/>
        <v>0</v>
      </c>
      <c r="AF188" s="5">
        <f t="shared" si="66"/>
        <v>0</v>
      </c>
      <c r="AG188" s="5">
        <f t="shared" si="67"/>
        <v>0</v>
      </c>
      <c r="AH188" s="5">
        <f t="shared" si="68"/>
        <v>0</v>
      </c>
      <c r="AI188" s="5">
        <f t="shared" si="69"/>
        <v>0</v>
      </c>
      <c r="AJ188" s="5">
        <f t="shared" si="70"/>
        <v>0</v>
      </c>
      <c r="AL188" s="5">
        <f t="shared" si="71"/>
        <v>0</v>
      </c>
      <c r="AM188" s="8">
        <f t="shared" ca="1" si="72"/>
        <v>0</v>
      </c>
      <c r="AN188" s="8">
        <f t="shared" ca="1" si="73"/>
        <v>0</v>
      </c>
      <c r="AO188" s="5">
        <f t="shared" ca="1" si="74"/>
        <v>0</v>
      </c>
      <c r="AP188" s="5">
        <f t="shared" ca="1" si="75"/>
        <v>0</v>
      </c>
      <c r="AQ188" s="5">
        <f t="shared" si="76"/>
        <v>0</v>
      </c>
      <c r="AR188" s="60"/>
      <c r="AS188" s="8">
        <f t="shared" si="77"/>
        <v>0</v>
      </c>
      <c r="AT188" s="5">
        <f t="shared" si="78"/>
        <v>0</v>
      </c>
      <c r="AU188" s="8">
        <f t="shared" ca="1" si="79"/>
        <v>0</v>
      </c>
      <c r="AV188" s="8">
        <f t="shared" ca="1" si="80"/>
        <v>0</v>
      </c>
      <c r="AW188" s="5">
        <f t="shared" ca="1" si="81"/>
        <v>0</v>
      </c>
      <c r="AX188" s="5">
        <f t="shared" ca="1" si="82"/>
        <v>0</v>
      </c>
      <c r="AY188" s="5">
        <f t="shared" si="83"/>
        <v>0</v>
      </c>
    </row>
    <row r="189" spans="21:51">
      <c r="U189" s="13"/>
      <c r="Y189" s="13"/>
      <c r="AB189" s="5" t="b">
        <f t="shared" si="62"/>
        <v>0</v>
      </c>
      <c r="AC189" s="60">
        <f t="shared" si="63"/>
        <v>0</v>
      </c>
      <c r="AD189" s="5">
        <f t="shared" si="64"/>
        <v>0</v>
      </c>
      <c r="AE189" s="5">
        <f t="shared" si="65"/>
        <v>0</v>
      </c>
      <c r="AF189" s="5">
        <f t="shared" si="66"/>
        <v>0</v>
      </c>
      <c r="AG189" s="5">
        <f t="shared" si="67"/>
        <v>0</v>
      </c>
      <c r="AH189" s="5">
        <f t="shared" si="68"/>
        <v>0</v>
      </c>
      <c r="AI189" s="5">
        <f t="shared" si="69"/>
        <v>0</v>
      </c>
      <c r="AJ189" s="5">
        <f t="shared" si="70"/>
        <v>0</v>
      </c>
      <c r="AL189" s="5">
        <f t="shared" si="71"/>
        <v>0</v>
      </c>
      <c r="AM189" s="8">
        <f t="shared" ca="1" si="72"/>
        <v>0</v>
      </c>
      <c r="AN189" s="8">
        <f t="shared" ca="1" si="73"/>
        <v>0</v>
      </c>
      <c r="AO189" s="5">
        <f t="shared" ca="1" si="74"/>
        <v>0</v>
      </c>
      <c r="AP189" s="5">
        <f t="shared" ca="1" si="75"/>
        <v>0</v>
      </c>
      <c r="AQ189" s="5">
        <f t="shared" si="76"/>
        <v>0</v>
      </c>
      <c r="AR189" s="60"/>
      <c r="AS189" s="8">
        <f t="shared" si="77"/>
        <v>0</v>
      </c>
      <c r="AT189" s="5">
        <f t="shared" si="78"/>
        <v>0</v>
      </c>
      <c r="AU189" s="8">
        <f t="shared" ca="1" si="79"/>
        <v>0</v>
      </c>
      <c r="AV189" s="8">
        <f t="shared" ca="1" si="80"/>
        <v>0</v>
      </c>
      <c r="AW189" s="5">
        <f t="shared" ca="1" si="81"/>
        <v>0</v>
      </c>
      <c r="AX189" s="5">
        <f t="shared" ca="1" si="82"/>
        <v>0</v>
      </c>
      <c r="AY189" s="5">
        <f t="shared" si="83"/>
        <v>0</v>
      </c>
    </row>
    <row r="190" spans="21:51">
      <c r="U190" s="13"/>
      <c r="Y190" s="13"/>
      <c r="AB190" s="5" t="b">
        <f t="shared" si="62"/>
        <v>0</v>
      </c>
      <c r="AC190" s="60">
        <f t="shared" si="63"/>
        <v>0</v>
      </c>
      <c r="AD190" s="5">
        <f t="shared" si="64"/>
        <v>0</v>
      </c>
      <c r="AE190" s="5">
        <f t="shared" si="65"/>
        <v>0</v>
      </c>
      <c r="AF190" s="5">
        <f t="shared" si="66"/>
        <v>0</v>
      </c>
      <c r="AG190" s="5">
        <f t="shared" si="67"/>
        <v>0</v>
      </c>
      <c r="AH190" s="5">
        <f t="shared" si="68"/>
        <v>0</v>
      </c>
      <c r="AI190" s="5">
        <f t="shared" si="69"/>
        <v>0</v>
      </c>
      <c r="AJ190" s="5">
        <f t="shared" si="70"/>
        <v>0</v>
      </c>
      <c r="AL190" s="5">
        <f t="shared" si="71"/>
        <v>0</v>
      </c>
      <c r="AM190" s="8">
        <f t="shared" ca="1" si="72"/>
        <v>0</v>
      </c>
      <c r="AN190" s="8">
        <f t="shared" ca="1" si="73"/>
        <v>0</v>
      </c>
      <c r="AO190" s="5">
        <f t="shared" ca="1" si="74"/>
        <v>0</v>
      </c>
      <c r="AP190" s="5">
        <f t="shared" ca="1" si="75"/>
        <v>0</v>
      </c>
      <c r="AQ190" s="5">
        <f t="shared" si="76"/>
        <v>0</v>
      </c>
      <c r="AR190" s="60"/>
      <c r="AS190" s="8">
        <f t="shared" si="77"/>
        <v>0</v>
      </c>
      <c r="AT190" s="5">
        <f t="shared" si="78"/>
        <v>0</v>
      </c>
      <c r="AU190" s="8">
        <f t="shared" ca="1" si="79"/>
        <v>0</v>
      </c>
      <c r="AV190" s="8">
        <f t="shared" ca="1" si="80"/>
        <v>0</v>
      </c>
      <c r="AW190" s="5">
        <f t="shared" ca="1" si="81"/>
        <v>0</v>
      </c>
      <c r="AX190" s="5">
        <f t="shared" ca="1" si="82"/>
        <v>0</v>
      </c>
      <c r="AY190" s="5">
        <f t="shared" si="83"/>
        <v>0</v>
      </c>
    </row>
    <row r="191" spans="21:51">
      <c r="U191" s="13"/>
      <c r="Y191" s="13"/>
      <c r="AB191" s="5" t="b">
        <f t="shared" si="62"/>
        <v>0</v>
      </c>
      <c r="AC191" s="60">
        <f t="shared" si="63"/>
        <v>0</v>
      </c>
      <c r="AD191" s="5">
        <f t="shared" si="64"/>
        <v>0</v>
      </c>
      <c r="AE191" s="5">
        <f t="shared" si="65"/>
        <v>0</v>
      </c>
      <c r="AF191" s="5">
        <f t="shared" si="66"/>
        <v>0</v>
      </c>
      <c r="AG191" s="5">
        <f t="shared" si="67"/>
        <v>0</v>
      </c>
      <c r="AH191" s="5">
        <f t="shared" si="68"/>
        <v>0</v>
      </c>
      <c r="AI191" s="5">
        <f t="shared" si="69"/>
        <v>0</v>
      </c>
      <c r="AJ191" s="5">
        <f t="shared" si="70"/>
        <v>0</v>
      </c>
      <c r="AL191" s="5">
        <f t="shared" si="71"/>
        <v>0</v>
      </c>
      <c r="AM191" s="8">
        <f t="shared" ca="1" si="72"/>
        <v>0</v>
      </c>
      <c r="AN191" s="8">
        <f t="shared" ca="1" si="73"/>
        <v>0</v>
      </c>
      <c r="AO191" s="5">
        <f t="shared" ca="1" si="74"/>
        <v>0</v>
      </c>
      <c r="AP191" s="5">
        <f t="shared" ca="1" si="75"/>
        <v>0</v>
      </c>
      <c r="AQ191" s="5">
        <f t="shared" si="76"/>
        <v>0</v>
      </c>
      <c r="AR191" s="60"/>
      <c r="AS191" s="8">
        <f t="shared" si="77"/>
        <v>0</v>
      </c>
      <c r="AT191" s="5">
        <f t="shared" si="78"/>
        <v>0</v>
      </c>
      <c r="AU191" s="8">
        <f t="shared" ca="1" si="79"/>
        <v>0</v>
      </c>
      <c r="AV191" s="8">
        <f t="shared" ca="1" si="80"/>
        <v>0</v>
      </c>
      <c r="AW191" s="5">
        <f t="shared" ca="1" si="81"/>
        <v>0</v>
      </c>
      <c r="AX191" s="5">
        <f t="shared" ca="1" si="82"/>
        <v>0</v>
      </c>
      <c r="AY191" s="5">
        <f t="shared" si="83"/>
        <v>0</v>
      </c>
    </row>
    <row r="192" spans="21:51">
      <c r="U192" s="13"/>
      <c r="Y192" s="13"/>
      <c r="AB192" s="5" t="b">
        <f t="shared" si="62"/>
        <v>0</v>
      </c>
      <c r="AC192" s="60">
        <f t="shared" si="63"/>
        <v>0</v>
      </c>
      <c r="AD192" s="5">
        <f t="shared" si="64"/>
        <v>0</v>
      </c>
      <c r="AE192" s="5">
        <f t="shared" si="65"/>
        <v>0</v>
      </c>
      <c r="AF192" s="5">
        <f t="shared" si="66"/>
        <v>0</v>
      </c>
      <c r="AG192" s="5">
        <f t="shared" si="67"/>
        <v>0</v>
      </c>
      <c r="AH192" s="5">
        <f t="shared" si="68"/>
        <v>0</v>
      </c>
      <c r="AI192" s="5">
        <f t="shared" si="69"/>
        <v>0</v>
      </c>
      <c r="AJ192" s="5">
        <f t="shared" si="70"/>
        <v>0</v>
      </c>
      <c r="AL192" s="5">
        <f t="shared" si="71"/>
        <v>0</v>
      </c>
      <c r="AM192" s="8">
        <f t="shared" ca="1" si="72"/>
        <v>0</v>
      </c>
      <c r="AN192" s="8">
        <f t="shared" ca="1" si="73"/>
        <v>0</v>
      </c>
      <c r="AO192" s="5">
        <f t="shared" ca="1" si="74"/>
        <v>0</v>
      </c>
      <c r="AP192" s="5">
        <f t="shared" ca="1" si="75"/>
        <v>0</v>
      </c>
      <c r="AQ192" s="5">
        <f t="shared" si="76"/>
        <v>0</v>
      </c>
      <c r="AR192" s="60"/>
      <c r="AS192" s="8">
        <f t="shared" si="77"/>
        <v>0</v>
      </c>
      <c r="AT192" s="5">
        <f t="shared" si="78"/>
        <v>0</v>
      </c>
      <c r="AU192" s="8">
        <f t="shared" ca="1" si="79"/>
        <v>0</v>
      </c>
      <c r="AV192" s="8">
        <f t="shared" ca="1" si="80"/>
        <v>0</v>
      </c>
      <c r="AW192" s="5">
        <f t="shared" ca="1" si="81"/>
        <v>0</v>
      </c>
      <c r="AX192" s="5">
        <f t="shared" ca="1" si="82"/>
        <v>0</v>
      </c>
      <c r="AY192" s="5">
        <f t="shared" si="83"/>
        <v>0</v>
      </c>
    </row>
    <row r="193" spans="21:51">
      <c r="U193" s="13"/>
      <c r="Y193" s="13"/>
      <c r="AB193" s="5" t="b">
        <f t="shared" si="62"/>
        <v>0</v>
      </c>
      <c r="AC193" s="60">
        <f t="shared" si="63"/>
        <v>0</v>
      </c>
      <c r="AD193" s="5">
        <f t="shared" si="64"/>
        <v>0</v>
      </c>
      <c r="AE193" s="5">
        <f t="shared" si="65"/>
        <v>0</v>
      </c>
      <c r="AF193" s="5">
        <f t="shared" si="66"/>
        <v>0</v>
      </c>
      <c r="AG193" s="5">
        <f t="shared" si="67"/>
        <v>0</v>
      </c>
      <c r="AH193" s="5">
        <f t="shared" si="68"/>
        <v>0</v>
      </c>
      <c r="AI193" s="5">
        <f t="shared" si="69"/>
        <v>0</v>
      </c>
      <c r="AJ193" s="5">
        <f t="shared" si="70"/>
        <v>0</v>
      </c>
      <c r="AL193" s="5">
        <f t="shared" si="71"/>
        <v>0</v>
      </c>
      <c r="AM193" s="8">
        <f t="shared" ca="1" si="72"/>
        <v>0</v>
      </c>
      <c r="AN193" s="8">
        <f t="shared" ca="1" si="73"/>
        <v>0</v>
      </c>
      <c r="AO193" s="5">
        <f t="shared" ca="1" si="74"/>
        <v>0</v>
      </c>
      <c r="AP193" s="5">
        <f t="shared" ca="1" si="75"/>
        <v>0</v>
      </c>
      <c r="AQ193" s="5">
        <f t="shared" si="76"/>
        <v>0</v>
      </c>
      <c r="AR193" s="60"/>
      <c r="AS193" s="8">
        <f t="shared" si="77"/>
        <v>0</v>
      </c>
      <c r="AT193" s="5">
        <f t="shared" si="78"/>
        <v>0</v>
      </c>
      <c r="AU193" s="8">
        <f t="shared" ca="1" si="79"/>
        <v>0</v>
      </c>
      <c r="AV193" s="8">
        <f t="shared" ca="1" si="80"/>
        <v>0</v>
      </c>
      <c r="AW193" s="5">
        <f t="shared" ca="1" si="81"/>
        <v>0</v>
      </c>
      <c r="AX193" s="5">
        <f t="shared" ca="1" si="82"/>
        <v>0</v>
      </c>
      <c r="AY193" s="5">
        <f t="shared" si="83"/>
        <v>0</v>
      </c>
    </row>
    <row r="194" spans="21:51">
      <c r="U194" s="13"/>
      <c r="Y194" s="13"/>
      <c r="AB194" s="5" t="b">
        <f t="shared" si="62"/>
        <v>0</v>
      </c>
      <c r="AC194" s="60">
        <f t="shared" si="63"/>
        <v>0</v>
      </c>
      <c r="AD194" s="5">
        <f t="shared" si="64"/>
        <v>0</v>
      </c>
      <c r="AE194" s="5">
        <f t="shared" si="65"/>
        <v>0</v>
      </c>
      <c r="AF194" s="5">
        <f t="shared" si="66"/>
        <v>0</v>
      </c>
      <c r="AG194" s="5">
        <f t="shared" si="67"/>
        <v>0</v>
      </c>
      <c r="AH194" s="5">
        <f t="shared" si="68"/>
        <v>0</v>
      </c>
      <c r="AI194" s="5">
        <f t="shared" si="69"/>
        <v>0</v>
      </c>
      <c r="AJ194" s="5">
        <f t="shared" si="70"/>
        <v>0</v>
      </c>
      <c r="AL194" s="5">
        <f t="shared" si="71"/>
        <v>0</v>
      </c>
      <c r="AM194" s="8">
        <f t="shared" ca="1" si="72"/>
        <v>0</v>
      </c>
      <c r="AN194" s="8">
        <f t="shared" ca="1" si="73"/>
        <v>0</v>
      </c>
      <c r="AO194" s="5">
        <f t="shared" ca="1" si="74"/>
        <v>0</v>
      </c>
      <c r="AP194" s="5">
        <f t="shared" ca="1" si="75"/>
        <v>0</v>
      </c>
      <c r="AQ194" s="5">
        <f t="shared" si="76"/>
        <v>0</v>
      </c>
      <c r="AR194" s="60"/>
      <c r="AS194" s="8">
        <f t="shared" si="77"/>
        <v>0</v>
      </c>
      <c r="AT194" s="5">
        <f t="shared" si="78"/>
        <v>0</v>
      </c>
      <c r="AU194" s="8">
        <f t="shared" ca="1" si="79"/>
        <v>0</v>
      </c>
      <c r="AV194" s="8">
        <f t="shared" ca="1" si="80"/>
        <v>0</v>
      </c>
      <c r="AW194" s="5">
        <f t="shared" ca="1" si="81"/>
        <v>0</v>
      </c>
      <c r="AX194" s="5">
        <f t="shared" ca="1" si="82"/>
        <v>0</v>
      </c>
      <c r="AY194" s="5">
        <f t="shared" si="83"/>
        <v>0</v>
      </c>
    </row>
    <row r="195" spans="21:51">
      <c r="U195" s="13"/>
      <c r="Y195" s="13"/>
      <c r="AB195" s="5" t="b">
        <f t="shared" si="62"/>
        <v>0</v>
      </c>
      <c r="AC195" s="60">
        <f t="shared" si="63"/>
        <v>0</v>
      </c>
      <c r="AD195" s="5">
        <f t="shared" si="64"/>
        <v>0</v>
      </c>
      <c r="AE195" s="5">
        <f t="shared" si="65"/>
        <v>0</v>
      </c>
      <c r="AF195" s="5">
        <f t="shared" si="66"/>
        <v>0</v>
      </c>
      <c r="AG195" s="5">
        <f t="shared" si="67"/>
        <v>0</v>
      </c>
      <c r="AH195" s="5">
        <f t="shared" si="68"/>
        <v>0</v>
      </c>
      <c r="AI195" s="5">
        <f t="shared" si="69"/>
        <v>0</v>
      </c>
      <c r="AJ195" s="5">
        <f t="shared" si="70"/>
        <v>0</v>
      </c>
      <c r="AL195" s="5">
        <f t="shared" si="71"/>
        <v>0</v>
      </c>
      <c r="AM195" s="8">
        <f t="shared" ca="1" si="72"/>
        <v>0</v>
      </c>
      <c r="AN195" s="8">
        <f t="shared" ca="1" si="73"/>
        <v>0</v>
      </c>
      <c r="AO195" s="5">
        <f t="shared" ca="1" si="74"/>
        <v>0</v>
      </c>
      <c r="AP195" s="5">
        <f t="shared" ca="1" si="75"/>
        <v>0</v>
      </c>
      <c r="AQ195" s="5">
        <f t="shared" si="76"/>
        <v>0</v>
      </c>
      <c r="AR195" s="60"/>
      <c r="AS195" s="8">
        <f t="shared" si="77"/>
        <v>0</v>
      </c>
      <c r="AT195" s="5">
        <f t="shared" si="78"/>
        <v>0</v>
      </c>
      <c r="AU195" s="8">
        <f t="shared" ca="1" si="79"/>
        <v>0</v>
      </c>
      <c r="AV195" s="8">
        <f t="shared" ca="1" si="80"/>
        <v>0</v>
      </c>
      <c r="AW195" s="5">
        <f t="shared" ca="1" si="81"/>
        <v>0</v>
      </c>
      <c r="AX195" s="5">
        <f t="shared" ca="1" si="82"/>
        <v>0</v>
      </c>
      <c r="AY195" s="5">
        <f t="shared" si="83"/>
        <v>0</v>
      </c>
    </row>
    <row r="196" spans="21:51">
      <c r="U196" s="13"/>
      <c r="Y196" s="13"/>
      <c r="AB196" s="5" t="b">
        <f t="shared" si="62"/>
        <v>0</v>
      </c>
      <c r="AC196" s="60">
        <f t="shared" si="63"/>
        <v>0</v>
      </c>
      <c r="AD196" s="5">
        <f t="shared" si="64"/>
        <v>0</v>
      </c>
      <c r="AE196" s="5">
        <f t="shared" si="65"/>
        <v>0</v>
      </c>
      <c r="AF196" s="5">
        <f t="shared" si="66"/>
        <v>0</v>
      </c>
      <c r="AG196" s="5">
        <f t="shared" si="67"/>
        <v>0</v>
      </c>
      <c r="AH196" s="5">
        <f t="shared" si="68"/>
        <v>0</v>
      </c>
      <c r="AI196" s="5">
        <f t="shared" si="69"/>
        <v>0</v>
      </c>
      <c r="AJ196" s="5">
        <f t="shared" si="70"/>
        <v>0</v>
      </c>
      <c r="AL196" s="5">
        <f t="shared" si="71"/>
        <v>0</v>
      </c>
      <c r="AM196" s="8">
        <f t="shared" ca="1" si="72"/>
        <v>0</v>
      </c>
      <c r="AN196" s="8">
        <f t="shared" ca="1" si="73"/>
        <v>0</v>
      </c>
      <c r="AO196" s="5">
        <f t="shared" ca="1" si="74"/>
        <v>0</v>
      </c>
      <c r="AP196" s="5">
        <f t="shared" ca="1" si="75"/>
        <v>0</v>
      </c>
      <c r="AQ196" s="5">
        <f t="shared" si="76"/>
        <v>0</v>
      </c>
      <c r="AR196" s="60"/>
      <c r="AS196" s="8">
        <f t="shared" si="77"/>
        <v>0</v>
      </c>
      <c r="AT196" s="5">
        <f t="shared" si="78"/>
        <v>0</v>
      </c>
      <c r="AU196" s="8">
        <f t="shared" ca="1" si="79"/>
        <v>0</v>
      </c>
      <c r="AV196" s="8">
        <f t="shared" ca="1" si="80"/>
        <v>0</v>
      </c>
      <c r="AW196" s="5">
        <f t="shared" ca="1" si="81"/>
        <v>0</v>
      </c>
      <c r="AX196" s="5">
        <f t="shared" ca="1" si="82"/>
        <v>0</v>
      </c>
      <c r="AY196" s="5">
        <f t="shared" si="83"/>
        <v>0</v>
      </c>
    </row>
    <row r="197" spans="21:51">
      <c r="U197" s="13"/>
      <c r="Y197" s="13"/>
      <c r="AB197" s="5" t="b">
        <f t="shared" si="62"/>
        <v>0</v>
      </c>
      <c r="AC197" s="60">
        <f t="shared" si="63"/>
        <v>0</v>
      </c>
      <c r="AD197" s="5">
        <f t="shared" si="64"/>
        <v>0</v>
      </c>
      <c r="AE197" s="5">
        <f t="shared" si="65"/>
        <v>0</v>
      </c>
      <c r="AF197" s="5">
        <f t="shared" si="66"/>
        <v>0</v>
      </c>
      <c r="AG197" s="5">
        <f t="shared" si="67"/>
        <v>0</v>
      </c>
      <c r="AH197" s="5">
        <f t="shared" si="68"/>
        <v>0</v>
      </c>
      <c r="AI197" s="5">
        <f t="shared" si="69"/>
        <v>0</v>
      </c>
      <c r="AJ197" s="5">
        <f t="shared" si="70"/>
        <v>0</v>
      </c>
      <c r="AL197" s="5">
        <f t="shared" si="71"/>
        <v>0</v>
      </c>
      <c r="AM197" s="8">
        <f t="shared" ca="1" si="72"/>
        <v>0</v>
      </c>
      <c r="AN197" s="8">
        <f t="shared" ca="1" si="73"/>
        <v>0</v>
      </c>
      <c r="AO197" s="5">
        <f t="shared" ca="1" si="74"/>
        <v>0</v>
      </c>
      <c r="AP197" s="5">
        <f t="shared" ca="1" si="75"/>
        <v>0</v>
      </c>
      <c r="AQ197" s="5">
        <f t="shared" si="76"/>
        <v>0</v>
      </c>
      <c r="AR197" s="60"/>
      <c r="AS197" s="8">
        <f t="shared" si="77"/>
        <v>0</v>
      </c>
      <c r="AT197" s="5">
        <f t="shared" si="78"/>
        <v>0</v>
      </c>
      <c r="AU197" s="8">
        <f t="shared" ca="1" si="79"/>
        <v>0</v>
      </c>
      <c r="AV197" s="8">
        <f t="shared" ca="1" si="80"/>
        <v>0</v>
      </c>
      <c r="AW197" s="5">
        <f t="shared" ca="1" si="81"/>
        <v>0</v>
      </c>
      <c r="AX197" s="5">
        <f t="shared" ca="1" si="82"/>
        <v>0</v>
      </c>
      <c r="AY197" s="5">
        <f t="shared" si="83"/>
        <v>0</v>
      </c>
    </row>
    <row r="198" spans="21:51">
      <c r="U198" s="13"/>
      <c r="Y198" s="13"/>
      <c r="AB198" s="5" t="b">
        <f t="shared" si="62"/>
        <v>0</v>
      </c>
      <c r="AC198" s="60">
        <f t="shared" si="63"/>
        <v>0</v>
      </c>
      <c r="AD198" s="5">
        <f t="shared" si="64"/>
        <v>0</v>
      </c>
      <c r="AE198" s="5">
        <f t="shared" si="65"/>
        <v>0</v>
      </c>
      <c r="AF198" s="5">
        <f t="shared" si="66"/>
        <v>0</v>
      </c>
      <c r="AG198" s="5">
        <f t="shared" si="67"/>
        <v>0</v>
      </c>
      <c r="AH198" s="5">
        <f t="shared" si="68"/>
        <v>0</v>
      </c>
      <c r="AI198" s="5">
        <f t="shared" si="69"/>
        <v>0</v>
      </c>
      <c r="AJ198" s="5">
        <f t="shared" si="70"/>
        <v>0</v>
      </c>
      <c r="AL198" s="5">
        <f t="shared" si="71"/>
        <v>0</v>
      </c>
      <c r="AM198" s="8">
        <f t="shared" ca="1" si="72"/>
        <v>0</v>
      </c>
      <c r="AN198" s="8">
        <f t="shared" ca="1" si="73"/>
        <v>0</v>
      </c>
      <c r="AO198" s="5">
        <f t="shared" ca="1" si="74"/>
        <v>0</v>
      </c>
      <c r="AP198" s="5">
        <f t="shared" ca="1" si="75"/>
        <v>0</v>
      </c>
      <c r="AQ198" s="5">
        <f t="shared" si="76"/>
        <v>0</v>
      </c>
      <c r="AR198" s="60"/>
      <c r="AS198" s="8">
        <f t="shared" si="77"/>
        <v>0</v>
      </c>
      <c r="AT198" s="5">
        <f t="shared" si="78"/>
        <v>0</v>
      </c>
      <c r="AU198" s="8">
        <f t="shared" ca="1" si="79"/>
        <v>0</v>
      </c>
      <c r="AV198" s="8">
        <f t="shared" ca="1" si="80"/>
        <v>0</v>
      </c>
      <c r="AW198" s="5">
        <f t="shared" ca="1" si="81"/>
        <v>0</v>
      </c>
      <c r="AX198" s="5">
        <f t="shared" ca="1" si="82"/>
        <v>0</v>
      </c>
      <c r="AY198" s="5">
        <f t="shared" si="83"/>
        <v>0</v>
      </c>
    </row>
    <row r="199" spans="21:51">
      <c r="U199" s="13"/>
      <c r="Y199" s="13"/>
      <c r="AB199" s="5" t="b">
        <f t="shared" si="62"/>
        <v>0</v>
      </c>
      <c r="AC199" s="60">
        <f t="shared" si="63"/>
        <v>0</v>
      </c>
      <c r="AD199" s="5">
        <f t="shared" si="64"/>
        <v>0</v>
      </c>
      <c r="AE199" s="5">
        <f t="shared" si="65"/>
        <v>0</v>
      </c>
      <c r="AF199" s="5">
        <f t="shared" si="66"/>
        <v>0</v>
      </c>
      <c r="AG199" s="5">
        <f t="shared" si="67"/>
        <v>0</v>
      </c>
      <c r="AH199" s="5">
        <f t="shared" si="68"/>
        <v>0</v>
      </c>
      <c r="AI199" s="5">
        <f t="shared" si="69"/>
        <v>0</v>
      </c>
      <c r="AJ199" s="5">
        <f t="shared" si="70"/>
        <v>0</v>
      </c>
      <c r="AL199" s="5">
        <f t="shared" si="71"/>
        <v>0</v>
      </c>
      <c r="AM199" s="8">
        <f t="shared" ca="1" si="72"/>
        <v>0</v>
      </c>
      <c r="AN199" s="8">
        <f t="shared" ca="1" si="73"/>
        <v>0</v>
      </c>
      <c r="AO199" s="5">
        <f t="shared" ca="1" si="74"/>
        <v>0</v>
      </c>
      <c r="AP199" s="5">
        <f t="shared" ca="1" si="75"/>
        <v>0</v>
      </c>
      <c r="AQ199" s="5">
        <f t="shared" si="76"/>
        <v>0</v>
      </c>
      <c r="AR199" s="60"/>
      <c r="AS199" s="8">
        <f t="shared" si="77"/>
        <v>0</v>
      </c>
      <c r="AT199" s="5">
        <f t="shared" si="78"/>
        <v>0</v>
      </c>
      <c r="AU199" s="8">
        <f t="shared" ca="1" si="79"/>
        <v>0</v>
      </c>
      <c r="AV199" s="8">
        <f t="shared" ca="1" si="80"/>
        <v>0</v>
      </c>
      <c r="AW199" s="5">
        <f t="shared" ca="1" si="81"/>
        <v>0</v>
      </c>
      <c r="AX199" s="5">
        <f t="shared" ca="1" si="82"/>
        <v>0</v>
      </c>
      <c r="AY199" s="5">
        <f t="shared" si="83"/>
        <v>0</v>
      </c>
    </row>
    <row r="200" spans="21:51">
      <c r="U200" s="13"/>
      <c r="Y200" s="13"/>
      <c r="AB200" s="5" t="b">
        <f t="shared" si="62"/>
        <v>0</v>
      </c>
      <c r="AC200" s="60">
        <f t="shared" si="63"/>
        <v>0</v>
      </c>
      <c r="AD200" s="5">
        <f t="shared" si="64"/>
        <v>0</v>
      </c>
      <c r="AE200" s="5">
        <f t="shared" si="65"/>
        <v>0</v>
      </c>
      <c r="AF200" s="5">
        <f t="shared" si="66"/>
        <v>0</v>
      </c>
      <c r="AG200" s="5">
        <f t="shared" si="67"/>
        <v>0</v>
      </c>
      <c r="AH200" s="5">
        <f t="shared" si="68"/>
        <v>0</v>
      </c>
      <c r="AI200" s="5">
        <f t="shared" si="69"/>
        <v>0</v>
      </c>
      <c r="AJ200" s="5">
        <f t="shared" si="70"/>
        <v>0</v>
      </c>
      <c r="AL200" s="5">
        <f t="shared" si="71"/>
        <v>0</v>
      </c>
      <c r="AM200" s="8">
        <f t="shared" ca="1" si="72"/>
        <v>0</v>
      </c>
      <c r="AN200" s="8">
        <f t="shared" ca="1" si="73"/>
        <v>0</v>
      </c>
      <c r="AO200" s="5">
        <f t="shared" ca="1" si="74"/>
        <v>0</v>
      </c>
      <c r="AP200" s="5">
        <f t="shared" ca="1" si="75"/>
        <v>0</v>
      </c>
      <c r="AQ200" s="5">
        <f t="shared" si="76"/>
        <v>0</v>
      </c>
      <c r="AR200" s="60"/>
      <c r="AS200" s="8">
        <f t="shared" si="77"/>
        <v>0</v>
      </c>
      <c r="AT200" s="5">
        <f t="shared" si="78"/>
        <v>0</v>
      </c>
      <c r="AU200" s="8">
        <f t="shared" ca="1" si="79"/>
        <v>0</v>
      </c>
      <c r="AV200" s="8">
        <f t="shared" ca="1" si="80"/>
        <v>0</v>
      </c>
      <c r="AW200" s="5">
        <f t="shared" ca="1" si="81"/>
        <v>0</v>
      </c>
      <c r="AX200" s="5">
        <f t="shared" ca="1" si="82"/>
        <v>0</v>
      </c>
      <c r="AY200" s="5">
        <f t="shared" si="83"/>
        <v>0</v>
      </c>
    </row>
    <row r="201" spans="21:51">
      <c r="U201" s="13"/>
      <c r="Y201" s="13"/>
      <c r="AB201" s="5" t="b">
        <f t="shared" si="62"/>
        <v>0</v>
      </c>
      <c r="AC201" s="60">
        <f t="shared" si="63"/>
        <v>0</v>
      </c>
      <c r="AD201" s="5">
        <f t="shared" si="64"/>
        <v>0</v>
      </c>
      <c r="AE201" s="5">
        <f t="shared" si="65"/>
        <v>0</v>
      </c>
      <c r="AF201" s="5">
        <f t="shared" si="66"/>
        <v>0</v>
      </c>
      <c r="AG201" s="5">
        <f t="shared" si="67"/>
        <v>0</v>
      </c>
      <c r="AH201" s="5">
        <f t="shared" si="68"/>
        <v>0</v>
      </c>
      <c r="AI201" s="5">
        <f t="shared" si="69"/>
        <v>0</v>
      </c>
      <c r="AJ201" s="5">
        <f t="shared" si="70"/>
        <v>0</v>
      </c>
      <c r="AL201" s="5">
        <f t="shared" si="71"/>
        <v>0</v>
      </c>
      <c r="AM201" s="8">
        <f t="shared" ca="1" si="72"/>
        <v>0</v>
      </c>
      <c r="AN201" s="8">
        <f t="shared" ca="1" si="73"/>
        <v>0</v>
      </c>
      <c r="AO201" s="5">
        <f t="shared" ca="1" si="74"/>
        <v>0</v>
      </c>
      <c r="AP201" s="5">
        <f t="shared" ca="1" si="75"/>
        <v>0</v>
      </c>
      <c r="AQ201" s="5">
        <f t="shared" si="76"/>
        <v>0</v>
      </c>
      <c r="AR201" s="60"/>
      <c r="AS201" s="8">
        <f t="shared" si="77"/>
        <v>0</v>
      </c>
      <c r="AT201" s="5">
        <f t="shared" si="78"/>
        <v>0</v>
      </c>
      <c r="AU201" s="8">
        <f t="shared" ca="1" si="79"/>
        <v>0</v>
      </c>
      <c r="AV201" s="8">
        <f t="shared" ca="1" si="80"/>
        <v>0</v>
      </c>
      <c r="AW201" s="5">
        <f t="shared" ca="1" si="81"/>
        <v>0</v>
      </c>
      <c r="AX201" s="5">
        <f t="shared" ca="1" si="82"/>
        <v>0</v>
      </c>
      <c r="AY201" s="5">
        <f t="shared" si="83"/>
        <v>0</v>
      </c>
    </row>
    <row r="202" spans="21:51">
      <c r="U202" s="13"/>
      <c r="Y202" s="13"/>
      <c r="AB202" s="5" t="b">
        <f t="shared" si="62"/>
        <v>0</v>
      </c>
      <c r="AC202" s="60">
        <f t="shared" si="63"/>
        <v>0</v>
      </c>
      <c r="AD202" s="5">
        <f t="shared" si="64"/>
        <v>0</v>
      </c>
      <c r="AE202" s="5">
        <f t="shared" si="65"/>
        <v>0</v>
      </c>
      <c r="AF202" s="5">
        <f t="shared" si="66"/>
        <v>0</v>
      </c>
      <c r="AG202" s="5">
        <f t="shared" si="67"/>
        <v>0</v>
      </c>
      <c r="AH202" s="5">
        <f t="shared" si="68"/>
        <v>0</v>
      </c>
      <c r="AI202" s="5">
        <f t="shared" si="69"/>
        <v>0</v>
      </c>
      <c r="AJ202" s="5">
        <f t="shared" si="70"/>
        <v>0</v>
      </c>
      <c r="AL202" s="5">
        <f t="shared" si="71"/>
        <v>0</v>
      </c>
      <c r="AM202" s="8">
        <f t="shared" ca="1" si="72"/>
        <v>0</v>
      </c>
      <c r="AN202" s="8">
        <f t="shared" ca="1" si="73"/>
        <v>0</v>
      </c>
      <c r="AO202" s="5">
        <f t="shared" ca="1" si="74"/>
        <v>0</v>
      </c>
      <c r="AP202" s="5">
        <f t="shared" ca="1" si="75"/>
        <v>0</v>
      </c>
      <c r="AQ202" s="5">
        <f t="shared" si="76"/>
        <v>0</v>
      </c>
      <c r="AR202" s="60"/>
      <c r="AS202" s="8">
        <f t="shared" si="77"/>
        <v>0</v>
      </c>
      <c r="AT202" s="5">
        <f t="shared" si="78"/>
        <v>0</v>
      </c>
      <c r="AU202" s="8">
        <f t="shared" ca="1" si="79"/>
        <v>0</v>
      </c>
      <c r="AV202" s="8">
        <f t="shared" ca="1" si="80"/>
        <v>0</v>
      </c>
      <c r="AW202" s="5">
        <f t="shared" ca="1" si="81"/>
        <v>0</v>
      </c>
      <c r="AX202" s="5">
        <f t="shared" ca="1" si="82"/>
        <v>0</v>
      </c>
      <c r="AY202" s="5">
        <f t="shared" si="83"/>
        <v>0</v>
      </c>
    </row>
    <row r="203" spans="21:51">
      <c r="U203" s="13"/>
      <c r="Y203" s="13"/>
      <c r="AB203" s="5" t="b">
        <f t="shared" si="62"/>
        <v>0</v>
      </c>
      <c r="AC203" s="60">
        <f t="shared" si="63"/>
        <v>0</v>
      </c>
      <c r="AD203" s="5">
        <f t="shared" si="64"/>
        <v>0</v>
      </c>
      <c r="AE203" s="5">
        <f t="shared" si="65"/>
        <v>0</v>
      </c>
      <c r="AF203" s="5">
        <f t="shared" si="66"/>
        <v>0</v>
      </c>
      <c r="AG203" s="5">
        <f t="shared" si="67"/>
        <v>0</v>
      </c>
      <c r="AH203" s="5">
        <f t="shared" si="68"/>
        <v>0</v>
      </c>
      <c r="AI203" s="5">
        <f t="shared" si="69"/>
        <v>0</v>
      </c>
      <c r="AJ203" s="5">
        <f t="shared" si="70"/>
        <v>0</v>
      </c>
      <c r="AL203" s="5">
        <f t="shared" si="71"/>
        <v>0</v>
      </c>
      <c r="AM203" s="8">
        <f t="shared" ca="1" si="72"/>
        <v>0</v>
      </c>
      <c r="AN203" s="8">
        <f t="shared" ca="1" si="73"/>
        <v>0</v>
      </c>
      <c r="AO203" s="5">
        <f t="shared" ca="1" si="74"/>
        <v>0</v>
      </c>
      <c r="AP203" s="5">
        <f t="shared" ca="1" si="75"/>
        <v>0</v>
      </c>
      <c r="AQ203" s="5">
        <f t="shared" si="76"/>
        <v>0</v>
      </c>
      <c r="AR203" s="60"/>
      <c r="AS203" s="8">
        <f t="shared" si="77"/>
        <v>0</v>
      </c>
      <c r="AT203" s="5">
        <f t="shared" si="78"/>
        <v>0</v>
      </c>
      <c r="AU203" s="8">
        <f t="shared" ca="1" si="79"/>
        <v>0</v>
      </c>
      <c r="AV203" s="8">
        <f t="shared" ca="1" si="80"/>
        <v>0</v>
      </c>
      <c r="AW203" s="5">
        <f t="shared" ca="1" si="81"/>
        <v>0</v>
      </c>
      <c r="AX203" s="5">
        <f t="shared" ca="1" si="82"/>
        <v>0</v>
      </c>
      <c r="AY203" s="5">
        <f t="shared" si="83"/>
        <v>0</v>
      </c>
    </row>
    <row r="204" spans="21:51">
      <c r="U204" s="13"/>
      <c r="Y204" s="13"/>
      <c r="AB204" s="5" t="b">
        <f t="shared" si="62"/>
        <v>0</v>
      </c>
      <c r="AC204" s="60">
        <f t="shared" si="63"/>
        <v>0</v>
      </c>
      <c r="AD204" s="5">
        <f t="shared" si="64"/>
        <v>0</v>
      </c>
      <c r="AE204" s="5">
        <f t="shared" si="65"/>
        <v>0</v>
      </c>
      <c r="AF204" s="5">
        <f t="shared" si="66"/>
        <v>0</v>
      </c>
      <c r="AG204" s="5">
        <f t="shared" si="67"/>
        <v>0</v>
      </c>
      <c r="AH204" s="5">
        <f t="shared" si="68"/>
        <v>0</v>
      </c>
      <c r="AI204" s="5">
        <f t="shared" si="69"/>
        <v>0</v>
      </c>
      <c r="AJ204" s="5">
        <f t="shared" si="70"/>
        <v>0</v>
      </c>
      <c r="AL204" s="5">
        <f t="shared" si="71"/>
        <v>0</v>
      </c>
      <c r="AM204" s="8">
        <f t="shared" ca="1" si="72"/>
        <v>0</v>
      </c>
      <c r="AN204" s="8">
        <f t="shared" ca="1" si="73"/>
        <v>0</v>
      </c>
      <c r="AO204" s="5">
        <f t="shared" ca="1" si="74"/>
        <v>0</v>
      </c>
      <c r="AP204" s="5">
        <f t="shared" ca="1" si="75"/>
        <v>0</v>
      </c>
      <c r="AQ204" s="5">
        <f t="shared" si="76"/>
        <v>0</v>
      </c>
      <c r="AR204" s="60"/>
      <c r="AS204" s="8">
        <f t="shared" si="77"/>
        <v>0</v>
      </c>
      <c r="AT204" s="5">
        <f t="shared" si="78"/>
        <v>0</v>
      </c>
      <c r="AU204" s="8">
        <f t="shared" ca="1" si="79"/>
        <v>0</v>
      </c>
      <c r="AV204" s="8">
        <f t="shared" ca="1" si="80"/>
        <v>0</v>
      </c>
      <c r="AW204" s="5">
        <f t="shared" ca="1" si="81"/>
        <v>0</v>
      </c>
      <c r="AX204" s="5">
        <f t="shared" ca="1" si="82"/>
        <v>0</v>
      </c>
      <c r="AY204" s="5">
        <f t="shared" si="83"/>
        <v>0</v>
      </c>
    </row>
    <row r="205" spans="21:51">
      <c r="U205" s="13"/>
      <c r="Y205" s="13"/>
      <c r="AB205" s="5" t="b">
        <f t="shared" si="62"/>
        <v>0</v>
      </c>
      <c r="AC205" s="60">
        <f t="shared" si="63"/>
        <v>0</v>
      </c>
      <c r="AD205" s="5">
        <f t="shared" si="64"/>
        <v>0</v>
      </c>
      <c r="AE205" s="5">
        <f t="shared" si="65"/>
        <v>0</v>
      </c>
      <c r="AF205" s="5">
        <f t="shared" si="66"/>
        <v>0</v>
      </c>
      <c r="AG205" s="5">
        <f t="shared" si="67"/>
        <v>0</v>
      </c>
      <c r="AH205" s="5">
        <f t="shared" si="68"/>
        <v>0</v>
      </c>
      <c r="AI205" s="5">
        <f t="shared" si="69"/>
        <v>0</v>
      </c>
      <c r="AJ205" s="5">
        <f t="shared" si="70"/>
        <v>0</v>
      </c>
      <c r="AL205" s="5">
        <f t="shared" si="71"/>
        <v>0</v>
      </c>
      <c r="AM205" s="8">
        <f t="shared" ca="1" si="72"/>
        <v>0</v>
      </c>
      <c r="AN205" s="8">
        <f t="shared" ca="1" si="73"/>
        <v>0</v>
      </c>
      <c r="AO205" s="5">
        <f t="shared" ca="1" si="74"/>
        <v>0</v>
      </c>
      <c r="AP205" s="5">
        <f t="shared" ca="1" si="75"/>
        <v>0</v>
      </c>
      <c r="AQ205" s="5">
        <f t="shared" si="76"/>
        <v>0</v>
      </c>
      <c r="AR205" s="60"/>
      <c r="AS205" s="8">
        <f t="shared" si="77"/>
        <v>0</v>
      </c>
      <c r="AT205" s="5">
        <f t="shared" si="78"/>
        <v>0</v>
      </c>
      <c r="AU205" s="8">
        <f t="shared" ca="1" si="79"/>
        <v>0</v>
      </c>
      <c r="AV205" s="8">
        <f t="shared" ca="1" si="80"/>
        <v>0</v>
      </c>
      <c r="AW205" s="5">
        <f t="shared" ca="1" si="81"/>
        <v>0</v>
      </c>
      <c r="AX205" s="5">
        <f t="shared" ca="1" si="82"/>
        <v>0</v>
      </c>
      <c r="AY205" s="5">
        <f t="shared" si="83"/>
        <v>0</v>
      </c>
    </row>
    <row r="206" spans="21:51">
      <c r="U206" s="13"/>
      <c r="Y206" s="13"/>
      <c r="AB206" s="5" t="b">
        <f t="shared" si="62"/>
        <v>0</v>
      </c>
      <c r="AC206" s="60">
        <f t="shared" si="63"/>
        <v>0</v>
      </c>
      <c r="AD206" s="5">
        <f t="shared" si="64"/>
        <v>0</v>
      </c>
      <c r="AE206" s="5">
        <f t="shared" si="65"/>
        <v>0</v>
      </c>
      <c r="AF206" s="5">
        <f t="shared" si="66"/>
        <v>0</v>
      </c>
      <c r="AG206" s="5">
        <f t="shared" si="67"/>
        <v>0</v>
      </c>
      <c r="AH206" s="5">
        <f t="shared" si="68"/>
        <v>0</v>
      </c>
      <c r="AI206" s="5">
        <f t="shared" si="69"/>
        <v>0</v>
      </c>
      <c r="AJ206" s="5">
        <f t="shared" si="70"/>
        <v>0</v>
      </c>
      <c r="AL206" s="5">
        <f t="shared" si="71"/>
        <v>0</v>
      </c>
      <c r="AM206" s="8">
        <f t="shared" ca="1" si="72"/>
        <v>0</v>
      </c>
      <c r="AN206" s="8">
        <f t="shared" ca="1" si="73"/>
        <v>0</v>
      </c>
      <c r="AO206" s="5">
        <f t="shared" ca="1" si="74"/>
        <v>0</v>
      </c>
      <c r="AP206" s="5">
        <f t="shared" ca="1" si="75"/>
        <v>0</v>
      </c>
      <c r="AQ206" s="5">
        <f t="shared" si="76"/>
        <v>0</v>
      </c>
      <c r="AR206" s="60"/>
      <c r="AS206" s="8">
        <f t="shared" si="77"/>
        <v>0</v>
      </c>
      <c r="AT206" s="5">
        <f t="shared" si="78"/>
        <v>0</v>
      </c>
      <c r="AU206" s="8">
        <f t="shared" ca="1" si="79"/>
        <v>0</v>
      </c>
      <c r="AV206" s="8">
        <f t="shared" ca="1" si="80"/>
        <v>0</v>
      </c>
      <c r="AW206" s="5">
        <f t="shared" ca="1" si="81"/>
        <v>0</v>
      </c>
      <c r="AX206" s="5">
        <f t="shared" ca="1" si="82"/>
        <v>0</v>
      </c>
      <c r="AY206" s="5">
        <f t="shared" si="83"/>
        <v>0</v>
      </c>
    </row>
    <row r="207" spans="21:51">
      <c r="U207" s="13"/>
      <c r="Y207" s="13"/>
      <c r="AB207" s="5" t="b">
        <f t="shared" si="62"/>
        <v>0</v>
      </c>
      <c r="AC207" s="60">
        <f t="shared" si="63"/>
        <v>0</v>
      </c>
      <c r="AD207" s="5">
        <f t="shared" si="64"/>
        <v>0</v>
      </c>
      <c r="AE207" s="5">
        <f t="shared" si="65"/>
        <v>0</v>
      </c>
      <c r="AF207" s="5">
        <f t="shared" si="66"/>
        <v>0</v>
      </c>
      <c r="AG207" s="5">
        <f t="shared" si="67"/>
        <v>0</v>
      </c>
      <c r="AH207" s="5">
        <f t="shared" si="68"/>
        <v>0</v>
      </c>
      <c r="AI207" s="5">
        <f t="shared" si="69"/>
        <v>0</v>
      </c>
      <c r="AJ207" s="5">
        <f t="shared" si="70"/>
        <v>0</v>
      </c>
      <c r="AL207" s="5">
        <f t="shared" si="71"/>
        <v>0</v>
      </c>
      <c r="AM207" s="8">
        <f t="shared" ca="1" si="72"/>
        <v>0</v>
      </c>
      <c r="AN207" s="8">
        <f t="shared" ca="1" si="73"/>
        <v>0</v>
      </c>
      <c r="AO207" s="5">
        <f t="shared" ca="1" si="74"/>
        <v>0</v>
      </c>
      <c r="AP207" s="5">
        <f t="shared" ca="1" si="75"/>
        <v>0</v>
      </c>
      <c r="AQ207" s="5">
        <f t="shared" si="76"/>
        <v>0</v>
      </c>
      <c r="AR207" s="60"/>
      <c r="AS207" s="8">
        <f t="shared" si="77"/>
        <v>0</v>
      </c>
      <c r="AT207" s="5">
        <f t="shared" si="78"/>
        <v>0</v>
      </c>
      <c r="AU207" s="8">
        <f t="shared" ca="1" si="79"/>
        <v>0</v>
      </c>
      <c r="AV207" s="8">
        <f t="shared" ca="1" si="80"/>
        <v>0</v>
      </c>
      <c r="AW207" s="5">
        <f t="shared" ca="1" si="81"/>
        <v>0</v>
      </c>
      <c r="AX207" s="5">
        <f t="shared" ca="1" si="82"/>
        <v>0</v>
      </c>
      <c r="AY207" s="5">
        <f t="shared" si="83"/>
        <v>0</v>
      </c>
    </row>
    <row r="208" spans="21:51">
      <c r="U208" s="13"/>
      <c r="Y208" s="13"/>
      <c r="AB208" s="5" t="b">
        <f t="shared" si="62"/>
        <v>0</v>
      </c>
      <c r="AC208" s="60">
        <f t="shared" si="63"/>
        <v>0</v>
      </c>
      <c r="AD208" s="5">
        <f t="shared" si="64"/>
        <v>0</v>
      </c>
      <c r="AE208" s="5">
        <f t="shared" si="65"/>
        <v>0</v>
      </c>
      <c r="AF208" s="5">
        <f t="shared" si="66"/>
        <v>0</v>
      </c>
      <c r="AG208" s="5">
        <f t="shared" si="67"/>
        <v>0</v>
      </c>
      <c r="AH208" s="5">
        <f t="shared" si="68"/>
        <v>0</v>
      </c>
      <c r="AI208" s="5">
        <f t="shared" si="69"/>
        <v>0</v>
      </c>
      <c r="AJ208" s="5">
        <f t="shared" si="70"/>
        <v>0</v>
      </c>
      <c r="AL208" s="5">
        <f t="shared" si="71"/>
        <v>0</v>
      </c>
      <c r="AM208" s="8">
        <f t="shared" ca="1" si="72"/>
        <v>0</v>
      </c>
      <c r="AN208" s="8">
        <f t="shared" ca="1" si="73"/>
        <v>0</v>
      </c>
      <c r="AO208" s="5">
        <f t="shared" ca="1" si="74"/>
        <v>0</v>
      </c>
      <c r="AP208" s="5">
        <f t="shared" ca="1" si="75"/>
        <v>0</v>
      </c>
      <c r="AQ208" s="5">
        <f t="shared" si="76"/>
        <v>0</v>
      </c>
      <c r="AR208" s="60"/>
      <c r="AS208" s="8">
        <f t="shared" si="77"/>
        <v>0</v>
      </c>
      <c r="AT208" s="5">
        <f t="shared" si="78"/>
        <v>0</v>
      </c>
      <c r="AU208" s="8">
        <f t="shared" ca="1" si="79"/>
        <v>0</v>
      </c>
      <c r="AV208" s="8">
        <f t="shared" ca="1" si="80"/>
        <v>0</v>
      </c>
      <c r="AW208" s="5">
        <f t="shared" ca="1" si="81"/>
        <v>0</v>
      </c>
      <c r="AX208" s="5">
        <f t="shared" ca="1" si="82"/>
        <v>0</v>
      </c>
      <c r="AY208" s="5">
        <f t="shared" si="83"/>
        <v>0</v>
      </c>
    </row>
    <row r="209" spans="25:51">
      <c r="Y209" s="13"/>
      <c r="AB209" s="5" t="b">
        <f t="shared" si="62"/>
        <v>0</v>
      </c>
      <c r="AC209" s="60">
        <f t="shared" si="63"/>
        <v>0</v>
      </c>
      <c r="AD209" s="5">
        <f t="shared" si="64"/>
        <v>0</v>
      </c>
      <c r="AE209" s="5">
        <f t="shared" si="65"/>
        <v>0</v>
      </c>
      <c r="AF209" s="5">
        <f t="shared" si="66"/>
        <v>0</v>
      </c>
      <c r="AG209" s="5">
        <f t="shared" si="67"/>
        <v>0</v>
      </c>
      <c r="AH209" s="5">
        <f t="shared" si="68"/>
        <v>0</v>
      </c>
      <c r="AI209" s="5">
        <f t="shared" si="69"/>
        <v>0</v>
      </c>
      <c r="AJ209" s="5">
        <f t="shared" si="70"/>
        <v>0</v>
      </c>
      <c r="AL209" s="5">
        <f t="shared" si="71"/>
        <v>0</v>
      </c>
      <c r="AM209" s="8">
        <f t="shared" ca="1" si="72"/>
        <v>0</v>
      </c>
      <c r="AN209" s="8">
        <f t="shared" ca="1" si="73"/>
        <v>0</v>
      </c>
      <c r="AO209" s="5">
        <f t="shared" ca="1" si="74"/>
        <v>0</v>
      </c>
      <c r="AP209" s="5">
        <f t="shared" ca="1" si="75"/>
        <v>0</v>
      </c>
      <c r="AQ209" s="5">
        <f t="shared" si="76"/>
        <v>0</v>
      </c>
      <c r="AR209" s="60"/>
      <c r="AS209" s="8">
        <f t="shared" si="77"/>
        <v>0</v>
      </c>
      <c r="AT209" s="5">
        <f t="shared" si="78"/>
        <v>0</v>
      </c>
      <c r="AU209" s="8">
        <f t="shared" ca="1" si="79"/>
        <v>0</v>
      </c>
      <c r="AV209" s="8">
        <f t="shared" ca="1" si="80"/>
        <v>0</v>
      </c>
      <c r="AW209" s="5">
        <f t="shared" ca="1" si="81"/>
        <v>0</v>
      </c>
      <c r="AX209" s="5">
        <f t="shared" ca="1" si="82"/>
        <v>0</v>
      </c>
      <c r="AY209" s="5">
        <f t="shared" si="83"/>
        <v>0</v>
      </c>
    </row>
    <row r="210" spans="25:51">
      <c r="Y210" s="13"/>
      <c r="AB210" s="5" t="b">
        <f t="shared" si="62"/>
        <v>0</v>
      </c>
      <c r="AC210" s="60">
        <f t="shared" si="63"/>
        <v>0</v>
      </c>
      <c r="AD210" s="5">
        <f t="shared" si="64"/>
        <v>0</v>
      </c>
      <c r="AE210" s="5">
        <f t="shared" si="65"/>
        <v>0</v>
      </c>
      <c r="AF210" s="5">
        <f t="shared" si="66"/>
        <v>0</v>
      </c>
      <c r="AG210" s="5">
        <f t="shared" si="67"/>
        <v>0</v>
      </c>
      <c r="AH210" s="5">
        <f t="shared" si="68"/>
        <v>0</v>
      </c>
      <c r="AI210" s="5">
        <f t="shared" si="69"/>
        <v>0</v>
      </c>
      <c r="AJ210" s="5">
        <f t="shared" si="70"/>
        <v>0</v>
      </c>
      <c r="AL210" s="5">
        <f t="shared" si="71"/>
        <v>0</v>
      </c>
      <c r="AM210" s="8">
        <f t="shared" ca="1" si="72"/>
        <v>0</v>
      </c>
      <c r="AN210" s="8">
        <f t="shared" ca="1" si="73"/>
        <v>0</v>
      </c>
      <c r="AO210" s="5">
        <f t="shared" ca="1" si="74"/>
        <v>0</v>
      </c>
      <c r="AP210" s="5">
        <f t="shared" ca="1" si="75"/>
        <v>0</v>
      </c>
      <c r="AQ210" s="5">
        <f t="shared" si="76"/>
        <v>0</v>
      </c>
      <c r="AR210" s="60"/>
      <c r="AS210" s="8">
        <f t="shared" si="77"/>
        <v>0</v>
      </c>
      <c r="AT210" s="5">
        <f t="shared" si="78"/>
        <v>0</v>
      </c>
      <c r="AU210" s="8">
        <f t="shared" ca="1" si="79"/>
        <v>0</v>
      </c>
      <c r="AV210" s="8">
        <f t="shared" ca="1" si="80"/>
        <v>0</v>
      </c>
      <c r="AW210" s="5">
        <f t="shared" ca="1" si="81"/>
        <v>0</v>
      </c>
      <c r="AX210" s="5">
        <f t="shared" ca="1" si="82"/>
        <v>0</v>
      </c>
      <c r="AY210" s="5">
        <f t="shared" si="83"/>
        <v>0</v>
      </c>
    </row>
    <row r="211" spans="25:51">
      <c r="Y211" s="13"/>
      <c r="AB211" s="5" t="b">
        <f t="shared" si="62"/>
        <v>0</v>
      </c>
      <c r="AC211" s="60">
        <f t="shared" si="63"/>
        <v>0</v>
      </c>
      <c r="AD211" s="5">
        <f t="shared" si="64"/>
        <v>0</v>
      </c>
      <c r="AE211" s="5">
        <f t="shared" si="65"/>
        <v>0</v>
      </c>
      <c r="AF211" s="5">
        <f t="shared" si="66"/>
        <v>0</v>
      </c>
      <c r="AG211" s="5">
        <f t="shared" si="67"/>
        <v>0</v>
      </c>
      <c r="AH211" s="5">
        <f t="shared" si="68"/>
        <v>0</v>
      </c>
      <c r="AI211" s="5">
        <f t="shared" si="69"/>
        <v>0</v>
      </c>
      <c r="AJ211" s="5">
        <f t="shared" si="70"/>
        <v>0</v>
      </c>
      <c r="AL211" s="5">
        <f t="shared" si="71"/>
        <v>0</v>
      </c>
      <c r="AM211" s="8">
        <f t="shared" ca="1" si="72"/>
        <v>0</v>
      </c>
      <c r="AN211" s="8">
        <f t="shared" ca="1" si="73"/>
        <v>0</v>
      </c>
      <c r="AO211" s="5">
        <f t="shared" ca="1" si="74"/>
        <v>0</v>
      </c>
      <c r="AP211" s="5">
        <f t="shared" ca="1" si="75"/>
        <v>0</v>
      </c>
      <c r="AQ211" s="5">
        <f t="shared" si="76"/>
        <v>0</v>
      </c>
      <c r="AR211" s="60"/>
      <c r="AS211" s="8">
        <f t="shared" si="77"/>
        <v>0</v>
      </c>
      <c r="AT211" s="5">
        <f t="shared" si="78"/>
        <v>0</v>
      </c>
      <c r="AU211" s="8">
        <f t="shared" ca="1" si="79"/>
        <v>0</v>
      </c>
      <c r="AV211" s="8">
        <f t="shared" ca="1" si="80"/>
        <v>0</v>
      </c>
      <c r="AW211" s="5">
        <f t="shared" ca="1" si="81"/>
        <v>0</v>
      </c>
      <c r="AX211" s="5">
        <f t="shared" ca="1" si="82"/>
        <v>0</v>
      </c>
      <c r="AY211" s="5">
        <f t="shared" si="83"/>
        <v>0</v>
      </c>
    </row>
    <row r="212" spans="25:51">
      <c r="Y212" s="13"/>
      <c r="AB212" s="5" t="b">
        <f t="shared" si="62"/>
        <v>0</v>
      </c>
      <c r="AC212" s="60">
        <f t="shared" si="63"/>
        <v>0</v>
      </c>
      <c r="AD212" s="5">
        <f t="shared" si="64"/>
        <v>0</v>
      </c>
      <c r="AE212" s="5">
        <f t="shared" si="65"/>
        <v>0</v>
      </c>
      <c r="AF212" s="5">
        <f t="shared" si="66"/>
        <v>0</v>
      </c>
      <c r="AG212" s="5">
        <f t="shared" si="67"/>
        <v>0</v>
      </c>
      <c r="AH212" s="5">
        <f t="shared" si="68"/>
        <v>0</v>
      </c>
      <c r="AI212" s="5">
        <f t="shared" si="69"/>
        <v>0</v>
      </c>
      <c r="AJ212" s="5">
        <f t="shared" si="70"/>
        <v>0</v>
      </c>
      <c r="AL212" s="5">
        <f t="shared" si="71"/>
        <v>0</v>
      </c>
      <c r="AM212" s="8">
        <f t="shared" ca="1" si="72"/>
        <v>0</v>
      </c>
      <c r="AN212" s="8">
        <f t="shared" ca="1" si="73"/>
        <v>0</v>
      </c>
      <c r="AO212" s="5">
        <f t="shared" ca="1" si="74"/>
        <v>0</v>
      </c>
      <c r="AP212" s="5">
        <f t="shared" ca="1" si="75"/>
        <v>0</v>
      </c>
      <c r="AQ212" s="5">
        <f t="shared" si="76"/>
        <v>0</v>
      </c>
      <c r="AR212" s="60"/>
      <c r="AS212" s="8">
        <f t="shared" si="77"/>
        <v>0</v>
      </c>
      <c r="AT212" s="5">
        <f t="shared" si="78"/>
        <v>0</v>
      </c>
      <c r="AU212" s="8">
        <f t="shared" ca="1" si="79"/>
        <v>0</v>
      </c>
      <c r="AV212" s="8">
        <f t="shared" ca="1" si="80"/>
        <v>0</v>
      </c>
      <c r="AW212" s="5">
        <f t="shared" ca="1" si="81"/>
        <v>0</v>
      </c>
      <c r="AX212" s="5">
        <f t="shared" ca="1" si="82"/>
        <v>0</v>
      </c>
      <c r="AY212" s="5">
        <f t="shared" si="83"/>
        <v>0</v>
      </c>
    </row>
    <row r="213" spans="25:51">
      <c r="Y213" s="13"/>
      <c r="AB213" s="5" t="b">
        <f t="shared" si="62"/>
        <v>0</v>
      </c>
      <c r="AC213" s="60">
        <f t="shared" si="63"/>
        <v>0</v>
      </c>
      <c r="AD213" s="5">
        <f t="shared" si="64"/>
        <v>0</v>
      </c>
      <c r="AE213" s="5">
        <f t="shared" si="65"/>
        <v>0</v>
      </c>
      <c r="AF213" s="5">
        <f t="shared" si="66"/>
        <v>0</v>
      </c>
      <c r="AG213" s="5">
        <f t="shared" si="67"/>
        <v>0</v>
      </c>
      <c r="AH213" s="5">
        <f t="shared" si="68"/>
        <v>0</v>
      </c>
      <c r="AI213" s="5">
        <f t="shared" si="69"/>
        <v>0</v>
      </c>
      <c r="AJ213" s="5">
        <f t="shared" si="70"/>
        <v>0</v>
      </c>
      <c r="AL213" s="5">
        <f t="shared" si="71"/>
        <v>0</v>
      </c>
      <c r="AM213" s="8">
        <f t="shared" ca="1" si="72"/>
        <v>0</v>
      </c>
      <c r="AN213" s="8">
        <f t="shared" ca="1" si="73"/>
        <v>0</v>
      </c>
      <c r="AO213" s="5">
        <f t="shared" ca="1" si="74"/>
        <v>0</v>
      </c>
      <c r="AP213" s="5">
        <f t="shared" ca="1" si="75"/>
        <v>0</v>
      </c>
      <c r="AQ213" s="5">
        <f t="shared" si="76"/>
        <v>0</v>
      </c>
      <c r="AR213" s="60"/>
      <c r="AS213" s="8">
        <f t="shared" si="77"/>
        <v>0</v>
      </c>
      <c r="AT213" s="5">
        <f t="shared" si="78"/>
        <v>0</v>
      </c>
      <c r="AU213" s="8">
        <f t="shared" ca="1" si="79"/>
        <v>0</v>
      </c>
      <c r="AV213" s="8">
        <f t="shared" ca="1" si="80"/>
        <v>0</v>
      </c>
      <c r="AW213" s="5">
        <f t="shared" ca="1" si="81"/>
        <v>0</v>
      </c>
      <c r="AX213" s="5">
        <f t="shared" ca="1" si="82"/>
        <v>0</v>
      </c>
      <c r="AY213" s="5">
        <f t="shared" si="83"/>
        <v>0</v>
      </c>
    </row>
    <row r="214" spans="25:51">
      <c r="Y214" s="13"/>
      <c r="AB214" s="5" t="b">
        <f t="shared" si="62"/>
        <v>0</v>
      </c>
      <c r="AC214" s="60">
        <f t="shared" si="63"/>
        <v>0</v>
      </c>
      <c r="AD214" s="5">
        <f t="shared" si="64"/>
        <v>0</v>
      </c>
      <c r="AE214" s="5">
        <f t="shared" si="65"/>
        <v>0</v>
      </c>
      <c r="AF214" s="5">
        <f t="shared" si="66"/>
        <v>0</v>
      </c>
      <c r="AG214" s="5">
        <f t="shared" si="67"/>
        <v>0</v>
      </c>
      <c r="AH214" s="5">
        <f t="shared" si="68"/>
        <v>0</v>
      </c>
      <c r="AI214" s="5">
        <f t="shared" si="69"/>
        <v>0</v>
      </c>
      <c r="AJ214" s="5">
        <f t="shared" si="70"/>
        <v>0</v>
      </c>
      <c r="AL214" s="5">
        <f t="shared" si="71"/>
        <v>0</v>
      </c>
      <c r="AM214" s="8">
        <f t="shared" ca="1" si="72"/>
        <v>0</v>
      </c>
      <c r="AN214" s="8">
        <f t="shared" ca="1" si="73"/>
        <v>0</v>
      </c>
      <c r="AO214" s="5">
        <f t="shared" ca="1" si="74"/>
        <v>0</v>
      </c>
      <c r="AP214" s="5">
        <f t="shared" ca="1" si="75"/>
        <v>0</v>
      </c>
      <c r="AQ214" s="5">
        <f t="shared" si="76"/>
        <v>0</v>
      </c>
      <c r="AR214" s="60"/>
      <c r="AS214" s="8">
        <f t="shared" si="77"/>
        <v>0</v>
      </c>
      <c r="AT214" s="5">
        <f t="shared" si="78"/>
        <v>0</v>
      </c>
      <c r="AU214" s="8">
        <f t="shared" ca="1" si="79"/>
        <v>0</v>
      </c>
      <c r="AV214" s="8">
        <f t="shared" ca="1" si="80"/>
        <v>0</v>
      </c>
      <c r="AW214" s="5">
        <f t="shared" ca="1" si="81"/>
        <v>0</v>
      </c>
      <c r="AX214" s="5">
        <f t="shared" ca="1" si="82"/>
        <v>0</v>
      </c>
      <c r="AY214" s="5">
        <f t="shared" si="83"/>
        <v>0</v>
      </c>
    </row>
    <row r="215" spans="25:51">
      <c r="Y215" s="13"/>
      <c r="AB215" s="5" t="b">
        <f t="shared" si="62"/>
        <v>0</v>
      </c>
      <c r="AC215" s="60">
        <f t="shared" si="63"/>
        <v>0</v>
      </c>
      <c r="AD215" s="5">
        <f t="shared" si="64"/>
        <v>0</v>
      </c>
      <c r="AE215" s="5">
        <f t="shared" si="65"/>
        <v>0</v>
      </c>
      <c r="AF215" s="5">
        <f t="shared" si="66"/>
        <v>0</v>
      </c>
      <c r="AG215" s="5">
        <f t="shared" si="67"/>
        <v>0</v>
      </c>
      <c r="AH215" s="5">
        <f t="shared" si="68"/>
        <v>0</v>
      </c>
      <c r="AI215" s="5">
        <f t="shared" si="69"/>
        <v>0</v>
      </c>
      <c r="AJ215" s="5">
        <f t="shared" si="70"/>
        <v>0</v>
      </c>
      <c r="AL215" s="5">
        <f t="shared" si="71"/>
        <v>0</v>
      </c>
      <c r="AM215" s="8">
        <f t="shared" ca="1" si="72"/>
        <v>0</v>
      </c>
      <c r="AN215" s="8">
        <f t="shared" ca="1" si="73"/>
        <v>0</v>
      </c>
      <c r="AO215" s="5">
        <f t="shared" ca="1" si="74"/>
        <v>0</v>
      </c>
      <c r="AP215" s="5">
        <f t="shared" ca="1" si="75"/>
        <v>0</v>
      </c>
      <c r="AQ215" s="5">
        <f t="shared" si="76"/>
        <v>0</v>
      </c>
      <c r="AR215" s="60"/>
      <c r="AS215" s="8">
        <f t="shared" si="77"/>
        <v>0</v>
      </c>
      <c r="AT215" s="5">
        <f t="shared" si="78"/>
        <v>0</v>
      </c>
      <c r="AU215" s="8">
        <f t="shared" ca="1" si="79"/>
        <v>0</v>
      </c>
      <c r="AV215" s="8">
        <f t="shared" ca="1" si="80"/>
        <v>0</v>
      </c>
      <c r="AW215" s="5">
        <f t="shared" ca="1" si="81"/>
        <v>0</v>
      </c>
      <c r="AX215" s="5">
        <f t="shared" ca="1" si="82"/>
        <v>0</v>
      </c>
      <c r="AY215" s="5">
        <f t="shared" si="83"/>
        <v>0</v>
      </c>
    </row>
    <row r="216" spans="25:51">
      <c r="Y216" s="13"/>
      <c r="AB216" s="5" t="b">
        <f t="shared" si="62"/>
        <v>0</v>
      </c>
      <c r="AC216" s="60">
        <f t="shared" si="63"/>
        <v>0</v>
      </c>
      <c r="AD216" s="5">
        <f t="shared" si="64"/>
        <v>0</v>
      </c>
      <c r="AE216" s="5">
        <f t="shared" si="65"/>
        <v>0</v>
      </c>
      <c r="AF216" s="5">
        <f t="shared" si="66"/>
        <v>0</v>
      </c>
      <c r="AG216" s="5">
        <f t="shared" si="67"/>
        <v>0</v>
      </c>
      <c r="AH216" s="5">
        <f t="shared" si="68"/>
        <v>0</v>
      </c>
      <c r="AI216" s="5">
        <f t="shared" si="69"/>
        <v>0</v>
      </c>
      <c r="AJ216" s="5">
        <f t="shared" si="70"/>
        <v>0</v>
      </c>
      <c r="AL216" s="5">
        <f t="shared" si="71"/>
        <v>0</v>
      </c>
      <c r="AM216" s="8">
        <f t="shared" ca="1" si="72"/>
        <v>0</v>
      </c>
      <c r="AN216" s="8">
        <f t="shared" ca="1" si="73"/>
        <v>0</v>
      </c>
      <c r="AO216" s="5">
        <f t="shared" ca="1" si="74"/>
        <v>0</v>
      </c>
      <c r="AP216" s="5">
        <f t="shared" ca="1" si="75"/>
        <v>0</v>
      </c>
      <c r="AQ216" s="5">
        <f t="shared" si="76"/>
        <v>0</v>
      </c>
      <c r="AR216" s="60"/>
      <c r="AS216" s="8">
        <f t="shared" si="77"/>
        <v>0</v>
      </c>
      <c r="AT216" s="5">
        <f t="shared" si="78"/>
        <v>0</v>
      </c>
      <c r="AU216" s="8">
        <f t="shared" ca="1" si="79"/>
        <v>0</v>
      </c>
      <c r="AV216" s="8">
        <f t="shared" ca="1" si="80"/>
        <v>0</v>
      </c>
      <c r="AW216" s="5">
        <f t="shared" ca="1" si="81"/>
        <v>0</v>
      </c>
      <c r="AX216" s="5">
        <f t="shared" ca="1" si="82"/>
        <v>0</v>
      </c>
      <c r="AY216" s="5">
        <f t="shared" si="83"/>
        <v>0</v>
      </c>
    </row>
    <row r="217" spans="25:51">
      <c r="Y217" s="13"/>
      <c r="AB217" s="5" t="b">
        <f t="shared" si="62"/>
        <v>0</v>
      </c>
      <c r="AC217" s="60">
        <f t="shared" si="63"/>
        <v>0</v>
      </c>
      <c r="AD217" s="5">
        <f t="shared" si="64"/>
        <v>0</v>
      </c>
      <c r="AE217" s="5">
        <f t="shared" si="65"/>
        <v>0</v>
      </c>
      <c r="AF217" s="5">
        <f t="shared" si="66"/>
        <v>0</v>
      </c>
      <c r="AG217" s="5">
        <f t="shared" si="67"/>
        <v>0</v>
      </c>
      <c r="AH217" s="5">
        <f t="shared" si="68"/>
        <v>0</v>
      </c>
      <c r="AI217" s="5">
        <f t="shared" si="69"/>
        <v>0</v>
      </c>
      <c r="AJ217" s="5">
        <f t="shared" si="70"/>
        <v>0</v>
      </c>
      <c r="AL217" s="5">
        <f t="shared" si="71"/>
        <v>0</v>
      </c>
      <c r="AM217" s="8">
        <f t="shared" ca="1" si="72"/>
        <v>0</v>
      </c>
      <c r="AN217" s="8">
        <f t="shared" ca="1" si="73"/>
        <v>0</v>
      </c>
      <c r="AO217" s="5">
        <f t="shared" ca="1" si="74"/>
        <v>0</v>
      </c>
      <c r="AP217" s="5">
        <f t="shared" ca="1" si="75"/>
        <v>0</v>
      </c>
      <c r="AQ217" s="5">
        <f t="shared" si="76"/>
        <v>0</v>
      </c>
      <c r="AR217" s="60"/>
      <c r="AS217" s="8">
        <f t="shared" si="77"/>
        <v>0</v>
      </c>
      <c r="AT217" s="5">
        <f t="shared" si="78"/>
        <v>0</v>
      </c>
      <c r="AU217" s="8">
        <f t="shared" ca="1" si="79"/>
        <v>0</v>
      </c>
      <c r="AV217" s="8">
        <f t="shared" ca="1" si="80"/>
        <v>0</v>
      </c>
      <c r="AW217" s="5">
        <f t="shared" ca="1" si="81"/>
        <v>0</v>
      </c>
      <c r="AX217" s="5">
        <f t="shared" ca="1" si="82"/>
        <v>0</v>
      </c>
      <c r="AY217" s="5">
        <f t="shared" si="83"/>
        <v>0</v>
      </c>
    </row>
    <row r="218" spans="25:51">
      <c r="Y218" s="13"/>
      <c r="AB218" s="5" t="b">
        <f t="shared" si="62"/>
        <v>0</v>
      </c>
      <c r="AC218" s="60">
        <f t="shared" si="63"/>
        <v>0</v>
      </c>
      <c r="AD218" s="5">
        <f t="shared" si="64"/>
        <v>0</v>
      </c>
      <c r="AE218" s="5">
        <f t="shared" si="65"/>
        <v>0</v>
      </c>
      <c r="AF218" s="5">
        <f t="shared" si="66"/>
        <v>0</v>
      </c>
      <c r="AG218" s="5">
        <f t="shared" si="67"/>
        <v>0</v>
      </c>
      <c r="AH218" s="5">
        <f t="shared" si="68"/>
        <v>0</v>
      </c>
      <c r="AI218" s="5">
        <f t="shared" si="69"/>
        <v>0</v>
      </c>
      <c r="AJ218" s="5">
        <f t="shared" si="70"/>
        <v>0</v>
      </c>
      <c r="AL218" s="5">
        <f t="shared" si="71"/>
        <v>0</v>
      </c>
      <c r="AM218" s="8">
        <f t="shared" ca="1" si="72"/>
        <v>0</v>
      </c>
      <c r="AN218" s="8">
        <f t="shared" ca="1" si="73"/>
        <v>0</v>
      </c>
      <c r="AO218" s="5">
        <f t="shared" ca="1" si="74"/>
        <v>0</v>
      </c>
      <c r="AP218" s="5">
        <f t="shared" ca="1" si="75"/>
        <v>0</v>
      </c>
      <c r="AQ218" s="5">
        <f t="shared" si="76"/>
        <v>0</v>
      </c>
      <c r="AR218" s="60"/>
      <c r="AS218" s="8">
        <f t="shared" si="77"/>
        <v>0</v>
      </c>
      <c r="AT218" s="5">
        <f t="shared" si="78"/>
        <v>0</v>
      </c>
      <c r="AU218" s="8">
        <f t="shared" ca="1" si="79"/>
        <v>0</v>
      </c>
      <c r="AV218" s="8">
        <f t="shared" ca="1" si="80"/>
        <v>0</v>
      </c>
      <c r="AW218" s="5">
        <f t="shared" ca="1" si="81"/>
        <v>0</v>
      </c>
      <c r="AX218" s="5">
        <f t="shared" ca="1" si="82"/>
        <v>0</v>
      </c>
      <c r="AY218" s="5">
        <f t="shared" si="83"/>
        <v>0</v>
      </c>
    </row>
    <row r="219" spans="25:51">
      <c r="Y219" s="13"/>
      <c r="AB219" s="5" t="b">
        <f t="shared" si="62"/>
        <v>0</v>
      </c>
      <c r="AC219" s="60">
        <f t="shared" si="63"/>
        <v>0</v>
      </c>
      <c r="AD219" s="5">
        <f t="shared" si="64"/>
        <v>0</v>
      </c>
      <c r="AE219" s="5">
        <f t="shared" si="65"/>
        <v>0</v>
      </c>
      <c r="AF219" s="5">
        <f t="shared" si="66"/>
        <v>0</v>
      </c>
      <c r="AG219" s="5">
        <f t="shared" si="67"/>
        <v>0</v>
      </c>
      <c r="AH219" s="5">
        <f t="shared" si="68"/>
        <v>0</v>
      </c>
      <c r="AI219" s="5">
        <f t="shared" si="69"/>
        <v>0</v>
      </c>
      <c r="AJ219" s="5">
        <f t="shared" si="70"/>
        <v>0</v>
      </c>
      <c r="AL219" s="5">
        <f t="shared" si="71"/>
        <v>0</v>
      </c>
      <c r="AM219" s="8">
        <f t="shared" ca="1" si="72"/>
        <v>0</v>
      </c>
      <c r="AN219" s="8">
        <f t="shared" ca="1" si="73"/>
        <v>0</v>
      </c>
      <c r="AO219" s="5">
        <f t="shared" ca="1" si="74"/>
        <v>0</v>
      </c>
      <c r="AP219" s="5">
        <f t="shared" ca="1" si="75"/>
        <v>0</v>
      </c>
      <c r="AQ219" s="5">
        <f t="shared" si="76"/>
        <v>0</v>
      </c>
      <c r="AR219" s="60"/>
      <c r="AS219" s="8">
        <f t="shared" si="77"/>
        <v>0</v>
      </c>
      <c r="AT219" s="5">
        <f t="shared" si="78"/>
        <v>0</v>
      </c>
      <c r="AU219" s="8">
        <f t="shared" ca="1" si="79"/>
        <v>0</v>
      </c>
      <c r="AV219" s="8">
        <f t="shared" ca="1" si="80"/>
        <v>0</v>
      </c>
      <c r="AW219" s="5">
        <f t="shared" ca="1" si="81"/>
        <v>0</v>
      </c>
      <c r="AX219" s="5">
        <f t="shared" ca="1" si="82"/>
        <v>0</v>
      </c>
      <c r="AY219" s="5">
        <f t="shared" si="83"/>
        <v>0</v>
      </c>
    </row>
    <row r="220" spans="25:51">
      <c r="Y220" s="13"/>
      <c r="AB220" s="5" t="b">
        <f t="shared" si="62"/>
        <v>0</v>
      </c>
      <c r="AC220" s="60">
        <f t="shared" si="63"/>
        <v>0</v>
      </c>
      <c r="AD220" s="5">
        <f t="shared" si="64"/>
        <v>0</v>
      </c>
      <c r="AE220" s="5">
        <f t="shared" si="65"/>
        <v>0</v>
      </c>
      <c r="AF220" s="5">
        <f t="shared" si="66"/>
        <v>0</v>
      </c>
      <c r="AG220" s="5">
        <f t="shared" si="67"/>
        <v>0</v>
      </c>
      <c r="AH220" s="5">
        <f t="shared" si="68"/>
        <v>0</v>
      </c>
      <c r="AI220" s="5">
        <f t="shared" si="69"/>
        <v>0</v>
      </c>
      <c r="AJ220" s="5">
        <f t="shared" si="70"/>
        <v>0</v>
      </c>
      <c r="AL220" s="5">
        <f t="shared" si="71"/>
        <v>0</v>
      </c>
      <c r="AM220" s="8">
        <f t="shared" ca="1" si="72"/>
        <v>0</v>
      </c>
      <c r="AN220" s="8">
        <f t="shared" ca="1" si="73"/>
        <v>0</v>
      </c>
      <c r="AO220" s="5">
        <f t="shared" ca="1" si="74"/>
        <v>0</v>
      </c>
      <c r="AP220" s="5">
        <f t="shared" ca="1" si="75"/>
        <v>0</v>
      </c>
      <c r="AQ220" s="5">
        <f t="shared" si="76"/>
        <v>0</v>
      </c>
      <c r="AR220" s="60"/>
      <c r="AS220" s="8">
        <f t="shared" si="77"/>
        <v>0</v>
      </c>
      <c r="AT220" s="5">
        <f t="shared" si="78"/>
        <v>0</v>
      </c>
      <c r="AU220" s="8">
        <f t="shared" ca="1" si="79"/>
        <v>0</v>
      </c>
      <c r="AV220" s="8">
        <f t="shared" ca="1" si="80"/>
        <v>0</v>
      </c>
      <c r="AW220" s="5">
        <f t="shared" ca="1" si="81"/>
        <v>0</v>
      </c>
      <c r="AX220" s="5">
        <f t="shared" ca="1" si="82"/>
        <v>0</v>
      </c>
      <c r="AY220" s="5">
        <f t="shared" si="83"/>
        <v>0</v>
      </c>
    </row>
    <row r="221" spans="25:51">
      <c r="Y221" s="13"/>
      <c r="AB221" s="5" t="b">
        <f t="shared" si="62"/>
        <v>0</v>
      </c>
      <c r="AC221" s="60">
        <f t="shared" si="63"/>
        <v>0</v>
      </c>
      <c r="AD221" s="5">
        <f t="shared" si="64"/>
        <v>0</v>
      </c>
      <c r="AE221" s="5">
        <f t="shared" si="65"/>
        <v>0</v>
      </c>
      <c r="AF221" s="5">
        <f t="shared" si="66"/>
        <v>0</v>
      </c>
      <c r="AG221" s="5">
        <f t="shared" si="67"/>
        <v>0</v>
      </c>
      <c r="AH221" s="5">
        <f t="shared" si="68"/>
        <v>0</v>
      </c>
      <c r="AI221" s="5">
        <f t="shared" si="69"/>
        <v>0</v>
      </c>
      <c r="AJ221" s="5">
        <f t="shared" si="70"/>
        <v>0</v>
      </c>
      <c r="AL221" s="5">
        <f t="shared" si="71"/>
        <v>0</v>
      </c>
      <c r="AM221" s="8">
        <f t="shared" ca="1" si="72"/>
        <v>0</v>
      </c>
      <c r="AN221" s="8">
        <f t="shared" ca="1" si="73"/>
        <v>0</v>
      </c>
      <c r="AO221" s="5">
        <f t="shared" ca="1" si="74"/>
        <v>0</v>
      </c>
      <c r="AP221" s="5">
        <f t="shared" ca="1" si="75"/>
        <v>0</v>
      </c>
      <c r="AQ221" s="5">
        <f t="shared" si="76"/>
        <v>0</v>
      </c>
      <c r="AR221" s="60"/>
      <c r="AS221" s="8">
        <f t="shared" si="77"/>
        <v>0</v>
      </c>
      <c r="AT221" s="5">
        <f t="shared" si="78"/>
        <v>0</v>
      </c>
      <c r="AU221" s="8">
        <f t="shared" ca="1" si="79"/>
        <v>0</v>
      </c>
      <c r="AV221" s="8">
        <f t="shared" ca="1" si="80"/>
        <v>0</v>
      </c>
      <c r="AW221" s="5">
        <f t="shared" ca="1" si="81"/>
        <v>0</v>
      </c>
      <c r="AX221" s="5">
        <f t="shared" ca="1" si="82"/>
        <v>0</v>
      </c>
      <c r="AY221" s="5">
        <f t="shared" si="83"/>
        <v>0</v>
      </c>
    </row>
    <row r="222" spans="25:51">
      <c r="Y222" s="13"/>
      <c r="AB222" s="5" t="b">
        <f t="shared" si="62"/>
        <v>0</v>
      </c>
      <c r="AC222" s="60">
        <f t="shared" si="63"/>
        <v>0</v>
      </c>
      <c r="AD222" s="5">
        <f t="shared" si="64"/>
        <v>0</v>
      </c>
      <c r="AE222" s="5">
        <f t="shared" si="65"/>
        <v>0</v>
      </c>
      <c r="AF222" s="5">
        <f t="shared" si="66"/>
        <v>0</v>
      </c>
      <c r="AG222" s="5">
        <f t="shared" si="67"/>
        <v>0</v>
      </c>
      <c r="AH222" s="5">
        <f t="shared" si="68"/>
        <v>0</v>
      </c>
      <c r="AI222" s="5">
        <f t="shared" si="69"/>
        <v>0</v>
      </c>
      <c r="AJ222" s="5">
        <f t="shared" si="70"/>
        <v>0</v>
      </c>
      <c r="AL222" s="5">
        <f t="shared" si="71"/>
        <v>0</v>
      </c>
      <c r="AM222" s="8">
        <f t="shared" ca="1" si="72"/>
        <v>0</v>
      </c>
      <c r="AN222" s="8">
        <f t="shared" ca="1" si="73"/>
        <v>0</v>
      </c>
      <c r="AO222" s="5">
        <f t="shared" ca="1" si="74"/>
        <v>0</v>
      </c>
      <c r="AP222" s="5">
        <f t="shared" ca="1" si="75"/>
        <v>0</v>
      </c>
      <c r="AQ222" s="5">
        <f t="shared" si="76"/>
        <v>0</v>
      </c>
      <c r="AR222" s="60"/>
      <c r="AS222" s="8">
        <f t="shared" si="77"/>
        <v>0</v>
      </c>
      <c r="AT222" s="5">
        <f t="shared" si="78"/>
        <v>0</v>
      </c>
      <c r="AU222" s="8">
        <f t="shared" ca="1" si="79"/>
        <v>0</v>
      </c>
      <c r="AV222" s="8">
        <f t="shared" ca="1" si="80"/>
        <v>0</v>
      </c>
      <c r="AW222" s="5">
        <f t="shared" ca="1" si="81"/>
        <v>0</v>
      </c>
      <c r="AX222" s="5">
        <f t="shared" ca="1" si="82"/>
        <v>0</v>
      </c>
      <c r="AY222" s="5">
        <f t="shared" si="83"/>
        <v>0</v>
      </c>
    </row>
    <row r="223" spans="25:51">
      <c r="Y223" s="13"/>
      <c r="AB223" s="5" t="b">
        <f t="shared" si="62"/>
        <v>0</v>
      </c>
      <c r="AC223" s="60">
        <f t="shared" si="63"/>
        <v>0</v>
      </c>
      <c r="AD223" s="5">
        <f t="shared" si="64"/>
        <v>0</v>
      </c>
      <c r="AE223" s="5">
        <f t="shared" si="65"/>
        <v>0</v>
      </c>
      <c r="AF223" s="5">
        <f t="shared" si="66"/>
        <v>0</v>
      </c>
      <c r="AG223" s="5">
        <f t="shared" si="67"/>
        <v>0</v>
      </c>
      <c r="AH223" s="5">
        <f t="shared" si="68"/>
        <v>0</v>
      </c>
      <c r="AI223" s="5">
        <f t="shared" si="69"/>
        <v>0</v>
      </c>
      <c r="AJ223" s="5">
        <f t="shared" si="70"/>
        <v>0</v>
      </c>
      <c r="AL223" s="5">
        <f t="shared" si="71"/>
        <v>0</v>
      </c>
      <c r="AM223" s="8">
        <f t="shared" ca="1" si="72"/>
        <v>0</v>
      </c>
      <c r="AN223" s="8">
        <f t="shared" ca="1" si="73"/>
        <v>0</v>
      </c>
      <c r="AO223" s="5">
        <f t="shared" ca="1" si="74"/>
        <v>0</v>
      </c>
      <c r="AP223" s="5">
        <f t="shared" ca="1" si="75"/>
        <v>0</v>
      </c>
      <c r="AQ223" s="5">
        <f t="shared" si="76"/>
        <v>0</v>
      </c>
      <c r="AR223" s="60"/>
      <c r="AS223" s="8">
        <f t="shared" si="77"/>
        <v>0</v>
      </c>
      <c r="AT223" s="5">
        <f t="shared" si="78"/>
        <v>0</v>
      </c>
      <c r="AU223" s="8">
        <f t="shared" ca="1" si="79"/>
        <v>0</v>
      </c>
      <c r="AV223" s="8">
        <f t="shared" ca="1" si="80"/>
        <v>0</v>
      </c>
      <c r="AW223" s="5">
        <f t="shared" ca="1" si="81"/>
        <v>0</v>
      </c>
      <c r="AX223" s="5">
        <f t="shared" ca="1" si="82"/>
        <v>0</v>
      </c>
      <c r="AY223" s="5">
        <f t="shared" si="83"/>
        <v>0</v>
      </c>
    </row>
    <row r="224" spans="25:51">
      <c r="Y224" s="13"/>
      <c r="AB224" s="5" t="b">
        <f t="shared" si="62"/>
        <v>0</v>
      </c>
      <c r="AC224" s="60">
        <f t="shared" si="63"/>
        <v>0</v>
      </c>
      <c r="AD224" s="5">
        <f t="shared" si="64"/>
        <v>0</v>
      </c>
      <c r="AE224" s="5">
        <f t="shared" si="65"/>
        <v>0</v>
      </c>
      <c r="AF224" s="5">
        <f t="shared" si="66"/>
        <v>0</v>
      </c>
      <c r="AG224" s="5">
        <f t="shared" si="67"/>
        <v>0</v>
      </c>
      <c r="AH224" s="5">
        <f t="shared" si="68"/>
        <v>0</v>
      </c>
      <c r="AI224" s="5">
        <f t="shared" si="69"/>
        <v>0</v>
      </c>
      <c r="AJ224" s="5">
        <f t="shared" si="70"/>
        <v>0</v>
      </c>
      <c r="AL224" s="5">
        <f t="shared" si="71"/>
        <v>0</v>
      </c>
      <c r="AM224" s="8">
        <f t="shared" ca="1" si="72"/>
        <v>0</v>
      </c>
      <c r="AN224" s="8">
        <f t="shared" ca="1" si="73"/>
        <v>0</v>
      </c>
      <c r="AO224" s="5">
        <f t="shared" ca="1" si="74"/>
        <v>0</v>
      </c>
      <c r="AP224" s="5">
        <f t="shared" ca="1" si="75"/>
        <v>0</v>
      </c>
      <c r="AQ224" s="5">
        <f t="shared" si="76"/>
        <v>0</v>
      </c>
      <c r="AR224" s="60"/>
      <c r="AS224" s="8">
        <f t="shared" si="77"/>
        <v>0</v>
      </c>
      <c r="AT224" s="5">
        <f t="shared" si="78"/>
        <v>0</v>
      </c>
      <c r="AU224" s="8">
        <f t="shared" ca="1" si="79"/>
        <v>0</v>
      </c>
      <c r="AV224" s="8">
        <f t="shared" ca="1" si="80"/>
        <v>0</v>
      </c>
      <c r="AW224" s="5">
        <f t="shared" ca="1" si="81"/>
        <v>0</v>
      </c>
      <c r="AX224" s="5">
        <f t="shared" ca="1" si="82"/>
        <v>0</v>
      </c>
      <c r="AY224" s="5">
        <f t="shared" si="83"/>
        <v>0</v>
      </c>
    </row>
    <row r="225" spans="25:51">
      <c r="Y225" s="13"/>
      <c r="AB225" s="5" t="b">
        <f t="shared" si="62"/>
        <v>0</v>
      </c>
      <c r="AC225" s="60">
        <f t="shared" si="63"/>
        <v>0</v>
      </c>
      <c r="AD225" s="5">
        <f t="shared" si="64"/>
        <v>0</v>
      </c>
      <c r="AE225" s="5">
        <f t="shared" si="65"/>
        <v>0</v>
      </c>
      <c r="AF225" s="5">
        <f t="shared" si="66"/>
        <v>0</v>
      </c>
      <c r="AG225" s="5">
        <f t="shared" si="67"/>
        <v>0</v>
      </c>
      <c r="AH225" s="5">
        <f t="shared" si="68"/>
        <v>0</v>
      </c>
      <c r="AI225" s="5">
        <f t="shared" si="69"/>
        <v>0</v>
      </c>
      <c r="AJ225" s="5">
        <f t="shared" si="70"/>
        <v>0</v>
      </c>
      <c r="AL225" s="5">
        <f t="shared" si="71"/>
        <v>0</v>
      </c>
      <c r="AM225" s="8">
        <f t="shared" ca="1" si="72"/>
        <v>0</v>
      </c>
      <c r="AN225" s="8">
        <f t="shared" ca="1" si="73"/>
        <v>0</v>
      </c>
      <c r="AO225" s="5">
        <f t="shared" ca="1" si="74"/>
        <v>0</v>
      </c>
      <c r="AP225" s="5">
        <f t="shared" ca="1" si="75"/>
        <v>0</v>
      </c>
      <c r="AQ225" s="5">
        <f t="shared" si="76"/>
        <v>0</v>
      </c>
      <c r="AR225" s="60"/>
      <c r="AS225" s="8">
        <f t="shared" si="77"/>
        <v>0</v>
      </c>
      <c r="AT225" s="5">
        <f t="shared" si="78"/>
        <v>0</v>
      </c>
      <c r="AU225" s="8">
        <f t="shared" ca="1" si="79"/>
        <v>0</v>
      </c>
      <c r="AV225" s="8">
        <f t="shared" ca="1" si="80"/>
        <v>0</v>
      </c>
      <c r="AW225" s="5">
        <f t="shared" ca="1" si="81"/>
        <v>0</v>
      </c>
      <c r="AX225" s="5">
        <f t="shared" ca="1" si="82"/>
        <v>0</v>
      </c>
      <c r="AY225" s="5">
        <f t="shared" si="83"/>
        <v>0</v>
      </c>
    </row>
    <row r="226" spans="25:51">
      <c r="Y226" s="13"/>
      <c r="AB226" s="5" t="b">
        <f t="shared" si="62"/>
        <v>0</v>
      </c>
      <c r="AC226" s="60">
        <f t="shared" si="63"/>
        <v>0</v>
      </c>
      <c r="AD226" s="5">
        <f t="shared" si="64"/>
        <v>0</v>
      </c>
      <c r="AE226" s="5">
        <f t="shared" si="65"/>
        <v>0</v>
      </c>
      <c r="AF226" s="5">
        <f t="shared" si="66"/>
        <v>0</v>
      </c>
      <c r="AG226" s="5">
        <f t="shared" si="67"/>
        <v>0</v>
      </c>
      <c r="AH226" s="5">
        <f t="shared" si="68"/>
        <v>0</v>
      </c>
      <c r="AI226" s="5">
        <f t="shared" si="69"/>
        <v>0</v>
      </c>
      <c r="AJ226" s="5">
        <f t="shared" si="70"/>
        <v>0</v>
      </c>
      <c r="AL226" s="5">
        <f t="shared" si="71"/>
        <v>0</v>
      </c>
      <c r="AM226" s="8">
        <f t="shared" ca="1" si="72"/>
        <v>0</v>
      </c>
      <c r="AN226" s="8">
        <f t="shared" ca="1" si="73"/>
        <v>0</v>
      </c>
      <c r="AO226" s="5">
        <f t="shared" ca="1" si="74"/>
        <v>0</v>
      </c>
      <c r="AP226" s="5">
        <f t="shared" ca="1" si="75"/>
        <v>0</v>
      </c>
      <c r="AQ226" s="5">
        <f t="shared" si="76"/>
        <v>0</v>
      </c>
      <c r="AR226" s="60"/>
      <c r="AS226" s="8">
        <f t="shared" si="77"/>
        <v>0</v>
      </c>
      <c r="AT226" s="5">
        <f t="shared" si="78"/>
        <v>0</v>
      </c>
      <c r="AU226" s="8">
        <f t="shared" ca="1" si="79"/>
        <v>0</v>
      </c>
      <c r="AV226" s="8">
        <f t="shared" ca="1" si="80"/>
        <v>0</v>
      </c>
      <c r="AW226" s="5">
        <f t="shared" ca="1" si="81"/>
        <v>0</v>
      </c>
      <c r="AX226" s="5">
        <f t="shared" ca="1" si="82"/>
        <v>0</v>
      </c>
      <c r="AY226" s="5">
        <f t="shared" si="83"/>
        <v>0</v>
      </c>
    </row>
    <row r="227" spans="25:51">
      <c r="Y227" s="13"/>
      <c r="AB227" s="5" t="b">
        <f t="shared" si="62"/>
        <v>0</v>
      </c>
      <c r="AC227" s="60">
        <f t="shared" si="63"/>
        <v>0</v>
      </c>
      <c r="AD227" s="5">
        <f t="shared" si="64"/>
        <v>0</v>
      </c>
      <c r="AE227" s="5">
        <f t="shared" si="65"/>
        <v>0</v>
      </c>
      <c r="AF227" s="5">
        <f t="shared" si="66"/>
        <v>0</v>
      </c>
      <c r="AG227" s="5">
        <f t="shared" si="67"/>
        <v>0</v>
      </c>
      <c r="AH227" s="5">
        <f t="shared" si="68"/>
        <v>0</v>
      </c>
      <c r="AI227" s="5">
        <f t="shared" si="69"/>
        <v>0</v>
      </c>
      <c r="AJ227" s="5">
        <f t="shared" si="70"/>
        <v>0</v>
      </c>
      <c r="AL227" s="5">
        <f t="shared" si="71"/>
        <v>0</v>
      </c>
      <c r="AM227" s="8">
        <f t="shared" ca="1" si="72"/>
        <v>0</v>
      </c>
      <c r="AN227" s="8">
        <f t="shared" ca="1" si="73"/>
        <v>0</v>
      </c>
      <c r="AO227" s="5">
        <f t="shared" ca="1" si="74"/>
        <v>0</v>
      </c>
      <c r="AP227" s="5">
        <f t="shared" ca="1" si="75"/>
        <v>0</v>
      </c>
      <c r="AQ227" s="5">
        <f t="shared" si="76"/>
        <v>0</v>
      </c>
      <c r="AR227" s="60"/>
      <c r="AS227" s="8">
        <f t="shared" si="77"/>
        <v>0</v>
      </c>
      <c r="AT227" s="5">
        <f t="shared" si="78"/>
        <v>0</v>
      </c>
      <c r="AU227" s="8">
        <f t="shared" ca="1" si="79"/>
        <v>0</v>
      </c>
      <c r="AV227" s="8">
        <f t="shared" ca="1" si="80"/>
        <v>0</v>
      </c>
      <c r="AW227" s="5">
        <f t="shared" ca="1" si="81"/>
        <v>0</v>
      </c>
      <c r="AX227" s="5">
        <f t="shared" ca="1" si="82"/>
        <v>0</v>
      </c>
      <c r="AY227" s="5">
        <f t="shared" si="83"/>
        <v>0</v>
      </c>
    </row>
    <row r="228" spans="25:51">
      <c r="Y228" s="13"/>
    </row>
    <row r="229" spans="25:51">
      <c r="Y229" s="13"/>
    </row>
    <row r="230" spans="25:51">
      <c r="Y230" s="13"/>
    </row>
    <row r="231" spans="25:51">
      <c r="Y231" s="13"/>
    </row>
    <row r="232" spans="25:51">
      <c r="Y232" s="13"/>
    </row>
    <row r="233" spans="25:51">
      <c r="Y233" s="13"/>
    </row>
    <row r="234" spans="25:51">
      <c r="Y234" s="13"/>
    </row>
    <row r="235" spans="25:51">
      <c r="Y235" s="13"/>
    </row>
    <row r="236" spans="25:51">
      <c r="Y236" s="13"/>
    </row>
    <row r="237" spans="25:51">
      <c r="Y237" s="13"/>
    </row>
    <row r="238" spans="25:51">
      <c r="Y238" s="13"/>
    </row>
    <row r="239" spans="25:51">
      <c r="Y239" s="13"/>
    </row>
    <row r="240" spans="25:51">
      <c r="Y240" s="13"/>
    </row>
    <row r="241" spans="25:25">
      <c r="Y241" s="13"/>
    </row>
    <row r="242" spans="25:25">
      <c r="Y242" s="13"/>
    </row>
    <row r="243" spans="25:25">
      <c r="Y243" s="13"/>
    </row>
    <row r="244" spans="25:25">
      <c r="Y244" s="13"/>
    </row>
    <row r="245" spans="25:25">
      <c r="Y245" s="13"/>
    </row>
    <row r="246" spans="25:25">
      <c r="Y246" s="13"/>
    </row>
    <row r="247" spans="25:25">
      <c r="Y247" s="13"/>
    </row>
    <row r="248" spans="25:25">
      <c r="Y248" s="13"/>
    </row>
    <row r="249" spans="25:25">
      <c r="Y249" s="13"/>
    </row>
    <row r="250" spans="25:25">
      <c r="Y250" s="13"/>
    </row>
    <row r="251" spans="25:25">
      <c r="Y251" s="13"/>
    </row>
    <row r="252" spans="25:25">
      <c r="Y252" s="13"/>
    </row>
    <row r="253" spans="25:25">
      <c r="Y253" s="13"/>
    </row>
    <row r="254" spans="25:25">
      <c r="Y254" s="13"/>
    </row>
    <row r="255" spans="25:25">
      <c r="Y255" s="13"/>
    </row>
    <row r="256" spans="25:25">
      <c r="Y256" s="13"/>
    </row>
    <row r="257" spans="25:25">
      <c r="Y257" s="13"/>
    </row>
    <row r="258" spans="25:25">
      <c r="Y258" s="13"/>
    </row>
    <row r="259" spans="25:25">
      <c r="Y259" s="13"/>
    </row>
    <row r="260" spans="25:25">
      <c r="Y260" s="13"/>
    </row>
    <row r="261" spans="25:25">
      <c r="Y261" s="13"/>
    </row>
    <row r="262" spans="25:25">
      <c r="Y262" s="13"/>
    </row>
    <row r="263" spans="25:25">
      <c r="Y263" s="13"/>
    </row>
    <row r="264" spans="25:25">
      <c r="Y264" s="13"/>
    </row>
    <row r="265" spans="25:25">
      <c r="Y265" s="13"/>
    </row>
    <row r="266" spans="25:25">
      <c r="Y266" s="13"/>
    </row>
    <row r="267" spans="25:25">
      <c r="Y267" s="13"/>
    </row>
    <row r="268" spans="25:25">
      <c r="Y268" s="13"/>
    </row>
    <row r="269" spans="25:25">
      <c r="Y269" s="13"/>
    </row>
    <row r="270" spans="25:25">
      <c r="Y270" s="13"/>
    </row>
    <row r="271" spans="25:25">
      <c r="Y271" s="13"/>
    </row>
    <row r="272" spans="25:25">
      <c r="Y272" s="13"/>
    </row>
    <row r="273" spans="25:25">
      <c r="Y273" s="13"/>
    </row>
    <row r="274" spans="25:25">
      <c r="Y274" s="13"/>
    </row>
    <row r="275" spans="25:25">
      <c r="Y275" s="13"/>
    </row>
    <row r="276" spans="25:25">
      <c r="Y276" s="13"/>
    </row>
    <row r="277" spans="25:25">
      <c r="Y277" s="13"/>
    </row>
    <row r="278" spans="25:25">
      <c r="Y278" s="13"/>
    </row>
    <row r="279" spans="25:25">
      <c r="Y279" s="13"/>
    </row>
    <row r="280" spans="25:25">
      <c r="Y280" s="13"/>
    </row>
    <row r="281" spans="25:25">
      <c r="Y281" s="13"/>
    </row>
    <row r="282" spans="25:25">
      <c r="Y282" s="13"/>
    </row>
    <row r="283" spans="25:25">
      <c r="Y283" s="13"/>
    </row>
    <row r="284" spans="25:25">
      <c r="Y284" s="13"/>
    </row>
    <row r="285" spans="25:25">
      <c r="Y285" s="13"/>
    </row>
    <row r="286" spans="25:25">
      <c r="Y286" s="13"/>
    </row>
    <row r="287" spans="25:25">
      <c r="Y287" s="13"/>
    </row>
    <row r="288" spans="25:25">
      <c r="Y288" s="13"/>
    </row>
    <row r="289" spans="25:25">
      <c r="Y289" s="13"/>
    </row>
    <row r="290" spans="25:25">
      <c r="Y290" s="13"/>
    </row>
    <row r="291" spans="25:25">
      <c r="Y291" s="13"/>
    </row>
    <row r="292" spans="25:25">
      <c r="Y292" s="13"/>
    </row>
    <row r="293" spans="25:25">
      <c r="Y293" s="13"/>
    </row>
    <row r="294" spans="25:25">
      <c r="Y294" s="13"/>
    </row>
    <row r="295" spans="25:25">
      <c r="Y295" s="13"/>
    </row>
    <row r="296" spans="25:25">
      <c r="Y296" s="13"/>
    </row>
    <row r="297" spans="25:25">
      <c r="Y297" s="13"/>
    </row>
    <row r="298" spans="25:25">
      <c r="Y298" s="13"/>
    </row>
    <row r="299" spans="25:25">
      <c r="Y299" s="13"/>
    </row>
    <row r="300" spans="25:25">
      <c r="Y300" s="13"/>
    </row>
    <row r="301" spans="25:25">
      <c r="Y301" s="13"/>
    </row>
    <row r="302" spans="25:25">
      <c r="Y302" s="13"/>
    </row>
    <row r="303" spans="25:25">
      <c r="Y303" s="13"/>
    </row>
    <row r="304" spans="25:25">
      <c r="Y304" s="13"/>
    </row>
    <row r="305" spans="25:25">
      <c r="Y305" s="13"/>
    </row>
    <row r="306" spans="25:25">
      <c r="Y306" s="13"/>
    </row>
    <row r="307" spans="25:25">
      <c r="Y307" s="13"/>
    </row>
    <row r="308" spans="25:25">
      <c r="Y308" s="13"/>
    </row>
    <row r="309" spans="25:25">
      <c r="Y309" s="13"/>
    </row>
    <row r="310" spans="25:25">
      <c r="Y310" s="13"/>
    </row>
    <row r="311" spans="25:25">
      <c r="Y311" s="13"/>
    </row>
    <row r="312" spans="25:25">
      <c r="Y312" s="13"/>
    </row>
    <row r="313" spans="25:25">
      <c r="Y313" s="13"/>
    </row>
    <row r="314" spans="25:25">
      <c r="Y314" s="13"/>
    </row>
    <row r="315" spans="25:25">
      <c r="Y315" s="13"/>
    </row>
    <row r="316" spans="25:25">
      <c r="Y316" s="13"/>
    </row>
    <row r="317" spans="25:25">
      <c r="Y317" s="13"/>
    </row>
    <row r="318" spans="25:25">
      <c r="Y318" s="13"/>
    </row>
    <row r="319" spans="25:25">
      <c r="Y319" s="13"/>
    </row>
    <row r="320" spans="25:25">
      <c r="Y320" s="13"/>
    </row>
    <row r="321" spans="25:25">
      <c r="Y321" s="13"/>
    </row>
    <row r="322" spans="25:25">
      <c r="Y322" s="13"/>
    </row>
    <row r="323" spans="25:25">
      <c r="Y323" s="13"/>
    </row>
    <row r="324" spans="25:25">
      <c r="Y324" s="13"/>
    </row>
    <row r="325" spans="25:25">
      <c r="Y325" s="13"/>
    </row>
    <row r="326" spans="25:25">
      <c r="Y326" s="13"/>
    </row>
    <row r="327" spans="25:25">
      <c r="Y327" s="13"/>
    </row>
    <row r="328" spans="25:25">
      <c r="Y328" s="13"/>
    </row>
    <row r="329" spans="25:25">
      <c r="Y329" s="13"/>
    </row>
    <row r="330" spans="25:25">
      <c r="Y330" s="13"/>
    </row>
    <row r="331" spans="25:25">
      <c r="Y331" s="13"/>
    </row>
    <row r="332" spans="25:25">
      <c r="Y332" s="13"/>
    </row>
    <row r="333" spans="25:25">
      <c r="Y333" s="13"/>
    </row>
    <row r="334" spans="25:25">
      <c r="Y334" s="13"/>
    </row>
    <row r="335" spans="25:25">
      <c r="Y335" s="13"/>
    </row>
    <row r="336" spans="25:25">
      <c r="Y336" s="13"/>
    </row>
    <row r="337" spans="25:25">
      <c r="Y337" s="13"/>
    </row>
    <row r="338" spans="25:25">
      <c r="Y338" s="13"/>
    </row>
    <row r="339" spans="25:25">
      <c r="Y339" s="13"/>
    </row>
    <row r="340" spans="25:25">
      <c r="Y340" s="13"/>
    </row>
    <row r="341" spans="25:25">
      <c r="Y341" s="13"/>
    </row>
    <row r="342" spans="25:25">
      <c r="Y342" s="13"/>
    </row>
    <row r="343" spans="25:25">
      <c r="Y343" s="13"/>
    </row>
    <row r="344" spans="25:25">
      <c r="Y344" s="13"/>
    </row>
    <row r="345" spans="25:25">
      <c r="Y345" s="13"/>
    </row>
    <row r="346" spans="25:25">
      <c r="Y346" s="13"/>
    </row>
    <row r="347" spans="25:25">
      <c r="Y347" s="13"/>
    </row>
    <row r="348" spans="25:25">
      <c r="Y348" s="13"/>
    </row>
    <row r="349" spans="25:25">
      <c r="Y349" s="13"/>
    </row>
    <row r="350" spans="25:25">
      <c r="Y350" s="13"/>
    </row>
    <row r="351" spans="25:25">
      <c r="Y351" s="13"/>
    </row>
    <row r="352" spans="25:25">
      <c r="Y352" s="13"/>
    </row>
    <row r="353" spans="25:25">
      <c r="Y353" s="13"/>
    </row>
    <row r="354" spans="25:25">
      <c r="Y354" s="13"/>
    </row>
    <row r="355" spans="25:25">
      <c r="Y355" s="13"/>
    </row>
    <row r="356" spans="25:25">
      <c r="Y356" s="13"/>
    </row>
    <row r="357" spans="25:25">
      <c r="Y357" s="13"/>
    </row>
    <row r="358" spans="25:25">
      <c r="Y358" s="13"/>
    </row>
    <row r="359" spans="25:25">
      <c r="Y359" s="13"/>
    </row>
    <row r="360" spans="25:25">
      <c r="Y360" s="13"/>
    </row>
    <row r="361" spans="25:25">
      <c r="Y361" s="13"/>
    </row>
    <row r="362" spans="25:25">
      <c r="Y362" s="13"/>
    </row>
    <row r="363" spans="25:25">
      <c r="Y363" s="13"/>
    </row>
    <row r="364" spans="25:25">
      <c r="Y364" s="13"/>
    </row>
    <row r="365" spans="25:25">
      <c r="Y365" s="13"/>
    </row>
    <row r="366" spans="25:25">
      <c r="Y366" s="13"/>
    </row>
    <row r="367" spans="25:25">
      <c r="Y367" s="13"/>
    </row>
    <row r="368" spans="25:25">
      <c r="Y368" s="13"/>
    </row>
    <row r="369" spans="25:25">
      <c r="Y369" s="13"/>
    </row>
    <row r="370" spans="25:25">
      <c r="Y370" s="13"/>
    </row>
    <row r="371" spans="25:25">
      <c r="Y371" s="13"/>
    </row>
    <row r="372" spans="25:25">
      <c r="Y372" s="13"/>
    </row>
    <row r="373" spans="25:25">
      <c r="Y373" s="13"/>
    </row>
    <row r="374" spans="25:25">
      <c r="Y374" s="13"/>
    </row>
    <row r="375" spans="25:25">
      <c r="Y375" s="13"/>
    </row>
    <row r="376" spans="25:25">
      <c r="Y376" s="13"/>
    </row>
  </sheetData>
  <mergeCells count="4">
    <mergeCell ref="G23:K25"/>
    <mergeCell ref="A8:B8"/>
    <mergeCell ref="G16:K18"/>
    <mergeCell ref="G20:K21"/>
  </mergeCells>
  <phoneticPr fontId="5" type="noConversion"/>
  <dataValidations count="1">
    <dataValidation type="list" allowBlank="1" showInputMessage="1" showErrorMessage="1" sqref="B5">
      <formula1>$U$3:$U$9</formula1>
    </dataValidation>
  </dataValidations>
  <hyperlinks>
    <hyperlink ref="E30" r:id="rId1"/>
    <hyperlink ref="E31" r:id="rId2"/>
  </hyperlinks>
  <pageMargins left="0.75" right="0.75" top="1" bottom="1" header="0.5" footer="0.5"/>
  <pageSetup orientation="portrait" r:id="rId3"/>
  <headerFooter alignWithMargins="0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root xmlns="urn:NextGen/PropertyType/DocumentMetadata">
  <DocumentMetadata xmlns="" xmlns:xsi="http://www.w3.org/2001/XMLSchema-instance" xmlns:xsd="http://www.w3.org/2001/XMLSchema" Id="12035023" ReadOnly="true" OriginalId="12035023" Date="2019-08-14" PageCount="2" Class="Standard" FileType="ExcelM" Quality="Production" Type="Generic" Style="BlueDiamond" Title="Price Adjusted Spreads" TitleDiscipline="Credit Strategy" TitleIndustry="" TitleRegion="United States" SubTitle="Spreadsheet" Header="" DisplayRating="" DisplayRatingModifier="" DisplaySubject="" Url="http://researchauthoring.bankofamerica.com/Analyst/Femac/Team1277/Products/Price Adjusted Spreads_12035023.xlsm" ExternalUrl="http://research1.ml.com/C?q=eDcaqI0pZsk" ResearchUrl="http://rsch.baml.com/r?q=eDcaqI0pZsk" DataProduct="true" CustomDictionaryLanguage="EnglishUS" FrontPageValues="Credit Strategy&#10;United States" FrontPageEquityValues="United States" FrontPageDiscipline="Credit Strategy | " MimeType="application/vnd.ms-excel.sheet.macroEnabled.12">
    <Created Login="CORP\NBK2JSR" Name="Seliger, Yuri - RSCH AMRS" Time="2019-08-14T11:39:13.693-04:00"/>
    <Updated Login="CORP\NBKB4MV" Name="Yun, Jeffrey - RSCH AMRS" Time="2019-08-14T16:09:27.98-04:00"/>
    <CheckedOut Login="CORP\nbkb4mv" Name="Yun, Jeffrey - RSCH AMRS" Time="2019-08-14T18:19:27-04:00"/>
    <Synopsis>The spreadsheet calculates corporate bond spreads adjusted for bond dollar price. Please note that the spreadsheet requires Bloomberg and macros need to be enabled.</Synopsis>
    <Distribution GrisKey="XL2BBG" ResearchAlert="true" IncludeMacros="true">
      <Director>1DRLOGIC,1B93401,1B934106</Director>
      <Date xsi:nil="true"/>
      <ReleaseTime xsi:nil="true"/>
      <PublishDate xsi:nil="true"/>
    </Distribution>
    <Workflow State="Submitted" Action="ApproveContent" CanCheckOut="true">
      <Events>
        <DocumentEvent Login="CORP\nbszuin" Time="2019-08-14T11:39:17.877-04:00" Id="29299600" Version="512" Event="CheckIn" State="Draft"/>
        <DocumentEvent Login="CORP\nbszuin" Time="2019-08-14T11:39:17.96-04:00" Id="29299601" Version="512" Event="CheckOut" State="Draft"/>
        <DocumentEvent Login="CORP\NBK2JSR" Time="2019-08-14T11:39:44.97-04:00" Id="29299603" Version="512" Event="CheckIn" State="Draft"/>
        <DocumentEvent Login="CORP\NBK2JSR" Time="2019-08-14T11:39:47.703-04:00" Id="29299604" Version="512" Event="Submitted" State="Submitted"/>
        <DocumentEvent Login="CORP\NBKB4MV" Time="2019-08-14T16:02:11.17-04:00" Id="29300728" Version="512" Event="CheckOut" State="Submitted"/>
        <DocumentEvent Login="CORP\NBKB4MV" Time="2019-08-14T16:09:25.64-04:00" Id="29300732" Version="1024" Event="CheckIn" State="Submitted"/>
        <DocumentEvent Login="CORP\NBKB4MV" Time="2019-08-14T18:16:37.23-04:00" Id="29301425" Version="1024" Event="CheckOut" State="Submitted"/>
        <DocumentEvent Login="CORP\NBKB4MV" Time="2019-08-14T18:18:21.387-04:00" Id="29301430" Version="1024" Event="UndoCheckOut" State="Submitted"/>
        <DocumentEvent Login="CORP\NBKB4MV" Time="2019-08-14T18:19:27.48-04:00" Id="29301435" Version="1024" Event="CheckOut" State="Submitted"/>
      </Events>
      <SubmitDate>2019-08-14T11:39:43.1470484-04:00</SubmitDate>
      <NewClient xsi:nil="true"/>
      <ManagerInvolved xsi:nil="true"/>
      <RRCDisclosureRequired xsi:nil="true"/>
      <RRCReviewed xsi:nil="true"/>
    </Workflow>
    <Context Version="2019.3.4.1" MachineName="FA08CFDC4C27E">
      <Application Type="Excel" Version="14.0.7232"/>
      <Created Login="CORP\nbkb4mv" Time="2019-08-14T18:19:28.4059251-04:00"/>
      <User Id="2329" Name="Jeff Yun" WorkerId="036B6" LoginName="NBKB4MV" DomainName="CORP" Environment="" GrisAnalystCode="801046" FirstName="Jeffrey" LastName="Yun" JobRole="ANALYST" Title="Director" Email="jeffrey.yun@baml.com" OfficePhone="+1 415 676 3538" ShowOrganization="true" ShowTitle="true" ShowOfficePhone="true" ShowEmail="true" ComplianceOffice="New York" OperationOffice="New York" EditingOffice="New York" BusinessUnit="GL RESEARCH">
        <OverTheWallDate xsi:nil="true"/>
        <Organization Id="54" Name="BofAS"/>
        <Department Id="1720"/>
        <Country Id="1423" Name="United States" IsoCode="USA"/>
        <Region Id="34855" Name="Americas"/>
        <Roles>
          <Role Id="4" Name="Compliance"/>
        </Roles>
        <RDRRoles>
          <Role Id="9" Name="SA Review Role"/>
          <Role Id="10" Name="Compliance Support"/>
          <Role Id="55" Name="NG User"/>
          <Role Id="56" Name="CIO Author"/>
          <Role Id="1156" Name="FX Compliance"/>
          <Role Id="1158" Name="Macro Compliance"/>
          <Role Id="1175" Name="FX View"/>
          <Role Id="1176" Name="MACRO View"/>
          <Role Id="1256" Name="Reporting – Compliance General"/>
          <Role Id="1328" Name="RDW COMPLIANCE"/>
          <Role Id="1715" Name="Person Configurator"/>
        </RDRRoles>
        <Entitlements>
          <Entitlement Id="30" Name="Enable Interactive Charts"/>
        </Entitlements>
      </User>
      <Settings>
        <SerializableHashtable>
          <Item>
            <Key>SystemSettings</Key>
            <Value DeclaringType="ML.Rsch.Raw.Client.Authoring2.UI.Configuration.SystemSettings" Assembly="ML.Rsch.Raw.Client.Authoring2.UI">
              <SystemSettings xmlns:xsi="http://www.w3.org/2001/XMLSchema-instance" xmlns:xsd="http://www.w3.org/2001/XMLSchema" KeepChartStyle="true"/>
            </Value>
          </Item>
        </SerializableHashtable>
      </Settings>
    </Context>
    <Category Id="28" Name="Spreadsheet"/>
    <Template Id="414" Name="Excel Credit Model English (Blue Diamond)" Url="\\Liveupdate.rsch.ml.com\notouch\Production\NextGen\Authoring2\Templates\Excel\Excel Credit Model English BD.xltx" Title="English Credit Model" Style="BlueDiamond" Active="true"/>
    <Profile Id="53521" Name="Price Adjusted Spreads (Spreadsheet)" Active="true">
      <Role Id="55" Name="Research"/>
      <Group Id="11001" Name="Crossover-HY-HG-Credit Industry Strategy" Active="true"/>
      <Team Id="8c796962-98e0-4fa8-95c9-20855d6af663" Name="Seliger, Yuriy" CanSubmit="true" Active="true" SiteUrl="http://researchauthoring.bankofamerica.com/Analyst/Femac/Team1277">
        <TimeZone Id="10" Name="Eastern Time" DisplayName="(GMT-05:00) Eastern Time (US &amp; Canada)"/>
        <Role Id="55" Name="Research"/>
        <Primary Id="14369" Name="Yuri Seliger" LoginName="NBK2JSR" DomainName="CORP" GrisAnalystCode="102041" FirstName="Yuri" LastName="Seliger" JobRole="Strategist" Title="Credit Strategist" Email="yuri.seliger@baml.com" OfficePhone="+1 646 855 7209" PublishApproved="true" ComplianceOffice="New York" OperationOffice="New York" EditingOffice="New York">
          <OverTheWallDate xsi:nil="true"/>
          <Organization Id="54" Name="BofAS"/>
          <Country Id="1423" Name="United States" IsoCode="USA"/>
          <Region Id="34855" Name="Americas"/>
          <RDRRoles>
            <Role Id="31" Name="Team Analyst"/>
            <Role Id="55" Name="NG User"/>
            <Role Id="1095" Name="Analyst Assistant"/>
            <Role Id="1657" Name="Voice Blast Research User"/>
            <Role Id="1910" Name="GBV AMRS FICC Research Junior"/>
            <Role Id="1975" Name="Authenticated Conference Calls"/>
          </RDRRoles>
        </Primary>
      </Team>
    </Profile>
    <Priority Id="3" ReadOnly="true" Name="3 - Low"/>
    <AnalystTeams>
      <RDRGroup Id="4918" ReadOnly="true" AnalysisOffered="true" Type="Primary" Name="US IG Credit Strategy">
        <BusinessType Id="4406" Name="Credit Strategy"/>
      </RDRGroup>
    </AnalystTeams>
    <Languages>
      <Language Id="1" ReadOnly="true" AnalysisOffered="true" Type="Primary" Name="ENGLISH" Code="eng" Culture="en-US" DateFormat="dd MMMM yyyy"/>
    </Languages>
    <RelatedProducts>
      <RelatedProduct Id="12035095" Url="http://researcharchive.bankofamerica.com/GetDoc.aspx?id=12035095" Title="Situation Room" FileType="WordX" Date="2019-08-14" Relationship="Requires" State="Submitted" PrimaryFocus="AssetClass" FocusIdentifier="FixedIncome" Subtitle="Waypost Wednesday">
        <Category Id="1" Name="Report"/>
        <Profile Id="51531"/>
        <Author Id="16463" Name="Hans Mikkelsen">
          <OverTheWallDate xsi:nil="true"/>
        </Author>
      </RelatedProduct>
    </RelatedProducts>
    <Authors>
      <Person Id="14369" ReadOnly="true" AnalysisOffered="true" Type="Primary" Name="Yuri Seliger" Index="14" WorkerId="615C5" LoginName="NBK2JSR" DomainName="CORP" GrisAnalystCode="102041" FirstName="Yuri" LastName="Seliger" JobRole="Strategist" Title="Credit Strategist" Email="yuri.seliger@baml.com" OfficePhone="+1 646 855 7209" PublishApproved="true" AuthorBlock="true" VisibleOnReport="true" ShowOrganization="true" ShowTitle="true" ShowOfficePhone="true" ShowEmail="true" IncludeRSEmail="true" Readership="true" Searchable="true" ComplianceOffice="New York" OperationOffice="New York" EditingOffice="New York" BusinessUnit="GL RESEARCH" PSS="New York">
        <OverTheWallDate xsi:nil="true"/>
        <Organization Id="54" Name="BofAS"/>
        <Country Id="1423" Name="United States" IsoCode="USA"/>
        <Region Id="34855" Name="Americas"/>
      </Person>
    </Authors>
    <AssetClasses>
      <AssetClass Id="77" ReadOnly="true" AnalysisOffered="true" Type="Primary" Name="FixedIncome"/>
    </AssetClasses>
    <AssetTypes>
      <AssetType Id="7" ReadOnly="true" AnalysisOffered="true" Type="Primary" Name="CorporateInvestmentGradeCredit"/>
    </AssetTypes>
    <Subjects>
      <Subject Id="82" ReadOnly="true" AnalysisOffered="true" Type="Primary" Name="No Subject" Priority="Low"/>
    </Subjects>
    <Audiences>
      <Audience Id="24" ReadOnly="true" Name="Institutional-External"/>
      <Audience Id="25" ReadOnly="true" Name="Institutional-Internal"/>
    </Audiences>
    <Disciplines>
      <Discipline Id="42001" ReadOnly="true" AnalysisOffered="true" Type="Primary" Name="Strategy"/>
    </Disciplines>
    <MLDisciplines>
      <MLDiscipline Id="69880" ReadOnly="true" AnalysisOffered="true" Type="Primary" Name="Credit Strategy" Code="62"/>
    </MLDisciplines>
    <Countries>
      <Country Id="1423" ReadOnly="true" AnalysisOffered="true" Type="Primary" Name="United States" IsoCode="USA" Iso2Code="US"/>
    </Countries>
    <FocusAreas>
      <FocusArea Id="7" ReadOnly="true" AnalysisOffered="true" Type="Primary" Name="AssetType"/>
    </FocusAreas>
    <Footnotes>
      <Footnote Id="101384" Name="Spreadsheet Product" FootnoteCode="P91" DisplayOrder="20" State="SystemSupplied">
        <ModifiedAt xsi:nil="true"/>
      </Footnote>
      <Footnote Id="93665" Name="ML &amp; BofA Name Definitions" FootnoteCode="P51" DisplayOrder="2620" State="SystemSupplied">
        <ModifiedAt xsi:nil="true"/>
      </Footnote>
      <Footnote Id="94305" Name="Non-US Affiliate subheader - Data" FootnoteCode="P26m" DisplayOrder="2640" State="SystemSupplied">
        <ModifiedAt xsi:nil="true"/>
      </Footnote>
      <Footnote Id="93971" Name="Non-US Affiliates" FootnoteCode="P18r" DisplayOrder="2650" State="SystemSupplied">
        <ModifiedAt xsi:nil="true"/>
      </Footnote>
      <Footnote Id="93972" Name="Global Affiliate Disclaimer" FootnoteCode="P21r" DisplayOrder="2660" State="SystemSupplied">
        <ModifiedAt xsi:nil="true"/>
      </Footnote>
      <Footnote Id="93976" Name="Global Affiliates" FootnoteCode="P20r" DisplayOrder="2690" State="SystemSupplied">
        <ModifiedAt xsi:nil="true"/>
      </Footnote>
      <Footnote Id="93667" Name="General Investment Header" FootnoteCode="P53" DisplayOrder="2720" State="SystemSupplied">
        <ModifiedAt xsi:nil="true"/>
      </Footnote>
      <Footnote Id="110800" Name="Taiwan Readers" FootnoteCode="P102" DisplayOrder="2721" State="SystemSupplied">
        <ModifiedAt xsi:nil="true"/>
      </Footnote>
      <Footnote Id="93977" Name="Trading &amp; IBK Solicitation" FootnoteCode="02r" DisplayOrder="2730" State="SystemSupplied">
        <ModifiedAt xsi:nil="true"/>
      </Footnote>
      <Footnote Id="93668" Name="No FDIC" FootnoteCode="P54" DisplayOrder="2740" State="SystemSupplied">
        <ModifiedAt xsi:nil="true"/>
      </Footnote>
      <Footnote Id="93672" Name="Trading Ideas" FootnoteCode="P58" DisplayOrder="2830" State="SystemSupplied">
        <ModifiedAt xsi:nil="true"/>
      </Footnote>
      <Footnote Id="98433" Name="Investment Advisor BofAS" FootnoteCode="P87" DisplayOrder="2842" State="SystemSupplied">
        <ModifiedAt xsi:nil="true"/>
      </Footnote>
      <Footnote Id="95213" Name="Copyright Header - Fixed Income, Data" FootnoteCode="P75d" DisplayOrder="2855" State="SystemSupplied">
        <ModifiedAt xsi:nil="true"/>
      </Footnote>
      <Footnote Id="93981" Name="Standard Copyright" FootnoteCode="01r" DisplayOrder="2860" State="SystemSupplied">
        <ModifiedAt xsi:nil="true"/>
      </Footnote>
      <Footnote Id="93674" Name="IBK and Legal Info" FootnoteCode="P60" DisplayOrder="2870" State="SystemSupplied">
        <ModifiedAt xsi:nil="true"/>
      </Footnote>
      <Footnote Id="93675" Name="Issuer Independent" FootnoteCode="P61" DisplayOrder="2880" State="SystemSupplied">
        <ModifiedAt xsi:nil="true"/>
      </Footnote>
      <Footnote Id="93677" Name="Third-party Websites" FootnoteCode="P63" DisplayOrder="2900" State="SystemSupplied">
        <ModifiedAt xsi:nil="true"/>
      </Footnote>
      <Footnote Id="95019" Name="BofA publishing updates" FootnoteCode="P77" DisplayOrder="2902" State="SystemSupplied">
        <ModifiedAt xsi:nil="true"/>
      </Footnote>
      <Footnote Id="98164" Name="Compilation - Restriction Disclosure1 - Data" FootnoteCode="P83m" DisplayOrder="2915" State="SystemSupplied">
        <ModifiedAt xsi:nil="true"/>
      </Footnote>
      <Footnote Id="98165" Name="Compilation - Restriction Disclosure2 - Data" FootnoteCode="P84m" DisplayOrder="2916" State="SystemSupplied">
        <ModifiedAt xsi:nil="true"/>
      </Footnote>
      <Footnote Id="93679" Name="No Liability" FootnoteCode="P65" DisplayOrder="2920" State="SystemSupplied">
        <ModifiedAt xsi:nil="true"/>
      </Footnote>
    </Footnotes>
    <Files>
      <DocumentFile Url="http://researchauthoring.bankofamerica.com/Analyst/Femac/Team1277/Products/Price Adjusted Spreads_12035023.xlsm" Type="ExcelM" MimeType="application/vnd.ms-excel.sheet.macroEnabled.12" Date="2019-08-14T20:09:26-04:00" State="Submitted"/>
      <DocumentFile ReadOnly="true" Url="http://researchauthoring-apac.bankofamerica.com/Replication2/Products/Price Adjusted Spreads_12035023.xlsm" Type="ExcelM" MimeType="application/vnd.ms-excel.sheet.macroEnabled.12" Date="2019-08-14T20:09:32-04:00" State="Submitted"/>
    </Files>
    <Audit>
      <DocumentAudit Login="CORP\NBK2JSR" Time="2019-06-26T13:23:32.3414454-04:00" Event="EnrichMetadata" State="Draft" Version="2019.2.5.1" MachineName="WLTWSBGUEOT"/>
      <DocumentAudit Login="CORP\NBK2JSR" Time="2019-06-26T13:23:32.3454472-04:00" Event="CreateMetadata" State="Draft" Version="2019.2.5.1" MachineName="WLTWSBGUEOT" Details="Price Adjusted Spreads (Spreadsheet) (53521)"/>
      <DocumentAudit Login="CORP\NBK2JSR" Time="2019-06-26T13:23:46.5251671-04:00" Event="UpdateMetadata" State="Draft" Version="2019.2.5.1" MachineName="WLTWSBGUEOT" Details="Price Adjusted Spreads (Spreadsheet) (53521)"/>
      <DocumentAudit Login="CORP\NBK2JSR" Time="2019-06-26T13:23:46.6051705-04:00" Event="EnrichMetadata" State="Draft" Version="2019.2.5.1" MachineName="WLTWSBGUEOT"/>
      <DocumentAudit Login="CORP\NBK2JSR" Time="2019-06-26T13:23:46.7751796-04:00" Event="GetDisclosures" State="Draft" Version="2019.2.5.1" MachineName="WLTWSBGUEOT"/>
      <DocumentAudit Login="CORP\NBK2JSR" Time="2019-06-26T17:36:17.1783582-04:00" Event="UpdateMetadata" State="Draft" Version="2019.2.5.1" MachineName="WLTWSBGREOT" Details="Price Adjusted Spreads (Spreadsheet) (53521)"/>
      <DocumentAudit Login="CORP\NBK2JSR" Time="2019-06-26T17:36:17.2623579-04:00" Event="EnrichMetadata" State="Draft" Version="2019.2.5.1" MachineName="WLTWSBGREOT"/>
      <DocumentAudit Login="CORP\NBK2JSR" Time="2019-08-14T11:04:52.3757356-04:00" Event="UpdateMetadata" State="Draft" Version="2019.3.4.1" MachineName="WLTWSBGREOT" Details="Price Adjusted Spreads (Spreadsheet) (53521)"/>
      <DocumentAudit Login="CORP\NBK2JSR" Time="2019-08-14T11:04:52.4417288-04:00" Event="EnrichMetadata" State="Draft" Version="2019.3.4.1" MachineName="WLTWSBGREOT"/>
      <DocumentAudit Login="CORP\NBK2JSR" Time="2019-08-14T11:37:36.6091918-04:00" Event="UpdateMetadata" State="Draft" Version="2019.3.4.1" MachineName="WLTWSBGTEOT" Details="Price Adjusted Spreads (Spreadsheet) (53521)"/>
      <DocumentAudit Login="CORP\NBK2JSR" Time="2019-08-14T11:37:36.7091786-04:00" Event="EnrichMetadata" State="Draft" Version="2019.3.4.1" MachineName="WLTWSBGTEOT"/>
      <DocumentAudit Login="CORP\NBK2JSR" Time="2019-08-14T11:39:13.5957216-04:00" Event="EnrichMetadata" State="Draft" Version="2019.3.4.1" MachineName="WLTWSBGTEOT"/>
      <DocumentAudit Login="CORP\NBK2JSR" Time="2019-08-14T11:39:13.6007214-04:00" Id="12035023" Event="CreateDocument" State="Draft" Version="2019.3.4.1" MachineName="WLTWSBGTEOT"/>
      <DocumentAudit Login="CORP\NBK2JSR" Time="2019-08-14T11:39:39.9012298-04:00" Id="12035023" Event="UpdateMetadata" State="Draft" Version="2019.3.4.1" MachineName="WLTWSBGTEOT" Details="Price Adjusted Spreads (Spreadsheet) (53521)"/>
      <DocumentAudit Login="CORP\NBK2JSR" Time="2019-08-14T11:39:39.9592337-04:00" Id="12035023" Event="EnrichMetadata" State="Draft" Version="2019.3.4.1" MachineName="WLTWSBGTEOT"/>
      <DocumentAudit Login="CORP\NBK2JSR" Time="2019-08-14T11:39:40.1352451-04:00" Id="12035023" Event="GetDisclosures" State="Draft" Version="2019.3.4.1" MachineName="WLTWSBGTEOT"/>
      <DocumentAudit Login="CORP\NBKB4MV" Time="2019-08-14T16:03:23.3663903-04:00" Id="12035023" Event="EnrichMetadata" State="Submitted" Version="2019.3.4.1" MachineName="WLTWSBGTEOT"/>
      <DocumentAudit Login="CORP\NBKB4MV" Time="2019-08-14T18:19:19.7379275-04:00" Id="12035023" Event="EnrichMetadata" State="Submitted" Version="2019.3.4.1" MachineName="WLTWSBGPEOT"/>
      <DocumentAudit Login="CORP\NBKB4MV" Time="2019-08-14T18:19:28.395361-04:00" Id="12035023" Event="EnrichMetadata" State="Submitted" Version="2019.3.4.1" MachineName="WLTWSBGPEOT"/>
    </Audit>
    <Alerts/>
    <Properties>
      <Item Key="Action.1" Value="1"/>
      <Item Key="Action.1090" Value="1"/>
    </Properties>
    <Summary>
      <Contents>
        <ul xmlns="">
          <li xml:space="preserve">The spreadsheet calculates corporate bond spreads adjusted for bond dollar price.</li>
          <li xml:space="preserve">Please note that the spreadsheet requires Bloomberg and macros need to be enabled.</li>
        </ul>
      </Contents>
      <Settings Required="true">
        <Count MinValue="2" MaxValue="3"/>
        <Length MinValue="50" MaxValue="125"/>
      </Settings>
    </Summary>
  </DocumentMetadata>
</root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2515C415F28B448AD71F773DB3732E" ma:contentTypeVersion="" ma:contentTypeDescription="Create a new document." ma:contentTypeScope="" ma:versionID="aa0e81eb9eee5773eda5cfd7bf840c3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root xmlns="urn:NextGen/PropertyType/LandingAreas">
  <ArrayOfComponentLandingArea xmlns="" xmlns:xsi="http://www.w3.org/2001/XMLSchema-instance" xmlns:xsd="http://www.w3.org/2001/XMLSchema">
    <ComponentLandingArea Id="122" Name="Excel Model Info" Bookmark="iQ ML_Model_Info">
      <RefreshableComponents>
        <RefreshableComponent Id="1251" Name="Excel Model Info.xml" FamilyId="37" FamilyName="Excel Model Info" ComponentType="Regulatory" ProcessingType="Metadata" RefreshOnFileNew="true" DataOnly="true" AutoFit="true" Version="1" FriendlyName="Excel Metadata" BookmarkName="Info" LandingArea="iQ ML_Model_Info" SpaceAfter="0.00">
          <Audit Login="CORP\nbk2jsr" Time="2019-08-14T11:39:40.5800484-04:00"/>
          <Xml>
            <Metadata xmlns="" Title="Price Adjusted Spreads" SubTitle="Spreadsheet" Date="14-Aug-19" Discipline="Credit Strategy">
              <Author OfficePhone="+1 646 855 7209" Email="yuri.seliger@baml.com" Name="Yuri Seliger"/>
            </Metadata>
          </Xml>
        </RefreshableComponent>
        <RefreshableComponent Id="1247" Name="ExcelX Footnotes.xml" Position="1" FamilyId="125" FamilyName="Excel Disclaimer" ComponentType="Regulatory" ProcessingType="Metadata" RefreshOnFileNew="true" AutoFit="true" Version="1" FriendlyName="Excel Footnotes" BookmarkName="__la_DisclaimerFront" LandingArea="iQ ML_Model_Info" SpaceAfter="0.00">
          <Audit Login="CORP\nbk2jsr" Time="2019-08-14T11:39:41.0750484-04:00"/>
        </RefreshableComponent>
      </RefreshableComponents>
    </ComponentLandingArea>
  </ArrayOfComponentLandingArea>
</root>
</file>

<file path=customXml/itemProps1.xml><?xml version="1.0" encoding="utf-8"?>
<ds:datastoreItem xmlns:ds="http://schemas.openxmlformats.org/officeDocument/2006/customXml" ds:itemID="{73922107-7FED-4E23-B9D1-F4AF77121ABF}">
  <ds:schemaRefs>
    <ds:schemaRef ds:uri="urn:NextGen/PropertyType/DocumentMetadata"/>
    <ds:schemaRef ds:uri="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2D0BA35-E3D1-4F02-A797-5E780D6116ED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2A92421-6140-4DA4-86D2-FE3675E63F3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0C8975C-F62E-473E-8A37-EC97979251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7855E14E-CE4A-408B-B91F-033A56B3E856}">
  <ds:schemaRefs>
    <ds:schemaRef ds:uri="urn:NextGen/PropertyType/LandingAreas"/>
    <ds:schemaRef ds:uri="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PriceAdjustedSpreads</vt:lpstr>
      <vt:lpstr>recovery</vt:lpstr>
      <vt:lpstr>recovery_bond</vt:lpstr>
    </vt:vector>
  </TitlesOfParts>
  <Company>Bank of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Price Adjusted Spreads</dc:title>
  <dc:subject>No Subject</dc:subject>
  <dc:creator>Yuri Seliger</dc:creator>
  <cp:keywords>a0756e9488d652a8</cp:keywords>
  <dc:description>RSCH Authoring 2019.3.4.1</dc:description>
  <cp:lastModifiedBy>Brian Fagan</cp:lastModifiedBy>
  <dcterms:created xsi:type="dcterms:W3CDTF">2011-09-23T20:30:06Z</dcterms:created>
  <dcterms:modified xsi:type="dcterms:W3CDTF">2019-09-03T12:48:31Z</dcterms:modified>
  <cp:category>Spreadsheet</cp:category>
  <dc:language>ENGLISH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ductId">
    <vt:lpwstr>12035023</vt:lpwstr>
  </property>
  <property fmtid="{D5CDD505-2E9C-101B-9397-08002B2CF9AE}" pid="3" name="Url">
    <vt:lpwstr>http://rsch.baml.com/r?q=eDcaqI0pZsk</vt:lpwstr>
  </property>
  <property fmtid="{D5CDD505-2E9C-101B-9397-08002B2CF9AE}" pid="4" name="Subtitle">
    <vt:lpwstr>Spreadsheet</vt:lpwstr>
  </property>
  <property fmtid="{D5CDD505-2E9C-101B-9397-08002B2CF9AE}" pid="5" name="Date">
    <vt:lpwstr>14 August 2019</vt:lpwstr>
  </property>
  <property fmtid="{D5CDD505-2E9C-101B-9397-08002B2CF9AE}" pid="6" name="ContentTypeId">
    <vt:lpwstr>0x010100242515C415F28B448AD71F773DB3732E</vt:lpwstr>
  </property>
</Properties>
</file>