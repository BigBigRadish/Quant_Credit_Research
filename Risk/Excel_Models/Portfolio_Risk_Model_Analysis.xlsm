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I:\BFagan\Quant_Research_and_Development\Risk\Excel_Models\"/>
    </mc:Choice>
  </mc:AlternateContent>
  <bookViews>
    <workbookView xWindow="0" yWindow="75" windowWidth="11340" windowHeight="6795" tabRatio="511"/>
  </bookViews>
  <sheets>
    <sheet name="TE Example" sheetId="6" r:id="rId1"/>
    <sheet name="Marginal Risk Contribution" sheetId="4" r:id="rId2"/>
    <sheet name="MV Analytical-3 Assets" sheetId="7" r:id="rId3"/>
    <sheet name="MV No Short-3 Assets" sheetId="1" r:id="rId4"/>
    <sheet name="MV Limited Shorts-3 Assets" sheetId="2" r:id="rId5"/>
    <sheet name="MV No Short-5 Assets" sheetId="8" r:id="rId6"/>
    <sheet name="MV No Short-BL Example" sheetId="3" r:id="rId7"/>
  </sheets>
  <definedNames>
    <definedName name="solver_adj" localSheetId="4" hidden="1">'MV Limited Shorts-3 Assets'!$D$21:$D$23</definedName>
    <definedName name="solver_adj" localSheetId="3" hidden="1">'MV No Short-3 Assets'!$D$21:$D$23</definedName>
    <definedName name="solver_adj" localSheetId="5" hidden="1">'MV No Short-5 Assets'!$D$23:$D$27</definedName>
    <definedName name="solver_adj" localSheetId="6" hidden="1">'MV No Short-BL Example'!$D$23:$D$27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cvg" localSheetId="6" hidden="1">0.0001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drv" localSheetId="6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est" localSheetId="6" hidden="1">1</definedName>
    <definedName name="solver_itr" localSheetId="4" hidden="1">100</definedName>
    <definedName name="solver_itr" localSheetId="3" hidden="1">100</definedName>
    <definedName name="solver_itr" localSheetId="5" hidden="1">100</definedName>
    <definedName name="solver_itr" localSheetId="6" hidden="1">100</definedName>
    <definedName name="solver_lhs1" localSheetId="4" hidden="1">'MV Limited Shorts-3 Assets'!$D$32</definedName>
    <definedName name="solver_lhs1" localSheetId="3" hidden="1">'MV No Short-3 Assets'!$D$21:$D$23</definedName>
    <definedName name="solver_lhs1" localSheetId="5" hidden="1">'MV No Short-5 Assets'!$D$23:$D$27</definedName>
    <definedName name="solver_lhs1" localSheetId="6" hidden="1">'MV No Short-BL Example'!$D$23:$D$27</definedName>
    <definedName name="solver_lhs2" localSheetId="4" hidden="1">'MV Limited Shorts-3 Assets'!$D$26</definedName>
    <definedName name="solver_lhs2" localSheetId="3" hidden="1">'MV No Short-3 Assets'!$D$32</definedName>
    <definedName name="solver_lhs2" localSheetId="5" hidden="1">'MV No Short-5 Assets'!$D$30</definedName>
    <definedName name="solver_lhs2" localSheetId="6" hidden="1">'MV No Short-BL Example'!$D$30</definedName>
    <definedName name="solver_lhs3" localSheetId="4" hidden="1">'MV Limited Shorts-3 Assets'!$D$21:$D$23</definedName>
    <definedName name="solver_lhs3" localSheetId="3" hidden="1">'MV No Short-3 Assets'!$D$26</definedName>
    <definedName name="solver_lhs3" localSheetId="5" hidden="1">'MV No Short-5 Assets'!$D$36</definedName>
    <definedName name="solver_lhs3" localSheetId="6" hidden="1">'MV No Short-BL Example'!$D$36</definedName>
    <definedName name="solver_lin" localSheetId="4" hidden="1">2</definedName>
    <definedName name="solver_lin" localSheetId="3" hidden="1">2</definedName>
    <definedName name="solver_lin" localSheetId="5" hidden="1">2</definedName>
    <definedName name="solver_lin" localSheetId="6" hidden="1">2</definedName>
    <definedName name="solver_neg" localSheetId="4" hidden="1">2</definedName>
    <definedName name="solver_neg" localSheetId="3" hidden="1">2</definedName>
    <definedName name="solver_neg" localSheetId="5" hidden="1">2</definedName>
    <definedName name="solver_neg" localSheetId="6" hidden="1">2</definedName>
    <definedName name="solver_num" localSheetId="4" hidden="1">3</definedName>
    <definedName name="solver_num" localSheetId="3" hidden="1">3</definedName>
    <definedName name="solver_num" localSheetId="5" hidden="1">3</definedName>
    <definedName name="solver_num" localSheetId="6" hidden="1">3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nwt" localSheetId="6" hidden="1">1</definedName>
    <definedName name="solver_opt" localSheetId="4" hidden="1">'MV Limited Shorts-3 Assets'!$G$32</definedName>
    <definedName name="solver_opt" localSheetId="3" hidden="1">'MV No Short-3 Assets'!$G$32</definedName>
    <definedName name="solver_opt" localSheetId="5" hidden="1">'MV No Short-5 Assets'!$H$36</definedName>
    <definedName name="solver_opt" localSheetId="6" hidden="1">'MV No Short-BL Example'!$H$36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pre" localSheetId="6" hidden="1">0.000001</definedName>
    <definedName name="solver_rel1" localSheetId="4" hidden="1">3</definedName>
    <definedName name="solver_rel1" localSheetId="3" hidden="1">3</definedName>
    <definedName name="solver_rel1" localSheetId="5" hidden="1">3</definedName>
    <definedName name="solver_rel1" localSheetId="6" hidden="1">3</definedName>
    <definedName name="solver_rel2" localSheetId="4" hidden="1">2</definedName>
    <definedName name="solver_rel2" localSheetId="3" hidden="1">3</definedName>
    <definedName name="solver_rel2" localSheetId="5" hidden="1">2</definedName>
    <definedName name="solver_rel2" localSheetId="6" hidden="1">2</definedName>
    <definedName name="solver_rel3" localSheetId="4" hidden="1">3</definedName>
    <definedName name="solver_rel3" localSheetId="3" hidden="1">2</definedName>
    <definedName name="solver_rel3" localSheetId="5" hidden="1">3</definedName>
    <definedName name="solver_rel3" localSheetId="6" hidden="1">3</definedName>
    <definedName name="solver_rhs1" localSheetId="4" hidden="1">'MV Limited Shorts-3 Assets'!$G$22</definedName>
    <definedName name="solver_rhs1" localSheetId="3" hidden="1">0</definedName>
    <definedName name="solver_rhs1" localSheetId="5" hidden="1">0</definedName>
    <definedName name="solver_rhs1" localSheetId="6" hidden="1">0</definedName>
    <definedName name="solver_rhs2" localSheetId="4" hidden="1">1</definedName>
    <definedName name="solver_rhs2" localSheetId="3" hidden="1">'MV No Short-3 Assets'!$G$22</definedName>
    <definedName name="solver_rhs2" localSheetId="5" hidden="1">1</definedName>
    <definedName name="solver_rhs2" localSheetId="6" hidden="1">1</definedName>
    <definedName name="solver_rhs3" localSheetId="4" hidden="1">-1</definedName>
    <definedName name="solver_rhs3" localSheetId="3" hidden="1">1</definedName>
    <definedName name="solver_rhs3" localSheetId="5" hidden="1">'MV No Short-5 Assets'!$H$24</definedName>
    <definedName name="solver_rhs3" localSheetId="6" hidden="1">'MV No Short-BL Example'!$H$24</definedName>
    <definedName name="solver_scl" localSheetId="4" hidden="1">2</definedName>
    <definedName name="solver_scl" localSheetId="3" hidden="1">2</definedName>
    <definedName name="solver_scl" localSheetId="5" hidden="1">2</definedName>
    <definedName name="solver_scl" localSheetId="6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ho" localSheetId="6" hidden="1">2</definedName>
    <definedName name="solver_tim" localSheetId="4" hidden="1">100</definedName>
    <definedName name="solver_tim" localSheetId="3" hidden="1">100</definedName>
    <definedName name="solver_tim" localSheetId="5" hidden="1">100</definedName>
    <definedName name="solver_tim" localSheetId="6" hidden="1">100</definedName>
    <definedName name="solver_tol" localSheetId="4" hidden="1">0.05</definedName>
    <definedName name="solver_tol" localSheetId="3" hidden="1">0.05</definedName>
    <definedName name="solver_tol" localSheetId="5" hidden="1">0.05</definedName>
    <definedName name="solver_tol" localSheetId="6" hidden="1">0.05</definedName>
    <definedName name="solver_typ" localSheetId="4" hidden="1">2</definedName>
    <definedName name="solver_typ" localSheetId="3" hidden="1">2</definedName>
    <definedName name="solver_typ" localSheetId="5" hidden="1">2</definedName>
    <definedName name="solver_typ" localSheetId="6" hidden="1">2</definedName>
    <definedName name="solver_val" localSheetId="4" hidden="1">0</definedName>
    <definedName name="solver_val" localSheetId="3" hidden="1">0</definedName>
    <definedName name="solver_val" localSheetId="5" hidden="1">0</definedName>
    <definedName name="solver_val" localSheetId="6" hidden="1">0</definedName>
  </definedNames>
  <calcPr calcId="162913"/>
</workbook>
</file>

<file path=xl/calcChain.xml><?xml version="1.0" encoding="utf-8"?>
<calcChain xmlns="http://schemas.openxmlformats.org/spreadsheetml/2006/main">
  <c r="J12" i="6" l="1"/>
  <c r="I12" i="6"/>
  <c r="H12" i="6"/>
  <c r="B6" i="6"/>
  <c r="B7" i="6"/>
  <c r="B8" i="6"/>
  <c r="B9" i="6" s="1"/>
  <c r="B10" i="6" s="1"/>
  <c r="B11" i="6" s="1"/>
  <c r="B12" i="6" s="1"/>
  <c r="J11" i="6"/>
  <c r="I11" i="6"/>
  <c r="H11" i="6"/>
  <c r="J10" i="6"/>
  <c r="I10" i="6"/>
  <c r="H10" i="6"/>
  <c r="J9" i="6"/>
  <c r="I9" i="6"/>
  <c r="H9" i="6"/>
  <c r="J8" i="6"/>
  <c r="I8" i="6"/>
  <c r="H8" i="6"/>
  <c r="J7" i="6"/>
  <c r="I7" i="6"/>
  <c r="H7" i="6"/>
  <c r="J6" i="6"/>
  <c r="I6" i="6"/>
  <c r="H6" i="6"/>
  <c r="J5" i="6"/>
  <c r="I5" i="6"/>
  <c r="H5" i="6"/>
  <c r="J4" i="6"/>
  <c r="J16" i="6" s="1"/>
  <c r="J20" i="6" s="1"/>
  <c r="I4" i="6"/>
  <c r="H4" i="6"/>
  <c r="J3" i="6"/>
  <c r="I3" i="6"/>
  <c r="I14" i="6" s="1"/>
  <c r="H3" i="6"/>
  <c r="H14" i="6" s="1"/>
  <c r="D30" i="8"/>
  <c r="D36" i="8" a="1"/>
  <c r="D36" i="8" s="1"/>
  <c r="C43" i="8"/>
  <c r="C44" i="8"/>
  <c r="D43" i="8" s="1"/>
  <c r="D44" i="8"/>
  <c r="C45" i="8"/>
  <c r="E43" i="8" s="1"/>
  <c r="D45" i="8"/>
  <c r="E44" i="8" s="1"/>
  <c r="E45" i="8"/>
  <c r="C46" i="8"/>
  <c r="F43" i="8" s="1"/>
  <c r="D46" i="8"/>
  <c r="F44" i="8" s="1"/>
  <c r="E46" i="8"/>
  <c r="F45" i="8" s="1"/>
  <c r="F46" i="8"/>
  <c r="C47" i="8"/>
  <c r="G43" i="8" s="1"/>
  <c r="D47" i="8"/>
  <c r="G44" i="8" s="1"/>
  <c r="E47" i="8"/>
  <c r="G45" i="8" s="1"/>
  <c r="F47" i="8"/>
  <c r="G46" i="8" s="1"/>
  <c r="G47" i="8"/>
  <c r="C42" i="7"/>
  <c r="D42" i="7"/>
  <c r="E42" i="7"/>
  <c r="G42" i="7"/>
  <c r="H42" i="7"/>
  <c r="G48" i="7" s="1"/>
  <c r="C43" i="7"/>
  <c r="I42" i="7" s="1"/>
  <c r="G49" i="7" s="1"/>
  <c r="D43" i="7"/>
  <c r="E43" i="7"/>
  <c r="H43" i="7"/>
  <c r="H48" i="7" s="1"/>
  <c r="I43" i="7"/>
  <c r="H49" i="7" s="1"/>
  <c r="C44" i="7"/>
  <c r="D44" i="7"/>
  <c r="E44" i="7"/>
  <c r="G43" i="7" s="1"/>
  <c r="H47" i="7" s="1"/>
  <c r="G44" i="7"/>
  <c r="I47" i="7" s="1"/>
  <c r="H44" i="7"/>
  <c r="I48" i="7" s="1"/>
  <c r="G47" i="7"/>
  <c r="H16" i="6"/>
  <c r="H20" i="6" s="1"/>
  <c r="J14" i="6"/>
  <c r="F14" i="6"/>
  <c r="E14" i="6"/>
  <c r="D14" i="6"/>
  <c r="C14" i="6"/>
  <c r="H27" i="4" a="1"/>
  <c r="H27" i="4"/>
  <c r="G64" i="4"/>
  <c r="F64" i="4"/>
  <c r="G63" i="4" s="1"/>
  <c r="E64" i="4"/>
  <c r="G62" i="4" s="1"/>
  <c r="D64" i="4"/>
  <c r="C64" i="4"/>
  <c r="F63" i="4"/>
  <c r="E63" i="4"/>
  <c r="F62" i="4" s="1"/>
  <c r="D63" i="4"/>
  <c r="F61" i="4" s="1"/>
  <c r="C63" i="4"/>
  <c r="E62" i="4"/>
  <c r="D62" i="4"/>
  <c r="E61" i="4" s="1"/>
  <c r="C62" i="4"/>
  <c r="E60" i="4" s="1"/>
  <c r="G61" i="4"/>
  <c r="D61" i="4"/>
  <c r="C61" i="4"/>
  <c r="D60" i="4" s="1"/>
  <c r="G60" i="4"/>
  <c r="F60" i="4"/>
  <c r="C60" i="4"/>
  <c r="D30" i="4"/>
  <c r="G47" i="3"/>
  <c r="F47" i="3"/>
  <c r="G46" i="3" s="1"/>
  <c r="E47" i="3"/>
  <c r="D47" i="3"/>
  <c r="C47" i="3"/>
  <c r="F46" i="3"/>
  <c r="E46" i="3"/>
  <c r="D46" i="3"/>
  <c r="F44" i="3" s="1"/>
  <c r="C46" i="3"/>
  <c r="G45" i="3"/>
  <c r="F45" i="3"/>
  <c r="E45" i="3"/>
  <c r="D45" i="3"/>
  <c r="E44" i="3" s="1"/>
  <c r="C45" i="3"/>
  <c r="G44" i="3"/>
  <c r="D44" i="3"/>
  <c r="C44" i="3"/>
  <c r="G43" i="3"/>
  <c r="F43" i="3"/>
  <c r="E43" i="3"/>
  <c r="D43" i="3"/>
  <c r="C43" i="3"/>
  <c r="D36" i="3" a="1"/>
  <c r="D36" i="3" s="1"/>
  <c r="D30" i="3"/>
  <c r="E41" i="2"/>
  <c r="D41" i="2"/>
  <c r="C41" i="2"/>
  <c r="E40" i="2"/>
  <c r="D40" i="2"/>
  <c r="C40" i="2"/>
  <c r="E39" i="2"/>
  <c r="D39" i="2"/>
  <c r="G32" i="2" s="1" a="1"/>
  <c r="G32" i="2" s="1"/>
  <c r="C39" i="2"/>
  <c r="D32" i="2" a="1"/>
  <c r="D32" i="2" s="1"/>
  <c r="D26" i="2"/>
  <c r="E41" i="1"/>
  <c r="D41" i="1"/>
  <c r="C41" i="1"/>
  <c r="E40" i="1"/>
  <c r="G32" i="1" s="1" a="1"/>
  <c r="G32" i="1" s="1"/>
  <c r="D40" i="1"/>
  <c r="C40" i="1"/>
  <c r="E39" i="1"/>
  <c r="D39" i="1"/>
  <c r="C39" i="1"/>
  <c r="D32" i="1" a="1"/>
  <c r="D32" i="1" s="1"/>
  <c r="D26" i="1"/>
  <c r="D54" i="7" l="1"/>
  <c r="C54" i="7"/>
  <c r="H36" i="3" a="1"/>
  <c r="H36" i="3" s="1"/>
  <c r="D48" i="7"/>
  <c r="C52" i="7" s="1"/>
  <c r="H23" i="4" a="1"/>
  <c r="H23" i="4" s="1"/>
  <c r="E53" i="7"/>
  <c r="E52" i="7"/>
  <c r="D52" i="7"/>
  <c r="H36" i="8" a="1"/>
  <c r="H36" i="8" s="1"/>
  <c r="I16" i="6"/>
  <c r="I20" i="6" s="1"/>
  <c r="I44" i="7"/>
  <c r="I49" i="7" s="1"/>
  <c r="E54" i="7" s="1"/>
  <c r="F62" i="7" l="1"/>
  <c r="D62" i="7"/>
  <c r="F38" i="4"/>
  <c r="H38" i="4" s="1"/>
  <c r="F37" i="4"/>
  <c r="H37" i="4" s="1"/>
  <c r="F39" i="4"/>
  <c r="H39" i="4" s="1"/>
  <c r="F41" i="4"/>
  <c r="H41" i="4" s="1"/>
  <c r="F40" i="4"/>
  <c r="H40" i="4" s="1"/>
  <c r="E83" i="7"/>
  <c r="G52" i="7"/>
  <c r="H52" i="7"/>
  <c r="I52" i="7"/>
  <c r="D83" i="7"/>
  <c r="C53" i="7"/>
  <c r="D60" i="7" s="1"/>
  <c r="G54" i="7"/>
  <c r="H54" i="7"/>
  <c r="I54" i="7"/>
  <c r="D85" i="7"/>
  <c r="E85" i="7"/>
  <c r="G53" i="7"/>
  <c r="D53" i="7"/>
  <c r="D61" i="7" s="1"/>
  <c r="I60" i="7" l="1"/>
  <c r="I61" i="7"/>
  <c r="D68" i="7" s="1"/>
  <c r="H69" i="7" s="1"/>
  <c r="H73" i="7" s="1"/>
  <c r="H43" i="4"/>
  <c r="J38" i="4" s="1"/>
  <c r="H50" i="4"/>
  <c r="J40" i="4"/>
  <c r="J39" i="4"/>
  <c r="F61" i="7"/>
  <c r="J41" i="4"/>
  <c r="D84" i="7"/>
  <c r="E84" i="7"/>
  <c r="H53" i="7"/>
  <c r="I53" i="7"/>
  <c r="F60" i="7"/>
  <c r="I62" i="7" l="1"/>
  <c r="E69" i="7" s="1"/>
  <c r="G68" i="7" s="1"/>
  <c r="J37" i="4"/>
  <c r="J43" i="4" s="1"/>
  <c r="E68" i="7"/>
  <c r="G69" i="7" s="1"/>
  <c r="H72" i="7" s="1"/>
  <c r="D69" i="7"/>
  <c r="H68" i="7" s="1"/>
  <c r="G73" i="7" s="1"/>
  <c r="E73" i="7" l="1"/>
  <c r="E77" i="7" s="1"/>
  <c r="G72" i="7"/>
  <c r="D76" i="7" s="1"/>
  <c r="D77" i="7"/>
  <c r="E76" i="7"/>
  <c r="G84" i="7" l="1"/>
  <c r="G77" i="7"/>
  <c r="H77" i="7"/>
  <c r="G83" i="7"/>
  <c r="G76" i="7"/>
  <c r="H76" i="7"/>
  <c r="H24" i="7" l="1"/>
  <c r="D24" i="7"/>
  <c r="F24" i="7"/>
  <c r="I27" i="7" l="1"/>
  <c r="F32" i="7"/>
  <c r="I26" i="7"/>
</calcChain>
</file>

<file path=xl/sharedStrings.xml><?xml version="1.0" encoding="utf-8"?>
<sst xmlns="http://schemas.openxmlformats.org/spreadsheetml/2006/main" count="240" uniqueCount="115">
  <si>
    <t>***Input: Capital Market Variables***</t>
  </si>
  <si>
    <t>R1 =</t>
  </si>
  <si>
    <r>
      <t>s</t>
    </r>
    <r>
      <rPr>
        <b/>
        <sz val="10"/>
        <rFont val="Times"/>
        <family val="1"/>
      </rPr>
      <t>1 =</t>
    </r>
  </si>
  <si>
    <t>R2 =</t>
  </si>
  <si>
    <r>
      <t>s</t>
    </r>
    <r>
      <rPr>
        <b/>
        <sz val="10"/>
        <rFont val="Times"/>
        <family val="1"/>
      </rPr>
      <t>2 =</t>
    </r>
  </si>
  <si>
    <t>R3 =</t>
  </si>
  <si>
    <r>
      <t>s</t>
    </r>
    <r>
      <rPr>
        <b/>
        <sz val="10"/>
        <rFont val="Times"/>
        <family val="1"/>
      </rPr>
      <t>3 =</t>
    </r>
  </si>
  <si>
    <t xml:space="preserve"> Optimal Portfolio Weights:</t>
  </si>
  <si>
    <t xml:space="preserve">           ***Input: Return Goal***</t>
  </si>
  <si>
    <t>w1 =</t>
  </si>
  <si>
    <t>w2 =</t>
  </si>
  <si>
    <t>R* =</t>
  </si>
  <si>
    <t>w3 =</t>
  </si>
  <si>
    <t>______</t>
  </si>
  <si>
    <t>Sum =</t>
  </si>
  <si>
    <t>Portfolio Return:</t>
  </si>
  <si>
    <t xml:space="preserve">            Portfolio Std. Deviation:</t>
  </si>
  <si>
    <t>Rp =</t>
  </si>
  <si>
    <r>
      <t>s</t>
    </r>
    <r>
      <rPr>
        <b/>
        <sz val="10"/>
        <rFont val="Times"/>
        <family val="1"/>
      </rPr>
      <t>p =</t>
    </r>
  </si>
  <si>
    <t>Variance-Covariance Matrix  (Note:  This is calculated by the program)</t>
  </si>
  <si>
    <t>R4 =</t>
  </si>
  <si>
    <r>
      <t>s</t>
    </r>
    <r>
      <rPr>
        <b/>
        <sz val="10"/>
        <rFont val="Times"/>
        <family val="1"/>
      </rPr>
      <t>4 =</t>
    </r>
  </si>
  <si>
    <t>R5 =</t>
  </si>
  <si>
    <r>
      <t>s</t>
    </r>
    <r>
      <rPr>
        <b/>
        <sz val="10"/>
        <rFont val="Times"/>
        <family val="1"/>
      </rPr>
      <t>5 =</t>
    </r>
  </si>
  <si>
    <t>w4 =</t>
  </si>
  <si>
    <t>w5 =</t>
  </si>
  <si>
    <r>
      <t>r</t>
    </r>
    <r>
      <rPr>
        <b/>
        <sz val="10"/>
        <rFont val="Times"/>
        <family val="1"/>
      </rPr>
      <t>12 =</t>
    </r>
  </si>
  <si>
    <r>
      <t>r</t>
    </r>
    <r>
      <rPr>
        <b/>
        <sz val="10"/>
        <rFont val="Times"/>
        <family val="1"/>
      </rPr>
      <t>13 =</t>
    </r>
  </si>
  <si>
    <r>
      <t>r</t>
    </r>
    <r>
      <rPr>
        <b/>
        <sz val="10"/>
        <rFont val="Times"/>
        <family val="1"/>
      </rPr>
      <t>23 =</t>
    </r>
  </si>
  <si>
    <r>
      <t>r</t>
    </r>
    <r>
      <rPr>
        <b/>
        <sz val="10"/>
        <rFont val="Times"/>
        <family val="1"/>
      </rPr>
      <t>14 =</t>
    </r>
  </si>
  <si>
    <r>
      <t>r</t>
    </r>
    <r>
      <rPr>
        <b/>
        <sz val="10"/>
        <rFont val="Times"/>
        <family val="1"/>
      </rPr>
      <t>15 =</t>
    </r>
  </si>
  <si>
    <r>
      <t>r</t>
    </r>
    <r>
      <rPr>
        <b/>
        <sz val="10"/>
        <rFont val="Times"/>
        <family val="1"/>
      </rPr>
      <t>24 =</t>
    </r>
  </si>
  <si>
    <r>
      <t>r</t>
    </r>
    <r>
      <rPr>
        <b/>
        <sz val="10"/>
        <rFont val="Times"/>
        <family val="1"/>
      </rPr>
      <t>25 =</t>
    </r>
  </si>
  <si>
    <r>
      <t>r</t>
    </r>
    <r>
      <rPr>
        <b/>
        <sz val="10"/>
        <rFont val="Times"/>
        <family val="1"/>
      </rPr>
      <t>34 =</t>
    </r>
  </si>
  <si>
    <r>
      <t>r</t>
    </r>
    <r>
      <rPr>
        <b/>
        <sz val="10"/>
        <rFont val="Times"/>
        <family val="1"/>
      </rPr>
      <t>35 =</t>
    </r>
  </si>
  <si>
    <r>
      <t>r</t>
    </r>
    <r>
      <rPr>
        <b/>
        <sz val="10"/>
        <rFont val="Times"/>
        <family val="1"/>
      </rPr>
      <t>45 =</t>
    </r>
  </si>
  <si>
    <t>*** Input: Portfolio Weights***</t>
  </si>
  <si>
    <t xml:space="preserve">            Portfolio Return:</t>
  </si>
  <si>
    <t>Asset Class</t>
  </si>
  <si>
    <t>Marginal Risk</t>
  </si>
  <si>
    <t>Total Contribution</t>
  </si>
  <si>
    <t xml:space="preserve">  to Portfolio Risk</t>
  </si>
  <si>
    <t>Weighted Average:</t>
  </si>
  <si>
    <t>1.  Total Portfolio Risk Decomposition:</t>
  </si>
  <si>
    <t>2.  "Roll-up" Portfolio Risk Decomposition:</t>
  </si>
  <si>
    <t>Include (yes/no)</t>
  </si>
  <si>
    <t>yes</t>
  </si>
  <si>
    <t xml:space="preserve">  of Asset Roll-Up</t>
  </si>
  <si>
    <t>no</t>
  </si>
  <si>
    <t>Marginal Volatility</t>
  </si>
  <si>
    <t>Period</t>
  </si>
  <si>
    <t xml:space="preserve">Return to </t>
  </si>
  <si>
    <t>Return to</t>
  </si>
  <si>
    <t>VFINX</t>
  </si>
  <si>
    <t>SPY</t>
  </si>
  <si>
    <t>DGAGX</t>
  </si>
  <si>
    <t>SPX</t>
  </si>
  <si>
    <r>
      <t>D</t>
    </r>
    <r>
      <rPr>
        <u/>
        <sz val="10"/>
        <rFont val="Arial"/>
      </rPr>
      <t>vfinx</t>
    </r>
  </si>
  <si>
    <r>
      <t>D</t>
    </r>
    <r>
      <rPr>
        <u/>
        <sz val="10"/>
        <rFont val="Arial"/>
      </rPr>
      <t>spy</t>
    </r>
  </si>
  <si>
    <r>
      <t>D</t>
    </r>
    <r>
      <rPr>
        <u/>
        <sz val="10"/>
        <rFont val="Arial"/>
      </rPr>
      <t>dgagx</t>
    </r>
  </si>
  <si>
    <t>Average (%):</t>
  </si>
  <si>
    <t>Periodic Tracking Error (%):</t>
  </si>
  <si>
    <t>Period/Yr:</t>
  </si>
  <si>
    <t>Annual Tracking Error (%):</t>
  </si>
  <si>
    <t>This program calculates the optimal portfolio allocations that define the mean-variance efficient frontier for a three-</t>
  </si>
  <si>
    <t xml:space="preserve">asset class portfolio.  The user needs to input: expected returns and standard deviations for the asset classes; </t>
  </si>
  <si>
    <t>correlations between the asset classes; and the expected return goal.  The program calculates the analytical</t>
  </si>
  <si>
    <t>solution to the constrained portfolio variance minimization problem with short sales allowed.</t>
  </si>
  <si>
    <t xml:space="preserve">        ***Input: Capital Market Variables***</t>
  </si>
  <si>
    <t>R1  =</t>
  </si>
  <si>
    <t>s1  =</t>
  </si>
  <si>
    <t>R2  =</t>
  </si>
  <si>
    <t>s2  =</t>
  </si>
  <si>
    <t>R3  =</t>
  </si>
  <si>
    <t>s3  =</t>
  </si>
  <si>
    <t>***Input: Return Goal***</t>
  </si>
  <si>
    <t xml:space="preserve">   R* =</t>
  </si>
  <si>
    <t>********</t>
  </si>
  <si>
    <t xml:space="preserve">   ***Calculation of Optimal Weights  (Note: Calculation is Automatic)***</t>
  </si>
  <si>
    <t>w1* =</t>
  </si>
  <si>
    <t>w2* =</t>
  </si>
  <si>
    <t>w3* =</t>
  </si>
  <si>
    <t>Test: Sum of Weights =</t>
  </si>
  <si>
    <t>Test: R* Constraint =</t>
  </si>
  <si>
    <t xml:space="preserve">         ***Calculation of Portfolio Std. Deviation***</t>
  </si>
  <si>
    <t>*******</t>
  </si>
  <si>
    <t>(Note:  The following calculations are the intermediate steps in the analytical solution presented above.)</t>
  </si>
  <si>
    <t xml:space="preserve">         Calculation of V Matrix and Inverse of V</t>
  </si>
  <si>
    <t>V Matrix:</t>
  </si>
  <si>
    <t>cofactor V:</t>
  </si>
  <si>
    <t xml:space="preserve">   Det V:</t>
  </si>
  <si>
    <t>adj V:</t>
  </si>
  <si>
    <t>Inv V:</t>
  </si>
  <si>
    <t xml:space="preserve">               Test: (V)x(Inv V)</t>
  </si>
  <si>
    <t xml:space="preserve">             Calculation of Efficient Set Constants</t>
  </si>
  <si>
    <t>R'(Inv V):</t>
  </si>
  <si>
    <t>i'(Inv V):</t>
  </si>
  <si>
    <t xml:space="preserve">   A =</t>
  </si>
  <si>
    <t xml:space="preserve">   B =</t>
  </si>
  <si>
    <t xml:space="preserve">   C =</t>
  </si>
  <si>
    <t xml:space="preserve">        Calculation of M Matrix and Inverse of M</t>
  </si>
  <si>
    <t xml:space="preserve">           M Matrix:</t>
  </si>
  <si>
    <t xml:space="preserve">       cofactor M:</t>
  </si>
  <si>
    <t xml:space="preserve">     Det M:</t>
  </si>
  <si>
    <t xml:space="preserve">        adj M:</t>
  </si>
  <si>
    <t xml:space="preserve">         Inv M:</t>
  </si>
  <si>
    <t>Test: (M)x(Inv M):</t>
  </si>
  <si>
    <t xml:space="preserve">           Intermediate Calculation for Weights</t>
  </si>
  <si>
    <t xml:space="preserve">    (Inv V)[R i]:</t>
  </si>
  <si>
    <t>(Inv M)[R* 1]':</t>
  </si>
  <si>
    <r>
      <t xml:space="preserve">  </t>
    </r>
    <r>
      <rPr>
        <b/>
        <sz val="10"/>
        <rFont val="Symbol"/>
        <family val="1"/>
        <charset val="2"/>
      </rPr>
      <t>r</t>
    </r>
    <r>
      <rPr>
        <b/>
        <sz val="10"/>
        <rFont val="Times"/>
        <family val="1"/>
      </rPr>
      <t>12 =</t>
    </r>
  </si>
  <si>
    <r>
      <t xml:space="preserve">  </t>
    </r>
    <r>
      <rPr>
        <b/>
        <sz val="10"/>
        <rFont val="Symbol"/>
        <family val="1"/>
        <charset val="2"/>
      </rPr>
      <t>r</t>
    </r>
    <r>
      <rPr>
        <b/>
        <sz val="10"/>
        <rFont val="Times"/>
        <family val="1"/>
      </rPr>
      <t>13 =</t>
    </r>
  </si>
  <si>
    <r>
      <t xml:space="preserve">  </t>
    </r>
    <r>
      <rPr>
        <b/>
        <sz val="10"/>
        <rFont val="Symbol"/>
        <family val="1"/>
        <charset val="2"/>
      </rPr>
      <t>r</t>
    </r>
    <r>
      <rPr>
        <b/>
        <sz val="10"/>
        <rFont val="Times"/>
        <family val="1"/>
      </rPr>
      <t>23 =</t>
    </r>
  </si>
  <si>
    <r>
      <t>s</t>
    </r>
    <r>
      <rPr>
        <b/>
        <sz val="12"/>
        <rFont val="Times"/>
        <family val="1"/>
      </rPr>
      <t>p  =</t>
    </r>
  </si>
  <si>
    <t>% Ttl  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</si>
</sst>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9" formatCode="0.00_)"/>
  </numFmts>
  <fonts count="23">
    <font>
      <sz val="10"/>
      <name val="Arial"/>
    </font>
    <font>
      <sz val="10"/>
      <name val="Arial"/>
    </font>
    <font>
      <b/>
      <sz val="10"/>
      <name val="Times"/>
      <family val="1"/>
    </font>
    <font>
      <sz val="10"/>
      <name val="Times"/>
      <family val="1"/>
    </font>
    <font>
      <sz val="10"/>
      <name val="Bookman Old Style"/>
      <family val="1"/>
    </font>
    <font>
      <b/>
      <sz val="10"/>
      <name val="Symbol"/>
      <family val="1"/>
      <charset val="2"/>
    </font>
    <font>
      <sz val="8"/>
      <name val="Arial"/>
    </font>
    <font>
      <b/>
      <sz val="10"/>
      <name val="Arial"/>
    </font>
    <font>
      <b/>
      <sz val="10"/>
      <name val="Times"/>
    </font>
    <font>
      <b/>
      <u/>
      <sz val="10"/>
      <name val="Times"/>
    </font>
    <font>
      <b/>
      <i/>
      <sz val="10"/>
      <name val="Times"/>
    </font>
    <font>
      <sz val="10"/>
      <name val="Times New Roman"/>
      <family val="1"/>
    </font>
    <font>
      <u/>
      <sz val="10"/>
      <name val="Arial"/>
    </font>
    <font>
      <u/>
      <sz val="10"/>
      <name val="Symbol"/>
      <family val="1"/>
      <charset val="2"/>
    </font>
    <font>
      <b/>
      <sz val="10"/>
      <name val="Arial"/>
      <family val="2"/>
    </font>
    <font>
      <sz val="10"/>
      <name val="Geneva"/>
    </font>
    <font>
      <sz val="8"/>
      <name val="Arial"/>
      <family val="2"/>
    </font>
    <font>
      <sz val="7"/>
      <name val="Small Fonts"/>
    </font>
    <font>
      <b/>
      <i/>
      <sz val="16"/>
      <name val="Helv"/>
    </font>
    <font>
      <i/>
      <sz val="10"/>
      <name val="Times"/>
    </font>
    <font>
      <b/>
      <sz val="12"/>
      <name val="Times"/>
      <family val="1"/>
    </font>
    <font>
      <b/>
      <sz val="12"/>
      <name val="Symbol"/>
      <family val="1"/>
      <charset val="2"/>
    </font>
    <font>
      <i/>
      <sz val="1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39" fontId="1" fillId="0" borderId="0"/>
    <xf numFmtId="38" fontId="16" fillId="2" borderId="0" applyNumberFormat="0" applyBorder="0" applyAlignment="0" applyProtection="0"/>
    <xf numFmtId="10" fontId="16" fillId="3" borderId="1" applyNumberFormat="0" applyBorder="0" applyAlignment="0" applyProtection="0"/>
    <xf numFmtId="37" fontId="17" fillId="0" borderId="0"/>
    <xf numFmtId="169" fontId="18" fillId="0" borderId="0"/>
    <xf numFmtId="0" fontId="15" fillId="0" borderId="0"/>
    <xf numFmtId="10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right"/>
    </xf>
    <xf numFmtId="10" fontId="3" fillId="3" borderId="0" xfId="0" applyNumberFormat="1" applyFont="1" applyFill="1"/>
    <xf numFmtId="0" fontId="5" fillId="0" borderId="0" xfId="0" applyFont="1" applyAlignment="1">
      <alignment horizontal="right"/>
    </xf>
    <xf numFmtId="0" fontId="3" fillId="3" borderId="0" xfId="0" applyFont="1" applyFill="1"/>
    <xf numFmtId="10" fontId="3" fillId="4" borderId="0" xfId="0" applyNumberFormat="1" applyFont="1" applyFill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9" fontId="3" fillId="0" borderId="0" xfId="0" applyNumberFormat="1" applyFont="1"/>
    <xf numFmtId="10" fontId="3" fillId="5" borderId="0" xfId="0" applyNumberFormat="1" applyFont="1" applyFill="1"/>
    <xf numFmtId="2" fontId="3" fillId="3" borderId="0" xfId="0" applyNumberFormat="1" applyFont="1" applyFill="1"/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top" wrapText="1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0" fontId="3" fillId="0" borderId="0" xfId="0" applyNumberFormat="1" applyFont="1" applyAlignment="1">
      <alignment horizontal="center"/>
    </xf>
    <xf numFmtId="10" fontId="3" fillId="6" borderId="0" xfId="0" applyNumberFormat="1" applyFont="1" applyFill="1" applyAlignment="1">
      <alignment horizontal="right"/>
    </xf>
    <xf numFmtId="10" fontId="3" fillId="6" borderId="0" xfId="0" applyNumberFormat="1" applyFont="1" applyFill="1"/>
    <xf numFmtId="0" fontId="10" fillId="0" borderId="0" xfId="0" applyFont="1"/>
    <xf numFmtId="10" fontId="11" fillId="6" borderId="0" xfId="0" applyNumberFormat="1" applyFont="1" applyFill="1" applyAlignment="1">
      <alignment horizontal="right"/>
    </xf>
    <xf numFmtId="0" fontId="3" fillId="3" borderId="0" xfId="0" applyFont="1" applyFill="1" applyAlignment="1" applyProtection="1">
      <alignment horizontal="center"/>
      <protection locked="0"/>
    </xf>
    <xf numFmtId="10" fontId="3" fillId="3" borderId="0" xfId="0" applyNumberFormat="1" applyFont="1" applyFill="1" applyProtection="1">
      <protection locked="0"/>
    </xf>
    <xf numFmtId="2" fontId="3" fillId="3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12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2" fontId="14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3" fillId="0" borderId="2" xfId="6" applyFont="1" applyBorder="1"/>
    <xf numFmtId="0" fontId="15" fillId="0" borderId="3" xfId="6" applyBorder="1"/>
    <xf numFmtId="0" fontId="3" fillId="0" borderId="3" xfId="6" applyFont="1" applyBorder="1"/>
    <xf numFmtId="0" fontId="3" fillId="0" borderId="4" xfId="6" applyFont="1" applyBorder="1"/>
    <xf numFmtId="0" fontId="3" fillId="0" borderId="0" xfId="6" applyFont="1"/>
    <xf numFmtId="0" fontId="15" fillId="0" borderId="0" xfId="6"/>
    <xf numFmtId="0" fontId="11" fillId="0" borderId="5" xfId="6" applyFont="1" applyBorder="1"/>
    <xf numFmtId="0" fontId="15" fillId="0" borderId="0" xfId="6" applyBorder="1"/>
    <xf numFmtId="0" fontId="3" fillId="0" borderId="0" xfId="6" applyFont="1" applyBorder="1"/>
    <xf numFmtId="0" fontId="3" fillId="0" borderId="6" xfId="6" applyFont="1" applyBorder="1"/>
    <xf numFmtId="0" fontId="11" fillId="0" borderId="7" xfId="6" applyFont="1" applyBorder="1"/>
    <xf numFmtId="0" fontId="15" fillId="0" borderId="8" xfId="6" applyBorder="1"/>
    <xf numFmtId="0" fontId="3" fillId="0" borderId="8" xfId="6" applyFont="1" applyBorder="1"/>
    <xf numFmtId="0" fontId="3" fillId="0" borderId="9" xfId="6" applyFont="1" applyBorder="1"/>
    <xf numFmtId="0" fontId="11" fillId="0" borderId="0" xfId="6" applyFont="1"/>
    <xf numFmtId="0" fontId="2" fillId="0" borderId="0" xfId="6" applyFont="1"/>
    <xf numFmtId="0" fontId="2" fillId="0" borderId="0" xfId="6" applyFont="1" applyAlignment="1">
      <alignment horizontal="right"/>
    </xf>
    <xf numFmtId="10" fontId="3" fillId="3" borderId="0" xfId="6" applyNumberFormat="1" applyFont="1" applyFill="1" applyProtection="1">
      <protection locked="0"/>
    </xf>
    <xf numFmtId="0" fontId="5" fillId="0" borderId="0" xfId="6" applyFont="1" applyAlignment="1">
      <alignment horizontal="right"/>
    </xf>
    <xf numFmtId="0" fontId="3" fillId="3" borderId="0" xfId="6" applyFont="1" applyFill="1" applyProtection="1">
      <protection locked="0"/>
    </xf>
    <xf numFmtId="0" fontId="3" fillId="0" borderId="0" xfId="6" applyFont="1" applyAlignment="1">
      <alignment horizontal="right"/>
    </xf>
    <xf numFmtId="0" fontId="15" fillId="0" borderId="0" xfId="6" applyAlignment="1">
      <alignment horizontal="right"/>
    </xf>
    <xf numFmtId="10" fontId="3" fillId="4" borderId="0" xfId="6" applyNumberFormat="1" applyFont="1" applyFill="1" applyAlignment="1">
      <alignment horizontal="right"/>
    </xf>
    <xf numFmtId="0" fontId="19" fillId="0" borderId="0" xfId="6" applyFont="1"/>
    <xf numFmtId="0" fontId="21" fillId="0" borderId="0" xfId="6" applyFont="1" applyAlignment="1">
      <alignment horizontal="right"/>
    </xf>
    <xf numFmtId="10" fontId="3" fillId="4" borderId="0" xfId="6" applyNumberFormat="1" applyFont="1" applyFill="1"/>
    <xf numFmtId="0" fontId="22" fillId="0" borderId="0" xfId="6" applyFont="1"/>
  </cellXfs>
  <cellStyles count="8">
    <cellStyle name="date" xfId="1"/>
    <cellStyle name="Grey" xfId="2"/>
    <cellStyle name="Input [yellow]" xfId="3"/>
    <cellStyle name="no dec" xfId="4"/>
    <cellStyle name="Normal" xfId="0" builtinId="0"/>
    <cellStyle name="Normal - Style1" xfId="5"/>
    <cellStyle name="Normal_EF3AST" xfId="6"/>
    <cellStyle name="Percent [2]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57150</xdr:rowOff>
    </xdr:from>
    <xdr:to>
      <xdr:col>9</xdr:col>
      <xdr:colOff>57150</xdr:colOff>
      <xdr:row>8</xdr:row>
      <xdr:rowOff>9525</xdr:rowOff>
    </xdr:to>
    <xdr:sp macro="" textlink="">
      <xdr:nvSpPr>
        <xdr:cNvPr id="4097" name="Text 1"/>
        <xdr:cNvSpPr txBox="1">
          <a:spLocks noChangeArrowheads="1"/>
        </xdr:cNvSpPr>
      </xdr:nvSpPr>
      <xdr:spPr bwMode="auto">
        <a:xfrm>
          <a:off x="609600" y="247650"/>
          <a:ext cx="60769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Geneva"/>
            </a:rPr>
            <a:t>This spreadsheet calculates the asset-specific marginal risk contributions for a five-asset class portfolio.  The user must specify the expected return and standard deviations for each asset class, as well as the correlation coefficients between the asset classes.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Geneva"/>
            </a:rPr>
            <a:t>The spreadsheet automatically computes: (i) total portfolio risk, (ii) marginal risk of each asset, and (iii) each asset total contribution to risk.  The user can also roll-up the risk calculations for various subsets of the asset classes.</a:t>
          </a: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57150</xdr:rowOff>
    </xdr:from>
    <xdr:to>
      <xdr:col>7</xdr:col>
      <xdr:colOff>171450</xdr:colOff>
      <xdr:row>8</xdr:row>
      <xdr:rowOff>9525</xdr:rowOff>
    </xdr:to>
    <xdr:sp macro="" textlink="">
      <xdr:nvSpPr>
        <xdr:cNvPr id="1025" name="Text 1"/>
        <xdr:cNvSpPr txBox="1">
          <a:spLocks noChangeArrowheads="1"/>
        </xdr:cNvSpPr>
      </xdr:nvSpPr>
      <xdr:spPr bwMode="auto">
        <a:xfrm>
          <a:off x="685800" y="247650"/>
          <a:ext cx="46672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Geneva"/>
            </a:rPr>
            <a:t>   </a:t>
          </a: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When run with the Solver add-in on MS Excel for Windows, this spreadsheet is capable of calculating the mean-variance efficient weights for a three asset portfolio.  The user must provide the following inputs: (i) returns, standard deviations, and correlations for the three asset classes; and (ii) a return goal to be acheived by the portfolio.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ms Rmn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   The Solver uses a numerical approximation procedure to select the new weight values that minimize the portfolio variance subject the following constraints: (i) the weights sum to one; (ii) the return is at least as great as the goal; and (iii) no short selling is allowed</a:t>
          </a: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.</a:t>
          </a: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57150</xdr:rowOff>
    </xdr:from>
    <xdr:to>
      <xdr:col>7</xdr:col>
      <xdr:colOff>171450</xdr:colOff>
      <xdr:row>8</xdr:row>
      <xdr:rowOff>9525</xdr:rowOff>
    </xdr:to>
    <xdr:sp macro="" textlink="">
      <xdr:nvSpPr>
        <xdr:cNvPr id="2049" name="Text 1"/>
        <xdr:cNvSpPr txBox="1">
          <a:spLocks noChangeArrowheads="1"/>
        </xdr:cNvSpPr>
      </xdr:nvSpPr>
      <xdr:spPr bwMode="auto">
        <a:xfrm>
          <a:off x="685800" y="247650"/>
          <a:ext cx="46672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Geneva"/>
            </a:rPr>
            <a:t>   </a:t>
          </a: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When run with the Solver add-in on MS Excel for Windows, this spreadsheet is capable of calculating the mean-variance efficient weights for a three asset portfolio.  The user must provide the following inputs: (i) returns, standard deviations, and correlations for the three asset classes; and (ii) a return goal to be acheived by the portfolio.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ms Rmn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   The Solver uses a numerical approximation procedure to select the new weight values that minimize the portfolio variance subject the following constraints: (i) the weights sum to one; (ii) the return is at least as great as the goal; and (iii) limited short selling is allowed</a:t>
          </a: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.</a:t>
          </a: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57150</xdr:rowOff>
    </xdr:from>
    <xdr:to>
      <xdr:col>7</xdr:col>
      <xdr:colOff>171450</xdr:colOff>
      <xdr:row>8</xdr:row>
      <xdr:rowOff>9525</xdr:rowOff>
    </xdr:to>
    <xdr:sp macro="" textlink="">
      <xdr:nvSpPr>
        <xdr:cNvPr id="5121" name="Text 1"/>
        <xdr:cNvSpPr txBox="1">
          <a:spLocks noChangeArrowheads="1"/>
        </xdr:cNvSpPr>
      </xdr:nvSpPr>
      <xdr:spPr bwMode="auto">
        <a:xfrm>
          <a:off x="476250" y="247650"/>
          <a:ext cx="46672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Geneva"/>
            </a:rPr>
            <a:t>   </a:t>
          </a: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When run with the Solver add-in on MS Excel for Windows, this spreadsheet is capable of calculating the mean-variance efficient weights for a three asset portfolio.  The user must provide the following inputs: (i) returns, standard deviations, and correlations for the three asset classes; and (ii) a return goal to be acheived by the portfolio.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ms Rmn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   The Solver uses a numerical approximation procedure to select the new weight values that minimize the portfolio variance subject the following constraints: (i) the weights sum to one; (ii) the return is at least as great as the goal; and (iii) no short selling is allowed</a:t>
          </a: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.</a:t>
          </a: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</xdr:txBody>
    </xdr:sp>
    <xdr:clientData/>
  </xdr:twoCellAnchor>
  <xdr:twoCellAnchor>
    <xdr:from>
      <xdr:col>0</xdr:col>
      <xdr:colOff>266700</xdr:colOff>
      <xdr:row>1</xdr:row>
      <xdr:rowOff>57150</xdr:rowOff>
    </xdr:from>
    <xdr:to>
      <xdr:col>8</xdr:col>
      <xdr:colOff>723900</xdr:colOff>
      <xdr:row>8</xdr:row>
      <xdr:rowOff>9525</xdr:rowOff>
    </xdr:to>
    <xdr:sp macro="" textlink="">
      <xdr:nvSpPr>
        <xdr:cNvPr id="5122" name="Text 1"/>
        <xdr:cNvSpPr txBox="1">
          <a:spLocks noChangeArrowheads="1"/>
        </xdr:cNvSpPr>
      </xdr:nvSpPr>
      <xdr:spPr bwMode="auto">
        <a:xfrm>
          <a:off x="266700" y="247650"/>
          <a:ext cx="61912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Geneva"/>
            </a:rPr>
            <a:t>   </a:t>
          </a: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When run with the Solver add-in on MS Excel for Windows, this spreadsheet is capable of calculating the mean-variance efficient weights for a five asset class portfolio.  The user must provide the following inputs: (i) returns, standard deviations, and correlations for the five asset classes; and (ii) a return goal to be acheived by the portfolio.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ms Rmn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   The Solver uses a numerical approximation procedure to select the new weight values that minimize the portfolio variance subject the following constraints: (i) the weights sum to one; (ii) the return is at least as great as the goal; and (iii) no short selling is allowed</a:t>
          </a: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.</a:t>
          </a: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57150</xdr:rowOff>
    </xdr:from>
    <xdr:to>
      <xdr:col>7</xdr:col>
      <xdr:colOff>171450</xdr:colOff>
      <xdr:row>8</xdr:row>
      <xdr:rowOff>9525</xdr:rowOff>
    </xdr:to>
    <xdr:sp macro="" textlink="">
      <xdr:nvSpPr>
        <xdr:cNvPr id="3073" name="Text 1"/>
        <xdr:cNvSpPr txBox="1">
          <a:spLocks noChangeArrowheads="1"/>
        </xdr:cNvSpPr>
      </xdr:nvSpPr>
      <xdr:spPr bwMode="auto">
        <a:xfrm>
          <a:off x="476250" y="247650"/>
          <a:ext cx="46672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Geneva"/>
            </a:rPr>
            <a:t>   </a:t>
          </a: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When run with the Solver add-in on MS Excel for Windows, this spreadsheet is capable of calculating the mean-variance efficient weights for a three asset portfolio.  The user must provide the following inputs: (i) returns, standard deviations, and correlations for the three asset classes; and (ii) a return goal to be acheived by the portfolio.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ms Rmn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   The Solver uses a numerical approximation procedure to select the new weight values that minimize the portfolio variance subject the following constraints: (i) the weights sum to one; (ii) the return is at least as great as the goal; and (iii) no short selling is allowed</a:t>
          </a: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.</a:t>
          </a: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</xdr:txBody>
    </xdr:sp>
    <xdr:clientData/>
  </xdr:twoCellAnchor>
  <xdr:twoCellAnchor>
    <xdr:from>
      <xdr:col>0</xdr:col>
      <xdr:colOff>266700</xdr:colOff>
      <xdr:row>1</xdr:row>
      <xdr:rowOff>57150</xdr:rowOff>
    </xdr:from>
    <xdr:to>
      <xdr:col>8</xdr:col>
      <xdr:colOff>723900</xdr:colOff>
      <xdr:row>8</xdr:row>
      <xdr:rowOff>9525</xdr:rowOff>
    </xdr:to>
    <xdr:sp macro="" textlink="">
      <xdr:nvSpPr>
        <xdr:cNvPr id="3074" name="Text 1"/>
        <xdr:cNvSpPr txBox="1">
          <a:spLocks noChangeArrowheads="1"/>
        </xdr:cNvSpPr>
      </xdr:nvSpPr>
      <xdr:spPr bwMode="auto">
        <a:xfrm>
          <a:off x="266700" y="247650"/>
          <a:ext cx="61912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Geneva"/>
            </a:rPr>
            <a:t>   </a:t>
          </a: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When run with the Solver add-in on MS Excel for Windows, this spreadsheet is capable of calculating the mean-variance efficient weights for a five asset class portfolio.  The user must provide the following inputs: (i) returns, standard deviations, and correlations for the five asset classes; and (ii) a return goal to be acheived by the portfolio.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ms Rmn"/>
          </a:endParaRPr>
        </a:p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ms Rmn"/>
            </a:rPr>
            <a:t>   The Solver uses a numerical approximation procedure to select the new weight values that minimize the portfolio variance subject the following constraints: (i) the weights sum to one; (ii) the return is at least as great as the goal; and (iii) no short selling is allowed</a:t>
          </a: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.</a:t>
          </a: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Genev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0"/>
  <sheetViews>
    <sheetView showGridLines="0" tabSelected="1" workbookViewId="0"/>
  </sheetViews>
  <sheetFormatPr defaultRowHeight="12.75"/>
  <cols>
    <col min="1" max="1" width="6.7109375" customWidth="1"/>
    <col min="2" max="2" width="9.140625" style="28"/>
    <col min="3" max="3" width="9.5703125" style="28" customWidth="1"/>
    <col min="4" max="5" width="9.85546875" style="28" customWidth="1"/>
    <col min="6" max="6" width="9.42578125" style="28" customWidth="1"/>
    <col min="7" max="7" width="4.28515625" style="28" customWidth="1"/>
    <col min="8" max="10" width="9.140625" style="28"/>
  </cols>
  <sheetData>
    <row r="1" spans="1:10">
      <c r="C1" s="28" t="s">
        <v>51</v>
      </c>
      <c r="D1" s="28" t="s">
        <v>52</v>
      </c>
      <c r="E1" s="28" t="s">
        <v>52</v>
      </c>
      <c r="F1" s="28" t="s">
        <v>52</v>
      </c>
    </row>
    <row r="2" spans="1:10">
      <c r="B2" s="29" t="s">
        <v>50</v>
      </c>
      <c r="C2" s="29" t="s">
        <v>53</v>
      </c>
      <c r="D2" s="29" t="s">
        <v>54</v>
      </c>
      <c r="E2" s="29" t="s">
        <v>55</v>
      </c>
      <c r="F2" s="29" t="s">
        <v>56</v>
      </c>
      <c r="H2" s="30" t="s">
        <v>57</v>
      </c>
      <c r="I2" s="30" t="s">
        <v>58</v>
      </c>
      <c r="J2" s="30" t="s">
        <v>59</v>
      </c>
    </row>
    <row r="3" spans="1:10">
      <c r="B3" s="28">
        <v>2006</v>
      </c>
      <c r="C3" s="31">
        <v>15.64</v>
      </c>
      <c r="D3" s="31">
        <v>15.85</v>
      </c>
      <c r="E3" s="31">
        <v>16.260000000000002</v>
      </c>
      <c r="F3" s="31">
        <v>15.79</v>
      </c>
      <c r="G3" s="31"/>
      <c r="H3" s="31">
        <f t="shared" ref="H3:J12" si="0">C3-$F3</f>
        <v>-0.14999999999999858</v>
      </c>
      <c r="I3" s="31">
        <f t="shared" si="0"/>
        <v>6.0000000000000497E-2</v>
      </c>
      <c r="J3" s="31">
        <f t="shared" si="0"/>
        <v>0.47000000000000242</v>
      </c>
    </row>
    <row r="4" spans="1:10">
      <c r="B4" s="28">
        <v>2005</v>
      </c>
      <c r="C4" s="31">
        <v>4.78</v>
      </c>
      <c r="D4" s="31">
        <v>4.82</v>
      </c>
      <c r="E4" s="31">
        <v>4.1399999999999997</v>
      </c>
      <c r="F4" s="31">
        <v>4.91</v>
      </c>
      <c r="G4" s="31"/>
      <c r="H4" s="31">
        <f t="shared" si="0"/>
        <v>-0.12999999999999989</v>
      </c>
      <c r="I4" s="31">
        <f t="shared" si="0"/>
        <v>-8.9999999999999858E-2</v>
      </c>
      <c r="J4" s="31">
        <f t="shared" si="0"/>
        <v>-0.77000000000000046</v>
      </c>
    </row>
    <row r="5" spans="1:10">
      <c r="B5" s="28">
        <v>2004</v>
      </c>
      <c r="C5" s="31">
        <v>10.74</v>
      </c>
      <c r="D5" s="31">
        <v>10.7</v>
      </c>
      <c r="E5" s="31">
        <v>5.57</v>
      </c>
      <c r="F5" s="31">
        <v>10.88</v>
      </c>
      <c r="G5" s="31"/>
      <c r="H5" s="31">
        <f t="shared" si="0"/>
        <v>-0.14000000000000057</v>
      </c>
      <c r="I5" s="31">
        <f t="shared" si="0"/>
        <v>-0.18000000000000149</v>
      </c>
      <c r="J5" s="31">
        <f t="shared" si="0"/>
        <v>-5.3100000000000005</v>
      </c>
    </row>
    <row r="6" spans="1:10">
      <c r="B6" s="28">
        <f>B5-1</f>
        <v>2003</v>
      </c>
      <c r="C6" s="31">
        <v>28.5</v>
      </c>
      <c r="D6" s="31">
        <v>28.18</v>
      </c>
      <c r="E6" s="31">
        <v>20.39</v>
      </c>
      <c r="F6" s="31">
        <v>28.68</v>
      </c>
      <c r="G6" s="31"/>
      <c r="H6" s="31">
        <f t="shared" si="0"/>
        <v>-0.17999999999999972</v>
      </c>
      <c r="I6" s="31">
        <f t="shared" si="0"/>
        <v>-0.5</v>
      </c>
      <c r="J6" s="31">
        <f t="shared" si="0"/>
        <v>-8.2899999999999991</v>
      </c>
    </row>
    <row r="7" spans="1:10">
      <c r="B7" s="28">
        <f t="shared" ref="B7:B12" si="1">B6-1</f>
        <v>2002</v>
      </c>
      <c r="C7" s="31">
        <v>-22.15</v>
      </c>
      <c r="D7" s="31">
        <v>-21.59</v>
      </c>
      <c r="E7" s="31">
        <v>-17.14</v>
      </c>
      <c r="F7" s="31">
        <v>-22.1</v>
      </c>
      <c r="G7" s="31"/>
      <c r="H7" s="31">
        <f t="shared" si="0"/>
        <v>-4.9999999999997158E-2</v>
      </c>
      <c r="I7" s="31">
        <f t="shared" si="0"/>
        <v>0.51000000000000156</v>
      </c>
      <c r="J7" s="31">
        <f t="shared" si="0"/>
        <v>4.9600000000000009</v>
      </c>
    </row>
    <row r="8" spans="1:10">
      <c r="B8" s="28">
        <f t="shared" si="1"/>
        <v>2001</v>
      </c>
      <c r="C8" s="31">
        <v>-12.02</v>
      </c>
      <c r="D8" s="31">
        <v>-11.75</v>
      </c>
      <c r="E8" s="31">
        <v>-10.75</v>
      </c>
      <c r="F8" s="31">
        <v>-11.89</v>
      </c>
      <c r="G8" s="31"/>
      <c r="H8" s="31">
        <f t="shared" si="0"/>
        <v>-0.12999999999999901</v>
      </c>
      <c r="I8" s="31">
        <f t="shared" si="0"/>
        <v>0.14000000000000057</v>
      </c>
      <c r="J8" s="31">
        <f t="shared" si="0"/>
        <v>1.1400000000000006</v>
      </c>
    </row>
    <row r="9" spans="1:10">
      <c r="B9" s="28">
        <f t="shared" si="1"/>
        <v>2000</v>
      </c>
      <c r="C9" s="31">
        <v>-9.06</v>
      </c>
      <c r="D9" s="31">
        <v>-9.73</v>
      </c>
      <c r="E9" s="31">
        <v>1.8</v>
      </c>
      <c r="F9" s="31">
        <v>-9.11</v>
      </c>
      <c r="G9" s="31"/>
      <c r="H9" s="31">
        <f t="shared" si="0"/>
        <v>4.9999999999998934E-2</v>
      </c>
      <c r="I9" s="31">
        <f t="shared" si="0"/>
        <v>-0.62000000000000099</v>
      </c>
      <c r="J9" s="31">
        <f t="shared" si="0"/>
        <v>10.91</v>
      </c>
    </row>
    <row r="10" spans="1:10">
      <c r="B10" s="28">
        <f t="shared" si="1"/>
        <v>1999</v>
      </c>
      <c r="C10" s="31">
        <v>21.07</v>
      </c>
      <c r="D10" s="31">
        <v>20.39</v>
      </c>
      <c r="E10" s="31">
        <v>9.9700000000000006</v>
      </c>
      <c r="F10" s="31">
        <v>21.04</v>
      </c>
      <c r="G10" s="31"/>
      <c r="H10" s="31">
        <f t="shared" si="0"/>
        <v>3.0000000000001137E-2</v>
      </c>
      <c r="I10" s="31">
        <f t="shared" si="0"/>
        <v>-0.64999999999999858</v>
      </c>
      <c r="J10" s="31">
        <f t="shared" si="0"/>
        <v>-11.069999999999999</v>
      </c>
    </row>
    <row r="11" spans="1:10">
      <c r="B11" s="28">
        <f t="shared" si="1"/>
        <v>1998</v>
      </c>
      <c r="C11" s="31">
        <v>28.61</v>
      </c>
      <c r="D11" s="31">
        <v>28.28</v>
      </c>
      <c r="E11" s="31">
        <v>30.85</v>
      </c>
      <c r="F11" s="31">
        <v>28.58</v>
      </c>
      <c r="G11" s="31"/>
      <c r="H11" s="31">
        <f t="shared" si="0"/>
        <v>3.0000000000001137E-2</v>
      </c>
      <c r="I11" s="31">
        <f t="shared" si="0"/>
        <v>-0.29999999999999716</v>
      </c>
      <c r="J11" s="31">
        <f t="shared" si="0"/>
        <v>2.2700000000000031</v>
      </c>
    </row>
    <row r="12" spans="1:10">
      <c r="B12" s="28">
        <f t="shared" si="1"/>
        <v>1997</v>
      </c>
      <c r="C12" s="32">
        <v>33.21</v>
      </c>
      <c r="D12" s="32">
        <v>33.479999999999997</v>
      </c>
      <c r="E12" s="32">
        <v>27.85</v>
      </c>
      <c r="F12" s="32">
        <v>33.36</v>
      </c>
      <c r="G12" s="32"/>
      <c r="H12" s="32">
        <f t="shared" si="0"/>
        <v>-0.14999999999999858</v>
      </c>
      <c r="I12" s="32">
        <f t="shared" si="0"/>
        <v>0.11999999999999744</v>
      </c>
      <c r="J12" s="32">
        <f t="shared" si="0"/>
        <v>-5.509999999999998</v>
      </c>
    </row>
    <row r="13" spans="1:10">
      <c r="C13" s="31"/>
      <c r="D13" s="31"/>
      <c r="E13" s="31"/>
      <c r="F13" s="31"/>
      <c r="G13" s="31"/>
      <c r="H13" s="31"/>
      <c r="I13" s="31"/>
      <c r="J13" s="31"/>
    </row>
    <row r="14" spans="1:10">
      <c r="A14" s="33" t="s">
        <v>60</v>
      </c>
      <c r="C14" s="31">
        <f>AVERAGE(C3:C12)</f>
        <v>9.9320000000000022</v>
      </c>
      <c r="D14" s="31">
        <f>AVERAGE(D3:D12)</f>
        <v>9.8629999999999995</v>
      </c>
      <c r="E14" s="31">
        <f>AVERAGE(E3:E12)</f>
        <v>8.8940000000000001</v>
      </c>
      <c r="F14" s="31">
        <f>AVERAGE(F3:F12)</f>
        <v>10.013999999999999</v>
      </c>
      <c r="G14" s="31"/>
      <c r="H14" s="34">
        <f>AVERAGE(H3:H12)</f>
        <v>-8.1999999999999226E-2</v>
      </c>
      <c r="I14" s="34">
        <f>AVERAGE(I3:I12)</f>
        <v>-0.1509999999999998</v>
      </c>
      <c r="J14" s="34">
        <f>AVERAGE(J3:J12)</f>
        <v>-1.119999999999999</v>
      </c>
    </row>
    <row r="15" spans="1:10">
      <c r="A15" s="35"/>
      <c r="C15" s="31"/>
      <c r="D15" s="31"/>
      <c r="E15" s="31"/>
      <c r="F15" s="31"/>
      <c r="G15" s="31"/>
      <c r="H15" s="31"/>
      <c r="I15" s="31"/>
      <c r="J15" s="31"/>
    </row>
    <row r="16" spans="1:10">
      <c r="A16" s="35" t="s">
        <v>61</v>
      </c>
      <c r="C16" s="31"/>
      <c r="D16" s="31"/>
      <c r="E16" s="31"/>
      <c r="F16" s="31"/>
      <c r="G16" s="31"/>
      <c r="H16" s="31">
        <f>STDEV(H3:H12)</f>
        <v>8.8418198227388528E-2</v>
      </c>
      <c r="I16" s="31">
        <f>STDEV(I3:I12)</f>
        <v>0.37373341657746723</v>
      </c>
      <c r="J16" s="31">
        <f>STDEV(J3:J12)</f>
        <v>6.5674043578875203</v>
      </c>
    </row>
    <row r="17" spans="1:10" ht="4.5" customHeight="1">
      <c r="C17" s="31"/>
      <c r="D17" s="31"/>
      <c r="E17" s="31"/>
      <c r="F17" s="36"/>
      <c r="G17" s="31"/>
      <c r="H17" s="31"/>
      <c r="I17" s="31"/>
      <c r="J17" s="31"/>
    </row>
    <row r="18" spans="1:10">
      <c r="A18" t="s">
        <v>62</v>
      </c>
      <c r="C18" s="31"/>
      <c r="D18" s="31"/>
      <c r="E18" s="31"/>
      <c r="F18" s="31"/>
      <c r="G18" s="31"/>
      <c r="H18" s="31">
        <v>1</v>
      </c>
      <c r="I18" s="31">
        <v>1</v>
      </c>
      <c r="J18" s="31">
        <v>1</v>
      </c>
    </row>
    <row r="19" spans="1:10" ht="4.5" customHeight="1">
      <c r="C19" s="31"/>
      <c r="D19" s="31"/>
      <c r="E19" s="31"/>
      <c r="F19" s="36"/>
      <c r="G19" s="31"/>
      <c r="H19" s="31"/>
      <c r="I19" s="31"/>
      <c r="J19" s="31"/>
    </row>
    <row r="20" spans="1:10">
      <c r="A20" s="33" t="s">
        <v>63</v>
      </c>
      <c r="C20" s="31"/>
      <c r="D20" s="31"/>
      <c r="E20" s="31"/>
      <c r="F20" s="31"/>
      <c r="G20" s="31"/>
      <c r="H20" s="34">
        <f>H16*SQRT(H18)</f>
        <v>8.8418198227388528E-2</v>
      </c>
      <c r="I20" s="34">
        <f>I16*SQRT(I18)</f>
        <v>0.37373341657746723</v>
      </c>
      <c r="J20" s="34">
        <f>J16*SQRT(J18)</f>
        <v>6.5674043578875203</v>
      </c>
    </row>
  </sheetData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1:AD83"/>
  <sheetViews>
    <sheetView showGridLines="0" workbookViewId="0"/>
  </sheetViews>
  <sheetFormatPr defaultColWidth="11.42578125" defaultRowHeight="15"/>
  <cols>
    <col min="1" max="1" width="8" customWidth="1"/>
    <col min="2" max="26" width="11.42578125" style="2" customWidth="1"/>
    <col min="27" max="30" width="11.42578125" style="3" customWidth="1"/>
  </cols>
  <sheetData>
    <row r="11" spans="2:9">
      <c r="B11" s="1" t="s">
        <v>0</v>
      </c>
    </row>
    <row r="13" spans="2:9">
      <c r="B13" s="4" t="s">
        <v>1</v>
      </c>
      <c r="C13" s="26">
        <v>0.01</v>
      </c>
      <c r="D13" s="6" t="s">
        <v>2</v>
      </c>
      <c r="E13" s="26">
        <v>0.04</v>
      </c>
      <c r="F13" s="6" t="s">
        <v>26</v>
      </c>
      <c r="G13" s="27">
        <v>0.5</v>
      </c>
      <c r="H13" s="6" t="s">
        <v>31</v>
      </c>
      <c r="I13" s="27">
        <v>0.3</v>
      </c>
    </row>
    <row r="14" spans="2:9">
      <c r="B14" s="4" t="s">
        <v>3</v>
      </c>
      <c r="C14" s="26">
        <v>0.02</v>
      </c>
      <c r="D14" s="6" t="s">
        <v>4</v>
      </c>
      <c r="E14" s="26">
        <v>0.08</v>
      </c>
      <c r="F14" s="6" t="s">
        <v>27</v>
      </c>
      <c r="G14" s="27">
        <v>0.2</v>
      </c>
      <c r="H14" s="6" t="s">
        <v>32</v>
      </c>
      <c r="I14" s="27">
        <v>0.1</v>
      </c>
    </row>
    <row r="15" spans="2:9">
      <c r="B15" s="4" t="s">
        <v>5</v>
      </c>
      <c r="C15" s="26">
        <v>7.4999999999999997E-2</v>
      </c>
      <c r="D15" s="6" t="s">
        <v>6</v>
      </c>
      <c r="E15" s="26">
        <v>0.18</v>
      </c>
      <c r="F15" s="6" t="s">
        <v>29</v>
      </c>
      <c r="G15" s="27">
        <v>0.3</v>
      </c>
      <c r="H15" s="6" t="s">
        <v>33</v>
      </c>
      <c r="I15" s="27">
        <v>0.7</v>
      </c>
    </row>
    <row r="16" spans="2:9">
      <c r="B16" s="4" t="s">
        <v>20</v>
      </c>
      <c r="C16" s="26">
        <v>0.1</v>
      </c>
      <c r="D16" s="6" t="s">
        <v>21</v>
      </c>
      <c r="E16" s="26">
        <v>0.25</v>
      </c>
      <c r="F16" s="6" t="s">
        <v>30</v>
      </c>
      <c r="G16" s="27">
        <v>0.5</v>
      </c>
      <c r="H16" s="6" t="s">
        <v>34</v>
      </c>
      <c r="I16" s="27">
        <v>0.15</v>
      </c>
    </row>
    <row r="17" spans="2:9">
      <c r="B17" s="4" t="s">
        <v>22</v>
      </c>
      <c r="C17" s="26">
        <v>0.04</v>
      </c>
      <c r="D17" s="6" t="s">
        <v>23</v>
      </c>
      <c r="E17" s="26">
        <v>0.12</v>
      </c>
      <c r="F17" s="6" t="s">
        <v>28</v>
      </c>
      <c r="G17" s="27">
        <v>0.4</v>
      </c>
      <c r="H17" s="6" t="s">
        <v>35</v>
      </c>
      <c r="I17" s="27">
        <v>0.2</v>
      </c>
    </row>
    <row r="21" spans="2:9">
      <c r="B21" s="1" t="s">
        <v>36</v>
      </c>
      <c r="F21" s="1" t="s">
        <v>16</v>
      </c>
    </row>
    <row r="23" spans="2:9">
      <c r="C23" s="4" t="s">
        <v>9</v>
      </c>
      <c r="D23" s="26">
        <v>3.1019081845533321E-2</v>
      </c>
      <c r="G23" s="6" t="s">
        <v>18</v>
      </c>
      <c r="H23" s="8">
        <f t="array" ref="H23">SQRT(MMULT(MMULT(TRANSPOSE(D23:D27),C60:G64),D23:D27))</f>
        <v>9.6675806532378533E-2</v>
      </c>
    </row>
    <row r="24" spans="2:9">
      <c r="C24" s="4" t="s">
        <v>10</v>
      </c>
      <c r="D24" s="26">
        <v>0.21484563390874731</v>
      </c>
      <c r="G24" s="9"/>
      <c r="H24" s="12"/>
    </row>
    <row r="25" spans="2:9">
      <c r="C25" s="4" t="s">
        <v>12</v>
      </c>
      <c r="D25" s="26">
        <v>0.23765074937428865</v>
      </c>
      <c r="E25" s="12"/>
      <c r="F25" s="1" t="s">
        <v>37</v>
      </c>
      <c r="I25" s="12"/>
    </row>
    <row r="26" spans="2:9">
      <c r="C26" s="4" t="s">
        <v>24</v>
      </c>
      <c r="D26" s="26">
        <v>0.11516115746429605</v>
      </c>
      <c r="E26" s="12"/>
      <c r="I26" s="12"/>
    </row>
    <row r="27" spans="2:9">
      <c r="C27" s="4" t="s">
        <v>25</v>
      </c>
      <c r="D27" s="26">
        <v>0.40132436344451611</v>
      </c>
      <c r="E27" s="12"/>
      <c r="G27" s="4" t="s">
        <v>17</v>
      </c>
      <c r="H27" s="8">
        <f t="array" ref="H27">MMULT(TRANSPOSE(D23:D27),C13:C17)</f>
        <v>4.9999999983912177E-2</v>
      </c>
    </row>
    <row r="28" spans="2:9">
      <c r="C28" s="9"/>
      <c r="D28" s="9" t="s">
        <v>13</v>
      </c>
      <c r="E28" s="9"/>
      <c r="F28" s="9"/>
    </row>
    <row r="29" spans="2:9" ht="8.25" customHeight="1">
      <c r="C29" s="9"/>
      <c r="D29" s="10"/>
      <c r="E29" s="10"/>
      <c r="F29" s="10"/>
    </row>
    <row r="30" spans="2:9">
      <c r="C30" s="9" t="s">
        <v>14</v>
      </c>
      <c r="D30" s="11">
        <f>SUM(D23:D27)</f>
        <v>1.0000009860373813</v>
      </c>
      <c r="E30" s="11"/>
      <c r="F30" s="11"/>
    </row>
    <row r="31" spans="2:9">
      <c r="C31" s="9"/>
    </row>
    <row r="32" spans="2:9">
      <c r="C32" s="9"/>
    </row>
    <row r="33" spans="2:10">
      <c r="B33" s="23" t="s">
        <v>43</v>
      </c>
      <c r="C33" s="9"/>
    </row>
    <row r="34" spans="2:10">
      <c r="C34" s="9"/>
      <c r="H34" s="16" t="s">
        <v>40</v>
      </c>
      <c r="J34" s="16" t="s">
        <v>114</v>
      </c>
    </row>
    <row r="35" spans="2:10">
      <c r="C35" s="18" t="s">
        <v>38</v>
      </c>
      <c r="F35" s="17" t="s">
        <v>39</v>
      </c>
      <c r="H35" s="17" t="s">
        <v>41</v>
      </c>
      <c r="J35" s="17" t="s">
        <v>41</v>
      </c>
    </row>
    <row r="36" spans="2:10" ht="9.75" customHeight="1">
      <c r="C36" s="18"/>
      <c r="F36" s="17"/>
      <c r="H36" s="17"/>
    </row>
    <row r="37" spans="2:10">
      <c r="C37" s="19">
        <v>1</v>
      </c>
      <c r="F37" s="20">
        <f>(1/$H$23)*((D23*E13*E13*1)+(D24*E13*E14*G13)+(D25*E13*E15*G14)+(D26*E13*E16*G15)+(D27*E13*E17*G16))</f>
        <v>2.1145544498569969E-2</v>
      </c>
      <c r="H37" s="21">
        <f>F37*D23</f>
        <v>6.5591537546950875E-4</v>
      </c>
      <c r="J37" s="22">
        <f>H37/$H$43</f>
        <v>6.7846899756644945E-3</v>
      </c>
    </row>
    <row r="38" spans="2:10">
      <c r="C38" s="19">
        <v>2</v>
      </c>
      <c r="F38" s="20">
        <f>(1/$H$23)*((D24*E14*E14*1)+(D23*E14*E13*G13)+(D25*E14*E15*G17)+(D26*E14*E16*I13)+(D27*E14*E17*I14))</f>
        <v>4.0028103998917236E-2</v>
      </c>
      <c r="H38" s="21">
        <f>F38*D24</f>
        <v>8.5998633778126363E-3</v>
      </c>
      <c r="J38" s="22">
        <f>H38/$H$43</f>
        <v>8.8955693117826543E-2</v>
      </c>
    </row>
    <row r="39" spans="2:10">
      <c r="C39" s="19">
        <v>3</v>
      </c>
      <c r="F39" s="20">
        <f>(1/$H$23)*((D25*E15*E15*1)+(D23*E15*E13*G14)+(D24*E15*E14*G17)+(D26*E15*E16*I15)+(D27*E15*E17*I16))</f>
        <v>0.14388222354189273</v>
      </c>
      <c r="H39" s="21">
        <f>F39*D25</f>
        <v>3.4193718246369721E-2</v>
      </c>
      <c r="J39" s="22">
        <f>H39/$H$43</f>
        <v>0.35369467783977165</v>
      </c>
    </row>
    <row r="40" spans="2:10">
      <c r="C40" s="19">
        <v>4</v>
      </c>
      <c r="F40" s="20">
        <f>(1/$H$23)*((D26*E16*E16*1)+(D23*E16*E13*G15)+(D24*E16*E14*I13)+(D25*E16*E15*I15)+(D27*E16*E17*I17))</f>
        <v>0.19108863777906632</v>
      </c>
      <c r="H40" s="21">
        <f>F40*D26</f>
        <v>2.2005988704912886E-2</v>
      </c>
      <c r="J40" s="22">
        <f>H40/$H$43</f>
        <v>0.22762663684158319</v>
      </c>
    </row>
    <row r="41" spans="2:10">
      <c r="C41" s="19">
        <v>5</v>
      </c>
      <c r="F41" s="20">
        <f>(1/$H$23)*((D27*E17*E17*1)+(D23*E17*E13*G16)+(D24*E17*E14*I14)+(D25*E17*E15*I16)+(D26*E17*E16*I17))</f>
        <v>7.7793235775305891E-2</v>
      </c>
      <c r="H41" s="21">
        <f>F41*D27</f>
        <v>3.1220320827813796E-2</v>
      </c>
      <c r="J41" s="22">
        <f>H41/$H$43</f>
        <v>0.32293830222515418</v>
      </c>
    </row>
    <row r="42" spans="2:10" ht="18" customHeight="1">
      <c r="C42" s="9"/>
    </row>
    <row r="43" spans="2:10">
      <c r="C43" s="9"/>
      <c r="F43" s="16" t="s">
        <v>42</v>
      </c>
      <c r="H43" s="22">
        <f>SUM(H37:H41)</f>
        <v>9.6675806532378547E-2</v>
      </c>
      <c r="J43" s="22">
        <f>SUM(J37:J41)</f>
        <v>1</v>
      </c>
    </row>
    <row r="44" spans="2:10">
      <c r="C44" s="9"/>
    </row>
    <row r="45" spans="2:10">
      <c r="C45" s="4"/>
      <c r="H45" s="6"/>
    </row>
    <row r="46" spans="2:10">
      <c r="B46" s="23" t="s">
        <v>44</v>
      </c>
      <c r="C46" s="9"/>
    </row>
    <row r="47" spans="2:10">
      <c r="C47" s="4"/>
      <c r="H47" s="16" t="s">
        <v>49</v>
      </c>
    </row>
    <row r="48" spans="2:10">
      <c r="C48" s="18" t="s">
        <v>38</v>
      </c>
      <c r="E48" s="17" t="s">
        <v>45</v>
      </c>
      <c r="H48" s="17" t="s">
        <v>47</v>
      </c>
    </row>
    <row r="49" spans="2:8" ht="9.75" customHeight="1">
      <c r="C49" s="18"/>
      <c r="H49" s="6"/>
    </row>
    <row r="50" spans="2:8">
      <c r="C50" s="19">
        <v>1</v>
      </c>
      <c r="E50" s="25" t="s">
        <v>46</v>
      </c>
      <c r="H50" s="24">
        <f>(IF(E50="yes",H37,0)+IF(E51="yes",H38,0)+IF(E54="yes",H41,0)+IF(E52="yes",H39,0)+IF(E53="yes",H40,0))/(IF(E50="yes",D23,0)+IF(E51="yes",D24,0)+IF(E52="yes",D25,0)+IF(E53="yes",D26,0)+IF(E54="yes",D27,0))</f>
        <v>3.7645819673175276E-2</v>
      </c>
    </row>
    <row r="51" spans="2:8">
      <c r="C51" s="19">
        <v>2</v>
      </c>
      <c r="E51" s="25" t="s">
        <v>46</v>
      </c>
      <c r="H51" s="6"/>
    </row>
    <row r="52" spans="2:8">
      <c r="C52" s="19">
        <v>3</v>
      </c>
      <c r="E52" s="25" t="s">
        <v>48</v>
      </c>
      <c r="H52" s="6"/>
    </row>
    <row r="53" spans="2:8">
      <c r="C53" s="19">
        <v>4</v>
      </c>
      <c r="E53" s="25" t="s">
        <v>48</v>
      </c>
      <c r="H53" s="6"/>
    </row>
    <row r="54" spans="2:8">
      <c r="C54" s="19">
        <v>5</v>
      </c>
      <c r="E54" s="25" t="s">
        <v>48</v>
      </c>
      <c r="H54" s="6"/>
    </row>
    <row r="55" spans="2:8">
      <c r="C55" s="19"/>
      <c r="H55" s="6"/>
    </row>
    <row r="56" spans="2:8">
      <c r="C56" s="19"/>
      <c r="H56" s="6"/>
    </row>
    <row r="58" spans="2:8">
      <c r="B58" s="1" t="s">
        <v>19</v>
      </c>
    </row>
    <row r="60" spans="2:8">
      <c r="C60" s="2">
        <f>E13^2</f>
        <v>1.6000000000000001E-3</v>
      </c>
      <c r="D60" s="2">
        <f>C61</f>
        <v>1.6000000000000001E-3</v>
      </c>
      <c r="E60" s="2">
        <f>C62</f>
        <v>1.4400000000000001E-3</v>
      </c>
      <c r="F60" s="2">
        <f>C63</f>
        <v>3.0000000000000001E-3</v>
      </c>
      <c r="G60" s="2">
        <f>C64</f>
        <v>2.3999999999999998E-3</v>
      </c>
    </row>
    <row r="61" spans="2:8">
      <c r="C61" s="2">
        <f>E13*E14*G13</f>
        <v>1.6000000000000001E-3</v>
      </c>
      <c r="D61" s="2">
        <f>E14^2</f>
        <v>6.4000000000000003E-3</v>
      </c>
      <c r="E61" s="2">
        <f>D62</f>
        <v>5.7600000000000004E-3</v>
      </c>
      <c r="F61" s="2">
        <f>D63</f>
        <v>6.0000000000000001E-3</v>
      </c>
      <c r="G61" s="2">
        <f>D64</f>
        <v>9.5999999999999992E-4</v>
      </c>
    </row>
    <row r="62" spans="2:8">
      <c r="C62" s="2">
        <f>E13*E15*G14</f>
        <v>1.4400000000000001E-3</v>
      </c>
      <c r="D62" s="2">
        <f>E14*E15*G17</f>
        <v>5.7600000000000004E-3</v>
      </c>
      <c r="E62" s="2">
        <f>E15^2</f>
        <v>3.2399999999999998E-2</v>
      </c>
      <c r="F62" s="2">
        <f>E63</f>
        <v>3.15E-2</v>
      </c>
      <c r="G62" s="2">
        <f>E64</f>
        <v>3.2399999999999994E-3</v>
      </c>
    </row>
    <row r="63" spans="2:8">
      <c r="C63" s="2">
        <f>E13*E16*G15</f>
        <v>3.0000000000000001E-3</v>
      </c>
      <c r="D63" s="2">
        <f>E14*E16*I13</f>
        <v>6.0000000000000001E-3</v>
      </c>
      <c r="E63" s="2">
        <f>E15*E16*I15</f>
        <v>3.15E-2</v>
      </c>
      <c r="F63" s="2">
        <f>E16^2</f>
        <v>6.25E-2</v>
      </c>
      <c r="G63" s="2">
        <f>F64</f>
        <v>6.0000000000000001E-3</v>
      </c>
    </row>
    <row r="64" spans="2:8">
      <c r="C64" s="2">
        <f>E13*E17*G16</f>
        <v>2.3999999999999998E-3</v>
      </c>
      <c r="D64" s="2">
        <f>E14*E17*I14</f>
        <v>9.5999999999999992E-4</v>
      </c>
      <c r="E64" s="2">
        <f>E15*E17*I16</f>
        <v>3.2399999999999994E-3</v>
      </c>
      <c r="F64" s="2">
        <f>E16*E17*I17</f>
        <v>6.0000000000000001E-3</v>
      </c>
      <c r="G64" s="2">
        <f>E17^2</f>
        <v>1.44E-2</v>
      </c>
    </row>
    <row r="72" spans="1:2">
      <c r="A72" s="14"/>
      <c r="B72" s="14"/>
    </row>
    <row r="73" spans="1:2">
      <c r="A73" s="15"/>
      <c r="B73" s="15"/>
    </row>
    <row r="74" spans="1:2">
      <c r="A74" s="15"/>
      <c r="B74" s="15"/>
    </row>
    <row r="75" spans="1:2">
      <c r="A75" s="14"/>
      <c r="B75" s="14"/>
    </row>
    <row r="76" spans="1:2">
      <c r="A76" s="15"/>
      <c r="B76" s="15"/>
    </row>
    <row r="77" spans="1:2">
      <c r="A77" s="15"/>
      <c r="B77" s="15"/>
    </row>
    <row r="78" spans="1:2">
      <c r="A78" s="14"/>
      <c r="B78" s="14"/>
    </row>
    <row r="79" spans="1:2">
      <c r="A79" s="15"/>
      <c r="B79" s="15"/>
    </row>
    <row r="83" spans="4:4">
      <c r="D83"/>
    </row>
  </sheetData>
  <phoneticPr fontId="6" type="noConversion"/>
  <pageMargins left="0.75" right="0.75" top="1" bottom="1" header="0.5" footer="0.5"/>
  <pageSetup scale="68" orientation="portrait" r:id="rId1"/>
  <headerFooter alignWithMargins="0">
    <oddHeader>&amp;C&amp;"Arial,Bold"Five-Asset Class Portfolio Risk Decomposition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N92"/>
  <sheetViews>
    <sheetView showGridLines="0" workbookViewId="0"/>
  </sheetViews>
  <sheetFormatPr defaultColWidth="11.42578125" defaultRowHeight="12.75"/>
  <cols>
    <col min="1" max="1" width="6.28515625" style="42" customWidth="1"/>
    <col min="2" max="2" width="5.28515625" style="42" customWidth="1"/>
    <col min="3" max="3" width="8.7109375" style="41" customWidth="1"/>
    <col min="4" max="4" width="9.42578125" style="41" customWidth="1"/>
    <col min="5" max="5" width="8.7109375" style="41" customWidth="1"/>
    <col min="6" max="6" width="9.140625" style="41" customWidth="1"/>
    <col min="7" max="7" width="9.28515625" style="41" customWidth="1"/>
    <col min="8" max="8" width="8.7109375" style="41" customWidth="1"/>
    <col min="9" max="9" width="9.42578125" style="41" customWidth="1"/>
    <col min="10" max="10" width="13.85546875" style="41" customWidth="1"/>
    <col min="11" max="14" width="11.42578125" style="41" customWidth="1"/>
    <col min="15" max="16384" width="11.42578125" style="42"/>
  </cols>
  <sheetData>
    <row r="1" spans="1:10">
      <c r="A1" s="37" t="s">
        <v>64</v>
      </c>
      <c r="B1" s="38"/>
      <c r="C1" s="39"/>
      <c r="D1" s="39"/>
      <c r="E1" s="39"/>
      <c r="F1" s="39"/>
      <c r="G1" s="39"/>
      <c r="H1" s="39"/>
      <c r="I1" s="39"/>
      <c r="J1" s="40"/>
    </row>
    <row r="2" spans="1:10">
      <c r="A2" s="43" t="s">
        <v>65</v>
      </c>
      <c r="B2" s="44"/>
      <c r="C2" s="45"/>
      <c r="D2" s="45"/>
      <c r="E2" s="45"/>
      <c r="F2" s="45"/>
      <c r="G2" s="45"/>
      <c r="H2" s="45"/>
      <c r="I2" s="45"/>
      <c r="J2" s="46"/>
    </row>
    <row r="3" spans="1:10">
      <c r="A3" s="43" t="s">
        <v>66</v>
      </c>
      <c r="B3" s="44"/>
      <c r="C3" s="45"/>
      <c r="D3" s="45"/>
      <c r="E3" s="45"/>
      <c r="F3" s="45"/>
      <c r="G3" s="45"/>
      <c r="H3" s="45"/>
      <c r="I3" s="45"/>
      <c r="J3" s="46"/>
    </row>
    <row r="4" spans="1:10">
      <c r="A4" s="47" t="s">
        <v>67</v>
      </c>
      <c r="B4" s="48"/>
      <c r="C4" s="49"/>
      <c r="D4" s="49"/>
      <c r="E4" s="49"/>
      <c r="F4" s="49"/>
      <c r="G4" s="49"/>
      <c r="H4" s="49"/>
      <c r="I4" s="49"/>
      <c r="J4" s="50"/>
    </row>
    <row r="5" spans="1:10">
      <c r="A5" s="51"/>
    </row>
    <row r="6" spans="1:10">
      <c r="A6" s="51"/>
    </row>
    <row r="8" spans="1:10">
      <c r="D8" s="52" t="s">
        <v>68</v>
      </c>
    </row>
    <row r="10" spans="1:10">
      <c r="C10" s="53" t="s">
        <v>69</v>
      </c>
      <c r="D10" s="54">
        <v>0.12</v>
      </c>
      <c r="F10" s="55" t="s">
        <v>70</v>
      </c>
      <c r="G10" s="54">
        <v>0.21199999999999999</v>
      </c>
      <c r="H10" s="53" t="s">
        <v>110</v>
      </c>
      <c r="I10" s="56">
        <v>0.18</v>
      </c>
    </row>
    <row r="11" spans="1:10">
      <c r="C11" s="53" t="s">
        <v>71</v>
      </c>
      <c r="D11" s="54">
        <v>5.0999999999999997E-2</v>
      </c>
      <c r="F11" s="55" t="s">
        <v>72</v>
      </c>
      <c r="G11" s="54">
        <v>8.3000000000000004E-2</v>
      </c>
      <c r="H11" s="53" t="s">
        <v>111</v>
      </c>
      <c r="I11" s="56">
        <v>-7.0000000000000007E-2</v>
      </c>
    </row>
    <row r="12" spans="1:10">
      <c r="C12" s="53" t="s">
        <v>73</v>
      </c>
      <c r="D12" s="54">
        <v>3.5999999999999997E-2</v>
      </c>
      <c r="F12" s="55" t="s">
        <v>74</v>
      </c>
      <c r="G12" s="54">
        <v>3.3000000000000002E-2</v>
      </c>
      <c r="H12" s="53" t="s">
        <v>112</v>
      </c>
      <c r="I12" s="56">
        <v>0.22</v>
      </c>
    </row>
    <row r="13" spans="1:10">
      <c r="C13" s="53"/>
      <c r="D13" s="53"/>
      <c r="F13" s="55"/>
      <c r="G13" s="53"/>
      <c r="H13" s="53"/>
      <c r="I13" s="53"/>
    </row>
    <row r="14" spans="1:10">
      <c r="C14" s="57"/>
      <c r="F14" s="57"/>
      <c r="H14" s="57"/>
    </row>
    <row r="15" spans="1:10">
      <c r="C15" s="57"/>
      <c r="E15" s="52" t="s">
        <v>75</v>
      </c>
      <c r="F15" s="57"/>
      <c r="H15" s="57"/>
    </row>
    <row r="17" spans="3:14">
      <c r="E17" s="53" t="s">
        <v>76</v>
      </c>
      <c r="F17" s="54">
        <v>0.08</v>
      </c>
    </row>
    <row r="18" spans="3:14">
      <c r="E18" s="53"/>
    </row>
    <row r="19" spans="3:14">
      <c r="E19" s="53"/>
    </row>
    <row r="20" spans="3:14">
      <c r="D20" s="52" t="s">
        <v>77</v>
      </c>
      <c r="E20" s="53"/>
      <c r="F20" s="52" t="s">
        <v>77</v>
      </c>
      <c r="H20" s="52" t="s">
        <v>77</v>
      </c>
    </row>
    <row r="21" spans="3:14">
      <c r="D21" s="52"/>
      <c r="E21" s="53"/>
      <c r="F21" s="52"/>
      <c r="H21" s="52"/>
    </row>
    <row r="22" spans="3:14">
      <c r="C22" s="52" t="s">
        <v>78</v>
      </c>
    </row>
    <row r="23" spans="3:14" s="58" customFormat="1"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3:14" s="58" customFormat="1">
      <c r="C24" s="53" t="s">
        <v>79</v>
      </c>
      <c r="D24" s="59">
        <f>D83*G83+E83*G84</f>
        <v>0.45988177505266464</v>
      </c>
      <c r="E24" s="53" t="s">
        <v>80</v>
      </c>
      <c r="F24" s="59">
        <f>D84*G83+E84*G84</f>
        <v>0.3579953930384166</v>
      </c>
      <c r="G24" s="53" t="s">
        <v>81</v>
      </c>
      <c r="H24" s="59">
        <f>D85*G83+E85*G84</f>
        <v>0.18212283190891654</v>
      </c>
      <c r="I24" s="41"/>
      <c r="J24" s="57"/>
      <c r="K24" s="57"/>
      <c r="L24" s="57"/>
      <c r="M24" s="57"/>
      <c r="N24" s="57"/>
    </row>
    <row r="26" spans="3:14">
      <c r="G26" s="60" t="s">
        <v>82</v>
      </c>
      <c r="H26" s="60"/>
      <c r="I26" s="41">
        <f>F24+H24+D24</f>
        <v>0.99999999999999778</v>
      </c>
    </row>
    <row r="27" spans="3:14">
      <c r="G27" s="60" t="s">
        <v>83</v>
      </c>
      <c r="H27" s="60"/>
      <c r="I27" s="41">
        <f>D24*D10+D11*F24+H24*D12</f>
        <v>0.08</v>
      </c>
    </row>
    <row r="30" spans="3:14">
      <c r="D30" s="52" t="s">
        <v>84</v>
      </c>
    </row>
    <row r="32" spans="3:14" ht="15.75">
      <c r="E32" s="61" t="s">
        <v>113</v>
      </c>
      <c r="F32" s="62">
        <f>SQRT(((D24*C42+C43*F24+H24*C44)*D24)+((D24*D42+D43*F24+H24*D44)*F24)+((D24*E42+E43*F24+H24*E44)*H24))</f>
        <v>0.10706875666623697</v>
      </c>
    </row>
    <row r="33" spans="1:14" ht="15.75">
      <c r="E33" s="61"/>
    </row>
    <row r="34" spans="1:14" s="58" customFormat="1">
      <c r="C34" s="57"/>
      <c r="D34" s="41"/>
      <c r="E34" s="41"/>
      <c r="F34" s="57"/>
      <c r="G34" s="57"/>
      <c r="H34" s="57"/>
      <c r="I34" s="57"/>
      <c r="J34" s="57"/>
      <c r="K34" s="57"/>
      <c r="L34" s="57"/>
      <c r="M34" s="57"/>
      <c r="N34" s="57"/>
    </row>
    <row r="35" spans="1:14">
      <c r="D35" s="52" t="s">
        <v>85</v>
      </c>
      <c r="F35" s="52" t="s">
        <v>85</v>
      </c>
      <c r="H35" s="52" t="s">
        <v>85</v>
      </c>
    </row>
    <row r="36" spans="1:14">
      <c r="D36" s="52"/>
      <c r="F36" s="52"/>
      <c r="H36" s="52"/>
    </row>
    <row r="37" spans="1:14">
      <c r="A37" s="63" t="s">
        <v>86</v>
      </c>
    </row>
    <row r="38" spans="1:14">
      <c r="A38" s="63"/>
    </row>
    <row r="39" spans="1:14">
      <c r="D39" s="52" t="s">
        <v>87</v>
      </c>
    </row>
    <row r="41" spans="1:14">
      <c r="D41" s="41" t="s">
        <v>88</v>
      </c>
      <c r="H41" s="41" t="s">
        <v>89</v>
      </c>
    </row>
    <row r="42" spans="1:14">
      <c r="C42" s="41">
        <f>G10^2</f>
        <v>4.4943999999999998E-2</v>
      </c>
      <c r="D42" s="41">
        <f>G10*G11*I10</f>
        <v>3.1672800000000002E-3</v>
      </c>
      <c r="E42" s="41">
        <f>G10*G12*I11</f>
        <v>-4.8972000000000013E-4</v>
      </c>
      <c r="G42" s="41">
        <f>D43*E44-E43*D44</f>
        <v>7.1390183436000025E-6</v>
      </c>
      <c r="H42" s="41">
        <f>(C43*E44-E43*C44)*-1</f>
        <v>-3.7442633976000004E-6</v>
      </c>
      <c r="I42" s="41">
        <f>C43*D44-D43*C44</f>
        <v>5.2822206624000018E-6</v>
      </c>
    </row>
    <row r="43" spans="1:14">
      <c r="C43" s="41">
        <f>G10*G11*I10</f>
        <v>3.1672800000000002E-3</v>
      </c>
      <c r="D43" s="41">
        <f>G11^2</f>
        <v>6.889000000000001E-3</v>
      </c>
      <c r="E43" s="41">
        <f>G11*G12*I12</f>
        <v>6.0258000000000002E-4</v>
      </c>
      <c r="G43" s="41">
        <f>(D42*E44-E42*D44)*-1</f>
        <v>-3.7442633976000004E-6</v>
      </c>
      <c r="H43" s="41">
        <f>C42*E44-E42*C44</f>
        <v>4.8704190321599999E-5</v>
      </c>
      <c r="I43" s="41">
        <f>(C42*D44-D42*C44)*-1</f>
        <v>-2.8633435881599998E-5</v>
      </c>
    </row>
    <row r="44" spans="1:14">
      <c r="C44" s="41">
        <f>G10*G12*I11</f>
        <v>-4.8972000000000013E-4</v>
      </c>
      <c r="D44" s="41">
        <f>G11*G12*I12</f>
        <v>6.0258000000000002E-4</v>
      </c>
      <c r="E44" s="41">
        <f>G12^2</f>
        <v>1.0890000000000001E-3</v>
      </c>
      <c r="G44" s="41">
        <f>D42*E43-E42*D43</f>
        <v>5.2822206624000018E-6</v>
      </c>
      <c r="H44" s="41">
        <f>(C42*E43-E42*C43)*-1</f>
        <v>-2.8633435881599998E-5</v>
      </c>
      <c r="I44" s="41">
        <f>C42*D43-D42*C43</f>
        <v>2.9958755340160002E-4</v>
      </c>
    </row>
    <row r="46" spans="1:14">
      <c r="D46" s="41" t="s">
        <v>90</v>
      </c>
      <c r="H46" s="41" t="s">
        <v>91</v>
      </c>
    </row>
    <row r="47" spans="1:14">
      <c r="G47" s="41">
        <f>G42</f>
        <v>7.1390183436000025E-6</v>
      </c>
      <c r="H47" s="41">
        <f>G43</f>
        <v>-3.7442633976000004E-6</v>
      </c>
      <c r="I47" s="41">
        <f>G44</f>
        <v>5.2822206624000018E-6</v>
      </c>
    </row>
    <row r="48" spans="1:14">
      <c r="D48" s="41">
        <f>C42*G42+C43*G43+C44*G44</f>
        <v>3.0641010075801746E-7</v>
      </c>
      <c r="G48" s="41">
        <f>H42</f>
        <v>-3.7442633976000004E-6</v>
      </c>
      <c r="H48" s="41">
        <f>H43</f>
        <v>4.8704190321599999E-5</v>
      </c>
      <c r="I48" s="41">
        <f>H44</f>
        <v>-2.8633435881599998E-5</v>
      </c>
    </row>
    <row r="49" spans="3:9">
      <c r="G49" s="41">
        <f>I42</f>
        <v>5.2822206624000018E-6</v>
      </c>
      <c r="H49" s="41">
        <f>I43</f>
        <v>-2.8633435881599998E-5</v>
      </c>
      <c r="I49" s="41">
        <f>I44</f>
        <v>2.9958755340160002E-4</v>
      </c>
    </row>
    <row r="51" spans="3:9">
      <c r="D51" s="41" t="s">
        <v>92</v>
      </c>
      <c r="G51" s="41" t="s">
        <v>93</v>
      </c>
    </row>
    <row r="52" spans="3:9">
      <c r="C52" s="41">
        <f t="shared" ref="C52:E54" si="0">G47/$D$48</f>
        <v>23.298900153549212</v>
      </c>
      <c r="D52" s="41">
        <f t="shared" si="0"/>
        <v>-12.219777965338595</v>
      </c>
      <c r="E52" s="41">
        <f t="shared" si="0"/>
        <v>17.239055270477365</v>
      </c>
      <c r="G52" s="41">
        <f>C52*C42+D52*C43+E52*C44</f>
        <v>1.0000000000000002</v>
      </c>
      <c r="H52" s="41">
        <f>C52*D42+D52*D43+E52*D44</f>
        <v>0</v>
      </c>
      <c r="I52" s="41">
        <f>C52*E42+D52*E43+E52*E44</f>
        <v>0</v>
      </c>
    </row>
    <row r="53" spans="3:9">
      <c r="C53" s="41">
        <f t="shared" si="0"/>
        <v>-12.219777965338595</v>
      </c>
      <c r="D53" s="41">
        <f t="shared" si="0"/>
        <v>158.95099476522597</v>
      </c>
      <c r="E53" s="41">
        <f t="shared" si="0"/>
        <v>-93.448080891474277</v>
      </c>
      <c r="G53" s="41">
        <f>C54*C42+D54*C43+E54*C44</f>
        <v>0</v>
      </c>
      <c r="H53" s="41">
        <f>C53*D42+D53*D43+E53*D44</f>
        <v>0.99999999999999978</v>
      </c>
      <c r="I53" s="41">
        <f>C53*E42+D53*E43+E53*E44</f>
        <v>0</v>
      </c>
    </row>
    <row r="54" spans="3:9">
      <c r="C54" s="41">
        <f t="shared" si="0"/>
        <v>17.239055270477365</v>
      </c>
      <c r="D54" s="41">
        <f t="shared" si="0"/>
        <v>-93.448080891474277</v>
      </c>
      <c r="E54" s="41">
        <f t="shared" si="0"/>
        <v>977.73393455522728</v>
      </c>
      <c r="G54" s="41">
        <f>C54*C42+D54*C43+E54*C44</f>
        <v>0</v>
      </c>
      <c r="H54" s="41">
        <f>C54*D42+D54*D43+E54*D44</f>
        <v>0</v>
      </c>
      <c r="I54" s="41">
        <f>C54*E42+D54*E43+E54*E44</f>
        <v>1</v>
      </c>
    </row>
    <row r="57" spans="3:9">
      <c r="D57" s="52" t="s">
        <v>94</v>
      </c>
    </row>
    <row r="59" spans="3:9">
      <c r="D59" s="41" t="s">
        <v>95</v>
      </c>
      <c r="F59" s="41" t="s">
        <v>96</v>
      </c>
    </row>
    <row r="60" spans="3:9">
      <c r="D60" s="41">
        <f>D10*C52+D11*C53+D12*C54</f>
        <v>2.7932653319308218</v>
      </c>
      <c r="F60" s="41">
        <f>C52+C53+C54</f>
        <v>28.318177458687984</v>
      </c>
      <c r="H60" s="41" t="s">
        <v>97</v>
      </c>
      <c r="I60" s="41">
        <f>D60+D61+D62</f>
        <v>38.570517948003918</v>
      </c>
    </row>
    <row r="61" spans="3:9">
      <c r="D61" s="41">
        <f>D10*D52+D11*D53+D12*D54</f>
        <v>3.2759964650928182</v>
      </c>
      <c r="F61" s="41">
        <f>D52+D53+D54</f>
        <v>53.283135908413087</v>
      </c>
      <c r="H61" s="41" t="s">
        <v>98</v>
      </c>
      <c r="I61" s="41">
        <f>D60*D10+D11*D61+D62*D12</f>
        <v>1.672312880986722</v>
      </c>
    </row>
    <row r="62" spans="3:9">
      <c r="D62" s="41">
        <f>D10*E52+D11*E53+D12*E54</f>
        <v>32.501256150980275</v>
      </c>
      <c r="F62" s="41">
        <f>E52+E53+E54</f>
        <v>901.52490893423033</v>
      </c>
      <c r="H62" s="41" t="s">
        <v>99</v>
      </c>
      <c r="I62" s="41">
        <f>F60+F61+F62</f>
        <v>983.12622230133138</v>
      </c>
    </row>
    <row r="65" spans="4:8">
      <c r="D65" s="52" t="s">
        <v>100</v>
      </c>
    </row>
    <row r="67" spans="4:8">
      <c r="D67" s="41" t="s">
        <v>101</v>
      </c>
      <c r="G67" s="41" t="s">
        <v>102</v>
      </c>
    </row>
    <row r="68" spans="4:8">
      <c r="D68" s="41">
        <f>I61</f>
        <v>1.672312880986722</v>
      </c>
      <c r="E68" s="41">
        <f>I60</f>
        <v>38.570517948003918</v>
      </c>
      <c r="G68" s="41">
        <f>E69</f>
        <v>983.12622230133138</v>
      </c>
      <c r="H68" s="41">
        <f>D69*-1</f>
        <v>-38.570517948003918</v>
      </c>
    </row>
    <row r="69" spans="4:8">
      <c r="D69" s="41">
        <f>I60</f>
        <v>38.570517948003918</v>
      </c>
      <c r="E69" s="41">
        <f>I62</f>
        <v>983.12622230133138</v>
      </c>
      <c r="G69" s="41">
        <f>E68*-1</f>
        <v>-38.570517948003918</v>
      </c>
      <c r="H69" s="41">
        <f>D68</f>
        <v>1.672312880986722</v>
      </c>
    </row>
    <row r="71" spans="4:8">
      <c r="E71" s="41" t="s">
        <v>103</v>
      </c>
      <c r="G71" s="41" t="s">
        <v>104</v>
      </c>
    </row>
    <row r="72" spans="4:8">
      <c r="G72" s="41">
        <f>G68</f>
        <v>983.12622230133138</v>
      </c>
      <c r="H72" s="41">
        <f>G69</f>
        <v>-38.570517948003918</v>
      </c>
    </row>
    <row r="73" spans="4:8">
      <c r="E73" s="41">
        <f>G68*D68+G69*D69</f>
        <v>156.40979041303967</v>
      </c>
      <c r="G73" s="41">
        <f>H68</f>
        <v>-38.570517948003918</v>
      </c>
      <c r="H73" s="41">
        <f>H69</f>
        <v>1.672312880986722</v>
      </c>
    </row>
    <row r="75" spans="4:8">
      <c r="D75" s="41" t="s">
        <v>105</v>
      </c>
      <c r="G75" s="41" t="s">
        <v>106</v>
      </c>
    </row>
    <row r="76" spans="4:8">
      <c r="D76" s="41">
        <f>G72/$E$73</f>
        <v>6.2855798201962774</v>
      </c>
      <c r="E76" s="41">
        <f>H72/$E$73</f>
        <v>-0.2465991281373672</v>
      </c>
      <c r="G76" s="41">
        <f>D76*D68+E76*D69</f>
        <v>1</v>
      </c>
      <c r="H76" s="41">
        <f>D76*E68+E76*E69</f>
        <v>0</v>
      </c>
    </row>
    <row r="77" spans="4:8">
      <c r="D77" s="41">
        <f>G73/$E$73</f>
        <v>-0.2465991281373672</v>
      </c>
      <c r="E77" s="41">
        <f>H73/$E$73</f>
        <v>1.0691868306776426E-2</v>
      </c>
      <c r="G77" s="41">
        <f>D77*D68+E77*D69</f>
        <v>0</v>
      </c>
      <c r="H77" s="41">
        <f>D77*E68+E77*E69</f>
        <v>1</v>
      </c>
    </row>
    <row r="80" spans="4:8">
      <c r="D80" s="52" t="s">
        <v>107</v>
      </c>
    </row>
    <row r="82" spans="3:14">
      <c r="D82" s="41" t="s">
        <v>108</v>
      </c>
      <c r="G82" s="41" t="s">
        <v>109</v>
      </c>
    </row>
    <row r="83" spans="3:14">
      <c r="D83" s="41">
        <f>C52*$D$10+$D$11*D52+E52*$D$12</f>
        <v>2.7932653319308218</v>
      </c>
      <c r="E83" s="41">
        <f>C52+D52+E52</f>
        <v>28.318177458687984</v>
      </c>
      <c r="G83" s="41">
        <f>D76*$F$17+E76</f>
        <v>0.25624725747833499</v>
      </c>
    </row>
    <row r="84" spans="3:14">
      <c r="D84" s="41">
        <f>C53*$D$10+$D$11*D53+E53*$D$12</f>
        <v>3.2759964650928182</v>
      </c>
      <c r="E84" s="41">
        <f>C53+D53+E53</f>
        <v>53.283135908413087</v>
      </c>
      <c r="G84" s="41">
        <f>D77*$F$17+E77</f>
        <v>-9.0360619442129506E-3</v>
      </c>
    </row>
    <row r="85" spans="3:14" s="58" customFormat="1">
      <c r="C85" s="57"/>
      <c r="D85" s="41">
        <f>C54*$D$10+$D$11*D54+E54*$D$12</f>
        <v>32.501256150980275</v>
      </c>
      <c r="E85" s="41">
        <f>C54+D54+E54</f>
        <v>901.52490893423033</v>
      </c>
      <c r="F85" s="57"/>
      <c r="G85" s="57"/>
      <c r="H85" s="57"/>
      <c r="I85" s="57"/>
      <c r="J85" s="57"/>
      <c r="K85" s="57"/>
      <c r="L85" s="57"/>
      <c r="M85" s="57"/>
      <c r="N85" s="57"/>
    </row>
    <row r="86" spans="3:14" s="58" customFormat="1">
      <c r="C86" s="57"/>
      <c r="D86" s="41"/>
      <c r="E86" s="41"/>
      <c r="F86" s="57"/>
      <c r="G86" s="57"/>
      <c r="H86" s="57"/>
      <c r="I86" s="57"/>
      <c r="J86" s="57"/>
      <c r="K86" s="57"/>
      <c r="L86" s="57"/>
      <c r="M86" s="57"/>
      <c r="N86" s="57"/>
    </row>
    <row r="87" spans="3:14" s="58" customFormat="1">
      <c r="C87" s="57"/>
      <c r="D87" s="41"/>
      <c r="E87" s="41"/>
      <c r="F87" s="57"/>
      <c r="G87" s="57"/>
      <c r="H87" s="57"/>
      <c r="I87" s="57"/>
      <c r="J87" s="57"/>
      <c r="K87" s="57"/>
      <c r="L87" s="57"/>
      <c r="M87" s="57"/>
      <c r="N87" s="57"/>
    </row>
    <row r="90" spans="3:14" s="58" customFormat="1">
      <c r="C90" s="57"/>
      <c r="D90" s="41"/>
      <c r="E90" s="41"/>
      <c r="F90" s="57"/>
      <c r="G90" s="57"/>
      <c r="H90" s="57"/>
      <c r="I90" s="57"/>
      <c r="J90" s="57"/>
      <c r="K90" s="57"/>
      <c r="L90" s="57"/>
      <c r="M90" s="57"/>
      <c r="N90" s="57"/>
    </row>
    <row r="91" spans="3:14" s="58" customFormat="1">
      <c r="C91" s="57"/>
      <c r="D91" s="41"/>
      <c r="E91" s="41"/>
      <c r="F91" s="57"/>
      <c r="G91" s="57"/>
      <c r="H91" s="57"/>
      <c r="I91" s="57"/>
      <c r="J91" s="57"/>
      <c r="K91" s="57"/>
      <c r="L91" s="57"/>
      <c r="M91" s="57"/>
      <c r="N91" s="57"/>
    </row>
    <row r="92" spans="3:14" s="58" customFormat="1">
      <c r="C92" s="57"/>
      <c r="D92" s="41"/>
      <c r="E92" s="41"/>
      <c r="F92" s="57"/>
      <c r="G92" s="57"/>
      <c r="H92" s="57"/>
      <c r="I92" s="57"/>
      <c r="J92" s="57"/>
      <c r="K92" s="57"/>
      <c r="L92" s="57"/>
      <c r="M92" s="57"/>
      <c r="N92" s="57"/>
    </row>
  </sheetData>
  <sheetProtection sheet="1" objects="1" scenarios="1"/>
  <phoneticPr fontId="15" type="noConversion"/>
  <pageMargins left="0.75" right="0.75" top="1" bottom="1" header="0.5" footer="0.5"/>
  <pageSetup orientation="portrait" r:id="rId1"/>
  <headerFooter alignWithMargins="0">
    <oddHeader>&amp;C&amp;"Times New Roman,Bold"Calculation of the Mean-Variance Efficient Weights for a Three Asset Portfolio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1:AB41"/>
  <sheetViews>
    <sheetView showGridLines="0" workbookViewId="0"/>
  </sheetViews>
  <sheetFormatPr defaultColWidth="11.42578125" defaultRowHeight="15"/>
  <cols>
    <col min="1" max="1" width="9.140625" customWidth="1"/>
    <col min="2" max="24" width="11.42578125" style="2" customWidth="1"/>
    <col min="25" max="28" width="11.42578125" style="3" customWidth="1"/>
  </cols>
  <sheetData>
    <row r="11" spans="2:7">
      <c r="B11" s="1" t="s">
        <v>0</v>
      </c>
    </row>
    <row r="13" spans="2:7">
      <c r="B13" s="4" t="s">
        <v>1</v>
      </c>
      <c r="C13" s="5">
        <v>0.12</v>
      </c>
      <c r="D13" s="6" t="s">
        <v>2</v>
      </c>
      <c r="E13" s="5">
        <v>0.21199999999999999</v>
      </c>
      <c r="F13" s="6" t="s">
        <v>26</v>
      </c>
      <c r="G13" s="7">
        <v>0.18</v>
      </c>
    </row>
    <row r="14" spans="2:7">
      <c r="B14" s="4" t="s">
        <v>3</v>
      </c>
      <c r="C14" s="5">
        <v>5.0999999999999997E-2</v>
      </c>
      <c r="D14" s="6" t="s">
        <v>4</v>
      </c>
      <c r="E14" s="5">
        <v>8.3000000000000004E-2</v>
      </c>
      <c r="F14" s="6" t="s">
        <v>27</v>
      </c>
      <c r="G14" s="7">
        <v>-7.0000000000000007E-2</v>
      </c>
    </row>
    <row r="15" spans="2:7">
      <c r="B15" s="4" t="s">
        <v>5</v>
      </c>
      <c r="C15" s="5">
        <v>3.5999999999999997E-2</v>
      </c>
      <c r="D15" s="6" t="s">
        <v>6</v>
      </c>
      <c r="E15" s="5">
        <v>3.3000000000000002E-2</v>
      </c>
      <c r="F15" s="6" t="s">
        <v>28</v>
      </c>
      <c r="G15" s="7">
        <v>0.22</v>
      </c>
    </row>
    <row r="19" spans="2:7">
      <c r="B19" s="1" t="s">
        <v>7</v>
      </c>
      <c r="E19" s="1" t="s">
        <v>8</v>
      </c>
    </row>
    <row r="21" spans="2:7">
      <c r="C21" s="4" t="s">
        <v>9</v>
      </c>
      <c r="D21" s="8">
        <v>0.85507247372308537</v>
      </c>
    </row>
    <row r="22" spans="2:7">
      <c r="C22" s="4" t="s">
        <v>10</v>
      </c>
      <c r="D22" s="8">
        <v>0.14492751231429613</v>
      </c>
      <c r="F22" s="9" t="s">
        <v>11</v>
      </c>
      <c r="G22" s="5">
        <v>0.11</v>
      </c>
    </row>
    <row r="23" spans="2:7">
      <c r="C23" s="4" t="s">
        <v>12</v>
      </c>
      <c r="D23" s="8">
        <v>0</v>
      </c>
    </row>
    <row r="24" spans="2:7">
      <c r="C24" s="9"/>
      <c r="D24" s="9" t="s">
        <v>13</v>
      </c>
    </row>
    <row r="25" spans="2:7" ht="8.25" customHeight="1">
      <c r="C25" s="9"/>
      <c r="D25" s="10"/>
    </row>
    <row r="26" spans="2:7">
      <c r="C26" s="9" t="s">
        <v>14</v>
      </c>
      <c r="D26" s="11">
        <f>D21+D22+D23</f>
        <v>0.99999998603738149</v>
      </c>
    </row>
    <row r="27" spans="2:7">
      <c r="C27" s="9"/>
    </row>
    <row r="28" spans="2:7">
      <c r="C28" s="9"/>
    </row>
    <row r="30" spans="2:7">
      <c r="B30" s="1" t="s">
        <v>15</v>
      </c>
      <c r="E30" s="1" t="s">
        <v>16</v>
      </c>
    </row>
    <row r="32" spans="2:7">
      <c r="C32" s="4" t="s">
        <v>17</v>
      </c>
      <c r="D32" s="8">
        <f t="array" ref="D32">MMULT(TRANSPOSE(D21:D23),C13:C15)</f>
        <v>0.10999999997479934</v>
      </c>
      <c r="F32" s="6" t="s">
        <v>18</v>
      </c>
      <c r="G32" s="8">
        <f t="array" ref="G32">SQRT(MMULT(MMULT(TRANSPOSE(D21:D23),C39:E41),D21:D23))</f>
        <v>0.18382180286177396</v>
      </c>
    </row>
    <row r="33" spans="2:6">
      <c r="C33" s="4"/>
      <c r="F33" s="6"/>
    </row>
    <row r="34" spans="2:6">
      <c r="C34" s="4"/>
      <c r="F34" s="6"/>
    </row>
    <row r="35" spans="2:6">
      <c r="C35" s="4"/>
      <c r="F35" s="6"/>
    </row>
    <row r="37" spans="2:6">
      <c r="B37" s="1" t="s">
        <v>19</v>
      </c>
    </row>
    <row r="39" spans="2:6">
      <c r="C39" s="2">
        <f>E13^2</f>
        <v>4.4943999999999998E-2</v>
      </c>
      <c r="D39" s="2">
        <f>E13*E14*G13</f>
        <v>3.1672800000000002E-3</v>
      </c>
      <c r="E39" s="2">
        <f>E13*E15*G14</f>
        <v>-4.8972000000000013E-4</v>
      </c>
    </row>
    <row r="40" spans="2:6">
      <c r="C40" s="2">
        <f>E13*E14*G13</f>
        <v>3.1672800000000002E-3</v>
      </c>
      <c r="D40" s="2">
        <f>E14^2</f>
        <v>6.889000000000001E-3</v>
      </c>
      <c r="E40" s="2">
        <f>E14*E15*G15</f>
        <v>6.0258000000000002E-4</v>
      </c>
    </row>
    <row r="41" spans="2:6">
      <c r="C41" s="2">
        <f>E13*E15*G14</f>
        <v>-4.8972000000000013E-4</v>
      </c>
      <c r="D41" s="2">
        <f>E14*E15*G15</f>
        <v>6.0258000000000002E-4</v>
      </c>
      <c r="E41" s="2">
        <f>E15^2</f>
        <v>1.0890000000000001E-3</v>
      </c>
    </row>
  </sheetData>
  <phoneticPr fontId="0" type="noConversion"/>
  <pageMargins left="0.75" right="0.75" top="1" bottom="1" header="0.5" footer="0.5"/>
  <pageSetup orientation="portrait" r:id="rId1"/>
  <headerFooter alignWithMargins="0">
    <oddHeader>&amp;C&amp;"Times New Roman,Bold"Mean-Variance Efficient Portfolio Weights With No Short Sales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B11:AB41"/>
  <sheetViews>
    <sheetView showGridLines="0" workbookViewId="0"/>
  </sheetViews>
  <sheetFormatPr defaultColWidth="11.42578125" defaultRowHeight="15"/>
  <cols>
    <col min="1" max="1" width="9.140625" customWidth="1"/>
    <col min="2" max="24" width="11.42578125" style="2" customWidth="1"/>
    <col min="25" max="28" width="11.42578125" style="3" customWidth="1"/>
  </cols>
  <sheetData>
    <row r="11" spans="2:7">
      <c r="B11" s="1" t="s">
        <v>0</v>
      </c>
    </row>
    <row r="13" spans="2:7">
      <c r="B13" s="4" t="s">
        <v>1</v>
      </c>
      <c r="C13" s="5">
        <v>0.12</v>
      </c>
      <c r="D13" s="6" t="s">
        <v>2</v>
      </c>
      <c r="E13" s="5">
        <v>0.21199999999999999</v>
      </c>
      <c r="F13" s="6" t="s">
        <v>26</v>
      </c>
      <c r="G13" s="7">
        <v>0.18</v>
      </c>
    </row>
    <row r="14" spans="2:7">
      <c r="B14" s="4" t="s">
        <v>3</v>
      </c>
      <c r="C14" s="5">
        <v>5.0999999999999997E-2</v>
      </c>
      <c r="D14" s="6" t="s">
        <v>4</v>
      </c>
      <c r="E14" s="5">
        <v>8.3000000000000004E-2</v>
      </c>
      <c r="F14" s="6" t="s">
        <v>27</v>
      </c>
      <c r="G14" s="7">
        <v>-7.0000000000000007E-2</v>
      </c>
    </row>
    <row r="15" spans="2:7">
      <c r="B15" s="4" t="s">
        <v>5</v>
      </c>
      <c r="C15" s="5">
        <v>3.5999999999999997E-2</v>
      </c>
      <c r="D15" s="6" t="s">
        <v>6</v>
      </c>
      <c r="E15" s="5">
        <v>3.3000000000000002E-2</v>
      </c>
      <c r="F15" s="6" t="s">
        <v>28</v>
      </c>
      <c r="G15" s="7">
        <v>0.22</v>
      </c>
    </row>
    <row r="19" spans="2:7">
      <c r="B19" s="1" t="s">
        <v>7</v>
      </c>
      <c r="E19" s="1" t="s">
        <v>8</v>
      </c>
    </row>
    <row r="21" spans="2:7">
      <c r="C21" s="4" t="s">
        <v>9</v>
      </c>
      <c r="D21" s="8">
        <v>0.77710339989334298</v>
      </c>
    </row>
    <row r="22" spans="2:7">
      <c r="C22" s="4" t="s">
        <v>10</v>
      </c>
      <c r="D22" s="8">
        <v>0.58155432039614086</v>
      </c>
      <c r="F22" s="9" t="s">
        <v>11</v>
      </c>
      <c r="G22" s="5">
        <v>0.11</v>
      </c>
    </row>
    <row r="23" spans="2:7">
      <c r="C23" s="4" t="s">
        <v>12</v>
      </c>
      <c r="D23" s="8">
        <v>-0.35865773425210284</v>
      </c>
    </row>
    <row r="24" spans="2:7">
      <c r="C24" s="9"/>
      <c r="D24" s="9" t="s">
        <v>13</v>
      </c>
    </row>
    <row r="25" spans="2:7" ht="8.25" customHeight="1">
      <c r="C25" s="9"/>
      <c r="D25" s="10"/>
    </row>
    <row r="26" spans="2:7">
      <c r="C26" s="9" t="s">
        <v>14</v>
      </c>
      <c r="D26" s="11">
        <f>D21+D22+D23</f>
        <v>0.99999998603738094</v>
      </c>
    </row>
    <row r="27" spans="2:7">
      <c r="C27" s="9"/>
    </row>
    <row r="28" spans="2:7">
      <c r="C28" s="9"/>
    </row>
    <row r="30" spans="2:7">
      <c r="B30" s="1" t="s">
        <v>15</v>
      </c>
      <c r="E30" s="1" t="s">
        <v>16</v>
      </c>
    </row>
    <row r="32" spans="2:7">
      <c r="C32" s="4" t="s">
        <v>17</v>
      </c>
      <c r="D32" s="8">
        <f t="array" ref="D32">MMULT(TRANSPOSE(D21:D23),C13:C15)</f>
        <v>0.10999999989432864</v>
      </c>
      <c r="F32" s="6" t="s">
        <v>18</v>
      </c>
      <c r="G32" s="8">
        <f t="array" ref="G32">SQRT(MMULT(MMULT(TRANSPOSE(D21:D23),C39:E41),D21:D23))</f>
        <v>0.18026529423559756</v>
      </c>
    </row>
    <row r="33" spans="2:6">
      <c r="C33" s="4"/>
      <c r="F33" s="6"/>
    </row>
    <row r="34" spans="2:6">
      <c r="C34" s="4"/>
      <c r="F34" s="6"/>
    </row>
    <row r="35" spans="2:6">
      <c r="C35" s="4"/>
      <c r="F35" s="6"/>
    </row>
    <row r="37" spans="2:6">
      <c r="B37" s="1" t="s">
        <v>19</v>
      </c>
    </row>
    <row r="39" spans="2:6">
      <c r="C39" s="2">
        <f>E13^2</f>
        <v>4.4943999999999998E-2</v>
      </c>
      <c r="D39" s="2">
        <f>E13*E14*G13</f>
        <v>3.1672800000000002E-3</v>
      </c>
      <c r="E39" s="2">
        <f>E13*E15*G14</f>
        <v>-4.8972000000000013E-4</v>
      </c>
    </row>
    <row r="40" spans="2:6">
      <c r="C40" s="2">
        <f>E13*E14*G13</f>
        <v>3.1672800000000002E-3</v>
      </c>
      <c r="D40" s="2">
        <f>E14^2</f>
        <v>6.889000000000001E-3</v>
      </c>
      <c r="E40" s="2">
        <f>E14*E15*G15</f>
        <v>6.0258000000000002E-4</v>
      </c>
    </row>
    <row r="41" spans="2:6">
      <c r="C41" s="2">
        <f>E13*E15*G14</f>
        <v>-4.8972000000000013E-4</v>
      </c>
      <c r="D41" s="2">
        <f>E14*E15*G15</f>
        <v>6.0258000000000002E-4</v>
      </c>
      <c r="E41" s="2">
        <f>E15^2</f>
        <v>1.0890000000000001E-3</v>
      </c>
    </row>
  </sheetData>
  <phoneticPr fontId="0" type="noConversion"/>
  <pageMargins left="0.75" right="0.75" top="1" bottom="1" header="0.5" footer="0.5"/>
  <pageSetup orientation="portrait" r:id="rId1"/>
  <headerFooter alignWithMargins="0">
    <oddHeader>&amp;C&amp;"Times New Roman,Bold"Mean-Variance Efficient Portfolio Weights With Limited Short Sale Restrictions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1:AD47"/>
  <sheetViews>
    <sheetView showGridLines="0" workbookViewId="0"/>
  </sheetViews>
  <sheetFormatPr defaultColWidth="11.42578125" defaultRowHeight="15"/>
  <cols>
    <col min="1" max="1" width="6" customWidth="1"/>
    <col min="2" max="26" width="11.42578125" style="2" customWidth="1"/>
    <col min="27" max="30" width="11.42578125" style="3" customWidth="1"/>
  </cols>
  <sheetData>
    <row r="11" spans="2:9">
      <c r="B11" s="1" t="s">
        <v>0</v>
      </c>
    </row>
    <row r="13" spans="2:9">
      <c r="B13" s="4" t="s">
        <v>1</v>
      </c>
      <c r="C13" s="5">
        <v>0.01</v>
      </c>
      <c r="D13" s="6" t="s">
        <v>2</v>
      </c>
      <c r="E13" s="5">
        <v>0.04</v>
      </c>
      <c r="F13" s="6" t="s">
        <v>26</v>
      </c>
      <c r="G13" s="13">
        <v>0.5</v>
      </c>
      <c r="H13" s="6" t="s">
        <v>31</v>
      </c>
      <c r="I13" s="13">
        <v>0.3</v>
      </c>
    </row>
    <row r="14" spans="2:9">
      <c r="B14" s="4" t="s">
        <v>3</v>
      </c>
      <c r="C14" s="5">
        <v>0.02</v>
      </c>
      <c r="D14" s="6" t="s">
        <v>4</v>
      </c>
      <c r="E14" s="5">
        <v>0.08</v>
      </c>
      <c r="F14" s="6" t="s">
        <v>27</v>
      </c>
      <c r="G14" s="13">
        <v>0.2</v>
      </c>
      <c r="H14" s="6" t="s">
        <v>32</v>
      </c>
      <c r="I14" s="13">
        <v>0.1</v>
      </c>
    </row>
    <row r="15" spans="2:9">
      <c r="B15" s="4" t="s">
        <v>5</v>
      </c>
      <c r="C15" s="5">
        <v>7.4999999999999997E-2</v>
      </c>
      <c r="D15" s="6" t="s">
        <v>6</v>
      </c>
      <c r="E15" s="5">
        <v>0.18</v>
      </c>
      <c r="F15" s="6" t="s">
        <v>29</v>
      </c>
      <c r="G15" s="13">
        <v>0.3</v>
      </c>
      <c r="H15" s="6" t="s">
        <v>33</v>
      </c>
      <c r="I15" s="13">
        <v>0.7</v>
      </c>
    </row>
    <row r="16" spans="2:9">
      <c r="B16" s="4" t="s">
        <v>20</v>
      </c>
      <c r="C16" s="5">
        <v>0.1</v>
      </c>
      <c r="D16" s="6" t="s">
        <v>21</v>
      </c>
      <c r="E16" s="5">
        <v>0.25</v>
      </c>
      <c r="F16" s="6" t="s">
        <v>30</v>
      </c>
      <c r="G16" s="13">
        <v>0.5</v>
      </c>
      <c r="H16" s="6" t="s">
        <v>34</v>
      </c>
      <c r="I16" s="13">
        <v>0.15</v>
      </c>
    </row>
    <row r="17" spans="2:9">
      <c r="B17" s="4" t="s">
        <v>22</v>
      </c>
      <c r="C17" s="5">
        <v>0.04</v>
      </c>
      <c r="D17" s="6" t="s">
        <v>23</v>
      </c>
      <c r="E17" s="5">
        <v>0.12</v>
      </c>
      <c r="F17" s="6" t="s">
        <v>28</v>
      </c>
      <c r="G17" s="13">
        <v>0.4</v>
      </c>
      <c r="H17" s="6" t="s">
        <v>35</v>
      </c>
      <c r="I17" s="13">
        <v>0.2</v>
      </c>
    </row>
    <row r="21" spans="2:9">
      <c r="B21" s="1" t="s">
        <v>7</v>
      </c>
      <c r="F21" s="1" t="s">
        <v>8</v>
      </c>
    </row>
    <row r="23" spans="2:9">
      <c r="C23" s="4" t="s">
        <v>9</v>
      </c>
      <c r="D23" s="8">
        <v>3.1019081845533321E-2</v>
      </c>
    </row>
    <row r="24" spans="2:9">
      <c r="C24" s="4" t="s">
        <v>10</v>
      </c>
      <c r="D24" s="8">
        <v>0.21484563390874731</v>
      </c>
      <c r="G24" s="9" t="s">
        <v>11</v>
      </c>
      <c r="H24" s="5">
        <v>0.05</v>
      </c>
    </row>
    <row r="25" spans="2:9">
      <c r="C25" s="4" t="s">
        <v>12</v>
      </c>
      <c r="D25" s="8">
        <v>0.23765074937428865</v>
      </c>
      <c r="E25" s="12"/>
      <c r="F25" s="12"/>
      <c r="H25" s="9"/>
      <c r="I25" s="12"/>
    </row>
    <row r="26" spans="2:9">
      <c r="C26" s="4" t="s">
        <v>24</v>
      </c>
      <c r="D26" s="8">
        <v>0.11516115746429605</v>
      </c>
      <c r="E26" s="12"/>
      <c r="F26" s="12"/>
      <c r="H26" s="9"/>
      <c r="I26" s="12"/>
    </row>
    <row r="27" spans="2:9">
      <c r="C27" s="4" t="s">
        <v>25</v>
      </c>
      <c r="D27" s="8">
        <v>0.40132436344451611</v>
      </c>
      <c r="E27" s="12"/>
      <c r="F27" s="12"/>
    </row>
    <row r="28" spans="2:9">
      <c r="C28" s="9"/>
      <c r="D28" s="9" t="s">
        <v>13</v>
      </c>
      <c r="E28" s="9"/>
      <c r="F28" s="9"/>
    </row>
    <row r="29" spans="2:9" ht="8.25" customHeight="1">
      <c r="C29" s="9"/>
      <c r="D29" s="10"/>
      <c r="E29" s="10"/>
      <c r="F29" s="10"/>
    </row>
    <row r="30" spans="2:9">
      <c r="C30" s="9" t="s">
        <v>14</v>
      </c>
      <c r="D30" s="11">
        <f>SUM(D23:D27)</f>
        <v>1.0000009860373813</v>
      </c>
      <c r="E30" s="11"/>
      <c r="F30" s="11"/>
    </row>
    <row r="31" spans="2:9">
      <c r="C31" s="9"/>
    </row>
    <row r="32" spans="2:9">
      <c r="C32" s="9"/>
    </row>
    <row r="34" spans="2:8">
      <c r="B34" s="1" t="s">
        <v>15</v>
      </c>
      <c r="F34" s="1" t="s">
        <v>16</v>
      </c>
    </row>
    <row r="36" spans="2:8">
      <c r="C36" s="4" t="s">
        <v>17</v>
      </c>
      <c r="D36" s="8">
        <f t="array" ref="D36">MMULT(TRANSPOSE(D23:D27),C13:C17)</f>
        <v>4.9999999983912177E-2</v>
      </c>
      <c r="E36" s="12"/>
      <c r="G36" s="6" t="s">
        <v>18</v>
      </c>
      <c r="H36" s="8">
        <f t="array" ref="H36">SQRT(MMULT(MMULT(TRANSPOSE(D23:D27),C43:G47),D23:D27))</f>
        <v>9.6675806532378533E-2</v>
      </c>
    </row>
    <row r="37" spans="2:8">
      <c r="C37" s="4"/>
      <c r="H37" s="6"/>
    </row>
    <row r="38" spans="2:8">
      <c r="C38" s="4"/>
      <c r="H38" s="6"/>
    </row>
    <row r="39" spans="2:8">
      <c r="C39" s="4"/>
      <c r="H39" s="6"/>
    </row>
    <row r="41" spans="2:8">
      <c r="B41" s="1" t="s">
        <v>19</v>
      </c>
    </row>
    <row r="43" spans="2:8">
      <c r="C43" s="2">
        <f>E13^2</f>
        <v>1.6000000000000001E-3</v>
      </c>
      <c r="D43" s="2">
        <f>C44</f>
        <v>1.6000000000000001E-3</v>
      </c>
      <c r="E43" s="2">
        <f>C45</f>
        <v>1.4400000000000001E-3</v>
      </c>
      <c r="F43" s="2">
        <f>C46</f>
        <v>3.0000000000000001E-3</v>
      </c>
      <c r="G43" s="2">
        <f>C47</f>
        <v>2.3999999999999998E-3</v>
      </c>
    </row>
    <row r="44" spans="2:8">
      <c r="C44" s="2">
        <f>E13*E14*G13</f>
        <v>1.6000000000000001E-3</v>
      </c>
      <c r="D44" s="2">
        <f>E14^2</f>
        <v>6.4000000000000003E-3</v>
      </c>
      <c r="E44" s="2">
        <f>D45</f>
        <v>5.7600000000000004E-3</v>
      </c>
      <c r="F44" s="2">
        <f>D46</f>
        <v>6.0000000000000001E-3</v>
      </c>
      <c r="G44" s="2">
        <f>D47</f>
        <v>9.5999999999999992E-4</v>
      </c>
    </row>
    <row r="45" spans="2:8">
      <c r="C45" s="2">
        <f>E13*E15*G14</f>
        <v>1.4400000000000001E-3</v>
      </c>
      <c r="D45" s="2">
        <f>E14*E15*G17</f>
        <v>5.7600000000000004E-3</v>
      </c>
      <c r="E45" s="2">
        <f>E15^2</f>
        <v>3.2399999999999998E-2</v>
      </c>
      <c r="F45" s="2">
        <f>E46</f>
        <v>3.15E-2</v>
      </c>
      <c r="G45" s="2">
        <f>E47</f>
        <v>3.2399999999999994E-3</v>
      </c>
    </row>
    <row r="46" spans="2:8">
      <c r="C46" s="2">
        <f>E13*E16*G15</f>
        <v>3.0000000000000001E-3</v>
      </c>
      <c r="D46" s="2">
        <f>E14*E16*I13</f>
        <v>6.0000000000000001E-3</v>
      </c>
      <c r="E46" s="2">
        <f>E15*E16*I15</f>
        <v>3.15E-2</v>
      </c>
      <c r="F46" s="2">
        <f>E16^2</f>
        <v>6.25E-2</v>
      </c>
      <c r="G46" s="2">
        <f>F47</f>
        <v>6.0000000000000001E-3</v>
      </c>
    </row>
    <row r="47" spans="2:8">
      <c r="C47" s="2">
        <f>E13*E17*G16</f>
        <v>2.3999999999999998E-3</v>
      </c>
      <c r="D47" s="2">
        <f>E14*E17*I14</f>
        <v>9.5999999999999992E-4</v>
      </c>
      <c r="E47" s="2">
        <f>E15*E17*I16</f>
        <v>3.2399999999999994E-3</v>
      </c>
      <c r="F47" s="2">
        <f>E16*E17*I17</f>
        <v>6.0000000000000001E-3</v>
      </c>
      <c r="G47" s="2">
        <f>E17^2</f>
        <v>1.44E-2</v>
      </c>
    </row>
  </sheetData>
  <phoneticPr fontId="6" type="noConversion"/>
  <pageMargins left="0.75" right="0.75" top="1" bottom="1" header="0.5" footer="0.5"/>
  <pageSetup scale="93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1:AD47"/>
  <sheetViews>
    <sheetView showGridLines="0" workbookViewId="0"/>
  </sheetViews>
  <sheetFormatPr defaultColWidth="11.42578125" defaultRowHeight="15"/>
  <cols>
    <col min="1" max="1" width="6" customWidth="1"/>
    <col min="2" max="26" width="11.42578125" style="2" customWidth="1"/>
    <col min="27" max="30" width="11.42578125" style="3" customWidth="1"/>
  </cols>
  <sheetData>
    <row r="11" spans="2:9">
      <c r="B11" s="1" t="s">
        <v>0</v>
      </c>
    </row>
    <row r="13" spans="2:9">
      <c r="B13" s="4" t="s">
        <v>1</v>
      </c>
      <c r="C13" s="5">
        <v>4.6293842957370261E-2</v>
      </c>
      <c r="D13" s="6" t="s">
        <v>2</v>
      </c>
      <c r="E13" s="5">
        <v>3.8399999999999997E-2</v>
      </c>
      <c r="F13" s="6" t="s">
        <v>26</v>
      </c>
      <c r="G13" s="13">
        <v>0.55000000000000004</v>
      </c>
      <c r="H13" s="6" t="s">
        <v>31</v>
      </c>
      <c r="I13" s="13">
        <v>0.13</v>
      </c>
    </row>
    <row r="14" spans="2:9">
      <c r="B14" s="4" t="s">
        <v>3</v>
      </c>
      <c r="C14" s="5">
        <v>5.85328831625192E-2</v>
      </c>
      <c r="D14" s="6" t="s">
        <v>4</v>
      </c>
      <c r="E14" s="5">
        <v>8.2699999999999996E-2</v>
      </c>
      <c r="F14" s="6" t="s">
        <v>27</v>
      </c>
      <c r="G14" s="13">
        <v>-0.28000000000000003</v>
      </c>
      <c r="H14" s="6" t="s">
        <v>32</v>
      </c>
      <c r="I14" s="13">
        <v>0.05</v>
      </c>
    </row>
    <row r="15" spans="2:9">
      <c r="B15" s="4" t="s">
        <v>5</v>
      </c>
      <c r="C15" s="5">
        <v>0.10102741403209298</v>
      </c>
      <c r="D15" s="6" t="s">
        <v>6</v>
      </c>
      <c r="E15" s="5">
        <v>0.123</v>
      </c>
      <c r="F15" s="6" t="s">
        <v>29</v>
      </c>
      <c r="G15" s="13">
        <v>-0.15</v>
      </c>
      <c r="H15" s="6" t="s">
        <v>33</v>
      </c>
      <c r="I15" s="13">
        <v>0.86</v>
      </c>
    </row>
    <row r="16" spans="2:9">
      <c r="B16" s="4" t="s">
        <v>20</v>
      </c>
      <c r="C16" s="5">
        <v>0.11195133771293062</v>
      </c>
      <c r="D16" s="6" t="s">
        <v>21</v>
      </c>
      <c r="E16" s="5">
        <v>0.13239999999999999</v>
      </c>
      <c r="F16" s="6" t="s">
        <v>30</v>
      </c>
      <c r="G16" s="13">
        <v>-0.1</v>
      </c>
      <c r="H16" s="6" t="s">
        <v>34</v>
      </c>
      <c r="I16" s="13">
        <v>0.77</v>
      </c>
    </row>
    <row r="17" spans="2:9">
      <c r="B17" s="4" t="s">
        <v>22</v>
      </c>
      <c r="C17" s="5">
        <v>0.1241632976768357</v>
      </c>
      <c r="D17" s="6" t="s">
        <v>23</v>
      </c>
      <c r="E17" s="5">
        <v>0.17460000000000001</v>
      </c>
      <c r="F17" s="6" t="s">
        <v>28</v>
      </c>
      <c r="G17" s="13">
        <v>-0.13</v>
      </c>
      <c r="H17" s="6" t="s">
        <v>35</v>
      </c>
      <c r="I17" s="13">
        <v>0.89</v>
      </c>
    </row>
    <row r="21" spans="2:9">
      <c r="B21" s="1" t="s">
        <v>7</v>
      </c>
      <c r="F21" s="1" t="s">
        <v>8</v>
      </c>
    </row>
    <row r="23" spans="2:9">
      <c r="C23" s="4" t="s">
        <v>9</v>
      </c>
      <c r="D23" s="8">
        <v>0.10783465866100539</v>
      </c>
    </row>
    <row r="24" spans="2:9">
      <c r="C24" s="4" t="s">
        <v>10</v>
      </c>
      <c r="D24" s="8">
        <v>0.23687880066864281</v>
      </c>
      <c r="G24" s="9" t="s">
        <v>11</v>
      </c>
      <c r="H24" s="5">
        <v>0.09</v>
      </c>
    </row>
    <row r="25" spans="2:9">
      <c r="C25" s="4" t="s">
        <v>12</v>
      </c>
      <c r="D25" s="8">
        <v>0.25993515356225605</v>
      </c>
      <c r="E25" s="12"/>
      <c r="F25" s="12"/>
      <c r="H25" s="9"/>
      <c r="I25" s="12"/>
    </row>
    <row r="26" spans="2:9">
      <c r="C26" s="4" t="s">
        <v>24</v>
      </c>
      <c r="D26" s="8">
        <v>0.34442550754898443</v>
      </c>
      <c r="E26" s="12"/>
      <c r="F26" s="12"/>
      <c r="H26" s="9"/>
      <c r="I26" s="12"/>
    </row>
    <row r="27" spans="2:9">
      <c r="C27" s="4" t="s">
        <v>25</v>
      </c>
      <c r="D27" s="8">
        <v>5.092686559649276E-2</v>
      </c>
      <c r="E27" s="12"/>
      <c r="F27" s="12"/>
    </row>
    <row r="28" spans="2:9">
      <c r="C28" s="9"/>
      <c r="D28" s="9" t="s">
        <v>13</v>
      </c>
      <c r="E28" s="9"/>
      <c r="F28" s="9"/>
    </row>
    <row r="29" spans="2:9" ht="8.25" customHeight="1">
      <c r="C29" s="9"/>
      <c r="D29" s="10"/>
      <c r="E29" s="10"/>
      <c r="F29" s="10"/>
    </row>
    <row r="30" spans="2:9">
      <c r="C30" s="9" t="s">
        <v>14</v>
      </c>
      <c r="D30" s="11">
        <f>SUM(D23:D27)</f>
        <v>1.0000009860373813</v>
      </c>
      <c r="E30" s="11"/>
      <c r="F30" s="11"/>
    </row>
    <row r="31" spans="2:9">
      <c r="C31" s="9"/>
    </row>
    <row r="32" spans="2:9">
      <c r="C32" s="9"/>
    </row>
    <row r="34" spans="2:8">
      <c r="B34" s="1" t="s">
        <v>15</v>
      </c>
      <c r="F34" s="1" t="s">
        <v>16</v>
      </c>
    </row>
    <row r="36" spans="2:8">
      <c r="C36" s="4" t="s">
        <v>17</v>
      </c>
      <c r="D36" s="8">
        <f t="array" ref="D36">MMULT(TRANSPOSE(D23:D27),C13:C17)</f>
        <v>9.000000018242868E-2</v>
      </c>
      <c r="E36" s="12"/>
      <c r="G36" s="6" t="s">
        <v>18</v>
      </c>
      <c r="H36" s="8">
        <f t="array" ref="H36">SQRT(MMULT(MMULT(TRANSPOSE(D23:D27),C43:G47),D23:D27))</f>
        <v>8.5363612810156017E-2</v>
      </c>
    </row>
    <row r="37" spans="2:8">
      <c r="C37" s="4"/>
      <c r="H37" s="6"/>
    </row>
    <row r="38" spans="2:8">
      <c r="C38" s="4"/>
      <c r="H38" s="6"/>
    </row>
    <row r="39" spans="2:8">
      <c r="C39" s="4"/>
      <c r="H39" s="6"/>
    </row>
    <row r="41" spans="2:8">
      <c r="B41" s="1" t="s">
        <v>19</v>
      </c>
    </row>
    <row r="43" spans="2:8">
      <c r="C43" s="2">
        <f>E13^2</f>
        <v>1.4745599999999998E-3</v>
      </c>
      <c r="D43" s="2">
        <f>C44</f>
        <v>1.746624E-3</v>
      </c>
      <c r="E43" s="2">
        <f>C45</f>
        <v>-1.322496E-3</v>
      </c>
      <c r="F43" s="2">
        <f>C46</f>
        <v>-7.6262399999999983E-4</v>
      </c>
      <c r="G43" s="2">
        <f>C47</f>
        <v>-6.7046399999999996E-4</v>
      </c>
    </row>
    <row r="44" spans="2:8">
      <c r="C44" s="2">
        <f>E13*E14*G13</f>
        <v>1.746624E-3</v>
      </c>
      <c r="D44" s="2">
        <f>E14^2</f>
        <v>6.8392899999999996E-3</v>
      </c>
      <c r="E44" s="2">
        <f>D45</f>
        <v>-1.322373E-3</v>
      </c>
      <c r="F44" s="2">
        <f>D46</f>
        <v>1.4234324E-3</v>
      </c>
      <c r="G44" s="2">
        <f>D47</f>
        <v>7.2197100000000007E-4</v>
      </c>
    </row>
    <row r="45" spans="2:8">
      <c r="C45" s="2">
        <f>E13*E15*G14</f>
        <v>-1.322496E-3</v>
      </c>
      <c r="D45" s="2">
        <f>E14*E15*G17</f>
        <v>-1.322373E-3</v>
      </c>
      <c r="E45" s="2">
        <f>E15^2</f>
        <v>1.5129E-2</v>
      </c>
      <c r="F45" s="2">
        <f>E46</f>
        <v>1.4005271999999999E-2</v>
      </c>
      <c r="G45" s="2">
        <f>E47</f>
        <v>1.6536366E-2</v>
      </c>
    </row>
    <row r="46" spans="2:8">
      <c r="C46" s="2">
        <f>E13*E16*G15</f>
        <v>-7.6262399999999983E-4</v>
      </c>
      <c r="D46" s="2">
        <f>E14*E16*I13</f>
        <v>1.4234324E-3</v>
      </c>
      <c r="E46" s="2">
        <f>E15*E16*I15</f>
        <v>1.4005271999999999E-2</v>
      </c>
      <c r="F46" s="2">
        <f>E16^2</f>
        <v>1.7529759999999998E-2</v>
      </c>
      <c r="G46" s="2">
        <f>F47</f>
        <v>2.0574165599999999E-2</v>
      </c>
    </row>
    <row r="47" spans="2:8">
      <c r="C47" s="2">
        <f>E13*E17*G16</f>
        <v>-6.7046399999999996E-4</v>
      </c>
      <c r="D47" s="2">
        <f>E14*E17*I14</f>
        <v>7.2197100000000007E-4</v>
      </c>
      <c r="E47" s="2">
        <f>E15*E17*I16</f>
        <v>1.6536366E-2</v>
      </c>
      <c r="F47" s="2">
        <f>E16*E17*I17</f>
        <v>2.0574165599999999E-2</v>
      </c>
      <c r="G47" s="2">
        <f>E17^2</f>
        <v>3.0485160000000001E-2</v>
      </c>
    </row>
  </sheetData>
  <phoneticPr fontId="6" type="noConversion"/>
  <pageMargins left="0.75" right="0.75" top="1" bottom="1" header="0.5" footer="0.5"/>
  <pageSetup scale="9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 Example</vt:lpstr>
      <vt:lpstr>Marginal Risk Contribution</vt:lpstr>
      <vt:lpstr>MV Analytical-3 Assets</vt:lpstr>
      <vt:lpstr>MV No Short-3 Assets</vt:lpstr>
      <vt:lpstr>MV Limited Shorts-3 Assets</vt:lpstr>
      <vt:lpstr>MV No Short-5 Assets</vt:lpstr>
      <vt:lpstr>MV No Short-BL Example</vt:lpstr>
    </vt:vector>
  </TitlesOfParts>
  <Company>University of Texas at Austin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BrownKe</dc:creator>
  <cp:lastModifiedBy>Brian Fagan</cp:lastModifiedBy>
  <cp:lastPrinted>2007-05-15T21:15:37Z</cp:lastPrinted>
  <dcterms:created xsi:type="dcterms:W3CDTF">1999-11-12T17:40:40Z</dcterms:created>
  <dcterms:modified xsi:type="dcterms:W3CDTF">2019-07-31T16:59:47Z</dcterms:modified>
</cp:coreProperties>
</file>