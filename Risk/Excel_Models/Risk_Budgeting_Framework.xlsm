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I:\BFagan\Quant_Research_and_Development\Risk\Excel_Models\"/>
    </mc:Choice>
  </mc:AlternateContent>
  <bookViews>
    <workbookView xWindow="0" yWindow="0" windowWidth="25605" windowHeight="15855" tabRatio="500"/>
  </bookViews>
  <sheets>
    <sheet name="Sheet1" sheetId="1" r:id="rId1"/>
  </sheets>
  <definedNames>
    <definedName name="solver_adj" localSheetId="0" hidden="1">Sheet1!$K$11:$K$13</definedName>
    <definedName name="solver_cvg" localSheetId="0" hidden="1">0.0001</definedName>
    <definedName name="solver_drv" localSheetId="0" hidden="1">1</definedName>
    <definedName name="solver_eng" localSheetId="0" hidden="1">1</definedName>
    <definedName name="solver_itr" localSheetId="0" hidden="1">2147483647</definedName>
    <definedName name="solver_lhs1" localSheetId="0" hidden="1">Sheet1!$K$14:$K$15</definedName>
    <definedName name="solver_lhs2" localSheetId="0" hidden="1">Sheet1!$K$11:$K$13</definedName>
    <definedName name="solver_lhs3" localSheetId="0" hidden="1">Sheet1!$K$11:$K$13</definedName>
    <definedName name="solver_lhs4" localSheetId="0" hidden="1">Sheet1!$K$11:$K$13</definedName>
    <definedName name="solver_lin" localSheetId="0" hidden="1">2</definedName>
    <definedName name="solver_mip" localSheetId="0" hidden="1">2147483647</definedName>
    <definedName name="solver_mni" localSheetId="0" hidden="1">30</definedName>
    <definedName name="solver_mrt" localSheetId="0" hidden="1">0.075</definedName>
    <definedName name="solver_msl" localSheetId="0" hidden="1">1</definedName>
    <definedName name="solver_neg" localSheetId="0" hidden="1">1</definedName>
    <definedName name="solver_nod" localSheetId="0" hidden="1">2147483647</definedName>
    <definedName name="solver_num" localSheetId="0" hidden="1">3</definedName>
    <definedName name="solver_opt" localSheetId="0" hidden="1">Sheet1!$P$15</definedName>
    <definedName name="solver_pre" localSheetId="0" hidden="1">0.000001</definedName>
    <definedName name="solver_rbv" localSheetId="0" hidden="1">1</definedName>
    <definedName name="solver_rel1" localSheetId="0" hidden="1">2</definedName>
    <definedName name="solver_rel2" localSheetId="0" hidden="1">1</definedName>
    <definedName name="solver_rel3" localSheetId="0" hidden="1">3</definedName>
    <definedName name="solver_rel4" localSheetId="0" hidden="1">3</definedName>
    <definedName name="solver_rhs1" localSheetId="0" hidden="1">Sheet1!$X$14:$X$15</definedName>
    <definedName name="solver_rhs2" localSheetId="0" hidden="1">Sheet1!$X$11:$X$13</definedName>
    <definedName name="solver_rhs3" localSheetId="0" hidden="1">Sheet1!$W$11:$W$13</definedName>
    <definedName name="solver_rhs4" localSheetId="0" hidden="1">0</definedName>
    <definedName name="solver_rlx" localSheetId="0" hidden="1">1</definedName>
    <definedName name="solver_rsd" localSheetId="0" hidden="1">0</definedName>
    <definedName name="solver_scl" localSheetId="0" hidden="1">0</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2</definedName>
    <definedName name="solver_val" localSheetId="0" hidden="1">0</definedName>
    <definedName name="solver_ver" localSheetId="0" hidden="1">2</definedName>
  </definedNames>
  <calcPr calcId="162913"/>
  <extLst>
    <ext xmlns:mx="http://schemas.microsoft.com/office/mac/excel/2008/main" uri="{7523E5D3-25F3-A5E0-1632-64F254C22452}">
      <mx:ArchID Flags="2"/>
    </ext>
  </extLst>
</workbook>
</file>

<file path=xl/calcChain.xml><?xml version="1.0" encoding="utf-8"?>
<calcChain xmlns="http://schemas.openxmlformats.org/spreadsheetml/2006/main">
  <c r="N14" i="1" l="1"/>
  <c r="J11" i="1" a="1"/>
  <c r="J11" i="1" s="1"/>
  <c r="L11" i="1" s="1"/>
  <c r="E14" i="1"/>
  <c r="F14" i="1"/>
  <c r="G14" i="1"/>
  <c r="E15" i="1"/>
  <c r="F15" i="1"/>
  <c r="G15" i="1"/>
  <c r="E16" i="1"/>
  <c r="F16" i="1"/>
  <c r="G16" i="1"/>
  <c r="E17" i="1"/>
  <c r="F17" i="1"/>
  <c r="G17" i="1"/>
  <c r="E18" i="1"/>
  <c r="F18" i="1"/>
  <c r="G18" i="1"/>
  <c r="E19" i="1"/>
  <c r="F19" i="1"/>
  <c r="G19" i="1"/>
  <c r="E20" i="1"/>
  <c r="F20" i="1"/>
  <c r="G20" i="1"/>
  <c r="E21" i="1"/>
  <c r="F21" i="1"/>
  <c r="G21" i="1"/>
  <c r="E22" i="1"/>
  <c r="F22" i="1"/>
  <c r="G22" i="1"/>
  <c r="E23" i="1"/>
  <c r="F23" i="1"/>
  <c r="G23" i="1"/>
  <c r="E24" i="1"/>
  <c r="F24" i="1"/>
  <c r="G24" i="1"/>
  <c r="E25" i="1"/>
  <c r="F25" i="1"/>
  <c r="G25" i="1"/>
  <c r="E26" i="1"/>
  <c r="F26" i="1"/>
  <c r="G26" i="1"/>
  <c r="E27" i="1"/>
  <c r="F27" i="1"/>
  <c r="G27" i="1"/>
  <c r="E28" i="1"/>
  <c r="F28" i="1"/>
  <c r="G28" i="1"/>
  <c r="E29" i="1"/>
  <c r="F29" i="1"/>
  <c r="G29" i="1"/>
  <c r="E30" i="1"/>
  <c r="F30" i="1"/>
  <c r="G30" i="1"/>
  <c r="E31" i="1"/>
  <c r="F31" i="1"/>
  <c r="G31" i="1"/>
  <c r="E32" i="1"/>
  <c r="F32" i="1"/>
  <c r="G32" i="1"/>
  <c r="E33" i="1"/>
  <c r="F33" i="1"/>
  <c r="G33" i="1"/>
  <c r="E34" i="1"/>
  <c r="F34" i="1"/>
  <c r="G34" i="1"/>
  <c r="E35" i="1"/>
  <c r="F35" i="1"/>
  <c r="G35" i="1"/>
  <c r="E36" i="1"/>
  <c r="F36" i="1"/>
  <c r="G36" i="1"/>
  <c r="E37" i="1"/>
  <c r="F37" i="1"/>
  <c r="G37" i="1"/>
  <c r="E38" i="1"/>
  <c r="F38" i="1"/>
  <c r="G38" i="1"/>
  <c r="E39" i="1"/>
  <c r="F39" i="1"/>
  <c r="G39" i="1"/>
  <c r="E40" i="1"/>
  <c r="F40" i="1"/>
  <c r="G40" i="1"/>
  <c r="E41" i="1"/>
  <c r="F41" i="1"/>
  <c r="G41" i="1"/>
  <c r="E42" i="1"/>
  <c r="F42" i="1"/>
  <c r="G42" i="1"/>
  <c r="E43" i="1"/>
  <c r="F43" i="1"/>
  <c r="G43" i="1"/>
  <c r="E44" i="1"/>
  <c r="F44" i="1"/>
  <c r="G44" i="1"/>
  <c r="E45" i="1"/>
  <c r="F45" i="1"/>
  <c r="G45" i="1"/>
  <c r="E46" i="1"/>
  <c r="F46" i="1"/>
  <c r="G46" i="1"/>
  <c r="E47" i="1"/>
  <c r="F47" i="1"/>
  <c r="G47" i="1"/>
  <c r="E48" i="1"/>
  <c r="F48" i="1"/>
  <c r="G48" i="1"/>
  <c r="E49" i="1"/>
  <c r="F49" i="1"/>
  <c r="G49" i="1"/>
  <c r="E50" i="1"/>
  <c r="F50" i="1"/>
  <c r="G50" i="1"/>
  <c r="E51" i="1"/>
  <c r="F51" i="1"/>
  <c r="G51" i="1"/>
  <c r="E52" i="1"/>
  <c r="F52" i="1"/>
  <c r="G52" i="1"/>
  <c r="E53" i="1"/>
  <c r="F53" i="1"/>
  <c r="G53" i="1"/>
  <c r="E54" i="1"/>
  <c r="F54" i="1"/>
  <c r="G54" i="1"/>
  <c r="E55" i="1"/>
  <c r="F55" i="1"/>
  <c r="G55" i="1"/>
  <c r="E56" i="1"/>
  <c r="F56" i="1"/>
  <c r="G56" i="1"/>
  <c r="E57" i="1"/>
  <c r="F57" i="1"/>
  <c r="G57" i="1"/>
  <c r="E58" i="1"/>
  <c r="F58" i="1"/>
  <c r="G58" i="1"/>
  <c r="E59" i="1"/>
  <c r="F59" i="1"/>
  <c r="G59" i="1"/>
  <c r="E60" i="1"/>
  <c r="F60" i="1"/>
  <c r="G60" i="1"/>
  <c r="E61" i="1"/>
  <c r="F61" i="1"/>
  <c r="G61" i="1"/>
  <c r="E62" i="1"/>
  <c r="F62" i="1"/>
  <c r="G62" i="1"/>
  <c r="E63" i="1"/>
  <c r="F63" i="1"/>
  <c r="G63" i="1"/>
  <c r="E64" i="1"/>
  <c r="F64" i="1"/>
  <c r="G64" i="1"/>
  <c r="E65" i="1"/>
  <c r="F65" i="1"/>
  <c r="G65" i="1"/>
  <c r="E66" i="1"/>
  <c r="F66" i="1"/>
  <c r="G66" i="1"/>
  <c r="E67" i="1"/>
  <c r="F67" i="1"/>
  <c r="G67" i="1"/>
  <c r="E68" i="1"/>
  <c r="F68" i="1"/>
  <c r="G68" i="1"/>
  <c r="E69" i="1"/>
  <c r="F69" i="1"/>
  <c r="G69" i="1"/>
  <c r="E70" i="1"/>
  <c r="F70" i="1"/>
  <c r="G70" i="1"/>
  <c r="E71" i="1"/>
  <c r="F71" i="1"/>
  <c r="G71" i="1"/>
  <c r="E72" i="1"/>
  <c r="F72" i="1"/>
  <c r="G72" i="1"/>
  <c r="E73" i="1"/>
  <c r="F73" i="1"/>
  <c r="G73" i="1"/>
  <c r="E74" i="1"/>
  <c r="F74" i="1"/>
  <c r="G74" i="1"/>
  <c r="E75" i="1"/>
  <c r="F75" i="1"/>
  <c r="G75" i="1"/>
  <c r="E76" i="1"/>
  <c r="F76" i="1"/>
  <c r="G76" i="1"/>
  <c r="E77" i="1"/>
  <c r="F77" i="1"/>
  <c r="G77" i="1"/>
  <c r="E78" i="1"/>
  <c r="F78" i="1"/>
  <c r="G78" i="1"/>
  <c r="E79" i="1"/>
  <c r="F79" i="1"/>
  <c r="G79" i="1"/>
  <c r="E80" i="1"/>
  <c r="F80" i="1"/>
  <c r="G80" i="1"/>
  <c r="E81" i="1"/>
  <c r="F81" i="1"/>
  <c r="G81" i="1"/>
  <c r="E82" i="1"/>
  <c r="F82" i="1"/>
  <c r="G82" i="1"/>
  <c r="E83" i="1"/>
  <c r="F83" i="1"/>
  <c r="G83" i="1"/>
  <c r="E84" i="1"/>
  <c r="F84" i="1"/>
  <c r="G84" i="1"/>
  <c r="E85" i="1"/>
  <c r="F85" i="1"/>
  <c r="G85" i="1"/>
  <c r="E86" i="1"/>
  <c r="F86" i="1"/>
  <c r="G86" i="1"/>
  <c r="E87" i="1"/>
  <c r="F87" i="1"/>
  <c r="G87" i="1"/>
  <c r="E88" i="1"/>
  <c r="F88" i="1"/>
  <c r="G88" i="1"/>
  <c r="E89" i="1"/>
  <c r="F89" i="1"/>
  <c r="G89" i="1"/>
  <c r="E90" i="1"/>
  <c r="F90" i="1"/>
  <c r="G90" i="1"/>
  <c r="E91" i="1"/>
  <c r="F91" i="1"/>
  <c r="G91" i="1"/>
  <c r="E92" i="1"/>
  <c r="F92" i="1"/>
  <c r="G92" i="1"/>
  <c r="E93" i="1"/>
  <c r="F93" i="1"/>
  <c r="G93" i="1"/>
  <c r="E94" i="1"/>
  <c r="F94" i="1"/>
  <c r="G94" i="1"/>
  <c r="E95" i="1"/>
  <c r="F95" i="1"/>
  <c r="G95" i="1"/>
  <c r="E96" i="1"/>
  <c r="F96" i="1"/>
  <c r="G96" i="1"/>
  <c r="E97" i="1"/>
  <c r="F97" i="1"/>
  <c r="G97" i="1"/>
  <c r="E98" i="1"/>
  <c r="F98" i="1"/>
  <c r="G98" i="1"/>
  <c r="E99" i="1"/>
  <c r="F99" i="1"/>
  <c r="G99" i="1"/>
  <c r="E100" i="1"/>
  <c r="F100" i="1"/>
  <c r="G100" i="1"/>
  <c r="E101" i="1"/>
  <c r="F101" i="1"/>
  <c r="G101" i="1"/>
  <c r="E102" i="1"/>
  <c r="F102" i="1"/>
  <c r="G102" i="1"/>
  <c r="E103" i="1"/>
  <c r="F103" i="1"/>
  <c r="G103" i="1"/>
  <c r="E104" i="1"/>
  <c r="F104" i="1"/>
  <c r="G104" i="1"/>
  <c r="E105" i="1"/>
  <c r="F105" i="1"/>
  <c r="G105" i="1"/>
  <c r="E106" i="1"/>
  <c r="F106" i="1"/>
  <c r="G106" i="1"/>
  <c r="E107" i="1"/>
  <c r="F107" i="1"/>
  <c r="G107" i="1"/>
  <c r="E108" i="1"/>
  <c r="F108" i="1"/>
  <c r="G108" i="1"/>
  <c r="E109" i="1"/>
  <c r="F109" i="1"/>
  <c r="G109" i="1"/>
  <c r="E110" i="1"/>
  <c r="F110" i="1"/>
  <c r="G110" i="1"/>
  <c r="E111" i="1"/>
  <c r="F111" i="1"/>
  <c r="G111" i="1"/>
  <c r="E112" i="1"/>
  <c r="F112" i="1"/>
  <c r="G112" i="1"/>
  <c r="E113" i="1"/>
  <c r="F113" i="1"/>
  <c r="G113" i="1"/>
  <c r="E114" i="1"/>
  <c r="F114" i="1"/>
  <c r="G114" i="1"/>
  <c r="E115" i="1"/>
  <c r="F115" i="1"/>
  <c r="G115" i="1"/>
  <c r="E116" i="1"/>
  <c r="F116" i="1"/>
  <c r="G116" i="1"/>
  <c r="E117" i="1"/>
  <c r="F117" i="1"/>
  <c r="G117" i="1"/>
  <c r="E118" i="1"/>
  <c r="F118" i="1"/>
  <c r="G118" i="1"/>
  <c r="E119" i="1"/>
  <c r="F119" i="1"/>
  <c r="G119" i="1"/>
  <c r="E120" i="1"/>
  <c r="F120" i="1"/>
  <c r="G120" i="1"/>
  <c r="E121" i="1"/>
  <c r="F121" i="1"/>
  <c r="G121" i="1"/>
  <c r="E122" i="1"/>
  <c r="F122" i="1"/>
  <c r="G122" i="1"/>
  <c r="E123" i="1"/>
  <c r="F123" i="1"/>
  <c r="G123" i="1"/>
  <c r="E124" i="1"/>
  <c r="F124" i="1"/>
  <c r="G124" i="1"/>
  <c r="E125" i="1"/>
  <c r="F125" i="1"/>
  <c r="G125" i="1"/>
  <c r="E126" i="1"/>
  <c r="F126" i="1"/>
  <c r="G126" i="1"/>
  <c r="E127" i="1"/>
  <c r="F127" i="1"/>
  <c r="G127" i="1"/>
  <c r="E128" i="1"/>
  <c r="F128" i="1"/>
  <c r="G128" i="1"/>
  <c r="E129" i="1"/>
  <c r="F129" i="1"/>
  <c r="G129" i="1"/>
  <c r="E130" i="1"/>
  <c r="F130" i="1"/>
  <c r="G130" i="1"/>
  <c r="E131" i="1"/>
  <c r="F131" i="1"/>
  <c r="G131" i="1"/>
  <c r="E132" i="1"/>
  <c r="F132" i="1"/>
  <c r="G132" i="1"/>
  <c r="E133" i="1"/>
  <c r="F133" i="1"/>
  <c r="G133" i="1"/>
  <c r="E134" i="1"/>
  <c r="F134" i="1"/>
  <c r="G134" i="1"/>
  <c r="E135" i="1"/>
  <c r="F135" i="1"/>
  <c r="G135" i="1"/>
  <c r="E136" i="1"/>
  <c r="F136" i="1"/>
  <c r="G136" i="1"/>
  <c r="E137" i="1"/>
  <c r="F137" i="1"/>
  <c r="G137" i="1"/>
  <c r="E138" i="1"/>
  <c r="F138" i="1"/>
  <c r="G138" i="1"/>
  <c r="E139" i="1"/>
  <c r="F139" i="1"/>
  <c r="G139" i="1"/>
  <c r="E140" i="1"/>
  <c r="F140" i="1"/>
  <c r="G140" i="1"/>
  <c r="E141" i="1"/>
  <c r="F141" i="1"/>
  <c r="G141" i="1"/>
  <c r="E142" i="1"/>
  <c r="F142" i="1"/>
  <c r="G142" i="1"/>
  <c r="E143" i="1"/>
  <c r="F143" i="1"/>
  <c r="G143" i="1"/>
  <c r="E144" i="1"/>
  <c r="F144" i="1"/>
  <c r="G144" i="1"/>
  <c r="E145" i="1"/>
  <c r="F145" i="1"/>
  <c r="G145" i="1"/>
  <c r="E146" i="1"/>
  <c r="F146" i="1"/>
  <c r="G146" i="1"/>
  <c r="E147" i="1"/>
  <c r="F147" i="1"/>
  <c r="G147" i="1"/>
  <c r="E148" i="1"/>
  <c r="F148" i="1"/>
  <c r="G148" i="1"/>
  <c r="E149" i="1"/>
  <c r="F149" i="1"/>
  <c r="G149" i="1"/>
  <c r="E150" i="1"/>
  <c r="F150" i="1"/>
  <c r="G150" i="1"/>
  <c r="E151" i="1"/>
  <c r="F151" i="1"/>
  <c r="G151" i="1"/>
  <c r="E152" i="1"/>
  <c r="F152" i="1"/>
  <c r="G152" i="1"/>
  <c r="E153" i="1"/>
  <c r="F153" i="1"/>
  <c r="G153" i="1"/>
  <c r="E154" i="1"/>
  <c r="F154" i="1"/>
  <c r="G154" i="1"/>
  <c r="E155" i="1"/>
  <c r="F155" i="1"/>
  <c r="G155" i="1"/>
  <c r="E156" i="1"/>
  <c r="F156" i="1"/>
  <c r="G156" i="1"/>
  <c r="E157" i="1"/>
  <c r="F157" i="1"/>
  <c r="G157" i="1"/>
  <c r="E158" i="1"/>
  <c r="F158" i="1"/>
  <c r="G158" i="1"/>
  <c r="E159" i="1"/>
  <c r="F159" i="1"/>
  <c r="G159" i="1"/>
  <c r="E160" i="1"/>
  <c r="F160" i="1"/>
  <c r="G160" i="1"/>
  <c r="E161" i="1"/>
  <c r="F161" i="1"/>
  <c r="G161" i="1"/>
  <c r="E162" i="1"/>
  <c r="F162" i="1"/>
  <c r="G162" i="1"/>
  <c r="E163" i="1"/>
  <c r="F163" i="1"/>
  <c r="G163" i="1"/>
  <c r="E164" i="1"/>
  <c r="F164" i="1"/>
  <c r="G164" i="1"/>
  <c r="E165" i="1"/>
  <c r="F165" i="1"/>
  <c r="G165" i="1"/>
  <c r="E166" i="1"/>
  <c r="F166" i="1"/>
  <c r="G166" i="1"/>
  <c r="E167" i="1"/>
  <c r="F167" i="1"/>
  <c r="G167" i="1"/>
  <c r="E168" i="1"/>
  <c r="F168" i="1"/>
  <c r="G168" i="1"/>
  <c r="E169" i="1"/>
  <c r="F169" i="1"/>
  <c r="G169" i="1"/>
  <c r="E170" i="1"/>
  <c r="F170" i="1"/>
  <c r="G170" i="1"/>
  <c r="E171" i="1"/>
  <c r="F171" i="1"/>
  <c r="G171" i="1"/>
  <c r="E172" i="1"/>
  <c r="F172" i="1"/>
  <c r="G172" i="1"/>
  <c r="E173" i="1"/>
  <c r="F173" i="1"/>
  <c r="G173" i="1"/>
  <c r="E174" i="1"/>
  <c r="F174" i="1"/>
  <c r="G174" i="1"/>
  <c r="E175" i="1"/>
  <c r="F175" i="1"/>
  <c r="G175" i="1"/>
  <c r="E176" i="1"/>
  <c r="F176" i="1"/>
  <c r="G176" i="1"/>
  <c r="E177" i="1"/>
  <c r="F177" i="1"/>
  <c r="G177" i="1"/>
  <c r="E178" i="1"/>
  <c r="F178" i="1"/>
  <c r="G178" i="1"/>
  <c r="E179" i="1"/>
  <c r="F179" i="1"/>
  <c r="G179" i="1"/>
  <c r="E180" i="1"/>
  <c r="F180" i="1"/>
  <c r="G180" i="1"/>
  <c r="E181" i="1"/>
  <c r="F181" i="1"/>
  <c r="G181" i="1"/>
  <c r="E182" i="1"/>
  <c r="F182" i="1"/>
  <c r="G182" i="1"/>
  <c r="E183" i="1"/>
  <c r="F183" i="1"/>
  <c r="G183" i="1"/>
  <c r="E184" i="1"/>
  <c r="F184" i="1"/>
  <c r="G184" i="1"/>
  <c r="E185" i="1"/>
  <c r="F185" i="1"/>
  <c r="G185" i="1"/>
  <c r="E186" i="1"/>
  <c r="F186" i="1"/>
  <c r="G186" i="1"/>
  <c r="E187" i="1"/>
  <c r="F187" i="1"/>
  <c r="G187" i="1"/>
  <c r="E188" i="1"/>
  <c r="F188" i="1"/>
  <c r="G188" i="1"/>
  <c r="E189" i="1"/>
  <c r="F189" i="1"/>
  <c r="G189" i="1"/>
  <c r="E190" i="1"/>
  <c r="F190" i="1"/>
  <c r="G190" i="1"/>
  <c r="E191" i="1"/>
  <c r="F191" i="1"/>
  <c r="G191" i="1"/>
  <c r="E192" i="1"/>
  <c r="F192" i="1"/>
  <c r="G192" i="1"/>
  <c r="E193" i="1"/>
  <c r="F193" i="1"/>
  <c r="G193" i="1"/>
  <c r="E194" i="1"/>
  <c r="F194" i="1"/>
  <c r="G194" i="1"/>
  <c r="E195" i="1"/>
  <c r="F195" i="1"/>
  <c r="G195" i="1"/>
  <c r="E196" i="1"/>
  <c r="F196" i="1"/>
  <c r="G196" i="1"/>
  <c r="E197" i="1"/>
  <c r="F197" i="1"/>
  <c r="G197" i="1"/>
  <c r="E198" i="1"/>
  <c r="F198" i="1"/>
  <c r="G198" i="1"/>
  <c r="E199" i="1"/>
  <c r="F199" i="1"/>
  <c r="G199" i="1"/>
  <c r="E200" i="1"/>
  <c r="F200" i="1"/>
  <c r="G200" i="1"/>
  <c r="E201" i="1"/>
  <c r="F201" i="1"/>
  <c r="G201" i="1"/>
  <c r="E202" i="1"/>
  <c r="F202" i="1"/>
  <c r="G202" i="1"/>
  <c r="E203" i="1"/>
  <c r="F203" i="1"/>
  <c r="G203" i="1"/>
  <c r="E204" i="1"/>
  <c r="F204" i="1"/>
  <c r="G204" i="1"/>
  <c r="E205" i="1"/>
  <c r="F205" i="1"/>
  <c r="G205" i="1"/>
  <c r="E206" i="1"/>
  <c r="F206" i="1"/>
  <c r="G206" i="1"/>
  <c r="E207" i="1"/>
  <c r="F207" i="1"/>
  <c r="G207" i="1"/>
  <c r="E208" i="1"/>
  <c r="F208" i="1"/>
  <c r="G208" i="1"/>
  <c r="E209" i="1"/>
  <c r="F209" i="1"/>
  <c r="G209" i="1"/>
  <c r="E210" i="1"/>
  <c r="F210" i="1"/>
  <c r="G210" i="1"/>
  <c r="E211" i="1"/>
  <c r="F211" i="1"/>
  <c r="G211" i="1"/>
  <c r="E212" i="1"/>
  <c r="F212" i="1"/>
  <c r="G212" i="1"/>
  <c r="E213" i="1"/>
  <c r="F213" i="1"/>
  <c r="G213" i="1"/>
  <c r="E214" i="1"/>
  <c r="F214" i="1"/>
  <c r="G214" i="1"/>
  <c r="E215" i="1"/>
  <c r="F215" i="1"/>
  <c r="G215" i="1"/>
  <c r="E216" i="1"/>
  <c r="F216" i="1"/>
  <c r="G216" i="1"/>
  <c r="E217" i="1"/>
  <c r="F217" i="1"/>
  <c r="G217" i="1"/>
  <c r="E218" i="1"/>
  <c r="F218" i="1"/>
  <c r="G218" i="1"/>
  <c r="E219" i="1"/>
  <c r="F219" i="1"/>
  <c r="G219" i="1"/>
  <c r="E220" i="1"/>
  <c r="F220" i="1"/>
  <c r="G220" i="1"/>
  <c r="E221" i="1"/>
  <c r="F221" i="1"/>
  <c r="G221" i="1"/>
  <c r="E222" i="1"/>
  <c r="F222" i="1"/>
  <c r="G222" i="1"/>
  <c r="E223" i="1"/>
  <c r="F223" i="1"/>
  <c r="G223" i="1"/>
  <c r="E224" i="1"/>
  <c r="F224" i="1"/>
  <c r="G224" i="1"/>
  <c r="E225" i="1"/>
  <c r="F225" i="1"/>
  <c r="G225" i="1"/>
  <c r="E226" i="1"/>
  <c r="F226" i="1"/>
  <c r="G226" i="1"/>
  <c r="E227" i="1"/>
  <c r="F227" i="1"/>
  <c r="G227" i="1"/>
  <c r="E228" i="1"/>
  <c r="F228" i="1"/>
  <c r="G228" i="1"/>
  <c r="E229" i="1"/>
  <c r="F229" i="1"/>
  <c r="G229" i="1"/>
  <c r="E230" i="1"/>
  <c r="F230" i="1"/>
  <c r="G230" i="1"/>
  <c r="E231" i="1"/>
  <c r="F231" i="1"/>
  <c r="G231" i="1"/>
  <c r="E232" i="1"/>
  <c r="F232" i="1"/>
  <c r="G232" i="1"/>
  <c r="E233" i="1"/>
  <c r="F233" i="1"/>
  <c r="G233" i="1"/>
  <c r="E234" i="1"/>
  <c r="F234" i="1"/>
  <c r="G234" i="1"/>
  <c r="E235" i="1"/>
  <c r="F235" i="1"/>
  <c r="G235" i="1"/>
  <c r="E236" i="1"/>
  <c r="F236" i="1"/>
  <c r="G236" i="1"/>
  <c r="E237" i="1"/>
  <c r="F237" i="1"/>
  <c r="G237" i="1"/>
  <c r="E238" i="1"/>
  <c r="F238" i="1"/>
  <c r="G238" i="1"/>
  <c r="E239" i="1"/>
  <c r="F239" i="1"/>
  <c r="G239" i="1"/>
  <c r="E240" i="1"/>
  <c r="F240" i="1"/>
  <c r="G240" i="1"/>
  <c r="E241" i="1"/>
  <c r="F241" i="1"/>
  <c r="G241" i="1"/>
  <c r="E242" i="1"/>
  <c r="F242" i="1"/>
  <c r="G242" i="1"/>
  <c r="E243" i="1"/>
  <c r="F243" i="1"/>
  <c r="G243" i="1"/>
  <c r="E244" i="1"/>
  <c r="F244" i="1"/>
  <c r="G244" i="1"/>
  <c r="E245" i="1"/>
  <c r="F245" i="1"/>
  <c r="G245" i="1"/>
  <c r="E246" i="1"/>
  <c r="F246" i="1"/>
  <c r="G246" i="1"/>
  <c r="E247" i="1"/>
  <c r="F247" i="1"/>
  <c r="G247" i="1"/>
  <c r="E248" i="1"/>
  <c r="F248" i="1"/>
  <c r="G248" i="1"/>
  <c r="E249" i="1"/>
  <c r="F249" i="1"/>
  <c r="G249" i="1"/>
  <c r="E250" i="1"/>
  <c r="F250" i="1"/>
  <c r="G250" i="1"/>
  <c r="E251" i="1"/>
  <c r="F251" i="1"/>
  <c r="G251" i="1"/>
  <c r="E252" i="1"/>
  <c r="F252" i="1"/>
  <c r="G252" i="1"/>
  <c r="E253" i="1"/>
  <c r="F253" i="1"/>
  <c r="G253" i="1"/>
  <c r="E254" i="1"/>
  <c r="F254" i="1"/>
  <c r="G254" i="1"/>
  <c r="E255" i="1"/>
  <c r="F255" i="1"/>
  <c r="G255" i="1"/>
  <c r="E256" i="1"/>
  <c r="F256" i="1"/>
  <c r="G256" i="1"/>
  <c r="E257" i="1"/>
  <c r="F257" i="1"/>
  <c r="G257" i="1"/>
  <c r="E258" i="1"/>
  <c r="F258" i="1"/>
  <c r="G258" i="1"/>
  <c r="E259" i="1"/>
  <c r="F259" i="1"/>
  <c r="G259" i="1"/>
  <c r="E260" i="1"/>
  <c r="F260" i="1"/>
  <c r="G260" i="1"/>
  <c r="E261" i="1"/>
  <c r="F261" i="1"/>
  <c r="G261" i="1"/>
  <c r="E262" i="1"/>
  <c r="F262" i="1"/>
  <c r="G262" i="1"/>
  <c r="E263" i="1"/>
  <c r="F263" i="1"/>
  <c r="G263" i="1"/>
  <c r="E264" i="1"/>
  <c r="F264" i="1"/>
  <c r="G264" i="1"/>
  <c r="F13" i="1"/>
  <c r="J12" i="1" s="1" a="1"/>
  <c r="J12" i="1" s="1"/>
  <c r="L12" i="1" s="1" a="1"/>
  <c r="L12" i="1" s="1"/>
  <c r="G13" i="1"/>
  <c r="J13" i="1" s="1" a="1"/>
  <c r="J13" i="1" s="1"/>
  <c r="L13" i="1" s="1"/>
  <c r="E13" i="1"/>
  <c r="K14" i="1"/>
  <c r="L14" i="1" l="1"/>
  <c r="M12" i="1" s="1"/>
  <c r="O12" i="1" s="1"/>
  <c r="P12" i="1" s="1"/>
  <c r="M11" i="1"/>
  <c r="M13" i="1" l="1"/>
  <c r="O13" i="1" s="1"/>
  <c r="P13" i="1" s="1"/>
  <c r="M14" i="1"/>
  <c r="O11" i="1"/>
  <c r="P11" i="1" s="1"/>
  <c r="P14" i="1" s="1"/>
  <c r="P15" i="1" s="1"/>
</calcChain>
</file>

<file path=xl/sharedStrings.xml><?xml version="1.0" encoding="utf-8"?>
<sst xmlns="http://schemas.openxmlformats.org/spreadsheetml/2006/main" count="26" uniqueCount="19">
  <si>
    <t>Date</t>
  </si>
  <si>
    <t>Asset 1</t>
  </si>
  <si>
    <t>Asset 2</t>
  </si>
  <si>
    <t>Asset 3</t>
  </si>
  <si>
    <t>All calculated values are merely indicative, and they are provided "AS IS" for informational and educational purposes only.  Newfound Research LLC makes no guarantee as to the accuracy, timeliness, completeness, or fitness for any particular purpose of or for any allocation values. Nothing contained herein should be construed as investment advice, either on behalf of a particular security or an overall investment strategy. Past performance is not indicative of future results.</t>
  </si>
  <si>
    <t>Closing Prices</t>
  </si>
  <si>
    <t>Inputs</t>
  </si>
  <si>
    <t>Calculated Values</t>
  </si>
  <si>
    <t>Returns</t>
  </si>
  <si>
    <t>Volatilities</t>
  </si>
  <si>
    <t>Allocations</t>
  </si>
  <si>
    <t>Total</t>
  </si>
  <si>
    <t>Risk Contribution</t>
  </si>
  <si>
    <t>Risk Contribution %</t>
  </si>
  <si>
    <t>Calculated</t>
  </si>
  <si>
    <t>Specified</t>
  </si>
  <si>
    <t>Difference</t>
  </si>
  <si>
    <t>Squared Difference</t>
  </si>
  <si>
    <t>&lt;-- Minimize Using Solver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</si>
</sst>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00"/>
    <numFmt numFmtId="166" formatCode="0.0"/>
  </numFmts>
  <fonts count="7">
    <font>
      <sz val="12"/>
      <color theme="1"/>
      <name val="Calibri"/>
      <family val="2"/>
      <scheme val="minor"/>
    </font>
    <font>
      <sz val="12"/>
      <color theme="1"/>
      <name val="Calibri"/>
      <family val="2"/>
      <scheme val="minor"/>
    </font>
    <font>
      <sz val="12"/>
      <color rgb="FF3F3F76"/>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ont>
  </fonts>
  <fills count="5">
    <fill>
      <patternFill patternType="none"/>
    </fill>
    <fill>
      <patternFill patternType="gray125"/>
    </fill>
    <fill>
      <patternFill patternType="solid">
        <fgColor rgb="FFFFCC99"/>
      </patternFill>
    </fill>
    <fill>
      <patternFill patternType="solid">
        <fgColor theme="8" tint="0.59999389629810485"/>
        <bgColor indexed="64"/>
      </patternFill>
    </fill>
    <fill>
      <patternFill patternType="solid">
        <fgColor theme="6" tint="0.59999389629810485"/>
        <bgColor indexed="64"/>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s>
  <cellStyleXfs count="59">
    <xf numFmtId="0" fontId="0" fillId="0" borderId="0"/>
    <xf numFmtId="9" fontId="1" fillId="0" borderId="0" applyFont="0" applyFill="0" applyBorder="0" applyAlignment="0" applyProtection="0"/>
    <xf numFmtId="0" fontId="2" fillId="2" borderId="1" applyNumberFormat="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cellStyleXfs>
  <cellXfs count="27">
    <xf numFmtId="0" fontId="0" fillId="0" borderId="0" xfId="0"/>
    <xf numFmtId="0" fontId="0" fillId="0" borderId="0" xfId="0" applyAlignment="1">
      <alignment horizontal="center"/>
    </xf>
    <xf numFmtId="0" fontId="0" fillId="3" borderId="0" xfId="0" applyFill="1"/>
    <xf numFmtId="0" fontId="2" fillId="4" borderId="0" xfId="2" applyFill="1" applyBorder="1"/>
    <xf numFmtId="0" fontId="0" fillId="4" borderId="0" xfId="0" applyFill="1"/>
    <xf numFmtId="0" fontId="0" fillId="0" borderId="1" xfId="0" applyBorder="1"/>
    <xf numFmtId="14" fontId="0" fillId="4" borderId="1" xfId="0" applyNumberFormat="1" applyFill="1" applyBorder="1"/>
    <xf numFmtId="0" fontId="0" fillId="4" borderId="1" xfId="0" applyFill="1" applyBorder="1"/>
    <xf numFmtId="0" fontId="3" fillId="0" borderId="0" xfId="0" applyFont="1" applyAlignment="1">
      <alignment horizontal="center"/>
    </xf>
    <xf numFmtId="10" fontId="0" fillId="3" borderId="1" xfId="1" applyNumberFormat="1" applyFont="1" applyFill="1" applyBorder="1"/>
    <xf numFmtId="0" fontId="0" fillId="0" borderId="1" xfId="0" applyBorder="1" applyAlignment="1">
      <alignment horizontal="center"/>
    </xf>
    <xf numFmtId="165" fontId="0" fillId="0" borderId="0" xfId="0" applyNumberFormat="1"/>
    <xf numFmtId="166" fontId="0" fillId="0" borderId="0" xfId="0" applyNumberFormat="1"/>
    <xf numFmtId="0" fontId="3" fillId="0" borderId="1" xfId="0" applyFont="1" applyBorder="1" applyAlignment="1">
      <alignment horizontal="center"/>
    </xf>
    <xf numFmtId="0" fontId="3" fillId="0" borderId="1" xfId="0" applyFont="1" applyBorder="1"/>
    <xf numFmtId="10" fontId="0" fillId="0" borderId="1" xfId="1" applyNumberFormat="1" applyFont="1" applyBorder="1"/>
    <xf numFmtId="164" fontId="0" fillId="0" borderId="1" xfId="0" applyNumberFormat="1" applyBorder="1"/>
    <xf numFmtId="164" fontId="0" fillId="0" borderId="1" xfId="1" applyNumberFormat="1" applyFont="1" applyBorder="1"/>
    <xf numFmtId="165" fontId="0" fillId="0" borderId="1" xfId="0" applyNumberFormat="1" applyBorder="1"/>
    <xf numFmtId="10" fontId="0" fillId="0" borderId="0" xfId="0" applyNumberFormat="1"/>
    <xf numFmtId="164" fontId="0" fillId="4" borderId="1" xfId="1" applyNumberFormat="1" applyFont="1" applyFill="1" applyBorder="1" applyProtection="1">
      <protection locked="0"/>
    </xf>
    <xf numFmtId="164" fontId="0" fillId="3" borderId="1" xfId="1" applyNumberFormat="1" applyFont="1" applyFill="1" applyBorder="1"/>
    <xf numFmtId="164" fontId="0" fillId="3" borderId="1" xfId="0" applyNumberFormat="1" applyFill="1" applyBorder="1"/>
    <xf numFmtId="0" fontId="0" fillId="0" borderId="0" xfId="0" applyAlignment="1">
      <alignment horizontal="left" wrapText="1"/>
    </xf>
    <xf numFmtId="0" fontId="3" fillId="0" borderId="2"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cellXfs>
  <cellStyles count="59">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Input" xfId="2" builtinId="20"/>
    <cellStyle name="Normal" xfId="0" builtinId="0"/>
    <cellStyle name="Percent" xfId="1"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104775</xdr:colOff>
          <xdr:row>15</xdr:row>
          <xdr:rowOff>142875</xdr:rowOff>
        </xdr:from>
        <xdr:to>
          <xdr:col>15</xdr:col>
          <xdr:colOff>1228725</xdr:colOff>
          <xdr:row>18</xdr:row>
          <xdr:rowOff>76200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200" b="0" i="0" u="none" strike="noStrike" baseline="0">
                  <a:solidFill>
                    <a:srgbClr val="000000"/>
                  </a:solidFill>
                  <a:latin typeface="Lucida Grande"/>
                </a:rPr>
                <a:t>Solve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X264"/>
  <sheetViews>
    <sheetView tabSelected="1" workbookViewId="0"/>
  </sheetViews>
  <sheetFormatPr defaultColWidth="11" defaultRowHeight="15.75"/>
  <cols>
    <col min="12" max="12" width="15.125" customWidth="1"/>
    <col min="13" max="13" width="18.625" customWidth="1"/>
    <col min="14" max="14" width="18.375" customWidth="1"/>
    <col min="16" max="16" width="17.125" bestFit="1" customWidth="1"/>
    <col min="23" max="24" width="10.875" hidden="1" customWidth="1"/>
  </cols>
  <sheetData>
    <row r="2" spans="1:24" ht="15" customHeight="1">
      <c r="B2" s="23" t="s">
        <v>4</v>
      </c>
      <c r="C2" s="23"/>
      <c r="D2" s="23"/>
      <c r="E2" s="23"/>
      <c r="F2" s="23"/>
      <c r="G2" s="23"/>
      <c r="H2" s="23"/>
      <c r="I2" s="23"/>
      <c r="J2" s="23"/>
      <c r="K2" s="23"/>
      <c r="L2" s="23"/>
      <c r="M2" s="23"/>
      <c r="N2" s="23"/>
    </row>
    <row r="3" spans="1:24">
      <c r="B3" s="23"/>
      <c r="C3" s="23"/>
      <c r="D3" s="23"/>
      <c r="E3" s="23"/>
      <c r="F3" s="23"/>
      <c r="G3" s="23"/>
      <c r="H3" s="23"/>
      <c r="I3" s="23"/>
      <c r="J3" s="23"/>
      <c r="K3" s="23"/>
      <c r="L3" s="23"/>
      <c r="M3" s="23"/>
      <c r="N3" s="23"/>
    </row>
    <row r="4" spans="1:24">
      <c r="B4" s="23"/>
      <c r="C4" s="23"/>
      <c r="D4" s="23"/>
      <c r="E4" s="23"/>
      <c r="F4" s="23"/>
      <c r="G4" s="23"/>
      <c r="H4" s="23"/>
      <c r="I4" s="23"/>
      <c r="J4" s="23"/>
      <c r="K4" s="23"/>
      <c r="L4" s="23"/>
      <c r="M4" s="23"/>
      <c r="N4" s="23"/>
    </row>
    <row r="5" spans="1:24">
      <c r="B5" s="23"/>
      <c r="C5" s="23"/>
      <c r="D5" s="23"/>
      <c r="E5" s="23"/>
      <c r="F5" s="23"/>
      <c r="G5" s="23"/>
      <c r="H5" s="23"/>
      <c r="I5" s="23"/>
      <c r="J5" s="23"/>
      <c r="K5" s="23"/>
      <c r="L5" s="23"/>
      <c r="M5" s="23"/>
      <c r="N5" s="23"/>
    </row>
    <row r="7" spans="1:24">
      <c r="B7" s="3" t="s">
        <v>6</v>
      </c>
      <c r="C7" s="4"/>
    </row>
    <row r="8" spans="1:24">
      <c r="B8" s="2" t="s">
        <v>7</v>
      </c>
      <c r="C8" s="2"/>
    </row>
    <row r="9" spans="1:24">
      <c r="M9" s="8" t="s">
        <v>14</v>
      </c>
      <c r="N9" s="8" t="s">
        <v>15</v>
      </c>
    </row>
    <row r="10" spans="1:24">
      <c r="A10" s="1"/>
      <c r="B10" s="24" t="s">
        <v>5</v>
      </c>
      <c r="C10" s="25"/>
      <c r="D10" s="26"/>
      <c r="E10" s="24" t="s">
        <v>8</v>
      </c>
      <c r="F10" s="25"/>
      <c r="G10" s="26"/>
      <c r="J10" s="13" t="s">
        <v>9</v>
      </c>
      <c r="K10" s="13" t="s">
        <v>10</v>
      </c>
      <c r="L10" s="13" t="s">
        <v>12</v>
      </c>
      <c r="M10" s="13" t="s">
        <v>13</v>
      </c>
      <c r="N10" s="13" t="s">
        <v>13</v>
      </c>
      <c r="O10" s="13" t="s">
        <v>16</v>
      </c>
      <c r="P10" s="13" t="s">
        <v>17</v>
      </c>
    </row>
    <row r="11" spans="1:24">
      <c r="A11" s="10" t="s">
        <v>0</v>
      </c>
      <c r="B11" s="10" t="s">
        <v>1</v>
      </c>
      <c r="C11" s="10" t="s">
        <v>2</v>
      </c>
      <c r="D11" s="10" t="s">
        <v>3</v>
      </c>
      <c r="E11" s="10" t="s">
        <v>1</v>
      </c>
      <c r="F11" s="10" t="s">
        <v>2</v>
      </c>
      <c r="G11" s="10" t="s">
        <v>3</v>
      </c>
      <c r="I11" s="5" t="s">
        <v>1</v>
      </c>
      <c r="J11" s="9">
        <f t="array" ref="J11">STDEV(LN(E13:E264+1))*SQRT(252)</f>
        <v>0.11080619377768111</v>
      </c>
      <c r="K11" s="21">
        <v>0.36952103997656799</v>
      </c>
      <c r="L11" s="9">
        <f>K11*J11*CORREL(LN(E13:E264+1),LN($K$11*$E$13:$E$264+$K$12*$F$13:$F$264+$K$13*$G$13:$G$264+1))</f>
        <v>2.5741036697229627E-2</v>
      </c>
      <c r="M11" s="22">
        <f>L11/$L$14</f>
        <v>0.29999996852136729</v>
      </c>
      <c r="N11" s="20">
        <v>0.3</v>
      </c>
      <c r="O11" s="16">
        <f>M11-N11</f>
        <v>-3.1478632700476794E-8</v>
      </c>
      <c r="P11" s="18">
        <f>O11^2</f>
        <v>9.9090431669152703E-16</v>
      </c>
      <c r="W11">
        <v>0</v>
      </c>
      <c r="X11">
        <v>1</v>
      </c>
    </row>
    <row r="12" spans="1:24">
      <c r="A12" s="6">
        <v>41274</v>
      </c>
      <c r="B12" s="7">
        <v>138.97999999999999</v>
      </c>
      <c r="C12" s="7">
        <v>115.83</v>
      </c>
      <c r="D12" s="7">
        <v>43.04</v>
      </c>
      <c r="E12" s="5"/>
      <c r="F12" s="5"/>
      <c r="G12" s="5"/>
      <c r="I12" s="5" t="s">
        <v>2</v>
      </c>
      <c r="J12" s="9">
        <f t="array" ref="J12">STDEV(LN(F13:F264+1))*SQRT(252)</f>
        <v>0.13186488799315191</v>
      </c>
      <c r="K12" s="21">
        <v>0.44605386968113803</v>
      </c>
      <c r="L12" s="9">
        <f t="array" ref="L12">K12*J12*CORREL(LN(F13:F264+1),LN($K$11*$E$13:$E$264+$K$12*$F$13:$F$264+$K$13*$G$13:$G$264+1))</f>
        <v>3.4321400011399286E-2</v>
      </c>
      <c r="M12" s="22">
        <f>L12/$L$14</f>
        <v>0.40000016487825413</v>
      </c>
      <c r="N12" s="20">
        <v>0.4</v>
      </c>
      <c r="O12" s="16">
        <f>M12-N12</f>
        <v>1.6487825410527179E-7</v>
      </c>
      <c r="P12" s="18">
        <f>O12^2</f>
        <v>2.7184838676802574E-14</v>
      </c>
      <c r="W12">
        <v>0</v>
      </c>
      <c r="X12">
        <v>1</v>
      </c>
    </row>
    <row r="13" spans="1:24">
      <c r="A13" s="6">
        <v>41276</v>
      </c>
      <c r="B13" s="7">
        <v>142.54</v>
      </c>
      <c r="C13" s="7">
        <v>114.28</v>
      </c>
      <c r="D13" s="7">
        <v>43.89</v>
      </c>
      <c r="E13" s="9">
        <f>B13/B12-1</f>
        <v>2.5615196431141296E-2</v>
      </c>
      <c r="F13" s="9">
        <f t="shared" ref="F13:G13" si="0">C13/C12-1</f>
        <v>-1.3381680048346722E-2</v>
      </c>
      <c r="G13" s="9">
        <f t="shared" si="0"/>
        <v>1.9749070631970289E-2</v>
      </c>
      <c r="I13" s="5" t="s">
        <v>3</v>
      </c>
      <c r="J13" s="9">
        <f t="array" ref="J13">STDEV(LN(G13:G264+1))*SQRT(252)</f>
        <v>0.18450904786350175</v>
      </c>
      <c r="K13" s="21">
        <v>0.1844250903422941</v>
      </c>
      <c r="L13" s="9">
        <f>K13*J13*CORREL(LN(G13:G264+1),LN($K$11*$E$13:$E$264+$K$12*$F$13:$F$264+$K$13*$G$13:$G$264+1))</f>
        <v>2.5741027952055667E-2</v>
      </c>
      <c r="M13" s="22">
        <f>L13/$L$14</f>
        <v>0.29999986660037847</v>
      </c>
      <c r="N13" s="20">
        <v>0.3</v>
      </c>
      <c r="O13" s="16">
        <f>M13-N13</f>
        <v>-1.333996215158173E-7</v>
      </c>
      <c r="P13" s="18">
        <f>O13^2</f>
        <v>1.7795459020563307E-14</v>
      </c>
      <c r="W13">
        <v>0</v>
      </c>
      <c r="X13">
        <v>1</v>
      </c>
    </row>
    <row r="14" spans="1:24">
      <c r="A14" s="6">
        <v>41277</v>
      </c>
      <c r="B14" s="7">
        <v>142.22</v>
      </c>
      <c r="C14" s="7">
        <v>112.73</v>
      </c>
      <c r="D14" s="7">
        <v>43.58</v>
      </c>
      <c r="E14" s="9">
        <f t="shared" ref="E14:E77" si="1">B14/B13-1</f>
        <v>-2.2449838641783737E-3</v>
      </c>
      <c r="F14" s="9">
        <f t="shared" ref="F14:F77" si="2">C14/C13-1</f>
        <v>-1.3563178158907951E-2</v>
      </c>
      <c r="G14" s="9">
        <f t="shared" ref="G14:G77" si="3">D14/D13-1</f>
        <v>-7.0631123262703266E-3</v>
      </c>
      <c r="J14" s="14" t="s">
        <v>11</v>
      </c>
      <c r="K14" s="17">
        <f>SUM(K11:K13)</f>
        <v>1.0000000000000002</v>
      </c>
      <c r="L14" s="15">
        <f>SUM(L11:L13)</f>
        <v>8.5803464660684586E-2</v>
      </c>
      <c r="M14" s="16">
        <f>SUM(M11:M13)</f>
        <v>0.99999999999999989</v>
      </c>
      <c r="N14" s="16">
        <f>SUM(N11:N13)</f>
        <v>1</v>
      </c>
      <c r="P14" s="11">
        <f>SUM(P11:P13)</f>
        <v>4.5971202014057404E-14</v>
      </c>
      <c r="X14">
        <v>1</v>
      </c>
    </row>
    <row r="15" spans="1:24">
      <c r="A15" s="6">
        <v>41278</v>
      </c>
      <c r="B15" s="7">
        <v>142.84</v>
      </c>
      <c r="C15" s="7">
        <v>113.17</v>
      </c>
      <c r="D15" s="7">
        <v>43.66</v>
      </c>
      <c r="E15" s="9">
        <f t="shared" si="1"/>
        <v>4.3594431162987668E-3</v>
      </c>
      <c r="F15" s="9">
        <f t="shared" si="2"/>
        <v>3.9031313758537411E-3</v>
      </c>
      <c r="G15" s="9">
        <f t="shared" si="3"/>
        <v>1.8357044515833199E-3</v>
      </c>
      <c r="P15" s="12">
        <f>P14*10000</f>
        <v>4.5971202014057403E-10</v>
      </c>
      <c r="Q15" t="s">
        <v>18</v>
      </c>
      <c r="X15">
        <v>0</v>
      </c>
    </row>
    <row r="16" spans="1:24">
      <c r="A16" s="6">
        <v>41281</v>
      </c>
      <c r="B16" s="7">
        <v>142.44999999999999</v>
      </c>
      <c r="C16" s="7">
        <v>113.22</v>
      </c>
      <c r="D16" s="7">
        <v>43.33</v>
      </c>
      <c r="E16" s="9">
        <f t="shared" si="1"/>
        <v>-2.7303276393167986E-3</v>
      </c>
      <c r="F16" s="9">
        <f t="shared" si="2"/>
        <v>4.4181320137837155E-4</v>
      </c>
      <c r="G16" s="9">
        <f t="shared" si="3"/>
        <v>-7.5584058634905471E-3</v>
      </c>
      <c r="J16" s="19"/>
      <c r="K16" s="19"/>
      <c r="L16" s="19"/>
    </row>
    <row r="17" spans="1:9">
      <c r="A17" s="6">
        <v>41282</v>
      </c>
      <c r="B17" s="7">
        <v>142.04</v>
      </c>
      <c r="C17" s="7">
        <v>113.97</v>
      </c>
      <c r="D17" s="7">
        <v>42.95</v>
      </c>
      <c r="E17" s="9">
        <f t="shared" si="1"/>
        <v>-2.8782028782028402E-3</v>
      </c>
      <c r="F17" s="9">
        <f t="shared" si="2"/>
        <v>6.6242713301536416E-3</v>
      </c>
      <c r="G17" s="9">
        <f t="shared" si="3"/>
        <v>-8.7699053773365732E-3</v>
      </c>
      <c r="I17" s="19"/>
    </row>
    <row r="18" spans="1:9">
      <c r="A18" s="6">
        <v>41283</v>
      </c>
      <c r="B18" s="7">
        <v>142.4</v>
      </c>
      <c r="C18" s="7">
        <v>113.86</v>
      </c>
      <c r="D18" s="7">
        <v>43.13</v>
      </c>
      <c r="E18" s="9">
        <f t="shared" si="1"/>
        <v>2.53449732469746E-3</v>
      </c>
      <c r="F18" s="9">
        <f t="shared" si="2"/>
        <v>-9.6516627182596793E-4</v>
      </c>
      <c r="G18" s="9">
        <f t="shared" si="3"/>
        <v>4.190919674039506E-3</v>
      </c>
      <c r="I18" s="19"/>
    </row>
    <row r="19" spans="1:9">
      <c r="A19" s="6">
        <v>41284</v>
      </c>
      <c r="B19" s="7">
        <v>143.54</v>
      </c>
      <c r="C19" s="7">
        <v>113.55</v>
      </c>
      <c r="D19" s="7">
        <v>43.51</v>
      </c>
      <c r="E19" s="9">
        <f t="shared" si="1"/>
        <v>8.0056179775280789E-3</v>
      </c>
      <c r="F19" s="9">
        <f t="shared" si="2"/>
        <v>-2.7226418408572428E-3</v>
      </c>
      <c r="G19" s="9">
        <f t="shared" si="3"/>
        <v>8.810572687224516E-3</v>
      </c>
      <c r="I19" s="19"/>
    </row>
    <row r="20" spans="1:9">
      <c r="A20" s="6">
        <v>41285</v>
      </c>
      <c r="B20" s="7">
        <v>143.53</v>
      </c>
      <c r="C20" s="7">
        <v>114.56</v>
      </c>
      <c r="D20" s="7">
        <v>43.16</v>
      </c>
      <c r="E20" s="9">
        <f t="shared" si="1"/>
        <v>-6.9666991779238074E-5</v>
      </c>
      <c r="F20" s="9">
        <f t="shared" si="2"/>
        <v>8.8947600176134678E-3</v>
      </c>
      <c r="G20" s="9">
        <f t="shared" si="3"/>
        <v>-8.0441277867157046E-3</v>
      </c>
    </row>
    <row r="21" spans="1:9">
      <c r="A21" s="6">
        <v>41288</v>
      </c>
      <c r="B21" s="7">
        <v>143.43</v>
      </c>
      <c r="C21" s="7">
        <v>114.24</v>
      </c>
      <c r="D21" s="7">
        <v>43.34</v>
      </c>
      <c r="E21" s="9">
        <f t="shared" si="1"/>
        <v>-6.9671845607188754E-4</v>
      </c>
      <c r="F21" s="9">
        <f t="shared" si="2"/>
        <v>-2.7932960893854997E-3</v>
      </c>
      <c r="G21" s="9">
        <f t="shared" si="3"/>
        <v>4.1705282669139976E-3</v>
      </c>
    </row>
    <row r="22" spans="1:9">
      <c r="A22" s="6">
        <v>41289</v>
      </c>
      <c r="B22" s="7">
        <v>143.53</v>
      </c>
      <c r="C22" s="7">
        <v>114.77</v>
      </c>
      <c r="D22" s="7">
        <v>43.16</v>
      </c>
      <c r="E22" s="9">
        <f t="shared" si="1"/>
        <v>6.9720421111330033E-4</v>
      </c>
      <c r="F22" s="9">
        <f t="shared" si="2"/>
        <v>4.6393557422970133E-3</v>
      </c>
      <c r="G22" s="9">
        <f t="shared" si="3"/>
        <v>-4.1532071988926722E-3</v>
      </c>
    </row>
    <row r="23" spans="1:9">
      <c r="A23" s="6">
        <v>41290</v>
      </c>
      <c r="B23" s="7">
        <v>143.51</v>
      </c>
      <c r="C23" s="7">
        <v>115.01</v>
      </c>
      <c r="D23" s="7">
        <v>43.12</v>
      </c>
      <c r="E23" s="9">
        <f t="shared" si="1"/>
        <v>-1.3934369121448853E-4</v>
      </c>
      <c r="F23" s="9">
        <f t="shared" si="2"/>
        <v>2.0911387993378661E-3</v>
      </c>
      <c r="G23" s="9">
        <f t="shared" si="3"/>
        <v>-9.26784059314123E-4</v>
      </c>
    </row>
    <row r="24" spans="1:9">
      <c r="A24" s="6">
        <v>41291</v>
      </c>
      <c r="B24" s="7">
        <v>144.43</v>
      </c>
      <c r="C24" s="7">
        <v>113.86</v>
      </c>
      <c r="D24" s="7">
        <v>43.36</v>
      </c>
      <c r="E24" s="9">
        <f t="shared" si="1"/>
        <v>6.4107030868929549E-3</v>
      </c>
      <c r="F24" s="9">
        <f t="shared" si="2"/>
        <v>-9.9991305103904748E-3</v>
      </c>
      <c r="G24" s="9">
        <f t="shared" si="3"/>
        <v>5.5658627087198376E-3</v>
      </c>
    </row>
    <row r="25" spans="1:9">
      <c r="A25" s="6">
        <v>41292</v>
      </c>
      <c r="B25" s="7">
        <v>144.76</v>
      </c>
      <c r="C25" s="7">
        <v>114.74</v>
      </c>
      <c r="D25" s="7">
        <v>43.46</v>
      </c>
      <c r="E25" s="9">
        <f t="shared" si="1"/>
        <v>2.2848438690021844E-3</v>
      </c>
      <c r="F25" s="9">
        <f t="shared" si="2"/>
        <v>7.7287897417881446E-3</v>
      </c>
      <c r="G25" s="9">
        <f t="shared" si="3"/>
        <v>2.3062730627305683E-3</v>
      </c>
    </row>
    <row r="26" spans="1:9">
      <c r="A26" s="6">
        <v>41296</v>
      </c>
      <c r="B26" s="7">
        <v>145.54</v>
      </c>
      <c r="C26" s="7">
        <v>114.96</v>
      </c>
      <c r="D26" s="7">
        <v>43.39</v>
      </c>
      <c r="E26" s="9">
        <f t="shared" si="1"/>
        <v>5.3882287924840178E-3</v>
      </c>
      <c r="F26" s="9">
        <f t="shared" si="2"/>
        <v>1.917378420777327E-3</v>
      </c>
      <c r="G26" s="9">
        <f t="shared" si="3"/>
        <v>-1.6106764841233856E-3</v>
      </c>
    </row>
    <row r="27" spans="1:9">
      <c r="A27" s="6">
        <v>41297</v>
      </c>
      <c r="B27" s="7">
        <v>145.77000000000001</v>
      </c>
      <c r="C27" s="7">
        <v>114.79</v>
      </c>
      <c r="D27" s="7">
        <v>43.16</v>
      </c>
      <c r="E27" s="9">
        <f t="shared" si="1"/>
        <v>1.580321561083009E-3</v>
      </c>
      <c r="F27" s="9">
        <f t="shared" si="2"/>
        <v>-1.478775226165463E-3</v>
      </c>
      <c r="G27" s="9">
        <f t="shared" si="3"/>
        <v>-5.3007605439042704E-3</v>
      </c>
    </row>
    <row r="28" spans="1:9">
      <c r="A28" s="6">
        <v>41298</v>
      </c>
      <c r="B28" s="7">
        <v>145.81</v>
      </c>
      <c r="C28" s="7">
        <v>114.39</v>
      </c>
      <c r="D28" s="7">
        <v>43</v>
      </c>
      <c r="E28" s="9">
        <f t="shared" si="1"/>
        <v>2.7440488440699795E-4</v>
      </c>
      <c r="F28" s="9">
        <f t="shared" si="2"/>
        <v>-3.4846240961756703E-3</v>
      </c>
      <c r="G28" s="9">
        <f t="shared" si="3"/>
        <v>-3.707136237256603E-3</v>
      </c>
    </row>
    <row r="29" spans="1:9">
      <c r="A29" s="6">
        <v>41299</v>
      </c>
      <c r="B29" s="7">
        <v>146.63</v>
      </c>
      <c r="C29" s="7">
        <v>112.82</v>
      </c>
      <c r="D29" s="7">
        <v>42.86</v>
      </c>
      <c r="E29" s="9">
        <f t="shared" si="1"/>
        <v>5.6237569439681057E-3</v>
      </c>
      <c r="F29" s="9">
        <f t="shared" si="2"/>
        <v>-1.3724975959437113E-2</v>
      </c>
      <c r="G29" s="9">
        <f t="shared" si="3"/>
        <v>-3.2558139534883956E-3</v>
      </c>
    </row>
    <row r="30" spans="1:9">
      <c r="A30" s="6">
        <v>41302</v>
      </c>
      <c r="B30" s="7">
        <v>146.44999999999999</v>
      </c>
      <c r="C30" s="7">
        <v>112.41</v>
      </c>
      <c r="D30" s="7">
        <v>42.56</v>
      </c>
      <c r="E30" s="9">
        <f t="shared" si="1"/>
        <v>-1.227579622178343E-3</v>
      </c>
      <c r="F30" s="9">
        <f t="shared" si="2"/>
        <v>-3.6341074277610463E-3</v>
      </c>
      <c r="G30" s="9">
        <f t="shared" si="3"/>
        <v>-6.9995333644422564E-3</v>
      </c>
    </row>
    <row r="31" spans="1:9">
      <c r="A31" s="6">
        <v>41303</v>
      </c>
      <c r="B31" s="7">
        <v>147.03</v>
      </c>
      <c r="C31" s="7">
        <v>111.79</v>
      </c>
      <c r="D31" s="7">
        <v>43.03</v>
      </c>
      <c r="E31" s="9">
        <f t="shared" si="1"/>
        <v>3.9603960396039639E-3</v>
      </c>
      <c r="F31" s="9">
        <f t="shared" si="2"/>
        <v>-5.5155235299350069E-3</v>
      </c>
      <c r="G31" s="9">
        <f t="shared" si="3"/>
        <v>1.1043233082706827E-2</v>
      </c>
    </row>
    <row r="32" spans="1:9">
      <c r="A32" s="6">
        <v>41304</v>
      </c>
      <c r="B32" s="7">
        <v>146.44999999999999</v>
      </c>
      <c r="C32" s="7">
        <v>111.6</v>
      </c>
      <c r="D32" s="7">
        <v>42.83</v>
      </c>
      <c r="E32" s="9">
        <f t="shared" si="1"/>
        <v>-3.9447731755425375E-3</v>
      </c>
      <c r="F32" s="9">
        <f t="shared" si="2"/>
        <v>-1.6996153502103484E-3</v>
      </c>
      <c r="G32" s="9">
        <f t="shared" si="3"/>
        <v>-4.6479200557750788E-3</v>
      </c>
    </row>
    <row r="33" spans="1:7">
      <c r="A33" s="6">
        <v>41305</v>
      </c>
      <c r="B33" s="7">
        <v>146.09</v>
      </c>
      <c r="C33" s="7">
        <v>112.14</v>
      </c>
      <c r="D33" s="7">
        <v>42.92</v>
      </c>
      <c r="E33" s="9">
        <f t="shared" si="1"/>
        <v>-2.4581768521678704E-3</v>
      </c>
      <c r="F33" s="9">
        <f t="shared" si="2"/>
        <v>4.8387096774193949E-3</v>
      </c>
      <c r="G33" s="9">
        <f t="shared" si="3"/>
        <v>2.1013308428672328E-3</v>
      </c>
    </row>
    <row r="34" spans="1:7">
      <c r="A34" s="6">
        <v>41306</v>
      </c>
      <c r="B34" s="7">
        <v>147.6</v>
      </c>
      <c r="C34" s="7">
        <v>110.68</v>
      </c>
      <c r="D34" s="7">
        <v>43.2</v>
      </c>
      <c r="E34" s="9">
        <f t="shared" si="1"/>
        <v>1.0336094188513778E-2</v>
      </c>
      <c r="F34" s="9">
        <f t="shared" si="2"/>
        <v>-1.3019439985732073E-2</v>
      </c>
      <c r="G34" s="9">
        <f t="shared" si="3"/>
        <v>6.5237651444547406E-3</v>
      </c>
    </row>
    <row r="35" spans="1:7">
      <c r="A35" s="6">
        <v>41309</v>
      </c>
      <c r="B35" s="7">
        <v>145.94</v>
      </c>
      <c r="C35" s="7">
        <v>112.1</v>
      </c>
      <c r="D35" s="7">
        <v>42.63</v>
      </c>
      <c r="E35" s="9">
        <f t="shared" si="1"/>
        <v>-1.1246612466124684E-2</v>
      </c>
      <c r="F35" s="9">
        <f t="shared" si="2"/>
        <v>1.2829779544633046E-2</v>
      </c>
      <c r="G35" s="9">
        <f t="shared" si="3"/>
        <v>-1.3194444444444398E-2</v>
      </c>
    </row>
    <row r="36" spans="1:7">
      <c r="A36" s="6">
        <v>41310</v>
      </c>
      <c r="B36" s="7">
        <v>147.41</v>
      </c>
      <c r="C36" s="7">
        <v>111.11</v>
      </c>
      <c r="D36" s="7">
        <v>42.67</v>
      </c>
      <c r="E36" s="9">
        <f t="shared" si="1"/>
        <v>1.0072632588735031E-2</v>
      </c>
      <c r="F36" s="9">
        <f t="shared" si="2"/>
        <v>-8.8314005352363445E-3</v>
      </c>
      <c r="G36" s="9">
        <f t="shared" si="3"/>
        <v>9.3830635702563114E-4</v>
      </c>
    </row>
    <row r="37" spans="1:7">
      <c r="A37" s="6">
        <v>41311</v>
      </c>
      <c r="B37" s="7">
        <v>147.52000000000001</v>
      </c>
      <c r="C37" s="7">
        <v>112.02</v>
      </c>
      <c r="D37" s="7">
        <v>42.63</v>
      </c>
      <c r="E37" s="9">
        <f t="shared" si="1"/>
        <v>7.4621803134133913E-4</v>
      </c>
      <c r="F37" s="9">
        <f t="shared" si="2"/>
        <v>8.1900819008189352E-3</v>
      </c>
      <c r="G37" s="9">
        <f t="shared" si="3"/>
        <v>-9.3742676353403276E-4</v>
      </c>
    </row>
    <row r="38" spans="1:7">
      <c r="A38" s="6">
        <v>41312</v>
      </c>
      <c r="B38" s="7">
        <v>147.32</v>
      </c>
      <c r="C38" s="7">
        <v>111.77</v>
      </c>
      <c r="D38" s="7">
        <v>42.25</v>
      </c>
      <c r="E38" s="9">
        <f t="shared" si="1"/>
        <v>-1.3557483731020392E-3</v>
      </c>
      <c r="F38" s="9">
        <f t="shared" si="2"/>
        <v>-2.2317443313694119E-3</v>
      </c>
      <c r="G38" s="9">
        <f t="shared" si="3"/>
        <v>-8.9139103917429408E-3</v>
      </c>
    </row>
    <row r="39" spans="1:7">
      <c r="A39" s="6">
        <v>41313</v>
      </c>
      <c r="B39" s="7">
        <v>148.13999999999999</v>
      </c>
      <c r="C39" s="7">
        <v>112.2</v>
      </c>
      <c r="D39" s="7">
        <v>42.56</v>
      </c>
      <c r="E39" s="9">
        <f t="shared" si="1"/>
        <v>5.5661145805050438E-3</v>
      </c>
      <c r="F39" s="9">
        <f t="shared" si="2"/>
        <v>3.8471861859175061E-3</v>
      </c>
      <c r="G39" s="9">
        <f t="shared" si="3"/>
        <v>7.3372781065088599E-3</v>
      </c>
    </row>
    <row r="40" spans="1:7">
      <c r="A40" s="6">
        <v>41316</v>
      </c>
      <c r="B40" s="7">
        <v>148.11000000000001</v>
      </c>
      <c r="C40" s="7">
        <v>112.11</v>
      </c>
      <c r="D40" s="7">
        <v>42.54</v>
      </c>
      <c r="E40" s="9">
        <f t="shared" si="1"/>
        <v>-2.0251113811242671E-4</v>
      </c>
      <c r="F40" s="9">
        <f t="shared" si="2"/>
        <v>-8.021390374332027E-4</v>
      </c>
      <c r="G40" s="9">
        <f t="shared" si="3"/>
        <v>-4.6992481203012026E-4</v>
      </c>
    </row>
    <row r="41" spans="1:7">
      <c r="A41" s="6">
        <v>41317</v>
      </c>
      <c r="B41" s="7">
        <v>148.36000000000001</v>
      </c>
      <c r="C41" s="7">
        <v>111.83</v>
      </c>
      <c r="D41" s="7">
        <v>42.65</v>
      </c>
      <c r="E41" s="9">
        <f t="shared" si="1"/>
        <v>1.6879346431706299E-3</v>
      </c>
      <c r="F41" s="9">
        <f t="shared" si="2"/>
        <v>-2.4975470520025578E-3</v>
      </c>
      <c r="G41" s="9">
        <f t="shared" si="3"/>
        <v>2.5858015984954186E-3</v>
      </c>
    </row>
    <row r="42" spans="1:7">
      <c r="A42" s="6">
        <v>41318</v>
      </c>
      <c r="B42" s="7">
        <v>148.47999999999999</v>
      </c>
      <c r="C42" s="7">
        <v>110.92</v>
      </c>
      <c r="D42" s="7">
        <v>42.87</v>
      </c>
      <c r="E42" s="9">
        <f t="shared" si="1"/>
        <v>8.0884335400366325E-4</v>
      </c>
      <c r="F42" s="9">
        <f t="shared" si="2"/>
        <v>-8.1373513368505623E-3</v>
      </c>
      <c r="G42" s="9">
        <f t="shared" si="3"/>
        <v>5.1582649472450282E-3</v>
      </c>
    </row>
    <row r="43" spans="1:7">
      <c r="A43" s="6">
        <v>41319</v>
      </c>
      <c r="B43" s="7">
        <v>148.62</v>
      </c>
      <c r="C43" s="7">
        <v>111.93</v>
      </c>
      <c r="D43" s="7">
        <v>42.85</v>
      </c>
      <c r="E43" s="9">
        <f t="shared" si="1"/>
        <v>9.428879310344751E-4</v>
      </c>
      <c r="F43" s="9">
        <f t="shared" si="2"/>
        <v>9.1056617381897187E-3</v>
      </c>
      <c r="G43" s="9">
        <f t="shared" si="3"/>
        <v>-4.6652670865399148E-4</v>
      </c>
    </row>
    <row r="44" spans="1:7">
      <c r="A44" s="6">
        <v>41320</v>
      </c>
      <c r="B44" s="7">
        <v>148.44</v>
      </c>
      <c r="C44" s="7">
        <v>111.6</v>
      </c>
      <c r="D44" s="7">
        <v>42.69</v>
      </c>
      <c r="E44" s="9">
        <f t="shared" si="1"/>
        <v>-1.2111425111022145E-3</v>
      </c>
      <c r="F44" s="9">
        <f t="shared" si="2"/>
        <v>-2.9482712409543144E-3</v>
      </c>
      <c r="G44" s="9">
        <f t="shared" si="3"/>
        <v>-3.7339556592765888E-3</v>
      </c>
    </row>
    <row r="45" spans="1:7">
      <c r="A45" s="6">
        <v>41324</v>
      </c>
      <c r="B45" s="7">
        <v>149.56</v>
      </c>
      <c r="C45" s="7">
        <v>111.05</v>
      </c>
      <c r="D45" s="7">
        <v>42.78</v>
      </c>
      <c r="E45" s="9">
        <f t="shared" si="1"/>
        <v>7.5451360819187574E-3</v>
      </c>
      <c r="F45" s="9">
        <f t="shared" si="2"/>
        <v>-4.9283154121863015E-3</v>
      </c>
      <c r="G45" s="9">
        <f t="shared" si="3"/>
        <v>2.1082220660577633E-3</v>
      </c>
    </row>
    <row r="46" spans="1:7">
      <c r="A46" s="6">
        <v>41325</v>
      </c>
      <c r="B46" s="7">
        <v>147.69</v>
      </c>
      <c r="C46" s="7">
        <v>111.38</v>
      </c>
      <c r="D46" s="7">
        <v>42.4</v>
      </c>
      <c r="E46" s="9">
        <f t="shared" si="1"/>
        <v>-1.2503343139876999E-2</v>
      </c>
      <c r="F46" s="9">
        <f t="shared" si="2"/>
        <v>2.9716343989194538E-3</v>
      </c>
      <c r="G46" s="9">
        <f t="shared" si="3"/>
        <v>-8.8826554464703777E-3</v>
      </c>
    </row>
    <row r="47" spans="1:7">
      <c r="A47" s="6">
        <v>41326</v>
      </c>
      <c r="B47" s="7">
        <v>146.79</v>
      </c>
      <c r="C47" s="7">
        <v>112.04</v>
      </c>
      <c r="D47" s="7">
        <v>41.82</v>
      </c>
      <c r="E47" s="9">
        <f t="shared" si="1"/>
        <v>-6.0938452163314949E-3</v>
      </c>
      <c r="F47" s="9">
        <f t="shared" si="2"/>
        <v>5.9256599030348411E-3</v>
      </c>
      <c r="G47" s="9">
        <f t="shared" si="3"/>
        <v>-1.3679245283018782E-2</v>
      </c>
    </row>
    <row r="48" spans="1:7">
      <c r="A48" s="6">
        <v>41327</v>
      </c>
      <c r="B48" s="7">
        <v>148.22999999999999</v>
      </c>
      <c r="C48" s="7">
        <v>112.11</v>
      </c>
      <c r="D48" s="7">
        <v>42</v>
      </c>
      <c r="E48" s="9">
        <f t="shared" si="1"/>
        <v>9.8099325567135853E-3</v>
      </c>
      <c r="F48" s="9">
        <f t="shared" si="2"/>
        <v>6.2477686540507449E-4</v>
      </c>
      <c r="G48" s="9">
        <f t="shared" si="3"/>
        <v>4.3041606886657924E-3</v>
      </c>
    </row>
    <row r="49" spans="1:7">
      <c r="A49" s="6">
        <v>41330</v>
      </c>
      <c r="B49" s="7">
        <v>145.41</v>
      </c>
      <c r="C49" s="7">
        <v>114.32</v>
      </c>
      <c r="D49" s="7">
        <v>41.44</v>
      </c>
      <c r="E49" s="9">
        <f t="shared" si="1"/>
        <v>-1.90244889698441E-2</v>
      </c>
      <c r="F49" s="9">
        <f t="shared" si="2"/>
        <v>1.971278208901972E-2</v>
      </c>
      <c r="G49" s="9">
        <f t="shared" si="3"/>
        <v>-1.3333333333333419E-2</v>
      </c>
    </row>
    <row r="50" spans="1:7">
      <c r="A50" s="6">
        <v>41331</v>
      </c>
      <c r="B50" s="7">
        <v>146.4</v>
      </c>
      <c r="C50" s="7">
        <v>113.65</v>
      </c>
      <c r="D50" s="7">
        <v>41.67</v>
      </c>
      <c r="E50" s="9">
        <f t="shared" si="1"/>
        <v>6.8083350526100261E-3</v>
      </c>
      <c r="F50" s="9">
        <f t="shared" si="2"/>
        <v>-5.8607417774666493E-3</v>
      </c>
      <c r="G50" s="9">
        <f t="shared" si="3"/>
        <v>5.5501930501931085E-3</v>
      </c>
    </row>
    <row r="51" spans="1:7">
      <c r="A51" s="6">
        <v>41332</v>
      </c>
      <c r="B51" s="7">
        <v>148.25</v>
      </c>
      <c r="C51" s="7">
        <v>113.32</v>
      </c>
      <c r="D51" s="7">
        <v>42.13</v>
      </c>
      <c r="E51" s="9">
        <f t="shared" si="1"/>
        <v>1.2636612021857951E-2</v>
      </c>
      <c r="F51" s="9">
        <f t="shared" si="2"/>
        <v>-2.9036515618127146E-3</v>
      </c>
      <c r="G51" s="9">
        <f t="shared" si="3"/>
        <v>1.103911687065029E-2</v>
      </c>
    </row>
    <row r="52" spans="1:7">
      <c r="A52" s="6">
        <v>41333</v>
      </c>
      <c r="B52" s="7">
        <v>147.96</v>
      </c>
      <c r="C52" s="7">
        <v>113.53</v>
      </c>
      <c r="D52" s="7">
        <v>41.94</v>
      </c>
      <c r="E52" s="9">
        <f t="shared" si="1"/>
        <v>-1.9561551433389113E-3</v>
      </c>
      <c r="F52" s="9">
        <f t="shared" si="2"/>
        <v>1.8531591951995718E-3</v>
      </c>
      <c r="G52" s="9">
        <f t="shared" si="3"/>
        <v>-4.5098504628532377E-3</v>
      </c>
    </row>
    <row r="53" spans="1:7">
      <c r="A53" s="6">
        <v>41334</v>
      </c>
      <c r="B53" s="7">
        <v>148.44</v>
      </c>
      <c r="C53" s="7">
        <v>114.15</v>
      </c>
      <c r="D53" s="7">
        <v>42.03</v>
      </c>
      <c r="E53" s="9">
        <f t="shared" si="1"/>
        <v>3.2441200324411223E-3</v>
      </c>
      <c r="F53" s="9">
        <f t="shared" si="2"/>
        <v>5.4611116004581461E-3</v>
      </c>
      <c r="G53" s="9">
        <f t="shared" si="3"/>
        <v>2.1459227467812703E-3</v>
      </c>
    </row>
    <row r="54" spans="1:7">
      <c r="A54" s="6">
        <v>41337</v>
      </c>
      <c r="B54" s="7">
        <v>149.22999999999999</v>
      </c>
      <c r="C54" s="7">
        <v>113.54</v>
      </c>
      <c r="D54" s="7">
        <v>41.64</v>
      </c>
      <c r="E54" s="9">
        <f t="shared" si="1"/>
        <v>5.3220156292104193E-3</v>
      </c>
      <c r="F54" s="9">
        <f t="shared" si="2"/>
        <v>-5.3438458169076108E-3</v>
      </c>
      <c r="G54" s="9">
        <f t="shared" si="3"/>
        <v>-9.2790863668807955E-3</v>
      </c>
    </row>
    <row r="55" spans="1:7">
      <c r="A55" s="6">
        <v>41338</v>
      </c>
      <c r="B55" s="7">
        <v>150.57</v>
      </c>
      <c r="C55" s="7">
        <v>113.22</v>
      </c>
      <c r="D55" s="7">
        <v>42.14</v>
      </c>
      <c r="E55" s="9">
        <f t="shared" si="1"/>
        <v>8.9794277290089486E-3</v>
      </c>
      <c r="F55" s="9">
        <f t="shared" si="2"/>
        <v>-2.8183899947156199E-3</v>
      </c>
      <c r="G55" s="9">
        <f t="shared" si="3"/>
        <v>1.2007684918347694E-2</v>
      </c>
    </row>
    <row r="56" spans="1:7">
      <c r="A56" s="6">
        <v>41339</v>
      </c>
      <c r="B56" s="7">
        <v>150.78</v>
      </c>
      <c r="C56" s="7">
        <v>112.19</v>
      </c>
      <c r="D56" s="7">
        <v>42.34</v>
      </c>
      <c r="E56" s="9">
        <f t="shared" si="1"/>
        <v>1.3947001394700731E-3</v>
      </c>
      <c r="F56" s="9">
        <f t="shared" si="2"/>
        <v>-9.0973326267443921E-3</v>
      </c>
      <c r="G56" s="9">
        <f t="shared" si="3"/>
        <v>4.7460844803037805E-3</v>
      </c>
    </row>
    <row r="57" spans="1:7">
      <c r="A57" s="6">
        <v>41340</v>
      </c>
      <c r="B57" s="7">
        <v>151.05000000000001</v>
      </c>
      <c r="C57" s="7">
        <v>111.33</v>
      </c>
      <c r="D57" s="7">
        <v>42.46</v>
      </c>
      <c r="E57" s="9">
        <f t="shared" si="1"/>
        <v>1.7906884202150142E-3</v>
      </c>
      <c r="F57" s="9">
        <f t="shared" si="2"/>
        <v>-7.6655673411177849E-3</v>
      </c>
      <c r="G57" s="9">
        <f t="shared" si="3"/>
        <v>2.8341993386866715E-3</v>
      </c>
    </row>
    <row r="58" spans="1:7">
      <c r="A58" s="6">
        <v>41341</v>
      </c>
      <c r="B58" s="7">
        <v>151.69</v>
      </c>
      <c r="C58" s="7">
        <v>110.16</v>
      </c>
      <c r="D58" s="7">
        <v>42.83</v>
      </c>
      <c r="E58" s="9">
        <f t="shared" si="1"/>
        <v>4.2370076133728674E-3</v>
      </c>
      <c r="F58" s="9">
        <f t="shared" si="2"/>
        <v>-1.0509296685529468E-2</v>
      </c>
      <c r="G58" s="9">
        <f t="shared" si="3"/>
        <v>8.7140838436174928E-3</v>
      </c>
    </row>
    <row r="59" spans="1:7">
      <c r="A59" s="6">
        <v>41344</v>
      </c>
      <c r="B59" s="7">
        <v>152.27000000000001</v>
      </c>
      <c r="C59" s="7">
        <v>110.27</v>
      </c>
      <c r="D59" s="7">
        <v>42.6</v>
      </c>
      <c r="E59" s="9">
        <f t="shared" si="1"/>
        <v>3.8235875799328412E-3</v>
      </c>
      <c r="F59" s="9">
        <f t="shared" si="2"/>
        <v>9.9854756717498994E-4</v>
      </c>
      <c r="G59" s="9">
        <f t="shared" si="3"/>
        <v>-5.3700677095492866E-3</v>
      </c>
    </row>
    <row r="60" spans="1:7">
      <c r="A60" s="6">
        <v>41345</v>
      </c>
      <c r="B60" s="7">
        <v>151.93</v>
      </c>
      <c r="C60" s="7">
        <v>111.07</v>
      </c>
      <c r="D60" s="7">
        <v>42.11</v>
      </c>
      <c r="E60" s="9">
        <f t="shared" si="1"/>
        <v>-2.2328758127011517E-3</v>
      </c>
      <c r="F60" s="9">
        <f t="shared" si="2"/>
        <v>7.2549197424502943E-3</v>
      </c>
      <c r="G60" s="9">
        <f t="shared" si="3"/>
        <v>-1.1502347417840397E-2</v>
      </c>
    </row>
    <row r="61" spans="1:7">
      <c r="A61" s="6">
        <v>41346</v>
      </c>
      <c r="B61" s="7">
        <v>152.13999999999999</v>
      </c>
      <c r="C61" s="7">
        <v>110.95</v>
      </c>
      <c r="D61" s="7">
        <v>41.71</v>
      </c>
      <c r="E61" s="9">
        <f t="shared" si="1"/>
        <v>1.3822154939773235E-3</v>
      </c>
      <c r="F61" s="9">
        <f t="shared" si="2"/>
        <v>-1.0803997479066352E-3</v>
      </c>
      <c r="G61" s="9">
        <f t="shared" si="3"/>
        <v>-9.4989313702208422E-3</v>
      </c>
    </row>
    <row r="62" spans="1:7">
      <c r="A62" s="6">
        <v>41347</v>
      </c>
      <c r="B62" s="7">
        <v>152.94999999999999</v>
      </c>
      <c r="C62" s="7">
        <v>110.62</v>
      </c>
      <c r="D62" s="7">
        <v>41.89</v>
      </c>
      <c r="E62" s="9">
        <f t="shared" si="1"/>
        <v>5.3240436440120664E-3</v>
      </c>
      <c r="F62" s="9">
        <f t="shared" si="2"/>
        <v>-2.9743127534925806E-3</v>
      </c>
      <c r="G62" s="9">
        <f t="shared" si="3"/>
        <v>4.315511867657662E-3</v>
      </c>
    </row>
    <row r="63" spans="1:7">
      <c r="A63" s="6">
        <v>41348</v>
      </c>
      <c r="B63" s="7">
        <v>152.75</v>
      </c>
      <c r="C63" s="7">
        <v>111.13</v>
      </c>
      <c r="D63" s="7">
        <v>41.51</v>
      </c>
      <c r="E63" s="9">
        <f t="shared" si="1"/>
        <v>-1.3076168682575329E-3</v>
      </c>
      <c r="F63" s="9">
        <f t="shared" si="2"/>
        <v>4.6103778701860332E-3</v>
      </c>
      <c r="G63" s="9">
        <f t="shared" si="3"/>
        <v>-9.0713774170446682E-3</v>
      </c>
    </row>
    <row r="64" spans="1:7">
      <c r="A64" s="6">
        <v>41351</v>
      </c>
      <c r="B64" s="7">
        <v>151.91</v>
      </c>
      <c r="C64" s="7">
        <v>111.98</v>
      </c>
      <c r="D64" s="7">
        <v>41.04</v>
      </c>
      <c r="E64" s="9">
        <f t="shared" si="1"/>
        <v>-5.4991816693944484E-3</v>
      </c>
      <c r="F64" s="9">
        <f t="shared" si="2"/>
        <v>7.648699721047425E-3</v>
      </c>
      <c r="G64" s="9">
        <f t="shared" si="3"/>
        <v>-1.1322572874006287E-2</v>
      </c>
    </row>
    <row r="65" spans="1:7">
      <c r="A65" s="6">
        <v>41352</v>
      </c>
      <c r="B65" s="7">
        <v>151.55000000000001</v>
      </c>
      <c r="C65" s="7">
        <v>112.74</v>
      </c>
      <c r="D65" s="7">
        <v>40.75</v>
      </c>
      <c r="E65" s="9">
        <f t="shared" si="1"/>
        <v>-2.3698242380355561E-3</v>
      </c>
      <c r="F65" s="9">
        <f t="shared" si="2"/>
        <v>6.7869262368278616E-3</v>
      </c>
      <c r="G65" s="9">
        <f t="shared" si="3"/>
        <v>-7.0662768031188872E-3</v>
      </c>
    </row>
    <row r="66" spans="1:7">
      <c r="A66" s="6">
        <v>41353</v>
      </c>
      <c r="B66" s="7">
        <v>152.61000000000001</v>
      </c>
      <c r="C66" s="7">
        <v>111.48</v>
      </c>
      <c r="D66" s="7">
        <v>40.98</v>
      </c>
      <c r="E66" s="9">
        <f t="shared" si="1"/>
        <v>6.9943912900032323E-3</v>
      </c>
      <c r="F66" s="9">
        <f t="shared" si="2"/>
        <v>-1.1176157530601305E-2</v>
      </c>
      <c r="G66" s="9">
        <f t="shared" si="3"/>
        <v>5.6441717791411161E-3</v>
      </c>
    </row>
    <row r="67" spans="1:7">
      <c r="A67" s="6">
        <v>41354</v>
      </c>
      <c r="B67" s="7">
        <v>151.31</v>
      </c>
      <c r="C67" s="7">
        <v>112.55</v>
      </c>
      <c r="D67" s="7">
        <v>40.57</v>
      </c>
      <c r="E67" s="9">
        <f t="shared" si="1"/>
        <v>-8.5184457112903456E-3</v>
      </c>
      <c r="F67" s="9">
        <f t="shared" si="2"/>
        <v>9.5981341944741949E-3</v>
      </c>
      <c r="G67" s="9">
        <f t="shared" si="3"/>
        <v>-1.0004880429477669E-2</v>
      </c>
    </row>
    <row r="68" spans="1:7">
      <c r="A68" s="6">
        <v>41355</v>
      </c>
      <c r="B68" s="7">
        <v>152.53</v>
      </c>
      <c r="C68" s="7">
        <v>112.64</v>
      </c>
      <c r="D68" s="7">
        <v>40.72</v>
      </c>
      <c r="E68" s="9">
        <f t="shared" si="1"/>
        <v>8.0629171898751739E-3</v>
      </c>
      <c r="F68" s="9">
        <f t="shared" si="2"/>
        <v>7.9964460239900781E-4</v>
      </c>
      <c r="G68" s="9">
        <f t="shared" si="3"/>
        <v>3.6973132856790158E-3</v>
      </c>
    </row>
    <row r="69" spans="1:7">
      <c r="A69" s="6">
        <v>41358</v>
      </c>
      <c r="B69" s="7">
        <v>151.88999999999999</v>
      </c>
      <c r="C69" s="7">
        <v>112.54</v>
      </c>
      <c r="D69" s="7">
        <v>40.68</v>
      </c>
      <c r="E69" s="9">
        <f t="shared" si="1"/>
        <v>-4.1958958893333342E-3</v>
      </c>
      <c r="F69" s="9">
        <f t="shared" si="2"/>
        <v>-8.8778409090906063E-4</v>
      </c>
      <c r="G69" s="9">
        <f t="shared" si="3"/>
        <v>-9.8231827111983083E-4</v>
      </c>
    </row>
    <row r="70" spans="1:7">
      <c r="A70" s="6">
        <v>41359</v>
      </c>
      <c r="B70" s="7">
        <v>153.1</v>
      </c>
      <c r="C70" s="7">
        <v>112.67</v>
      </c>
      <c r="D70" s="7">
        <v>41.27</v>
      </c>
      <c r="E70" s="9">
        <f t="shared" si="1"/>
        <v>7.9662913950886427E-3</v>
      </c>
      <c r="F70" s="9">
        <f t="shared" si="2"/>
        <v>1.1551448373912088E-3</v>
      </c>
      <c r="G70" s="9">
        <f t="shared" si="3"/>
        <v>1.4503441494591929E-2</v>
      </c>
    </row>
    <row r="71" spans="1:7">
      <c r="A71" s="6">
        <v>41360</v>
      </c>
      <c r="B71" s="7">
        <v>153.1</v>
      </c>
      <c r="C71" s="7">
        <v>113.63</v>
      </c>
      <c r="D71" s="7">
        <v>41.42</v>
      </c>
      <c r="E71" s="9">
        <f t="shared" si="1"/>
        <v>0</v>
      </c>
      <c r="F71" s="9">
        <f t="shared" si="2"/>
        <v>8.5204579746160913E-3</v>
      </c>
      <c r="G71" s="9">
        <f t="shared" si="3"/>
        <v>3.6346014053791897E-3</v>
      </c>
    </row>
    <row r="72" spans="1:7">
      <c r="A72" s="6">
        <v>41361</v>
      </c>
      <c r="B72" s="7">
        <v>153.57</v>
      </c>
      <c r="C72" s="7">
        <v>113.05</v>
      </c>
      <c r="D72" s="7">
        <v>41.51</v>
      </c>
      <c r="E72" s="9">
        <f t="shared" si="1"/>
        <v>3.0698889614630964E-3</v>
      </c>
      <c r="F72" s="9">
        <f t="shared" si="2"/>
        <v>-5.1042858400069946E-3</v>
      </c>
      <c r="G72" s="9">
        <f t="shared" si="3"/>
        <v>2.1728633510380568E-3</v>
      </c>
    </row>
    <row r="73" spans="1:7">
      <c r="A73" s="6">
        <v>41365</v>
      </c>
      <c r="B73" s="7">
        <v>152.97</v>
      </c>
      <c r="C73" s="7">
        <v>113.91</v>
      </c>
      <c r="D73" s="7">
        <v>41.06</v>
      </c>
      <c r="E73" s="9">
        <f t="shared" si="1"/>
        <v>-3.9070130884938381E-3</v>
      </c>
      <c r="F73" s="9">
        <f t="shared" si="2"/>
        <v>7.6072534276867554E-3</v>
      </c>
      <c r="G73" s="9">
        <f t="shared" si="3"/>
        <v>-1.0840761262346343E-2</v>
      </c>
    </row>
    <row r="74" spans="1:7">
      <c r="A74" s="6">
        <v>41366</v>
      </c>
      <c r="B74" s="7">
        <v>153.72</v>
      </c>
      <c r="C74" s="7">
        <v>113.44</v>
      </c>
      <c r="D74" s="7">
        <v>41.08</v>
      </c>
      <c r="E74" s="9">
        <f t="shared" si="1"/>
        <v>4.9029221415963775E-3</v>
      </c>
      <c r="F74" s="9">
        <f t="shared" si="2"/>
        <v>-4.1260644368360522E-3</v>
      </c>
      <c r="G74" s="9">
        <f t="shared" si="3"/>
        <v>4.8709206039920794E-4</v>
      </c>
    </row>
    <row r="75" spans="1:7">
      <c r="A75" s="6">
        <v>41367</v>
      </c>
      <c r="B75" s="7">
        <v>152.16</v>
      </c>
      <c r="C75" s="7">
        <v>114.46</v>
      </c>
      <c r="D75" s="7">
        <v>40.6</v>
      </c>
      <c r="E75" s="9">
        <f t="shared" si="1"/>
        <v>-1.0148321623731471E-2</v>
      </c>
      <c r="F75" s="9">
        <f t="shared" si="2"/>
        <v>8.9915373765867557E-3</v>
      </c>
      <c r="G75" s="9">
        <f t="shared" si="3"/>
        <v>-1.1684518013631906E-2</v>
      </c>
    </row>
    <row r="76" spans="1:7">
      <c r="A76" s="6">
        <v>41368</v>
      </c>
      <c r="B76" s="7">
        <v>152.78</v>
      </c>
      <c r="C76" s="7">
        <v>115.83</v>
      </c>
      <c r="D76" s="7">
        <v>40.479999999999997</v>
      </c>
      <c r="E76" s="9">
        <f t="shared" si="1"/>
        <v>4.0746582544690657E-3</v>
      </c>
      <c r="F76" s="9">
        <f t="shared" si="2"/>
        <v>1.196924689847978E-2</v>
      </c>
      <c r="G76" s="9">
        <f t="shared" si="3"/>
        <v>-2.9556650246306271E-3</v>
      </c>
    </row>
    <row r="77" spans="1:7">
      <c r="A77" s="6">
        <v>41369</v>
      </c>
      <c r="B77" s="7">
        <v>152.09</v>
      </c>
      <c r="C77" s="7">
        <v>118.17</v>
      </c>
      <c r="D77" s="7">
        <v>40.380000000000003</v>
      </c>
      <c r="E77" s="9">
        <f t="shared" si="1"/>
        <v>-4.5162979447571638E-3</v>
      </c>
      <c r="F77" s="9">
        <f t="shared" si="2"/>
        <v>2.0202020202020332E-2</v>
      </c>
      <c r="G77" s="9">
        <f t="shared" si="3"/>
        <v>-2.4703557312251156E-3</v>
      </c>
    </row>
    <row r="78" spans="1:7">
      <c r="A78" s="6">
        <v>41372</v>
      </c>
      <c r="B78" s="7">
        <v>153.12</v>
      </c>
      <c r="C78" s="7">
        <v>117.26</v>
      </c>
      <c r="D78" s="7">
        <v>40.450000000000003</v>
      </c>
      <c r="E78" s="9">
        <f t="shared" ref="E78:E141" si="4">B78/B77-1</f>
        <v>6.772305871523443E-3</v>
      </c>
      <c r="F78" s="9">
        <f t="shared" ref="F78:F141" si="5">C78/C77-1</f>
        <v>-7.7007700770076459E-3</v>
      </c>
      <c r="G78" s="9">
        <f t="shared" ref="G78:G141" si="6">D78/D77-1</f>
        <v>1.7335314512134659E-3</v>
      </c>
    </row>
    <row r="79" spans="1:7">
      <c r="A79" s="6">
        <v>41373</v>
      </c>
      <c r="B79" s="7">
        <v>153.65</v>
      </c>
      <c r="C79" s="7">
        <v>116.97</v>
      </c>
      <c r="D79" s="7">
        <v>40.85</v>
      </c>
      <c r="E79" s="9">
        <f t="shared" si="4"/>
        <v>3.4613375130616575E-3</v>
      </c>
      <c r="F79" s="9">
        <f t="shared" si="5"/>
        <v>-2.4731366194781224E-3</v>
      </c>
      <c r="G79" s="9">
        <f t="shared" si="6"/>
        <v>9.8887515451173691E-3</v>
      </c>
    </row>
    <row r="80" spans="1:7">
      <c r="A80" s="6">
        <v>41374</v>
      </c>
      <c r="B80" s="7">
        <v>155.53</v>
      </c>
      <c r="C80" s="7">
        <v>115.37</v>
      </c>
      <c r="D80" s="7">
        <v>41.24</v>
      </c>
      <c r="E80" s="9">
        <f t="shared" si="4"/>
        <v>1.2235600390497758E-2</v>
      </c>
      <c r="F80" s="9">
        <f t="shared" si="5"/>
        <v>-1.3678721039582786E-2</v>
      </c>
      <c r="G80" s="9">
        <f t="shared" si="6"/>
        <v>9.5471236230111334E-3</v>
      </c>
    </row>
    <row r="81" spans="1:7">
      <c r="A81" s="6">
        <v>41375</v>
      </c>
      <c r="B81" s="7">
        <v>156.04</v>
      </c>
      <c r="C81" s="7">
        <v>115.59</v>
      </c>
      <c r="D81" s="7">
        <v>41.28</v>
      </c>
      <c r="E81" s="9">
        <f t="shared" si="4"/>
        <v>3.2791101395228672E-3</v>
      </c>
      <c r="F81" s="9">
        <f t="shared" si="5"/>
        <v>1.906908208373137E-3</v>
      </c>
      <c r="G81" s="9">
        <f t="shared" si="6"/>
        <v>9.6993210475271319E-4</v>
      </c>
    </row>
    <row r="82" spans="1:7">
      <c r="A82" s="6">
        <v>41376</v>
      </c>
      <c r="B82" s="7">
        <v>155.66</v>
      </c>
      <c r="C82" s="7">
        <v>117.31</v>
      </c>
      <c r="D82" s="7">
        <v>40.65</v>
      </c>
      <c r="E82" s="9">
        <f t="shared" si="4"/>
        <v>-2.4352730069212569E-3</v>
      </c>
      <c r="F82" s="9">
        <f t="shared" si="5"/>
        <v>1.4880179946362038E-2</v>
      </c>
      <c r="G82" s="9">
        <f t="shared" si="6"/>
        <v>-1.5261627906976827E-2</v>
      </c>
    </row>
    <row r="83" spans="1:7">
      <c r="A83" s="6">
        <v>41379</v>
      </c>
      <c r="B83" s="7">
        <v>152.05000000000001</v>
      </c>
      <c r="C83" s="7">
        <v>118.33</v>
      </c>
      <c r="D83" s="7">
        <v>39.659999999999997</v>
      </c>
      <c r="E83" s="9">
        <f t="shared" si="4"/>
        <v>-2.3191571373506248E-2</v>
      </c>
      <c r="F83" s="9">
        <f t="shared" si="5"/>
        <v>8.6949109197851371E-3</v>
      </c>
      <c r="G83" s="9">
        <f t="shared" si="6"/>
        <v>-2.4354243542435428E-2</v>
      </c>
    </row>
    <row r="84" spans="1:7">
      <c r="A84" s="6">
        <v>41380</v>
      </c>
      <c r="B84" s="7">
        <v>154.30000000000001</v>
      </c>
      <c r="C84" s="7">
        <v>117.36</v>
      </c>
      <c r="D84" s="7">
        <v>40.47</v>
      </c>
      <c r="E84" s="9">
        <f t="shared" si="4"/>
        <v>1.4797763893455995E-2</v>
      </c>
      <c r="F84" s="9">
        <f t="shared" si="5"/>
        <v>-8.1974140116622962E-3</v>
      </c>
      <c r="G84" s="9">
        <f t="shared" si="6"/>
        <v>2.0423600605143699E-2</v>
      </c>
    </row>
    <row r="85" spans="1:7">
      <c r="A85" s="6">
        <v>41381</v>
      </c>
      <c r="B85" s="7">
        <v>152.04</v>
      </c>
      <c r="C85" s="7">
        <v>118.14</v>
      </c>
      <c r="D85" s="7">
        <v>39.83</v>
      </c>
      <c r="E85" s="9">
        <f t="shared" si="4"/>
        <v>-1.4646791963707217E-2</v>
      </c>
      <c r="F85" s="9">
        <f t="shared" si="5"/>
        <v>6.64621676891608E-3</v>
      </c>
      <c r="G85" s="9">
        <f t="shared" si="6"/>
        <v>-1.5814183345688182E-2</v>
      </c>
    </row>
    <row r="86" spans="1:7">
      <c r="A86" s="6">
        <v>41382</v>
      </c>
      <c r="B86" s="7">
        <v>151.09</v>
      </c>
      <c r="C86" s="7">
        <v>118.43</v>
      </c>
      <c r="D86" s="7">
        <v>39.83</v>
      </c>
      <c r="E86" s="9">
        <f t="shared" si="4"/>
        <v>-6.2483556958694564E-3</v>
      </c>
      <c r="F86" s="9">
        <f t="shared" si="5"/>
        <v>2.4547147452176343E-3</v>
      </c>
      <c r="G86" s="9">
        <f t="shared" si="6"/>
        <v>0</v>
      </c>
    </row>
    <row r="87" spans="1:7">
      <c r="A87" s="6">
        <v>41383</v>
      </c>
      <c r="B87" s="7">
        <v>152.41</v>
      </c>
      <c r="C87" s="7">
        <v>118.18</v>
      </c>
      <c r="D87" s="7">
        <v>40.409999999999997</v>
      </c>
      <c r="E87" s="9">
        <f t="shared" si="4"/>
        <v>8.736514660136363E-3</v>
      </c>
      <c r="F87" s="9">
        <f t="shared" si="5"/>
        <v>-2.110951616988932E-3</v>
      </c>
      <c r="G87" s="9">
        <f t="shared" si="6"/>
        <v>1.4561888024102299E-2</v>
      </c>
    </row>
    <row r="88" spans="1:7">
      <c r="A88" s="6">
        <v>41386</v>
      </c>
      <c r="B88" s="7">
        <v>153.08000000000001</v>
      </c>
      <c r="C88" s="7">
        <v>118.26</v>
      </c>
      <c r="D88" s="7">
        <v>40.61</v>
      </c>
      <c r="E88" s="9">
        <f t="shared" si="4"/>
        <v>4.3960370054458853E-3</v>
      </c>
      <c r="F88" s="9">
        <f t="shared" si="5"/>
        <v>6.7693349128439273E-4</v>
      </c>
      <c r="G88" s="9">
        <f t="shared" si="6"/>
        <v>4.9492699826776398E-3</v>
      </c>
    </row>
    <row r="89" spans="1:7">
      <c r="A89" s="6">
        <v>41387</v>
      </c>
      <c r="B89" s="7">
        <v>154.66</v>
      </c>
      <c r="C89" s="7">
        <v>117.85</v>
      </c>
      <c r="D89" s="7">
        <v>40.799999999999997</v>
      </c>
      <c r="E89" s="9">
        <f t="shared" si="4"/>
        <v>1.0321400574862638E-2</v>
      </c>
      <c r="F89" s="9">
        <f t="shared" si="5"/>
        <v>-3.4669372568917334E-3</v>
      </c>
      <c r="G89" s="9">
        <f t="shared" si="6"/>
        <v>4.6786505786751142E-3</v>
      </c>
    </row>
    <row r="90" spans="1:7">
      <c r="A90" s="6">
        <v>41388</v>
      </c>
      <c r="B90" s="7">
        <v>154.76</v>
      </c>
      <c r="C90" s="7">
        <v>118.15</v>
      </c>
      <c r="D90" s="7">
        <v>41.04</v>
      </c>
      <c r="E90" s="9">
        <f t="shared" si="4"/>
        <v>6.4657959394787134E-4</v>
      </c>
      <c r="F90" s="9">
        <f t="shared" si="5"/>
        <v>2.545608824777279E-3</v>
      </c>
      <c r="G90" s="9">
        <f t="shared" si="6"/>
        <v>5.8823529411764497E-3</v>
      </c>
    </row>
    <row r="91" spans="1:7">
      <c r="A91" s="6">
        <v>41389</v>
      </c>
      <c r="B91" s="7">
        <v>155.38999999999999</v>
      </c>
      <c r="C91" s="7">
        <v>117.64</v>
      </c>
      <c r="D91" s="7">
        <v>41.41</v>
      </c>
      <c r="E91" s="9">
        <f t="shared" si="4"/>
        <v>4.0708193331608911E-3</v>
      </c>
      <c r="F91" s="9">
        <f t="shared" si="5"/>
        <v>-4.3165467625899678E-3</v>
      </c>
      <c r="G91" s="9">
        <f t="shared" si="6"/>
        <v>9.0155945419103656E-3</v>
      </c>
    </row>
    <row r="92" spans="1:7">
      <c r="A92" s="6">
        <v>41390</v>
      </c>
      <c r="B92" s="7">
        <v>155.11000000000001</v>
      </c>
      <c r="C92" s="7">
        <v>118.72</v>
      </c>
      <c r="D92" s="7">
        <v>40.99</v>
      </c>
      <c r="E92" s="9">
        <f t="shared" si="4"/>
        <v>-1.801917755325122E-3</v>
      </c>
      <c r="F92" s="9">
        <f t="shared" si="5"/>
        <v>9.1805508330500274E-3</v>
      </c>
      <c r="G92" s="9">
        <f t="shared" si="6"/>
        <v>-1.0142477662400284E-2</v>
      </c>
    </row>
    <row r="93" spans="1:7">
      <c r="A93" s="6">
        <v>41393</v>
      </c>
      <c r="B93" s="7">
        <v>156.15</v>
      </c>
      <c r="C93" s="7">
        <v>118.28</v>
      </c>
      <c r="D93" s="7">
        <v>41.42</v>
      </c>
      <c r="E93" s="9">
        <f t="shared" si="4"/>
        <v>6.7049190896781852E-3</v>
      </c>
      <c r="F93" s="9">
        <f t="shared" si="5"/>
        <v>-3.7061994609164373E-3</v>
      </c>
      <c r="G93" s="9">
        <f t="shared" si="6"/>
        <v>1.0490363503293576E-2</v>
      </c>
    </row>
    <row r="94" spans="1:7">
      <c r="A94" s="6">
        <v>41394</v>
      </c>
      <c r="B94" s="7">
        <v>156.52000000000001</v>
      </c>
      <c r="C94" s="7">
        <v>118.35</v>
      </c>
      <c r="D94" s="7">
        <v>42.01</v>
      </c>
      <c r="E94" s="9">
        <f t="shared" si="4"/>
        <v>2.3695164905539468E-3</v>
      </c>
      <c r="F94" s="9">
        <f t="shared" si="5"/>
        <v>5.9181602975977299E-4</v>
      </c>
      <c r="G94" s="9">
        <f t="shared" si="6"/>
        <v>1.4244326412361064E-2</v>
      </c>
    </row>
    <row r="95" spans="1:7">
      <c r="A95" s="6">
        <v>41395</v>
      </c>
      <c r="B95" s="7">
        <v>155.15</v>
      </c>
      <c r="C95" s="7">
        <v>119.57</v>
      </c>
      <c r="D95" s="7">
        <v>41.56</v>
      </c>
      <c r="E95" s="9">
        <f t="shared" si="4"/>
        <v>-8.7528750319447735E-3</v>
      </c>
      <c r="F95" s="9">
        <f t="shared" si="5"/>
        <v>1.030840726658222E-2</v>
      </c>
      <c r="G95" s="9">
        <f t="shared" si="6"/>
        <v>-1.0711735301118686E-2</v>
      </c>
    </row>
    <row r="96" spans="1:7">
      <c r="A96" s="6">
        <v>41396</v>
      </c>
      <c r="B96" s="7">
        <v>156.59</v>
      </c>
      <c r="C96" s="7">
        <v>119.41</v>
      </c>
      <c r="D96" s="7">
        <v>41.89</v>
      </c>
      <c r="E96" s="9">
        <f t="shared" si="4"/>
        <v>9.2813406380920505E-3</v>
      </c>
      <c r="F96" s="9">
        <f t="shared" si="5"/>
        <v>-1.3381282930500227E-3</v>
      </c>
      <c r="G96" s="9">
        <f t="shared" si="6"/>
        <v>7.9403272377285283E-3</v>
      </c>
    </row>
    <row r="97" spans="1:7">
      <c r="A97" s="6">
        <v>41397</v>
      </c>
      <c r="B97" s="7">
        <v>158.18</v>
      </c>
      <c r="C97" s="7">
        <v>116.6</v>
      </c>
      <c r="D97" s="7">
        <v>42.24</v>
      </c>
      <c r="E97" s="9">
        <f t="shared" si="4"/>
        <v>1.0153905102497029E-2</v>
      </c>
      <c r="F97" s="9">
        <f t="shared" si="5"/>
        <v>-2.353236747341092E-2</v>
      </c>
      <c r="G97" s="9">
        <f t="shared" si="6"/>
        <v>8.3552160420148347E-3</v>
      </c>
    </row>
    <row r="98" spans="1:7">
      <c r="A98" s="6">
        <v>41400</v>
      </c>
      <c r="B98" s="7">
        <v>158.58000000000001</v>
      </c>
      <c r="C98" s="7">
        <v>116.31</v>
      </c>
      <c r="D98" s="7">
        <v>42.3</v>
      </c>
      <c r="E98" s="9">
        <f t="shared" si="4"/>
        <v>2.5287646984448742E-3</v>
      </c>
      <c r="F98" s="9">
        <f t="shared" si="5"/>
        <v>-2.487135506003324E-3</v>
      </c>
      <c r="G98" s="9">
        <f t="shared" si="6"/>
        <v>1.4204545454543638E-3</v>
      </c>
    </row>
    <row r="99" spans="1:7">
      <c r="A99" s="6">
        <v>41401</v>
      </c>
      <c r="B99" s="7">
        <v>159.38999999999999</v>
      </c>
      <c r="C99" s="7">
        <v>115.85</v>
      </c>
      <c r="D99" s="7">
        <v>42.6</v>
      </c>
      <c r="E99" s="9">
        <f t="shared" si="4"/>
        <v>5.107832009080493E-3</v>
      </c>
      <c r="F99" s="9">
        <f t="shared" si="5"/>
        <v>-3.9549479838363322E-3</v>
      </c>
      <c r="G99" s="9">
        <f t="shared" si="6"/>
        <v>7.0921985815604049E-3</v>
      </c>
    </row>
    <row r="100" spans="1:7">
      <c r="A100" s="6">
        <v>41402</v>
      </c>
      <c r="B100" s="7">
        <v>160.11000000000001</v>
      </c>
      <c r="C100" s="7">
        <v>116.04</v>
      </c>
      <c r="D100" s="7">
        <v>42.93</v>
      </c>
      <c r="E100" s="9">
        <f t="shared" si="4"/>
        <v>4.5172219085263254E-3</v>
      </c>
      <c r="F100" s="9">
        <f t="shared" si="5"/>
        <v>1.6400517911092649E-3</v>
      </c>
      <c r="G100" s="9">
        <f t="shared" si="6"/>
        <v>7.7464788732393153E-3</v>
      </c>
    </row>
    <row r="101" spans="1:7">
      <c r="A101" s="6">
        <v>41403</v>
      </c>
      <c r="B101" s="7">
        <v>159.66</v>
      </c>
      <c r="C101" s="7">
        <v>115.74</v>
      </c>
      <c r="D101" s="7">
        <v>42.62</v>
      </c>
      <c r="E101" s="9">
        <f t="shared" si="4"/>
        <v>-2.8105677346824676E-3</v>
      </c>
      <c r="F101" s="9">
        <f t="shared" si="5"/>
        <v>-2.585315408479949E-3</v>
      </c>
      <c r="G101" s="9">
        <f t="shared" si="6"/>
        <v>-7.2210575355230455E-3</v>
      </c>
    </row>
    <row r="102" spans="1:7">
      <c r="A102" s="6">
        <v>41404</v>
      </c>
      <c r="B102" s="7">
        <v>160.18</v>
      </c>
      <c r="C102" s="7">
        <v>114.49</v>
      </c>
      <c r="D102" s="7">
        <v>42.29</v>
      </c>
      <c r="E102" s="9">
        <f t="shared" si="4"/>
        <v>3.256920957033671E-3</v>
      </c>
      <c r="F102" s="9">
        <f t="shared" si="5"/>
        <v>-1.0800069120442402E-2</v>
      </c>
      <c r="G102" s="9">
        <f t="shared" si="6"/>
        <v>-7.742843735335514E-3</v>
      </c>
    </row>
    <row r="103" spans="1:7">
      <c r="A103" s="6">
        <v>41407</v>
      </c>
      <c r="B103" s="7">
        <v>160.31</v>
      </c>
      <c r="C103" s="7">
        <v>113.62</v>
      </c>
      <c r="D103" s="7">
        <v>41.9</v>
      </c>
      <c r="E103" s="9">
        <f t="shared" si="4"/>
        <v>8.1158696466476776E-4</v>
      </c>
      <c r="F103" s="9">
        <f t="shared" si="5"/>
        <v>-7.5989169359768072E-3</v>
      </c>
      <c r="G103" s="9">
        <f t="shared" si="6"/>
        <v>-9.2220383069283596E-3</v>
      </c>
    </row>
    <row r="104" spans="1:7">
      <c r="A104" s="6">
        <v>41408</v>
      </c>
      <c r="B104" s="7">
        <v>161.97</v>
      </c>
      <c r="C104" s="7">
        <v>112.38</v>
      </c>
      <c r="D104" s="7">
        <v>42.09</v>
      </c>
      <c r="E104" s="9">
        <f t="shared" si="4"/>
        <v>1.0354937308963752E-2</v>
      </c>
      <c r="F104" s="9">
        <f t="shared" si="5"/>
        <v>-1.0913571554303947E-2</v>
      </c>
      <c r="G104" s="9">
        <f t="shared" si="6"/>
        <v>4.5346062052507019E-3</v>
      </c>
    </row>
    <row r="105" spans="1:7">
      <c r="A105" s="6">
        <v>41409</v>
      </c>
      <c r="B105" s="7">
        <v>162.84</v>
      </c>
      <c r="C105" s="7">
        <v>113.14</v>
      </c>
      <c r="D105" s="7">
        <v>42.1</v>
      </c>
      <c r="E105" s="9">
        <f t="shared" si="4"/>
        <v>5.3713650676050495E-3</v>
      </c>
      <c r="F105" s="9">
        <f t="shared" si="5"/>
        <v>6.7627691760099307E-3</v>
      </c>
      <c r="G105" s="9">
        <f t="shared" si="6"/>
        <v>2.3758612497015719E-4</v>
      </c>
    </row>
    <row r="106" spans="1:7">
      <c r="A106" s="6">
        <v>41410</v>
      </c>
      <c r="B106" s="7">
        <v>162.07</v>
      </c>
      <c r="C106" s="7">
        <v>114.31</v>
      </c>
      <c r="D106" s="7">
        <v>41.96</v>
      </c>
      <c r="E106" s="9">
        <f t="shared" si="4"/>
        <v>-4.7285679194302155E-3</v>
      </c>
      <c r="F106" s="9">
        <f t="shared" si="5"/>
        <v>1.0341170231571439E-2</v>
      </c>
      <c r="G106" s="9">
        <f t="shared" si="6"/>
        <v>-3.3254156769596532E-3</v>
      </c>
    </row>
    <row r="107" spans="1:7">
      <c r="A107" s="6">
        <v>41411</v>
      </c>
      <c r="B107" s="7">
        <v>163.63999999999999</v>
      </c>
      <c r="C107" s="7">
        <v>112.87</v>
      </c>
      <c r="D107" s="7">
        <v>42.14</v>
      </c>
      <c r="E107" s="9">
        <f t="shared" si="4"/>
        <v>9.6871722095390744E-3</v>
      </c>
      <c r="F107" s="9">
        <f t="shared" si="5"/>
        <v>-1.2597323068847865E-2</v>
      </c>
      <c r="G107" s="9">
        <f t="shared" si="6"/>
        <v>4.2897998093422984E-3</v>
      </c>
    </row>
    <row r="108" spans="1:7">
      <c r="A108" s="6">
        <v>41414</v>
      </c>
      <c r="B108" s="7">
        <v>163.63</v>
      </c>
      <c r="C108" s="7">
        <v>112.73</v>
      </c>
      <c r="D108" s="7">
        <v>42.25</v>
      </c>
      <c r="E108" s="9">
        <f t="shared" si="4"/>
        <v>-6.110975311657274E-5</v>
      </c>
      <c r="F108" s="9">
        <f t="shared" si="5"/>
        <v>-1.2403650217064355E-3</v>
      </c>
      <c r="G108" s="9">
        <f t="shared" si="6"/>
        <v>2.6103464641671348E-3</v>
      </c>
    </row>
    <row r="109" spans="1:7">
      <c r="A109" s="6">
        <v>41415</v>
      </c>
      <c r="B109" s="7">
        <v>163.87</v>
      </c>
      <c r="C109" s="7">
        <v>113.62</v>
      </c>
      <c r="D109" s="7">
        <v>42.16</v>
      </c>
      <c r="E109" s="9">
        <f t="shared" si="4"/>
        <v>1.4667237059220462E-3</v>
      </c>
      <c r="F109" s="9">
        <f t="shared" si="5"/>
        <v>7.8949702829769208E-3</v>
      </c>
      <c r="G109" s="9">
        <f t="shared" si="6"/>
        <v>-2.1301775147929414E-3</v>
      </c>
    </row>
    <row r="110" spans="1:7">
      <c r="A110" s="6">
        <v>41416</v>
      </c>
      <c r="B110" s="7">
        <v>162.65</v>
      </c>
      <c r="C110" s="7">
        <v>111.93</v>
      </c>
      <c r="D110" s="7">
        <v>41.69</v>
      </c>
      <c r="E110" s="9">
        <f t="shared" si="4"/>
        <v>-7.4449258558613174E-3</v>
      </c>
      <c r="F110" s="9">
        <f t="shared" si="5"/>
        <v>-1.4874141876430214E-2</v>
      </c>
      <c r="G110" s="9">
        <f t="shared" si="6"/>
        <v>-1.1148007590132791E-2</v>
      </c>
    </row>
    <row r="111" spans="1:7">
      <c r="A111" s="6">
        <v>41417</v>
      </c>
      <c r="B111" s="7">
        <v>162.18</v>
      </c>
      <c r="C111" s="7">
        <v>112.46</v>
      </c>
      <c r="D111" s="7">
        <v>41.38</v>
      </c>
      <c r="E111" s="9">
        <f t="shared" si="4"/>
        <v>-2.8896403320012309E-3</v>
      </c>
      <c r="F111" s="9">
        <f t="shared" si="5"/>
        <v>4.7351022960777644E-3</v>
      </c>
      <c r="G111" s="9">
        <f t="shared" si="6"/>
        <v>-7.4358359318780209E-3</v>
      </c>
    </row>
    <row r="112" spans="1:7">
      <c r="A112" s="6">
        <v>41418</v>
      </c>
      <c r="B112" s="7">
        <v>162.04</v>
      </c>
      <c r="C112" s="7">
        <v>112.61</v>
      </c>
      <c r="D112" s="7">
        <v>41.02</v>
      </c>
      <c r="E112" s="9">
        <f t="shared" si="4"/>
        <v>-8.6323837711199669E-4</v>
      </c>
      <c r="F112" s="9">
        <f t="shared" si="5"/>
        <v>1.3338075760271906E-3</v>
      </c>
      <c r="G112" s="9">
        <f t="shared" si="6"/>
        <v>-8.6998550024166565E-3</v>
      </c>
    </row>
    <row r="113" spans="1:7">
      <c r="A113" s="6">
        <v>41422</v>
      </c>
      <c r="B113" s="7">
        <v>163.01</v>
      </c>
      <c r="C113" s="7">
        <v>109.76</v>
      </c>
      <c r="D113" s="7">
        <v>41.25</v>
      </c>
      <c r="E113" s="9">
        <f t="shared" si="4"/>
        <v>5.9861762527770868E-3</v>
      </c>
      <c r="F113" s="9">
        <f t="shared" si="5"/>
        <v>-2.5308587159222018E-2</v>
      </c>
      <c r="G113" s="9">
        <f t="shared" si="6"/>
        <v>5.6070209653826808E-3</v>
      </c>
    </row>
    <row r="114" spans="1:7">
      <c r="A114" s="6">
        <v>41423</v>
      </c>
      <c r="B114" s="7">
        <v>161.96</v>
      </c>
      <c r="C114" s="7">
        <v>110.99</v>
      </c>
      <c r="D114" s="7">
        <v>40.72</v>
      </c>
      <c r="E114" s="9">
        <f t="shared" si="4"/>
        <v>-6.4413226182441496E-3</v>
      </c>
      <c r="F114" s="9">
        <f t="shared" si="5"/>
        <v>1.1206268221574334E-2</v>
      </c>
      <c r="G114" s="9">
        <f t="shared" si="6"/>
        <v>-1.2848484848484887E-2</v>
      </c>
    </row>
    <row r="115" spans="1:7">
      <c r="A115" s="6">
        <v>41424</v>
      </c>
      <c r="B115" s="7">
        <v>162.55000000000001</v>
      </c>
      <c r="C115" s="7">
        <v>110.72</v>
      </c>
      <c r="D115" s="7">
        <v>40.72</v>
      </c>
      <c r="E115" s="9">
        <f t="shared" si="4"/>
        <v>3.6428747838972431E-3</v>
      </c>
      <c r="F115" s="9">
        <f t="shared" si="5"/>
        <v>-2.4326515902333146E-3</v>
      </c>
      <c r="G115" s="9">
        <f t="shared" si="6"/>
        <v>0</v>
      </c>
    </row>
    <row r="116" spans="1:7">
      <c r="A116" s="6">
        <v>41425</v>
      </c>
      <c r="B116" s="7">
        <v>160.22</v>
      </c>
      <c r="C116" s="7">
        <v>110.35</v>
      </c>
      <c r="D116" s="7">
        <v>39.99</v>
      </c>
      <c r="E116" s="9">
        <f t="shared" si="4"/>
        <v>-1.4334051061211994E-2</v>
      </c>
      <c r="F116" s="9">
        <f t="shared" si="5"/>
        <v>-3.3417630057803738E-3</v>
      </c>
      <c r="G116" s="9">
        <f t="shared" si="6"/>
        <v>-1.7927308447937107E-2</v>
      </c>
    </row>
    <row r="117" spans="1:7">
      <c r="A117" s="6">
        <v>41428</v>
      </c>
      <c r="B117" s="7">
        <v>161.1</v>
      </c>
      <c r="C117" s="7">
        <v>110.93</v>
      </c>
      <c r="D117" s="7">
        <v>40.58</v>
      </c>
      <c r="E117" s="9">
        <f t="shared" si="4"/>
        <v>5.4924478841591462E-3</v>
      </c>
      <c r="F117" s="9">
        <f t="shared" si="5"/>
        <v>5.2560036248301412E-3</v>
      </c>
      <c r="G117" s="9">
        <f t="shared" si="6"/>
        <v>1.4753688422105338E-2</v>
      </c>
    </row>
    <row r="118" spans="1:7">
      <c r="A118" s="6">
        <v>41429</v>
      </c>
      <c r="B118" s="7">
        <v>160.33000000000001</v>
      </c>
      <c r="C118" s="7">
        <v>109.91</v>
      </c>
      <c r="D118" s="7">
        <v>40.08</v>
      </c>
      <c r="E118" s="9">
        <f t="shared" si="4"/>
        <v>-4.7796399751706131E-3</v>
      </c>
      <c r="F118" s="9">
        <f t="shared" si="5"/>
        <v>-9.1949878301632593E-3</v>
      </c>
      <c r="G118" s="9">
        <f t="shared" si="6"/>
        <v>-1.2321340561853078E-2</v>
      </c>
    </row>
    <row r="119" spans="1:7">
      <c r="A119" s="6">
        <v>41430</v>
      </c>
      <c r="B119" s="7">
        <v>158.08000000000001</v>
      </c>
      <c r="C119" s="7">
        <v>111.43</v>
      </c>
      <c r="D119" s="7">
        <v>39.36</v>
      </c>
      <c r="E119" s="9">
        <f t="shared" si="4"/>
        <v>-1.4033555791180707E-2</v>
      </c>
      <c r="F119" s="9">
        <f t="shared" si="5"/>
        <v>1.3829496861068158E-2</v>
      </c>
      <c r="G119" s="9">
        <f t="shared" si="6"/>
        <v>-1.7964071856287345E-2</v>
      </c>
    </row>
    <row r="120" spans="1:7">
      <c r="A120" s="6">
        <v>41431</v>
      </c>
      <c r="B120" s="7">
        <v>159.51</v>
      </c>
      <c r="C120" s="7">
        <v>111.36</v>
      </c>
      <c r="D120" s="7">
        <v>39.69</v>
      </c>
      <c r="E120" s="9">
        <f t="shared" si="4"/>
        <v>9.0460526315787604E-3</v>
      </c>
      <c r="F120" s="9">
        <f t="shared" si="5"/>
        <v>-6.2819707439654149E-4</v>
      </c>
      <c r="G120" s="9">
        <f t="shared" si="6"/>
        <v>8.3841463414633388E-3</v>
      </c>
    </row>
    <row r="121" spans="1:7">
      <c r="A121" s="6">
        <v>41432</v>
      </c>
      <c r="B121" s="7">
        <v>161.54</v>
      </c>
      <c r="C121" s="7">
        <v>109.37</v>
      </c>
      <c r="D121" s="7">
        <v>39.49</v>
      </c>
      <c r="E121" s="9">
        <f t="shared" si="4"/>
        <v>1.2726474829164225E-2</v>
      </c>
      <c r="F121" s="9">
        <f t="shared" si="5"/>
        <v>-1.7869971264367734E-2</v>
      </c>
      <c r="G121" s="9">
        <f t="shared" si="6"/>
        <v>-5.0390526581001183E-3</v>
      </c>
    </row>
    <row r="122" spans="1:7">
      <c r="A122" s="6">
        <v>41435</v>
      </c>
      <c r="B122" s="7">
        <v>161.54</v>
      </c>
      <c r="C122" s="7">
        <v>108.85</v>
      </c>
      <c r="D122" s="7">
        <v>38.96</v>
      </c>
      <c r="E122" s="9">
        <f t="shared" si="4"/>
        <v>0</v>
      </c>
      <c r="F122" s="9">
        <f t="shared" si="5"/>
        <v>-4.7545030629972951E-3</v>
      </c>
      <c r="G122" s="9">
        <f t="shared" si="6"/>
        <v>-1.3421119270701443E-2</v>
      </c>
    </row>
    <row r="123" spans="1:7">
      <c r="A123" s="6">
        <v>41436</v>
      </c>
      <c r="B123" s="7">
        <v>159.88</v>
      </c>
      <c r="C123" s="7">
        <v>110.14</v>
      </c>
      <c r="D123" s="7">
        <v>38.22</v>
      </c>
      <c r="E123" s="9">
        <f t="shared" si="4"/>
        <v>-1.0276092608641818E-2</v>
      </c>
      <c r="F123" s="9">
        <f t="shared" si="5"/>
        <v>1.1851171336701993E-2</v>
      </c>
      <c r="G123" s="9">
        <f t="shared" si="6"/>
        <v>-1.8993839835728998E-2</v>
      </c>
    </row>
    <row r="124" spans="1:7">
      <c r="A124" s="6">
        <v>41437</v>
      </c>
      <c r="B124" s="7">
        <v>158.55000000000001</v>
      </c>
      <c r="C124" s="7">
        <v>108.57</v>
      </c>
      <c r="D124" s="7">
        <v>37.96</v>
      </c>
      <c r="E124" s="9">
        <f t="shared" si="4"/>
        <v>-8.3187390542905915E-3</v>
      </c>
      <c r="F124" s="9">
        <f t="shared" si="5"/>
        <v>-1.4254585073542825E-2</v>
      </c>
      <c r="G124" s="9">
        <f t="shared" si="6"/>
        <v>-6.8027210884352707E-3</v>
      </c>
    </row>
    <row r="125" spans="1:7">
      <c r="A125" s="6">
        <v>41438</v>
      </c>
      <c r="B125" s="7">
        <v>160.97</v>
      </c>
      <c r="C125" s="7">
        <v>110.27</v>
      </c>
      <c r="D125" s="7">
        <v>38.76</v>
      </c>
      <c r="E125" s="9">
        <f t="shared" si="4"/>
        <v>1.5263323872595214E-2</v>
      </c>
      <c r="F125" s="9">
        <f t="shared" si="5"/>
        <v>1.5658100764483818E-2</v>
      </c>
      <c r="G125" s="9">
        <f t="shared" si="6"/>
        <v>2.1074815595363505E-2</v>
      </c>
    </row>
    <row r="126" spans="1:7">
      <c r="A126" s="6">
        <v>41439</v>
      </c>
      <c r="B126" s="7">
        <v>159.96</v>
      </c>
      <c r="C126" s="7">
        <v>110.01</v>
      </c>
      <c r="D126" s="7">
        <v>38.15</v>
      </c>
      <c r="E126" s="9">
        <f t="shared" si="4"/>
        <v>-6.2744610797041966E-3</v>
      </c>
      <c r="F126" s="9">
        <f t="shared" si="5"/>
        <v>-2.3578489162963123E-3</v>
      </c>
      <c r="G126" s="9">
        <f t="shared" si="6"/>
        <v>-1.5737874097007221E-2</v>
      </c>
    </row>
    <row r="127" spans="1:7">
      <c r="A127" s="6">
        <v>41442</v>
      </c>
      <c r="B127" s="7">
        <v>161.19</v>
      </c>
      <c r="C127" s="7">
        <v>109.43</v>
      </c>
      <c r="D127" s="7">
        <v>38.5</v>
      </c>
      <c r="E127" s="9">
        <f t="shared" si="4"/>
        <v>7.689422355588782E-3</v>
      </c>
      <c r="F127" s="9">
        <f t="shared" si="5"/>
        <v>-5.2722479774566233E-3</v>
      </c>
      <c r="G127" s="9">
        <f t="shared" si="6"/>
        <v>9.1743119266054496E-3</v>
      </c>
    </row>
    <row r="128" spans="1:7">
      <c r="A128" s="6">
        <v>41443</v>
      </c>
      <c r="B128" s="7">
        <v>162.46</v>
      </c>
      <c r="C128" s="7">
        <v>109.48</v>
      </c>
      <c r="D128" s="7">
        <v>38.67</v>
      </c>
      <c r="E128" s="9">
        <f t="shared" si="4"/>
        <v>7.8789006762207681E-3</v>
      </c>
      <c r="F128" s="9">
        <f t="shared" si="5"/>
        <v>4.5691309512929656E-4</v>
      </c>
      <c r="G128" s="9">
        <f t="shared" si="6"/>
        <v>4.4155844155844282E-3</v>
      </c>
    </row>
    <row r="129" spans="1:7">
      <c r="A129" s="6">
        <v>41444</v>
      </c>
      <c r="B129" s="7">
        <v>160.22</v>
      </c>
      <c r="C129" s="7">
        <v>108.35</v>
      </c>
      <c r="D129" s="7">
        <v>37.47</v>
      </c>
      <c r="E129" s="9">
        <f t="shared" si="4"/>
        <v>-1.3788009356149211E-2</v>
      </c>
      <c r="F129" s="9">
        <f t="shared" si="5"/>
        <v>-1.0321519912312893E-2</v>
      </c>
      <c r="G129" s="9">
        <f t="shared" si="6"/>
        <v>-3.1031807602792894E-2</v>
      </c>
    </row>
    <row r="130" spans="1:7">
      <c r="A130" s="6">
        <v>41445</v>
      </c>
      <c r="B130" s="7">
        <v>156.25</v>
      </c>
      <c r="C130" s="7">
        <v>106.57</v>
      </c>
      <c r="D130" s="7">
        <v>35.79</v>
      </c>
      <c r="E130" s="9">
        <f t="shared" si="4"/>
        <v>-2.4778429659218615E-2</v>
      </c>
      <c r="F130" s="9">
        <f t="shared" si="5"/>
        <v>-1.6428241808952526E-2</v>
      </c>
      <c r="G130" s="9">
        <f t="shared" si="6"/>
        <v>-4.4835868694955927E-2</v>
      </c>
    </row>
    <row r="131" spans="1:7">
      <c r="A131" s="6">
        <v>41446</v>
      </c>
      <c r="B131" s="7">
        <v>156.75</v>
      </c>
      <c r="C131" s="7">
        <v>104.77</v>
      </c>
      <c r="D131" s="7">
        <v>36.31</v>
      </c>
      <c r="E131" s="9">
        <f t="shared" si="4"/>
        <v>3.2000000000000917E-3</v>
      </c>
      <c r="F131" s="9">
        <f t="shared" si="5"/>
        <v>-1.6890306840574243E-2</v>
      </c>
      <c r="G131" s="9">
        <f t="shared" si="6"/>
        <v>1.4529198100027951E-2</v>
      </c>
    </row>
    <row r="132" spans="1:7">
      <c r="A132" s="6">
        <v>41449</v>
      </c>
      <c r="B132" s="7">
        <v>154.77000000000001</v>
      </c>
      <c r="C132" s="7">
        <v>105.2</v>
      </c>
      <c r="D132" s="7">
        <v>35.57</v>
      </c>
      <c r="E132" s="9">
        <f t="shared" si="4"/>
        <v>-1.2631578947368327E-2</v>
      </c>
      <c r="F132" s="9">
        <f t="shared" si="5"/>
        <v>4.104228309630642E-3</v>
      </c>
      <c r="G132" s="9">
        <f t="shared" si="6"/>
        <v>-2.0380060589369364E-2</v>
      </c>
    </row>
    <row r="133" spans="1:7">
      <c r="A133" s="6">
        <v>41450</v>
      </c>
      <c r="B133" s="7">
        <v>156.26</v>
      </c>
      <c r="C133" s="7">
        <v>104.26</v>
      </c>
      <c r="D133" s="7">
        <v>36.33</v>
      </c>
      <c r="E133" s="9">
        <f t="shared" si="4"/>
        <v>9.6271887316661253E-3</v>
      </c>
      <c r="F133" s="9">
        <f t="shared" si="5"/>
        <v>-8.9353612167299978E-3</v>
      </c>
      <c r="G133" s="9">
        <f t="shared" si="6"/>
        <v>2.1366319932527356E-2</v>
      </c>
    </row>
    <row r="134" spans="1:7">
      <c r="A134" s="6">
        <v>41451</v>
      </c>
      <c r="B134" s="7">
        <v>157.81</v>
      </c>
      <c r="C134" s="7">
        <v>104.94</v>
      </c>
      <c r="D134" s="7">
        <v>36.9</v>
      </c>
      <c r="E134" s="9">
        <f t="shared" si="4"/>
        <v>9.919365160629745E-3</v>
      </c>
      <c r="F134" s="9">
        <f t="shared" si="5"/>
        <v>6.5221561480912627E-3</v>
      </c>
      <c r="G134" s="9">
        <f t="shared" si="6"/>
        <v>1.56895127993395E-2</v>
      </c>
    </row>
    <row r="135" spans="1:7">
      <c r="A135" s="6">
        <v>41452</v>
      </c>
      <c r="B135" s="7">
        <v>158.72999999999999</v>
      </c>
      <c r="C135" s="7">
        <v>106.01</v>
      </c>
      <c r="D135" s="7">
        <v>37.64</v>
      </c>
      <c r="E135" s="9">
        <f t="shared" si="4"/>
        <v>5.8297953234902611E-3</v>
      </c>
      <c r="F135" s="9">
        <f t="shared" si="5"/>
        <v>1.019630264913296E-2</v>
      </c>
      <c r="G135" s="9">
        <f t="shared" si="6"/>
        <v>2.0054200542005463E-2</v>
      </c>
    </row>
    <row r="136" spans="1:7">
      <c r="A136" s="6">
        <v>41453</v>
      </c>
      <c r="B136" s="7">
        <v>158.08000000000001</v>
      </c>
      <c r="C136" s="7">
        <v>106.74</v>
      </c>
      <c r="D136" s="7">
        <v>37.86</v>
      </c>
      <c r="E136" s="9">
        <f t="shared" si="4"/>
        <v>-4.0950040950039623E-3</v>
      </c>
      <c r="F136" s="9">
        <f t="shared" si="5"/>
        <v>6.8861428167152905E-3</v>
      </c>
      <c r="G136" s="9">
        <f t="shared" si="6"/>
        <v>5.8448459086077875E-3</v>
      </c>
    </row>
    <row r="137" spans="1:7">
      <c r="A137" s="6">
        <v>41456</v>
      </c>
      <c r="B137" s="7">
        <v>159.01</v>
      </c>
      <c r="C137" s="7">
        <v>106.95</v>
      </c>
      <c r="D137" s="7">
        <v>37.97</v>
      </c>
      <c r="E137" s="9">
        <f t="shared" si="4"/>
        <v>5.8830971659917797E-3</v>
      </c>
      <c r="F137" s="9">
        <f t="shared" si="5"/>
        <v>1.9673974142777606E-3</v>
      </c>
      <c r="G137" s="9">
        <f t="shared" si="6"/>
        <v>2.9054410987849888E-3</v>
      </c>
    </row>
    <row r="138" spans="1:7">
      <c r="A138" s="6">
        <v>41457</v>
      </c>
      <c r="B138" s="7">
        <v>158.86000000000001</v>
      </c>
      <c r="C138" s="7">
        <v>106.89</v>
      </c>
      <c r="D138" s="7">
        <v>37.299999999999997</v>
      </c>
      <c r="E138" s="9">
        <f t="shared" si="4"/>
        <v>-9.4333689705039525E-4</v>
      </c>
      <c r="F138" s="9">
        <f t="shared" si="5"/>
        <v>-5.6100981767182034E-4</v>
      </c>
      <c r="G138" s="9">
        <f t="shared" si="6"/>
        <v>-1.7645509612852273E-2</v>
      </c>
    </row>
    <row r="139" spans="1:7">
      <c r="A139" s="6">
        <v>41458</v>
      </c>
      <c r="B139" s="7">
        <v>158.93</v>
      </c>
      <c r="C139" s="7">
        <v>106.57</v>
      </c>
      <c r="D139" s="7">
        <v>36.950000000000003</v>
      </c>
      <c r="E139" s="9">
        <f t="shared" si="4"/>
        <v>4.4063955684237044E-4</v>
      </c>
      <c r="F139" s="9">
        <f t="shared" si="5"/>
        <v>-2.9937318738890717E-3</v>
      </c>
      <c r="G139" s="9">
        <f t="shared" si="6"/>
        <v>-9.3833780160856861E-3</v>
      </c>
    </row>
    <row r="140" spans="1:7">
      <c r="A140" s="6">
        <v>41460</v>
      </c>
      <c r="B140" s="7">
        <v>160.63999999999999</v>
      </c>
      <c r="C140" s="7">
        <v>102.93</v>
      </c>
      <c r="D140" s="7">
        <v>36.72</v>
      </c>
      <c r="E140" s="9">
        <f t="shared" si="4"/>
        <v>1.0759453847605682E-2</v>
      </c>
      <c r="F140" s="9">
        <f t="shared" si="5"/>
        <v>-3.4155953833161168E-2</v>
      </c>
      <c r="G140" s="9">
        <f t="shared" si="6"/>
        <v>-6.2246278755075934E-3</v>
      </c>
    </row>
    <row r="141" spans="1:7">
      <c r="A141" s="6">
        <v>41463</v>
      </c>
      <c r="B141" s="7">
        <v>161.56</v>
      </c>
      <c r="C141" s="7">
        <v>103.93</v>
      </c>
      <c r="D141" s="7">
        <v>36.76</v>
      </c>
      <c r="E141" s="9">
        <f t="shared" si="4"/>
        <v>5.7270916334661859E-3</v>
      </c>
      <c r="F141" s="9">
        <f t="shared" si="5"/>
        <v>9.7153405226853007E-3</v>
      </c>
      <c r="G141" s="9">
        <f t="shared" si="6"/>
        <v>1.0893246187364536E-3</v>
      </c>
    </row>
    <row r="142" spans="1:7">
      <c r="A142" s="6">
        <v>41464</v>
      </c>
      <c r="B142" s="7">
        <v>162.72</v>
      </c>
      <c r="C142" s="7">
        <v>104.04</v>
      </c>
      <c r="D142" s="7">
        <v>37.25</v>
      </c>
      <c r="E142" s="9">
        <f t="shared" ref="E142:E205" si="7">B142/B141-1</f>
        <v>7.179995048279153E-3</v>
      </c>
      <c r="F142" s="9">
        <f t="shared" ref="F142:F205" si="8">C142/C141-1</f>
        <v>1.0584046954680293E-3</v>
      </c>
      <c r="G142" s="9">
        <f t="shared" ref="G142:G205" si="9">D142/D141-1</f>
        <v>1.3329706202394043E-2</v>
      </c>
    </row>
    <row r="143" spans="1:7">
      <c r="A143" s="6">
        <v>41465</v>
      </c>
      <c r="B143" s="7">
        <v>162.78</v>
      </c>
      <c r="C143" s="7">
        <v>103.22</v>
      </c>
      <c r="D143" s="7">
        <v>36.89</v>
      </c>
      <c r="E143" s="9">
        <f t="shared" si="7"/>
        <v>3.6873156342176472E-4</v>
      </c>
      <c r="F143" s="9">
        <f t="shared" si="8"/>
        <v>-7.8815840061515763E-3</v>
      </c>
      <c r="G143" s="9">
        <f t="shared" si="9"/>
        <v>-9.6644295302013017E-3</v>
      </c>
    </row>
    <row r="144" spans="1:7">
      <c r="A144" s="6">
        <v>41466</v>
      </c>
      <c r="B144" s="7">
        <v>165</v>
      </c>
      <c r="C144" s="7">
        <v>104.44</v>
      </c>
      <c r="D144" s="7">
        <v>38.700000000000003</v>
      </c>
      <c r="E144" s="9">
        <f t="shared" si="7"/>
        <v>1.363803907113903E-2</v>
      </c>
      <c r="F144" s="9">
        <f t="shared" si="8"/>
        <v>1.181941484208493E-2</v>
      </c>
      <c r="G144" s="9">
        <f t="shared" si="9"/>
        <v>4.9064787205204796E-2</v>
      </c>
    </row>
    <row r="145" spans="1:7">
      <c r="A145" s="6">
        <v>41467</v>
      </c>
      <c r="B145" s="7">
        <v>165.07</v>
      </c>
      <c r="C145" s="7">
        <v>104.35</v>
      </c>
      <c r="D145" s="7">
        <v>38.29</v>
      </c>
      <c r="E145" s="9">
        <f t="shared" si="7"/>
        <v>4.2424242424243808E-4</v>
      </c>
      <c r="F145" s="9">
        <f t="shared" si="8"/>
        <v>-8.617387973957058E-4</v>
      </c>
      <c r="G145" s="9">
        <f t="shared" si="9"/>
        <v>-1.0594315245478159E-2</v>
      </c>
    </row>
    <row r="146" spans="1:7">
      <c r="A146" s="6">
        <v>41470</v>
      </c>
      <c r="B146" s="7">
        <v>165.7</v>
      </c>
      <c r="C146" s="7">
        <v>104.9</v>
      </c>
      <c r="D146" s="7">
        <v>38.68</v>
      </c>
      <c r="E146" s="9">
        <f t="shared" si="7"/>
        <v>3.8165626703823285E-3</v>
      </c>
      <c r="F146" s="9">
        <f t="shared" si="8"/>
        <v>5.2707235265934127E-3</v>
      </c>
      <c r="G146" s="9">
        <f t="shared" si="9"/>
        <v>1.0185427004439918E-2</v>
      </c>
    </row>
    <row r="147" spans="1:7">
      <c r="A147" s="6">
        <v>41471</v>
      </c>
      <c r="B147" s="7">
        <v>165.08</v>
      </c>
      <c r="C147" s="7">
        <v>105.26</v>
      </c>
      <c r="D147" s="7">
        <v>38.840000000000003</v>
      </c>
      <c r="E147" s="9">
        <f t="shared" si="7"/>
        <v>-3.7417018708507666E-3</v>
      </c>
      <c r="F147" s="9">
        <f t="shared" si="8"/>
        <v>3.4318398474737499E-3</v>
      </c>
      <c r="G147" s="9">
        <f t="shared" si="9"/>
        <v>4.1365046535677408E-3</v>
      </c>
    </row>
    <row r="148" spans="1:7">
      <c r="A148" s="6">
        <v>41472</v>
      </c>
      <c r="B148" s="7">
        <v>165.5</v>
      </c>
      <c r="C148" s="7">
        <v>105.45</v>
      </c>
      <c r="D148" s="7">
        <v>39.19</v>
      </c>
      <c r="E148" s="9">
        <f t="shared" si="7"/>
        <v>2.5442209837653884E-3</v>
      </c>
      <c r="F148" s="9">
        <f t="shared" si="8"/>
        <v>1.8050541516245744E-3</v>
      </c>
      <c r="G148" s="9">
        <f t="shared" si="9"/>
        <v>9.0113285272912513E-3</v>
      </c>
    </row>
    <row r="149" spans="1:7">
      <c r="A149" s="6">
        <v>41473</v>
      </c>
      <c r="B149" s="7">
        <v>166.41</v>
      </c>
      <c r="C149" s="7">
        <v>104.13</v>
      </c>
      <c r="D149" s="7">
        <v>38.729999999999997</v>
      </c>
      <c r="E149" s="9">
        <f t="shared" si="7"/>
        <v>5.4984894259817452E-3</v>
      </c>
      <c r="F149" s="9">
        <f t="shared" si="8"/>
        <v>-1.25177809388336E-2</v>
      </c>
      <c r="G149" s="9">
        <f t="shared" si="9"/>
        <v>-1.1737688185761708E-2</v>
      </c>
    </row>
    <row r="150" spans="1:7">
      <c r="A150" s="6">
        <v>41474</v>
      </c>
      <c r="B150" s="7">
        <v>166.7</v>
      </c>
      <c r="C150" s="7">
        <v>105.78</v>
      </c>
      <c r="D150" s="7">
        <v>38.619999999999997</v>
      </c>
      <c r="E150" s="9">
        <f t="shared" si="7"/>
        <v>1.7426837329486133E-3</v>
      </c>
      <c r="F150" s="9">
        <f t="shared" si="8"/>
        <v>1.5845577643330611E-2</v>
      </c>
      <c r="G150" s="9">
        <f t="shared" si="9"/>
        <v>-2.8401755744900115E-3</v>
      </c>
    </row>
    <row r="151" spans="1:7">
      <c r="A151" s="6">
        <v>41477</v>
      </c>
      <c r="B151" s="7">
        <v>167.03</v>
      </c>
      <c r="C151" s="7">
        <v>105.94</v>
      </c>
      <c r="D151" s="7">
        <v>39.01</v>
      </c>
      <c r="E151" s="9">
        <f t="shared" si="7"/>
        <v>1.9796040791841829E-3</v>
      </c>
      <c r="F151" s="9">
        <f t="shared" si="8"/>
        <v>1.5125732652674362E-3</v>
      </c>
      <c r="G151" s="9">
        <f t="shared" si="9"/>
        <v>1.0098394614189488E-2</v>
      </c>
    </row>
    <row r="152" spans="1:7">
      <c r="A152" s="6">
        <v>41478</v>
      </c>
      <c r="B152" s="7">
        <v>166.68</v>
      </c>
      <c r="C152" s="7">
        <v>105.49</v>
      </c>
      <c r="D152" s="7">
        <v>39.43</v>
      </c>
      <c r="E152" s="9">
        <f t="shared" si="7"/>
        <v>-2.0954319583308401E-3</v>
      </c>
      <c r="F152" s="9">
        <f t="shared" si="8"/>
        <v>-4.2476873702095297E-3</v>
      </c>
      <c r="G152" s="9">
        <f t="shared" si="9"/>
        <v>1.0766470135862738E-2</v>
      </c>
    </row>
    <row r="153" spans="1:7">
      <c r="A153" s="6">
        <v>41479</v>
      </c>
      <c r="B153" s="7">
        <v>166.06</v>
      </c>
      <c r="C153" s="7">
        <v>104.15</v>
      </c>
      <c r="D153" s="7">
        <v>39.03</v>
      </c>
      <c r="E153" s="9">
        <f t="shared" si="7"/>
        <v>-3.7197024238061482E-3</v>
      </c>
      <c r="F153" s="9">
        <f t="shared" si="8"/>
        <v>-1.2702625841311876E-2</v>
      </c>
      <c r="G153" s="9">
        <f t="shared" si="9"/>
        <v>-1.0144559979710865E-2</v>
      </c>
    </row>
    <row r="154" spans="1:7">
      <c r="A154" s="6">
        <v>41480</v>
      </c>
      <c r="B154" s="7">
        <v>166.47</v>
      </c>
      <c r="C154" s="7">
        <v>104.12</v>
      </c>
      <c r="D154" s="7">
        <v>39.25</v>
      </c>
      <c r="E154" s="9">
        <f t="shared" si="7"/>
        <v>2.4689871130916252E-3</v>
      </c>
      <c r="F154" s="9">
        <f t="shared" si="8"/>
        <v>-2.8804608737398318E-4</v>
      </c>
      <c r="G154" s="9">
        <f t="shared" si="9"/>
        <v>5.6366897258519622E-3</v>
      </c>
    </row>
    <row r="155" spans="1:7">
      <c r="A155" s="6">
        <v>41481</v>
      </c>
      <c r="B155" s="7">
        <v>166.65</v>
      </c>
      <c r="C155" s="7">
        <v>104.75</v>
      </c>
      <c r="D155" s="7">
        <v>39.159999999999997</v>
      </c>
      <c r="E155" s="9">
        <f t="shared" si="7"/>
        <v>1.0812759055685017E-3</v>
      </c>
      <c r="F155" s="9">
        <f t="shared" si="8"/>
        <v>6.0507107184017972E-3</v>
      </c>
      <c r="G155" s="9">
        <f t="shared" si="9"/>
        <v>-2.2929936305733367E-3</v>
      </c>
    </row>
    <row r="156" spans="1:7">
      <c r="A156" s="6">
        <v>41484</v>
      </c>
      <c r="B156" s="7">
        <v>166.13</v>
      </c>
      <c r="C156" s="7">
        <v>103.99</v>
      </c>
      <c r="D156" s="7">
        <v>38.67</v>
      </c>
      <c r="E156" s="9">
        <f t="shared" si="7"/>
        <v>-3.1203120312032206E-3</v>
      </c>
      <c r="F156" s="9">
        <f t="shared" si="8"/>
        <v>-7.2553699284010342E-3</v>
      </c>
      <c r="G156" s="9">
        <f t="shared" si="9"/>
        <v>-1.2512768130745533E-2</v>
      </c>
    </row>
    <row r="157" spans="1:7">
      <c r="A157" s="6">
        <v>41485</v>
      </c>
      <c r="B157" s="7">
        <v>166.13</v>
      </c>
      <c r="C157" s="7">
        <v>103.95</v>
      </c>
      <c r="D157" s="7">
        <v>38.58</v>
      </c>
      <c r="E157" s="9">
        <f t="shared" si="7"/>
        <v>0</v>
      </c>
      <c r="F157" s="9">
        <f t="shared" si="8"/>
        <v>-3.8465237042017986E-4</v>
      </c>
      <c r="G157" s="9">
        <f t="shared" si="9"/>
        <v>-2.3273855702095059E-3</v>
      </c>
    </row>
    <row r="158" spans="1:7">
      <c r="A158" s="6">
        <v>41486</v>
      </c>
      <c r="B158" s="7">
        <v>166.25</v>
      </c>
      <c r="C158" s="7">
        <v>104.33</v>
      </c>
      <c r="D158" s="7">
        <v>38.36</v>
      </c>
      <c r="E158" s="9">
        <f t="shared" si="7"/>
        <v>7.2232588936382847E-4</v>
      </c>
      <c r="F158" s="9">
        <f t="shared" si="8"/>
        <v>3.6556036556036897E-3</v>
      </c>
      <c r="G158" s="9">
        <f t="shared" si="9"/>
        <v>-5.7024364955935436E-3</v>
      </c>
    </row>
    <row r="159" spans="1:7">
      <c r="A159" s="6">
        <v>41487</v>
      </c>
      <c r="B159" s="7">
        <v>168.17</v>
      </c>
      <c r="C159" s="7">
        <v>102.32</v>
      </c>
      <c r="D159" s="7">
        <v>39.06</v>
      </c>
      <c r="E159" s="9">
        <f t="shared" si="7"/>
        <v>1.1548872180451086E-2</v>
      </c>
      <c r="F159" s="9">
        <f t="shared" si="8"/>
        <v>-1.9265791239336805E-2</v>
      </c>
      <c r="G159" s="9">
        <f t="shared" si="9"/>
        <v>1.8248175182481896E-2</v>
      </c>
    </row>
    <row r="160" spans="1:7">
      <c r="A160" s="6">
        <v>41488</v>
      </c>
      <c r="B160" s="7">
        <v>168.46</v>
      </c>
      <c r="C160" s="7">
        <v>103.44</v>
      </c>
      <c r="D160" s="7">
        <v>39.049999999999997</v>
      </c>
      <c r="E160" s="9">
        <f t="shared" si="7"/>
        <v>1.7244455015759108E-3</v>
      </c>
      <c r="F160" s="9">
        <f t="shared" si="8"/>
        <v>1.094605160281481E-2</v>
      </c>
      <c r="G160" s="9">
        <f t="shared" si="9"/>
        <v>-2.560163850487962E-4</v>
      </c>
    </row>
    <row r="161" spans="1:7">
      <c r="A161" s="6">
        <v>41491</v>
      </c>
      <c r="B161" s="7">
        <v>168.21</v>
      </c>
      <c r="C161" s="7">
        <v>102.65</v>
      </c>
      <c r="D161" s="7">
        <v>38.799999999999997</v>
      </c>
      <c r="E161" s="9">
        <f t="shared" si="7"/>
        <v>-1.4840318176421174E-3</v>
      </c>
      <c r="F161" s="9">
        <f t="shared" si="8"/>
        <v>-7.6372776488784488E-3</v>
      </c>
      <c r="G161" s="9">
        <f t="shared" si="9"/>
        <v>-6.4020486555698142E-3</v>
      </c>
    </row>
    <row r="162" spans="1:7">
      <c r="A162" s="6">
        <v>41492</v>
      </c>
      <c r="B162" s="7">
        <v>167.26</v>
      </c>
      <c r="C162" s="7">
        <v>102.95</v>
      </c>
      <c r="D162" s="7">
        <v>38.31</v>
      </c>
      <c r="E162" s="9">
        <f t="shared" si="7"/>
        <v>-5.6477022769159113E-3</v>
      </c>
      <c r="F162" s="9">
        <f t="shared" si="8"/>
        <v>2.9225523623963579E-3</v>
      </c>
      <c r="G162" s="9">
        <f t="shared" si="9"/>
        <v>-1.2628865979381287E-2</v>
      </c>
    </row>
    <row r="163" spans="1:7">
      <c r="A163" s="6">
        <v>41493</v>
      </c>
      <c r="B163" s="7">
        <v>166.71</v>
      </c>
      <c r="C163" s="7">
        <v>103.72</v>
      </c>
      <c r="D163" s="7">
        <v>37.9</v>
      </c>
      <c r="E163" s="9">
        <f t="shared" si="7"/>
        <v>-3.2882936745186608E-3</v>
      </c>
      <c r="F163" s="9">
        <f t="shared" si="8"/>
        <v>7.4793589120931703E-3</v>
      </c>
      <c r="G163" s="9">
        <f t="shared" si="9"/>
        <v>-1.0702166536152524E-2</v>
      </c>
    </row>
    <row r="164" spans="1:7">
      <c r="A164" s="6">
        <v>41494</v>
      </c>
      <c r="B164" s="7">
        <v>167.33</v>
      </c>
      <c r="C164" s="7">
        <v>104</v>
      </c>
      <c r="D164" s="7">
        <v>38.619999999999997</v>
      </c>
      <c r="E164" s="9">
        <f t="shared" si="7"/>
        <v>3.7190330514067504E-3</v>
      </c>
      <c r="F164" s="9">
        <f t="shared" si="8"/>
        <v>2.6995757809487042E-3</v>
      </c>
      <c r="G164" s="9">
        <f t="shared" si="9"/>
        <v>1.8997361477572472E-2</v>
      </c>
    </row>
    <row r="165" spans="1:7">
      <c r="A165" s="6">
        <v>41495</v>
      </c>
      <c r="B165" s="7">
        <v>166.84</v>
      </c>
      <c r="C165" s="7">
        <v>104.16</v>
      </c>
      <c r="D165" s="7">
        <v>38.700000000000003</v>
      </c>
      <c r="E165" s="9">
        <f t="shared" si="7"/>
        <v>-2.9283451861591425E-3</v>
      </c>
      <c r="F165" s="9">
        <f t="shared" si="8"/>
        <v>1.5384615384614886E-3</v>
      </c>
      <c r="G165" s="9">
        <f t="shared" si="9"/>
        <v>2.0714655618851996E-3</v>
      </c>
    </row>
    <row r="166" spans="1:7">
      <c r="A166" s="6">
        <v>41498</v>
      </c>
      <c r="B166" s="7">
        <v>166.65</v>
      </c>
      <c r="C166" s="7">
        <v>103.45</v>
      </c>
      <c r="D166" s="7">
        <v>39.07</v>
      </c>
      <c r="E166" s="9">
        <f t="shared" si="7"/>
        <v>-1.1388156317430065E-3</v>
      </c>
      <c r="F166" s="9">
        <f t="shared" si="8"/>
        <v>-6.8164362519200772E-3</v>
      </c>
      <c r="G166" s="9">
        <f t="shared" si="9"/>
        <v>9.5607235142118885E-3</v>
      </c>
    </row>
    <row r="167" spans="1:7">
      <c r="A167" s="6">
        <v>41499</v>
      </c>
      <c r="B167" s="7">
        <v>167.14</v>
      </c>
      <c r="C167" s="7">
        <v>101.96</v>
      </c>
      <c r="D167" s="7">
        <v>39.299999999999997</v>
      </c>
      <c r="E167" s="9">
        <f t="shared" si="7"/>
        <v>2.940294029402768E-3</v>
      </c>
      <c r="F167" s="9">
        <f t="shared" si="8"/>
        <v>-1.4403093281778689E-2</v>
      </c>
      <c r="G167" s="9">
        <f t="shared" si="9"/>
        <v>5.8868697210134879E-3</v>
      </c>
    </row>
    <row r="168" spans="1:7">
      <c r="A168" s="6">
        <v>41500</v>
      </c>
      <c r="B168" s="7">
        <v>166.28</v>
      </c>
      <c r="C168" s="7">
        <v>102.11</v>
      </c>
      <c r="D168" s="7">
        <v>39.43</v>
      </c>
      <c r="E168" s="9">
        <f t="shared" si="7"/>
        <v>-5.1453871006340579E-3</v>
      </c>
      <c r="F168" s="9">
        <f t="shared" si="8"/>
        <v>1.471165162808985E-3</v>
      </c>
      <c r="G168" s="9">
        <f t="shared" si="9"/>
        <v>3.30788804071247E-3</v>
      </c>
    </row>
    <row r="169" spans="1:7">
      <c r="A169" s="6">
        <v>41501</v>
      </c>
      <c r="B169" s="7">
        <v>163.96</v>
      </c>
      <c r="C169" s="7">
        <v>100.74</v>
      </c>
      <c r="D169" s="7">
        <v>38.979999999999997</v>
      </c>
      <c r="E169" s="9">
        <f t="shared" si="7"/>
        <v>-1.3952369497233552E-2</v>
      </c>
      <c r="F169" s="9">
        <f t="shared" si="8"/>
        <v>-1.3416903339535824E-2</v>
      </c>
      <c r="G169" s="9">
        <f t="shared" si="9"/>
        <v>-1.1412629977174849E-2</v>
      </c>
    </row>
    <row r="170" spans="1:7">
      <c r="A170" s="6">
        <v>41502</v>
      </c>
      <c r="B170" s="7">
        <v>163.41</v>
      </c>
      <c r="C170" s="7">
        <v>100.39</v>
      </c>
      <c r="D170" s="7">
        <v>38.64</v>
      </c>
      <c r="E170" s="9">
        <f t="shared" si="7"/>
        <v>-3.3544767016345789E-3</v>
      </c>
      <c r="F170" s="9">
        <f t="shared" si="8"/>
        <v>-3.4742902521341934E-3</v>
      </c>
      <c r="G170" s="9">
        <f t="shared" si="9"/>
        <v>-8.7224217547459126E-3</v>
      </c>
    </row>
    <row r="171" spans="1:7">
      <c r="A171" s="6">
        <v>41505</v>
      </c>
      <c r="B171" s="7">
        <v>162.37</v>
      </c>
      <c r="C171" s="7">
        <v>99.51</v>
      </c>
      <c r="D171" s="7">
        <v>37.909999999999997</v>
      </c>
      <c r="E171" s="9">
        <f t="shared" si="7"/>
        <v>-6.364359586316537E-3</v>
      </c>
      <c r="F171" s="9">
        <f t="shared" si="8"/>
        <v>-8.7658133280206219E-3</v>
      </c>
      <c r="G171" s="9">
        <f t="shared" si="9"/>
        <v>-1.8892339544513526E-2</v>
      </c>
    </row>
    <row r="172" spans="1:7">
      <c r="A172" s="6">
        <v>41506</v>
      </c>
      <c r="B172" s="7">
        <v>163.16999999999999</v>
      </c>
      <c r="C172" s="7">
        <v>100.28</v>
      </c>
      <c r="D172" s="7">
        <v>37.85</v>
      </c>
      <c r="E172" s="9">
        <f t="shared" si="7"/>
        <v>4.927018537907113E-3</v>
      </c>
      <c r="F172" s="9">
        <f t="shared" si="8"/>
        <v>7.7379157873580517E-3</v>
      </c>
      <c r="G172" s="9">
        <f t="shared" si="9"/>
        <v>-1.5826958586123707E-3</v>
      </c>
    </row>
    <row r="173" spans="1:7">
      <c r="A173" s="6">
        <v>41507</v>
      </c>
      <c r="B173" s="7">
        <v>162.16</v>
      </c>
      <c r="C173" s="7">
        <v>99.18</v>
      </c>
      <c r="D173" s="7">
        <v>36.96</v>
      </c>
      <c r="E173" s="9">
        <f t="shared" si="7"/>
        <v>-6.1898633327204244E-3</v>
      </c>
      <c r="F173" s="9">
        <f t="shared" si="8"/>
        <v>-1.0969285999202216E-2</v>
      </c>
      <c r="G173" s="9">
        <f t="shared" si="9"/>
        <v>-2.3513870541611692E-2</v>
      </c>
    </row>
    <row r="174" spans="1:7">
      <c r="A174" s="6">
        <v>41508</v>
      </c>
      <c r="B174" s="7">
        <v>163.63999999999999</v>
      </c>
      <c r="C174" s="7">
        <v>100.19</v>
      </c>
      <c r="D174" s="7">
        <v>37.56</v>
      </c>
      <c r="E174" s="9">
        <f t="shared" si="7"/>
        <v>9.1267883571779507E-3</v>
      </c>
      <c r="F174" s="9">
        <f t="shared" si="8"/>
        <v>1.018350473885854E-2</v>
      </c>
      <c r="G174" s="9">
        <f t="shared" si="9"/>
        <v>1.6233766233766378E-2</v>
      </c>
    </row>
    <row r="175" spans="1:7">
      <c r="A175" s="6">
        <v>41509</v>
      </c>
      <c r="B175" s="7">
        <v>164.19</v>
      </c>
      <c r="C175" s="7">
        <v>101.28</v>
      </c>
      <c r="D175" s="7">
        <v>38</v>
      </c>
      <c r="E175" s="9">
        <f t="shared" si="7"/>
        <v>3.361036421412944E-3</v>
      </c>
      <c r="F175" s="9">
        <f t="shared" si="8"/>
        <v>1.0879329274378735E-2</v>
      </c>
      <c r="G175" s="9">
        <f t="shared" si="9"/>
        <v>1.1714589989350266E-2</v>
      </c>
    </row>
    <row r="176" spans="1:7">
      <c r="A176" s="6">
        <v>41512</v>
      </c>
      <c r="B176" s="7">
        <v>163.58000000000001</v>
      </c>
      <c r="C176" s="7">
        <v>101.78</v>
      </c>
      <c r="D176" s="7">
        <v>37.590000000000003</v>
      </c>
      <c r="E176" s="9">
        <f t="shared" si="7"/>
        <v>-3.7152079907423197E-3</v>
      </c>
      <c r="F176" s="9">
        <f t="shared" si="8"/>
        <v>4.936808846761398E-3</v>
      </c>
      <c r="G176" s="9">
        <f t="shared" si="9"/>
        <v>-1.078947368421046E-2</v>
      </c>
    </row>
    <row r="177" spans="1:7">
      <c r="A177" s="6">
        <v>41513</v>
      </c>
      <c r="B177" s="7">
        <v>160.94999999999999</v>
      </c>
      <c r="C177" s="7">
        <v>103.07</v>
      </c>
      <c r="D177" s="7">
        <v>36.72</v>
      </c>
      <c r="E177" s="9">
        <f t="shared" si="7"/>
        <v>-1.607776011737394E-2</v>
      </c>
      <c r="F177" s="9">
        <f t="shared" si="8"/>
        <v>1.2674395755551071E-2</v>
      </c>
      <c r="G177" s="9">
        <f t="shared" si="9"/>
        <v>-2.3144453312051172E-2</v>
      </c>
    </row>
    <row r="178" spans="1:7">
      <c r="A178" s="6">
        <v>41514</v>
      </c>
      <c r="B178" s="7">
        <v>161.52000000000001</v>
      </c>
      <c r="C178" s="7">
        <v>102.23</v>
      </c>
      <c r="D178" s="7">
        <v>36.799999999999997</v>
      </c>
      <c r="E178" s="9">
        <f t="shared" si="7"/>
        <v>3.5414725069897734E-3</v>
      </c>
      <c r="F178" s="9">
        <f t="shared" si="8"/>
        <v>-8.149801106044352E-3</v>
      </c>
      <c r="G178" s="9">
        <f t="shared" si="9"/>
        <v>2.1786492374726851E-3</v>
      </c>
    </row>
    <row r="179" spans="1:7">
      <c r="A179" s="6">
        <v>41515</v>
      </c>
      <c r="B179" s="7">
        <v>161.78</v>
      </c>
      <c r="C179" s="7">
        <v>103.05</v>
      </c>
      <c r="D179" s="7">
        <v>37.1</v>
      </c>
      <c r="E179" s="9">
        <f t="shared" si="7"/>
        <v>1.6097077761267897E-3</v>
      </c>
      <c r="F179" s="9">
        <f t="shared" si="8"/>
        <v>8.0211288271543335E-3</v>
      </c>
      <c r="G179" s="9">
        <f t="shared" si="9"/>
        <v>8.152173913043681E-3</v>
      </c>
    </row>
    <row r="180" spans="1:7">
      <c r="A180" s="6">
        <v>41516</v>
      </c>
      <c r="B180" s="7">
        <v>161.27000000000001</v>
      </c>
      <c r="C180" s="7">
        <v>102.93</v>
      </c>
      <c r="D180" s="7">
        <v>37.380000000000003</v>
      </c>
      <c r="E180" s="9">
        <f t="shared" si="7"/>
        <v>-3.1524292248732433E-3</v>
      </c>
      <c r="F180" s="9">
        <f t="shared" si="8"/>
        <v>-1.1644832605530731E-3</v>
      </c>
      <c r="G180" s="9">
        <f t="shared" si="9"/>
        <v>7.547169811320753E-3</v>
      </c>
    </row>
    <row r="181" spans="1:7">
      <c r="A181" s="6">
        <v>41520</v>
      </c>
      <c r="B181" s="7">
        <v>161.99</v>
      </c>
      <c r="C181" s="7">
        <v>101.48</v>
      </c>
      <c r="D181" s="7">
        <v>37.619999999999997</v>
      </c>
      <c r="E181" s="9">
        <f t="shared" si="7"/>
        <v>4.4645625348793683E-3</v>
      </c>
      <c r="F181" s="9">
        <f t="shared" si="8"/>
        <v>-1.4087243757893719E-2</v>
      </c>
      <c r="G181" s="9">
        <f t="shared" si="9"/>
        <v>6.4205457463883953E-3</v>
      </c>
    </row>
    <row r="182" spans="1:7">
      <c r="A182" s="6">
        <v>41521</v>
      </c>
      <c r="B182" s="7">
        <v>163.33000000000001</v>
      </c>
      <c r="C182" s="7">
        <v>101.25</v>
      </c>
      <c r="D182" s="7">
        <v>38.29</v>
      </c>
      <c r="E182" s="9">
        <f t="shared" si="7"/>
        <v>8.2721155626890308E-3</v>
      </c>
      <c r="F182" s="9">
        <f t="shared" si="8"/>
        <v>-2.2664564446196467E-3</v>
      </c>
      <c r="G182" s="9">
        <f t="shared" si="9"/>
        <v>1.7809675704412609E-2</v>
      </c>
    </row>
    <row r="183" spans="1:7">
      <c r="A183" s="6">
        <v>41522</v>
      </c>
      <c r="B183" s="7">
        <v>163.54</v>
      </c>
      <c r="C183" s="7">
        <v>99.84</v>
      </c>
      <c r="D183" s="7">
        <v>38.74</v>
      </c>
      <c r="E183" s="9">
        <f t="shared" si="7"/>
        <v>1.2857405253168253E-3</v>
      </c>
      <c r="F183" s="9">
        <f t="shared" si="8"/>
        <v>-1.3925925925925897E-2</v>
      </c>
      <c r="G183" s="9">
        <f t="shared" si="9"/>
        <v>1.1752415774353597E-2</v>
      </c>
    </row>
    <row r="184" spans="1:7">
      <c r="A184" s="6">
        <v>41523</v>
      </c>
      <c r="B184" s="7">
        <v>163.62</v>
      </c>
      <c r="C184" s="7">
        <v>100.34</v>
      </c>
      <c r="D184" s="7">
        <v>39.31</v>
      </c>
      <c r="E184" s="9">
        <f t="shared" si="7"/>
        <v>4.8917695976524733E-4</v>
      </c>
      <c r="F184" s="9">
        <f t="shared" si="8"/>
        <v>5.008012820512775E-3</v>
      </c>
      <c r="G184" s="9">
        <f t="shared" si="9"/>
        <v>1.4713474445018138E-2</v>
      </c>
    </row>
    <row r="185" spans="1:7">
      <c r="A185" s="6">
        <v>41526</v>
      </c>
      <c r="B185" s="7">
        <v>165.19</v>
      </c>
      <c r="C185" s="7">
        <v>100.39</v>
      </c>
      <c r="D185" s="7">
        <v>40.340000000000003</v>
      </c>
      <c r="E185" s="9">
        <f t="shared" si="7"/>
        <v>9.5954039848429318E-3</v>
      </c>
      <c r="F185" s="9">
        <f t="shared" si="8"/>
        <v>4.9830576041465235E-4</v>
      </c>
      <c r="G185" s="9">
        <f t="shared" si="9"/>
        <v>2.6201984227931741E-2</v>
      </c>
    </row>
    <row r="186" spans="1:7">
      <c r="A186" s="6">
        <v>41527</v>
      </c>
      <c r="B186" s="7">
        <v>166.41</v>
      </c>
      <c r="C186" s="7">
        <v>99.69</v>
      </c>
      <c r="D186" s="7">
        <v>40.65</v>
      </c>
      <c r="E186" s="9">
        <f t="shared" si="7"/>
        <v>7.3854349536897068E-3</v>
      </c>
      <c r="F186" s="9">
        <f t="shared" si="8"/>
        <v>-6.9728060563801764E-3</v>
      </c>
      <c r="G186" s="9">
        <f t="shared" si="9"/>
        <v>7.684680218145612E-3</v>
      </c>
    </row>
    <row r="187" spans="1:7">
      <c r="A187" s="6">
        <v>41528</v>
      </c>
      <c r="B187" s="7">
        <v>166.93</v>
      </c>
      <c r="C187" s="7">
        <v>100.57</v>
      </c>
      <c r="D187" s="7">
        <v>40.68</v>
      </c>
      <c r="E187" s="9">
        <f t="shared" si="7"/>
        <v>3.1248122108047394E-3</v>
      </c>
      <c r="F187" s="9">
        <f t="shared" si="8"/>
        <v>8.8273648309760144E-3</v>
      </c>
      <c r="G187" s="9">
        <f t="shared" si="9"/>
        <v>7.3800738007379074E-4</v>
      </c>
    </row>
    <row r="188" spans="1:7">
      <c r="A188" s="6">
        <v>41529</v>
      </c>
      <c r="B188" s="7">
        <v>166.49</v>
      </c>
      <c r="C188" s="7">
        <v>100.44</v>
      </c>
      <c r="D188" s="7">
        <v>40.21</v>
      </c>
      <c r="E188" s="9">
        <f t="shared" si="7"/>
        <v>-2.6358353800994827E-3</v>
      </c>
      <c r="F188" s="9">
        <f t="shared" si="8"/>
        <v>-1.2926319976135359E-3</v>
      </c>
      <c r="G188" s="9">
        <f t="shared" si="9"/>
        <v>-1.1553588987217256E-2</v>
      </c>
    </row>
    <row r="189" spans="1:7">
      <c r="A189" s="6">
        <v>41530</v>
      </c>
      <c r="B189" s="7">
        <v>166.86</v>
      </c>
      <c r="C189" s="7">
        <v>100.83</v>
      </c>
      <c r="D189" s="7">
        <v>40.47</v>
      </c>
      <c r="E189" s="9">
        <f t="shared" si="7"/>
        <v>2.2223556970388803E-3</v>
      </c>
      <c r="F189" s="9">
        <f t="shared" si="8"/>
        <v>3.8829151732377998E-3</v>
      </c>
      <c r="G189" s="9">
        <f t="shared" si="9"/>
        <v>6.4660532205917942E-3</v>
      </c>
    </row>
    <row r="190" spans="1:7">
      <c r="A190" s="6">
        <v>41533</v>
      </c>
      <c r="B190" s="7">
        <v>167.83</v>
      </c>
      <c r="C190" s="7">
        <v>100.15</v>
      </c>
      <c r="D190" s="7">
        <v>40.92</v>
      </c>
      <c r="E190" s="9">
        <f t="shared" si="7"/>
        <v>5.8132566223181303E-3</v>
      </c>
      <c r="F190" s="9">
        <f t="shared" si="8"/>
        <v>-6.7440245958543255E-3</v>
      </c>
      <c r="G190" s="9">
        <f t="shared" si="9"/>
        <v>1.1119347664937163E-2</v>
      </c>
    </row>
    <row r="191" spans="1:7">
      <c r="A191" s="6">
        <v>41534</v>
      </c>
      <c r="B191" s="7">
        <v>168.58</v>
      </c>
      <c r="C191" s="7">
        <v>100.98</v>
      </c>
      <c r="D191" s="7">
        <v>40.83</v>
      </c>
      <c r="E191" s="9">
        <f t="shared" si="7"/>
        <v>4.4688077220997879E-3</v>
      </c>
      <c r="F191" s="9">
        <f t="shared" si="8"/>
        <v>8.2875686470293974E-3</v>
      </c>
      <c r="G191" s="9">
        <f t="shared" si="9"/>
        <v>-2.1994134897361795E-3</v>
      </c>
    </row>
    <row r="192" spans="1:7">
      <c r="A192" s="6">
        <v>41535</v>
      </c>
      <c r="B192" s="7">
        <v>170.53</v>
      </c>
      <c r="C192" s="7">
        <v>102.23</v>
      </c>
      <c r="D192" s="7">
        <v>42.55</v>
      </c>
      <c r="E192" s="9">
        <f t="shared" si="7"/>
        <v>1.1567208447027966E-2</v>
      </c>
      <c r="F192" s="9">
        <f t="shared" si="8"/>
        <v>1.2378688849277175E-2</v>
      </c>
      <c r="G192" s="9">
        <f t="shared" si="9"/>
        <v>4.2125887827577646E-2</v>
      </c>
    </row>
    <row r="193" spans="1:7">
      <c r="A193" s="6">
        <v>41536</v>
      </c>
      <c r="B193" s="7">
        <v>170.24</v>
      </c>
      <c r="C193" s="7">
        <v>101.62</v>
      </c>
      <c r="D193" s="7">
        <v>42.32</v>
      </c>
      <c r="E193" s="9">
        <f t="shared" si="7"/>
        <v>-1.7005805430129195E-3</v>
      </c>
      <c r="F193" s="9">
        <f t="shared" si="8"/>
        <v>-5.9669372982490421E-3</v>
      </c>
      <c r="G193" s="9">
        <f t="shared" si="9"/>
        <v>-5.4054054054053502E-3</v>
      </c>
    </row>
    <row r="194" spans="1:7">
      <c r="A194" s="6">
        <v>41537</v>
      </c>
      <c r="B194" s="7">
        <v>169.05</v>
      </c>
      <c r="C194" s="7">
        <v>102.16</v>
      </c>
      <c r="D194" s="7">
        <v>41.38</v>
      </c>
      <c r="E194" s="9">
        <f t="shared" si="7"/>
        <v>-6.990131578947345E-3</v>
      </c>
      <c r="F194" s="9">
        <f t="shared" si="8"/>
        <v>5.3139145837433066E-3</v>
      </c>
      <c r="G194" s="9">
        <f t="shared" si="9"/>
        <v>-2.2211720226843035E-2</v>
      </c>
    </row>
    <row r="195" spans="1:7">
      <c r="A195" s="6">
        <v>41540</v>
      </c>
      <c r="B195" s="7">
        <v>168.27</v>
      </c>
      <c r="C195" s="7">
        <v>102.91</v>
      </c>
      <c r="D195" s="7">
        <v>41.52</v>
      </c>
      <c r="E195" s="9">
        <f t="shared" si="7"/>
        <v>-4.6140195208518309E-3</v>
      </c>
      <c r="F195" s="9">
        <f t="shared" si="8"/>
        <v>7.3414252153485293E-3</v>
      </c>
      <c r="G195" s="9">
        <f t="shared" si="9"/>
        <v>3.383276945384317E-3</v>
      </c>
    </row>
    <row r="196" spans="1:7">
      <c r="A196" s="6">
        <v>41541</v>
      </c>
      <c r="B196" s="7">
        <v>167.87</v>
      </c>
      <c r="C196" s="7">
        <v>104.02</v>
      </c>
      <c r="D196" s="7">
        <v>41.17</v>
      </c>
      <c r="E196" s="9">
        <f t="shared" si="7"/>
        <v>-2.3771319902538002E-3</v>
      </c>
      <c r="F196" s="9">
        <f t="shared" si="8"/>
        <v>1.0786123797492886E-2</v>
      </c>
      <c r="G196" s="9">
        <f t="shared" si="9"/>
        <v>-8.4296724470135365E-3</v>
      </c>
    </row>
    <row r="197" spans="1:7">
      <c r="A197" s="6">
        <v>41542</v>
      </c>
      <c r="B197" s="7">
        <v>167.39</v>
      </c>
      <c r="C197" s="7">
        <v>104.23</v>
      </c>
      <c r="D197" s="7">
        <v>40.85</v>
      </c>
      <c r="E197" s="9">
        <f t="shared" si="7"/>
        <v>-2.8593554536249233E-3</v>
      </c>
      <c r="F197" s="9">
        <f t="shared" si="8"/>
        <v>2.0188425302827273E-3</v>
      </c>
      <c r="G197" s="9">
        <f t="shared" si="9"/>
        <v>-7.7726499878552069E-3</v>
      </c>
    </row>
    <row r="198" spans="1:7">
      <c r="A198" s="6">
        <v>41543</v>
      </c>
      <c r="B198" s="7">
        <v>168.03</v>
      </c>
      <c r="C198" s="7">
        <v>103.5</v>
      </c>
      <c r="D198" s="7">
        <v>41.02</v>
      </c>
      <c r="E198" s="9">
        <f t="shared" si="7"/>
        <v>3.8234064161539738E-3</v>
      </c>
      <c r="F198" s="9">
        <f t="shared" si="8"/>
        <v>-7.003741725031265E-3</v>
      </c>
      <c r="G198" s="9">
        <f t="shared" si="9"/>
        <v>4.1615667074663687E-3</v>
      </c>
    </row>
    <row r="199" spans="1:7">
      <c r="A199" s="6">
        <v>41544</v>
      </c>
      <c r="B199" s="7">
        <v>167.26</v>
      </c>
      <c r="C199" s="7">
        <v>103.76</v>
      </c>
      <c r="D199" s="7">
        <v>40.54</v>
      </c>
      <c r="E199" s="9">
        <f t="shared" si="7"/>
        <v>-4.5825150270785153E-3</v>
      </c>
      <c r="F199" s="9">
        <f t="shared" si="8"/>
        <v>2.5120772946860548E-3</v>
      </c>
      <c r="G199" s="9">
        <f t="shared" si="9"/>
        <v>-1.1701608971233624E-2</v>
      </c>
    </row>
    <row r="200" spans="1:7">
      <c r="A200" s="6">
        <v>41547</v>
      </c>
      <c r="B200" s="7">
        <v>166.37</v>
      </c>
      <c r="C200" s="7">
        <v>103.6</v>
      </c>
      <c r="D200" s="7">
        <v>40.08</v>
      </c>
      <c r="E200" s="9">
        <f t="shared" si="7"/>
        <v>-5.3210570369484067E-3</v>
      </c>
      <c r="F200" s="9">
        <f t="shared" si="8"/>
        <v>-1.5420200462606948E-3</v>
      </c>
      <c r="G200" s="9">
        <f t="shared" si="9"/>
        <v>-1.1346817957572752E-2</v>
      </c>
    </row>
    <row r="201" spans="1:7">
      <c r="A201" s="6">
        <v>41548</v>
      </c>
      <c r="B201" s="7">
        <v>167.69</v>
      </c>
      <c r="C201" s="7">
        <v>103.29</v>
      </c>
      <c r="D201" s="7">
        <v>40.869999999999997</v>
      </c>
      <c r="E201" s="9">
        <f t="shared" si="7"/>
        <v>7.9341227384743807E-3</v>
      </c>
      <c r="F201" s="9">
        <f t="shared" si="8"/>
        <v>-2.9922779922778586E-3</v>
      </c>
      <c r="G201" s="9">
        <f t="shared" si="9"/>
        <v>1.9710578842315307E-2</v>
      </c>
    </row>
    <row r="202" spans="1:7">
      <c r="A202" s="6">
        <v>41549</v>
      </c>
      <c r="B202" s="7">
        <v>167.53</v>
      </c>
      <c r="C202" s="7">
        <v>103.44</v>
      </c>
      <c r="D202" s="7">
        <v>41.03</v>
      </c>
      <c r="E202" s="9">
        <f t="shared" si="7"/>
        <v>-9.5414157075557338E-4</v>
      </c>
      <c r="F202" s="9">
        <f t="shared" si="8"/>
        <v>1.452221899506112E-3</v>
      </c>
      <c r="G202" s="9">
        <f t="shared" si="9"/>
        <v>3.9148519696599049E-3</v>
      </c>
    </row>
    <row r="203" spans="1:7">
      <c r="A203" s="6">
        <v>41550</v>
      </c>
      <c r="B203" s="7">
        <v>165.98</v>
      </c>
      <c r="C203" s="7">
        <v>103.28</v>
      </c>
      <c r="D203" s="7">
        <v>40.869999999999997</v>
      </c>
      <c r="E203" s="9">
        <f t="shared" si="7"/>
        <v>-9.2520742553573454E-3</v>
      </c>
      <c r="F203" s="9">
        <f t="shared" si="8"/>
        <v>-1.5467904098994678E-3</v>
      </c>
      <c r="G203" s="9">
        <f t="shared" si="9"/>
        <v>-3.8995856690227093E-3</v>
      </c>
    </row>
    <row r="204" spans="1:7">
      <c r="A204" s="6">
        <v>41551</v>
      </c>
      <c r="B204" s="7">
        <v>167.24</v>
      </c>
      <c r="C204" s="7">
        <v>103.2</v>
      </c>
      <c r="D204" s="7">
        <v>41.41</v>
      </c>
      <c r="E204" s="9">
        <f t="shared" si="7"/>
        <v>7.5912760573564331E-3</v>
      </c>
      <c r="F204" s="9">
        <f t="shared" si="8"/>
        <v>-7.7459333849727585E-4</v>
      </c>
      <c r="G204" s="9">
        <f t="shared" si="9"/>
        <v>1.3212625397602151E-2</v>
      </c>
    </row>
    <row r="205" spans="1:7">
      <c r="A205" s="6">
        <v>41554</v>
      </c>
      <c r="B205" s="7">
        <v>165.79</v>
      </c>
      <c r="C205" s="7">
        <v>103.62</v>
      </c>
      <c r="D205" s="7">
        <v>41.05</v>
      </c>
      <c r="E205" s="9">
        <f t="shared" si="7"/>
        <v>-8.6701745993782442E-3</v>
      </c>
      <c r="F205" s="9">
        <f t="shared" si="8"/>
        <v>4.0697674418603835E-3</v>
      </c>
      <c r="G205" s="9">
        <f t="shared" si="9"/>
        <v>-8.6935522820574818E-3</v>
      </c>
    </row>
    <row r="206" spans="1:7">
      <c r="A206" s="6">
        <v>41555</v>
      </c>
      <c r="B206" s="7">
        <v>163.86</v>
      </c>
      <c r="C206" s="7">
        <v>103.65</v>
      </c>
      <c r="D206" s="7">
        <v>40.659999999999997</v>
      </c>
      <c r="E206" s="9">
        <f t="shared" ref="E206:E264" si="10">B206/B205-1</f>
        <v>-1.1641232884974873E-2</v>
      </c>
      <c r="F206" s="9">
        <f t="shared" ref="F206:F264" si="11">C206/C205-1</f>
        <v>2.8951939779964242E-4</v>
      </c>
      <c r="G206" s="9">
        <f t="shared" ref="G206:G264" si="12">D206/D205-1</f>
        <v>-9.5006090133983312E-3</v>
      </c>
    </row>
    <row r="207" spans="1:7">
      <c r="A207" s="6">
        <v>41556</v>
      </c>
      <c r="B207" s="7">
        <v>163.98</v>
      </c>
      <c r="C207" s="7">
        <v>102.82</v>
      </c>
      <c r="D207" s="7">
        <v>40.96</v>
      </c>
      <c r="E207" s="9">
        <f t="shared" si="10"/>
        <v>7.3233247894521902E-4</v>
      </c>
      <c r="F207" s="9">
        <f t="shared" si="11"/>
        <v>-8.007718282682208E-3</v>
      </c>
      <c r="G207" s="9">
        <f t="shared" si="12"/>
        <v>7.3782587309396686E-3</v>
      </c>
    </row>
    <row r="208" spans="1:7">
      <c r="A208" s="6">
        <v>41557</v>
      </c>
      <c r="B208" s="7">
        <v>167.52</v>
      </c>
      <c r="C208" s="7">
        <v>102.98</v>
      </c>
      <c r="D208" s="7">
        <v>41.93</v>
      </c>
      <c r="E208" s="9">
        <f t="shared" si="10"/>
        <v>2.1587998536406916E-2</v>
      </c>
      <c r="F208" s="9">
        <f t="shared" si="11"/>
        <v>1.5561174868703453E-3</v>
      </c>
      <c r="G208" s="9">
        <f t="shared" si="12"/>
        <v>2.3681640625E-2</v>
      </c>
    </row>
    <row r="209" spans="1:7">
      <c r="A209" s="6">
        <v>41558</v>
      </c>
      <c r="B209" s="7">
        <v>168.6</v>
      </c>
      <c r="C209" s="7">
        <v>102.95</v>
      </c>
      <c r="D209" s="7">
        <v>42.11</v>
      </c>
      <c r="E209" s="9">
        <f t="shared" si="10"/>
        <v>6.4469914040112819E-3</v>
      </c>
      <c r="F209" s="9">
        <f t="shared" si="11"/>
        <v>-2.9131870266074777E-4</v>
      </c>
      <c r="G209" s="9">
        <f t="shared" si="12"/>
        <v>4.2928690674934877E-3</v>
      </c>
    </row>
    <row r="210" spans="1:7">
      <c r="A210" s="6">
        <v>41561</v>
      </c>
      <c r="B210" s="7">
        <v>169.27</v>
      </c>
      <c r="C210" s="7">
        <v>102.12</v>
      </c>
      <c r="D210" s="7">
        <v>42.36</v>
      </c>
      <c r="E210" s="9">
        <f t="shared" si="10"/>
        <v>3.9739027283511863E-3</v>
      </c>
      <c r="F210" s="9">
        <f t="shared" si="11"/>
        <v>-8.0621661000485068E-3</v>
      </c>
      <c r="G210" s="9">
        <f t="shared" si="12"/>
        <v>5.936832106387957E-3</v>
      </c>
    </row>
    <row r="211" spans="1:7">
      <c r="A211" s="6">
        <v>41562</v>
      </c>
      <c r="B211" s="7">
        <v>168.04</v>
      </c>
      <c r="C211" s="7">
        <v>102.06</v>
      </c>
      <c r="D211" s="7">
        <v>41.95</v>
      </c>
      <c r="E211" s="9">
        <f t="shared" si="10"/>
        <v>-7.2664973119869192E-3</v>
      </c>
      <c r="F211" s="9">
        <f t="shared" si="11"/>
        <v>-5.8754406580496799E-4</v>
      </c>
      <c r="G211" s="9">
        <f t="shared" si="12"/>
        <v>-9.6789423984890988E-3</v>
      </c>
    </row>
    <row r="212" spans="1:7">
      <c r="A212" s="6">
        <v>41563</v>
      </c>
      <c r="B212" s="7">
        <v>170.39</v>
      </c>
      <c r="C212" s="7">
        <v>103.34</v>
      </c>
      <c r="D212" s="7">
        <v>42.28</v>
      </c>
      <c r="E212" s="9">
        <f t="shared" si="10"/>
        <v>1.3984765532016219E-2</v>
      </c>
      <c r="F212" s="9">
        <f t="shared" si="11"/>
        <v>1.254164217127185E-2</v>
      </c>
      <c r="G212" s="9">
        <f t="shared" si="12"/>
        <v>7.8665077473181189E-3</v>
      </c>
    </row>
    <row r="213" spans="1:7">
      <c r="A213" s="6">
        <v>41564</v>
      </c>
      <c r="B213" s="7">
        <v>171.53</v>
      </c>
      <c r="C213" s="7">
        <v>104.27</v>
      </c>
      <c r="D213" s="7">
        <v>42.55</v>
      </c>
      <c r="E213" s="9">
        <f t="shared" si="10"/>
        <v>6.6905334820119844E-3</v>
      </c>
      <c r="F213" s="9">
        <f t="shared" si="11"/>
        <v>8.9994193922970922E-3</v>
      </c>
      <c r="G213" s="9">
        <f t="shared" si="12"/>
        <v>6.385998107852231E-3</v>
      </c>
    </row>
    <row r="214" spans="1:7">
      <c r="A214" s="6">
        <v>41565</v>
      </c>
      <c r="B214" s="7">
        <v>172.69</v>
      </c>
      <c r="C214" s="7">
        <v>104.5</v>
      </c>
      <c r="D214" s="7">
        <v>42.59</v>
      </c>
      <c r="E214" s="9">
        <f t="shared" si="10"/>
        <v>6.762665422958003E-3</v>
      </c>
      <c r="F214" s="9">
        <f t="shared" si="11"/>
        <v>2.2058118346599542E-3</v>
      </c>
      <c r="G214" s="9">
        <f t="shared" si="12"/>
        <v>9.4007050528799319E-4</v>
      </c>
    </row>
    <row r="215" spans="1:7">
      <c r="A215" s="6">
        <v>41568</v>
      </c>
      <c r="B215" s="7">
        <v>172.7</v>
      </c>
      <c r="C215" s="7">
        <v>104.17</v>
      </c>
      <c r="D215" s="7">
        <v>42.52</v>
      </c>
      <c r="E215" s="9">
        <f t="shared" si="10"/>
        <v>5.7907232613230164E-5</v>
      </c>
      <c r="F215" s="9">
        <f t="shared" si="11"/>
        <v>-3.1578947368421373E-3</v>
      </c>
      <c r="G215" s="9">
        <f t="shared" si="12"/>
        <v>-1.6435783047663577E-3</v>
      </c>
    </row>
    <row r="216" spans="1:7">
      <c r="A216" s="6">
        <v>41569</v>
      </c>
      <c r="B216" s="7">
        <v>173.7</v>
      </c>
      <c r="C216" s="7">
        <v>105.33</v>
      </c>
      <c r="D216" s="7">
        <v>42.93</v>
      </c>
      <c r="E216" s="9">
        <f t="shared" si="10"/>
        <v>5.7903879559930704E-3</v>
      </c>
      <c r="F216" s="9">
        <f t="shared" si="11"/>
        <v>1.1135643659402783E-2</v>
      </c>
      <c r="G216" s="9">
        <f t="shared" si="12"/>
        <v>9.6425211665098765E-3</v>
      </c>
    </row>
    <row r="217" spans="1:7">
      <c r="A217" s="6">
        <v>41570</v>
      </c>
      <c r="B217" s="7">
        <v>172.86</v>
      </c>
      <c r="C217" s="7">
        <v>105.74</v>
      </c>
      <c r="D217" s="7">
        <v>41.93</v>
      </c>
      <c r="E217" s="9">
        <f t="shared" si="10"/>
        <v>-4.8359240069083542E-3</v>
      </c>
      <c r="F217" s="9">
        <f t="shared" si="11"/>
        <v>3.8925282445647635E-3</v>
      </c>
      <c r="G217" s="9">
        <f t="shared" si="12"/>
        <v>-2.3293733985557896E-2</v>
      </c>
    </row>
    <row r="218" spans="1:7">
      <c r="A218" s="6">
        <v>41571</v>
      </c>
      <c r="B218" s="7">
        <v>173.44</v>
      </c>
      <c r="C218" s="7">
        <v>105.33</v>
      </c>
      <c r="D218" s="7">
        <v>41.84</v>
      </c>
      <c r="E218" s="9">
        <f t="shared" si="10"/>
        <v>3.355316441050471E-3</v>
      </c>
      <c r="F218" s="9">
        <f t="shared" si="11"/>
        <v>-3.87743521846029E-3</v>
      </c>
      <c r="G218" s="9">
        <f t="shared" si="12"/>
        <v>-2.1464345337466328E-3</v>
      </c>
    </row>
    <row r="219" spans="1:7">
      <c r="A219" s="6">
        <v>41572</v>
      </c>
      <c r="B219" s="7">
        <v>174.23</v>
      </c>
      <c r="C219" s="7">
        <v>105.72</v>
      </c>
      <c r="D219" s="7">
        <v>42.03</v>
      </c>
      <c r="E219" s="9">
        <f t="shared" si="10"/>
        <v>4.5548892988929168E-3</v>
      </c>
      <c r="F219" s="9">
        <f t="shared" si="11"/>
        <v>3.7026488180005313E-3</v>
      </c>
      <c r="G219" s="9">
        <f t="shared" si="12"/>
        <v>4.5411089866156384E-3</v>
      </c>
    </row>
    <row r="220" spans="1:7">
      <c r="A220" s="6">
        <v>41575</v>
      </c>
      <c r="B220" s="7">
        <v>174.51</v>
      </c>
      <c r="C220" s="7">
        <v>105.36</v>
      </c>
      <c r="D220" s="7">
        <v>42.28</v>
      </c>
      <c r="E220" s="9">
        <f t="shared" si="10"/>
        <v>1.6070711128968185E-3</v>
      </c>
      <c r="F220" s="9">
        <f t="shared" si="11"/>
        <v>-3.4052213393870323E-3</v>
      </c>
      <c r="G220" s="9">
        <f t="shared" si="12"/>
        <v>5.9481322864620711E-3</v>
      </c>
    </row>
    <row r="221" spans="1:7">
      <c r="A221" s="6">
        <v>41576</v>
      </c>
      <c r="B221" s="7">
        <v>175.44</v>
      </c>
      <c r="C221" s="7">
        <v>105.49</v>
      </c>
      <c r="D221" s="7">
        <v>42.42</v>
      </c>
      <c r="E221" s="9">
        <f t="shared" si="10"/>
        <v>5.3292074952724366E-3</v>
      </c>
      <c r="F221" s="9">
        <f t="shared" si="11"/>
        <v>1.2338648443430689E-3</v>
      </c>
      <c r="G221" s="9">
        <f t="shared" si="12"/>
        <v>3.3112582781456013E-3</v>
      </c>
    </row>
    <row r="222" spans="1:7">
      <c r="A222" s="6">
        <v>41577</v>
      </c>
      <c r="B222" s="7">
        <v>174.57</v>
      </c>
      <c r="C222" s="7">
        <v>104.86</v>
      </c>
      <c r="D222" s="7">
        <v>42.18</v>
      </c>
      <c r="E222" s="9">
        <f t="shared" si="10"/>
        <v>-4.958960328317441E-3</v>
      </c>
      <c r="F222" s="9">
        <f t="shared" si="11"/>
        <v>-5.9721300597213034E-3</v>
      </c>
      <c r="G222" s="9">
        <f t="shared" si="12"/>
        <v>-5.657708628005742E-3</v>
      </c>
    </row>
    <row r="223" spans="1:7">
      <c r="A223" s="6">
        <v>41578</v>
      </c>
      <c r="B223" s="7">
        <v>174.07</v>
      </c>
      <c r="C223" s="7">
        <v>105.08</v>
      </c>
      <c r="D223" s="7">
        <v>41.75</v>
      </c>
      <c r="E223" s="9">
        <f t="shared" si="10"/>
        <v>-2.8641805579423529E-3</v>
      </c>
      <c r="F223" s="9">
        <f t="shared" si="11"/>
        <v>2.0980354758726172E-3</v>
      </c>
      <c r="G223" s="9">
        <f t="shared" si="12"/>
        <v>-1.0194404931247014E-2</v>
      </c>
    </row>
    <row r="224" spans="1:7">
      <c r="A224" s="6">
        <v>41579</v>
      </c>
      <c r="B224" s="7">
        <v>174.49</v>
      </c>
      <c r="C224" s="7">
        <v>103.95</v>
      </c>
      <c r="D224" s="7">
        <v>41.77</v>
      </c>
      <c r="E224" s="9">
        <f t="shared" si="10"/>
        <v>2.4128224277590871E-3</v>
      </c>
      <c r="F224" s="9">
        <f t="shared" si="11"/>
        <v>-1.0753711457936799E-2</v>
      </c>
      <c r="G224" s="9">
        <f t="shared" si="12"/>
        <v>4.7904191616776615E-4</v>
      </c>
    </row>
    <row r="225" spans="1:7">
      <c r="A225" s="6">
        <v>41582</v>
      </c>
      <c r="B225" s="7">
        <v>175.1</v>
      </c>
      <c r="C225" s="7">
        <v>104.04</v>
      </c>
      <c r="D225" s="7">
        <v>42.02</v>
      </c>
      <c r="E225" s="9">
        <f t="shared" si="10"/>
        <v>3.4959023439737891E-3</v>
      </c>
      <c r="F225" s="9">
        <f t="shared" si="11"/>
        <v>8.658008658009031E-4</v>
      </c>
      <c r="G225" s="9">
        <f t="shared" si="12"/>
        <v>5.9851568111084497E-3</v>
      </c>
    </row>
    <row r="226" spans="1:7">
      <c r="A226" s="6">
        <v>41583</v>
      </c>
      <c r="B226" s="7">
        <v>174.55</v>
      </c>
      <c r="C226" s="7">
        <v>102.8</v>
      </c>
      <c r="D226" s="7">
        <v>41.18</v>
      </c>
      <c r="E226" s="9">
        <f t="shared" si="10"/>
        <v>-3.1410622501426566E-3</v>
      </c>
      <c r="F226" s="9">
        <f t="shared" si="11"/>
        <v>-1.191849288735114E-2</v>
      </c>
      <c r="G226" s="9">
        <f t="shared" si="12"/>
        <v>-1.9990480723465098E-2</v>
      </c>
    </row>
    <row r="227" spans="1:7">
      <c r="A227" s="6">
        <v>41584</v>
      </c>
      <c r="B227" s="7">
        <v>175.44</v>
      </c>
      <c r="C227" s="7">
        <v>102.85</v>
      </c>
      <c r="D227" s="7">
        <v>41.31</v>
      </c>
      <c r="E227" s="9">
        <f t="shared" si="10"/>
        <v>5.0988255514179404E-3</v>
      </c>
      <c r="F227" s="9">
        <f t="shared" si="11"/>
        <v>4.8638132295719672E-4</v>
      </c>
      <c r="G227" s="9">
        <f t="shared" si="12"/>
        <v>3.1568722680914707E-3</v>
      </c>
    </row>
    <row r="228" spans="1:7">
      <c r="A228" s="6">
        <v>41585</v>
      </c>
      <c r="B228" s="7">
        <v>173.22</v>
      </c>
      <c r="C228" s="7">
        <v>103.72</v>
      </c>
      <c r="D228" s="7">
        <v>40.56</v>
      </c>
      <c r="E228" s="9">
        <f t="shared" si="10"/>
        <v>-1.2653898768809846E-2</v>
      </c>
      <c r="F228" s="9">
        <f t="shared" si="11"/>
        <v>8.4589207583860571E-3</v>
      </c>
      <c r="G228" s="9">
        <f t="shared" si="12"/>
        <v>-1.8155410312273079E-2</v>
      </c>
    </row>
    <row r="229" spans="1:7">
      <c r="A229" s="6">
        <v>41586</v>
      </c>
      <c r="B229" s="7">
        <v>175.56</v>
      </c>
      <c r="C229" s="7">
        <v>101.22</v>
      </c>
      <c r="D229" s="7">
        <v>40.47</v>
      </c>
      <c r="E229" s="9">
        <f t="shared" si="10"/>
        <v>1.3508832698302831E-2</v>
      </c>
      <c r="F229" s="9">
        <f t="shared" si="11"/>
        <v>-2.4103355187041986E-2</v>
      </c>
      <c r="G229" s="9">
        <f t="shared" si="12"/>
        <v>-2.2189349112426981E-3</v>
      </c>
    </row>
    <row r="230" spans="1:7">
      <c r="A230" s="6">
        <v>41589</v>
      </c>
      <c r="B230" s="7">
        <v>175.59</v>
      </c>
      <c r="C230" s="7">
        <v>100.84</v>
      </c>
      <c r="D230" s="7">
        <v>40.26</v>
      </c>
      <c r="E230" s="9">
        <f t="shared" si="10"/>
        <v>1.7088174982915483E-4</v>
      </c>
      <c r="F230" s="9">
        <f t="shared" si="11"/>
        <v>-3.7541987749456496E-3</v>
      </c>
      <c r="G230" s="9">
        <f t="shared" si="12"/>
        <v>-5.1890289103039278E-3</v>
      </c>
    </row>
    <row r="231" spans="1:7">
      <c r="A231" s="6">
        <v>41590</v>
      </c>
      <c r="B231" s="7">
        <v>175.23</v>
      </c>
      <c r="C231" s="7">
        <v>101.31</v>
      </c>
      <c r="D231" s="7">
        <v>40.049999999999997</v>
      </c>
      <c r="E231" s="9">
        <f t="shared" si="10"/>
        <v>-2.050230650948337E-3</v>
      </c>
      <c r="F231" s="9">
        <f t="shared" si="11"/>
        <v>4.660848869496137E-3</v>
      </c>
      <c r="G231" s="9">
        <f t="shared" si="12"/>
        <v>-5.2160953800298726E-3</v>
      </c>
    </row>
    <row r="232" spans="1:7">
      <c r="A232" s="6">
        <v>41591</v>
      </c>
      <c r="B232" s="7">
        <v>176.64</v>
      </c>
      <c r="C232" s="7">
        <v>101.68</v>
      </c>
      <c r="D232" s="7">
        <v>40.119999999999997</v>
      </c>
      <c r="E232" s="9">
        <f t="shared" si="10"/>
        <v>8.0465673686012096E-3</v>
      </c>
      <c r="F232" s="9">
        <f t="shared" si="11"/>
        <v>3.6521567466192284E-3</v>
      </c>
      <c r="G232" s="9">
        <f t="shared" si="12"/>
        <v>1.7478152309613471E-3</v>
      </c>
    </row>
    <row r="233" spans="1:7">
      <c r="A233" s="6">
        <v>41592</v>
      </c>
      <c r="B233" s="7">
        <v>177.52</v>
      </c>
      <c r="C233" s="7">
        <v>102.31</v>
      </c>
      <c r="D233" s="7">
        <v>40.770000000000003</v>
      </c>
      <c r="E233" s="9">
        <f t="shared" si="10"/>
        <v>4.9818840579711754E-3</v>
      </c>
      <c r="F233" s="9">
        <f t="shared" si="11"/>
        <v>6.1959087332807972E-3</v>
      </c>
      <c r="G233" s="9">
        <f t="shared" si="12"/>
        <v>1.6201395812562414E-2</v>
      </c>
    </row>
    <row r="234" spans="1:7">
      <c r="A234" s="6">
        <v>41593</v>
      </c>
      <c r="B234" s="7">
        <v>178.29</v>
      </c>
      <c r="C234" s="7">
        <v>102.52</v>
      </c>
      <c r="D234" s="7">
        <v>41.54</v>
      </c>
      <c r="E234" s="9">
        <f t="shared" si="10"/>
        <v>4.3375394321765182E-3</v>
      </c>
      <c r="F234" s="9">
        <f t="shared" si="11"/>
        <v>2.0525852800312716E-3</v>
      </c>
      <c r="G234" s="9">
        <f t="shared" si="12"/>
        <v>1.8886436104978976E-2</v>
      </c>
    </row>
    <row r="235" spans="1:7">
      <c r="A235" s="6">
        <v>41596</v>
      </c>
      <c r="B235" s="7">
        <v>177.67</v>
      </c>
      <c r="C235" s="7">
        <v>103.13</v>
      </c>
      <c r="D235" s="7">
        <v>41.92</v>
      </c>
      <c r="E235" s="9">
        <f t="shared" si="10"/>
        <v>-3.4774805092826488E-3</v>
      </c>
      <c r="F235" s="9">
        <f t="shared" si="11"/>
        <v>5.9500585251657245E-3</v>
      </c>
      <c r="G235" s="9">
        <f t="shared" si="12"/>
        <v>9.1478093403949412E-3</v>
      </c>
    </row>
    <row r="236" spans="1:7">
      <c r="A236" s="6">
        <v>41597</v>
      </c>
      <c r="B236" s="7">
        <v>177.28</v>
      </c>
      <c r="C236" s="7">
        <v>102.35</v>
      </c>
      <c r="D236" s="7">
        <v>41.66</v>
      </c>
      <c r="E236" s="9">
        <f t="shared" si="10"/>
        <v>-2.1950807677153517E-3</v>
      </c>
      <c r="F236" s="9">
        <f t="shared" si="11"/>
        <v>-7.563269659652927E-3</v>
      </c>
      <c r="G236" s="9">
        <f t="shared" si="12"/>
        <v>-6.2022900763359923E-3</v>
      </c>
    </row>
    <row r="237" spans="1:7">
      <c r="A237" s="6">
        <v>41598</v>
      </c>
      <c r="B237" s="7">
        <v>176.73</v>
      </c>
      <c r="C237" s="7">
        <v>100.61</v>
      </c>
      <c r="D237" s="7">
        <v>41.09</v>
      </c>
      <c r="E237" s="9">
        <f t="shared" si="10"/>
        <v>-3.1024368231047372E-3</v>
      </c>
      <c r="F237" s="9">
        <f t="shared" si="11"/>
        <v>-1.7000488519784973E-2</v>
      </c>
      <c r="G237" s="9">
        <f t="shared" si="12"/>
        <v>-1.3682189150263868E-2</v>
      </c>
    </row>
    <row r="238" spans="1:7">
      <c r="A238" s="6">
        <v>41599</v>
      </c>
      <c r="B238" s="7">
        <v>178.15</v>
      </c>
      <c r="C238" s="7">
        <v>100.77</v>
      </c>
      <c r="D238" s="7">
        <v>41.05</v>
      </c>
      <c r="E238" s="9">
        <f t="shared" si="10"/>
        <v>8.0348554291858054E-3</v>
      </c>
      <c r="F238" s="9">
        <f t="shared" si="11"/>
        <v>1.5902991750322837E-3</v>
      </c>
      <c r="G238" s="9">
        <f t="shared" si="12"/>
        <v>-9.7347286444404713E-4</v>
      </c>
    </row>
    <row r="239" spans="1:7">
      <c r="A239" s="6">
        <v>41600</v>
      </c>
      <c r="B239" s="7">
        <v>179.04</v>
      </c>
      <c r="C239" s="7">
        <v>101.71</v>
      </c>
      <c r="D239" s="7">
        <v>41.35</v>
      </c>
      <c r="E239" s="9">
        <f t="shared" si="10"/>
        <v>4.9957900645523079E-3</v>
      </c>
      <c r="F239" s="9">
        <f t="shared" si="11"/>
        <v>9.3281730673810959E-3</v>
      </c>
      <c r="G239" s="9">
        <f t="shared" si="12"/>
        <v>7.3081607795373316E-3</v>
      </c>
    </row>
    <row r="240" spans="1:7">
      <c r="A240" s="6">
        <v>41603</v>
      </c>
      <c r="B240" s="7">
        <v>178.87</v>
      </c>
      <c r="C240" s="7">
        <v>102.01</v>
      </c>
      <c r="D240" s="7">
        <v>40.82</v>
      </c>
      <c r="E240" s="9">
        <f t="shared" si="10"/>
        <v>-9.4950848972286117E-4</v>
      </c>
      <c r="F240" s="9">
        <f t="shared" si="11"/>
        <v>2.9495624815654153E-3</v>
      </c>
      <c r="G240" s="9">
        <f t="shared" si="12"/>
        <v>-1.2817412333736455E-2</v>
      </c>
    </row>
    <row r="241" spans="1:7">
      <c r="A241" s="6">
        <v>41604</v>
      </c>
      <c r="B241" s="7">
        <v>178.91</v>
      </c>
      <c r="C241" s="7">
        <v>102.39</v>
      </c>
      <c r="D241" s="7">
        <v>40.950000000000003</v>
      </c>
      <c r="E241" s="9">
        <f t="shared" si="10"/>
        <v>2.2362609716553017E-4</v>
      </c>
      <c r="F241" s="9">
        <f t="shared" si="11"/>
        <v>3.7251249877463533E-3</v>
      </c>
      <c r="G241" s="9">
        <f t="shared" si="12"/>
        <v>3.1847133757962887E-3</v>
      </c>
    </row>
    <row r="242" spans="1:7">
      <c r="A242" s="6">
        <v>41605</v>
      </c>
      <c r="B242" s="7">
        <v>179.35</v>
      </c>
      <c r="C242" s="7">
        <v>102.21</v>
      </c>
      <c r="D242" s="7">
        <v>41.22</v>
      </c>
      <c r="E242" s="9">
        <f t="shared" si="10"/>
        <v>2.4593370968644113E-3</v>
      </c>
      <c r="F242" s="9">
        <f t="shared" si="11"/>
        <v>-1.7579841781424355E-3</v>
      </c>
      <c r="G242" s="9">
        <f t="shared" si="12"/>
        <v>6.59340659340657E-3</v>
      </c>
    </row>
    <row r="243" spans="1:7">
      <c r="A243" s="6">
        <v>41607</v>
      </c>
      <c r="B243" s="7">
        <v>179.23</v>
      </c>
      <c r="C243" s="7">
        <v>102.24</v>
      </c>
      <c r="D243" s="7">
        <v>41.64</v>
      </c>
      <c r="E243" s="9">
        <f t="shared" si="10"/>
        <v>-6.6908279899635659E-4</v>
      </c>
      <c r="F243" s="9">
        <f t="shared" si="11"/>
        <v>2.9351335485761076E-4</v>
      </c>
      <c r="G243" s="9">
        <f t="shared" si="12"/>
        <v>1.0189228529839944E-2</v>
      </c>
    </row>
    <row r="244" spans="1:7">
      <c r="A244" s="6">
        <v>41610</v>
      </c>
      <c r="B244" s="7">
        <v>178.77</v>
      </c>
      <c r="C244" s="7">
        <v>101.45</v>
      </c>
      <c r="D244" s="7">
        <v>40.770000000000003</v>
      </c>
      <c r="E244" s="9">
        <f t="shared" si="10"/>
        <v>-2.5665346203201933E-3</v>
      </c>
      <c r="F244" s="9">
        <f t="shared" si="11"/>
        <v>-7.726917057902849E-3</v>
      </c>
      <c r="G244" s="9">
        <f t="shared" si="12"/>
        <v>-2.089337175792505E-2</v>
      </c>
    </row>
    <row r="245" spans="1:7">
      <c r="A245" s="6">
        <v>41611</v>
      </c>
      <c r="B245" s="7">
        <v>177.99</v>
      </c>
      <c r="C245" s="7">
        <v>101.82</v>
      </c>
      <c r="D245" s="7">
        <v>40.630000000000003</v>
      </c>
      <c r="E245" s="9">
        <f t="shared" si="10"/>
        <v>-4.363148179224674E-3</v>
      </c>
      <c r="F245" s="9">
        <f t="shared" si="11"/>
        <v>3.6471168063083592E-3</v>
      </c>
      <c r="G245" s="9">
        <f t="shared" si="12"/>
        <v>-3.4338974736325412E-3</v>
      </c>
    </row>
    <row r="246" spans="1:7">
      <c r="A246" s="6">
        <v>41612</v>
      </c>
      <c r="B246" s="7">
        <v>177.97</v>
      </c>
      <c r="C246" s="7">
        <v>100.85</v>
      </c>
      <c r="D246" s="7">
        <v>40.58</v>
      </c>
      <c r="E246" s="9">
        <f t="shared" si="10"/>
        <v>-1.1236586325080733E-4</v>
      </c>
      <c r="F246" s="9">
        <f t="shared" si="11"/>
        <v>-9.5266155961500898E-3</v>
      </c>
      <c r="G246" s="9">
        <f t="shared" si="12"/>
        <v>-1.2306177701206789E-3</v>
      </c>
    </row>
    <row r="247" spans="1:7">
      <c r="A247" s="6">
        <v>41613</v>
      </c>
      <c r="B247" s="7">
        <v>177.19</v>
      </c>
      <c r="C247" s="7">
        <v>100.56</v>
      </c>
      <c r="D247" s="7">
        <v>40.340000000000003</v>
      </c>
      <c r="E247" s="9">
        <f t="shared" si="10"/>
        <v>-4.3827611395178545E-3</v>
      </c>
      <c r="F247" s="9">
        <f t="shared" si="11"/>
        <v>-2.8755577590480197E-3</v>
      </c>
      <c r="G247" s="9">
        <f t="shared" si="12"/>
        <v>-5.9142434696893842E-3</v>
      </c>
    </row>
    <row r="248" spans="1:7">
      <c r="A248" s="6">
        <v>41614</v>
      </c>
      <c r="B248" s="7">
        <v>179.17</v>
      </c>
      <c r="C248" s="7">
        <v>101.04</v>
      </c>
      <c r="D248" s="7">
        <v>41.24</v>
      </c>
      <c r="E248" s="9">
        <f t="shared" si="10"/>
        <v>1.1174445510468978E-2</v>
      </c>
      <c r="F248" s="9">
        <f t="shared" si="11"/>
        <v>4.7732696897375693E-3</v>
      </c>
      <c r="G248" s="9">
        <f t="shared" si="12"/>
        <v>2.231036192364888E-2</v>
      </c>
    </row>
    <row r="249" spans="1:7">
      <c r="A249" s="6">
        <v>41617</v>
      </c>
      <c r="B249" s="7">
        <v>179.63</v>
      </c>
      <c r="C249" s="7">
        <v>101.28</v>
      </c>
      <c r="D249" s="7">
        <v>41.3</v>
      </c>
      <c r="E249" s="9">
        <f t="shared" si="10"/>
        <v>2.5673940949937357E-3</v>
      </c>
      <c r="F249" s="9">
        <f t="shared" si="11"/>
        <v>2.3752969121140222E-3</v>
      </c>
      <c r="G249" s="9">
        <f t="shared" si="12"/>
        <v>1.4548981571289588E-3</v>
      </c>
    </row>
    <row r="250" spans="1:7">
      <c r="A250" s="6">
        <v>41618</v>
      </c>
      <c r="B250" s="7">
        <v>178.98</v>
      </c>
      <c r="C250" s="7">
        <v>102.01</v>
      </c>
      <c r="D250" s="7">
        <v>41.32</v>
      </c>
      <c r="E250" s="9">
        <f t="shared" si="10"/>
        <v>-3.6185492401047403E-3</v>
      </c>
      <c r="F250" s="9">
        <f t="shared" si="11"/>
        <v>7.2077409162718542E-3</v>
      </c>
      <c r="G250" s="9">
        <f t="shared" si="12"/>
        <v>4.8426150121083644E-4</v>
      </c>
    </row>
    <row r="251" spans="1:7">
      <c r="A251" s="6">
        <v>41619</v>
      </c>
      <c r="B251" s="7">
        <v>176.97</v>
      </c>
      <c r="C251" s="7">
        <v>101.22</v>
      </c>
      <c r="D251" s="7">
        <v>40.4</v>
      </c>
      <c r="E251" s="9">
        <f t="shared" si="10"/>
        <v>-1.1230305062018053E-2</v>
      </c>
      <c r="F251" s="9">
        <f t="shared" si="11"/>
        <v>-7.7443387903147753E-3</v>
      </c>
      <c r="G251" s="9">
        <f t="shared" si="12"/>
        <v>-2.2265246853823806E-2</v>
      </c>
    </row>
    <row r="252" spans="1:7">
      <c r="A252" s="6">
        <v>41620</v>
      </c>
      <c r="B252" s="7">
        <v>176.39</v>
      </c>
      <c r="C252" s="7">
        <v>100.84</v>
      </c>
      <c r="D252" s="7">
        <v>40.17</v>
      </c>
      <c r="E252" s="9">
        <f t="shared" si="10"/>
        <v>-3.2773916483020971E-3</v>
      </c>
      <c r="F252" s="9">
        <f t="shared" si="11"/>
        <v>-3.7541987749456496E-3</v>
      </c>
      <c r="G252" s="9">
        <f t="shared" si="12"/>
        <v>-5.6930693069305871E-3</v>
      </c>
    </row>
    <row r="253" spans="1:7">
      <c r="A253" s="6">
        <v>41621</v>
      </c>
      <c r="B253" s="7">
        <v>176.37</v>
      </c>
      <c r="C253" s="7">
        <v>101.33</v>
      </c>
      <c r="D253" s="7">
        <v>40.26</v>
      </c>
      <c r="E253" s="9">
        <f t="shared" si="10"/>
        <v>-1.1338511253466965E-4</v>
      </c>
      <c r="F253" s="9">
        <f t="shared" si="11"/>
        <v>4.8591828639428236E-3</v>
      </c>
      <c r="G253" s="9">
        <f t="shared" si="12"/>
        <v>2.2404779686331366E-3</v>
      </c>
    </row>
    <row r="254" spans="1:7">
      <c r="A254" s="6">
        <v>41624</v>
      </c>
      <c r="B254" s="7">
        <v>177.47</v>
      </c>
      <c r="C254" s="7">
        <v>100.96</v>
      </c>
      <c r="D254" s="7">
        <v>40.53</v>
      </c>
      <c r="E254" s="9">
        <f t="shared" si="10"/>
        <v>6.2368883596983782E-3</v>
      </c>
      <c r="F254" s="9">
        <f t="shared" si="11"/>
        <v>-3.6514359024968357E-3</v>
      </c>
      <c r="G254" s="9">
        <f t="shared" si="12"/>
        <v>6.7064083457526458E-3</v>
      </c>
    </row>
    <row r="255" spans="1:7">
      <c r="A255" s="6">
        <v>41625</v>
      </c>
      <c r="B255" s="7">
        <v>176.9</v>
      </c>
      <c r="C255" s="7">
        <v>101.41</v>
      </c>
      <c r="D255" s="7">
        <v>40.18</v>
      </c>
      <c r="E255" s="9">
        <f t="shared" si="10"/>
        <v>-3.2118104468360498E-3</v>
      </c>
      <c r="F255" s="9">
        <f t="shared" si="11"/>
        <v>4.4572107765452618E-3</v>
      </c>
      <c r="G255" s="9">
        <f t="shared" si="12"/>
        <v>-8.6355785837651799E-3</v>
      </c>
    </row>
    <row r="256" spans="1:7">
      <c r="A256" s="6">
        <v>41626</v>
      </c>
      <c r="B256" s="7">
        <v>179.92</v>
      </c>
      <c r="C256" s="7">
        <v>100.9</v>
      </c>
      <c r="D256" s="7">
        <v>40.98</v>
      </c>
      <c r="E256" s="9">
        <f t="shared" si="10"/>
        <v>1.7071791972866013E-2</v>
      </c>
      <c r="F256" s="9">
        <f t="shared" si="11"/>
        <v>-5.0290898333497092E-3</v>
      </c>
      <c r="G256" s="9">
        <f t="shared" si="12"/>
        <v>1.9910403185664505E-2</v>
      </c>
    </row>
    <row r="257" spans="1:7">
      <c r="A257" s="6">
        <v>41627</v>
      </c>
      <c r="B257" s="7">
        <v>179.72</v>
      </c>
      <c r="C257" s="7">
        <v>100.8</v>
      </c>
      <c r="D257" s="7">
        <v>40.22</v>
      </c>
      <c r="E257" s="9">
        <f t="shared" si="10"/>
        <v>-1.1116051578479169E-3</v>
      </c>
      <c r="F257" s="9">
        <f t="shared" si="11"/>
        <v>-9.9108027750260952E-4</v>
      </c>
      <c r="G257" s="9">
        <f t="shared" si="12"/>
        <v>-1.8545632015617319E-2</v>
      </c>
    </row>
    <row r="258" spans="1:7">
      <c r="A258" s="6">
        <v>41628</v>
      </c>
      <c r="B258" s="7">
        <v>180.76</v>
      </c>
      <c r="C258" s="7">
        <v>102.35</v>
      </c>
      <c r="D258" s="7">
        <v>40.159999999999997</v>
      </c>
      <c r="E258" s="9">
        <f t="shared" si="10"/>
        <v>5.7867794346762036E-3</v>
      </c>
      <c r="F258" s="9">
        <f t="shared" si="11"/>
        <v>1.5376984126984183E-2</v>
      </c>
      <c r="G258" s="9">
        <f t="shared" si="12"/>
        <v>-1.4917951268026419E-3</v>
      </c>
    </row>
    <row r="259" spans="1:7">
      <c r="A259" s="6">
        <v>41631</v>
      </c>
      <c r="B259" s="7">
        <v>181.73</v>
      </c>
      <c r="C259" s="7">
        <v>101.77</v>
      </c>
      <c r="D259" s="7">
        <v>40.46</v>
      </c>
      <c r="E259" s="9">
        <f t="shared" si="10"/>
        <v>5.3662314671387712E-3</v>
      </c>
      <c r="F259" s="9">
        <f t="shared" si="11"/>
        <v>-5.666829506595028E-3</v>
      </c>
      <c r="G259" s="9">
        <f t="shared" si="12"/>
        <v>7.470119521912455E-3</v>
      </c>
    </row>
    <row r="260" spans="1:7">
      <c r="A260" s="6">
        <v>41632</v>
      </c>
      <c r="B260" s="7">
        <v>182.13</v>
      </c>
      <c r="C260" s="7">
        <v>100.96</v>
      </c>
      <c r="D260" s="7">
        <v>40.700000000000003</v>
      </c>
      <c r="E260" s="9">
        <f t="shared" si="10"/>
        <v>2.2010675177461803E-3</v>
      </c>
      <c r="F260" s="9">
        <f t="shared" si="11"/>
        <v>-7.9591235138056771E-3</v>
      </c>
      <c r="G260" s="9">
        <f t="shared" si="12"/>
        <v>5.9317844784974039E-3</v>
      </c>
    </row>
    <row r="261" spans="1:7">
      <c r="A261" s="6">
        <v>41634</v>
      </c>
      <c r="B261" s="7">
        <v>183.05</v>
      </c>
      <c r="C261" s="7">
        <v>100.57</v>
      </c>
      <c r="D261" s="7">
        <v>40.35</v>
      </c>
      <c r="E261" s="9">
        <f t="shared" si="10"/>
        <v>5.0513369571185684E-3</v>
      </c>
      <c r="F261" s="9">
        <f t="shared" si="11"/>
        <v>-3.8629160063391454E-3</v>
      </c>
      <c r="G261" s="9">
        <f t="shared" si="12"/>
        <v>-8.5995085995086429E-3</v>
      </c>
    </row>
    <row r="262" spans="1:7">
      <c r="A262" s="6">
        <v>41635</v>
      </c>
      <c r="B262" s="7">
        <v>183.04</v>
      </c>
      <c r="C262" s="7">
        <v>100.28</v>
      </c>
      <c r="D262" s="7">
        <v>40.98</v>
      </c>
      <c r="E262" s="9">
        <f t="shared" si="10"/>
        <v>-5.4629882545897956E-5</v>
      </c>
      <c r="F262" s="9">
        <f t="shared" si="11"/>
        <v>-2.8835636869840586E-3</v>
      </c>
      <c r="G262" s="9">
        <f t="shared" si="12"/>
        <v>1.5613382899628103E-2</v>
      </c>
    </row>
    <row r="263" spans="1:7">
      <c r="A263" s="6">
        <v>41638</v>
      </c>
      <c r="B263" s="7">
        <v>183.01</v>
      </c>
      <c r="C263" s="7">
        <v>100.97</v>
      </c>
      <c r="D263" s="7">
        <v>41.15</v>
      </c>
      <c r="E263" s="9">
        <f t="shared" si="10"/>
        <v>-1.6389860139864876E-4</v>
      </c>
      <c r="F263" s="9">
        <f t="shared" si="11"/>
        <v>6.8807339449541427E-3</v>
      </c>
      <c r="G263" s="9">
        <f t="shared" si="12"/>
        <v>4.1483650561249252E-3</v>
      </c>
    </row>
    <row r="264" spans="1:7">
      <c r="A264" s="6">
        <v>41639</v>
      </c>
      <c r="B264" s="7">
        <v>183.88</v>
      </c>
      <c r="C264" s="7">
        <v>100.33</v>
      </c>
      <c r="D264" s="7">
        <v>41.47</v>
      </c>
      <c r="E264" s="9">
        <f t="shared" si="10"/>
        <v>4.7538385880552259E-3</v>
      </c>
      <c r="F264" s="9">
        <f t="shared" si="11"/>
        <v>-6.3385163910072428E-3</v>
      </c>
      <c r="G264" s="9">
        <f t="shared" si="12"/>
        <v>7.7764277035237139E-3</v>
      </c>
    </row>
  </sheetData>
  <mergeCells count="3">
    <mergeCell ref="B2:N5"/>
    <mergeCell ref="B10:D10"/>
    <mergeCell ref="E10:G10"/>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15</xdr:col>
                    <xdr:colOff>104775</xdr:colOff>
                    <xdr:row>15</xdr:row>
                    <xdr:rowOff>142875</xdr:rowOff>
                  </from>
                  <to>
                    <xdr:col>15</xdr:col>
                    <xdr:colOff>1228725</xdr:colOff>
                    <xdr:row>18</xdr:row>
                    <xdr:rowOff>76200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Nathan Faber</dc:creator>
  <cp:lastModifiedBy>Brian Fagan</cp:lastModifiedBy>
  <dcterms:created xsi:type="dcterms:W3CDTF">2014-07-23T20:19:29Z</dcterms:created>
  <dcterms:modified xsi:type="dcterms:W3CDTF">2019-07-31T16:56:57Z</dcterms:modified>
</cp:coreProperties>
</file>