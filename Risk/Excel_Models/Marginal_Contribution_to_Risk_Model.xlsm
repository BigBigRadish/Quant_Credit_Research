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BFagan\Quant_Research_and_Development\Risk\Excel_Models\"/>
    </mc:Choice>
  </mc:AlternateContent>
  <bookViews>
    <workbookView xWindow="0" yWindow="30" windowWidth="22980" windowHeight="9285"/>
  </bookViews>
  <sheets>
    <sheet name="marginal_contribution_to_risk" sheetId="1" r:id="rId1"/>
  </sheets>
  <calcPr calcId="162913"/>
</workbook>
</file>

<file path=xl/calcChain.xml><?xml version="1.0" encoding="utf-8"?>
<calcChain xmlns="http://schemas.openxmlformats.org/spreadsheetml/2006/main">
  <c r="D30" i="1" l="1"/>
  <c r="L10" i="1" l="1"/>
  <c r="L11" i="1"/>
  <c r="M10" i="1" s="1"/>
  <c r="M11" i="1"/>
  <c r="L12" i="1"/>
  <c r="N10" i="1" s="1"/>
  <c r="M12" i="1"/>
  <c r="N11" i="1" s="1"/>
  <c r="N12" i="1"/>
  <c r="L13" i="1"/>
  <c r="O10" i="1" s="1"/>
  <c r="M13" i="1"/>
  <c r="O11" i="1" s="1"/>
  <c r="N13" i="1"/>
  <c r="O12" i="1" s="1"/>
  <c r="O13" i="1"/>
  <c r="L14" i="1"/>
  <c r="P10" i="1" s="1"/>
  <c r="M14" i="1"/>
  <c r="P11" i="1" s="1"/>
  <c r="N14" i="1"/>
  <c r="P12" i="1" s="1"/>
  <c r="O14" i="1"/>
  <c r="P13" i="1" s="1"/>
  <c r="P14" i="1"/>
  <c r="D39" i="1" a="1"/>
  <c r="D39" i="1" s="1"/>
  <c r="D26" i="1"/>
  <c r="D38" i="1" l="1" a="1"/>
  <c r="D38" i="1" s="1"/>
  <c r="D32" i="1" s="1"/>
  <c r="F32" i="1" s="1"/>
  <c r="F30" i="1" l="1"/>
  <c r="D34" i="1"/>
  <c r="F34" i="1" s="1"/>
  <c r="D31" i="1"/>
  <c r="F31" i="1" s="1"/>
  <c r="D33" i="1"/>
  <c r="F33" i="1" s="1"/>
  <c r="F36" i="1" l="1"/>
  <c r="H32" i="1" s="1"/>
  <c r="H34" i="1" l="1"/>
  <c r="H30" i="1"/>
  <c r="H31" i="1"/>
  <c r="H33" i="1"/>
  <c r="H36" i="1" l="1"/>
</calcChain>
</file>

<file path=xl/sharedStrings.xml><?xml version="1.0" encoding="utf-8"?>
<sst xmlns="http://schemas.openxmlformats.org/spreadsheetml/2006/main" count="42" uniqueCount="41">
  <si>
    <t>Weighted Average:</t>
  </si>
  <si>
    <t>Sum =</t>
  </si>
  <si>
    <t>w5 =</t>
  </si>
  <si>
    <t>w4 =</t>
  </si>
  <si>
    <t>w3 =</t>
  </si>
  <si>
    <t>w2 =</t>
  </si>
  <si>
    <t>w1 =</t>
  </si>
  <si>
    <t>R5 =</t>
  </si>
  <si>
    <t>R4 =</t>
  </si>
  <si>
    <t>R3 =</t>
  </si>
  <si>
    <t>R2 =</t>
  </si>
  <si>
    <t>R1 =</t>
  </si>
  <si>
    <t>Input data</t>
  </si>
  <si>
    <t>Portfolio Standard Deviation</t>
  </si>
  <si>
    <t>Portfolio Return</t>
  </si>
  <si>
    <t>% total contribution to portfolio risk</t>
  </si>
  <si>
    <t>Total contribution to portfolio risk</t>
  </si>
  <si>
    <t>Asset</t>
  </si>
  <si>
    <t>Variance Covariance Matrix</t>
  </si>
  <si>
    <t>s1 =</t>
  </si>
  <si>
    <t>r12 =</t>
  </si>
  <si>
    <t>r24 =</t>
  </si>
  <si>
    <t>s2 =</t>
  </si>
  <si>
    <t>r13 =</t>
  </si>
  <si>
    <t>r25 =</t>
  </si>
  <si>
    <t>s3 =</t>
  </si>
  <si>
    <t>r14 =</t>
  </si>
  <si>
    <t>r34 =</t>
  </si>
  <si>
    <t>s4 =</t>
  </si>
  <si>
    <t>r15 =</t>
  </si>
  <si>
    <t>r35 =</t>
  </si>
  <si>
    <t>s5 =</t>
  </si>
  <si>
    <t>r23 =</t>
  </si>
  <si>
    <t>r45 =</t>
  </si>
  <si>
    <t>Expected Return</t>
  </si>
  <si>
    <t>Volatility</t>
  </si>
  <si>
    <t>correlation</t>
  </si>
  <si>
    <t>Marginal Contribution to Risk</t>
  </si>
  <si>
    <t>Security Weights</t>
  </si>
  <si>
    <t>Portfolio risk decomposition</t>
  </si>
  <si>
    <t>Marginal Contribution to Total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</si>
</sst>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_)"/>
    <numFmt numFmtId="165" formatCode="0.0%"/>
  </numFmts>
  <fonts count="11" x14ac:knownFonts="1">
    <font>
      <sz val="10"/>
      <name val="Arial"/>
    </font>
    <font>
      <sz val="11"/>
      <color theme="1"/>
      <name val="Calibri"/>
      <family val="2"/>
      <charset val="1"/>
      <scheme val="minor"/>
    </font>
    <font>
      <sz val="10"/>
      <name val="Arial"/>
    </font>
    <font>
      <sz val="8"/>
      <name val="Arial"/>
      <family val="2"/>
    </font>
    <font>
      <sz val="7"/>
      <name val="Small Fonts"/>
    </font>
    <font>
      <b/>
      <i/>
      <sz val="16"/>
      <name val="Helv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6"/>
      <color rgb="FF2A3B78"/>
      <name val="Calibri"/>
      <family val="2"/>
      <scheme val="minor"/>
    </font>
    <font>
      <b/>
      <sz val="22"/>
      <color rgb="FF2A3B7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A317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39" fontId="2" fillId="0" borderId="0"/>
    <xf numFmtId="38" fontId="3" fillId="3" borderId="0" applyNumberFormat="0" applyBorder="0" applyAlignment="0" applyProtection="0"/>
    <xf numFmtId="10" fontId="3" fillId="2" borderId="1" applyNumberFormat="0" applyBorder="0" applyAlignment="0" applyProtection="0"/>
    <xf numFmtId="37" fontId="4" fillId="0" borderId="0"/>
    <xf numFmtId="164" fontId="5" fillId="0" borderId="0"/>
    <xf numFmtId="10" fontId="2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1">
    <xf numFmtId="0" fontId="0" fillId="0" borderId="0" xfId="0"/>
    <xf numFmtId="9" fontId="0" fillId="0" borderId="0" xfId="1" applyFont="1"/>
    <xf numFmtId="10" fontId="0" fillId="0" borderId="0" xfId="1" applyNumberFormat="1" applyFont="1"/>
    <xf numFmtId="0" fontId="6" fillId="4" borderId="0" xfId="8" applyFill="1"/>
    <xf numFmtId="165" fontId="7" fillId="5" borderId="0" xfId="1" applyNumberFormat="1" applyFon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0" fillId="0" borderId="2" xfId="0" applyBorder="1"/>
    <xf numFmtId="165" fontId="9" fillId="4" borderId="2" xfId="1" applyNumberFormat="1" applyFont="1" applyFill="1" applyBorder="1" applyAlignment="1">
      <alignment horizontal="center"/>
    </xf>
    <xf numFmtId="10" fontId="0" fillId="0" borderId="0" xfId="1" applyNumberFormat="1" applyFont="1" applyAlignment="1">
      <alignment horizontal="center"/>
    </xf>
    <xf numFmtId="10" fontId="0" fillId="0" borderId="2" xfId="1" applyNumberFormat="1" applyFont="1" applyBorder="1" applyAlignment="1">
      <alignment horizontal="center"/>
    </xf>
    <xf numFmtId="165" fontId="9" fillId="4" borderId="2" xfId="1" applyNumberFormat="1" applyFont="1" applyFill="1" applyBorder="1" applyAlignme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5" fontId="10" fillId="4" borderId="0" xfId="1" applyNumberFormat="1" applyFont="1" applyFill="1" applyBorder="1" applyAlignment="1"/>
    <xf numFmtId="165" fontId="9" fillId="4" borderId="2" xfId="1" applyNumberFormat="1" applyFont="1" applyFill="1" applyBorder="1" applyAlignment="1">
      <alignment horizontal="left"/>
    </xf>
    <xf numFmtId="165" fontId="9" fillId="4" borderId="0" xfId="1" applyNumberFormat="1" applyFont="1" applyFill="1" applyBorder="1" applyAlignment="1">
      <alignment horizontal="center"/>
    </xf>
  </cellXfs>
  <cellStyles count="9">
    <cellStyle name="date" xfId="2"/>
    <cellStyle name="Grey" xfId="3"/>
    <cellStyle name="Hyperlink" xfId="8" builtinId="8"/>
    <cellStyle name="Input [yellow]" xfId="4"/>
    <cellStyle name="no dec" xfId="5"/>
    <cellStyle name="Normal" xfId="0" builtinId="0"/>
    <cellStyle name="Normal - Style1" xfId="6"/>
    <cellStyle name="Percent" xfId="1" builtinId="5"/>
    <cellStyle name="Percent [2]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4:P39"/>
  <sheetViews>
    <sheetView showGridLines="0" tabSelected="1" workbookViewId="0"/>
  </sheetViews>
  <sheetFormatPr defaultColWidth="11.42578125" defaultRowHeight="12.75" x14ac:dyDescent="0.2"/>
  <cols>
    <col min="1" max="1" width="8" customWidth="1"/>
    <col min="2" max="2" width="11.42578125" customWidth="1"/>
    <col min="3" max="3" width="15.42578125" customWidth="1"/>
    <col min="4" max="4" width="15.7109375" customWidth="1"/>
    <col min="5" max="6" width="11.42578125" customWidth="1"/>
    <col min="7" max="7" width="15" customWidth="1"/>
    <col min="8" max="8" width="15.140625" customWidth="1"/>
    <col min="9" max="30" width="11.42578125" customWidth="1"/>
  </cols>
  <sheetData>
    <row r="4" spans="2:16" ht="15" x14ac:dyDescent="0.25">
      <c r="B4" s="3"/>
    </row>
    <row r="6" spans="2:16" ht="28.5" x14ac:dyDescent="0.45">
      <c r="B6" s="18" t="s">
        <v>40</v>
      </c>
      <c r="C6" s="18"/>
    </row>
    <row r="8" spans="2:16" ht="21.75" thickBot="1" x14ac:dyDescent="0.4">
      <c r="B8" s="19" t="s">
        <v>12</v>
      </c>
      <c r="C8" s="19"/>
      <c r="D8" s="7"/>
      <c r="E8" s="7"/>
      <c r="F8" s="7"/>
      <c r="G8" s="7"/>
      <c r="H8" s="7"/>
      <c r="I8" s="7"/>
      <c r="K8" s="11" t="s">
        <v>18</v>
      </c>
      <c r="L8" s="11"/>
      <c r="M8" s="7"/>
      <c r="N8" s="7"/>
      <c r="O8" s="7"/>
      <c r="P8" s="7"/>
    </row>
    <row r="10" spans="2:16" x14ac:dyDescent="0.2">
      <c r="C10" s="6" t="s">
        <v>34</v>
      </c>
      <c r="D10" s="6"/>
      <c r="E10" s="6" t="s">
        <v>35</v>
      </c>
      <c r="F10" s="6"/>
      <c r="G10" s="6" t="s">
        <v>36</v>
      </c>
      <c r="H10" s="6"/>
      <c r="I10" s="6" t="s">
        <v>36</v>
      </c>
      <c r="L10">
        <f>E11^2</f>
        <v>1.3689999999999998E-3</v>
      </c>
      <c r="M10">
        <f>L11</f>
        <v>1.1840000000000002E-3</v>
      </c>
      <c r="N10">
        <f>L12</f>
        <v>1.6094999999999998E-4</v>
      </c>
      <c r="O10">
        <f>L13</f>
        <v>1.9240000000000001E-3</v>
      </c>
      <c r="P10">
        <f>L14</f>
        <v>2.8860000000000001E-3</v>
      </c>
    </row>
    <row r="11" spans="2:16" ht="15" x14ac:dyDescent="0.25">
      <c r="B11" s="12" t="s">
        <v>11</v>
      </c>
      <c r="C11" s="4">
        <v>0.03</v>
      </c>
      <c r="D11" s="12" t="s">
        <v>19</v>
      </c>
      <c r="E11" s="4">
        <v>3.6999999999999998E-2</v>
      </c>
      <c r="F11" s="12" t="s">
        <v>20</v>
      </c>
      <c r="G11" s="4">
        <v>0.4</v>
      </c>
      <c r="H11" s="12" t="s">
        <v>21</v>
      </c>
      <c r="I11" s="4">
        <v>0.85</v>
      </c>
      <c r="L11">
        <f>E11*E12*G11</f>
        <v>1.1840000000000002E-3</v>
      </c>
      <c r="M11">
        <f>E12^2</f>
        <v>6.4000000000000003E-3</v>
      </c>
      <c r="N11">
        <f>M12</f>
        <v>5.8E-4</v>
      </c>
      <c r="O11">
        <f>M13</f>
        <v>8.8400000000000006E-3</v>
      </c>
      <c r="P11">
        <f>M14</f>
        <v>6.2400000000000008E-3</v>
      </c>
    </row>
    <row r="12" spans="2:16" ht="15" x14ac:dyDescent="0.25">
      <c r="B12" s="12" t="s">
        <v>10</v>
      </c>
      <c r="C12" s="4">
        <v>0.05</v>
      </c>
      <c r="D12" s="12" t="s">
        <v>22</v>
      </c>
      <c r="E12" s="4">
        <v>0.08</v>
      </c>
      <c r="F12" s="12" t="s">
        <v>23</v>
      </c>
      <c r="G12" s="4">
        <v>0.15</v>
      </c>
      <c r="H12" s="12" t="s">
        <v>24</v>
      </c>
      <c r="I12" s="4">
        <v>0.3</v>
      </c>
      <c r="L12">
        <f>E11*E13*G12</f>
        <v>1.6094999999999998E-4</v>
      </c>
      <c r="M12">
        <f>E12*E13*G15</f>
        <v>5.8E-4</v>
      </c>
      <c r="N12">
        <f>E13^2</f>
        <v>8.4100000000000006E-4</v>
      </c>
      <c r="O12">
        <f>N13</f>
        <v>1.8850000000000002E-3</v>
      </c>
      <c r="P12">
        <f>N14</f>
        <v>1.1310000000000001E-3</v>
      </c>
    </row>
    <row r="13" spans="2:16" ht="15" x14ac:dyDescent="0.25">
      <c r="B13" s="12" t="s">
        <v>9</v>
      </c>
      <c r="C13" s="4">
        <v>2.5000000000000001E-2</v>
      </c>
      <c r="D13" s="12" t="s">
        <v>25</v>
      </c>
      <c r="E13" s="4">
        <v>2.9000000000000001E-2</v>
      </c>
      <c r="F13" s="12" t="s">
        <v>26</v>
      </c>
      <c r="G13" s="4">
        <v>0.4</v>
      </c>
      <c r="H13" s="12" t="s">
        <v>27</v>
      </c>
      <c r="I13" s="4">
        <v>0.5</v>
      </c>
      <c r="L13">
        <f>E11*E14*G13</f>
        <v>1.9240000000000001E-3</v>
      </c>
      <c r="M13">
        <f>E12*E14*I11</f>
        <v>8.8400000000000006E-3</v>
      </c>
      <c r="N13">
        <f>E13*E14*I13</f>
        <v>1.8850000000000002E-3</v>
      </c>
      <c r="O13">
        <f>E14^2</f>
        <v>1.6900000000000002E-2</v>
      </c>
      <c r="P13">
        <f>O14</f>
        <v>3.3800000000000006E-3</v>
      </c>
    </row>
    <row r="14" spans="2:16" ht="15" x14ac:dyDescent="0.25">
      <c r="B14" s="12" t="s">
        <v>8</v>
      </c>
      <c r="C14" s="4">
        <v>0.11</v>
      </c>
      <c r="D14" s="12" t="s">
        <v>28</v>
      </c>
      <c r="E14" s="4">
        <v>0.13</v>
      </c>
      <c r="F14" s="12" t="s">
        <v>29</v>
      </c>
      <c r="G14" s="4">
        <v>0.3</v>
      </c>
      <c r="H14" s="12" t="s">
        <v>30</v>
      </c>
      <c r="I14" s="4">
        <v>0.15</v>
      </c>
      <c r="L14">
        <f>E11*E15*G14</f>
        <v>2.8860000000000001E-3</v>
      </c>
      <c r="M14">
        <f>E12*E15*I12</f>
        <v>6.2400000000000008E-3</v>
      </c>
      <c r="N14">
        <f>E13*E15*I14</f>
        <v>1.1310000000000001E-3</v>
      </c>
      <c r="O14">
        <f>E14*E15*I15</f>
        <v>3.3800000000000006E-3</v>
      </c>
      <c r="P14">
        <f>E15^2</f>
        <v>6.7600000000000007E-2</v>
      </c>
    </row>
    <row r="15" spans="2:16" ht="15" x14ac:dyDescent="0.25">
      <c r="B15" s="12" t="s">
        <v>7</v>
      </c>
      <c r="C15" s="4">
        <v>0.03</v>
      </c>
      <c r="D15" s="12" t="s">
        <v>31</v>
      </c>
      <c r="E15" s="4">
        <v>0.26</v>
      </c>
      <c r="F15" s="12" t="s">
        <v>32</v>
      </c>
      <c r="G15" s="4">
        <v>0.25</v>
      </c>
      <c r="H15" s="12" t="s">
        <v>33</v>
      </c>
      <c r="I15" s="4">
        <v>0.1</v>
      </c>
    </row>
    <row r="16" spans="2:16" x14ac:dyDescent="0.2">
      <c r="C16" s="1"/>
    </row>
    <row r="17" spans="2:9" ht="21.75" thickBot="1" x14ac:dyDescent="0.4">
      <c r="B17" s="19" t="s">
        <v>38</v>
      </c>
      <c r="C17" s="19"/>
      <c r="D17" s="8"/>
    </row>
    <row r="19" spans="2:9" ht="15" x14ac:dyDescent="0.25">
      <c r="C19" s="12" t="s">
        <v>6</v>
      </c>
      <c r="D19" s="4">
        <v>4.2000000000000003E-2</v>
      </c>
    </row>
    <row r="20" spans="2:9" ht="15" x14ac:dyDescent="0.25">
      <c r="C20" s="12" t="s">
        <v>5</v>
      </c>
      <c r="D20" s="4">
        <v>0.25</v>
      </c>
      <c r="F20" s="12"/>
      <c r="G20" s="12"/>
    </row>
    <row r="21" spans="2:9" ht="15" x14ac:dyDescent="0.25">
      <c r="C21" s="12" t="s">
        <v>4</v>
      </c>
      <c r="D21" s="4">
        <v>0.32</v>
      </c>
    </row>
    <row r="22" spans="2:9" ht="15" x14ac:dyDescent="0.25">
      <c r="C22" s="12" t="s">
        <v>3</v>
      </c>
      <c r="D22" s="4">
        <v>0.22</v>
      </c>
      <c r="H22" s="2"/>
    </row>
    <row r="23" spans="2:9" ht="15" x14ac:dyDescent="0.25">
      <c r="C23" s="12" t="s">
        <v>2</v>
      </c>
      <c r="D23" s="4">
        <v>0.16800000000000001</v>
      </c>
    </row>
    <row r="24" spans="2:9" ht="13.5" thickBot="1" x14ac:dyDescent="0.25">
      <c r="B24" s="7"/>
      <c r="C24" s="7"/>
      <c r="D24" s="10"/>
    </row>
    <row r="25" spans="2:9" ht="8.25" customHeight="1" x14ac:dyDescent="0.2">
      <c r="D25" s="9"/>
    </row>
    <row r="26" spans="2:9" ht="15" x14ac:dyDescent="0.25">
      <c r="C26" t="s">
        <v>1</v>
      </c>
      <c r="D26" s="4">
        <f>SUM(D19:D23)</f>
        <v>1</v>
      </c>
    </row>
    <row r="28" spans="2:9" ht="21.75" thickBot="1" x14ac:dyDescent="0.4">
      <c r="B28" s="11" t="s">
        <v>39</v>
      </c>
      <c r="C28" s="7"/>
      <c r="D28" s="7"/>
      <c r="E28" s="7"/>
      <c r="F28" s="7"/>
      <c r="G28" s="7"/>
      <c r="H28" s="7"/>
    </row>
    <row r="29" spans="2:9" ht="63.75" x14ac:dyDescent="0.2">
      <c r="C29" s="15" t="s">
        <v>17</v>
      </c>
      <c r="D29" s="15" t="s">
        <v>37</v>
      </c>
      <c r="E29" s="15"/>
      <c r="F29" s="15" t="s">
        <v>16</v>
      </c>
      <c r="G29" s="15"/>
      <c r="H29" s="15" t="s">
        <v>15</v>
      </c>
      <c r="I29" s="5"/>
    </row>
    <row r="30" spans="2:9" ht="15" x14ac:dyDescent="0.25">
      <c r="C30" s="16">
        <v>1</v>
      </c>
      <c r="D30" s="4">
        <f>(1/$D$38)*((D19*E11*E11*1)+(D20*E11*E12*G11)+(D21*E11*E13*G12)+(D22*E11*E14*G13)+(D23*E11*E15*G14))</f>
        <v>1.7632449195554033E-2</v>
      </c>
      <c r="E30" s="2"/>
      <c r="F30" s="4">
        <f>D30*D19</f>
        <v>7.4056286621326946E-4</v>
      </c>
      <c r="G30" s="2"/>
      <c r="H30" s="4">
        <f>F30/$F$36</f>
        <v>9.9441312852644841E-3</v>
      </c>
    </row>
    <row r="31" spans="2:9" ht="15" x14ac:dyDescent="0.25">
      <c r="C31" s="16">
        <v>2</v>
      </c>
      <c r="D31" s="4">
        <f>(1/$D$38)*((D20*E12*E12*1)+(D19*E12*E11*G11)+(D21*E12*E13*G15)+(D22*E12*E14*I11)+(D23*E12*E15*I12))</f>
        <v>6.4835442076088795E-2</v>
      </c>
      <c r="E31" s="2"/>
      <c r="F31" s="4">
        <f>D31*D20</f>
        <v>1.6208860519022199E-2</v>
      </c>
      <c r="G31" s="2"/>
      <c r="H31" s="4">
        <f>F31/$F$36</f>
        <v>0.2176493642057378</v>
      </c>
    </row>
    <row r="32" spans="2:9" ht="15" x14ac:dyDescent="0.25">
      <c r="C32" s="16">
        <v>3</v>
      </c>
      <c r="D32" s="4">
        <f>(1/$D$38)*((D21*E13*E13*1)+(D19*E13*E11*G12)+(D20*E13*E12*G15)+(D22*E13*E14*I13)+(D23*E13*E15*I14))</f>
        <v>1.3771390907469138E-2</v>
      </c>
      <c r="E32" s="2"/>
      <c r="F32" s="4">
        <f>D32*D21</f>
        <v>4.4068450903901246E-3</v>
      </c>
      <c r="G32" s="2"/>
      <c r="H32" s="4">
        <f>F32/$F$36</f>
        <v>5.9174241826003969E-2</v>
      </c>
    </row>
    <row r="33" spans="2:8" ht="15" x14ac:dyDescent="0.25">
      <c r="C33" s="16">
        <v>4</v>
      </c>
      <c r="D33" s="4">
        <f>(1/$D$38)*((D22*E14*E14*1)+(D19*E14*E11*G13)+(D20*E14*E12*I11)+(D21*E14*E13*I13)+(D23*E14*E15*I15))</f>
        <v>9.6409574902561246E-2</v>
      </c>
      <c r="E33" s="2"/>
      <c r="F33" s="4">
        <f>D33*D22</f>
        <v>2.1210106478563473E-2</v>
      </c>
      <c r="G33" s="2"/>
      <c r="H33" s="4">
        <f>F33/$F$36</f>
        <v>0.28480510301003092</v>
      </c>
    </row>
    <row r="34" spans="2:8" ht="15" x14ac:dyDescent="0.25">
      <c r="C34" s="16">
        <v>5</v>
      </c>
      <c r="D34" s="4">
        <f>(1/$D$38)*((D23*E15*E15*1)+(D19*E15*E11*G14)+(D20*E15*E12*I12)+(D21*E15*E13*I14)+(D22*E15*E14*I15))</f>
        <v>0.18991654248680084</v>
      </c>
      <c r="E34" s="2"/>
      <c r="F34" s="4">
        <f>D34*D23</f>
        <v>3.1905979137782543E-2</v>
      </c>
      <c r="G34" s="2"/>
      <c r="H34" s="4">
        <f>F34/$F$36</f>
        <v>0.42842715967296274</v>
      </c>
    </row>
    <row r="35" spans="2:8" ht="18" customHeight="1" x14ac:dyDescent="0.2"/>
    <row r="36" spans="2:8" ht="15" x14ac:dyDescent="0.25">
      <c r="D36" s="5" t="s">
        <v>0</v>
      </c>
      <c r="F36" s="4">
        <f>SUM(F30:F34)</f>
        <v>7.4472354091971615E-2</v>
      </c>
      <c r="G36" s="17"/>
      <c r="H36" s="4">
        <f>SUM(H30:H34)</f>
        <v>0.99999999999999989</v>
      </c>
    </row>
    <row r="37" spans="2:8" ht="21" x14ac:dyDescent="0.35">
      <c r="B37" s="20"/>
      <c r="C37" s="20"/>
    </row>
    <row r="38" spans="2:8" ht="15" x14ac:dyDescent="0.25">
      <c r="B38" s="14" t="s">
        <v>13</v>
      </c>
      <c r="C38" s="13"/>
      <c r="D38" s="4">
        <f t="array" ref="D38">SQRT(MMULT(MMULT(TRANSPOSE(D19:D23),L10:P14),D19:D23))</f>
        <v>7.4472354091971615E-2</v>
      </c>
    </row>
    <row r="39" spans="2:8" ht="15" x14ac:dyDescent="0.25">
      <c r="B39" s="14" t="s">
        <v>14</v>
      </c>
      <c r="C39" s="13"/>
      <c r="D39" s="4">
        <f t="array" ref="D39">MMULT(TRANSPOSE(D19:D23),C11:C15)</f>
        <v>5.1000000000000004E-2</v>
      </c>
    </row>
  </sheetData>
  <mergeCells count="3">
    <mergeCell ref="B8:C8"/>
    <mergeCell ref="B17:C17"/>
    <mergeCell ref="B37:C37"/>
  </mergeCells>
  <pageMargins left="0.75" right="0.75" top="1" bottom="1" header="0.5" footer="0.5"/>
  <pageSetup scale="68" orientation="portrait" r:id="rId1"/>
  <headerFooter alignWithMargins="0">
    <oddHeader>&amp;C&amp;"Arial,Bold"Five-Asset Class Portfolio Risk Decomposition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marginal_contribution_to_risk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Fagan</dc:creator>
  <cp:lastModifiedBy>Brian Fagan</cp:lastModifiedBy>
  <dcterms:created xsi:type="dcterms:W3CDTF">2019-03-30T18:13:58Z</dcterms:created>
  <dcterms:modified xsi:type="dcterms:W3CDTF">2019-07-31T16:58:56Z</dcterms:modified>
</cp:coreProperties>
</file>